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93bc208b81544119" /></Relationships>
</file>

<file path=xl/workbook.xml><?xml version="1.0" encoding="utf-8"?>
<x:workbook xmlns:x="http://schemas.openxmlformats.org/spreadsheetml/2006/main">
  <x:sheets>
    <x:sheet xmlns:r="http://schemas.openxmlformats.org/officeDocument/2006/relationships" name="요약" sheetId="1" r:id="Rc691d2efcf0245e9"/>
    <x:sheet xmlns:r="http://schemas.openxmlformats.org/officeDocument/2006/relationships" name="단가 벤치마크" sheetId="2" r:id="R3b9e518d10bd4c72"/>
    <x:sheet xmlns:r="http://schemas.openxmlformats.org/officeDocument/2006/relationships" name="설계감리 벤치마크" sheetId="3" r:id="Ra62ae42d5d1f484f"/>
    <x:sheet xmlns:r="http://schemas.openxmlformats.org/officeDocument/2006/relationships" name="공고별 사업" sheetId="4" r:id="R178d859a7e08474e"/>
    <x:sheet xmlns:r="http://schemas.openxmlformats.org/officeDocument/2006/relationships" name="수치 근거" sheetId="5" r:id="R8ff7c26737f947c6"/>
    <x:sheet xmlns:r="http://schemas.openxmlformats.org/officeDocument/2006/relationships" name="첨부파일" sheetId="6" r:id="R871e9fa647094c4d"/>
    <x:sheet xmlns:r="http://schemas.openxmlformats.org/officeDocument/2006/relationships" name="파일 인덱스" sheetId="7" r:id="R1c1fb9ffcf294b54"/>
    <x:sheet xmlns:r="http://schemas.openxmlformats.org/officeDocument/2006/relationships" name="조사 체크리스트" sheetId="8" r:id="Rdc41e3bc847c467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quot;$&quot;#,##0"/>
    <x:numFmt numFmtId="202" formatCode="#,##0.0"/>
    <x:numFmt numFmtId="203" formatCode="0.0%"/>
    <x:numFmt numFmtId="204" formatCode="&quot;$&quot;#,##0.0"/>
  </x:numFmts>
  <x:fonts count="9">
    <x:font>
      <x:sz val="11"/>
      <x:name val="Carlito"/>
    </x:font>
    <x:font>
      <x:b/>
      <x:sz val="18"/>
      <x:color rgb="FFFFFFFF"/>
      <x:name val="Carlito"/>
    </x:font>
    <x:font>
      <x:sz val="11"/>
      <x:color rgb="FF1F2937"/>
      <x:name val="Carlito"/>
    </x:font>
    <x:font>
      <x:b/>
      <x:sz val="11"/>
      <x:color rgb="FFFFFFFF"/>
      <x:name val="Carlito"/>
    </x:font>
    <x:font>
      <x:b/>
      <x:sz val="14"/>
      <x:color rgb="FF17365D"/>
      <x:name val="Carlito"/>
    </x:font>
    <x:font>
      <x:b/>
      <x:sz val="11"/>
      <x:color rgb="FF17365D"/>
      <x:name val="Carlito"/>
    </x:font>
    <x:font>
      <x:b/>
      <x:sz val="14"/>
      <x:color rgb="FFFFFFFF"/>
      <x:name val="Carlito"/>
    </x:font>
    <x:font>
      <x:sz val="9"/>
      <x:color rgb="FF1F2937"/>
      <x:name val="Carlito"/>
    </x:font>
    <x:font>
      <x:b/>
      <x:sz val="9"/>
      <x:color rgb="FF17365D"/>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2F2F2"/>
      </x:patternFill>
    </x:fill>
    <x:fill>
      <x:patternFill patternType="solid">
        <x:fgColor rgb="FF0F6B78"/>
      </x:patternFill>
    </x:fill>
    <x:fill>
      <x:patternFill patternType="solid">
        <x:fgColor rgb="FFFFF2CC"/>
      </x:patternFill>
    </x:fill>
    <x:fill>
      <x:patternFill patternType="solid">
        <x:fgColor rgb="FFFCE4D6"/>
      </x:patternFill>
    </x:fill>
  </x:fills>
  <x:borders count="9">
    <x:border/>
    <x:border>
      <x:bottom style="thin">
        <x:color rgb="FFD9E2F3"/>
      </x:bottom>
    </x:border>
    <x:border>
      <x:top style="thin">
        <x:color rgb="FFD9E2F3"/>
      </x:top>
      <x:bottom style="thin">
        <x:color rgb="FFD9E2F3"/>
      </x:bottom>
    </x:border>
    <x:border>
      <x:top style="thin">
        <x:color rgb="FFD9E2F3"/>
      </x:top>
    </x:border>
    <x:border>
      <x:left style="thin">
        <x:color rgb="FFD9E2F3"/>
      </x:left>
      <x:top style="thin">
        <x:color rgb="FFD9E2F3"/>
      </x:top>
      <x:bottom style="thin">
        <x:color rgb="FFD9E2F3"/>
      </x:bottom>
    </x:border>
    <x:border>
      <x:right style="thin">
        <x:color rgb="FFD9E2F3"/>
      </x:right>
      <x:top style="thin">
        <x:color rgb="FFD9E2F3"/>
      </x:top>
      <x:bottom style="thin">
        <x:color rgb="FFD9E2F3"/>
      </x:bottom>
    </x:border>
    <x:border>
      <x:bottom style="thin">
        <x:color rgb="FFE8EDF3"/>
      </x:bottom>
    </x:border>
    <x:border>
      <x:top style="thin">
        <x:color rgb="FFE8EDF3"/>
      </x:top>
      <x:bottom style="thin">
        <x:color rgb="FFE8EDF3"/>
      </x:bottom>
    </x:border>
    <x:border>
      <x:top style="thin">
        <x:color rgb="FFE8EDF3"/>
      </x:top>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200" fontId="4" fillId="5" borderId="0" xfId="0" applyNumberFormat="1" applyFont="1" applyFill="1" applyBorder="1"/>
    <x:xf numFmtId="0" fontId="0" fillId="6" borderId="0" xfId="0" applyNumberFormat="1" applyFont="1" applyFill="1" applyBorder="1"/>
    <x:xf numFmtId="0" fontId="0" fillId="6"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201" fontId="0" fillId="0" borderId="0" xfId="0" applyNumberFormat="1" applyFont="1" applyFill="1" applyBorder="1"/>
    <x:xf numFmtId="0" fontId="3" fillId="7" borderId="1" xfId="0" applyNumberFormat="1" applyFont="1" applyFill="1" applyBorder="1"/>
    <x:xf numFmtId="0" fontId="0" fillId="0" borderId="2" xfId="0" applyNumberFormat="1" applyFont="1" applyFill="1" applyBorder="1"/>
    <x:xf numFmtId="201" fontId="0" fillId="0" borderId="2" xfId="0" applyNumberFormat="1" applyFont="1" applyFill="1" applyBorder="1"/>
    <x:xf numFmtId="0" fontId="0" fillId="0" borderId="3" xfId="0" applyNumberFormat="1" applyFont="1" applyFill="1" applyBorder="1"/>
    <x:xf numFmtId="201" fontId="0" fillId="0" borderId="3"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3" fillId="4" borderId="4" xfId="0" applyNumberFormat="1" applyFont="1" applyFill="1" applyBorder="1"/>
    <x:xf numFmtId="0" fontId="3" fillId="4" borderId="2"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7" fillId="0" borderId="0"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8" xfId="0" applyNumberFormat="1" applyFont="1" applyFill="1" applyBorder="1"/>
    <x:xf numFmtId="0" fontId="7" fillId="0" borderId="6" xfId="0" applyNumberFormat="1" applyFont="1" applyFill="1" applyBorder="1" applyAlignment="1">
      <x:alignment vertical="top"/>
    </x:xf>
    <x:xf numFmtId="0" fontId="7" fillId="0" borderId="7" xfId="0" applyNumberFormat="1" applyFont="1" applyFill="1" applyBorder="1" applyAlignment="1">
      <x:alignment vertical="top"/>
    </x:xf>
    <x:xf numFmtId="0" fontId="7" fillId="0" borderId="8" xfId="0" applyNumberFormat="1" applyFont="1" applyFill="1" applyBorder="1" applyAlignment="1">
      <x:alignment vertical="top"/>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8" xfId="0" applyNumberFormat="1" applyFont="1" applyFill="1" applyBorder="1" applyAlignment="1">
      <x:alignment vertical="top" wrapText="1"/>
    </x:xf>
    <x:xf numFmtId="202" fontId="7" fillId="0" borderId="6" xfId="0" applyNumberFormat="1" applyFont="1" applyFill="1" applyBorder="1" applyAlignment="1">
      <x:alignment vertical="top"/>
    </x:xf>
    <x:xf numFmtId="202" fontId="7" fillId="0" borderId="7" xfId="0" applyNumberFormat="1" applyFont="1" applyFill="1" applyBorder="1" applyAlignment="1">
      <x:alignment vertical="top"/>
    </x:xf>
    <x:xf numFmtId="202" fontId="7" fillId="0" borderId="8" xfId="0" applyNumberFormat="1" applyFont="1" applyFill="1" applyBorder="1" applyAlignment="1">
      <x:alignment vertical="top"/>
    </x:xf>
    <x:xf numFmtId="201" fontId="7" fillId="0" borderId="6" xfId="0" applyNumberFormat="1" applyFont="1" applyFill="1" applyBorder="1" applyAlignment="1">
      <x:alignment vertical="top"/>
    </x:xf>
    <x:xf numFmtId="201" fontId="7" fillId="0" borderId="7" xfId="0" applyNumberFormat="1" applyFont="1" applyFill="1" applyBorder="1" applyAlignment="1">
      <x:alignment vertical="top"/>
    </x:xf>
    <x:xf numFmtId="201" fontId="7" fillId="0" borderId="8" xfId="0" applyNumberFormat="1" applyFont="1" applyFill="1" applyBorder="1" applyAlignment="1">
      <x:alignment vertical="top"/>
    </x:xf>
    <x:xf numFmtId="203" fontId="7" fillId="0" borderId="6" xfId="0" applyNumberFormat="1" applyFont="1" applyFill="1" applyBorder="1" applyAlignment="1">
      <x:alignment vertical="top"/>
    </x:xf>
    <x:xf numFmtId="203" fontId="7" fillId="0" borderId="7" xfId="0" applyNumberFormat="1" applyFont="1" applyFill="1" applyBorder="1" applyAlignment="1">
      <x:alignment vertical="top"/>
    </x:xf>
    <x:xf numFmtId="203" fontId="7" fillId="0" borderId="8" xfId="0" applyNumberFormat="1" applyFont="1" applyFill="1" applyBorder="1" applyAlignment="1">
      <x:alignment vertical="top"/>
    </x:xf>
    <x:xf numFmtId="204" fontId="7" fillId="0" borderId="6" xfId="0" applyNumberFormat="1" applyFont="1" applyFill="1" applyBorder="1" applyAlignment="1">
      <x:alignment vertical="top"/>
    </x:xf>
    <x:xf numFmtId="204" fontId="7" fillId="0" borderId="7" xfId="0" applyNumberFormat="1" applyFont="1" applyFill="1" applyBorder="1" applyAlignment="1">
      <x:alignment vertical="top"/>
    </x:xf>
    <x:xf numFmtId="204" fontId="7" fillId="0" borderId="8" xfId="0" applyNumberFormat="1" applyFont="1" applyFill="1" applyBorder="1" applyAlignment="1">
      <x:alignment vertical="top"/>
    </x:xf>
    <x:xf numFmtId="200" fontId="7" fillId="0" borderId="6" xfId="0" applyNumberFormat="1" applyFont="1" applyFill="1" applyBorder="1" applyAlignment="1">
      <x:alignment vertical="top"/>
    </x:xf>
    <x:xf numFmtId="200" fontId="7" fillId="0" borderId="7" xfId="0" applyNumberFormat="1" applyFont="1" applyFill="1" applyBorder="1" applyAlignment="1">
      <x:alignment vertical="top"/>
    </x:xf>
    <x:xf numFmtId="200" fontId="7" fillId="0" borderId="8" xfId="0" applyNumberFormat="1" applyFont="1" applyFill="1" applyBorder="1" applyAlignment="1">
      <x:alignment vertical="top"/>
    </x:xf>
    <x:xf numFmtId="0" fontId="7" fillId="3" borderId="6" xfId="0" applyNumberFormat="1" applyFont="1" applyFill="1" applyBorder="1" applyAlignment="1">
      <x:alignment vertical="top" wrapText="1"/>
    </x:xf>
    <x:xf numFmtId="0" fontId="7" fillId="3" borderId="7" xfId="0" applyNumberFormat="1" applyFont="1" applyFill="1" applyBorder="1" applyAlignment="1">
      <x:alignment vertical="top" wrapText="1"/>
    </x:xf>
    <x:xf numFmtId="0" fontId="7" fillId="3" borderId="8" xfId="0" applyNumberFormat="1" applyFont="1" applyFill="1" applyBorder="1" applyAlignment="1">
      <x:alignment vertical="top" wrapText="1"/>
    </x:xf>
    <x:xf numFmtId="0" fontId="8" fillId="3" borderId="6" xfId="0" applyNumberFormat="1" applyFont="1" applyFill="1" applyBorder="1" applyAlignment="1">
      <x:alignment vertical="top" wrapText="1"/>
    </x:xf>
    <x:xf numFmtId="0" fontId="8" fillId="3" borderId="7" xfId="0" applyNumberFormat="1" applyFont="1" applyFill="1" applyBorder="1" applyAlignment="1">
      <x:alignment vertical="top" wrapText="1"/>
    </x:xf>
    <x:xf numFmtId="0" fontId="8" fillId="3" borderId="8" xfId="0" applyNumberFormat="1" applyFont="1" applyFill="1" applyBorder="1" applyAlignment="1">
      <x:alignment vertical="top" wrapText="1"/>
    </x:xf>
  </x:cellXfs>
  <x:cellStyles count="1">
    <x:cellStyle name="Normal" xfId="0"/>
  </x:cellStyles>
  <x:dxfs count="2">
    <x:dxf>
      <x:font>
        <x:color rgb="FF9C6500"/>
      </x:font>
      <x:fill>
        <x:patternFill patternType="solid">
          <x:bgColor rgb="FFFFF2CC"/>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f5e9c2377a4631" /><Relationship Type="http://schemas.openxmlformats.org/officeDocument/2006/relationships/theme" Target="/xl/theme/theme1.xml" Id="R931a8a2586e147e8" /><Relationship Type="http://schemas.openxmlformats.org/officeDocument/2006/relationships/sharedStrings" Target="/xl/sharedStrings.xml" Id="R0c63a0d0692f4aba" /><Relationship Type="http://schemas.openxmlformats.org/officeDocument/2006/relationships/worksheet" Target="/xl/worksheets/sheet1.xml" Id="Rc691d2efcf0245e9" /><Relationship Type="http://schemas.openxmlformats.org/officeDocument/2006/relationships/worksheet" Target="/xl/worksheets/sheet2.xml" Id="R3b9e518d10bd4c72" /><Relationship Type="http://schemas.openxmlformats.org/officeDocument/2006/relationships/worksheet" Target="/xl/worksheets/sheet3.xml" Id="Ra62ae42d5d1f484f" /><Relationship Type="http://schemas.openxmlformats.org/officeDocument/2006/relationships/worksheet" Target="/xl/worksheets/sheet4.xml" Id="R178d859a7e08474e" /><Relationship Type="http://schemas.openxmlformats.org/officeDocument/2006/relationships/worksheet" Target="/xl/worksheets/sheet5.xml" Id="R8ff7c26737f947c6" /><Relationship Type="http://schemas.openxmlformats.org/officeDocument/2006/relationships/worksheet" Target="/xl/worksheets/sheet6.xml" Id="R871e9fa647094c4d" /><Relationship Type="http://schemas.openxmlformats.org/officeDocument/2006/relationships/worksheet" Target="/xl/worksheets/sheet7.xml" Id="R1c1fb9ffcf294b54" /><Relationship Type="http://schemas.openxmlformats.org/officeDocument/2006/relationships/worksheet" Target="/xl/worksheets/sheet8.xml" Id="Rdc41e3bc847c4678" /><Relationship Type="http://schemas.microsoft.com/office/2017/10/relationships/person" Target="/xl/persons/person.xml" Id="Re0ee86b84e35430a" /></Relationships>
</file>

<file path=xl/persons/person.xml><?xml version="1.0" encoding="utf-8"?>
<xltc:personList xmlns:xltc="http://schemas.microsoft.com/office/spreadsheetml/2018/threadedcomments">
  <xltc:person displayName="User" id="{49C1F11D-4AA2-49E0-A19D-6016919F75C8}"/>
</xltc:personList>
</file>

<file path=xl/tables/table1.xml><?xml version="1.0" encoding="utf-8"?>
<x:table xmlns:x="http://schemas.openxmlformats.org/spreadsheetml/2006/main" id="1" name="UnitCostBenchmarks" displayName="UnitCostBenchmarks" ref="A2:U50" headerRowCount="1" totalsRowCount="0" totalsRowShown="0">
  <x:tableColumns count="21">
    <x:tableColumn id="1" name="공고번호"/>
    <x:tableColumn id="2" name="사업번호"/>
    <x:tableColumn id="3" name="연도"/>
    <x:tableColumn id="4" name="국가"/>
    <x:tableColumn id="5" name="지역"/>
    <x:tableColumn id="6" name="시설유형"/>
    <x:tableColumn id="7" name="사업유형"/>
    <x:tableColumn id="8" name="근거등급"/>
    <x:tableColumn id="9" name="요약포함"/>
    <x:tableColumn id="10" name="연면적(㎡)"/>
    <x:tableColumn id="11" name="공사비(USD)"/>
    <x:tableColumn id="12" name="직접제시 단가(USD/㎡)"/>
    <x:tableColumn id="13" name="적용 단가(USD/㎡)"/>
    <x:tableColumn id="14" name="면적기준"/>
    <x:tableColumn id="15" name="비용단계"/>
    <x:tableColumn id="16" name="비용범위·주의"/>
    <x:tableColumn id="17" name="세금"/>
    <x:tableColumn id="18" name="면적근거파일"/>
    <x:tableColumn id="19" name="근거위치"/>
    <x:tableColumn id="20" name="비용근거URL"/>
    <x:tableColumn id="21" name="근거요약"/>
  </x:tableColumns>
  <x:tableStyleInfo name="TableStyleMedium2" showFirstColumn="0" showLastColumn="0" showRowStripes="1" showColumnStripes="0"/>
</x:table>
</file>

<file path=xl/tables/table2.xml><?xml version="1.0" encoding="utf-8"?>
<x:table xmlns:x="http://schemas.openxmlformats.org/spreadsheetml/2006/main" id="2" name="FeeBenchmarks" displayName="FeeBenchmarks" ref="A2:Q9" headerRowCount="1" totalsRowCount="0" totalsRowShown="0">
  <x:tableColumns count="17">
    <x:tableColumn id="1" name="공고번호"/>
    <x:tableColumn id="2" name="국가"/>
    <x:tableColumn id="3" name="시설유형"/>
    <x:tableColumn id="4" name="연면적(㎡)"/>
    <x:tableColumn id="5" name="공사비(USD)"/>
    <x:tableColumn id="6" name="설계비(USD)"/>
    <x:tableColumn id="7" name="감리비(USD)"/>
    <x:tableColumn id="8" name="합계 용역비(USD)"/>
    <x:tableColumn id="9" name="설계비율"/>
    <x:tableColumn id="10" name="감리비율"/>
    <x:tableColumn id="11" name="합계비율"/>
    <x:tableColumn id="12" name="설계비 USD/㎡"/>
    <x:tableColumn id="13" name="감리비 USD/㎡"/>
    <x:tableColumn id="14" name="세금"/>
    <x:tableColumn id="15" name="근거파일"/>
    <x:tableColumn id="16" name="근거위치"/>
    <x:tableColumn id="17" name="근거요약"/>
  </x:tableColumns>
  <x:tableStyleInfo name="TableStyleMedium2" showFirstColumn="0" showLastColumn="0" showRowStripes="1" showColumnStripes="0"/>
</x:table>
</file>

<file path=xl/tables/table3.xml><?xml version="1.0" encoding="utf-8"?>
<x:table xmlns:x="http://schemas.openxmlformats.org/spreadsheetml/2006/main" id="3" name="ProjectBids" displayName="ProjectBids" ref="A2:Q242" headerRowCount="1" totalsRowCount="0" totalsRowShown="0">
  <x:tableColumns count="17">
    <x:tableColumn id="1" name="공고번호"/>
    <x:tableColumn id="2" name="사업번호"/>
    <x:tableColumn id="3" name="국가(한글)"/>
    <x:tableColumn id="4" name="국가(영문)"/>
    <x:tableColumn id="5" name="지역"/>
    <x:tableColumn id="6" name="사업명"/>
    <x:tableColumn id="7" name="입찰명(국문)"/>
    <x:tableColumn id="8" name="입찰명(영문)"/>
    <x:tableColumn id="9" name="시설유형"/>
    <x:tableColumn id="10" name="사업유형"/>
    <x:tableColumn id="11" name="계약구분"/>
    <x:tableColumn id="12" name="계약방법"/>
    <x:tableColumn id="13" name="낙찰자선정"/>
    <x:tableColumn id="14" name="집행한도(USD 원문)"/>
    <x:tableColumn id="15" name="집행한도(KRW 원문)"/>
    <x:tableColumn id="16" name="공고일"/>
    <x:tableColumn id="17" name="상세URL"/>
  </x:tableColumns>
  <x:tableStyleInfo name="TableStyleMedium2" showFirstColumn="0" showLastColumn="0" showRowStripes="1" showColumnStripes="0"/>
</x:table>
</file>

<file path=xl/tables/table4.xml><?xml version="1.0" encoding="utf-8"?>
<x:table xmlns:x="http://schemas.openxmlformats.org/spreadsheetml/2006/main" id="4" name="NumericEvidence" displayName="NumericEvidence" ref="A2:J2802" headerRowCount="1" totalsRowCount="0" totalsRowShown="0">
  <x:tableColumns count="10">
    <x:tableColumn id="1" name="공고번호"/>
    <x:tableColumn id="2" name="분류"/>
    <x:tableColumn id="3" name="매칭키워드"/>
    <x:tableColumn id="4" name="면적표현"/>
    <x:tableColumn id="5" name="금액표현"/>
    <x:tableColumn id="6" name="비율표현"/>
    <x:tableColumn id="7" name="근거파일"/>
    <x:tableColumn id="8" name="근거위치"/>
    <x:tableColumn id="9" name="근거문장"/>
    <x:tableColumn id="10" name="검토상태"/>
  </x:tableColumns>
  <x:tableStyleInfo name="TableStyleMedium2" showFirstColumn="0" showLastColumn="0" showRowStripes="1" showColumnStripes="0"/>
</x:table>
</file>

<file path=xl/tables/table5.xml><?xml version="1.0" encoding="utf-8"?>
<x:table xmlns:x="http://schemas.openxmlformats.org/spreadsheetml/2006/main" id="5" name="Attachments" displayName="Attachments" ref="A2:H709" headerRowCount="1" totalsRowCount="0" totalsRowShown="0">
  <x:tableColumns count="8">
    <x:tableColumn id="1" name="공고번호"/>
    <x:tableColumn id="2" name="파일명"/>
    <x:tableColumn id="3" name="확장자"/>
    <x:tableColumn id="4" name="크기(Byte)"/>
    <x:tableColumn id="5" name="상태"/>
    <x:tableColumn id="6" name="SHA-256"/>
    <x:tableColumn id="7" name="로컬경로"/>
    <x:tableColumn id="8" name="등록일시"/>
  </x:tableColumns>
  <x:tableStyleInfo name="TableStyleMedium2" showFirstColumn="0" showLastColumn="0" showRowStripes="1" showColumnStripes="0"/>
</x:table>
</file>

<file path=xl/tables/table6.xml><?xml version="1.0" encoding="utf-8"?>
<x:table xmlns:x="http://schemas.openxmlformats.org/spreadsheetml/2006/main" id="6" name="AnalysisFiles" displayName="AnalysisFiles" ref="A2:F2030" headerRowCount="1" totalsRowCount="0" totalsRowShown="0">
  <x:tableColumns count="6">
    <x:tableColumn id="1" name="공고번호"/>
    <x:tableColumn id="2" name="분석파일"/>
    <x:tableColumn id="3" name="확장자"/>
    <x:tableColumn id="4" name="크기(Byte)"/>
    <x:tableColumn id="5" name="텍스트 청크"/>
    <x:tableColumn id="6" name="근거수"/>
  </x:tableColumns>
  <x:tableStyleInfo name="TableStyleMedium2" showFirstColumn="0" showLastColumn="0" showRowStripes="1" showColumnStripes="0"/>
</x:table>
</file>

<file path=xl/tables/table7.xml><?xml version="1.0" encoding="utf-8"?>
<x:table xmlns:x="http://schemas.openxmlformats.org/spreadsheetml/2006/main" id="7" name="SurveyChecklist" displayName="SurveyChecklist" ref="A2:C12" headerRowCount="1" totalsRowCount="0" totalsRowShown="0">
  <x:tableColumns count="3">
    <x:tableColumn id="1" name="조사항목"/>
    <x:tableColumn id="2" name="확인내용"/>
    <x:tableColumn id="3" name="활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4a19b1f512f4acc" /></Relationships>
</file>

<file path=xl/worksheets/_rels/sheet3.xml.rels>&#65279;<?xml version="1.0" encoding="utf-8"?><Relationships xmlns="http://schemas.openxmlformats.org/package/2006/relationships"><Relationship Type="http://schemas.openxmlformats.org/officeDocument/2006/relationships/table" Target="/xl/tables/table2.xml" Id="R2906a2eb60704e23" /></Relationships>
</file>

<file path=xl/worksheets/_rels/sheet4.xml.rels>&#65279;<?xml version="1.0" encoding="utf-8"?><Relationships xmlns="http://schemas.openxmlformats.org/package/2006/relationships"><Relationship Type="http://schemas.openxmlformats.org/officeDocument/2006/relationships/table" Target="/xl/tables/table3.xml" Id="Rfcb0e9f76f024913" /></Relationships>
</file>

<file path=xl/worksheets/_rels/sheet5.xml.rels>&#65279;<?xml version="1.0" encoding="utf-8"?><Relationships xmlns="http://schemas.openxmlformats.org/package/2006/relationships"><Relationship Type="http://schemas.openxmlformats.org/officeDocument/2006/relationships/table" Target="/xl/tables/table4.xml" Id="R5e2963183a8a4f86" /></Relationships>
</file>

<file path=xl/worksheets/_rels/sheet6.xml.rels>&#65279;<?xml version="1.0" encoding="utf-8"?><Relationships xmlns="http://schemas.openxmlformats.org/package/2006/relationships"><Relationship Type="http://schemas.openxmlformats.org/officeDocument/2006/relationships/table" Target="/xl/tables/table5.xml" Id="R76c63223df784977" /></Relationships>
</file>

<file path=xl/worksheets/_rels/sheet7.xml.rels>&#65279;<?xml version="1.0" encoding="utf-8"?><Relationships xmlns="http://schemas.openxmlformats.org/package/2006/relationships"><Relationship Type="http://schemas.openxmlformats.org/officeDocument/2006/relationships/table" Target="/xl/tables/table6.xml" Id="Rcc12b8bc960c4219" /></Relationships>
</file>

<file path=xl/worksheets/_rels/sheet8.xml.rels>&#65279;<?xml version="1.0" encoding="utf-8"?><Relationships xmlns="http://schemas.openxmlformats.org/package/2006/relationships"><Relationship Type="http://schemas.openxmlformats.org/officeDocument/2006/relationships/table" Target="/xl/tables/table7.xml" Id="R3f003e8ab23e471f"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36" hidden="0" customWidth="1"/>
    <x:col min="4" max="4" width="16" hidden="0" customWidth="1"/>
    <x:col min="5" max="5" width="18" hidden="0" customWidth="1"/>
    <x:col min="6" max="6" width="16" hidden="0" customWidth="1"/>
    <x:col min="7" max="7" width="16" hidden="0" customWidth="1"/>
    <x:col min="8" max="8" width="18" hidden="0" customWidth="1"/>
  </x:cols>
  <x:sheetData>
    <x:row r="1" ht="34" customHeight="1">
      <x:c r="A1" s="3" t="str">
        <x:v>KOICA 과거 건축사업 조사 참고 데이터 (2021–2025 공고)</x:v>
      </x:c>
    </x:row>
    <x:row r="3" ht="36" customHeight="1">
      <x:c r="A3" s="6" t="str">
        <x:v>공개 현지입찰 436건을 기준으로 건축 후보 240건과 첨부 707개를 수집·검증하고, 문서 내 수치 근거를 보수적으로 구조화한 연구용 자료입니다.</x:v>
      </x:c>
    </x:row>
    <x:row r="5">
      <x:c r="A5" s="8" t="str">
        <x:v>전체 공고</x:v>
      </x:c>
      <x:c r="B5" s="11" t="n">
        <x:v>436</x:v>
      </x:c>
      <x:c r="C5" s="13" t="str">
        <x:v>검색기간 2021-01-01~2025-12-31</x:v>
      </x:c>
      <x:c r="E5" s="17" t="str">
        <x:v>국가</x:v>
      </x:c>
      <x:c r="F5" s="17" t="str">
        <x:v>사례수</x:v>
      </x:c>
      <x:c r="G5" s="17" t="str">
        <x:v>평균 USD/㎡</x:v>
      </x:c>
      <x:c r="H5" s="17" t="str">
        <x:v>범위 USD/㎡</x:v>
      </x:c>
    </x:row>
    <x:row r="6">
      <x:c r="A6" s="8" t="str">
        <x:v>건축 후보</x:v>
      </x:c>
      <x:c r="B6" s="11" t="n">
        <x:v>240</x:v>
      </x:c>
      <x:c r="C6" s="13" t="str">
        <x:v>제목·계약유형 키워드 기반</x:v>
      </x:c>
      <x:c r="E6" s="18" t="str">
        <x:v>Bangladesh</x:v>
      </x:c>
      <x:c r="F6" s="18" t="n">
        <x:f>COUNTIFS('단가 벤치마크'!$D$3:$D$50,E6,'단가 벤치마크'!$I$3:$I$50,"예")</x:f>
        <x:v>1</x:v>
      </x:c>
      <x:c r="G6" s="19" t="n">
        <x:f>AVERAGEIFS('단가 벤치마크'!$M$3:$M$50,'단가 벤치마크'!$D$3:$D$50,E6,'단가 벤치마크'!$I$3:$I$50,"예")</x:f>
        <x:v>717.8669097538742</x:v>
      </x:c>
      <x:c r="H6" s="18" t="str">
        <x:v>718–718</x:v>
      </x:c>
    </x:row>
    <x:row r="7">
      <x:c r="A7" s="8" t="str">
        <x:v>원 첨부파일</x:v>
      </x:c>
      <x:c r="B7" s="11" t="n">
        <x:v>707</x:v>
      </x:c>
      <x:c r="C7" s="13" t="str">
        <x:v>크기·SHA-256 검증</x:v>
      </x:c>
      <x:c r="E7" s="18" t="str">
        <x:v>Bolivia</x:v>
      </x:c>
      <x:c r="F7" s="18" t="n">
        <x:f>COUNTIFS('단가 벤치마크'!$D$3:$D$50,E7,'단가 벤치마크'!$I$3:$I$50,"예")</x:f>
        <x:v>2</x:v>
      </x:c>
      <x:c r="G7" s="19" t="n">
        <x:f>AVERAGEIFS('단가 벤치마크'!$M$3:$M$50,'단가 벤치마크'!$D$3:$D$50,E7,'단가 벤치마크'!$I$3:$I$50,"예")</x:f>
        <x:v>1575.5804319536805</x:v>
      </x:c>
      <x:c r="H7" s="18" t="str">
        <x:v>1,135–2,017</x:v>
      </x:c>
    </x:row>
    <x:row r="8">
      <x:c r="A8" s="8" t="str">
        <x:v>분석 파일</x:v>
      </x:c>
      <x:c r="B8" s="11" t="n">
        <x:v>2028</x:v>
      </x:c>
      <x:c r="C8" s="13" t="str">
        <x:v>ZIP 내부 문서 포함(숨김·임시파일 제외)</x:v>
      </x:c>
      <x:c r="E8" s="18" t="str">
        <x:v>Cambodia</x:v>
      </x:c>
      <x:c r="F8" s="18" t="n">
        <x:f>COUNTIFS('단가 벤치마크'!$D$3:$D$50,E8,'단가 벤치마크'!$I$3:$I$50,"예")</x:f>
        <x:v>4</x:v>
      </x:c>
      <x:c r="G8" s="19" t="n">
        <x:f>AVERAGEIFS('단가 벤치마크'!$M$3:$M$50,'단가 벤치마크'!$D$3:$D$50,E8,'단가 벤치마크'!$I$3:$I$50,"예")</x:f>
        <x:v>1248.8827857530973</x:v>
      </x:c>
      <x:c r="H8" s="18" t="str">
        <x:v>772–1,784</x:v>
      </x:c>
    </x:row>
    <x:row r="9">
      <x:c r="A9" s="8" t="str">
        <x:v>수치 근거</x:v>
      </x:c>
      <x:c r="B9" s="11" t="n">
        <x:v>2800</x:v>
      </x:c>
      <x:c r="C9" s="13" t="str">
        <x:v>파일·페이지/문단/시트 위치 포함</x:v>
      </x:c>
      <x:c r="E9" s="18" t="str">
        <x:v>Côte d’Ivoire</x:v>
      </x:c>
      <x:c r="F9" s="18" t="n">
        <x:f>COUNTIFS('단가 벤치마크'!$D$3:$D$50,E9,'단가 벤치마크'!$I$3:$I$50,"예")</x:f>
        <x:v>1</x:v>
      </x:c>
      <x:c r="G9" s="19" t="n">
        <x:f>AVERAGEIFS('단가 벤치마크'!$M$3:$M$50,'단가 벤치마크'!$D$3:$D$50,E9,'단가 벤치마크'!$I$3:$I$50,"예")</x:f>
        <x:v>1308.8573333333334</x:v>
      </x:c>
      <x:c r="H9" s="18" t="str">
        <x:v>1,309–1,309</x:v>
      </x:c>
    </x:row>
    <x:row r="10">
      <x:c r="A10" s="8" t="str">
        <x:v>선별 단가</x:v>
      </x:c>
      <x:c r="B10" s="11" t="n">
        <x:v>48</x:v>
      </x:c>
      <x:c r="C10" s="13" t="str">
        <x:v>A/B/C 근거등급을 부여한 확장 사례</x:v>
      </x:c>
      <x:c r="E10" s="18" t="str">
        <x:v>Dominican Republic</x:v>
      </x:c>
      <x:c r="F10" s="18" t="n">
        <x:f>COUNTIFS('단가 벤치마크'!$D$3:$D$50,E10,'단가 벤치마크'!$I$3:$I$50,"예")</x:f>
        <x:v>2</x:v>
      </x:c>
      <x:c r="G10" s="19" t="n">
        <x:f>AVERAGEIFS('단가 벤치마크'!$M$3:$M$50,'단가 벤치마크'!$D$3:$D$50,E10,'단가 벤치마크'!$I$3:$I$50,"예")</x:f>
        <x:v>1512.1508662952797</x:v>
      </x:c>
      <x:c r="H10" s="18" t="str">
        <x:v>1,268–1,756</x:v>
      </x:c>
    </x:row>
    <x:row r="11">
      <x:c r="E11" s="18" t="str">
        <x:v>Ecuador</x:v>
      </x:c>
      <x:c r="F11" s="18" t="n">
        <x:f>COUNTIFS('단가 벤치마크'!$D$3:$D$50,E11,'단가 벤치마크'!$I$3:$I$50,"예")</x:f>
        <x:v>1</x:v>
      </x:c>
      <x:c r="G11" s="19" t="n">
        <x:f>AVERAGEIFS('단가 벤치마크'!$M$3:$M$50,'단가 벤치마크'!$D$3:$D$50,E11,'단가 벤치마크'!$I$3:$I$50,"예")</x:f>
        <x:v>861.2903225806451</x:v>
      </x:c>
      <x:c r="H11" s="18" t="str">
        <x:v>861–861</x:v>
      </x:c>
    </x:row>
    <x:row r="12">
      <x:c r="E12" s="18" t="str">
        <x:v>El Salvador</x:v>
      </x:c>
      <x:c r="F12" s="18" t="n">
        <x:f>COUNTIFS('단가 벤치마크'!$D$3:$D$50,E12,'단가 벤치마크'!$I$3:$I$50,"예")</x:f>
        <x:v>2</x:v>
      </x:c>
      <x:c r="G12" s="19" t="n">
        <x:f>AVERAGEIFS('단가 벤치마크'!$M$3:$M$50,'단가 벤치마크'!$D$3:$D$50,E12,'단가 벤치마크'!$I$3:$I$50,"예")</x:f>
        <x:v>1261.7303259130572</x:v>
      </x:c>
      <x:c r="H12" s="18" t="str">
        <x:v>1,224–1,299</x:v>
      </x:c>
    </x:row>
    <x:row r="13">
      <x:c r="E13" s="18" t="str">
        <x:v>Fiji</x:v>
      </x:c>
      <x:c r="F13" s="18" t="n">
        <x:f>COUNTIFS('단가 벤치마크'!$D$3:$D$50,E13,'단가 벤치마크'!$I$3:$I$50,"예")</x:f>
        <x:v>2</x:v>
      </x:c>
      <x:c r="G13" s="19" t="n">
        <x:f>AVERAGEIFS('단가 벤치마크'!$M$3:$M$50,'단가 벤치마크'!$D$3:$D$50,E13,'단가 벤치마크'!$I$3:$I$50,"예")</x:f>
        <x:v>2394.6191955004665</x:v>
      </x:c>
      <x:c r="H13" s="18" t="str">
        <x:v>2,270–2,519</x:v>
      </x:c>
    </x:row>
    <x:row r="14">
      <x:c r="E14" s="18" t="str">
        <x:v>Ghana</x:v>
      </x:c>
      <x:c r="F14" s="18" t="n">
        <x:f>COUNTIFS('단가 벤치마크'!$D$3:$D$50,E14,'단가 벤치마크'!$I$3:$I$50,"예")</x:f>
        <x:v>1</x:v>
      </x:c>
      <x:c r="G14" s="19" t="n">
        <x:f>AVERAGEIFS('단가 벤치마크'!$M$3:$M$50,'단가 벤치마크'!$D$3:$D$50,E14,'단가 벤치마크'!$I$3:$I$50,"예")</x:f>
        <x:v>1614.3240846980284</x:v>
      </x:c>
      <x:c r="H14" s="18" t="str">
        <x:v>1,614–1,614</x:v>
      </x:c>
    </x:row>
    <x:row r="15">
      <x:c r="E15" s="18" t="str">
        <x:v>Indonesia</x:v>
      </x:c>
      <x:c r="F15" s="18" t="n">
        <x:f>COUNTIFS('단가 벤치마크'!$D$3:$D$50,E15,'단가 벤치마크'!$I$3:$I$50,"예")</x:f>
        <x:v>1</x:v>
      </x:c>
      <x:c r="G15" s="19" t="n">
        <x:f>AVERAGEIFS('단가 벤치마크'!$M$3:$M$50,'단가 벤치마크'!$D$3:$D$50,E15,'단가 벤치마크'!$I$3:$I$50,"예")</x:f>
        <x:v>960.7207236534243</x:v>
      </x:c>
      <x:c r="H15" s="18" t="str">
        <x:v>961–961</x:v>
      </x:c>
    </x:row>
    <x:row r="16">
      <x:c r="E16" s="18" t="str">
        <x:v>Iraq</x:v>
      </x:c>
      <x:c r="F16" s="18" t="n">
        <x:f>COUNTIFS('단가 벤치마크'!$D$3:$D$50,E16,'단가 벤치마크'!$I$3:$I$50,"예")</x:f>
        <x:v>1</x:v>
      </x:c>
      <x:c r="G16" s="19" t="n">
        <x:f>AVERAGEIFS('단가 벤치마크'!$M$3:$M$50,'단가 벤치마크'!$D$3:$D$50,E16,'단가 벤치마크'!$I$3:$I$50,"예")</x:f>
        <x:v>2423.0461173897193</x:v>
      </x:c>
      <x:c r="H16" s="18" t="str">
        <x:v>2,423–2,423</x:v>
      </x:c>
    </x:row>
    <x:row r="17">
      <x:c r="E17" s="18" t="str">
        <x:v>Kenya</x:v>
      </x:c>
      <x:c r="F17" s="18" t="n">
        <x:f>COUNTIFS('단가 벤치마크'!$D$3:$D$50,E17,'단가 벤치마크'!$I$3:$I$50,"예")</x:f>
        <x:v>1</x:v>
      </x:c>
      <x:c r="G17" s="19" t="n">
        <x:f>AVERAGEIFS('단가 벤치마크'!$M$3:$M$50,'단가 벤치마크'!$D$3:$D$50,E17,'단가 벤치마크'!$I$3:$I$50,"예")</x:f>
        <x:v>1372.573714624389</x:v>
      </x:c>
      <x:c r="H17" s="18" t="str">
        <x:v>1,373–1,373</x:v>
      </x:c>
    </x:row>
    <x:row r="18">
      <x:c r="E18" s="18" t="str">
        <x:v>Kyrgyzstan</x:v>
      </x:c>
      <x:c r="F18" s="18" t="n">
        <x:f>COUNTIFS('단가 벤치마크'!$D$3:$D$50,E18,'단가 벤치마크'!$I$3:$I$50,"예")</x:f>
        <x:v>4</x:v>
      </x:c>
      <x:c r="G18" s="19" t="n">
        <x:f>AVERAGEIFS('단가 벤치마크'!$M$3:$M$50,'단가 벤치마크'!$D$3:$D$50,E18,'단가 벤치마크'!$I$3:$I$50,"예")</x:f>
        <x:v>957.6865066436424</x:v>
      </x:c>
      <x:c r="H18" s="18" t="str">
        <x:v>668–1,445</x:v>
      </x:c>
    </x:row>
    <x:row r="19">
      <x:c r="E19" s="18" t="str">
        <x:v>Laos</x:v>
      </x:c>
      <x:c r="F19" s="18" t="n">
        <x:f>COUNTIFS('단가 벤치마크'!$D$3:$D$50,E19,'단가 벤치마크'!$I$3:$I$50,"예")</x:f>
        <x:v>1</x:v>
      </x:c>
      <x:c r="G19" s="19" t="n">
        <x:f>AVERAGEIFS('단가 벤치마크'!$M$3:$M$50,'단가 벤치마크'!$D$3:$D$50,E19,'단가 벤치마크'!$I$3:$I$50,"예")</x:f>
        <x:v>891.4771428571429</x:v>
      </x:c>
      <x:c r="H19" s="18" t="str">
        <x:v>891–891</x:v>
      </x:c>
    </x:row>
    <x:row r="20">
      <x:c r="E20" s="18" t="str">
        <x:v>Nepal</x:v>
      </x:c>
      <x:c r="F20" s="18" t="n">
        <x:f>COUNTIFS('단가 벤치마크'!$D$3:$D$50,E20,'단가 벤치마크'!$I$3:$I$50,"예")</x:f>
        <x:v>4</x:v>
      </x:c>
      <x:c r="G20" s="19" t="n">
        <x:f>AVERAGEIFS('단가 벤치마크'!$M$3:$M$50,'단가 벤치마크'!$D$3:$D$50,E20,'단가 벤치마크'!$I$3:$I$50,"예")</x:f>
        <x:v>747.5133491846788</x:v>
      </x:c>
      <x:c r="H20" s="18" t="str">
        <x:v>664–830</x:v>
      </x:c>
    </x:row>
    <x:row r="21">
      <x:c r="E21" s="18" t="str">
        <x:v>Pakistan</x:v>
      </x:c>
      <x:c r="F21" s="18" t="n">
        <x:f>COUNTIFS('단가 벤치마크'!$D$3:$D$50,E21,'단가 벤치마크'!$I$3:$I$50,"예")</x:f>
        <x:v>2</x:v>
      </x:c>
      <x:c r="G21" s="19" t="n">
        <x:f>AVERAGEIFS('단가 벤치마크'!$M$3:$M$50,'단가 벤치마크'!$D$3:$D$50,E21,'단가 벤치마크'!$I$3:$I$50,"예")</x:f>
        <x:v>887.4391092948899</x:v>
      </x:c>
      <x:c r="H21" s="18" t="str">
        <x:v>783–992</x:v>
      </x:c>
    </x:row>
    <x:row r="22">
      <x:c r="E22" s="18" t="str">
        <x:v>Paraguay</x:v>
      </x:c>
      <x:c r="F22" s="18" t="n">
        <x:f>COUNTIFS('단가 벤치마크'!$D$3:$D$50,E22,'단가 벤치마크'!$I$3:$I$50,"예")</x:f>
        <x:v>3</x:v>
      </x:c>
      <x:c r="G22" s="19" t="n">
        <x:f>AVERAGEIFS('단가 벤치마크'!$M$3:$M$50,'단가 벤치마크'!$D$3:$D$50,E22,'단가 벤치마크'!$I$3:$I$50,"예")</x:f>
        <x:v>962.1442130228382</x:v>
      </x:c>
      <x:c r="H22" s="18" t="str">
        <x:v>843–1,100</x:v>
      </x:c>
    </x:row>
    <x:row r="23">
      <x:c r="E23" s="18" t="str">
        <x:v>Senegal</x:v>
      </x:c>
      <x:c r="F23" s="18" t="n">
        <x:f>COUNTIFS('단가 벤치마크'!$D$3:$D$50,E23,'단가 벤치마크'!$I$3:$I$50,"예")</x:f>
        <x:v>1</x:v>
      </x:c>
      <x:c r="G23" s="19" t="n">
        <x:f>AVERAGEIFS('단가 벤치마크'!$M$3:$M$50,'단가 벤치마크'!$D$3:$D$50,E23,'단가 벤치마크'!$I$3:$I$50,"예")</x:f>
        <x:v>655.6291390728477</x:v>
      </x:c>
      <x:c r="H23" s="18" t="str">
        <x:v>656–656</x:v>
      </x:c>
    </x:row>
    <x:row r="24">
      <x:c r="E24" s="18" t="str">
        <x:v>Uganda</x:v>
      </x:c>
      <x:c r="F24" s="18" t="n">
        <x:f>COUNTIFS('단가 벤치마크'!$D$3:$D$50,E24,'단가 벤치마크'!$I$3:$I$50,"예")</x:f>
        <x:v>3</x:v>
      </x:c>
      <x:c r="G24" s="19" t="n">
        <x:f>AVERAGEIFS('단가 벤치마크'!$M$3:$M$50,'단가 벤치마크'!$D$3:$D$50,E24,'단가 벤치마크'!$I$3:$I$50,"예")</x:f>
        <x:v>794.7041586259182</x:v>
      </x:c>
      <x:c r="H24" s="18" t="str">
        <x:v>329–1,085</x:v>
      </x:c>
    </x:row>
    <x:row r="25">
      <x:c r="E25" s="20" t="str">
        <x:v>Uzbekistan</x:v>
      </x:c>
      <x:c r="F25" s="20" t="n">
        <x:f>COUNTIFS('단가 벤치마크'!$D$3:$D$50,E25,'단가 벤치마크'!$I$3:$I$50,"예")</x:f>
        <x:v>1</x:v>
      </x:c>
      <x:c r="G25" s="21" t="n">
        <x:f>AVERAGEIFS('단가 벤치마크'!$M$3:$M$50,'단가 벤치마크'!$D$3:$D$50,E25,'단가 벤치마크'!$I$3:$I$50,"예")</x:f>
        <x:v>770.0094786729858</x:v>
      </x:c>
      <x:c r="H25" s="20" t="str">
        <x:v>770–770</x:v>
      </x:c>
    </x:row>
    <x:row r="27">
      <x:c r="A27" s="23" t="str">
        <x:v>해석 주의</x:v>
      </x:c>
    </x:row>
    <x:row r="28" ht="70" customHeight="1">
      <x:c r="A28" s="26" t="str">
        <x:v>① 단가는 계약 실적이 아니라 공고 상세의 집행한도 또는 기획·설계 단계 추정액입니다. ② A는 동일 공고의 명시 연면적, B는 면적 합산·동일사업 문서 연결·특수시설, C는 개보수·토목 등 범위 차이가 큰 참고값입니다. ③ ‘요약포함=예’만 국가 통계에 반영했습니다. ④ VAT·관세·장비·외부공사 포함범위, 기준연도·환율·물가를 미래 조사에서 반드시 재보정하세요.</x:v>
      </x:c>
    </x:row>
  </x:sheetData>
  <x:mergeCells>
    <x:mergeCell ref="A1:H2"/>
    <x:mergeCell ref="A3:H3"/>
    <x:mergeCell ref="A27:H27"/>
    <x:mergeCell ref="A28:H3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14" hidden="0" customWidth="1"/>
    <x:col min="3" max="3" width="8" hidden="0" customWidth="1"/>
    <x:col min="4" max="4" width="15" hidden="0" customWidth="1"/>
    <x:col min="5" max="5" width="18" hidden="0" customWidth="1"/>
    <x:col min="6" max="6" width="26" hidden="0" customWidth="1"/>
    <x:col min="7" max="7" width="15" hidden="0" customWidth="1"/>
    <x:col min="8" max="8" width="10" hidden="0" customWidth="1"/>
    <x:col min="9" max="9" width="11" hidden="0" customWidth="1"/>
    <x:col min="10" max="10" width="13" hidden="0" customWidth="1"/>
    <x:col min="11" max="11" width="16" hidden="0" customWidth="1"/>
    <x:col min="12" max="12" width="17" hidden="0" customWidth="1"/>
    <x:col min="13" max="13" width="17" hidden="0" customWidth="1"/>
    <x:col min="14" max="14" width="24" hidden="0" customWidth="1"/>
    <x:col min="15" max="15" width="22" hidden="0" customWidth="1"/>
    <x:col min="16" max="16" width="34" hidden="0" customWidth="1"/>
    <x:col min="17" max="17" width="22" hidden="0" customWidth="1"/>
    <x:col min="18" max="18" width="48" hidden="0" customWidth="1"/>
    <x:col min="19" max="19" width="14" hidden="0" customWidth="1"/>
    <x:col min="20" max="20" width="46" hidden="0" customWidth="1"/>
    <x:col min="21" max="21" width="48" hidden="0" customWidth="1"/>
  </x:cols>
  <x:sheetData>
    <x:row r="1" ht="30" customHeight="1">
      <x:c r="A1" s="28" t="str">
        <x:v>검토 선별 건축 공사비 단가</x:v>
      </x:c>
    </x:row>
    <x:row r="2" ht="34" customHeight="1">
      <x:c r="A2" s="35" t="str">
        <x:v>공고번호</x:v>
      </x:c>
      <x:c r="B2" s="36" t="str">
        <x:v>사업번호</x:v>
      </x:c>
      <x:c r="C2" s="36" t="str">
        <x:v>연도</x:v>
      </x:c>
      <x:c r="D2" s="36" t="str">
        <x:v>국가</x:v>
      </x:c>
      <x:c r="E2" s="36" t="str">
        <x:v>지역</x:v>
      </x:c>
      <x:c r="F2" s="36" t="str">
        <x:v>시설유형</x:v>
      </x:c>
      <x:c r="G2" s="36" t="str">
        <x:v>사업유형</x:v>
      </x:c>
      <x:c r="H2" s="36" t="str">
        <x:v>근거등급</x:v>
      </x:c>
      <x:c r="I2" s="36" t="str">
        <x:v>요약포함</x:v>
      </x:c>
      <x:c r="J2" s="36" t="str">
        <x:v>연면적(㎡)</x:v>
      </x:c>
      <x:c r="K2" s="36" t="str">
        <x:v>공사비(USD)</x:v>
      </x:c>
      <x:c r="L2" s="36" t="str">
        <x:v>직접제시 단가(USD/㎡)</x:v>
      </x:c>
      <x:c r="M2" s="36" t="str">
        <x:v>적용 단가(USD/㎡)</x:v>
      </x:c>
      <x:c r="N2" s="36" t="str">
        <x:v>면적기준</x:v>
      </x:c>
      <x:c r="O2" s="36" t="str">
        <x:v>비용단계</x:v>
      </x:c>
      <x:c r="P2" s="36" t="str">
        <x:v>비용범위·주의</x:v>
      </x:c>
      <x:c r="Q2" s="36" t="str">
        <x:v>세금</x:v>
      </x:c>
      <x:c r="R2" s="36" t="str">
        <x:v>면적근거파일</x:v>
      </x:c>
      <x:c r="S2" s="36" t="str">
        <x:v>근거위치</x:v>
      </x:c>
      <x:c r="T2" s="36" t="str">
        <x:v>비용근거URL</x:v>
      </x:c>
      <x:c r="U2" s="37" t="str">
        <x:v>근거요약</x:v>
      </x:c>
    </x:row>
    <x:row r="3">
      <x:c r="A3" s="42" t="str">
        <x:v>L2025-00099-1</x:v>
      </x:c>
      <x:c r="B3" s="42" t="str">
        <x:v>2019-03655</x:v>
      </x:c>
      <x:c r="C3" s="42" t="n">
        <x:v>2025</x:v>
      </x:c>
      <x:c r="D3" s="42" t="str">
        <x:v>Kyrgyzstan</x:v>
      </x:c>
      <x:c r="E3" s="45" t="str">
        <x:v>Chuy</x:v>
      </x:c>
      <x:c r="F3" s="45" t="str">
        <x:v>학교 위생시설</x:v>
      </x:c>
      <x:c r="G3" s="42" t="str">
        <x:v>리모델링·개보수</x:v>
      </x:c>
      <x:c r="H3" s="42" t="str">
        <x:v>B</x:v>
      </x:c>
      <x:c r="I3" s="42" t="str">
        <x:v>예</x:v>
      </x:c>
      <x:c r="J3" s="48" t="n">
        <x:v>255.52</x:v>
      </x:c>
      <x:c r="K3" s="51" t="n">
        <x:v>200000</x:v>
      </x:c>
      <x:c r="L3" s="51"/>
      <x:c r="M3" s="51" t="n">
        <x:f>IF(L3&lt;&gt;"",L3,IFERROR(K3/J3,""))</x:f>
        <x:v>782.7175954915466</x:v>
      </x:c>
      <x:c r="N3" s="45" t="str">
        <x:v>대상 시설 합계</x:v>
      </x:c>
      <x:c r="O3" s="45" t="str">
        <x:v>공사 입찰 집행한도</x:v>
      </x:c>
      <x:c r="P3" s="45" t="str">
        <x:v>소규모 실내 개보수</x:v>
      </x:c>
      <x:c r="Q3" s="45" t="str">
        <x:v>세금·관세 포함 여부 원문 재확인</x:v>
      </x:c>
      <x:c r="R3" s="45" t="str">
        <x:v>L2025-00099-1/KG-2025-11/KG-2025-11/Section 2 - Bid Data Sheet (영문)_WaSH.docx</x:v>
      </x:c>
      <x:c r="S3" s="42" t="str">
        <x:v>표 4 행 8</x:v>
      </x:c>
      <x:c r="T3" s="45" t="str">
        <x:v>https://nebid.koica.go.kr/oep/lobi/localBidManageDetail.do?P_LOAZ_BID_PBLANC_NO=L2025-00099&amp;P_PBLANC_ODR=1</x:v>
      </x:c>
      <x:c r="U3" s="45" t="str">
        <x:v>대상 시설 합계 255.52㎡; 상세페이지 집행한도 USD 200,000; 산출단가 USD 783/㎡.</x:v>
      </x:c>
    </x:row>
    <x:row r="4">
      <x:c r="A4" s="43" t="str">
        <x:v>L2025-00097-1</x:v>
      </x:c>
      <x:c r="B4" s="43" t="str">
        <x:v>2024-00105</x:v>
      </x:c>
      <x:c r="C4" s="43" t="n">
        <x:v>2025</x:v>
      </x:c>
      <x:c r="D4" s="43" t="str">
        <x:v>Kyrgyzstan</x:v>
      </x:c>
      <x:c r="E4" s="46" t="str">
        <x:v>Bishkek</x:v>
      </x:c>
      <x:c r="F4" s="46" t="str">
        <x:v>ICT 교육센터</x:v>
      </x:c>
      <x:c r="G4" s="43" t="str">
        <x:v>신축</x:v>
      </x:c>
      <x:c r="H4" s="43" t="str">
        <x:v>A</x:v>
      </x:c>
      <x:c r="I4" s="43" t="str">
        <x:v>예</x:v>
      </x:c>
      <x:c r="J4" s="49" t="n">
        <x:v>1179</x:v>
      </x:c>
      <x:c r="K4" s="52" t="n">
        <x:v>1704050</x:v>
      </x:c>
      <x:c r="L4" s="52"/>
      <x:c r="M4" s="52" t="n">
        <x:f>IF(L4&lt;&gt;"",L4,IFERROR(K4/J4,""))</x:f>
        <x:v>1445.3350296861747</x:v>
      </x:c>
      <x:c r="N4" s="46" t="str">
        <x:v>문서 명시 연면적</x:v>
      </x:c>
      <x:c r="O4" s="46" t="str">
        <x:v>설계 ToR 공사예산 한도</x:v>
      </x:c>
      <x:c r="P4" s="46" t="str"/>
      <x:c r="Q4" s="46" t="str">
        <x:v>문서 내 별도 확인</x:v>
      </x:c>
      <x:c r="R4" s="46" t="str">
        <x:v>L2025-00097-1/붙임1. 공고내역 (KG-2025-10)/ENG - final/Section 2 - Bid Data Sheet (BDS).docx</x:v>
      </x:c>
      <x:c r="S4" s="43" t="str">
        <x:v>표 5 행 3</x:v>
      </x:c>
      <x:c r="T4" s="46" t="str">
        <x:v>https://nebid.koica.go.kr/oep/lobi/localBidManageDetail.do?P_LOAZ_BID_PBLANC_NO=L2025-00097&amp;P_PBLANC_ODR=1</x:v>
      </x:c>
      <x:c r="U4" s="46" t="str">
        <x:v>2층 GFA 1,179㎡, 공사예산 한도 USD 1,704,050(비상발전기 포함).</x:v>
      </x:c>
    </x:row>
    <x:row r="5">
      <x:c r="A5" s="43" t="str">
        <x:v>L2025-00084-1</x:v>
      </x:c>
      <x:c r="B5" s="43" t="str">
        <x:v>2022-00064</x:v>
      </x:c>
      <x:c r="C5" s="43" t="n">
        <x:v>2025</x:v>
      </x:c>
      <x:c r="D5" s="43" t="str">
        <x:v>Uganda</x:v>
      </x:c>
      <x:c r="E5" s="46" t="str">
        <x:v>Kampala</x:v>
      </x:c>
      <x:c r="F5" s="46" t="str">
        <x:v>Makerere대 원격교육센터</x:v>
      </x:c>
      <x:c r="G5" s="43" t="str">
        <x:v>신축</x:v>
      </x:c>
      <x:c r="H5" s="43" t="str">
        <x:v>A</x:v>
      </x:c>
      <x:c r="I5" s="43" t="str">
        <x:v>예</x:v>
      </x:c>
      <x:c r="J5" s="49" t="n">
        <x:v>4040</x:v>
      </x:c>
      <x:c r="K5" s="52" t="n">
        <x:v>4383000</x:v>
      </x:c>
      <x:c r="L5" s="52"/>
      <x:c r="M5" s="52" t="n">
        <x:f>IF(L5&lt;&gt;"",L5,IFERROR(K5/J5,""))</x:f>
        <x:v>1084.90099009901</x:v>
      </x:c>
      <x:c r="N5" s="46" t="str">
        <x:v>총연면적</x:v>
      </x:c>
      <x:c r="O5" s="46" t="str">
        <x:v>공사 입찰 집행한도</x:v>
      </x:c>
      <x:c r="P5" s="46" t="str"/>
      <x:c r="Q5" s="46" t="str">
        <x:v>세금·관세 포함 여부 원문 재확인</x:v>
      </x:c>
      <x:c r="R5" s="46" t="str">
        <x:v>L2025-00084-1/Section 2 - Bid Data Sheet (EN)_vr8.docx</x:v>
      </x:c>
      <x:c r="S5" s="43" t="str">
        <x:v>표 4 행 9</x:v>
      </x:c>
      <x:c r="T5" s="46" t="str">
        <x:v>https://nebid.koica.go.kr/oep/lobi/localBidManageDetail.do?P_LOAZ_BID_PBLANC_NO=L2025-00084&amp;P_PBLANC_ODR=1</x:v>
      </x:c>
      <x:c r="U5" s="46" t="str">
        <x:v>총연면적 4,040.00㎡; 상세페이지 집행한도 USD 4,383,000; 산출단가 USD 1,085/㎡.</x:v>
      </x:c>
    </x:row>
    <x:row r="6">
      <x:c r="A6" s="43" t="str">
        <x:v>L2025-00078-1</x:v>
      </x:c>
      <x:c r="B6" s="43" t="str">
        <x:v>2023-00004</x:v>
      </x:c>
      <x:c r="C6" s="43" t="n">
        <x:v>2025</x:v>
      </x:c>
      <x:c r="D6" s="43" t="str">
        <x:v>Bolivia</x:v>
      </x:c>
      <x:c r="E6" s="46" t="str">
        <x:v>El Alto</x:v>
      </x:c>
      <x:c r="F6" s="46" t="str">
        <x:v>모성보건시설 2개소</x:v>
      </x:c>
      <x:c r="G6" s="43" t="str">
        <x:v>신축</x:v>
      </x:c>
      <x:c r="H6" s="43" t="str">
        <x:v>B</x:v>
      </x:c>
      <x:c r="I6" s="43" t="str">
        <x:v>예</x:v>
      </x:c>
      <x:c r="J6" s="49" t="n">
        <x:v>1600</x:v>
      </x:c>
      <x:c r="K6" s="52" t="n">
        <x:v>3226604</x:v>
      </x:c>
      <x:c r="L6" s="52"/>
      <x:c r="M6" s="52" t="n">
        <x:f>IF(L6&lt;&gt;"",L6,IFERROR(K6/J6,""))</x:f>
        <x:v>2016.6275</x:v>
      </x:c>
      <x:c r="N6" s="46" t="str">
        <x:v>문서 명시 연면적</x:v>
      </x:c>
      <x:c r="O6" s="46" t="str">
        <x:v>예비조사 추정 건축공사비</x:v>
      </x:c>
      <x:c r="P6" s="46" t="str">
        <x:v>공사비가 두 시설 합계라는 해석에 기반하므로 원문 재확인 필요.</x:v>
      </x:c>
      <x:c r="Q6" s="46" t="str">
        <x:v>문서 내 별도 확인</x:v>
      </x:c>
      <x:c r="R6" s="46" t="str">
        <x:v>L2025-00078-1/1. 국문 입찰계획서.hwp</x:v>
      </x:c>
      <x:c r="S6" s="43" t="str">
        <x:v>문단 14·16·80</x:v>
      </x:c>
      <x:c r="T6" s="46" t="str">
        <x:v>https://nebid.koica.go.kr/oep/lobi/localBidManageDetail.do?P_LOAZ_BID_PBLANC_NO=L2025-00078&amp;P_PBLANC_ODR=1</x:v>
      </x:c>
      <x:c r="U6" s="46" t="str">
        <x:v>두 시설 연면적 1,080㎡와 520㎡, 추정 건축공사비 USD 3,226,604.</x:v>
      </x:c>
    </x:row>
    <x:row r="7">
      <x:c r="A7" s="43" t="str">
        <x:v>L2025-00073-1</x:v>
      </x:c>
      <x:c r="B7" s="43" t="str">
        <x:v>2022-00027</x:v>
      </x:c>
      <x:c r="C7" s="43" t="n">
        <x:v>2025</x:v>
      </x:c>
      <x:c r="D7" s="43" t="str">
        <x:v>Cambodia</x:v>
      </x:c>
      <x:c r="E7" s="46" t="str">
        <x:v>Phnom Penh</x:v>
      </x:c>
      <x:c r="F7" s="46" t="str">
        <x:v>국립소아병원</x:v>
      </x:c>
      <x:c r="G7" s="43" t="str">
        <x:v>신축</x:v>
      </x:c>
      <x:c r="H7" s="43" t="str">
        <x:v>A</x:v>
      </x:c>
      <x:c r="I7" s="43" t="str">
        <x:v>예</x:v>
      </x:c>
      <x:c r="J7" s="49" t="n">
        <x:v>9053</x:v>
      </x:c>
      <x:c r="K7" s="52" t="n">
        <x:v>11277000</x:v>
      </x:c>
      <x:c r="L7" s="52"/>
      <x:c r="M7" s="52" t="n">
        <x:f>IF(L7&lt;&gt;"",L7,IFERROR(K7/J7,""))</x:f>
        <x:v>1245.664420634044</x:v>
      </x:c>
      <x:c r="N7" s="46" t="str">
        <x:v>총연면적</x:v>
      </x:c>
      <x:c r="O7" s="46" t="str">
        <x:v>공사 입찰 집행한도</x:v>
      </x:c>
      <x:c r="P7" s="46" t="str"/>
      <x:c r="Q7" s="46" t="str">
        <x:v>세금·관세 포함 여부 원문 재확인</x:v>
      </x:c>
      <x:c r="R7" s="46" t="str">
        <x:v>L2025-00073-1/(붙임1) 입찰공고문(국문).pdf</x:v>
      </x:c>
      <x:c r="S7" s="43" t="str">
        <x:v>페이지 5</x:v>
      </x:c>
      <x:c r="T7" s="46" t="str">
        <x:v>https://nebid.koica.go.kr/oep/lobi/localBidManageDetail.do?P_LOAZ_BID_PBLANC_NO=L2025-00073&amp;P_PBLANC_ODR=1</x:v>
      </x:c>
      <x:c r="U7" s="46" t="str">
        <x:v>총연면적 9,053.00㎡; 상세페이지 집행한도 USD 11,277,000; 산출단가 USD 1,246/㎡.</x:v>
      </x:c>
    </x:row>
    <x:row r="8">
      <x:c r="A8" s="43" t="str">
        <x:v>L2025-00071-1</x:v>
      </x:c>
      <x:c r="B8" s="43" t="str">
        <x:v>2020-00119</x:v>
      </x:c>
      <x:c r="C8" s="43" t="n">
        <x:v>2025</x:v>
      </x:c>
      <x:c r="D8" s="43" t="str">
        <x:v>Iraq</x:v>
      </x:c>
      <x:c r="E8" s="46" t="str">
        <x:v>Baghdad</x:v>
      </x:c>
      <x:c r="F8" s="46" t="str">
        <x:v>어린이 심장병원</x:v>
      </x:c>
      <x:c r="G8" s="43" t="str">
        <x:v>신축</x:v>
      </x:c>
      <x:c r="H8" s="43" t="str">
        <x:v>A</x:v>
      </x:c>
      <x:c r="I8" s="43" t="str">
        <x:v>예</x:v>
      </x:c>
      <x:c r="J8" s="49" t="n">
        <x:v>5486</x:v>
      </x:c>
      <x:c r="K8" s="52" t="n">
        <x:v>13292831</x:v>
      </x:c>
      <x:c r="L8" s="52"/>
      <x:c r="M8" s="52" t="n">
        <x:f>IF(L8&lt;&gt;"",L8,IFERROR(K8/J8,""))</x:f>
        <x:v>2423.0461173897193</x:v>
      </x:c>
      <x:c r="N8" s="46" t="str">
        <x:v>총연면적</x:v>
      </x:c>
      <x:c r="O8" s="46" t="str">
        <x:v>공사 입찰 집행한도</x:v>
      </x:c>
      <x:c r="P8" s="46" t="str"/>
      <x:c r="Q8" s="46" t="str">
        <x:v>세금·관세 포함 여부 원문 재확인</x:v>
      </x:c>
      <x:c r="R8" s="46" t="str">
        <x:v>L2025-00071-1/붙임2. 현지입찰(재공고입찰) 서류 및 계약서류(안)/IKHCC Section 2 - Bid Data Sheet (ITB) (English)  250903_final.docx</x:v>
      </x:c>
      <x:c r="S8" s="43" t="str">
        <x:v>표 2 행 7</x:v>
      </x:c>
      <x:c r="T8" s="46" t="str">
        <x:v>https://nebid.koica.go.kr/oep/lobi/localBidManageDetail.do?P_LOAZ_BID_PBLANC_NO=L2025-00071&amp;P_PBLANC_ODR=1</x:v>
      </x:c>
      <x:c r="U8" s="46" t="str">
        <x:v>총연면적 5,486.00㎡; 상세페이지 집행한도 USD 13,292,831; 산출단가 USD 2,423/㎡.</x:v>
      </x:c>
    </x:row>
    <x:row r="9">
      <x:c r="A9" s="43" t="str">
        <x:v>L2025-00062-1</x:v>
      </x:c>
      <x:c r="B9" s="43" t="str">
        <x:v>2021-00042</x:v>
      </x:c>
      <x:c r="C9" s="43" t="n">
        <x:v>2025</x:v>
      </x:c>
      <x:c r="D9" s="43" t="str">
        <x:v>Uganda</x:v>
      </x:c>
      <x:c r="E9" s="46" t="str">
        <x:v>미상</x:v>
      </x:c>
      <x:c r="F9" s="46" t="str">
        <x:v>농업 시범농장 시설</x:v>
      </x:c>
      <x:c r="G9" s="43" t="str">
        <x:v>신축·토목</x:v>
      </x:c>
      <x:c r="H9" s="43" t="str">
        <x:v>C</x:v>
      </x:c>
      <x:c r="I9" s="43" t="str">
        <x:v>아니오</x:v>
      </x:c>
      <x:c r="J9" s="49" t="n">
        <x:v>2378.8</x:v>
      </x:c>
      <x:c r="K9" s="52" t="n">
        <x:v>1123590</x:v>
      </x:c>
      <x:c r="L9" s="52"/>
      <x:c r="M9" s="52" t="n">
        <x:f>IF(L9&lt;&gt;"",L9,IFERROR(K9/J9,""))</x:f>
        <x:v>472.33479065074823</x:v>
      </x:c>
      <x:c r="N9" s="46" t="str">
        <x:v>동별 면적 합계</x:v>
      </x:c>
      <x:c r="O9" s="46" t="str">
        <x:v>공사 입찰 집행한도</x:v>
      </x:c>
      <x:c r="P9" s="46" t="str">
        <x:v>관개·외부공사 포함 패키지</x:v>
      </x:c>
      <x:c r="Q9" s="46" t="str">
        <x:v>세금·관세 포함 여부 원문 재확인</x:v>
      </x:c>
      <x:c r="R9" s="46" t="str">
        <x:v>L2025-00062-1/1-2. 입찰공고문(영문)_시범농장 신축.docx</x:v>
      </x:c>
      <x:c r="S9" s="43" t="str">
        <x:v>표 4 행 8</x:v>
      </x:c>
      <x:c r="T9" s="46" t="str">
        <x:v>https://nebid.koica.go.kr/oep/lobi/localBidManageDetail.do?P_LOAZ_BID_PBLANC_NO=L2025-00062&amp;P_PBLANC_ODR=1</x:v>
      </x:c>
      <x:c r="U9" s="46" t="str">
        <x:v>동별 면적 합계 2,378.80㎡; 상세페이지 집행한도 USD 1,123,590; 산출단가 USD 472/㎡.</x:v>
      </x:c>
    </x:row>
    <x:row r="10">
      <x:c r="A10" s="43" t="str">
        <x:v>L2025-00052-1</x:v>
      </x:c>
      <x:c r="B10" s="43" t="str">
        <x:v>2023-00067</x:v>
      </x:c>
      <x:c r="C10" s="43" t="n">
        <x:v>2025</x:v>
      </x:c>
      <x:c r="D10" s="43" t="str">
        <x:v>Côte d’Ivoire</x:v>
      </x:c>
      <x:c r="E10" s="46" t="str">
        <x:v>미상</x:v>
      </x:c>
      <x:c r="F10" s="46" t="str">
        <x:v>PETROCI 교육시설</x:v>
      </x:c>
      <x:c r="G10" s="43" t="str">
        <x:v>리모델링·개보수</x:v>
      </x:c>
      <x:c r="H10" s="43" t="str">
        <x:v>B</x:v>
      </x:c>
      <x:c r="I10" s="43" t="str">
        <x:v>예</x:v>
      </x:c>
      <x:c r="J10" s="49" t="n">
        <x:v>1500</x:v>
      </x:c>
      <x:c r="K10" s="52" t="n">
        <x:v>1963286</x:v>
      </x:c>
      <x:c r="L10" s="52"/>
      <x:c r="M10" s="52" t="n">
        <x:f>IF(L10&lt;&gt;"",L10,IFERROR(K10/J10,""))</x:f>
        <x:v>1308.8573333333334</x:v>
      </x:c>
      <x:c r="N10" s="46" t="str">
        <x:v>동일 사업 선행공고 연면적</x:v>
      </x:c>
      <x:c r="O10" s="46" t="str">
        <x:v>공사 입찰 집행한도</x:v>
      </x:c>
      <x:c r="P10" s="46" t="str">
        <x:v>다른 단계 공고 간 연결</x:v>
      </x:c>
      <x:c r="Q10" s="46" t="str">
        <x:v>세금·관세 포함 여부 원문 재확인</x:v>
      </x:c>
      <x:c r="R10" s="46" t="str">
        <x:v>L2024-00056-2/Section 4 - Request for Proposal_코트디_ver.1.2_수정.docx</x:v>
      </x:c>
      <x:c r="S10" s="43" t="str">
        <x:v>표 1 행 4</x:v>
      </x:c>
      <x:c r="T10" s="46" t="str">
        <x:v>https://nebid.koica.go.kr/oep/lobi/localBidManageDetail.do?P_LOAZ_BID_PBLANC_NO=L2025-00052&amp;P_PBLANC_ODR=1</x:v>
      </x:c>
      <x:c r="U10" s="46" t="str">
        <x:v>동일 사업 선행공고 연면적 1,500.00㎡; 상세페이지 집행한도 USD 1,963,286; 산출단가 USD 1,309/㎡.</x:v>
      </x:c>
    </x:row>
    <x:row r="11">
      <x:c r="A11" s="43" t="str">
        <x:v>L2025-00051-2</x:v>
      </x:c>
      <x:c r="B11" s="43" t="str">
        <x:v>2022-00076</x:v>
      </x:c>
      <x:c r="C11" s="43" t="n">
        <x:v>2025</x:v>
      </x:c>
      <x:c r="D11" s="43" t="str">
        <x:v>Fiji</x:v>
      </x:c>
      <x:c r="E11" s="46" t="str">
        <x:v>Tamavua·Suva</x:v>
      </x:c>
      <x:c r="F11" s="46" t="str">
        <x:v>국립재활센터</x:v>
      </x:c>
      <x:c r="G11" s="43" t="str">
        <x:v>신축</x:v>
      </x:c>
      <x:c r="H11" s="43" t="str">
        <x:v>A</x:v>
      </x:c>
      <x:c r="I11" s="43" t="str">
        <x:v>예</x:v>
      </x:c>
      <x:c r="J11" s="49" t="n">
        <x:v>2686.4</x:v>
      </x:c>
      <x:c r="K11" s="52" t="n">
        <x:v>6767312</x:v>
      </x:c>
      <x:c r="L11" s="52"/>
      <x:c r="M11" s="52" t="n">
        <x:f>IF(L11&lt;&gt;"",L11,IFERROR(K11/J11,""))</x:f>
        <x:v>2519.1006551518763</x:v>
      </x:c>
      <x:c r="N11" s="46" t="str">
        <x:v>상세 공간계획 합계</x:v>
      </x:c>
      <x:c r="O11" s="46" t="str">
        <x:v>공사 입찰 집행한도</x:v>
      </x:c>
      <x:c r="P11" s="46" t="str">
        <x:v>동일 사업 설계단계 사례와 중복</x:v>
      </x:c>
      <x:c r="Q11" s="46" t="str">
        <x:v>세금·관세 포함 여부 원문 재확인</x:v>
      </x:c>
      <x:c r="R11" s="46" t="str">
        <x:v>L2023-00038-1/2. 현지입찰 첨부문서 묶음/Addendum_No.1_Scope_of_the_services.docx</x:v>
      </x:c>
      <x:c r="S11" s="43" t="str">
        <x:v>표 1 행 3</x:v>
      </x:c>
      <x:c r="T11" s="46" t="str">
        <x:v>https://nebid.koica.go.kr/oep/lobi/localBidManageDetail.do?P_LOAZ_BID_PBLANC_NO=L2025-00051&amp;P_PBLANC_ODR=2</x:v>
      </x:c>
      <x:c r="U11" s="46" t="str">
        <x:v>상세 공간계획 합계 2,686.40㎡; 상세페이지 집행한도 USD 6,767,312; 산출단가 USD 2,519/㎡.</x:v>
      </x:c>
    </x:row>
    <x:row r="12">
      <x:c r="A12" s="43" t="str">
        <x:v>L2025-00047-1</x:v>
      </x:c>
      <x:c r="B12" s="43" t="str">
        <x:v>2022-00598</x:v>
      </x:c>
      <x:c r="C12" s="43" t="n">
        <x:v>2025</x:v>
      </x:c>
      <x:c r="D12" s="43" t="str">
        <x:v>Pakistan</x:v>
      </x:c>
      <x:c r="E12" s="46" t="str">
        <x:v>미상</x:v>
      </x:c>
      <x:c r="F12" s="46" t="str">
        <x:v>섬유산업 교육센터</x:v>
      </x:c>
      <x:c r="G12" s="43" t="str">
        <x:v>신축</x:v>
      </x:c>
      <x:c r="H12" s="43" t="str">
        <x:v>B</x:v>
      </x:c>
      <x:c r="I12" s="43" t="str">
        <x:v>예</x:v>
      </x:c>
      <x:c r="J12" s="49" t="n">
        <x:v>1980</x:v>
      </x:c>
      <x:c r="K12" s="52" t="n">
        <x:v>1964270</x:v>
      </x:c>
      <x:c r="L12" s="52"/>
      <x:c r="M12" s="52" t="n">
        <x:f>IF(L12&lt;&gt;"",L12,IFERROR(K12/J12,""))</x:f>
        <x:v>992.0555555555555</x:v>
      </x:c>
      <x:c r="N12" s="46" t="str">
        <x:v>동일 사업 감리공고 연면적</x:v>
      </x:c>
      <x:c r="O12" s="46" t="str">
        <x:v>공사 입찰 집행한도</x:v>
      </x:c>
      <x:c r="P12" s="46" t="str">
        <x:v>다른 단계 공고 간 연결</x:v>
      </x:c>
      <x:c r="Q12" s="46" t="str">
        <x:v>세금·관세 포함 여부 원문 재확인</x:v>
      </x:c>
      <x:c r="R12" s="46" t="str">
        <x:v>L2025-00014-1/Section 2-Bid Data Sheet.docx</x:v>
      </x:c>
      <x:c r="S12" s="43" t="str">
        <x:v>표 4 행 7</x:v>
      </x:c>
      <x:c r="T12" s="46" t="str">
        <x:v>https://nebid.koica.go.kr/oep/lobi/localBidManageDetail.do?P_LOAZ_BID_PBLANC_NO=L2025-00047&amp;P_PBLANC_ODR=1</x:v>
      </x:c>
      <x:c r="U12" s="46" t="str">
        <x:v>동일 사업 감리공고 연면적 1,980.00㎡; 상세페이지 집행한도 USD 1,964,270; 산출단가 USD 992/㎡.</x:v>
      </x:c>
    </x:row>
    <x:row r="13">
      <x:c r="A13" s="43" t="str">
        <x:v>L2025-00036-1</x:v>
      </x:c>
      <x:c r="B13" s="43" t="str">
        <x:v>2024-00015</x:v>
      </x:c>
      <x:c r="C13" s="43" t="n">
        <x:v>2025</x:v>
      </x:c>
      <x:c r="D13" s="43" t="str">
        <x:v>Cambodia</x:v>
      </x:c>
      <x:c r="E13" s="46" t="str">
        <x:v>Phnom Penh</x:v>
      </x:c>
      <x:c r="F13" s="46" t="str">
        <x:v>Dangkao 후송병원(70병상)</x:v>
      </x:c>
      <x:c r="G13" s="43" t="str">
        <x:v>신축</x:v>
      </x:c>
      <x:c r="H13" s="43" t="str">
        <x:v>A</x:v>
      </x:c>
      <x:c r="I13" s="43" t="str">
        <x:v>예</x:v>
      </x:c>
      <x:c r="J13" s="49" t="n">
        <x:v>3700</x:v>
      </x:c>
      <x:c r="K13" s="52" t="n">
        <x:v>6600000</x:v>
      </x:c>
      <x:c r="L13" s="52"/>
      <x:c r="M13" s="52" t="n">
        <x:f>IF(L13&lt;&gt;"",L13,IFERROR(K13/J13,""))</x:f>
        <x:v>1783.7837837837837</x:v>
      </x:c>
      <x:c r="N13" s="46" t="str">
        <x:v>문서 명시 연면적</x:v>
      </x:c>
      <x:c r="O13" s="46" t="str">
        <x:v>심층기획조사 결과 추정공사비</x:v>
      </x:c>
      <x:c r="P13" s="46" t="str"/>
      <x:c r="Q13" s="46" t="str">
        <x:v>문서 내 별도 확인</x:v>
      </x:c>
      <x:c r="R13" s="46" t="str">
        <x:v>L2025-00036-1/붙임2. 입찰서류 영문본 일체/Section 6 - Related Project Information of RFP.pdf</x:v>
      </x:c>
      <x:c r="S13" s="43" t="str">
        <x:v>페이지 3</x:v>
      </x:c>
      <x:c r="T13" s="46" t="str">
        <x:v>https://nebid.koica.go.kr/oep/lobi/localBidManageDetail.do?P_LOAZ_BID_PBLANC_NO=L2025-00036&amp;P_PBLANC_ODR=1</x:v>
      </x:c>
      <x:c r="U13" s="46" t="str">
        <x:v>3층, GFA 3,700㎡, Construction Cost USD 6.6 million.</x:v>
      </x:c>
    </x:row>
    <x:row r="14">
      <x:c r="A14" s="43" t="str">
        <x:v>L2025-00018-1</x:v>
      </x:c>
      <x:c r="B14" s="43" t="str">
        <x:v>2021-00016</x:v>
      </x:c>
      <x:c r="C14" s="43" t="n">
        <x:v>2025</x:v>
      </x:c>
      <x:c r="D14" s="43" t="str">
        <x:v>Ghana</x:v>
      </x:c>
      <x:c r="E14" s="46" t="str">
        <x:v>미상</x:v>
      </x:c>
      <x:c r="F14" s="46" t="str">
        <x:v>대학교 교육센터</x:v>
      </x:c>
      <x:c r="G14" s="43" t="str">
        <x:v>신축</x:v>
      </x:c>
      <x:c r="H14" s="43" t="str">
        <x:v>A</x:v>
      </x:c>
      <x:c r="I14" s="43" t="str">
        <x:v>예</x:v>
      </x:c>
      <x:c r="J14" s="49" t="n">
        <x:v>2684.36</x:v>
      </x:c>
      <x:c r="K14" s="52" t="n">
        <x:v>4333427</x:v>
      </x:c>
      <x:c r="L14" s="52"/>
      <x:c r="M14" s="52" t="n">
        <x:f>IF(L14&lt;&gt;"",L14,IFERROR(K14/J14,""))</x:f>
        <x:v>1614.3240846980284</x:v>
      </x:c>
      <x:c r="N14" s="46" t="str">
        <x:v>총연면적</x:v>
      </x:c>
      <x:c r="O14" s="46" t="str">
        <x:v>공사 입찰 집행한도</x:v>
      </x:c>
      <x:c r="P14" s="46" t="str"/>
      <x:c r="Q14" s="46" t="str">
        <x:v>세금·관세 포함 여부 원문 재확인</x:v>
      </x:c>
      <x:c r="R14" s="46" t="str">
        <x:v>L2025-00018-1/1-2. Bid Data Sheet _영문.docx</x:v>
      </x:c>
      <x:c r="S14" s="43" t="str">
        <x:v>표 4 행 8</x:v>
      </x:c>
      <x:c r="T14" s="46" t="str">
        <x:v>https://nebid.koica.go.kr/oep/lobi/localBidManageDetail.do?P_LOAZ_BID_PBLANC_NO=L2025-00018&amp;P_PBLANC_ODR=1</x:v>
      </x:c>
      <x:c r="U14" s="46" t="str">
        <x:v>총연면적 2,684.36㎡; 상세페이지 집행한도 USD 4,333,427; 산출단가 USD 1,614/㎡.</x:v>
      </x:c>
    </x:row>
    <x:row r="15">
      <x:c r="A15" s="43" t="str">
        <x:v>L2025-00016-2</x:v>
      </x:c>
      <x:c r="B15" s="43" t="str">
        <x:v>2018-56501</x:v>
      </x:c>
      <x:c r="C15" s="43" t="n">
        <x:v>2025</x:v>
      </x:c>
      <x:c r="D15" s="43" t="str">
        <x:v>Mozambique</x:v>
      </x:c>
      <x:c r="E15" s="46" t="str">
        <x:v>Matola</x:v>
      </x:c>
      <x:c r="F15" s="46" t="str">
        <x:v>학교 캠퍼스</x:v>
      </x:c>
      <x:c r="G15" s="43" t="str">
        <x:v>개보수</x:v>
      </x:c>
      <x:c r="H15" s="43" t="str">
        <x:v>C</x:v>
      </x:c>
      <x:c r="I15" s="43" t="str">
        <x:v>아니오</x:v>
      </x:c>
      <x:c r="J15" s="49" t="n">
        <x:v>15500</x:v>
      </x:c>
      <x:c r="K15" s="52" t="n">
        <x:v>230586</x:v>
      </x:c>
      <x:c r="L15" s="52"/>
      <x:c r="M15" s="52" t="n">
        <x:f>IF(L15&lt;&gt;"",L15,IFERROR(K15/J15,""))</x:f>
        <x:v>14.876516129032257</x:v>
      </x:c>
      <x:c r="N15" s="46" t="str">
        <x:v>대상 캠퍼스 면적</x:v>
      </x:c>
      <x:c r="O15" s="46" t="str">
        <x:v>공사 입찰 집행한도</x:v>
      </x:c>
      <x:c r="P15" s="46" t="str">
        <x:v>부분 보수 총액으로 신축단가와 비교 불가</x:v>
      </x:c>
      <x:c r="Q15" s="46" t="str">
        <x:v>세금·관세 포함 여부 원문 재확인</x:v>
      </x:c>
      <x:c r="R15" s="46" t="str">
        <x:v>L2025-00016-2/Section 2 - Bid Data Sheet (eng).docx</x:v>
      </x:c>
      <x:c r="S15" s="43" t="str">
        <x:v>표 4 행 8</x:v>
      </x:c>
      <x:c r="T15" s="46" t="str">
        <x:v>https://nebid.koica.go.kr/oep/lobi/localBidManageDetail.do?P_LOAZ_BID_PBLANC_NO=L2025-00016&amp;P_PBLANC_ODR=2</x:v>
      </x:c>
      <x:c r="U15" s="46" t="str">
        <x:v>대상 캠퍼스 면적 15,500.00㎡; 상세페이지 집행한도 USD 230,586; 산출단가 USD 15/㎡.</x:v>
      </x:c>
    </x:row>
    <x:row r="16">
      <x:c r="A16" s="43" t="str">
        <x:v>L2025-00012-2</x:v>
      </x:c>
      <x:c r="B16" s="43" t="str">
        <x:v>2013-00064</x:v>
      </x:c>
      <x:c r="C16" s="43" t="n">
        <x:v>2025</x:v>
      </x:c>
      <x:c r="D16" s="43" t="str">
        <x:v>Bolivia</x:v>
      </x:c>
      <x:c r="E16" s="46" t="str">
        <x:v>Chacala</x:v>
      </x:c>
      <x:c r="F16" s="46" t="str">
        <x:v>소규모 공공시설</x:v>
      </x:c>
      <x:c r="G16" s="43" t="str">
        <x:v>신축</x:v>
      </x:c>
      <x:c r="H16" s="43" t="str">
        <x:v>B</x:v>
      </x:c>
      <x:c r="I16" s="43" t="str">
        <x:v>예</x:v>
      </x:c>
      <x:c r="J16" s="49" t="n">
        <x:v>87.22</x:v>
      </x:c>
      <x:c r="K16" s="52" t="n">
        <x:v>98954</x:v>
      </x:c>
      <x:c r="L16" s="52"/>
      <x:c r="M16" s="52" t="n">
        <x:f>IF(L16&lt;&gt;"",L16,IFERROR(K16/J16,""))</x:f>
        <x:v>1134.5333639073608</x:v>
      </x:c>
      <x:c r="N16" s="46" t="str">
        <x:v>총연면적</x:v>
      </x:c>
      <x:c r="O16" s="46" t="str">
        <x:v>공사 입찰 집행한도</x:v>
      </x:c>
      <x:c r="P16" s="46" t="str">
        <x:v>소규모 공사의 고정비 영향</x:v>
      </x:c>
      <x:c r="Q16" s="46" t="str">
        <x:v>세금·관세 포함 여부 원문 재확인</x:v>
      </x:c>
      <x:c r="R16" s="46" t="str">
        <x:v>L2025-00012-2/(붙임1-2) 영문입찰계획서_Q-Lab_Chacala_Bid Data Sheet (BDS)_20250502.docx</x:v>
      </x:c>
      <x:c r="S16" s="43" t="str">
        <x:v>표 3 행 7</x:v>
      </x:c>
      <x:c r="T16" s="46" t="str">
        <x:v>https://nebid.koica.go.kr/oep/lobi/localBidManageDetail.do?P_LOAZ_BID_PBLANC_NO=L2025-00012&amp;P_PBLANC_ODR=2</x:v>
      </x:c>
      <x:c r="U16" s="46" t="str">
        <x:v>총연면적 87.22㎡; 상세페이지 집행한도 USD 98,954; 산출단가 USD 1,135/㎡.</x:v>
      </x:c>
    </x:row>
    <x:row r="17">
      <x:c r="A17" s="43" t="str">
        <x:v>L2025-00008-1</x:v>
      </x:c>
      <x:c r="B17" s="43" t="str">
        <x:v>2021-00126</x:v>
      </x:c>
      <x:c r="C17" s="43" t="n">
        <x:v>2025</x:v>
      </x:c>
      <x:c r="D17" s="43" t="str">
        <x:v>Kenya</x:v>
      </x:c>
      <x:c r="E17" s="46" t="str">
        <x:v>미상</x:v>
      </x:c>
      <x:c r="F17" s="46" t="str">
        <x:v>모자보건시설</x:v>
      </x:c>
      <x:c r="G17" s="43" t="str">
        <x:v>신축</x:v>
      </x:c>
      <x:c r="H17" s="43" t="str">
        <x:v>A</x:v>
      </x:c>
      <x:c r="I17" s="43" t="str">
        <x:v>예</x:v>
      </x:c>
      <x:c r="J17" s="49" t="n">
        <x:v>404.94</x:v>
      </x:c>
      <x:c r="K17" s="52" t="n">
        <x:v>555810</x:v>
      </x:c>
      <x:c r="L17" s="52"/>
      <x:c r="M17" s="52" t="n">
        <x:f>IF(L17&lt;&gt;"",L17,IFERROR(K17/J17,""))</x:f>
        <x:v>1372.573714624389</x:v>
      </x:c>
      <x:c r="N17" s="46" t="str">
        <x:v>총연면적</x:v>
      </x:c>
      <x:c r="O17" s="46" t="str">
        <x:v>공사 입찰 집행한도</x:v>
      </x:c>
      <x:c r="P17" s="46" t="str"/>
      <x:c r="Q17" s="46" t="str">
        <x:v>세금·관세 포함 여부 원문 재확인</x:v>
      </x:c>
      <x:c r="R17" s="46" t="str">
        <x:v>L2025-00008-1/Tender document full set_Kajiado_0219 rev/Section 2 - Bid Data Sheet (eng)_0219.docx</x:v>
      </x:c>
      <x:c r="S17" s="43" t="str">
        <x:v>표 4 행 8</x:v>
      </x:c>
      <x:c r="T17" s="46" t="str">
        <x:v>https://nebid.koica.go.kr/oep/lobi/localBidManageDetail.do?P_LOAZ_BID_PBLANC_NO=L2025-00008&amp;P_PBLANC_ODR=1</x:v>
      </x:c>
      <x:c r="U17" s="46" t="str">
        <x:v>총연면적 404.94㎡; 상세페이지 집행한도 USD 555,810; 산출단가 USD 1,373/㎡.</x:v>
      </x:c>
    </x:row>
    <x:row r="18">
      <x:c r="A18" s="43" t="str">
        <x:v>L2025-00002-1</x:v>
      </x:c>
      <x:c r="B18" s="43" t="str">
        <x:v>2022-00079</x:v>
      </x:c>
      <x:c r="C18" s="43" t="n">
        <x:v>2025</x:v>
      </x:c>
      <x:c r="D18" s="43" t="str">
        <x:v>Indonesia</x:v>
      </x:c>
      <x:c r="E18" s="46" t="str">
        <x:v>미상</x:v>
      </x:c>
      <x:c r="F18" s="46" t="str">
        <x:v>사이버보안 교육센터</x:v>
      </x:c>
      <x:c r="G18" s="43" t="str">
        <x:v>신축</x:v>
      </x:c>
      <x:c r="H18" s="43" t="str">
        <x:v>A</x:v>
      </x:c>
      <x:c r="I18" s="43" t="str">
        <x:v>예</x:v>
      </x:c>
      <x:c r="J18" s="49" t="n">
        <x:v>2457.53</x:v>
      </x:c>
      <x:c r="K18" s="52" t="n">
        <x:v>2361000</x:v>
      </x:c>
      <x:c r="L18" s="52"/>
      <x:c r="M18" s="52" t="n">
        <x:f>IF(L18&lt;&gt;"",L18,IFERROR(K18/J18,""))</x:f>
        <x:v>960.7207236534243</x:v>
      </x:c>
      <x:c r="N18" s="46" t="str">
        <x:v>총연면적</x:v>
      </x:c>
      <x:c r="O18" s="46" t="str">
        <x:v>공사 입찰 집행한도</x:v>
      </x:c>
      <x:c r="P18" s="46" t="str"/>
      <x:c r="Q18" s="46" t="str">
        <x:v>세금·관세 포함 여부 원문 재확인</x:v>
      </x:c>
      <x:c r="R18" s="46" t="str">
        <x:v>L2025-00002-1/Section 2 - Bid Data Sheet_Final.docx</x:v>
      </x:c>
      <x:c r="S18" s="43" t="str">
        <x:v>표 4 행 8</x:v>
      </x:c>
      <x:c r="T18" s="46" t="str">
        <x:v>https://nebid.koica.go.kr/oep/lobi/localBidManageDetail.do?P_LOAZ_BID_PBLANC_NO=L2025-00002&amp;P_PBLANC_ODR=1</x:v>
      </x:c>
      <x:c r="U18" s="46" t="str">
        <x:v>총연면적 2,457.53㎡; 상세페이지 집행한도 USD 2,361,000; 산출단가 USD 961/㎡.</x:v>
      </x:c>
    </x:row>
    <x:row r="19">
      <x:c r="A19" s="43" t="str">
        <x:v>L2024-00079-1</x:v>
      </x:c>
      <x:c r="B19" s="43" t="str">
        <x:v>2023-00052</x:v>
      </x:c>
      <x:c r="C19" s="43" t="n">
        <x:v>2024</x:v>
      </x:c>
      <x:c r="D19" s="43" t="str">
        <x:v>Nepal</x:v>
      </x:c>
      <x:c r="E19" s="46" t="str">
        <x:v>미상</x:v>
      </x:c>
      <x:c r="F19" s="46" t="str">
        <x:v>재활용 산업 플랫폼</x:v>
      </x:c>
      <x:c r="G19" s="43" t="str">
        <x:v>신축</x:v>
      </x:c>
      <x:c r="H19" s="43" t="str">
        <x:v>A</x:v>
      </x:c>
      <x:c r="I19" s="43" t="str">
        <x:v>예</x:v>
      </x:c>
      <x:c r="J19" s="49" t="n">
        <x:v>4996.62</x:v>
      </x:c>
      <x:c r="K19" s="52" t="n">
        <x:v>3534542</x:v>
      </x:c>
      <x:c r="L19" s="52"/>
      <x:c r="M19" s="52" t="n">
        <x:f>IF(L19&lt;&gt;"",L19,IFERROR(K19/J19,""))</x:f>
        <x:v>707.3865933370959</x:v>
      </x:c>
      <x:c r="N19" s="46" t="str">
        <x:v>총연면적</x:v>
      </x:c>
      <x:c r="O19" s="46" t="str">
        <x:v>공사 입찰 집행한도</x:v>
      </x:c>
      <x:c r="P19" s="46" t="str">
        <x:v>산업시설 성격</x:v>
      </x:c>
      <x:c r="Q19" s="46" t="str">
        <x:v>세금·관세 포함 여부 원문 재확인</x:v>
      </x:c>
      <x:c r="R19" s="46" t="str">
        <x:v>L2024-00079-1/2. 포카라시 녹색일자리 창출사업 시공사 선정 BID DOCUMENTS(영문)_241217.docx</x:v>
      </x:c>
      <x:c r="S19" s="43" t="str">
        <x:v>표 5 행 8</x:v>
      </x:c>
      <x:c r="T19" s="46" t="str">
        <x:v>https://nebid.koica.go.kr/oep/lobi/localBidManageDetail.do?P_LOAZ_BID_PBLANC_NO=L2024-00079&amp;P_PBLANC_ODR=1</x:v>
      </x:c>
      <x:c r="U19" s="46" t="str">
        <x:v>총연면적 4,996.62㎡; 상세페이지 집행한도 USD 3,534,542; 산출단가 USD 707/㎡.</x:v>
      </x:c>
    </x:row>
    <x:row r="20">
      <x:c r="A20" s="43" t="str">
        <x:v>L2024-00078-1</x:v>
      </x:c>
      <x:c r="B20" s="43" t="str">
        <x:v>2020-00070</x:v>
      </x:c>
      <x:c r="C20" s="43" t="n">
        <x:v>2024</x:v>
      </x:c>
      <x:c r="D20" s="43" t="str">
        <x:v>Dominican Republic</x:v>
      </x:c>
      <x:c r="E20" s="46" t="str">
        <x:v>미상</x:v>
      </x:c>
      <x:c r="F20" s="46" t="str">
        <x:v>직업훈련센터</x:v>
      </x:c>
      <x:c r="G20" s="43" t="str">
        <x:v>신축</x:v>
      </x:c>
      <x:c r="H20" s="43" t="str">
        <x:v>A</x:v>
      </x:c>
      <x:c r="I20" s="43" t="str">
        <x:v>예</x:v>
      </x:c>
      <x:c r="J20" s="49" t="n">
        <x:v>936.2</x:v>
      </x:c>
      <x:c r="K20" s="52" t="n">
        <x:v>1187000</x:v>
      </x:c>
      <x:c r="L20" s="52"/>
      <x:c r="M20" s="52" t="n">
        <x:f>IF(L20&lt;&gt;"",L20,IFERROR(K20/J20,""))</x:f>
        <x:v>1267.8914761803032</x:v>
      </x:c>
      <x:c r="N20" s="46" t="str">
        <x:v>총연면적</x:v>
      </x:c>
      <x:c r="O20" s="46" t="str">
        <x:v>공사 입찰 집행한도</x:v>
      </x:c>
      <x:c r="P20" s="46" t="str"/>
      <x:c r="Q20" s="46" t="str">
        <x:v>세금·관세 포함 여부 원문 재확인</x:v>
      </x:c>
      <x:c r="R20" s="46" t="str">
        <x:v>L2024-00078-1/Section 2 Bid data sheet_MVC Construction_v05_CLEAN.docx</x:v>
      </x:c>
      <x:c r="S20" s="43" t="str">
        <x:v>표 2 행 7</x:v>
      </x:c>
      <x:c r="T20" s="46" t="str">
        <x:v>https://nebid.koica.go.kr/oep/lobi/localBidManageDetail.do?P_LOAZ_BID_PBLANC_NO=L2024-00078&amp;P_PBLANC_ODR=1</x:v>
      </x:c>
      <x:c r="U20" s="46" t="str">
        <x:v>총연면적 936.20㎡; 상세페이지 집행한도 USD 1,187,000; 산출단가 USD 1,268/㎡.</x:v>
      </x:c>
    </x:row>
    <x:row r="21">
      <x:c r="A21" s="43" t="str">
        <x:v>L2024-00075-1</x:v>
      </x:c>
      <x:c r="B21" s="43" t="str">
        <x:v>2020-00023</x:v>
      </x:c>
      <x:c r="C21" s="43" t="n">
        <x:v>2024</x:v>
      </x:c>
      <x:c r="D21" s="43" t="str">
        <x:v>Laos</x:v>
      </x:c>
      <x:c r="E21" s="46" t="str">
        <x:v>Paksong·Champasak</x:v>
      </x:c>
      <x:c r="F21" s="46" t="str">
        <x:v>남부 농업훈련센터</x:v>
      </x:c>
      <x:c r="G21" s="43" t="str">
        <x:v>신축</x:v>
      </x:c>
      <x:c r="H21" s="43" t="str">
        <x:v>A</x:v>
      </x:c>
      <x:c r="I21" s="43" t="str">
        <x:v>예</x:v>
      </x:c>
      <x:c r="J21" s="49" t="n">
        <x:v>700</x:v>
      </x:c>
      <x:c r="K21" s="52" t="n">
        <x:v>624034</x:v>
      </x:c>
      <x:c r="L21" s="52"/>
      <x:c r="M21" s="52" t="n">
        <x:f>IF(L21&lt;&gt;"",L21,IFERROR(K21/J21,""))</x:f>
        <x:v>891.4771428571429</x:v>
      </x:c>
      <x:c r="N21" s="46" t="str">
        <x:v>문서 명시 연면적</x:v>
      </x:c>
      <x:c r="O21" s="46" t="str">
        <x:v>BDS Project Budget</x:v>
      </x:c>
      <x:c r="P21" s="46" t="str"/>
      <x:c r="Q21" s="46" t="str">
        <x:v>VAT 및 간접세 제외</x:v>
      </x:c>
      <x:c r="R21" s="46" t="str">
        <x:v>L2024-00075-1/Section 2 - Bid Data Sheet_1120.pdf</x:v>
      </x:c>
      <x:c r="S21" s="43" t="str">
        <x:v>페이지 5</x:v>
      </x:c>
      <x:c r="T21" s="46" t="str">
        <x:v>https://nebid.koica.go.kr/oep/lobi/localBidManageDetail.do?P_LOAZ_BID_PBLANC_NO=L2024-00075&amp;P_PBLANC_ODR=1</x:v>
      </x:c>
      <x:c r="U21" s="46" t="str">
        <x:v>GFA 700㎡, Project Budget USD 624,034; 예정가격 USD 608,433.</x:v>
      </x:c>
    </x:row>
    <x:row r="22">
      <x:c r="A22" s="43" t="str">
        <x:v>L2024-00066-1</x:v>
      </x:c>
      <x:c r="B22" s="43" t="str">
        <x:v>2023-00032</x:v>
      </x:c>
      <x:c r="C22" s="43" t="n">
        <x:v>2024</x:v>
      </x:c>
      <x:c r="D22" s="43" t="str">
        <x:v>Fiji</x:v>
      </x:c>
      <x:c r="E22" s="46" t="str">
        <x:v>Fiji National University</x:v>
      </x:c>
      <x:c r="F22" s="46" t="str">
        <x:v>의과대학 시뮬레이션센터</x:v>
      </x:c>
      <x:c r="G22" s="43" t="str">
        <x:v>신축</x:v>
      </x:c>
      <x:c r="H22" s="43" t="str">
        <x:v>A</x:v>
      </x:c>
      <x:c r="I22" s="43" t="str">
        <x:v>예</x:v>
      </x:c>
      <x:c r="J22" s="49" t="n">
        <x:v>1060</x:v>
      </x:c>
      <x:c r="K22" s="52" t="n">
        <x:v>2406346</x:v>
      </x:c>
      <x:c r="L22" s="52"/>
      <x:c r="M22" s="52" t="n">
        <x:f>IF(L22&lt;&gt;"",L22,IFERROR(K22/J22,""))</x:f>
        <x:v>2270.1377358490568</x:v>
      </x:c>
      <x:c r="N22" s="46" t="str">
        <x:v>문서 명시 연면적</x:v>
      </x:c>
      <x:c r="O22" s="46" t="str">
        <x:v>ToR 공사비 예산</x:v>
      </x:c>
      <x:c r="P22" s="46" t="str"/>
      <x:c r="Q22" s="46" t="str">
        <x:v>문서 내 별도 확인</x:v>
      </x:c>
      <x:c r="R22" s="46" t="str">
        <x:v>L2024-00066-1/Section 5 - Terms of Reference (ToR) R1.doc</x:v>
      </x:c>
      <x:c r="S22" s="43" t="str">
        <x:v>문단 46</x:v>
      </x:c>
      <x:c r="T22" s="46" t="str">
        <x:v>https://nebid.koica.go.kr/oep/lobi/localBidManageDetail.do?P_LOAZ_BID_PBLANC_NO=L2024-00066&amp;P_PBLANC_ODR=1</x:v>
      </x:c>
      <x:c r="U22" s="46" t="str">
        <x:v>3층, 총연면적 약 1,060㎡, 공사비 예산 약 USD 2,406,346.</x:v>
      </x:c>
    </x:row>
    <x:row r="23">
      <x:c r="A23" s="43" t="str">
        <x:v>L2024-00050-1</x:v>
      </x:c>
      <x:c r="B23" s="43" t="str">
        <x:v>2021-00042</x:v>
      </x:c>
      <x:c r="C23" s="43" t="n">
        <x:v>2024</x:v>
      </x:c>
      <x:c r="D23" s="43" t="str">
        <x:v>Uganda</x:v>
      </x:c>
      <x:c r="E23" s="46" t="str">
        <x:v>미상</x:v>
      </x:c>
      <x:c r="F23" s="46" t="str">
        <x:v>훈련복합시설</x:v>
      </x:c>
      <x:c r="G23" s="43" t="str">
        <x:v>신축</x:v>
      </x:c>
      <x:c r="H23" s="43" t="str">
        <x:v>B</x:v>
      </x:c>
      <x:c r="I23" s="43" t="str">
        <x:v>예</x:v>
      </x:c>
      <x:c r="J23" s="49" t="n">
        <x:v>4032</x:v>
      </x:c>
      <x:c r="K23" s="52" t="n">
        <x:v>3910000</x:v>
      </x:c>
      <x:c r="L23" s="52"/>
      <x:c r="M23" s="52" t="n">
        <x:f>IF(L23&lt;&gt;"",L23,IFERROR(K23/J23,""))</x:f>
        <x:v>969.7420634920635</x:v>
      </x:c>
      <x:c r="N23" s="46" t="str">
        <x:v>동별 면적 합계</x:v>
      </x:c>
      <x:c r="O23" s="46" t="str">
        <x:v>공사 입찰 집행한도</x:v>
      </x:c>
      <x:c r="P23" s="46" t="str">
        <x:v>외부공사 포함 가능</x:v>
      </x:c>
      <x:c r="Q23" s="46" t="str">
        <x:v>세금·관세 포함 여부 원문 재확인</x:v>
      </x:c>
      <x:c r="R23" s="46" t="str">
        <x:v>L2024-00050-1/입찰계획안(영문)_240912.docx</x:v>
      </x:c>
      <x:c r="S23" s="43" t="str">
        <x:v>표 4 행 8</x:v>
      </x:c>
      <x:c r="T23" s="46" t="str">
        <x:v>https://nebid.koica.go.kr/oep/lobi/localBidManageDetail.do?P_LOAZ_BID_PBLANC_NO=L2024-00050&amp;P_PBLANC_ODR=1</x:v>
      </x:c>
      <x:c r="U23" s="46" t="str">
        <x:v>동별 면적 합계 4,032.00㎡; 상세페이지 집행한도 USD 3,910,000; 산출단가 USD 970/㎡.</x:v>
      </x:c>
    </x:row>
    <x:row r="24">
      <x:c r="A24" s="43" t="str">
        <x:v>L2024-00049-2</x:v>
      </x:c>
      <x:c r="B24" s="43" t="str">
        <x:v>2021-00111</x:v>
      </x:c>
      <x:c r="C24" s="43" t="n">
        <x:v>2024</x:v>
      </x:c>
      <x:c r="D24" s="43" t="str">
        <x:v>El Salvador</x:v>
      </x:c>
      <x:c r="E24" s="46" t="str">
        <x:v>미상</x:v>
      </x:c>
      <x:c r="F24" s="46" t="str">
        <x:v>ITCA 교육시설</x:v>
      </x:c>
      <x:c r="G24" s="43" t="str">
        <x:v>신축</x:v>
      </x:c>
      <x:c r="H24" s="43" t="str">
        <x:v>A</x:v>
      </x:c>
      <x:c r="I24" s="43" t="str">
        <x:v>예</x:v>
      </x:c>
      <x:c r="J24" s="49" t="n">
        <x:v>788.12</x:v>
      </x:c>
      <x:c r="K24" s="52" t="n">
        <x:v>965000</x:v>
      </x:c>
      <x:c r="L24" s="52"/>
      <x:c r="M24" s="52" t="n">
        <x:f>IF(L24&lt;&gt;"",L24,IFERROR(K24/J24,""))</x:f>
        <x:v>1224.4328274881998</x:v>
      </x:c>
      <x:c r="N24" s="46" t="str">
        <x:v>총연면적</x:v>
      </x:c>
      <x:c r="O24" s="46" t="str">
        <x:v>공사 입찰 집행한도</x:v>
      </x:c>
      <x:c r="P24" s="46" t="str"/>
      <x:c r="Q24" s="46" t="str">
        <x:v>세금·관세 포함 여부 원문 재확인</x:v>
      </x:c>
      <x:c r="R24" s="46" t="str">
        <x:v>L2024-00049-2/3. Bidding Document_ITCA (Construction)/Attachment 6. Scope of Works_ITCA  Construction.docx</x:v>
      </x:c>
      <x:c r="S24" s="43" t="str">
        <x:v>문단 15</x:v>
      </x:c>
      <x:c r="T24" s="46" t="str">
        <x:v>https://nebid.koica.go.kr/oep/lobi/localBidManageDetail.do?P_LOAZ_BID_PBLANC_NO=L2024-00049&amp;P_PBLANC_ODR=2</x:v>
      </x:c>
      <x:c r="U24" s="46" t="str">
        <x:v>총연면적 788.12㎡; 상세페이지 집행한도 USD 965,000; 산출단가 USD 1,224/㎡.</x:v>
      </x:c>
    </x:row>
    <x:row r="25">
      <x:c r="A25" s="43" t="str">
        <x:v>L2024-00039-1</x:v>
      </x:c>
      <x:c r="B25" s="43" t="str">
        <x:v>2014-00016</x:v>
      </x:c>
      <x:c r="C25" s="43" t="n">
        <x:v>2024</x:v>
      </x:c>
      <x:c r="D25" s="43" t="str">
        <x:v>Iraq</x:v>
      </x:c>
      <x:c r="E25" s="46" t="str">
        <x:v>미상</x:v>
      </x:c>
      <x:c r="F25" s="46" t="str">
        <x:v>직업훈련원</x:v>
      </x:c>
      <x:c r="G25" s="43" t="str">
        <x:v>리모델링·개보수</x:v>
      </x:c>
      <x:c r="H25" s="43" t="str">
        <x:v>C</x:v>
      </x:c>
      <x:c r="I25" s="43" t="str">
        <x:v>아니오</x:v>
      </x:c>
      <x:c r="J25" s="49" t="n">
        <x:v>8217</x:v>
      </x:c>
      <x:c r="K25" s="52" t="n">
        <x:v>1811491</x:v>
      </x:c>
      <x:c r="L25" s="52"/>
      <x:c r="M25" s="52" t="n">
        <x:f>IF(L25&lt;&gt;"",L25,IFERROR(K25/J25,""))</x:f>
        <x:v>220.45649263721552</x:v>
      </x:c>
      <x:c r="N25" s="46" t="str">
        <x:v>대상 연면적</x:v>
      </x:c>
      <x:c r="O25" s="46" t="str">
        <x:v>공사 입찰 집행한도</x:v>
      </x:c>
      <x:c r="P25" s="46" t="str">
        <x:v>부분 리모델링 범위</x:v>
      </x:c>
      <x:c r="Q25" s="46" t="str">
        <x:v>세금·관세 포함 여부 원문 재확인</x:v>
      </x:c>
      <x:c r="R25" s="46" t="str">
        <x:v>L2024-00039-1/붙임3. Bidding Documents_20240702/Section 2 - Bid Data Sheet_20240701.docx</x:v>
      </x:c>
      <x:c r="S25" s="43" t="str">
        <x:v>표 4 행 8</x:v>
      </x:c>
      <x:c r="T25" s="46" t="str">
        <x:v>https://nebid.koica.go.kr/oep/lobi/localBidManageDetail.do?P_LOAZ_BID_PBLANC_NO=L2024-00039&amp;P_PBLANC_ODR=1</x:v>
      </x:c>
      <x:c r="U25" s="46" t="str">
        <x:v>대상 연면적 8,217.00㎡; 상세페이지 집행한도 USD 1,811,491; 산출단가 USD 220/㎡.</x:v>
      </x:c>
    </x:row>
    <x:row r="26">
      <x:c r="A26" s="43" t="str">
        <x:v>L2024-00031-1</x:v>
      </x:c>
      <x:c r="B26" s="43" t="str">
        <x:v>2022-00009</x:v>
      </x:c>
      <x:c r="C26" s="43" t="n">
        <x:v>2024</x:v>
      </x:c>
      <x:c r="D26" s="43" t="str">
        <x:v>Nepal</x:v>
      </x:c>
      <x:c r="E26" s="46" t="str">
        <x:v>Bhaktapur</x:v>
      </x:c>
      <x:c r="F26" s="46" t="str">
        <x:v>교육시설</x:v>
      </x:c>
      <x:c r="G26" s="43" t="str">
        <x:v>신축</x:v>
      </x:c>
      <x:c r="H26" s="43" t="str">
        <x:v>A</x:v>
      </x:c>
      <x:c r="I26" s="43" t="str">
        <x:v>예</x:v>
      </x:c>
      <x:c r="J26" s="49" t="n">
        <x:v>5898.25</x:v>
      </x:c>
      <x:c r="K26" s="52" t="n">
        <x:v>4653720</x:v>
      </x:c>
      <x:c r="L26" s="52"/>
      <x:c r="M26" s="52" t="n">
        <x:f>IF(L26&lt;&gt;"",L26,IFERROR(K26/J26,""))</x:f>
        <x:v>789.0001271563599</x:v>
      </x:c>
      <x:c r="N26" s="46" t="str">
        <x:v>총연면적</x:v>
      </x:c>
      <x:c r="O26" s="46" t="str">
        <x:v>공사 입찰 집행한도</x:v>
      </x:c>
      <x:c r="P26" s="46" t="str"/>
      <x:c r="Q26" s="46" t="str">
        <x:v>세금·관세 포함 여부 원문 재확인</x:v>
      </x:c>
      <x:c r="R26" s="46" t="str">
        <x:v>L2024-00031-1/1-2. BID DOCUMENTS-Project for Universal Health Coverage for the poor in vulnerable area in Bha.docx</x:v>
      </x:c>
      <x:c r="S26" s="43" t="str">
        <x:v>표 5 행 8</x:v>
      </x:c>
      <x:c r="T26" s="46" t="str">
        <x:v>https://nebid.koica.go.kr/oep/lobi/localBidManageDetail.do?P_LOAZ_BID_PBLANC_NO=L2024-00031&amp;P_PBLANC_ODR=1</x:v>
      </x:c>
      <x:c r="U26" s="46" t="str">
        <x:v>총연면적 5,898.25㎡; 상세페이지 집행한도 USD 4,653,720; 산출단가 USD 789/㎡.</x:v>
      </x:c>
    </x:row>
    <x:row r="27">
      <x:c r="A27" s="43" t="str">
        <x:v>L2023-00068-1</x:v>
      </x:c>
      <x:c r="B27" s="43" t="str">
        <x:v>2011-00008</x:v>
      </x:c>
      <x:c r="C27" s="43" t="n">
        <x:v>2023</x:v>
      </x:c>
      <x:c r="D27" s="43" t="str">
        <x:v>Cambodia</x:v>
      </x:c>
      <x:c r="E27" s="46" t="str">
        <x:v>미상</x:v>
      </x:c>
      <x:c r="F27" s="46" t="str">
        <x:v>안과병원</x:v>
      </x:c>
      <x:c r="G27" s="43" t="str">
        <x:v>리모델링·개보수</x:v>
      </x:c>
      <x:c r="H27" s="43" t="str">
        <x:v>C</x:v>
      </x:c>
      <x:c r="I27" s="43" t="str">
        <x:v>아니오</x:v>
      </x:c>
      <x:c r="J27" s="49" t="n">
        <x:v>3500</x:v>
      </x:c>
      <x:c r="K27" s="52" t="n">
        <x:v>239882</x:v>
      </x:c>
      <x:c r="L27" s="52"/>
      <x:c r="M27" s="52" t="n">
        <x:f>IF(L27&lt;&gt;"",L27,IFERROR(K27/J27,""))</x:f>
        <x:v>68.53771428571429</x:v>
      </x:c>
      <x:c r="N27" s="46" t="str">
        <x:v>대상 연면적</x:v>
      </x:c>
      <x:c r="O27" s="46" t="str">
        <x:v>공사 입찰 집행한도</x:v>
      </x:c>
      <x:c r="P27" s="46" t="str">
        <x:v>부분 보수 공사</x:v>
      </x:c>
      <x:c r="Q27" s="46" t="str">
        <x:v>세금·관세 포함 여부 원문 재확인</x:v>
      </x:c>
      <x:c r="R27" s="46" t="str">
        <x:v>L2023-00068-1/입찰공고 관련서류 최종본/Section 2 - Bid Data Sheet (BDS).docx</x:v>
      </x:c>
      <x:c r="S27" s="43" t="str">
        <x:v>표 5 행 8</x:v>
      </x:c>
      <x:c r="T27" s="46" t="str">
        <x:v>https://nebid.koica.go.kr/oep/lobi/localBidManageDetail.do?P_LOAZ_BID_PBLANC_NO=L2023-00068&amp;P_PBLANC_ODR=1</x:v>
      </x:c>
      <x:c r="U27" s="46" t="str">
        <x:v>대상 연면적 3,500.00㎡; 상세페이지 집행한도 USD 239,882; 산출단가 USD 69/㎡.</x:v>
      </x:c>
    </x:row>
    <x:row r="28">
      <x:c r="A28" s="43" t="str">
        <x:v>L2023-00067-1</x:v>
      </x:c>
      <x:c r="B28" s="43" t="str">
        <x:v>2020-00099</x:v>
      </x:c>
      <x:c r="C28" s="43" t="n">
        <x:v>2023</x:v>
      </x:c>
      <x:c r="D28" s="43" t="str">
        <x:v>Kyrgyzstan</x:v>
      </x:c>
      <x:c r="E28" s="46" t="str">
        <x:v>Bishkek</x:v>
      </x:c>
      <x:c r="F28" s="46" t="str">
        <x:v>G-Cloud 시설</x:v>
      </x:c>
      <x:c r="G28" s="43" t="str">
        <x:v>리모델링·개보수</x:v>
      </x:c>
      <x:c r="H28" s="43" t="str">
        <x:v>B</x:v>
      </x:c>
      <x:c r="I28" s="43" t="str">
        <x:v>예</x:v>
      </x:c>
      <x:c r="J28" s="49" t="n">
        <x:v>420</x:v>
      </x:c>
      <x:c r="K28" s="52" t="n">
        <x:v>280621</x:v>
      </x:c>
      <x:c r="L28" s="52"/>
      <x:c r="M28" s="52" t="n">
        <x:f>IF(L28&lt;&gt;"",L28,IFERROR(K28/J28,""))</x:f>
        <x:v>668.1452380952381</x:v>
      </x:c>
      <x:c r="N28" s="46" t="str">
        <x:v>대상 연면적</x:v>
      </x:c>
      <x:c r="O28" s="46" t="str">
        <x:v>공사 입찰 집행한도</x:v>
      </x:c>
      <x:c r="P28" s="46" t="str"/>
      <x:c r="Q28" s="46" t="str">
        <x:v>세금·관세 포함 여부 원문 재확인</x:v>
      </x:c>
      <x:c r="R28" s="46" t="str">
        <x:v>L2023-00067-1/ENG Version/ENG Version/-ENG_Section 2 Bid Data Sheet.docx</x:v>
      </x:c>
      <x:c r="S28" s="43" t="str">
        <x:v>표 3 행 8</x:v>
      </x:c>
      <x:c r="T28" s="46" t="str">
        <x:v>https://nebid.koica.go.kr/oep/lobi/localBidManageDetail.do?P_LOAZ_BID_PBLANC_NO=L2023-00067&amp;P_PBLANC_ODR=1</x:v>
      </x:c>
      <x:c r="U28" s="46" t="str">
        <x:v>대상 연면적 420.00㎡; 상세페이지 집행한도 USD 280,621; 산출단가 USD 668/㎡.</x:v>
      </x:c>
    </x:row>
    <x:row r="29">
      <x:c r="A29" s="43" t="str">
        <x:v>L2023-00060-1</x:v>
      </x:c>
      <x:c r="B29" s="43" t="str">
        <x:v>2019-00037</x:v>
      </x:c>
      <x:c r="C29" s="43" t="n">
        <x:v>2023</x:v>
      </x:c>
      <x:c r="D29" s="43" t="str">
        <x:v>El Salvador</x:v>
      </x:c>
      <x:c r="E29" s="46" t="str">
        <x:v>미상</x:v>
      </x:c>
      <x:c r="F29" s="46" t="str">
        <x:v>보건교육센터</x:v>
      </x:c>
      <x:c r="G29" s="43" t="str">
        <x:v>신축</x:v>
      </x:c>
      <x:c r="H29" s="43" t="str">
        <x:v>A</x:v>
      </x:c>
      <x:c r="I29" s="43" t="str">
        <x:v>예</x:v>
      </x:c>
      <x:c r="J29" s="49" t="n">
        <x:v>2983</x:v>
      </x:c>
      <x:c r="K29" s="52" t="n">
        <x:v>3875000</x:v>
      </x:c>
      <x:c r="L29" s="52"/>
      <x:c r="M29" s="52" t="n">
        <x:f>IF(L29&lt;&gt;"",L29,IFERROR(K29/J29,""))</x:f>
        <x:v>1299.0278243379148</x:v>
      </x:c>
      <x:c r="N29" s="46" t="str">
        <x:v>총연면적</x:v>
      </x:c>
      <x:c r="O29" s="46" t="str">
        <x:v>공사 입찰 집행한도</x:v>
      </x:c>
      <x:c r="P29" s="46" t="str"/>
      <x:c r="Q29" s="46" t="str">
        <x:v>세금·관세 포함 여부 원문 재확인</x:v>
      </x:c>
      <x:c r="R29" s="46" t="str">
        <x:v>L2023-00060-1/붙임 1. 입찰공고문 및 서류_영문/Section 2 - Bid data sheet_eng.doc</x:v>
      </x:c>
      <x:c r="S29" s="43" t="str">
        <x:v>문단 24</x:v>
      </x:c>
      <x:c r="T29" s="46" t="str">
        <x:v>https://nebid.koica.go.kr/oep/lobi/localBidManageDetail.do?P_LOAZ_BID_PBLANC_NO=L2023-00060&amp;P_PBLANC_ODR=1</x:v>
      </x:c>
      <x:c r="U29" s="46" t="str">
        <x:v>총연면적 2,983.00㎡; 상세페이지 집행한도 USD 3,875,000; 산출단가 USD 1,299/㎡.</x:v>
      </x:c>
    </x:row>
    <x:row r="30">
      <x:c r="A30" s="43" t="str">
        <x:v>L2023-00053-1</x:v>
      </x:c>
      <x:c r="B30" s="43" t="str">
        <x:v>2020-00086</x:v>
      </x:c>
      <x:c r="C30" s="43" t="n">
        <x:v>2023</x:v>
      </x:c>
      <x:c r="D30" s="43" t="str">
        <x:v>Uzbekistan</x:v>
      </x:c>
      <x:c r="E30" s="46" t="str">
        <x:v>미상</x:v>
      </x:c>
      <x:c r="F30" s="46" t="str">
        <x:v>직업훈련원</x:v>
      </x:c>
      <x:c r="G30" s="43" t="str">
        <x:v>신축</x:v>
      </x:c>
      <x:c r="H30" s="43" t="str">
        <x:v>A</x:v>
      </x:c>
      <x:c r="I30" s="43" t="str">
        <x:v>예</x:v>
      </x:c>
      <x:c r="J30" s="49" t="n">
        <x:v>6963</x:v>
      </x:c>
      <x:c r="K30" s="52" t="n">
        <x:v>5361576</x:v>
      </x:c>
      <x:c r="L30" s="52"/>
      <x:c r="M30" s="52" t="n">
        <x:f>IF(L30&lt;&gt;"",L30,IFERROR(K30/J30,""))</x:f>
        <x:v>770.0094786729858</x:v>
      </x:c>
      <x:c r="N30" s="46" t="str">
        <x:v>총연면적</x:v>
      </x:c>
      <x:c r="O30" s="46" t="str">
        <x:v>공사 입찰 집행한도</x:v>
      </x:c>
      <x:c r="P30" s="46" t="str"/>
      <x:c r="Q30" s="46" t="str">
        <x:v>세금·관세 포함 여부 원문 재확인</x:v>
      </x:c>
      <x:c r="R30" s="46" t="str">
        <x:v>L2023-00053-1/Urgench VTC Bid Attachment Documents/Urgench VTC Bid Attachment Documents/Urgench_VTC_Bid Annoncement(The Daily Korean News for Korean Residents).docx</x:v>
      </x:c>
      <x:c r="S30" s="43" t="str">
        <x:v>문단 10</x:v>
      </x:c>
      <x:c r="T30" s="46" t="str">
        <x:v>https://nebid.koica.go.kr/oep/lobi/localBidManageDetail.do?P_LOAZ_BID_PBLANC_NO=L2023-00053&amp;P_PBLANC_ODR=1</x:v>
      </x:c>
      <x:c r="U30" s="46" t="str">
        <x:v>총연면적 6,963.00㎡; 상세페이지 집행한도 USD 5,361,576; 산출단가 USD 770/㎡.</x:v>
      </x:c>
    </x:row>
    <x:row r="31">
      <x:c r="A31" s="43" t="str">
        <x:v>L2023-00045-1</x:v>
      </x:c>
      <x:c r="B31" s="43" t="str">
        <x:v>2021-00055</x:v>
      </x:c>
      <x:c r="C31" s="43" t="n">
        <x:v>2023</x:v>
      </x:c>
      <x:c r="D31" s="43" t="str">
        <x:v>Senegal</x:v>
      </x:c>
      <x:c r="E31" s="46" t="str">
        <x:v>미상</x:v>
      </x:c>
      <x:c r="F31" s="46" t="str">
        <x:v>메이커스페이스</x:v>
      </x:c>
      <x:c r="G31" s="43" t="str">
        <x:v>리모델링·개보수</x:v>
      </x:c>
      <x:c r="H31" s="43" t="str">
        <x:v>B</x:v>
      </x:c>
      <x:c r="I31" s="43" t="str">
        <x:v>예</x:v>
      </x:c>
      <x:c r="J31" s="49" t="n">
        <x:v>453</x:v>
      </x:c>
      <x:c r="K31" s="52" t="n">
        <x:v>297000</x:v>
      </x:c>
      <x:c r="L31" s="52"/>
      <x:c r="M31" s="52" t="n">
        <x:f>IF(L31&lt;&gt;"",L31,IFERROR(K31/J31,""))</x:f>
        <x:v>655.6291390728477</x:v>
      </x:c>
      <x:c r="N31" s="46" t="str">
        <x:v>대상 연면적</x:v>
      </x:c>
      <x:c r="O31" s="46" t="str">
        <x:v>공사 입찰 집행한도</x:v>
      </x:c>
      <x:c r="P31" s="46" t="str"/>
      <x:c r="Q31" s="46" t="str">
        <x:v>세금·관세 포함 여부 원문 재확인</x:v>
      </x:c>
      <x:c r="R31" s="46" t="str">
        <x:v>L2023-00045-1/입찰공고문_영문_Final.docx</x:v>
      </x:c>
      <x:c r="S31" s="43" t="str">
        <x:v>문단 8</x:v>
      </x:c>
      <x:c r="T31" s="46" t="str">
        <x:v>https://nebid.koica.go.kr/oep/lobi/localBidManageDetail.do?P_LOAZ_BID_PBLANC_NO=L2023-00045&amp;P_PBLANC_ODR=1</x:v>
      </x:c>
      <x:c r="U31" s="46" t="str">
        <x:v>대상 연면적 453.00㎡; 상세페이지 집행한도 USD 297,000; 산출단가 USD 656/㎡.</x:v>
      </x:c>
    </x:row>
    <x:row r="32">
      <x:c r="A32" s="43" t="str">
        <x:v>L2023-00038-1</x:v>
      </x:c>
      <x:c r="B32" s="43" t="str">
        <x:v>2022-00076</x:v>
      </x:c>
      <x:c r="C32" s="43" t="n">
        <x:v>2023</x:v>
      </x:c>
      <x:c r="D32" s="43" t="str">
        <x:v>Fiji</x:v>
      </x:c>
      <x:c r="E32" s="46" t="str">
        <x:v>Tamavua·Suva</x:v>
      </x:c>
      <x:c r="F32" s="46" t="str">
        <x:v>국립재활센터</x:v>
      </x:c>
      <x:c r="G32" s="43" t="str">
        <x:v>신축</x:v>
      </x:c>
      <x:c r="H32" s="43" t="str">
        <x:v>B</x:v>
      </x:c>
      <x:c r="I32" s="43" t="str">
        <x:v>아니오</x:v>
      </x:c>
      <x:c r="J32" s="49" t="n">
        <x:v>2700</x:v>
      </x:c>
      <x:c r="K32" s="52" t="n">
        <x:v>5627206</x:v>
      </x:c>
      <x:c r="L32" s="52"/>
      <x:c r="M32" s="52" t="n">
        <x:f>IF(L32&lt;&gt;"",L32,IFERROR(K32/J32,""))</x:f>
        <x:v>2084.15037037037</x:v>
      </x:c>
      <x:c r="N32" s="46" t="str">
        <x:v>문서 명시 연면적</x:v>
      </x:c>
      <x:c r="O32" s="46" t="str">
        <x:v>설계입찰 단계 공사비 예산</x:v>
      </x:c>
      <x:c r="P32" s="46" t="str">
        <x:v>면적이 약식값이며 상세 공간계획 합계는 2,686.4㎡.</x:v>
      </x:c>
      <x:c r="Q32" s="46" t="str">
        <x:v>문서 내 별도 확인</x:v>
      </x:c>
      <x:c r="R32" s="46" t="str">
        <x:v>L2023-00038-1/1. 입찰계획서(피지국립재활센터 건립사업 설계 및 감리 용역)-김우영-230713.hwp</x:v>
      </x:c>
      <x:c r="S32" s="43" t="str">
        <x:v>문단 68 및 문단 70</x:v>
      </x:c>
      <x:c r="T32" s="46" t="str">
        <x:v>https://nebid.koica.go.kr/oep/lobi/localBidManageDetail.do?P_LOAZ_BID_PBLANC_NO=L2023-00038&amp;P_PBLANC_ODR=1</x:v>
      </x:c>
      <x:c r="U32" s="46" t="str">
        <x:v>연면적 약 2,700㎡, 공사비 예산 USD 5,627,206.</x:v>
      </x:c>
    </x:row>
    <x:row r="33">
      <x:c r="A33" s="43" t="str">
        <x:v>L2023-00035-1</x:v>
      </x:c>
      <x:c r="B33" s="43" t="str">
        <x:v>2019-00015</x:v>
      </x:c>
      <x:c r="C33" s="43" t="n">
        <x:v>2023</x:v>
      </x:c>
      <x:c r="D33" s="43" t="str">
        <x:v>Kyrgyzstan</x:v>
      </x:c>
      <x:c r="E33" s="46" t="str">
        <x:v>미상</x:v>
      </x:c>
      <x:c r="F33" s="46" t="str">
        <x:v>공공서비스센터</x:v>
      </x:c>
      <x:c r="G33" s="43" t="str">
        <x:v>리모델링·개보수</x:v>
      </x:c>
      <x:c r="H33" s="43" t="str">
        <x:v>C</x:v>
      </x:c>
      <x:c r="I33" s="43" t="str">
        <x:v>아니오</x:v>
      </x:c>
      <x:c r="J33" s="49" t="n">
        <x:v>1739.82</x:v>
      </x:c>
      <x:c r="K33" s="52" t="n">
        <x:v>388511</x:v>
      </x:c>
      <x:c r="L33" s="52"/>
      <x:c r="M33" s="52" t="n">
        <x:f>IF(L33&lt;&gt;"",L33,IFERROR(K33/J33,""))</x:f>
        <x:v>223.30528445471373</x:v>
      </x:c>
      <x:c r="N33" s="46" t="str">
        <x:v>대상 연면적</x:v>
      </x:c>
      <x:c r="O33" s="46" t="str">
        <x:v>공사 입찰 집행한도</x:v>
      </x:c>
      <x:c r="P33" s="46" t="str">
        <x:v>재활·보수 범위</x:v>
      </x:c>
      <x:c r="Q33" s="46" t="str">
        <x:v>세금·관세 포함 여부 원문 재확인</x:v>
      </x:c>
      <x:c r="R33" s="46" t="str">
        <x:v>L2023-00035-1/DOC/OPSC_eng/ENG_Section 2 - Bid Data Sheet (BDS)_Kyrgyzstan_OPSC_22 JUNE_CM reviewed.docx</x:v>
      </x:c>
      <x:c r="S33" s="43" t="str">
        <x:v>표 3 행 8</x:v>
      </x:c>
      <x:c r="T33" s="46" t="str">
        <x:v>https://nebid.koica.go.kr/oep/lobi/localBidManageDetail.do?P_LOAZ_BID_PBLANC_NO=L2023-00035&amp;P_PBLANC_ODR=1</x:v>
      </x:c>
      <x:c r="U33" s="46" t="str">
        <x:v>대상 연면적 1,739.82㎡; 상세페이지 집행한도 USD 388,511; 산출단가 USD 223/㎡.</x:v>
      </x:c>
    </x:row>
    <x:row r="34">
      <x:c r="A34" s="43" t="str">
        <x:v>L2023-00022-1</x:v>
      </x:c>
      <x:c r="B34" s="43" t="str">
        <x:v>2021-00075</x:v>
      </x:c>
      <x:c r="C34" s="43" t="n">
        <x:v>2023</x:v>
      </x:c>
      <x:c r="D34" s="43" t="str">
        <x:v>Timor-Leste</x:v>
      </x:c>
      <x:c r="E34" s="46" t="str">
        <x:v>미상</x:v>
      </x:c>
      <x:c r="F34" s="46" t="str">
        <x:v>농업 인프라 시설</x:v>
      </x:c>
      <x:c r="G34" s="43" t="str">
        <x:v>신축·토목</x:v>
      </x:c>
      <x:c r="H34" s="43" t="str">
        <x:v>C</x:v>
      </x:c>
      <x:c r="I34" s="43" t="str">
        <x:v>아니오</x:v>
      </x:c>
      <x:c r="J34" s="49" t="n">
        <x:v>826.8</x:v>
      </x:c>
      <x:c r="K34" s="52" t="n">
        <x:v>1570000</x:v>
      </x:c>
      <x:c r="L34" s="52"/>
      <x:c r="M34" s="52" t="n">
        <x:f>IF(L34&lt;&gt;"",L34,IFERROR(K34/J34,""))</x:f>
        <x:v>1898.887276245767</x:v>
      </x:c>
      <x:c r="N34" s="46" t="str">
        <x:v>동별 면적 합계</x:v>
      </x:c>
      <x:c r="O34" s="46" t="str">
        <x:v>공사 입찰 집행한도</x:v>
      </x:c>
      <x:c r="P34" s="46" t="str">
        <x:v>도로·급수 등 토목 포함</x:v>
      </x:c>
      <x:c r="Q34" s="46" t="str">
        <x:v>세금·관세 포함 여부 원문 재확인</x:v>
      </x:c>
      <x:c r="R34" s="46" t="str">
        <x:v>L2023-00022-1/Notice of Bid for Construction_230503.docx</x:v>
      </x:c>
      <x:c r="S34" s="43" t="str">
        <x:v>표 1 행 8</x:v>
      </x:c>
      <x:c r="T34" s="46" t="str">
        <x:v>https://nebid.koica.go.kr/oep/lobi/localBidManageDetail.do?P_LOAZ_BID_PBLANC_NO=L2023-00022&amp;P_PBLANC_ODR=1</x:v>
      </x:c>
      <x:c r="U34" s="46" t="str">
        <x:v>동별 면적 합계 826.80㎡; 상세페이지 집행한도 USD 1,570,000; 산출단가 USD 1,899/㎡.</x:v>
      </x:c>
    </x:row>
    <x:row r="35">
      <x:c r="A35" s="43" t="str">
        <x:v>L2023-00021-1</x:v>
      </x:c>
      <x:c r="B35" s="43" t="str">
        <x:v>2021-00064</x:v>
      </x:c>
      <x:c r="C35" s="43" t="n">
        <x:v>2023</x:v>
      </x:c>
      <x:c r="D35" s="43" t="str">
        <x:v>Paraguay</x:v>
      </x:c>
      <x:c r="E35" s="46" t="str">
        <x:v>미상</x:v>
      </x:c>
      <x:c r="F35" s="46" t="str">
        <x:v>멀티미디어 교육지원센터</x:v>
      </x:c>
      <x:c r="G35" s="43" t="str">
        <x:v>신축</x:v>
      </x:c>
      <x:c r="H35" s="43" t="str">
        <x:v>A</x:v>
      </x:c>
      <x:c r="I35" s="43" t="str">
        <x:v>예</x:v>
      </x:c>
      <x:c r="J35" s="49"/>
      <x:c r="K35" s="52"/>
      <x:c r="L35" s="52" t="n">
        <x:v>1100</x:v>
      </x:c>
      <x:c r="M35" s="52" t="n">
        <x:f>IF(L35&lt;&gt;"",L35,IFERROR(K35/J35,""))</x:f>
        <x:v>1100</x:v>
      </x:c>
      <x:c r="N35" s="46" t="str">
        <x:v>직접 제시 계획단가</x:v>
      </x:c>
      <x:c r="O35" s="46" t="str">
        <x:v>사무소 협의 적용단가</x:v>
      </x:c>
      <x:c r="P35" s="46" t="str">
        <x:v>면적·총공사비가 아닌 직접 제시된 계획단가.</x:v>
      </x:c>
      <x:c r="Q35" s="46" t="str">
        <x:v>문서 내 별도 확인</x:v>
      </x:c>
      <x:c r="R35" s="46" t="str">
        <x:v>L2023-00021-1/붙임1. 파라과이 멀티미디어 센터 설계용역 입찰설명서(국문본)_최종_230130_기평팀.hwp</x:v>
      </x:c>
      <x:c r="S35" s="43" t="str">
        <x:v>문단 567</x:v>
      </x:c>
      <x:c r="T35" s="46" t="str">
        <x:v>https://nebid.koica.go.kr/oep/lobi/localBidManageDetail.do?P_LOAZ_BID_PBLANC_NO=L2023-00021&amp;P_PBLANC_ODR=1</x:v>
      </x:c>
      <x:c r="U35" s="46" t="str">
        <x:v>건축 공사비 단가 USD 1,100/㎡ 적용, 설계비 8% 적용.</x:v>
      </x:c>
    </x:row>
    <x:row r="36">
      <x:c r="A36" s="43" t="str">
        <x:v>L2023-00018-1</x:v>
      </x:c>
      <x:c r="B36" s="43" t="str">
        <x:v>2020-00087</x:v>
      </x:c>
      <x:c r="C36" s="43" t="n">
        <x:v>2023</x:v>
      </x:c>
      <x:c r="D36" s="43" t="str">
        <x:v>Indonesia</x:v>
      </x:c>
      <x:c r="E36" s="46" t="str">
        <x:v>미상</x:v>
      </x:c>
      <x:c r="F36" s="46" t="str">
        <x:v>청소년 재활시설</x:v>
      </x:c>
      <x:c r="G36" s="43" t="str">
        <x:v>리모델링·개보수</x:v>
      </x:c>
      <x:c r="H36" s="43" t="str">
        <x:v>C</x:v>
      </x:c>
      <x:c r="I36" s="43" t="str">
        <x:v>아니오</x:v>
      </x:c>
      <x:c r="J36" s="49" t="n">
        <x:v>6149</x:v>
      </x:c>
      <x:c r="K36" s="52" t="n">
        <x:v>2355000</x:v>
      </x:c>
      <x:c r="L36" s="52"/>
      <x:c r="M36" s="52" t="n">
        <x:f>IF(L36&lt;&gt;"",L36,IFERROR(K36/J36,""))</x:f>
        <x:v>382.98910391933646</x:v>
      </x:c>
      <x:c r="N36" s="46" t="str">
        <x:v>대상 연면적</x:v>
      </x:c>
      <x:c r="O36" s="46" t="str">
        <x:v>공사 입찰 집행한도</x:v>
      </x:c>
      <x:c r="P36" s="46" t="str">
        <x:v>개보수 패키지</x:v>
      </x:c>
      <x:c r="Q36" s="46" t="str">
        <x:v>세금·관세 포함 여부 원문 재확인</x:v>
      </x:c>
      <x:c r="R36" s="46" t="str">
        <x:v>L2023-00018-1/(붙임1) 취약계층 청소년 사회복귀 지원사업 시공사 선정 입찰계획(안) - v2.5.hwp</x:v>
      </x:c>
      <x:c r="S36" s="43" t="str">
        <x:v>문단 67</x:v>
      </x:c>
      <x:c r="T36" s="46" t="str">
        <x:v>https://nebid.koica.go.kr/oep/lobi/localBidManageDetail.do?P_LOAZ_BID_PBLANC_NO=L2023-00018&amp;P_PBLANC_ODR=1</x:v>
      </x:c>
      <x:c r="U36" s="46" t="str">
        <x:v>대상 연면적 6,149.00㎡; 상세페이지 집행한도 USD 2,355,000; 산출단가 USD 383/㎡.</x:v>
      </x:c>
    </x:row>
    <x:row r="37">
      <x:c r="A37" s="43" t="str">
        <x:v>L2023-00011-1</x:v>
      </x:c>
      <x:c r="B37" s="43" t="str">
        <x:v>2021-00043</x:v>
      </x:c>
      <x:c r="C37" s="43" t="n">
        <x:v>2023</x:v>
      </x:c>
      <x:c r="D37" s="43" t="str">
        <x:v>Uganda</x:v>
      </x:c>
      <x:c r="E37" s="46" t="str">
        <x:v>미상</x:v>
      </x:c>
      <x:c r="F37" s="46" t="str">
        <x:v>온실·창고</x:v>
      </x:c>
      <x:c r="G37" s="43" t="str">
        <x:v>신축·토목</x:v>
      </x:c>
      <x:c r="H37" s="43" t="str">
        <x:v>C</x:v>
      </x:c>
      <x:c r="I37" s="43" t="str">
        <x:v>아니오</x:v>
      </x:c>
      <x:c r="J37" s="49" t="n">
        <x:v>6456</x:v>
      </x:c>
      <x:c r="K37" s="52" t="n">
        <x:v>1540000</x:v>
      </x:c>
      <x:c r="L37" s="52"/>
      <x:c r="M37" s="52" t="n">
        <x:f>IF(L37&lt;&gt;"",L37,IFERROR(K37/J37,""))</x:f>
        <x:v>238.53779429987608</x:v>
      </x:c>
      <x:c r="N37" s="46" t="str">
        <x:v>시설 면적 합계</x:v>
      </x:c>
      <x:c r="O37" s="46" t="str">
        <x:v>공사 입찰 집행한도</x:v>
      </x:c>
      <x:c r="P37" s="46" t="str">
        <x:v>온실 중심 비표준 시설</x:v>
      </x:c>
      <x:c r="Q37" s="46" t="str">
        <x:v>세금·관세 포함 여부 원문 재확인</x:v>
      </x:c>
      <x:c r="R37" s="46" t="str">
        <x:v>L2023-00011-1/Section 2 - Bid Data Sheet (BDS).docx</x:v>
      </x:c>
      <x:c r="S37" s="43" t="str">
        <x:v>표 5 행 8</x:v>
      </x:c>
      <x:c r="T37" s="46" t="str">
        <x:v>https://nebid.koica.go.kr/oep/lobi/localBidManageDetail.do?P_LOAZ_BID_PBLANC_NO=L2023-00011&amp;P_PBLANC_ODR=1</x:v>
      </x:c>
      <x:c r="U37" s="46" t="str">
        <x:v>시설 면적 합계 6,456.00㎡; 상세페이지 집행한도 USD 1,540,000; 산출단가 USD 239/㎡.</x:v>
      </x:c>
    </x:row>
    <x:row r="38">
      <x:c r="A38" s="43" t="str">
        <x:v>L2023-00009-1</x:v>
      </x:c>
      <x:c r="B38" s="43" t="str">
        <x:v>2019-00005</x:v>
      </x:c>
      <x:c r="C38" s="43" t="n">
        <x:v>2023</x:v>
      </x:c>
      <x:c r="D38" s="43" t="str">
        <x:v>Uganda</x:v>
      </x:c>
      <x:c r="E38" s="46" t="str">
        <x:v>미상</x:v>
      </x:c>
      <x:c r="F38" s="46" t="str">
        <x:v>옥수수 가공·시장시설</x:v>
      </x:c>
      <x:c r="G38" s="43" t="str">
        <x:v>신축</x:v>
      </x:c>
      <x:c r="H38" s="43" t="str">
        <x:v>B</x:v>
      </x:c>
      <x:c r="I38" s="43" t="str">
        <x:v>예</x:v>
      </x:c>
      <x:c r="J38" s="49" t="n">
        <x:v>827.4</x:v>
      </x:c>
      <x:c r="K38" s="52" t="n">
        <x:v>272603</x:v>
      </x:c>
      <x:c r="L38" s="52"/>
      <x:c r="M38" s="52" t="n">
        <x:f>IF(L38&lt;&gt;"",L38,IFERROR(K38/J38,""))</x:f>
        <x:v>329.46942228668115</x:v>
      </x:c>
      <x:c r="N38" s="46" t="str">
        <x:v>시설 면적 합계</x:v>
      </x:c>
      <x:c r="O38" s="46" t="str">
        <x:v>공사 입찰 집행한도</x:v>
      </x:c>
      <x:c r="P38" s="46" t="str">
        <x:v>산업·시장시설</x:v>
      </x:c>
      <x:c r="Q38" s="46" t="str">
        <x:v>세금·관세 포함 여부 원문 재확인</x:v>
      </x:c>
      <x:c r="R38" s="46" t="str">
        <x:v>L2023-00009-1/2. 입찰서류(영문)/Part 1(└╘┬√ └²┬≈)/Section 2 - Bid Data Sheet.docx</x:v>
      </x:c>
      <x:c r="S38" s="43" t="str">
        <x:v>표 5 행 8</x:v>
      </x:c>
      <x:c r="T38" s="46" t="str">
        <x:v>https://nebid.koica.go.kr/oep/lobi/localBidManageDetail.do?P_LOAZ_BID_PBLANC_NO=L2023-00009&amp;P_PBLANC_ODR=1</x:v>
      </x:c>
      <x:c r="U38" s="46" t="str">
        <x:v>시설 면적 합계 827.40㎡; 상세페이지 집행한도 USD 272,603; 산출단가 USD 329/㎡.</x:v>
      </x:c>
    </x:row>
    <x:row r="39">
      <x:c r="A39" s="43" t="str">
        <x:v>L2022-00055-1</x:v>
      </x:c>
      <x:c r="B39" s="43" t="str">
        <x:v>2019-00015</x:v>
      </x:c>
      <x:c r="C39" s="43" t="n">
        <x:v>2022</x:v>
      </x:c>
      <x:c r="D39" s="43" t="str">
        <x:v>Kyrgyzstan</x:v>
      </x:c>
      <x:c r="E39" s="46" t="str">
        <x:v>미상</x:v>
      </x:c>
      <x:c r="F39" s="46" t="str">
        <x:v>약초 건조시설</x:v>
      </x:c>
      <x:c r="G39" s="43" t="str">
        <x:v>신축</x:v>
      </x:c>
      <x:c r="H39" s="43" t="str">
        <x:v>B</x:v>
      </x:c>
      <x:c r="I39" s="43" t="str">
        <x:v>예</x:v>
      </x:c>
      <x:c r="J39" s="49" t="n">
        <x:v>449.72</x:v>
      </x:c>
      <x:c r="K39" s="52" t="n">
        <x:v>420285</x:v>
      </x:c>
      <x:c r="L39" s="52"/>
      <x:c r="M39" s="52" t="n">
        <x:f>IF(L39&lt;&gt;"",L39,IFERROR(K39/J39,""))</x:f>
        <x:v>934.5481633016099</x:v>
      </x:c>
      <x:c r="N39" s="46" t="str">
        <x:v>총연면적</x:v>
      </x:c>
      <x:c r="O39" s="46" t="str">
        <x:v>공사 입찰 집행한도</x:v>
      </x:c>
      <x:c r="P39" s="46" t="str">
        <x:v>산업시설</x:v>
      </x:c>
      <x:c r="Q39" s="46" t="str">
        <x:v>세금·관세 포함 여부 원문 재확인</x:v>
      </x:c>
      <x:c r="R39" s="46" t="str">
        <x:v>L2022-00055-1/(붙임1) 키르기즈 약초건조장 신축공사 현지 입찰 계획서(안) 국문_v4_0914_추가수정.hwp</x:v>
      </x:c>
      <x:c r="S39" s="43" t="str">
        <x:v>문단 103</x:v>
      </x:c>
      <x:c r="T39" s="46" t="str">
        <x:v>https://nebid.koica.go.kr/oep/lobi/localBidManageDetail.do?P_LOAZ_BID_PBLANC_NO=L2022-00055&amp;P_PBLANC_ODR=1</x:v>
      </x:c>
      <x:c r="U39" s="46" t="str">
        <x:v>총연면적 449.72㎡; 상세페이지 집행한도 USD 420,285; 산출단가 USD 935/㎡.</x:v>
      </x:c>
    </x:row>
    <x:row r="40">
      <x:c r="A40" s="43" t="str">
        <x:v>L2022-00046-1</x:v>
      </x:c>
      <x:c r="B40" s="43" t="str">
        <x:v>2016-20176</x:v>
      </x:c>
      <x:c r="C40" s="43" t="n">
        <x:v>2022</x:v>
      </x:c>
      <x:c r="D40" s="43" t="str">
        <x:v>Dominican Republic</x:v>
      </x:c>
      <x:c r="E40" s="46" t="str">
        <x:v>미상</x:v>
      </x:c>
      <x:c r="F40" s="46" t="str">
        <x:v>보건센터</x:v>
      </x:c>
      <x:c r="G40" s="43" t="str">
        <x:v>신축</x:v>
      </x:c>
      <x:c r="H40" s="43" t="str">
        <x:v>A</x:v>
      </x:c>
      <x:c r="I40" s="43" t="str">
        <x:v>예</x:v>
      </x:c>
      <x:c r="J40" s="49" t="n">
        <x:v>858</x:v>
      </x:c>
      <x:c r="K40" s="52" t="n">
        <x:v>1507000</x:v>
      </x:c>
      <x:c r="L40" s="52"/>
      <x:c r="M40" s="52" t="n">
        <x:f>IF(L40&lt;&gt;"",L40,IFERROR(K40/J40,""))</x:f>
        <x:v>1756.4102564102564</x:v>
      </x:c>
      <x:c r="N40" s="46" t="str">
        <x:v>총연면적</x:v>
      </x:c>
      <x:c r="O40" s="46" t="str">
        <x:v>공사 입찰 집행한도</x:v>
      </x:c>
      <x:c r="P40" s="46" t="str"/>
      <x:c r="Q40" s="46" t="str">
        <x:v>세금·관세 포함 여부 원문 재확인</x:v>
      </x:c>
      <x:c r="R40" s="46" t="str">
        <x:v>L2022-00046-1/(붙임2) 입찰안내서(영문)_최종/Section I_Bidding Guideline for Procurement of Contractor.docx</x:v>
      </x:c>
      <x:c r="S40" s="43" t="str">
        <x:v>문단 57</x:v>
      </x:c>
      <x:c r="T40" s="46" t="str">
        <x:v>https://nebid.koica.go.kr/oep/lobi/localBidManageDetail.do?P_LOAZ_BID_PBLANC_NO=L2022-00046&amp;P_PBLANC_ODR=1</x:v>
      </x:c>
      <x:c r="U40" s="46" t="str">
        <x:v>총연면적 858.00㎡; 상세페이지 집행한도 USD 1,507,000; 산출단가 USD 1,756/㎡.</x:v>
      </x:c>
    </x:row>
    <x:row r="41">
      <x:c r="A41" s="43" t="str">
        <x:v>L2022-00043-1</x:v>
      </x:c>
      <x:c r="B41" s="43" t="str">
        <x:v>2020-00113</x:v>
      </x:c>
      <x:c r="C41" s="43" t="n">
        <x:v>2022</x:v>
      </x:c>
      <x:c r="D41" s="43" t="str">
        <x:v>Bangladesh</x:v>
      </x:c>
      <x:c r="E41" s="46" t="str">
        <x:v>미상</x:v>
      </x:c>
      <x:c r="F41" s="46" t="str">
        <x:v>사이버수사 교육시설</x:v>
      </x:c>
      <x:c r="G41" s="43" t="str">
        <x:v>신축</x:v>
      </x:c>
      <x:c r="H41" s="43" t="str">
        <x:v>A</x:v>
      </x:c>
      <x:c r="I41" s="43" t="str">
        <x:v>예</x:v>
      </x:c>
      <x:c r="J41" s="49" t="n">
        <x:v>2194</x:v>
      </x:c>
      <x:c r="K41" s="52" t="n">
        <x:v>1575000</x:v>
      </x:c>
      <x:c r="L41" s="52"/>
      <x:c r="M41" s="52" t="n">
        <x:f>IF(L41&lt;&gt;"",L41,IFERROR(K41/J41,""))</x:f>
        <x:v>717.8669097538742</x:v>
      </x:c>
      <x:c r="N41" s="46" t="str">
        <x:v>총연면적</x:v>
      </x:c>
      <x:c r="O41" s="46" t="str">
        <x:v>공사 입찰 집행한도</x:v>
      </x:c>
      <x:c r="P41" s="46" t="str"/>
      <x:c r="Q41" s="46" t="str">
        <x:v>세금·관세 포함 여부 원문 재확인</x:v>
      </x:c>
      <x:c r="R41" s="46" t="str">
        <x:v>L2022-00043-1/붙임. 사이버안전을 위한 디지털 수사 역량 확산 사업 사이버 경찰센터 시공 입.doc</x:v>
      </x:c>
      <x:c r="S41" s="43" t="str">
        <x:v>문단 3</x:v>
      </x:c>
      <x:c r="T41" s="46" t="str">
        <x:v>https://nebid.koica.go.kr/oep/lobi/localBidManageDetail.do?P_LOAZ_BID_PBLANC_NO=L2022-00043&amp;P_PBLANC_ODR=1</x:v>
      </x:c>
      <x:c r="U41" s="46" t="str">
        <x:v>총연면적 2,194.00㎡; 상세페이지 집행한도 USD 1,575,000; 산출단가 USD 718/㎡.</x:v>
      </x:c>
    </x:row>
    <x:row r="42">
      <x:c r="A42" s="43" t="str">
        <x:v>L2022-00029-1</x:v>
      </x:c>
      <x:c r="B42" s="43" t="str">
        <x:v>2021-00139</x:v>
      </x:c>
      <x:c r="C42" s="43" t="n">
        <x:v>2022</x:v>
      </x:c>
      <x:c r="D42" s="43" t="str">
        <x:v>Nepal</x:v>
      </x:c>
      <x:c r="E42" s="46" t="str">
        <x:v>미상</x:v>
      </x:c>
      <x:c r="F42" s="46" t="str">
        <x:v>모델 폴리테크닉</x:v>
      </x:c>
      <x:c r="G42" s="43" t="str">
        <x:v>신축</x:v>
      </x:c>
      <x:c r="H42" s="43" t="str">
        <x:v>A</x:v>
      </x:c>
      <x:c r="I42" s="43" t="str">
        <x:v>예</x:v>
      </x:c>
      <x:c r="J42" s="49" t="n">
        <x:v>5640.1</x:v>
      </x:c>
      <x:c r="K42" s="52" t="n">
        <x:v>3744400</x:v>
      </x:c>
      <x:c r="L42" s="52"/>
      <x:c r="M42" s="52" t="n">
        <x:f>IF(L42&lt;&gt;"",L42,IFERROR(K42/J42,""))</x:f>
        <x:v>663.8889381393947</x:v>
      </x:c>
      <x:c r="N42" s="46" t="str">
        <x:v>총연면적</x:v>
      </x:c>
      <x:c r="O42" s="46" t="str">
        <x:v>공사 입찰 집행한도</x:v>
      </x:c>
      <x:c r="P42" s="46" t="str"/>
      <x:c r="Q42" s="46" t="str">
        <x:v>세금·관세 포함 여부 원문 재확인</x:v>
      </x:c>
      <x:c r="R42" s="46" t="str">
        <x:v>L2022-00029-1/2. 영문입찰계획서(네팔사무소 조정안)_0531.docx</x:v>
      </x:c>
      <x:c r="S42" s="43" t="str">
        <x:v>표 1 행 4</x:v>
      </x:c>
      <x:c r="T42" s="46" t="str">
        <x:v>https://nebid.koica.go.kr/oep/lobi/localBidManageDetail.do?P_LOAZ_BID_PBLANC_NO=L2022-00029&amp;P_PBLANC_ODR=1</x:v>
      </x:c>
      <x:c r="U42" s="46" t="str">
        <x:v>총연면적 5,640.10㎡; 상세페이지 집행한도 USD 3,744,400; 산출단가 USD 664/㎡.</x:v>
      </x:c>
    </x:row>
    <x:row r="43">
      <x:c r="A43" s="43" t="str">
        <x:v>L2022-00027-1</x:v>
      </x:c>
      <x:c r="B43" s="43" t="str">
        <x:v>2020-00073</x:v>
      </x:c>
      <x:c r="C43" s="43" t="n">
        <x:v>2022</x:v>
      </x:c>
      <x:c r="D43" s="43" t="str">
        <x:v>Ecuador</x:v>
      </x:c>
      <x:c r="E43" s="46" t="str">
        <x:v>Quito</x:v>
      </x:c>
      <x:c r="F43" s="46" t="str">
        <x:v>혁신센터</x:v>
      </x:c>
      <x:c r="G43" s="43" t="str">
        <x:v>신축</x:v>
      </x:c>
      <x:c r="H43" s="43" t="str">
        <x:v>A</x:v>
      </x:c>
      <x:c r="I43" s="43" t="str">
        <x:v>예</x:v>
      </x:c>
      <x:c r="J43" s="49" t="n">
        <x:v>3100</x:v>
      </x:c>
      <x:c r="K43" s="52" t="n">
        <x:v>2670000</x:v>
      </x:c>
      <x:c r="L43" s="52"/>
      <x:c r="M43" s="52" t="n">
        <x:f>IF(L43&lt;&gt;"",L43,IFERROR(K43/J43,""))</x:f>
        <x:v>861.2903225806451</x:v>
      </x:c>
      <x:c r="N43" s="46" t="str">
        <x:v>문서 명시 연면적</x:v>
      </x:c>
      <x:c r="O43" s="46" t="str">
        <x:v>CM 보고서 기반 추정공사비</x:v>
      </x:c>
      <x:c r="P43" s="46" t="str"/>
      <x:c r="Q43" s="46" t="str">
        <x:v>문서 내 별도 확인</x:v>
      </x:c>
      <x:c r="R43" s="46" t="str">
        <x:v>L2022-00027-1/2. 입찰서류(영문)_키토혁신센터 설계_220531/1. Ecuador Bidding Guideline 20220531.docx</x:v>
      </x:c>
      <x:c r="S43" s="43" t="str">
        <x:v>문단 57</x:v>
      </x:c>
      <x:c r="T43" s="46" t="str">
        <x:v>https://nebid.koica.go.kr/oep/lobi/localBidManageDetail.do?P_LOAZ_BID_PBLANC_NO=L2022-00027&amp;P_PBLANC_ODR=1</x:v>
      </x:c>
      <x:c r="U43" s="46" t="str">
        <x:v>GFA 3,100㎡, 추정공사비 USD 2,670,000; 설계비율 6%.</x:v>
      </x:c>
    </x:row>
    <x:row r="44">
      <x:c r="A44" s="43" t="str">
        <x:v>L2022-00007-2</x:v>
      </x:c>
      <x:c r="B44" s="43" t="str">
        <x:v>2016-20098</x:v>
      </x:c>
      <x:c r="C44" s="43" t="n">
        <x:v>2022</x:v>
      </x:c>
      <x:c r="D44" s="43" t="str">
        <x:v>Indonesia</x:v>
      </x:c>
      <x:c r="E44" s="46" t="str">
        <x:v>미상</x:v>
      </x:c>
      <x:c r="F44" s="46" t="str">
        <x:v>경찰 교육시설</x:v>
      </x:c>
      <x:c r="G44" s="43" t="str">
        <x:v>리모델링·개보수</x:v>
      </x:c>
      <x:c r="H44" s="43" t="str">
        <x:v>C</x:v>
      </x:c>
      <x:c r="I44" s="43" t="str">
        <x:v>아니오</x:v>
      </x:c>
      <x:c r="J44" s="49" t="n">
        <x:v>1458</x:v>
      </x:c>
      <x:c r="K44" s="52" t="n">
        <x:v>275400</x:v>
      </x:c>
      <x:c r="L44" s="52"/>
      <x:c r="M44" s="52" t="n">
        <x:f>IF(L44&lt;&gt;"",L44,IFERROR(K44/J44,""))</x:f>
        <x:v>188.88888888888889</x:v>
      </x:c>
      <x:c r="N44" s="46" t="str">
        <x:v>대상 연면적</x:v>
      </x:c>
      <x:c r="O44" s="46" t="str">
        <x:v>공사 입찰 집행한도</x:v>
      </x:c>
      <x:c r="P44" s="46" t="str">
        <x:v>개보수 패키지</x:v>
      </x:c>
      <x:c r="Q44" s="46" t="str">
        <x:v>세금·관세 포함 여부 원문 재확인</x:v>
      </x:c>
      <x:c r="R44" s="46" t="str">
        <x:v>L2022-00007-2/(붙임1) 220525인도네시아 경찰청사이버범죄수사 교육센타 시공사 선정 입찰계획(안) - 재공고.hwp</x:v>
      </x:c>
      <x:c r="S44" s="43" t="str">
        <x:v>문단 64</x:v>
      </x:c>
      <x:c r="T44" s="46" t="str">
        <x:v>https://nebid.koica.go.kr/oep/lobi/localBidManageDetail.do?P_LOAZ_BID_PBLANC_NO=L2022-00007&amp;P_PBLANC_ODR=2</x:v>
      </x:c>
      <x:c r="U44" s="46" t="str">
        <x:v>대상 연면적 1,458.00㎡; 상세페이지 집행한도 USD 275,400; 산출단가 USD 189/㎡.</x:v>
      </x:c>
    </x:row>
    <x:row r="45">
      <x:c r="A45" s="43" t="str">
        <x:v>L2021-00045-1</x:v>
      </x:c>
      <x:c r="B45" s="43" t="str">
        <x:v>2019-00032</x:v>
      </x:c>
      <x:c r="C45" s="43" t="n">
        <x:v>2021</x:v>
      </x:c>
      <x:c r="D45" s="43" t="str">
        <x:v>Paraguay</x:v>
      </x:c>
      <x:c r="E45" s="46" t="str">
        <x:v>미상</x:v>
      </x:c>
      <x:c r="F45" s="46" t="str">
        <x:v>항공훈련센터</x:v>
      </x:c>
      <x:c r="G45" s="43" t="str">
        <x:v>신축</x:v>
      </x:c>
      <x:c r="H45" s="43" t="str">
        <x:v>A</x:v>
      </x:c>
      <x:c r="I45" s="43" t="str">
        <x:v>예</x:v>
      </x:c>
      <x:c r="J45" s="49" t="n">
        <x:v>2866.41</x:v>
      </x:c>
      <x:c r="K45" s="52" t="n">
        <x:v>2415000</x:v>
      </x:c>
      <x:c r="L45" s="52"/>
      <x:c r="M45" s="52" t="n">
        <x:f>IF(L45&lt;&gt;"",L45,IFERROR(K45/J45,""))</x:f>
        <x:v>842.5172951531707</x:v>
      </x:c>
      <x:c r="N45" s="46" t="str">
        <x:v>총연면적</x:v>
      </x:c>
      <x:c r="O45" s="46" t="str">
        <x:v>공사 입찰 집행한도</x:v>
      </x:c>
      <x:c r="P45" s="46" t="str"/>
      <x:c r="Q45" s="46" t="str">
        <x:v>세금·관세 포함 여부 원문 재확인</x:v>
      </x:c>
      <x:c r="R45" s="46" t="str">
        <x:v>L2021-00045-1/0 Bidding Guideline for Construction_ATC.docx</x:v>
      </x:c>
      <x:c r="S45" s="43" t="str">
        <x:v>문단 92</x:v>
      </x:c>
      <x:c r="T45" s="46" t="str">
        <x:v>https://nebid.koica.go.kr/oep/lobi/localBidManageDetail.do?P_LOAZ_BID_PBLANC_NO=L2021-00045&amp;P_PBLANC_ODR=1</x:v>
      </x:c>
      <x:c r="U45" s="46" t="str">
        <x:v>총연면적 2,866.41㎡; 상세페이지 집행한도 USD 2,415,000; 산출단가 USD 843/㎡.</x:v>
      </x:c>
    </x:row>
    <x:row r="46">
      <x:c r="A46" s="43" t="str">
        <x:v>L2021-00031-1</x:v>
      </x:c>
      <x:c r="B46" s="43" t="str">
        <x:v>2019-00045</x:v>
      </x:c>
      <x:c r="C46" s="43" t="n">
        <x:v>2021</x:v>
      </x:c>
      <x:c r="D46" s="43" t="str">
        <x:v>Pakistan</x:v>
      </x:c>
      <x:c r="E46" s="46" t="str">
        <x:v>미상</x:v>
      </x:c>
      <x:c r="F46" s="46" t="str">
        <x:v>태양광 연구실</x:v>
      </x:c>
      <x:c r="G46" s="43" t="str">
        <x:v>신축</x:v>
      </x:c>
      <x:c r="H46" s="43" t="str">
        <x:v>A</x:v>
      </x:c>
      <x:c r="I46" s="43" t="str">
        <x:v>예</x:v>
      </x:c>
      <x:c r="J46" s="49" t="n">
        <x:v>2349.2</x:v>
      </x:c>
      <x:c r="K46" s="52" t="n">
        <x:v>1839007</x:v>
      </x:c>
      <x:c r="L46" s="52"/>
      <x:c r="M46" s="52" t="n">
        <x:f>IF(L46&lt;&gt;"",L46,IFERROR(K46/J46,""))</x:f>
        <x:v>782.8226630342244</x:v>
      </x:c>
      <x:c r="N46" s="46" t="str">
        <x:v>총연면적</x:v>
      </x:c>
      <x:c r="O46" s="46" t="str">
        <x:v>공사 입찰 집행한도</x:v>
      </x:c>
      <x:c r="P46" s="46" t="str"/>
      <x:c r="Q46" s="46" t="str">
        <x:v>세금·관세 포함 여부 원문 재확인</x:v>
      </x:c>
      <x:c r="R46" s="46" t="str">
        <x:v>L2021-00031-1/2. Chapters/Chapter 1. Invitation for Pre-Qualification_1020.docx</x:v>
      </x:c>
      <x:c r="S46" s="43" t="str">
        <x:v>표 2 행 7</x:v>
      </x:c>
      <x:c r="T46" s="46" t="str">
        <x:v>https://nebid.koica.go.kr/oep/lobi/localBidManageDetail.do?P_LOAZ_BID_PBLANC_NO=L2021-00031&amp;P_PBLANC_ODR=1</x:v>
      </x:c>
      <x:c r="U46" s="46" t="str">
        <x:v>총연면적 2,349.20㎡; 상세페이지 집행한도 USD 1,839,007; 산출단가 USD 783/㎡.</x:v>
      </x:c>
    </x:row>
    <x:row r="47">
      <x:c r="A47" s="43" t="str">
        <x:v>L2021-00030-1</x:v>
      </x:c>
      <x:c r="B47" s="43" t="str">
        <x:v>2019-00032</x:v>
      </x:c>
      <x:c r="C47" s="43" t="n">
        <x:v>2021</x:v>
      </x:c>
      <x:c r="D47" s="43" t="str">
        <x:v>Paraguay</x:v>
      </x:c>
      <x:c r="E47" s="46" t="str">
        <x:v>미상</x:v>
      </x:c>
      <x:c r="F47" s="46" t="str">
        <x:v>항공훈련 격납고</x:v>
      </x:c>
      <x:c r="G47" s="43" t="str">
        <x:v>신축</x:v>
      </x:c>
      <x:c r="H47" s="43" t="str">
        <x:v>B</x:v>
      </x:c>
      <x:c r="I47" s="43" t="str">
        <x:v>예</x:v>
      </x:c>
      <x:c r="J47" s="49" t="n">
        <x:v>945</x:v>
      </x:c>
      <x:c r="K47" s="52" t="n">
        <x:v>892000</x:v>
      </x:c>
      <x:c r="L47" s="52"/>
      <x:c r="M47" s="52" t="n">
        <x:f>IF(L47&lt;&gt;"",L47,IFERROR(K47/J47,""))</x:f>
        <x:v>943.9153439153439</x:v>
      </x:c>
      <x:c r="N47" s="46" t="str">
        <x:v>총연면적</x:v>
      </x:c>
      <x:c r="O47" s="46" t="str">
        <x:v>공사 입찰 집행한도</x:v>
      </x:c>
      <x:c r="P47" s="46" t="str">
        <x:v>동일 사업의 별도 공사 패키지</x:v>
      </x:c>
      <x:c r="Q47" s="46" t="str">
        <x:v>세금·관세 포함 여부 원문 재확인</x:v>
      </x:c>
      <x:c r="R47" s="46" t="str">
        <x:v>L2021-00030-1/0 Bidding Guideline for Construction Contractor_Hangar.docx</x:v>
      </x:c>
      <x:c r="S47" s="43" t="str">
        <x:v>문단 92</x:v>
      </x:c>
      <x:c r="T47" s="46" t="str">
        <x:v>https://nebid.koica.go.kr/oep/lobi/localBidManageDetail.do?P_LOAZ_BID_PBLANC_NO=L2021-00030&amp;P_PBLANC_ODR=1</x:v>
      </x:c>
      <x:c r="U47" s="46" t="str">
        <x:v>총연면적 945.00㎡; 상세페이지 집행한도 USD 892,000; 산출단가 USD 944/㎡.</x:v>
      </x:c>
    </x:row>
    <x:row r="48">
      <x:c r="A48" s="43" t="str">
        <x:v>L2021-00029-1</x:v>
      </x:c>
      <x:c r="B48" s="43" t="str">
        <x:v>2020-00114</x:v>
      </x:c>
      <x:c r="C48" s="43" t="n">
        <x:v>2021</x:v>
      </x:c>
      <x:c r="D48" s="43" t="str">
        <x:v>Nepal</x:v>
      </x:c>
      <x:c r="E48" s="46" t="str">
        <x:v>Tanahun·Bhotekoshi</x:v>
      </x:c>
      <x:c r="F48" s="46" t="str">
        <x:v>농촌 Outreach Center 2개소</x:v>
      </x:c>
      <x:c r="G48" s="43" t="str">
        <x:v>신축</x:v>
      </x:c>
      <x:c r="H48" s="43" t="str">
        <x:v>A</x:v>
      </x:c>
      <x:c r="I48" s="43" t="str">
        <x:v>예</x:v>
      </x:c>
      <x:c r="J48" s="49" t="n">
        <x:v>1120.3</x:v>
      </x:c>
      <x:c r="K48" s="52" t="n">
        <x:v>929600</x:v>
      </x:c>
      <x:c r="L48" s="52"/>
      <x:c r="M48" s="52" t="n">
        <x:f>IF(L48&lt;&gt;"",L48,IFERROR(K48/J48,""))</x:f>
        <x:v>829.7777381058645</x:v>
      </x:c>
      <x:c r="N48" s="46" t="str">
        <x:v>문서 명시 연면적</x:v>
      </x:c>
      <x:c r="O48" s="46" t="str">
        <x:v>입찰 Construction Budget</x:v>
      </x:c>
      <x:c r="P48" s="46" t="str"/>
      <x:c r="Q48" s="46" t="str">
        <x:v>VAT 제외</x:v>
      </x:c>
      <x:c r="R48" s="46" t="str">
        <x:v>L2021-00029-1/네팔 ORC시공업체선정 영문 RFP.pdf</x:v>
      </x:c>
      <x:c r="S48" s="43" t="str">
        <x:v>페이지 3</x:v>
      </x:c>
      <x:c r="T48" s="46" t="str">
        <x:v>https://nebid.koica.go.kr/oep/lobi/localBidManageDetail.do?P_LOAZ_BID_PBLANC_NO=L2021-00029&amp;P_PBLANC_ODR=1</x:v>
      </x:c>
      <x:c r="U48" s="46" t="str">
        <x:v>2개소 총 GFA 1,120.30㎡, 공사예산 USD 929,600.</x:v>
      </x:c>
    </x:row>
    <x:row r="49">
      <x:c r="A49" s="43" t="str">
        <x:v>L2021-00016-1</x:v>
      </x:c>
      <x:c r="B49" s="43" t="str">
        <x:v>2019-00066</x:v>
      </x:c>
      <x:c r="C49" s="43" t="n">
        <x:v>2021</x:v>
      </x:c>
      <x:c r="D49" s="43" t="str">
        <x:v>Cambodia</x:v>
      </x:c>
      <x:c r="E49" s="46" t="str">
        <x:v>Ratanakiri·Mondulkiri</x:v>
      </x:c>
      <x:c r="F49" s="46" t="str">
        <x:v>모자보건 의료시설(5개소)</x:v>
      </x:c>
      <x:c r="G49" s="43" t="str">
        <x:v>신축</x:v>
      </x:c>
      <x:c r="H49" s="43" t="str">
        <x:v>A</x:v>
      </x:c>
      <x:c r="I49" s="43" t="str">
        <x:v>예</x:v>
      </x:c>
      <x:c r="J49" s="49" t="n">
        <x:v>1325.32</x:v>
      </x:c>
      <x:c r="K49" s="52" t="n">
        <x:v>1022588</x:v>
      </x:c>
      <x:c r="L49" s="52"/>
      <x:c r="M49" s="52" t="n">
        <x:f>IF(L49&lt;&gt;"",L49,IFERROR(K49/J49,""))</x:f>
        <x:v>771.5781848911961</x:v>
      </x:c>
      <x:c r="N49" s="46" t="str">
        <x:v>문서 명시 연면적</x:v>
      </x:c>
      <x:c r="O49" s="46" t="str">
        <x:v>입찰공고 추정예산</x:v>
      </x:c>
      <x:c r="P49" s="46" t="str"/>
      <x:c r="Q49" s="46" t="str">
        <x:v>VAT 제외</x:v>
      </x:c>
      <x:c r="R49" s="46" t="str">
        <x:v>L2021-00016-1/캄보디아 동북부 소외지역 모자보건 프로그램 시공업체 선정 입찰 공고문.pdf</x:v>
      </x:c>
      <x:c r="S49" s="43" t="str">
        <x:v>페이지 1</x:v>
      </x:c>
      <x:c r="T49" s="46" t="str">
        <x:v>https://nebid.koica.go.kr/oep/lobi/localBidManageDetail.do?P_LOAZ_BID_PBLANC_NO=L2021-00016&amp;P_PBLANC_ODR=1</x:v>
      </x:c>
      <x:c r="U49" s="46" t="str">
        <x:v>GFA 약 1,325.32㎡, 추정예산 약 USD 1,022,588.</x:v>
      </x:c>
    </x:row>
    <x:row r="50">
      <x:c r="A50" s="44" t="str">
        <x:v>L2021-00015-1</x:v>
      </x:c>
      <x:c r="B50" s="44" t="str">
        <x:v>2019-00064</x:v>
      </x:c>
      <x:c r="C50" s="44" t="n">
        <x:v>2021</x:v>
      </x:c>
      <x:c r="D50" s="44" t="str">
        <x:v>Cambodia</x:v>
      </x:c>
      <x:c r="E50" s="47" t="str">
        <x:v>미상</x:v>
      </x:c>
      <x:c r="F50" s="47" t="str">
        <x:v>창업보육센터</x:v>
      </x:c>
      <x:c r="G50" s="44" t="str">
        <x:v>신축</x:v>
      </x:c>
      <x:c r="H50" s="44" t="str">
        <x:v>A</x:v>
      </x:c>
      <x:c r="I50" s="44" t="str">
        <x:v>예</x:v>
      </x:c>
      <x:c r="J50" s="50" t="n">
        <x:v>2299.26</x:v>
      </x:c>
      <x:c r="K50" s="53" t="n">
        <x:v>2746477</x:v>
      </x:c>
      <x:c r="L50" s="53"/>
      <x:c r="M50" s="53" t="n">
        <x:f>IF(L50&lt;&gt;"",L50,IFERROR(K50/J50,""))</x:f>
        <x:v>1194.5047537033654</x:v>
      </x:c>
      <x:c r="N50" s="47" t="str">
        <x:v>총연면적</x:v>
      </x:c>
      <x:c r="O50" s="47" t="str">
        <x:v>공사 입찰 집행한도</x:v>
      </x:c>
      <x:c r="P50" s="47" t="str"/>
      <x:c r="Q50" s="47" t="str">
        <x:v>세금·관세 포함 여부 원문 재확인</x:v>
      </x:c>
      <x:c r="R50" s="47" t="str">
        <x:v>L2021-00015-1/1-2 (REV.2_영문본) 입찰공고(인큐베이팅 센터_영문)_최종버젼.docx</x:v>
      </x:c>
      <x:c r="S50" s="44" t="str">
        <x:v>문단 18</x:v>
      </x:c>
      <x:c r="T50" s="47" t="str">
        <x:v>https://nebid.koica.go.kr/oep/lobi/localBidManageDetail.do?P_LOAZ_BID_PBLANC_NO=L2021-00015&amp;P_PBLANC_ODR=1</x:v>
      </x:c>
      <x:c r="U50" s="47" t="str">
        <x:v>총연면적 2,299.26㎡; 상세페이지 집행한도 USD 2,746,477; 산출단가 USD 1,195/㎡.</x:v>
      </x:c>
    </x:row>
  </x:sheetData>
  <x:mergeCells>
    <x:mergeCell ref="A1:U1"/>
  </x:mergeCells>
  <x:conditionalFormatting sqref="H3:H50">
    <x:cfRule type="containsText" dxfId="0" priority="1" operator="containsText" text="B"/>
    <x:cfRule type="containsText" dxfId="1" priority="2" operator="containsText" text="C"/>
  </x:conditionalFormatting>
  <x:pageMargins left="0.7" right="0.7" top="0.75" bottom="0.75" header="0.3" footer="0.3"/>
  <x:tableParts count="1">
    <x:tablePart xmlns:r="http://schemas.openxmlformats.org/officeDocument/2006/relationships" r:id="R44a19b1f512f4ac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28" hidden="0" customWidth="1"/>
    <x:col min="4" max="4" width="13" hidden="0" customWidth="1"/>
    <x:col min="5" max="5" width="15" hidden="0" customWidth="1"/>
    <x:col min="6" max="6" width="15" hidden="0" customWidth="1"/>
    <x:col min="7" max="7" width="15" hidden="0" customWidth="1"/>
    <x:col min="8" max="8" width="17" hidden="0" customWidth="1"/>
    <x:col min="9" max="9" width="12" hidden="0" customWidth="1"/>
    <x:col min="10" max="10" width="12" hidden="0" customWidth="1"/>
    <x:col min="11" max="11" width="12" hidden="0" customWidth="1"/>
    <x:col min="12" max="12" width="15" hidden="0" customWidth="1"/>
    <x:col min="13" max="13" width="15" hidden="0" customWidth="1"/>
    <x:col min="14" max="14" width="18" hidden="0" customWidth="1"/>
    <x:col min="15" max="15" width="48" hidden="0" customWidth="1"/>
    <x:col min="16" max="16" width="14" hidden="0" customWidth="1"/>
    <x:col min="17" max="17" width="46" hidden="0" customWidth="1"/>
  </x:cols>
  <x:sheetData>
    <x:row r="1" ht="30" customHeight="1">
      <x:c r="A1" s="28" t="str">
        <x:v>설계·감리·CM 비용 사례</x:v>
      </x:c>
    </x:row>
    <x:row r="2" ht="34" customHeight="1">
      <x:c r="A2" s="35" t="str">
        <x:v>공고번호</x:v>
      </x:c>
      <x:c r="B2" s="36" t="str">
        <x:v>국가</x:v>
      </x:c>
      <x:c r="C2" s="36" t="str">
        <x:v>시설유형</x:v>
      </x:c>
      <x:c r="D2" s="36" t="str">
        <x:v>연면적(㎡)</x:v>
      </x:c>
      <x:c r="E2" s="36" t="str">
        <x:v>공사비(USD)</x:v>
      </x:c>
      <x:c r="F2" s="36" t="str">
        <x:v>설계비(USD)</x:v>
      </x:c>
      <x:c r="G2" s="36" t="str">
        <x:v>감리비(USD)</x:v>
      </x:c>
      <x:c r="H2" s="36" t="str">
        <x:v>합계 용역비(USD)</x:v>
      </x:c>
      <x:c r="I2" s="36" t="str">
        <x:v>설계비율</x:v>
      </x:c>
      <x:c r="J2" s="36" t="str">
        <x:v>감리비율</x:v>
      </x:c>
      <x:c r="K2" s="36" t="str">
        <x:v>합계비율</x:v>
      </x:c>
      <x:c r="L2" s="36" t="str">
        <x:v>설계비 USD/㎡</x:v>
      </x:c>
      <x:c r="M2" s="36" t="str">
        <x:v>감리비 USD/㎡</x:v>
      </x:c>
      <x:c r="N2" s="36" t="str">
        <x:v>세금</x:v>
      </x:c>
      <x:c r="O2" s="36" t="str">
        <x:v>근거파일</x:v>
      </x:c>
      <x:c r="P2" s="36" t="str">
        <x:v>근거위치</x:v>
      </x:c>
      <x:c r="Q2" s="37" t="str">
        <x:v>근거요약</x:v>
      </x:c>
    </x:row>
    <x:row r="3">
      <x:c r="A3" s="42" t="str">
        <x:v>L2022-00027-1</x:v>
      </x:c>
      <x:c r="B3" s="42" t="str">
        <x:v>Ecuador</x:v>
      </x:c>
      <x:c r="C3" s="45" t="str">
        <x:v>혁신센터</x:v>
      </x:c>
      <x:c r="D3" s="48" t="n">
        <x:v>3100</x:v>
      </x:c>
      <x:c r="E3" s="51" t="n">
        <x:v>2670000</x:v>
      </x:c>
      <x:c r="F3" s="51" t="n">
        <x:v>160200</x:v>
      </x:c>
      <x:c r="G3" s="51"/>
      <x:c r="H3" s="51" t="n">
        <x:v>160200</x:v>
      </x:c>
      <x:c r="I3" s="54" t="n">
        <x:v>0.06</x:v>
      </x:c>
      <x:c r="J3" s="54"/>
      <x:c r="K3" s="54" t="n">
        <x:v>0.06</x:v>
      </x:c>
      <x:c r="L3" s="57" t="n">
        <x:f>IF(OR(F3="",D3=""),"",F3/D3)</x:f>
        <x:v>51.67741935483871</x:v>
      </x:c>
      <x:c r="M3" s="57" t="str">
        <x:f>IF(OR(G3="",D3=""),"",G3/D3)</x:f>
      </x:c>
      <x:c r="N3" s="45" t="str">
        <x:v>문서 내 별도 확인</x:v>
      </x:c>
      <x:c r="O3" s="45" t="str">
        <x:v>L2022-00027-1/2. 입찰서류(영문)_키토혁신센터 설계_220531/1. Ecuador Bidding Guideline 20220531.docx</x:v>
      </x:c>
      <x:c r="P3" s="42" t="str">
        <x:v>문단 57</x:v>
      </x:c>
      <x:c r="Q3" s="45" t="str">
        <x:v>추정공사비의 6%로 설계비 설정.</x:v>
      </x:c>
    </x:row>
    <x:row r="4">
      <x:c r="A4" s="43" t="str">
        <x:v>L2023-00021-1</x:v>
      </x:c>
      <x:c r="B4" s="43" t="str">
        <x:v>Paraguay</x:v>
      </x:c>
      <x:c r="C4" s="46" t="str">
        <x:v>멀티미디어 교육지원센터</x:v>
      </x:c>
      <x:c r="D4" s="49"/>
      <x:c r="E4" s="52"/>
      <x:c r="F4" s="52"/>
      <x:c r="G4" s="52"/>
      <x:c r="H4" s="52"/>
      <x:c r="I4" s="55" t="n">
        <x:v>0.08</x:v>
      </x:c>
      <x:c r="J4" s="55"/>
      <x:c r="K4" s="55" t="n">
        <x:v>0.08</x:v>
      </x:c>
      <x:c r="L4" s="58" t="str">
        <x:f>IF(OR(F4="",D4=""),"",F4/D4)</x:f>
      </x:c>
      <x:c r="M4" s="58" t="str">
        <x:f>IF(OR(G4="",D4=""),"",G4/D4)</x:f>
      </x:c>
      <x:c r="N4" s="46" t="str">
        <x:v>문서 내 별도 확인</x:v>
      </x:c>
      <x:c r="O4" s="46" t="str">
        <x:v>L2023-00021-1/붙임1. 파라과이 멀티미디어 센터 설계용역 입찰설명서(국문본)_최종_230130_기평팀.hwp</x:v>
      </x:c>
      <x:c r="P4" s="43" t="str">
        <x:v>문단 567</x:v>
      </x:c>
      <x:c r="Q4" s="46" t="str">
        <x:v>공사비 단가 USD 1,100/㎡ 및 설계비 8% 적용.</x:v>
      </x:c>
    </x:row>
    <x:row r="5">
      <x:c r="A5" s="43" t="str">
        <x:v>L2022-00003-1</x:v>
      </x:c>
      <x:c r="B5" s="43" t="str">
        <x:v>Uzbekistan</x:v>
      </x:c>
      <x:c r="C5" s="46" t="str">
        <x:v>직업훈련원·교사연수센터</x:v>
      </x:c>
      <x:c r="D5" s="49" t="n">
        <x:v>7021</x:v>
      </x:c>
      <x:c r="E5" s="52"/>
      <x:c r="F5" s="52" t="n">
        <x:v>147535</x:v>
      </x:c>
      <x:c r="G5" s="52" t="n">
        <x:v>100800</x:v>
      </x:c>
      <x:c r="H5" s="52" t="n">
        <x:v>248335</x:v>
      </x:c>
      <x:c r="I5" s="55"/>
      <x:c r="J5" s="55"/>
      <x:c r="K5" s="55"/>
      <x:c r="L5" s="58" t="n">
        <x:f>IF(OR(F5="",D5=""),"",F5/D5)</x:f>
        <x:v>21.01338840620994</x:v>
      </x:c>
      <x:c r="M5" s="58" t="n">
        <x:f>IF(OR(G5="",D5=""),"",G5/D5)</x:f>
        <x:v>14.35692921236291</x:v>
      </x:c>
      <x:c r="N5" s="46" t="str">
        <x:v>VAT 미포함</x:v>
      </x:c>
      <x:c r="O5" s="46" t="str">
        <x:v>L2022-00003-1/코이카사무소_우르겐치직훈원 입찰공고문(홈페이지게시).pdf</x:v>
      </x:c>
      <x:c r="P5" s="43" t="str">
        <x:v>페이지 1</x:v>
      </x:c>
      <x:c r="Q5" s="46" t="str">
        <x:v>GFA 7,021㎡; 설계 USD 147,535, 감리 USD 100,800.</x:v>
      </x:c>
    </x:row>
    <x:row r="6">
      <x:c r="A6" s="43" t="str">
        <x:v>L2025-00036-1</x:v>
      </x:c>
      <x:c r="B6" s="43" t="str">
        <x:v>Cambodia</x:v>
      </x:c>
      <x:c r="C6" s="46" t="str">
        <x:v>Dangkao 후송병원</x:v>
      </x:c>
      <x:c r="D6" s="49" t="n">
        <x:v>3700</x:v>
      </x:c>
      <x:c r="E6" s="52" t="n">
        <x:v>6600000</x:v>
      </x:c>
      <x:c r="F6" s="52"/>
      <x:c r="G6" s="52"/>
      <x:c r="H6" s="52" t="n">
        <x:v>500000</x:v>
      </x:c>
      <x:c r="I6" s="55"/>
      <x:c r="J6" s="55"/>
      <x:c r="K6" s="55" t="n">
        <x:v>0.07575757575757576</x:v>
      </x:c>
      <x:c r="L6" s="58" t="str">
        <x:f>IF(OR(F6="",D6=""),"",F6/D6)</x:f>
      </x:c>
      <x:c r="M6" s="58" t="str">
        <x:f>IF(OR(G6="",D6=""),"",G6/D6)</x:f>
      </x:c>
      <x:c r="N6" s="46" t="str">
        <x:v>문서 내 별도 확인</x:v>
      </x:c>
      <x:c r="O6" s="46" t="str">
        <x:v>L2025-00036-1/붙임2. 입찰서류 영문본 일체/Section 5 - Terms of Reference (ToR).doc</x:v>
      </x:c>
      <x:c r="P6" s="43" t="str">
        <x:v>문단 45</x:v>
      </x:c>
      <x:c r="Q6" s="46" t="str">
        <x:v>GFA 3,700㎡, 설계·시공감리 합산예산 약 USD 500,000.</x:v>
      </x:c>
    </x:row>
    <x:row r="7">
      <x:c r="A7" s="43" t="str">
        <x:v>L2025-00097-1</x:v>
      </x:c>
      <x:c r="B7" s="43" t="str">
        <x:v>Kyrgyzstan</x:v>
      </x:c>
      <x:c r="C7" s="46" t="str">
        <x:v>ICT 교육센터</x:v>
      </x:c>
      <x:c r="D7" s="49" t="n">
        <x:v>1179</x:v>
      </x:c>
      <x:c r="E7" s="52" t="n">
        <x:v>1704050</x:v>
      </x:c>
      <x:c r="F7" s="52" t="n">
        <x:v>99600</x:v>
      </x:c>
      <x:c r="G7" s="52" t="n">
        <x:v>11163</x:v>
      </x:c>
      <x:c r="H7" s="52" t="n">
        <x:v>110763</x:v>
      </x:c>
      <x:c r="I7" s="55" t="n">
        <x:v>0.05844898917285291</x:v>
      </x:c>
      <x:c r="J7" s="55" t="n">
        <x:v>0.006550864117836918</x:v>
      </x:c>
      <x:c r="K7" s="55" t="n">
        <x:v>0.06499985329068983</x:v>
      </x:c>
      <x:c r="L7" s="58" t="n">
        <x:f>IF(OR(F7="",D7=""),"",F7/D7)</x:f>
        <x:v>84.47837150127226</x:v>
      </x:c>
      <x:c r="M7" s="58" t="n">
        <x:f>IF(OR(G7="",D7=""),"",G7/D7)</x:f>
        <x:v>9.468193384223918</x:v>
      </x:c>
      <x:c r="N7" s="46" t="str">
        <x:v>VAT 및 기타 비용 제외</x:v>
      </x:c>
      <x:c r="O7" s="46" t="str">
        <x:v>L2025-00097-1/붙임1. 공고내역 (KG-2025-10)/ENG - final/Section 2 - Bid Data Sheet (BDS).docx</x:v>
      </x:c>
      <x:c r="P7" s="43" t="str">
        <x:v>표 5 행 5</x:v>
      </x:c>
      <x:c r="Q7" s="46" t="str">
        <x:v>설계 USD 99,600, 저작권감리 USD 11,163.</x:v>
      </x:c>
    </x:row>
    <x:row r="8">
      <x:c r="A8" s="43" t="str">
        <x:v>L2025-00045-1</x:v>
      </x:c>
      <x:c r="B8" s="43" t="str">
        <x:v>Iraq</x:v>
      </x:c>
      <x:c r="C8" s="46" t="str">
        <x:v>난민통합교육 학교</x:v>
      </x:c>
      <x:c r="D8" s="49"/>
      <x:c r="E8" s="52"/>
      <x:c r="F8" s="52" t="n">
        <x:v>205500</x:v>
      </x:c>
      <x:c r="G8" s="52" t="n">
        <x:v>205500</x:v>
      </x:c>
      <x:c r="H8" s="52" t="n">
        <x:v>411000</x:v>
      </x:c>
      <x:c r="I8" s="55"/>
      <x:c r="J8" s="55"/>
      <x:c r="K8" s="55"/>
      <x:c r="L8" s="58" t="str">
        <x:f>IF(OR(F8="",D8=""),"",F8/D8)</x:f>
      </x:c>
      <x:c r="M8" s="58" t="str">
        <x:f>IF(OR(G8="",D8=""),"",G8/D8)</x:f>
      </x:c>
      <x:c r="N8" s="46" t="str">
        <x:v>VAT 및 기타 비용 제외</x:v>
      </x:c>
      <x:c r="O8" s="46" t="str">
        <x:v>L2025-00045-1/붙임3. 입찰서류(영문) 일체/Section 2 - Bid Data Sheet (BDS).docx</x:v>
      </x:c>
      <x:c r="P8" s="43" t="str">
        <x:v>표 5 행 5</x:v>
      </x:c>
      <x:c r="Q8" s="46" t="str">
        <x:v>설계 USD 205,500 + 시공감리 USD 205,500.</x:v>
      </x:c>
    </x:row>
    <x:row r="9">
      <x:c r="A9" s="44" t="str">
        <x:v>L2024-00052-1</x:v>
      </x:c>
      <x:c r="B9" s="44" t="str">
        <x:v>Indonesia</x:v>
      </x:c>
      <x:c r="C9" s="47" t="str">
        <x:v>공공시설(설계·감리)</x:v>
      </x:c>
      <x:c r="D9" s="50"/>
      <x:c r="E9" s="53"/>
      <x:c r="F9" s="53" t="n">
        <x:v>150000</x:v>
      </x:c>
      <x:c r="G9" s="53" t="n">
        <x:v>50000</x:v>
      </x:c>
      <x:c r="H9" s="53" t="n">
        <x:v>200000</x:v>
      </x:c>
      <x:c r="I9" s="56"/>
      <x:c r="J9" s="56"/>
      <x:c r="K9" s="56"/>
      <x:c r="L9" s="59" t="str">
        <x:f>IF(OR(F9="",D9=""),"",F9/D9)</x:f>
      </x:c>
      <x:c r="M9" s="59" t="str">
        <x:f>IF(OR(G9="",D9=""),"",G9/D9)</x:f>
      </x:c>
      <x:c r="N9" s="47" t="str">
        <x:v>VAT 및 기타 비용 제외</x:v>
      </x:c>
      <x:c r="O9" s="47" t="str">
        <x:v>L2024-00052-1/입찰관련서류/Section 2 - Bid Data Sheet (BDS)_└╘┬√░°░φ┐δ ├╓┴╛.docx</x:v>
      </x:c>
      <x:c r="P9" s="44" t="str">
        <x:v>표 5 행 5</x:v>
      </x:c>
      <x:c r="Q9" s="47" t="str">
        <x:v>설계 USD 150,000, Construction Supervision USD 50,000.</x:v>
      </x:c>
    </x:row>
  </x:sheetData>
  <x:mergeCells>
    <x:mergeCell ref="A1:Q1"/>
  </x:mergeCells>
  <x:pageMargins left="0.7" right="0.7" top="0.75" bottom="0.75" header="0.3" footer="0.3"/>
  <x:tableParts count="1">
    <x:tablePart xmlns:r="http://schemas.openxmlformats.org/officeDocument/2006/relationships" r:id="R2906a2eb60704e2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14" hidden="0" customWidth="1"/>
    <x:col min="3" max="3" width="14" hidden="0" customWidth="1"/>
    <x:col min="4" max="4" width="16" hidden="0" customWidth="1"/>
    <x:col min="5" max="5" width="16" hidden="0" customWidth="1"/>
    <x:col min="6" max="6" width="40" hidden="0" customWidth="1"/>
    <x:col min="7" max="7" width="42" hidden="0" customWidth="1"/>
    <x:col min="8" max="8" width="44" hidden="0" customWidth="1"/>
    <x:col min="9" max="9" width="20" hidden="0" customWidth="1"/>
    <x:col min="10" max="10" width="16" hidden="0" customWidth="1"/>
    <x:col min="11" max="11" width="12" hidden="0" customWidth="1"/>
    <x:col min="12" max="12" width="14" hidden="0" customWidth="1"/>
    <x:col min="13" max="13" width="24" hidden="0" customWidth="1"/>
    <x:col min="14" max="14" width="20" hidden="0" customWidth="1"/>
    <x:col min="15" max="15" width="18" hidden="0" customWidth="1"/>
    <x:col min="16" max="16" width="12" hidden="0" customWidth="1"/>
    <x:col min="17" max="17" width="46" hidden="0" customWidth="1"/>
  </x:cols>
  <x:sheetData>
    <x:row r="1" ht="30" customHeight="1">
      <x:c r="A1" s="28" t="str">
        <x:v>건축 후보 공고별 사업 메타데이터</x:v>
      </x:c>
    </x:row>
    <x:row r="2" ht="34" customHeight="1">
      <x:c r="A2" s="35" t="str">
        <x:v>공고번호</x:v>
      </x:c>
      <x:c r="B2" s="36" t="str">
        <x:v>사업번호</x:v>
      </x:c>
      <x:c r="C2" s="36" t="str">
        <x:v>국가(한글)</x:v>
      </x:c>
      <x:c r="D2" s="36" t="str">
        <x:v>국가(영문)</x:v>
      </x:c>
      <x:c r="E2" s="36" t="str">
        <x:v>지역</x:v>
      </x:c>
      <x:c r="F2" s="36" t="str">
        <x:v>사업명</x:v>
      </x:c>
      <x:c r="G2" s="36" t="str">
        <x:v>입찰명(국문)</x:v>
      </x:c>
      <x:c r="H2" s="36" t="str">
        <x:v>입찰명(영문)</x:v>
      </x:c>
      <x:c r="I2" s="36" t="str">
        <x:v>시설유형</x:v>
      </x:c>
      <x:c r="J2" s="36" t="str">
        <x:v>사업유형</x:v>
      </x:c>
      <x:c r="K2" s="36" t="str">
        <x:v>계약구분</x:v>
      </x:c>
      <x:c r="L2" s="36" t="str">
        <x:v>계약방법</x:v>
      </x:c>
      <x:c r="M2" s="36" t="str">
        <x:v>낙찰자선정</x:v>
      </x:c>
      <x:c r="N2" s="36" t="str">
        <x:v>집행한도(USD 원문)</x:v>
      </x:c>
      <x:c r="O2" s="36" t="str">
        <x:v>집행한도(KRW 원문)</x:v>
      </x:c>
      <x:c r="P2" s="36" t="str">
        <x:v>공고일</x:v>
      </x:c>
      <x:c r="Q2" s="37" t="str">
        <x:v>상세URL</x:v>
      </x:c>
    </x:row>
    <x:row r="3">
      <x:c r="A3" s="42" t="str">
        <x:v>L2025-00108-1</x:v>
      </x:c>
      <x:c r="B3" s="42" t="str">
        <x:v>2025-00099</x:v>
      </x:c>
      <x:c r="C3" s="42" t="str">
        <x:v>알제리</x:v>
      </x:c>
      <x:c r="D3" s="42" t="str">
        <x:v>Algeria</x:v>
      </x:c>
      <x:c r="E3" s="42" t="str"/>
      <x:c r="F3" s="45" t="str">
        <x:v>알제리 경찰청 과학수사 역량강화사업('25-'29/800만불)</x:v>
      </x:c>
      <x:c r="G3" s="45" t="str">
        <x:v>알제리 실험실 설계감리 용역</x:v>
      </x:c>
      <x:c r="H3" s="45" t="str">
        <x:v>Design and Supervision Service for Laboratory</x:v>
      </x:c>
      <x:c r="I3" s="42" t="str">
        <x:v>실험실·연구시설</x:v>
      </x:c>
      <x:c r="J3" s="42" t="str">
        <x:v>미분류</x:v>
      </x:c>
      <x:c r="K3" s="42" t="str">
        <x:v>용역</x:v>
      </x:c>
      <x:c r="L3" s="42" t="str">
        <x:v>일반경쟁</x:v>
      </x:c>
      <x:c r="M3" s="45" t="str">
        <x:v>협상에 의한 계약(기술가격종합평가)</x:v>
      </x:c>
      <x:c r="N3" s="45" t="str">
        <x:v>$ 35,000
		                    	 (환율 : 1400)</x:v>
      </x:c>
      <x:c r="O3" s="45" t="str">
        <x:v>\ 49,000,000</x:v>
      </x:c>
      <x:c r="P3" s="42" t="str">
        <x:v>2025-11-26</x:v>
      </x:c>
      <x:c r="Q3" s="42" t="str">
        <x:v>https://nebid.koica.go.kr/oep/lobi/localBidManageDetail.do?P_LOAZ_BID_PBLANC_NO=L2025-00108&amp;P_PBLANC_ODR=1</x:v>
      </x:c>
    </x:row>
    <x:row r="4">
      <x:c r="A4" s="43" t="str">
        <x:v>L2025-00107-1</x:v>
      </x:c>
      <x:c r="B4" s="43" t="str">
        <x:v>2022-00003</x:v>
      </x:c>
      <x:c r="C4" s="43" t="str">
        <x:v>세네갈</x:v>
      </x:c>
      <x:c r="D4" s="43" t="str">
        <x:v>Senegal</x:v>
      </x:c>
      <x:c r="E4" s="43" t="str"/>
      <x:c r="F4" s="46" t="str">
        <x:v>세네갈 국가공중보건 실험실 역량강화사업('22-'26/600만불)</x:v>
      </x:c>
      <x:c r="G4" s="46" t="str">
        <x:v>(긴급) 세네갈 국가공중보건실험실(LNSP) 리모델링 시공 감리 용역 선정 현지입찰</x:v>
      </x:c>
      <x:c r="H4" s="46" t="str">
        <x:v>(URGENT) Bidding for the supervision of the construction contractor for the renovation of National Public Health Laboratory</x:v>
      </x:c>
      <x:c r="I4" s="43" t="str">
        <x:v>실험실·연구시설</x:v>
      </x:c>
      <x:c r="J4" s="43" t="str">
        <x:v>리모델링·개보수</x:v>
      </x:c>
      <x:c r="K4" s="43" t="str">
        <x:v>용역</x:v>
      </x:c>
      <x:c r="L4" s="43" t="str">
        <x:v>일반경쟁</x:v>
      </x:c>
      <x:c r="M4" s="46" t="str">
        <x:v>협상에 의한 계약(기술가격종합평가)</x:v>
      </x:c>
      <x:c r="N4" s="46" t="str">
        <x:v>$ 47,000</x:v>
      </x:c>
      <x:c r="O4" s="46" t="str"/>
      <x:c r="P4" s="43" t="str">
        <x:v>2025-12-15</x:v>
      </x:c>
      <x:c r="Q4" s="43" t="str">
        <x:v>https://nebid.koica.go.kr/oep/lobi/localBidManageDetail.do?P_LOAZ_BID_PBLANC_NO=L2025-00107&amp;P_PBLANC_ODR=1</x:v>
      </x:c>
    </x:row>
    <x:row r="5">
      <x:c r="A5" s="43" t="str">
        <x:v>L2025-00106-1</x:v>
      </x:c>
      <x:c r="B5" s="43" t="str">
        <x:v>2022-00003</x:v>
      </x:c>
      <x:c r="C5" s="43" t="str">
        <x:v>세네갈</x:v>
      </x:c>
      <x:c r="D5" s="43" t="str">
        <x:v>Senegal</x:v>
      </x:c>
      <x:c r="E5" s="43" t="str"/>
      <x:c r="F5" s="46" t="str">
        <x:v>세네갈 국가공중보건 실험실 역량강화사업('22-'26/600만불)</x:v>
      </x:c>
      <x:c r="G5" s="46" t="str">
        <x:v>세네갈 실험실 리모델링 사업 Control Office 계약</x:v>
      </x:c>
      <x:c r="H5" s="46" t="str">
        <x:v>Contract for the Bureau de control(technical control) service for the renovation of LNSP</x:v>
      </x:c>
      <x:c r="I5" s="43" t="str">
        <x:v>실험실·연구시설</x:v>
      </x:c>
      <x:c r="J5" s="43" t="str">
        <x:v>리모델링·개보수</x:v>
      </x:c>
      <x:c r="K5" s="43" t="str">
        <x:v>용역</x:v>
      </x:c>
      <x:c r="L5" s="43" t="str">
        <x:v>수의계약</x:v>
      </x:c>
      <x:c r="M5" s="46" t="str">
        <x:v>최저가</x:v>
      </x:c>
      <x:c r="N5" s="46" t="str">
        <x:v>$ 13,000</x:v>
      </x:c>
      <x:c r="O5" s="46" t="str"/>
      <x:c r="P5" s="43" t="str">
        <x:v>2025-10-23</x:v>
      </x:c>
      <x:c r="Q5" s="43" t="str">
        <x:v>https://nebid.koica.go.kr/oep/lobi/localBidManageDetail.do?P_LOAZ_BID_PBLANC_NO=L2025-00106&amp;P_PBLANC_ODR=1</x:v>
      </x:c>
    </x:row>
    <x:row r="6">
      <x:c r="A6" s="43" t="str">
        <x:v>L2025-00099-1</x:v>
      </x:c>
      <x:c r="B6" s="43" t="str">
        <x:v>2019-03655</x:v>
      </x:c>
      <x:c r="C6" s="43" t="str"/>
      <x:c r="D6" s="43" t="str"/>
      <x:c r="E6" s="43" t="str"/>
      <x:c r="F6" s="46" t="str">
        <x:v>일반봉사단-프로젝트봉사단</x:v>
      </x:c>
      <x:c r="G6" s="46" t="str">
        <x:v>키르기스스탄 추이 주 교내 위생환경 개선 사업(프로젝트봉사단) 리모델링 시공업체 선정 현지 입찰</x:v>
      </x:c>
      <x:c r="H6" s="46" t="str">
        <x:v>Selection of the Construction Contractor of the Interior Remodeling Works of Project Volunteer Program for Improving School Environment in Chuy Region in the Kyrgyz Republic</x:v>
      </x:c>
      <x:c r="I6" s="43" t="str">
        <x:v>학교·교육시설</x:v>
      </x:c>
      <x:c r="J6" s="43" t="str">
        <x:v>리모델링·개보수</x:v>
      </x:c>
      <x:c r="K6" s="43" t="str">
        <x:v>공사</x:v>
      </x:c>
      <x:c r="L6" s="43" t="str">
        <x:v>일반경쟁</x:v>
      </x:c>
      <x:c r="M6" s="46" t="str">
        <x:v>적격심사</x:v>
      </x:c>
      <x:c r="N6" s="46" t="str">
        <x:v>$ 200,000</x:v>
      </x:c>
      <x:c r="O6" s="46" t="str"/>
      <x:c r="P6" s="43" t="str">
        <x:v>2025-11-13</x:v>
      </x:c>
      <x:c r="Q6" s="43" t="str">
        <x:v>https://nebid.koica.go.kr/oep/lobi/localBidManageDetail.do?P_LOAZ_BID_PBLANC_NO=L2025-00099&amp;P_PBLANC_ODR=1</x:v>
      </x:c>
    </x:row>
    <x:row r="7">
      <x:c r="A7" s="43" t="str">
        <x:v>L2025-00097-1</x:v>
      </x:c>
      <x:c r="B7" s="43" t="str">
        <x:v>2024-00105</x:v>
      </x:c>
      <x:c r="C7" s="43" t="str"/>
      <x:c r="D7" s="43" t="str"/>
      <x:c r="E7" s="43" t="str"/>
      <x:c r="F7" s="46" t="str">
        <x:v>키르기스스탄 디지털 전환을 위한 국가 정보화 역량 강화 사업('24-'27/700만불)</x:v>
      </x:c>
      <x:c r="G7" s="46" t="str">
        <x:v>키르기스스탄 디지털 전환을 위한 국가 정보화 역량 강화 사업 ICT 교육센터 신축공사를 위한 설계 및 저작권감리용역</x:v>
      </x:c>
      <x:c r="H7" s="46" t="str">
        <x:v>The Design and Author Supervision Services for the Construction of ICT Education Center for The Project for Capacity Building of National Information for Digital Transformation in the Kyrgyz Republic</x:v>
      </x:c>
      <x:c r="I7" s="43" t="str">
        <x:v>학교·교육시설</x:v>
      </x:c>
      <x:c r="J7" s="43" t="str">
        <x:v>신축</x:v>
      </x:c>
      <x:c r="K7" s="43" t="str">
        <x:v>용역</x:v>
      </x:c>
      <x:c r="L7" s="43" t="str">
        <x:v>일반경쟁</x:v>
      </x:c>
      <x:c r="M7" s="46" t="str">
        <x:v>협상에 의한 계약(기술가격종합평가)</x:v>
      </x:c>
      <x:c r="N7" s="46" t="str">
        <x:v>$ 110,763</x:v>
      </x:c>
      <x:c r="O7" s="46" t="str"/>
      <x:c r="P7" s="43" t="str">
        <x:v>2025-10-29</x:v>
      </x:c>
      <x:c r="Q7" s="43" t="str">
        <x:v>https://nebid.koica.go.kr/oep/lobi/localBidManageDetail.do?P_LOAZ_BID_PBLANC_NO=L2025-00097&amp;P_PBLANC_ODR=1</x:v>
      </x:c>
    </x:row>
    <x:row r="8">
      <x:c r="A8" s="43" t="str">
        <x:v>L2025-00094-1</x:v>
      </x:c>
      <x:c r="B8" s="43" t="str">
        <x:v>2022-00069</x:v>
      </x:c>
      <x:c r="C8" s="43" t="str">
        <x:v>필리핀</x:v>
      </x:c>
      <x:c r="D8" s="43" t="str">
        <x:v>Philippines</x:v>
      </x:c>
      <x:c r="E8" s="43" t="str"/>
      <x:c r="F8" s="46" t="str">
        <x:v>필리핀 기마라스주 수산양식 역량강화를 통한 양식어민 소득증대 지원사업('22-'28/1,000만불)</x:v>
      </x:c>
      <x:c r="G8" s="46" t="str">
        <x:v>[재공고][긴급] 필리핀 기마라스주 해수양식센터 건립 설계 용역업체 선정</x:v>
      </x:c>
      <x:c r="H8" s="46" t="str">
        <x:v>(Rebidding)(Urgent) Design Services for the Establishment of Mariculture Center in Guimaras Province, Philippines</x:v>
      </x:c>
      <x:c r="I8" s="43" t="str">
        <x:v>기타·미분류</x:v>
      </x:c>
      <x:c r="J8" s="43" t="str">
        <x:v>신축</x:v>
      </x:c>
      <x:c r="K8" s="43" t="str">
        <x:v>용역</x:v>
      </x:c>
      <x:c r="L8" s="43" t="str">
        <x:v>일반경쟁</x:v>
      </x:c>
      <x:c r="M8" s="46" t="str">
        <x:v>협상에 의한 계약(기술가격종합평가)</x:v>
      </x:c>
      <x:c r="N8" s="46" t="str">
        <x:v>$ 153,695</x:v>
      </x:c>
      <x:c r="O8" s="46" t="str"/>
      <x:c r="P8" s="43" t="str">
        <x:v>2025-10-22</x:v>
      </x:c>
      <x:c r="Q8" s="43" t="str">
        <x:v>https://nebid.koica.go.kr/oep/lobi/localBidManageDetail.do?P_LOAZ_BID_PBLANC_NO=L2025-00094&amp;P_PBLANC_ODR=1</x:v>
      </x:c>
    </x:row>
    <x:row r="9">
      <x:c r="A9" s="43" t="str">
        <x:v>L2025-00090-2</x:v>
      </x:c>
      <x:c r="B9" s="43" t="str">
        <x:v>2022-00084</x:v>
      </x:c>
      <x:c r="C9" s="43" t="str">
        <x:v>인도네시아</x:v>
      </x:c>
      <x:c r="D9" s="43" t="str">
        <x:v>Indonesia</x:v>
      </x:c>
      <x:c r="E9" s="43" t="str"/>
      <x:c r="F9" s="46" t="str">
        <x:v>인도네시아 재난대응 공공의료 훈련 역량강화사업('22-'28/1,200만불)</x:v>
      </x:c>
      <x:c r="G9" s="46" t="str">
        <x:v>인도네시아 재난대응 공공의료훈련 역량강화사업 설계사 선정</x:v>
      </x:c>
      <x:c r="H9" s="46" t="str">
        <x:v>Design works for Capacity Building for Training of Disaster Management in the Indonesian Health System</x:v>
      </x:c>
      <x:c r="I9" s="43" t="str">
        <x:v>기타·미분류</x:v>
      </x:c>
      <x:c r="J9" s="43" t="str">
        <x:v>미분류</x:v>
      </x:c>
      <x:c r="K9" s="43" t="str">
        <x:v>용역</x:v>
      </x:c>
      <x:c r="L9" s="43" t="str">
        <x:v>일반경쟁</x:v>
      </x:c>
      <x:c r="M9" s="46" t="str">
        <x:v>협상에 의한 계약(기술가격종합평가)</x:v>
      </x:c>
      <x:c r="N9" s="46" t="str">
        <x:v>$ 145,000
		                    	 (환율 : 0.1)</x:v>
      </x:c>
      <x:c r="O9" s="46" t="str"/>
      <x:c r="P9" s="43" t="str">
        <x:v>2025-12-17</x:v>
      </x:c>
      <x:c r="Q9" s="43" t="str">
        <x:v>https://nebid.koica.go.kr/oep/lobi/localBidManageDetail.do?P_LOAZ_BID_PBLANC_NO=L2025-00090&amp;P_PBLANC_ODR=2</x:v>
      </x:c>
    </x:row>
    <x:row r="10">
      <x:c r="A10" s="43" t="str">
        <x:v>L2025-00090-1</x:v>
      </x:c>
      <x:c r="B10" s="43" t="str">
        <x:v>2022-00084</x:v>
      </x:c>
      <x:c r="C10" s="43" t="str">
        <x:v>인도네시아</x:v>
      </x:c>
      <x:c r="D10" s="43" t="str">
        <x:v>Indonesia</x:v>
      </x:c>
      <x:c r="E10" s="43" t="str"/>
      <x:c r="F10" s="46" t="str">
        <x:v>인도네시아 재난대응 공공의료 훈련 역량강화사업('22-'28/1,200만불)</x:v>
      </x:c>
      <x:c r="G10" s="46" t="str">
        <x:v>인도네시아 재난대응 공공의료훈련 역량강화사업 설계사 선정</x:v>
      </x:c>
      <x:c r="H10" s="46" t="str">
        <x:v>Design works for Capacity Building for Training of Disaster Management in the Indonesian Health System</x:v>
      </x:c>
      <x:c r="I10" s="43" t="str">
        <x:v>기타·미분류</x:v>
      </x:c>
      <x:c r="J10" s="43" t="str">
        <x:v>미분류</x:v>
      </x:c>
      <x:c r="K10" s="43" t="str">
        <x:v>용역</x:v>
      </x:c>
      <x:c r="L10" s="43" t="str">
        <x:v>일반경쟁</x:v>
      </x:c>
      <x:c r="M10" s="46" t="str">
        <x:v>협상에 의한 계약(기술가격종합평가)</x:v>
      </x:c>
      <x:c r="N10" s="46" t="str">
        <x:v>$ 145,000</x:v>
      </x:c>
      <x:c r="O10" s="46" t="str"/>
      <x:c r="P10" s="43" t="str">
        <x:v>2025-10-17</x:v>
      </x:c>
      <x:c r="Q10" s="43" t="str">
        <x:v>https://nebid.koica.go.kr/oep/lobi/localBidManageDetail.do?P_LOAZ_BID_PBLANC_NO=L2025-00090&amp;P_PBLANC_ODR=1</x:v>
      </x:c>
    </x:row>
    <x:row r="11">
      <x:c r="A11" s="43" t="str">
        <x:v>L2025-00087-1</x:v>
      </x:c>
      <x:c r="B11" s="43" t="str">
        <x:v>2023-00091</x:v>
      </x:c>
      <x:c r="C11" s="43" t="str">
        <x:v>타지키스탄</x:v>
      </x:c>
      <x:c r="D11" s="43" t="str">
        <x:v>Tajikistan</x:v>
      </x:c>
      <x:c r="E11" s="43" t="str"/>
      <x:c r="F11" s="46" t="str">
        <x:v>타지키스탄 전력소외 지역 전력망 구축 2차 사업('23-'26/1,400만불)</x:v>
      </x:c>
      <x:c r="G11" s="46" t="str">
        <x:v>(긴급) 타지키스탄 전력소외 지역 전력망 구축 2차 사업 건축 현지 입찰</x:v>
      </x:c>
      <x:c r="H11" s="46" t="str">
        <x:v>Power Supply Construction Project Phase-II in Romit of Tajikistan</x:v>
      </x:c>
      <x:c r="I11" s="43" t="str">
        <x:v>기타·미분류</x:v>
      </x:c>
      <x:c r="J11" s="43" t="str">
        <x:v>미분류</x:v>
      </x:c>
      <x:c r="K11" s="43" t="str">
        <x:v>공사</x:v>
      </x:c>
      <x:c r="L11" s="43" t="str">
        <x:v>일반경쟁</x:v>
      </x:c>
      <x:c r="M11" s="46" t="str">
        <x:v>적격심사</x:v>
      </x:c>
      <x:c r="N11" s="46" t="str">
        <x:v>$ 2,336,848
		                    	 (환율 : 1380)</x:v>
      </x:c>
      <x:c r="O11" s="46" t="str">
        <x:v>\ 3,224,850,240</x:v>
      </x:c>
      <x:c r="P11" s="43" t="str">
        <x:v>2025-10-08</x:v>
      </x:c>
      <x:c r="Q11" s="43" t="str">
        <x:v>https://nebid.koica.go.kr/oep/lobi/localBidManageDetail.do?P_LOAZ_BID_PBLANC_NO=L2025-00087&amp;P_PBLANC_ODR=1</x:v>
      </x:c>
    </x:row>
    <x:row r="12">
      <x:c r="A12" s="43" t="str">
        <x:v>L2025-00086-1</x:v>
      </x:c>
      <x:c r="B12" s="43" t="str">
        <x:v>2024-00053</x:v>
      </x:c>
      <x:c r="C12" s="43" t="str">
        <x:v>네팔</x:v>
      </x:c>
      <x:c r="D12" s="43" t="str">
        <x:v>Nepal</x:v>
      </x:c>
      <x:c r="E12" s="43" t="str"/>
      <x:c r="F12" s="46" t="str">
        <x:v>네팔 Province4 직업교육학교 건립사업('24-'30/900만불)</x:v>
      </x:c>
      <x:c r="G12" s="46" t="str">
        <x:v>네팔 Province4(간다키 주) 직업교육학교 건축 설계 및 감리 용역업체 선정</x:v>
      </x:c>
      <x:c r="H12" s="46" t="str">
        <x:v>Design and Construction supervision service for the project of Gandaki Institute of Technology (GIT) Infrastructure Development, Nepal</x:v>
      </x:c>
      <x:c r="I12" s="43" t="str">
        <x:v>학교·교육시설</x:v>
      </x:c>
      <x:c r="J12" s="43" t="str">
        <x:v>신축</x:v>
      </x:c>
      <x:c r="K12" s="43" t="str">
        <x:v>용역</x:v>
      </x:c>
      <x:c r="L12" s="43" t="str">
        <x:v>일반경쟁</x:v>
      </x:c>
      <x:c r="M12" s="46" t="str">
        <x:v>협상에 의한 계약(기술가격종합평가)</x:v>
      </x:c>
      <x:c r="N12" s="46" t="str">
        <x:v>$ 237,000
		                    	 (환율 : 1380)</x:v>
      </x:c>
      <x:c r="O12" s="46" t="str">
        <x:v>\ 327,060,000</x:v>
      </x:c>
      <x:c r="P12" s="43" t="str">
        <x:v>2025-09-08</x:v>
      </x:c>
      <x:c r="Q12" s="43" t="str">
        <x:v>https://nebid.koica.go.kr/oep/lobi/localBidManageDetail.do?P_LOAZ_BID_PBLANC_NO=L2025-00086&amp;P_PBLANC_ODR=1</x:v>
      </x:c>
    </x:row>
    <x:row r="13">
      <x:c r="A13" s="43" t="str">
        <x:v>L2025-00085-1</x:v>
      </x:c>
      <x:c r="B13" s="43" t="str">
        <x:v>2020-00119</x:v>
      </x:c>
      <x:c r="C13" s="43" t="str">
        <x:v>이라크</x:v>
      </x:c>
      <x:c r="D13" s="43" t="str">
        <x:v>Iraq</x:v>
      </x:c>
      <x:c r="E13" s="43" t="str"/>
      <x:c r="F13" s="46" t="str">
        <x:v>이라크 한-이라크 심장병 어린이 전문 병원 건립사업('20-'30/2,793만불)</x:v>
      </x:c>
      <x:c r="G13" s="46" t="str">
        <x:v>(긴급) 한-이라크 심장병 어린이 전문 병원 신축공사(신규입찰)</x:v>
      </x:c>
      <x:c r="H13" s="46" t="str">
        <x:v>The Construction of IRAQI-KOREAN Heart Center for Children</x:v>
      </x:c>
      <x:c r="I13" s="43" t="str">
        <x:v>병원</x:v>
      </x:c>
      <x:c r="J13" s="43" t="str">
        <x:v>신축</x:v>
      </x:c>
      <x:c r="K13" s="43" t="str">
        <x:v>공사</x:v>
      </x:c>
      <x:c r="L13" s="43" t="str">
        <x:v>일반경쟁</x:v>
      </x:c>
      <x:c r="M13" s="46" t="str">
        <x:v>적격심사</x:v>
      </x:c>
      <x:c r="N13" s="46" t="str">
        <x:v>$ 13,292,831</x:v>
      </x:c>
      <x:c r="O13" s="46" t="str"/>
      <x:c r="P13" s="43" t="str">
        <x:v>2025-10-06</x:v>
      </x:c>
      <x:c r="Q13" s="43" t="str">
        <x:v>https://nebid.koica.go.kr/oep/lobi/localBidManageDetail.do?P_LOAZ_BID_PBLANC_NO=L2025-00085&amp;P_PBLANC_ODR=1</x:v>
      </x:c>
    </x:row>
    <x:row r="14">
      <x:c r="A14" s="43" t="str">
        <x:v>L2025-00084-1</x:v>
      </x:c>
      <x:c r="B14" s="43" t="str">
        <x:v>2022-00064</x:v>
      </x:c>
      <x:c r="C14" s="43" t="str">
        <x:v>우간다</x:v>
      </x:c>
      <x:c r="D14" s="43" t="str">
        <x:v>Uganda</x:v>
      </x:c>
      <x:c r="E14" s="43" t="str"/>
      <x:c r="F14" s="46" t="str">
        <x:v>우간다 마케레레대학교 ICT 교육환경 조성사업('23-'28/1,220만불)</x:v>
      </x:c>
      <x:c r="G14" s="46" t="str">
        <x:v>우간다 마케레레 대학 원격교육 조성사업 신축 공사</x:v>
      </x:c>
      <x:c r="H14" s="46" t="str">
        <x:v>Construction of Center for distance learning at Makerere University, Kampala, Uganda</x:v>
      </x:c>
      <x:c r="I14" s="43" t="str">
        <x:v>학교·교육시설</x:v>
      </x:c>
      <x:c r="J14" s="43" t="str">
        <x:v>신축</x:v>
      </x:c>
      <x:c r="K14" s="43" t="str">
        <x:v>공사</x:v>
      </x:c>
      <x:c r="L14" s="43" t="str">
        <x:v>일반경쟁</x:v>
      </x:c>
      <x:c r="M14" s="46" t="str">
        <x:v>적격심사</x:v>
      </x:c>
      <x:c r="N14" s="46" t="str">
        <x:v>$ 4,383,000</x:v>
      </x:c>
      <x:c r="O14" s="46" t="str"/>
      <x:c r="P14" s="43" t="str">
        <x:v>2025-09-29</x:v>
      </x:c>
      <x:c r="Q14" s="43" t="str">
        <x:v>https://nebid.koica.go.kr/oep/lobi/localBidManageDetail.do?P_LOAZ_BID_PBLANC_NO=L2025-00084&amp;P_PBLANC_ODR=1</x:v>
      </x:c>
    </x:row>
    <x:row r="15">
      <x:c r="A15" s="43" t="str">
        <x:v>L2025-00080-1</x:v>
      </x:c>
      <x:c r="B15" s="43" t="str">
        <x:v>2022-00003</x:v>
      </x:c>
      <x:c r="C15" s="43" t="str">
        <x:v>세네갈</x:v>
      </x:c>
      <x:c r="D15" s="43" t="str">
        <x:v>Senegal</x:v>
      </x:c>
      <x:c r="E15" s="43" t="str"/>
      <x:c r="F15" s="46" t="str">
        <x:v>세네갈 국가공중보건 실험실 역량강화사업('22-'26/600만불)</x:v>
      </x:c>
      <x:c r="G15" s="46" t="str">
        <x:v>(긴급) 세네갈 국가공중보건실험실(LNSP) 리모델링 시공사 선정 현지입찰</x:v>
      </x:c>
      <x:c r="H15" s="46" t="str">
        <x:v>Bidding for Construction Contractor for the Renovation of National Public Health Laboratory(LNSP) in Senegal</x:v>
      </x:c>
      <x:c r="I15" s="43" t="str">
        <x:v>실험실·연구시설</x:v>
      </x:c>
      <x:c r="J15" s="43" t="str">
        <x:v>리모델링·개보수</x:v>
      </x:c>
      <x:c r="K15" s="43" t="str">
        <x:v>공사</x:v>
      </x:c>
      <x:c r="L15" s="43" t="str">
        <x:v>일반경쟁</x:v>
      </x:c>
      <x:c r="M15" s="46" t="str">
        <x:v>적격심사</x:v>
      </x:c>
      <x:c r="N15" s="46" t="str">
        <x:v>$ 730,000</x:v>
      </x:c>
      <x:c r="O15" s="46" t="str"/>
      <x:c r="P15" s="43" t="str">
        <x:v>2025-09-29</x:v>
      </x:c>
      <x:c r="Q15" s="43" t="str">
        <x:v>https://nebid.koica.go.kr/oep/lobi/localBidManageDetail.do?P_LOAZ_BID_PBLANC_NO=L2025-00080&amp;P_PBLANC_ODR=1</x:v>
      </x:c>
    </x:row>
    <x:row r="16">
      <x:c r="A16" s="43" t="str">
        <x:v>L2025-00079-1</x:v>
      </x:c>
      <x:c r="B16" s="43" t="str">
        <x:v>2021-00156</x:v>
      </x:c>
      <x:c r="C16" s="43" t="str">
        <x:v>인도네시아</x:v>
      </x:c>
      <x:c r="D16" s="43" t="str">
        <x:v>Indonesia</x:v>
      </x:c>
      <x:c r="E16" s="43" t="str"/>
      <x:c r="F16" s="46" t="str">
        <x:v>인도네시아 보고르대학교 농업생명과학연구센터 역량강화 사업('21-'28/1,100만불)</x:v>
      </x:c>
      <x:c r="G16" s="46" t="str">
        <x:v>인도네시아 보고르 대학교 농업생명과학 연구센터 신축공사 시공사 선정</x:v>
      </x:c>
      <x:c r="H16" s="46" t="str">
        <x:v>The General Contract for Construction Works of  National Instrumentation Center for Agriculture and Bioscience of IPB University</x:v>
      </x:c>
      <x:c r="I16" s="43" t="str">
        <x:v>학교·교육시설</x:v>
      </x:c>
      <x:c r="J16" s="43" t="str">
        <x:v>신축</x:v>
      </x:c>
      <x:c r="K16" s="43" t="str">
        <x:v>공사</x:v>
      </x:c>
      <x:c r="L16" s="43" t="str">
        <x:v>일반경쟁</x:v>
      </x:c>
      <x:c r="M16" s="46" t="str">
        <x:v>적격심사</x:v>
      </x:c>
      <x:c r="N16" s="46" t="str">
        <x:v>$ 2,450,000</x:v>
      </x:c>
      <x:c r="O16" s="46" t="str"/>
      <x:c r="P16" s="43" t="str">
        <x:v>2025-09-19</x:v>
      </x:c>
      <x:c r="Q16" s="43" t="str">
        <x:v>https://nebid.koica.go.kr/oep/lobi/localBidManageDetail.do?P_LOAZ_BID_PBLANC_NO=L2025-00079&amp;P_PBLANC_ODR=1</x:v>
      </x:c>
    </x:row>
    <x:row r="17">
      <x:c r="A17" s="43" t="str">
        <x:v>L2025-00078-1</x:v>
      </x:c>
      <x:c r="B17" s="43" t="str">
        <x:v>2023-00004</x:v>
      </x:c>
      <x:c r="C17" s="43" t="str">
        <x:v>볼리비아</x:v>
      </x:c>
      <x:c r="D17" s="43" t="str">
        <x:v>Bolivia</x:v>
      </x:c>
      <x:c r="E17" s="43" t="str"/>
      <x:c r="F17" s="46" t="str">
        <x:v>볼리비아 엘알또시 모성보건역량 개선사업('23-'27/900만불)</x:v>
      </x:c>
      <x:c r="G17" s="46" t="str">
        <x:v>볼리비아 엘알또 모성보건센터 신축/증축/보수 공사 설계사 선정</x:v>
      </x:c>
      <x:c r="H17" s="46" t="str">
        <x:v>Selection of construction and renovation design service Maternal Healthcare Center in El-Alto</x:v>
      </x:c>
      <x:c r="I17" s="43" t="str">
        <x:v>기타·미분류</x:v>
      </x:c>
      <x:c r="J17" s="43" t="str">
        <x:v>리모델링·개보수</x:v>
      </x:c>
      <x:c r="K17" s="43" t="str">
        <x:v>용역</x:v>
      </x:c>
      <x:c r="L17" s="43" t="str">
        <x:v>일반경쟁</x:v>
      </x:c>
      <x:c r="M17" s="46" t="str">
        <x:v>협상에 의한 계약(기술가격종합평가)</x:v>
      </x:c>
      <x:c r="N17" s="46" t="str">
        <x:v>$ 196,500</x:v>
      </x:c>
      <x:c r="O17" s="46" t="str"/>
      <x:c r="P17" s="43" t="str">
        <x:v>2025-09-26</x:v>
      </x:c>
      <x:c r="Q17" s="43" t="str">
        <x:v>https://nebid.koica.go.kr/oep/lobi/localBidManageDetail.do?P_LOAZ_BID_PBLANC_NO=L2025-00078&amp;P_PBLANC_ODR=1</x:v>
      </x:c>
    </x:row>
    <x:row r="18">
      <x:c r="A18" s="43" t="str">
        <x:v>L2025-00077-1</x:v>
      </x:c>
      <x:c r="B18" s="43" t="str">
        <x:v>2023-00061</x:v>
      </x:c>
      <x:c r="C18" s="43" t="str">
        <x:v>세네갈</x:v>
      </x:c>
      <x:c r="D18" s="43" t="str">
        <x:v>Senegal</x:v>
      </x:c>
      <x:c r="E18" s="43" t="str"/>
      <x:c r="F18" s="46" t="str">
        <x:v>세네갈 콜다 주 통합적 접근을 통한 미곡가치사슬 강화사업('23-'28/1,450만불)</x:v>
      </x:c>
      <x:c r="G18" s="46" t="str">
        <x:v>(긴급) 세네갈 콜다주 통합적 접근을 통한 미곡가치사슬 강화사업 관개지 개보수/건물 신축·개보수에 관한 세부설계 및 시공감리 용역 현지 긴급입찰</x:v>
      </x:c>
      <x:c r="H18" s="46" t="str">
        <x:v>(Emergency) Bidding for Design and Supervision of Irrigation and Facilities Construction under KOICAs PDCVR in Kolda, Senegal</x:v>
      </x:c>
      <x:c r="I18" s="43" t="str">
        <x:v>농업시설</x:v>
      </x:c>
      <x:c r="J18" s="43" t="str">
        <x:v>리모델링·개보수</x:v>
      </x:c>
      <x:c r="K18" s="43" t="str">
        <x:v>용역</x:v>
      </x:c>
      <x:c r="L18" s="43" t="str">
        <x:v>일반경쟁</x:v>
      </x:c>
      <x:c r="M18" s="46" t="str">
        <x:v>협상에 의한 계약(기술가격종합평가)</x:v>
      </x:c>
      <x:c r="N18" s="46" t="str">
        <x:v>$ 420,000</x:v>
      </x:c>
      <x:c r="O18" s="46" t="str"/>
      <x:c r="P18" s="43" t="str">
        <x:v>2025-09-17</x:v>
      </x:c>
      <x:c r="Q18" s="43" t="str">
        <x:v>https://nebid.koica.go.kr/oep/lobi/localBidManageDetail.do?P_LOAZ_BID_PBLANC_NO=L2025-00077&amp;P_PBLANC_ODR=1</x:v>
      </x:c>
    </x:row>
    <x:row r="19">
      <x:c r="A19" s="43" t="str">
        <x:v>L2025-00075-1</x:v>
      </x:c>
      <x:c r="B19" s="43" t="str">
        <x:v>2022-00069</x:v>
      </x:c>
      <x:c r="C19" s="43" t="str">
        <x:v>필리핀</x:v>
      </x:c>
      <x:c r="D19" s="43" t="str">
        <x:v>Philippines</x:v>
      </x:c>
      <x:c r="E19" s="43" t="str"/>
      <x:c r="F19" s="46" t="str">
        <x:v>필리핀 기마라스주 수산양식 역량강화를 통한 양식어민 소득증대 지원사업('22-'28/1,000만불)</x:v>
      </x:c>
      <x:c r="G19" s="46" t="str">
        <x:v>(긴급) 필리핀 기마라스주 해수양식센터 건립 설계 용역업체 선정</x:v>
      </x:c>
      <x:c r="H19" s="46" t="str">
        <x:v>(Urgent) Design Service for the Establishment of Mariculture Center in Guimaras Province, Philippines</x:v>
      </x:c>
      <x:c r="I19" s="43" t="str">
        <x:v>기타·미분류</x:v>
      </x:c>
      <x:c r="J19" s="43" t="str">
        <x:v>신축</x:v>
      </x:c>
      <x:c r="K19" s="43" t="str">
        <x:v>용역</x:v>
      </x:c>
      <x:c r="L19" s="43" t="str">
        <x:v>일반경쟁</x:v>
      </x:c>
      <x:c r="M19" s="46" t="str">
        <x:v>협상에 의한 계약(기술가격종합평가)</x:v>
      </x:c>
      <x:c r="N19" s="46" t="str">
        <x:v>$ 153,695</x:v>
      </x:c>
      <x:c r="O19" s="46" t="str"/>
      <x:c r="P19" s="43" t="str">
        <x:v>2025-09-13</x:v>
      </x:c>
      <x:c r="Q19" s="43" t="str">
        <x:v>https://nebid.koica.go.kr/oep/lobi/localBidManageDetail.do?P_LOAZ_BID_PBLANC_NO=L2025-00075&amp;P_PBLANC_ODR=1</x:v>
      </x:c>
    </x:row>
    <x:row r="20">
      <x:c r="A20" s="43" t="str">
        <x:v>L2025-00073-1</x:v>
      </x:c>
      <x:c r="B20" s="43" t="str">
        <x:v>2022-00027</x:v>
      </x:c>
      <x:c r="C20" s="43" t="str">
        <x:v>캄보디아</x:v>
      </x:c>
      <x:c r="D20" s="43" t="str">
        <x:v>Cambodia</x:v>
      </x:c>
      <x:c r="E20" s="43" t="str"/>
      <x:c r="F20" s="46" t="str">
        <x:v>캄보디아 국립어린이병원 내과계 병동건립 및 의료인력역량 강화사업(`22-`28/1,699만불)</x:v>
      </x:c>
      <x:c r="G20" s="46" t="str">
        <x:v>캄보디아 국립어린이병원 내과계 병동건립 및 의료인력역량 강화사업 내과계 병동 신축공사 시공사 선정 입찰</x:v>
      </x:c>
      <x:c r="H20" s="46" t="str">
        <x:v>Construction of Internal Medicine Ward, National Pediatric Hospital(NPH) in Cambodia</x:v>
      </x:c>
      <x:c r="I20" s="43" t="str">
        <x:v>병원</x:v>
      </x:c>
      <x:c r="J20" s="43" t="str">
        <x:v>신축</x:v>
      </x:c>
      <x:c r="K20" s="43" t="str">
        <x:v>공사</x:v>
      </x:c>
      <x:c r="L20" s="43" t="str">
        <x:v>일반경쟁</x:v>
      </x:c>
      <x:c r="M20" s="46" t="str">
        <x:v>적격심사</x:v>
      </x:c>
      <x:c r="N20" s="46" t="str">
        <x:v>$ 11,277,000</x:v>
      </x:c>
      <x:c r="O20" s="46" t="str"/>
      <x:c r="P20" s="43" t="str">
        <x:v>2025-09-08</x:v>
      </x:c>
      <x:c r="Q20" s="43" t="str">
        <x:v>https://nebid.koica.go.kr/oep/lobi/localBidManageDetail.do?P_LOAZ_BID_PBLANC_NO=L2025-00073&amp;P_PBLANC_ODR=1</x:v>
      </x:c>
    </x:row>
    <x:row r="21">
      <x:c r="A21" s="43" t="str">
        <x:v>L2025-00071-1</x:v>
      </x:c>
      <x:c r="B21" s="43" t="str">
        <x:v>2020-00119</x:v>
      </x:c>
      <x:c r="C21" s="43" t="str">
        <x:v>이라크</x:v>
      </x:c>
      <x:c r="D21" s="43" t="str">
        <x:v>Iraq</x:v>
      </x:c>
      <x:c r="E21" s="43" t="str"/>
      <x:c r="F21" s="46" t="str">
        <x:v>이라크 한-이라크 심장병 어린이 전문 병원 건립사업('20-'30/2,793만불)</x:v>
      </x:c>
      <x:c r="G21" s="46" t="str">
        <x:v>한-이라크 심장병 어린이 전문병원 신축공사(재공고)</x:v>
      </x:c>
      <x:c r="H21" s="46" t="str">
        <x:v>IRAQI-KOREAN HEART CENTER FOR CHILDREN constrution work</x:v>
      </x:c>
      <x:c r="I21" s="43" t="str">
        <x:v>병원</x:v>
      </x:c>
      <x:c r="J21" s="43" t="str">
        <x:v>신축</x:v>
      </x:c>
      <x:c r="K21" s="43" t="str">
        <x:v>공사</x:v>
      </x:c>
      <x:c r="L21" s="43" t="str">
        <x:v>일반경쟁</x:v>
      </x:c>
      <x:c r="M21" s="46" t="str">
        <x:v>적격심사</x:v>
      </x:c>
      <x:c r="N21" s="46" t="str">
        <x:v>$ 13,292,831</x:v>
      </x:c>
      <x:c r="O21" s="46" t="str"/>
      <x:c r="P21" s="43" t="str">
        <x:v>2025-09-08</x:v>
      </x:c>
      <x:c r="Q21" s="43" t="str">
        <x:v>https://nebid.koica.go.kr/oep/lobi/localBidManageDetail.do?P_LOAZ_BID_PBLANC_NO=L2025-00071&amp;P_PBLANC_ODR=1</x:v>
      </x:c>
    </x:row>
    <x:row r="22">
      <x:c r="A22" s="43" t="str">
        <x:v>L2025-00070-1</x:v>
      </x:c>
      <x:c r="B22" s="43" t="str">
        <x:v>2020-00119</x:v>
      </x:c>
      <x:c r="C22" s="43" t="str">
        <x:v>이라크</x:v>
      </x:c>
      <x:c r="D22" s="43" t="str">
        <x:v>Iraq</x:v>
      </x:c>
      <x:c r="E22" s="43" t="str"/>
      <x:c r="F22" s="46" t="str">
        <x:v>이라크 한-이라크 심장병 어린이 전문 병원 건립사업('20-'30/2,793만불)</x:v>
      </x:c>
      <x:c r="G22" s="46" t="str">
        <x:v>한-이라크 심장병 어린이 전문병원 신축공사</x:v>
      </x:c>
      <x:c r="H22" s="46" t="str">
        <x:v>IRAQI-KOREAN HEART CENTER FOR CHILDREN constrution work</x:v>
      </x:c>
      <x:c r="I22" s="43" t="str">
        <x:v>병원</x:v>
      </x:c>
      <x:c r="J22" s="43" t="str">
        <x:v>신축</x:v>
      </x:c>
      <x:c r="K22" s="43" t="str">
        <x:v>공사</x:v>
      </x:c>
      <x:c r="L22" s="43" t="str">
        <x:v>일반경쟁</x:v>
      </x:c>
      <x:c r="M22" s="46" t="str">
        <x:v>적격심사</x:v>
      </x:c>
      <x:c r="N22" s="46" t="str">
        <x:v>$ 13,292,831</x:v>
      </x:c>
      <x:c r="O22" s="46" t="str"/>
      <x:c r="P22" s="43" t="str">
        <x:v>2025-07-10</x:v>
      </x:c>
      <x:c r="Q22" s="43" t="str">
        <x:v>https://nebid.koica.go.kr/oep/lobi/localBidManageDetail.do?P_LOAZ_BID_PBLANC_NO=L2025-00070&amp;P_PBLANC_ODR=1</x:v>
      </x:c>
    </x:row>
    <x:row r="23">
      <x:c r="A23" s="43" t="str">
        <x:v>L2025-00068-1</x:v>
      </x:c>
      <x:c r="B23" s="43" t="str">
        <x:v>2024-00006</x:v>
      </x:c>
      <x:c r="C23" s="43" t="str">
        <x:v>볼리비아</x:v>
      </x:c>
      <x:c r="D23" s="43" t="str">
        <x:v>Bolivia</x:v>
      </x:c>
      <x:c r="E23" s="43" t="str"/>
      <x:c r="F23" s="46" t="str">
        <x:v>볼리비아 추키사카주 과학수사기관 구축을 통한 젠더기반폭력 사건 대응 역량강화사업('24-'28/1200만불)</x:v>
      </x:c>
      <x:c r="G23" s="46" t="str">
        <x:v>볼리비아 추키사카 과학수사연구소 신축공사 설계사 선정 입찰</x:v>
      </x:c>
      <x:c r="H23" s="46" t="str">
        <x:v>selection of construction design service of the Forensic Investigation Research Institute, Chuquisaca, Bolivia</x:v>
      </x:c>
      <x:c r="I23" s="43" t="str">
        <x:v>실험실·연구시설</x:v>
      </x:c>
      <x:c r="J23" s="43" t="str">
        <x:v>신축</x:v>
      </x:c>
      <x:c r="K23" s="43" t="str">
        <x:v>용역</x:v>
      </x:c>
      <x:c r="L23" s="43" t="str">
        <x:v>일반경쟁</x:v>
      </x:c>
      <x:c r="M23" s="46" t="str">
        <x:v>협상에 의한 계약(기술가격종합평가)</x:v>
      </x:c>
      <x:c r="N23" s="46" t="str">
        <x:v>$ 252,046
		                    	 (환율 : 8)</x:v>
      </x:c>
      <x:c r="O23" s="46" t="str">
        <x:v>\ 2,016,375</x:v>
      </x:c>
      <x:c r="P23" s="43" t="str">
        <x:v>2025-09-12</x:v>
      </x:c>
      <x:c r="Q23" s="43" t="str">
        <x:v>https://nebid.koica.go.kr/oep/lobi/localBidManageDetail.do?P_LOAZ_BID_PBLANC_NO=L2025-00068&amp;P_PBLANC_ODR=1</x:v>
      </x:c>
    </x:row>
    <x:row r="24">
      <x:c r="A24" s="43" t="str">
        <x:v>L2025-00066-1</x:v>
      </x:c>
      <x:c r="B24" s="43" t="str">
        <x:v>2024-00107</x:v>
      </x:c>
      <x:c r="C24" s="43" t="str">
        <x:v>파키스탄</x:v>
      </x:c>
      <x:c r="D24" s="43" t="str">
        <x:v>Pakistan</x:v>
      </x:c>
      <x:c r="E24" s="43" t="str"/>
      <x:c r="F24" s="46" t="str">
        <x:v>파키스탄 펀잡주 기후변화 적응을 위한 물탄시 홍수방재 마스터플랜 수립 및 우수저류시설 설치사업('24-'27/1,000만불)</x:v>
      </x:c>
      <x:c r="G24" s="46" t="str">
        <x:v>파키스탄 펀잡주 물탄시 우수저류시설 기본 및 실시설계 수립용역 현지입찰</x:v>
      </x:c>
      <x:c r="H24" s="46" t="str">
        <x:v>Consulting Services for Basic and Detailed Engineering Design of Stormwater Storage System Project in Multan City, Punjab Province, Pakistan</x:v>
      </x:c>
      <x:c r="I24" s="43" t="str">
        <x:v>기타·미분류</x:v>
      </x:c>
      <x:c r="J24" s="43" t="str">
        <x:v>미분류</x:v>
      </x:c>
      <x:c r="K24" s="43" t="str">
        <x:v>용역</x:v>
      </x:c>
      <x:c r="L24" s="43" t="str">
        <x:v>일반경쟁</x:v>
      </x:c>
      <x:c r="M24" s="46" t="str">
        <x:v>협상에 의한 계약(기술가격종합평가)</x:v>
      </x:c>
      <x:c r="N24" s="46" t="str">
        <x:v>$ 260,000</x:v>
      </x:c>
      <x:c r="O24" s="46" t="str"/>
      <x:c r="P24" s="43" t="str">
        <x:v>2025-08-26</x:v>
      </x:c>
      <x:c r="Q24" s="43" t="str">
        <x:v>https://nebid.koica.go.kr/oep/lobi/localBidManageDetail.do?P_LOAZ_BID_PBLANC_NO=L2025-00066&amp;P_PBLANC_ODR=1</x:v>
      </x:c>
    </x:row>
    <x:row r="25">
      <x:c r="A25" s="43" t="str">
        <x:v>L2025-00064-1</x:v>
      </x:c>
      <x:c r="B25" s="43" t="str">
        <x:v>2022-00040</x:v>
      </x:c>
      <x:c r="C25" s="43" t="str">
        <x:v>에콰도르</x:v>
      </x:c>
      <x:c r="D25" s="43" t="str">
        <x:v>Ecuador</x:v>
      </x:c>
      <x:c r="E25" s="43" t="str"/>
      <x:c r="F25" s="46" t="str">
        <x:v>에콰도르 쿠엔카시 순환경제를 위한 폐기물 통합 관리 및 자원순환 역량강화사업('23-'29/900만불)</x:v>
      </x:c>
      <x:c r="G25" s="46" t="str">
        <x:v>에콰도르 쿠엔카시 순환경제를 위한 폐기물 통합 관리 및 자원순환 역량강화사업 피차카이 자원집적단지 3개 시설 설계</x:v>
      </x:c>
      <x:c r="H25" s="46" t="str">
        <x:v>Integrated Waste Management and Resource Circulation Capacity Strengthening Project towards the Circular Economy of Cuenca, Ecuador, Resource Management Facility Design Service</x:v>
      </x:c>
      <x:c r="I25" s="43" t="str">
        <x:v>상하수·환경시설</x:v>
      </x:c>
      <x:c r="J25" s="43" t="str">
        <x:v>미분류</x:v>
      </x:c>
      <x:c r="K25" s="43" t="str">
        <x:v>용역</x:v>
      </x:c>
      <x:c r="L25" s="43" t="str">
        <x:v>일반경쟁</x:v>
      </x:c>
      <x:c r="M25" s="46" t="str">
        <x:v>협상에 의한 계약(기술평가)</x:v>
      </x:c>
      <x:c r="N25" s="46" t="str">
        <x:v>$ 150,000</x:v>
      </x:c>
      <x:c r="O25" s="46" t="str"/>
      <x:c r="P25" s="43" t="str">
        <x:v>2025-10-06</x:v>
      </x:c>
      <x:c r="Q25" s="43" t="str">
        <x:v>https://nebid.koica.go.kr/oep/lobi/localBidManageDetail.do?P_LOAZ_BID_PBLANC_NO=L2025-00064&amp;P_PBLANC_ODR=1</x:v>
      </x:c>
    </x:row>
    <x:row r="26">
      <x:c r="A26" s="43" t="str">
        <x:v>L2025-00063-1</x:v>
      </x:c>
      <x:c r="B26" s="43" t="str">
        <x:v>2021-00016</x:v>
      </x:c>
      <x:c r="C26" s="43" t="str">
        <x:v>가나</x:v>
      </x:c>
      <x:c r="D26" s="43" t="str">
        <x:v>Ghana</x:v>
      </x:c>
      <x:c r="E26" s="43" t="str"/>
      <x:c r="F26" s="46" t="str">
        <x:v>가나대학교 연구 및 ICT 혁신센터 건립 사업('21-'26/999만불)</x:v>
      </x:c>
      <x:c r="G26" s="46" t="str">
        <x:v>(긴급) 가나대학교 한-가나 연구 및 ICT 혁신센터 건립사업 시공감리용역 선정</x:v>
      </x:c>
      <x:c r="H26" s="46" t="str">
        <x:v>(Urgent) Construction Supervision Services for the Ghana-Korea Center of Excellence(GK-IMPACT) for ICT based Startups and Asian Research</x:v>
      </x:c>
      <x:c r="I26" s="43" t="str">
        <x:v>학교·교육시설</x:v>
      </x:c>
      <x:c r="J26" s="43" t="str">
        <x:v>신축</x:v>
      </x:c>
      <x:c r="K26" s="43" t="str">
        <x:v>용역</x:v>
      </x:c>
      <x:c r="L26" s="43" t="str">
        <x:v>일반경쟁</x:v>
      </x:c>
      <x:c r="M26" s="46" t="str">
        <x:v>협상에 의한 계약(기술가격종합평가)</x:v>
      </x:c>
      <x:c r="N26" s="46" t="str">
        <x:v>$ 207,230
		                    	 (환율 : 1380)</x:v>
      </x:c>
      <x:c r="O26" s="46" t="str">
        <x:v>\ 285,977,400</x:v>
      </x:c>
      <x:c r="P26" s="43" t="str">
        <x:v>2025-08-08</x:v>
      </x:c>
      <x:c r="Q26" s="43" t="str">
        <x:v>https://nebid.koica.go.kr/oep/lobi/localBidManageDetail.do?P_LOAZ_BID_PBLANC_NO=L2025-00063&amp;P_PBLANC_ODR=1</x:v>
      </x:c>
    </x:row>
    <x:row r="27">
      <x:c r="A27" s="43" t="str">
        <x:v>L2025-00062-1</x:v>
      </x:c>
      <x:c r="B27" s="43" t="str">
        <x:v>2021-00042</x:v>
      </x:c>
      <x:c r="C27" s="43" t="str">
        <x:v>우간다</x:v>
      </x:c>
      <x:c r="D27" s="43" t="str">
        <x:v>Uganda</x:v>
      </x:c>
      <x:c r="E27" s="43" t="str"/>
      <x:c r="F27" s="46" t="str">
        <x:v>우간다 농업지도자 연수원 자립적 운영체계 구축 및 연수역량 강화사업('21-'28/1,200만불)</x:v>
      </x:c>
      <x:c r="G27" s="46" t="str">
        <x:v>우간다 농업지도자 연수원 자립적 운영체계구축 및 연수역량 강화사업 시범농장 신축 공사</x:v>
      </x:c>
      <x:c r="H27" s="46" t="str">
        <x:v>Institutional Capacity Support to the National Farmers Leadership Center(NFLC) - Construction of New farm structures in NFLC, Mpigi District</x:v>
      </x:c>
      <x:c r="I27" s="43" t="str">
        <x:v>농업시설</x:v>
      </x:c>
      <x:c r="J27" s="43" t="str">
        <x:v>신축</x:v>
      </x:c>
      <x:c r="K27" s="43" t="str">
        <x:v>공사</x:v>
      </x:c>
      <x:c r="L27" s="43" t="str">
        <x:v>일반경쟁</x:v>
      </x:c>
      <x:c r="M27" s="46" t="str">
        <x:v>적격심사</x:v>
      </x:c>
      <x:c r="N27" s="46" t="str">
        <x:v>$ 1,123,590
		                    	 (환율 : 1380)</x:v>
      </x:c>
      <x:c r="O27" s="46" t="str">
        <x:v>\ 1,550,554,200</x:v>
      </x:c>
      <x:c r="P27" s="43" t="str">
        <x:v>2025-08-06</x:v>
      </x:c>
      <x:c r="Q27" s="43" t="str">
        <x:v>https://nebid.koica.go.kr/oep/lobi/localBidManageDetail.do?P_LOAZ_BID_PBLANC_NO=L2025-00062&amp;P_PBLANC_ODR=1</x:v>
      </x:c>
    </x:row>
    <x:row r="28">
      <x:c r="A28" s="43" t="str">
        <x:v>L2025-00060-1</x:v>
      </x:c>
      <x:c r="B28" s="43" t="str">
        <x:v>2024-00029</x:v>
      </x:c>
      <x:c r="C28" s="43" t="str">
        <x:v>코트디부아르</x:v>
      </x:c>
      <x:c r="D28" s="43" t="str">
        <x:v>Côte d’Ivoire</x:v>
      </x:c>
      <x:c r="E28" s="43" t="str"/>
      <x:c r="F28" s="46" t="str">
        <x:v>코트디부아르 지역균형발전을 위한 중부지역 직업전문학교 역량강화사업('24-'29/1,100만불)</x:v>
      </x:c>
      <x:c r="G28" s="46" t="str">
        <x:v>코트디부아르 지역균형발전을 위한 중부지역 직업전문학교 역량강화사업 설계 및 시공감리용역</x:v>
      </x:c>
      <x:c r="H28" s="46" t="str">
        <x:v>Design and Supervision Services for the Project for Strengthening Capacity for Employment and Entrepreneurship of Youth at Northern Disputed Region in Cote dIvoire</x:v>
      </x:c>
      <x:c r="I28" s="43" t="str">
        <x:v>학교·교육시설</x:v>
      </x:c>
      <x:c r="J28" s="43" t="str">
        <x:v>미분류</x:v>
      </x:c>
      <x:c r="K28" s="43" t="str">
        <x:v>용역</x:v>
      </x:c>
      <x:c r="L28" s="43" t="str">
        <x:v>일반경쟁</x:v>
      </x:c>
      <x:c r="M28" s="46" t="str">
        <x:v>협상에 의한 계약(기술가격종합평가)</x:v>
      </x:c>
      <x:c r="N28" s="46" t="str">
        <x:v>$ 561,016
		                    	 (환율 : 1380)</x:v>
      </x:c>
      <x:c r="O28" s="46" t="str">
        <x:v>\ 774,202,081</x:v>
      </x:c>
      <x:c r="P28" s="43" t="str">
        <x:v>2025-08-08</x:v>
      </x:c>
      <x:c r="Q28" s="43" t="str">
        <x:v>https://nebid.koica.go.kr/oep/lobi/localBidManageDetail.do?P_LOAZ_BID_PBLANC_NO=L2025-00060&amp;P_PBLANC_ODR=1</x:v>
      </x:c>
    </x:row>
    <x:row r="29">
      <x:c r="A29" s="43" t="str">
        <x:v>L2025-00059-1</x:v>
      </x:c>
      <x:c r="B29" s="43" t="str">
        <x:v>2022-00069</x:v>
      </x:c>
      <x:c r="C29" s="43" t="str">
        <x:v>필리핀</x:v>
      </x:c>
      <x:c r="D29" s="43" t="str">
        <x:v>Philippines</x:v>
      </x:c>
      <x:c r="E29" s="43" t="str"/>
      <x:c r="F29" s="46" t="str">
        <x:v>필리핀 기마라스주 수산양식 역량강화를 통한 양식어민 소득증대 지원사업('22-'28/1,000만불)</x:v>
      </x:c>
      <x:c r="G29" s="46" t="str">
        <x:v>필리핀 기마라스주 해수양식센터 건립 설계 및 시공감리 용역업체 선정</x:v>
      </x:c>
      <x:c r="H29" s="46" t="str">
        <x:v>Design and Construction Supervision Consultant Services for the Establishment of Mariculture Center in Guimaras Province, Philippine</x:v>
      </x:c>
      <x:c r="I29" s="43" t="str">
        <x:v>기타·미분류</x:v>
      </x:c>
      <x:c r="J29" s="43" t="str">
        <x:v>신축</x:v>
      </x:c>
      <x:c r="K29" s="43" t="str">
        <x:v>용역</x:v>
      </x:c>
      <x:c r="L29" s="43" t="str">
        <x:v>일반경쟁</x:v>
      </x:c>
      <x:c r="M29" s="46" t="str">
        <x:v>협상에 의한 계약(기술가격종합평가)</x:v>
      </x:c>
      <x:c r="N29" s="46" t="str">
        <x:v>$ 219,564</x:v>
      </x:c>
      <x:c r="O29" s="46" t="str"/>
      <x:c r="P29" s="43" t="str">
        <x:v>2025-08-07</x:v>
      </x:c>
      <x:c r="Q29" s="43" t="str">
        <x:v>https://nebid.koica.go.kr/oep/lobi/localBidManageDetail.do?P_LOAZ_BID_PBLANC_NO=L2025-00059&amp;P_PBLANC_ODR=1</x:v>
      </x:c>
    </x:row>
    <x:row r="30">
      <x:c r="A30" s="43" t="str">
        <x:v>L2025-00058-1</x:v>
      </x:c>
      <x:c r="B30" s="43" t="str">
        <x:v>2023-00027</x:v>
      </x:c>
      <x:c r="C30" s="43" t="str"/>
      <x:c r="D30" s="43" t="str"/>
      <x:c r="E30" s="43" t="str"/>
      <x:c r="F30" s="46" t="str">
        <x:v>키르기스스탄 국회 디지털화 사업('23-'27/840만불)</x:v>
      </x:c>
      <x:c r="G30" s="46" t="str">
        <x:v>키르키즈공화국 국회 디지털화 사업 시공</x:v>
      </x:c>
      <x:c r="H30" s="46" t="str">
        <x:v>Remodeling Works for the project Digitalization of the Jogorku Kenesh(Parliament) of the Kyrgyz Republic</x:v>
      </x:c>
      <x:c r="I30" s="43" t="str">
        <x:v>기타·미분류</x:v>
      </x:c>
      <x:c r="J30" s="43" t="str">
        <x:v>미분류</x:v>
      </x:c>
      <x:c r="K30" s="43" t="str">
        <x:v>공사</x:v>
      </x:c>
      <x:c r="L30" s="43" t="str">
        <x:v>일반경쟁</x:v>
      </x:c>
      <x:c r="M30" s="46" t="str">
        <x:v>적격심사</x:v>
      </x:c>
      <x:c r="N30" s="46" t="str">
        <x:v>$ 1,700,000</x:v>
      </x:c>
      <x:c r="O30" s="46" t="str"/>
      <x:c r="P30" s="43" t="str">
        <x:v>2025-08-05</x:v>
      </x:c>
      <x:c r="Q30" s="43" t="str">
        <x:v>https://nebid.koica.go.kr/oep/lobi/localBidManageDetail.do?P_LOAZ_BID_PBLANC_NO=L2025-00058&amp;P_PBLANC_ODR=1</x:v>
      </x:c>
    </x:row>
    <x:row r="31">
      <x:c r="A31" s="43" t="str">
        <x:v>L2025-00056-1</x:v>
      </x:c>
      <x:c r="B31" s="43" t="str">
        <x:v>2023-00008</x:v>
      </x:c>
      <x:c r="C31" s="43" t="str">
        <x:v>캄보디아</x:v>
      </x:c>
      <x:c r="D31" s="43" t="str">
        <x:v>Cambodia</x:v>
      </x:c>
      <x:c r="E31" s="43" t="str"/>
      <x:c r="F31" s="46" t="str">
        <x:v>캄보디아 ICT 분야 직업기술훈련 역량강화 및 교육훈련 환경구축 사업('23-'27/800만불)</x:v>
      </x:c>
      <x:c r="G31" s="46" t="str">
        <x:v>캄보디아 직원훈련기관(TVET기관) ICT Lab 리모델링 설계·시공</x:v>
      </x:c>
      <x:c r="H31" s="46" t="str">
        <x:v>ICT Labs Renovation Works (Design-build) of The Project for Building Capacity and Establishing Enabling Environment in ICT Majors of TVET in Cambodia</x:v>
      </x:c>
      <x:c r="I31" s="43" t="str">
        <x:v>실험실·연구시설</x:v>
      </x:c>
      <x:c r="J31" s="43" t="str">
        <x:v>리모델링·개보수</x:v>
      </x:c>
      <x:c r="K31" s="43" t="str">
        <x:v>공사</x:v>
      </x:c>
      <x:c r="L31" s="43" t="str">
        <x:v>일반경쟁</x:v>
      </x:c>
      <x:c r="M31" s="46" t="str">
        <x:v>적격심사</x:v>
      </x:c>
      <x:c r="N31" s="46" t="str">
        <x:v>$ 1,343,000</x:v>
      </x:c>
      <x:c r="O31" s="46" t="str"/>
      <x:c r="P31" s="43" t="str">
        <x:v>2025-08-01</x:v>
      </x:c>
      <x:c r="Q31" s="43" t="str">
        <x:v>https://nebid.koica.go.kr/oep/lobi/localBidManageDetail.do?P_LOAZ_BID_PBLANC_NO=L2025-00056&amp;P_PBLANC_ODR=1</x:v>
      </x:c>
    </x:row>
    <x:row r="32">
      <x:c r="A32" s="43" t="str">
        <x:v>L2025-00055-1</x:v>
      </x:c>
      <x:c r="B32" s="43" t="str">
        <x:v>2024-00040</x:v>
      </x:c>
      <x:c r="C32" s="43" t="str">
        <x:v>요르단</x:v>
      </x:c>
      <x:c r="D32" s="43" t="str">
        <x:v>Jordan</x:v>
      </x:c>
      <x:c r="E32" s="43" t="str"/>
      <x:c r="F32" s="46" t="str">
        <x:v>요르단 제라시주 알나심지역 노후 상수도 관망 개선사업('24-'28/1,050만불)</x:v>
      </x:c>
      <x:c r="G32" s="46" t="str">
        <x:v>요르단 제라시주 알나심지역 노후 상수도 관망 개선사업 현지 설계감리사 입찰</x:v>
      </x:c>
      <x:c r="H32" s="46" t="str">
        <x:v>Tender for Local Design and Supervision Consultant for the Rehabilitation of Water Networks of Al-Naseem Municipality in Jerash Governorate</x:v>
      </x:c>
      <x:c r="I32" s="43" t="str">
        <x:v>기타·미분류</x:v>
      </x:c>
      <x:c r="J32" s="43" t="str">
        <x:v>리모델링·개보수</x:v>
      </x:c>
      <x:c r="K32" s="43" t="str">
        <x:v>용역</x:v>
      </x:c>
      <x:c r="L32" s="43" t="str">
        <x:v>조달위탁</x:v>
      </x:c>
      <x:c r="M32" s="46" t="str">
        <x:v>협상에 의한 계약(기술가격종합평가)</x:v>
      </x:c>
      <x:c r="N32" s="46" t="str">
        <x:v>$ 592,628</x:v>
      </x:c>
      <x:c r="O32" s="46" t="str"/>
      <x:c r="P32" s="43" t="str">
        <x:v>2025-06-17</x:v>
      </x:c>
      <x:c r="Q32" s="43" t="str">
        <x:v>https://nebid.koica.go.kr/oep/lobi/localBidManageDetail.do?P_LOAZ_BID_PBLANC_NO=L2025-00055&amp;P_PBLANC_ODR=1</x:v>
      </x:c>
    </x:row>
    <x:row r="33">
      <x:c r="A33" s="43" t="str">
        <x:v>L2025-00054-1</x:v>
      </x:c>
      <x:c r="B33" s="43" t="str">
        <x:v>2023-00027</x:v>
      </x:c>
      <x:c r="C33" s="43" t="str"/>
      <x:c r="D33" s="43" t="str"/>
      <x:c r="E33" s="43" t="str"/>
      <x:c r="F33" s="46" t="str">
        <x:v>키르기스스탄 국회 디지털화 사업('23-'27/840만불)</x:v>
      </x:c>
      <x:c r="G33" s="46" t="str">
        <x:v>키르키즈공화국 국회 디지털화 사업 시공</x:v>
      </x:c>
      <x:c r="H33" s="46" t="str">
        <x:v>Remodeling Works for the project Digitalization of the Jogorku Kenesh(Parliament) of the Kyrgyz Republic</x:v>
      </x:c>
      <x:c r="I33" s="43" t="str">
        <x:v>기타·미분류</x:v>
      </x:c>
      <x:c r="J33" s="43" t="str">
        <x:v>미분류</x:v>
      </x:c>
      <x:c r="K33" s="43" t="str">
        <x:v>공사</x:v>
      </x:c>
      <x:c r="L33" s="43" t="str">
        <x:v>일반경쟁</x:v>
      </x:c>
      <x:c r="M33" s="46" t="str">
        <x:v>적격심사</x:v>
      </x:c>
      <x:c r="N33" s="46" t="str">
        <x:v>$ 1,700,000</x:v>
      </x:c>
      <x:c r="O33" s="46" t="str"/>
      <x:c r="P33" s="43" t="str">
        <x:v>2025-07-24</x:v>
      </x:c>
      <x:c r="Q33" s="43" t="str">
        <x:v>https://nebid.koica.go.kr/oep/lobi/localBidManageDetail.do?P_LOAZ_BID_PBLANC_NO=L2025-00054&amp;P_PBLANC_ODR=1</x:v>
      </x:c>
    </x:row>
    <x:row r="34">
      <x:c r="A34" s="43" t="str">
        <x:v>L2025-00053-1</x:v>
      </x:c>
      <x:c r="B34" s="43" t="str">
        <x:v>2022-00072</x:v>
      </x:c>
      <x:c r="C34" s="43" t="str">
        <x:v>탄자니아</x:v>
      </x:c>
      <x:c r="D34" s="43" t="str">
        <x:v>Tanzania</x:v>
      </x:c>
      <x:c r="E34" s="43" t="str"/>
      <x:c r="F34" s="46" t="str">
        <x:v>탄자니아 잔지바르 해양수산분야 가치사슬 구축 및 소득증대를 통한 여성 권익 강화 사업('23-'27/550만불)</x:v>
      </x:c>
      <x:c r="G34" s="46" t="str">
        <x:v>탄자니아 잔지바르 해양수산분야 가치사슬구축 및 소득증대를 통한 여성권익 강화사업 설계 및 감리용역</x:v>
      </x:c>
      <x:c r="H34" s="46" t="str">
        <x:v>The project of Women Empowerment in Integrated Mariculture Value Chains in Zanzibar</x:v>
      </x:c>
      <x:c r="I34" s="43" t="str">
        <x:v>기타·미분류</x:v>
      </x:c>
      <x:c r="J34" s="43" t="str">
        <x:v>미분류</x:v>
      </x:c>
      <x:c r="K34" s="43" t="str">
        <x:v>용역</x:v>
      </x:c>
      <x:c r="L34" s="43" t="str">
        <x:v>일반경쟁</x:v>
      </x:c>
      <x:c r="M34" s="46" t="str">
        <x:v>협상에 의한 계약(기술가격종합평가)</x:v>
      </x:c>
      <x:c r="N34" s="46" t="str">
        <x:v>$ 110,000</x:v>
      </x:c>
      <x:c r="O34" s="46" t="str"/>
      <x:c r="P34" s="43" t="str">
        <x:v>2025-07-07</x:v>
      </x:c>
      <x:c r="Q34" s="43" t="str">
        <x:v>https://nebid.koica.go.kr/oep/lobi/localBidManageDetail.do?P_LOAZ_BID_PBLANC_NO=L2025-00053&amp;P_PBLANC_ODR=1</x:v>
      </x:c>
    </x:row>
    <x:row r="35">
      <x:c r="A35" s="43" t="str">
        <x:v>L2025-00052-1</x:v>
      </x:c>
      <x:c r="B35" s="43" t="str">
        <x:v>2023-00067</x:v>
      </x:c>
      <x:c r="C35" s="43" t="str">
        <x:v>코트디부아르</x:v>
      </x:c>
      <x:c r="D35" s="43" t="str">
        <x:v>Côte d’Ivoire</x:v>
      </x:c>
      <x:c r="E35" s="43" t="str"/>
      <x:c r="F35" s="46" t="str">
        <x:v>코트디부아르 펠릭스 우푸에 부아니대학교 ICT 교육역량 강화 및 ICT 혁신센터 설립 사업('23-'27/995만불)</x:v>
      </x:c>
      <x:c r="G35" s="46" t="str">
        <x:v>코트디부아르 펠릭스 우푸에 부아니대학교 ICT 교육역량 강화 및 ICT 혁신센터 설립사업 PETROCI 건물 리모델링 공사</x:v>
      </x:c>
      <x:c r="H35" s="46" t="str">
        <x:v>Renovation Works for Petroci Building for Project on Strengthening ICT Higher Education Capacity and Improving Digital Education Environment for Felix-Houphouet-Boigny University in Cote dIvoire</x:v>
      </x:c>
      <x:c r="I35" s="43" t="str">
        <x:v>학교·교육시설</x:v>
      </x:c>
      <x:c r="J35" s="43" t="str">
        <x:v>리모델링·개보수</x:v>
      </x:c>
      <x:c r="K35" s="43" t="str">
        <x:v>공사</x:v>
      </x:c>
      <x:c r="L35" s="43" t="str">
        <x:v>제한경쟁</x:v>
      </x:c>
      <x:c r="M35" s="46" t="str">
        <x:v>적격심사</x:v>
      </x:c>
      <x:c r="N35" s="46" t="str">
        <x:v>$ 1,963,286
		                    	 (환율 : 1380)</x:v>
      </x:c>
      <x:c r="O35" s="46" t="str">
        <x:v>\ 2,709,334,680</x:v>
      </x:c>
      <x:c r="P35" s="43" t="str">
        <x:v>2025-07-04</x:v>
      </x:c>
      <x:c r="Q35" s="43" t="str">
        <x:v>https://nebid.koica.go.kr/oep/lobi/localBidManageDetail.do?P_LOAZ_BID_PBLANC_NO=L2025-00052&amp;P_PBLANC_ODR=1</x:v>
      </x:c>
    </x:row>
    <x:row r="36">
      <x:c r="A36" s="43" t="str">
        <x:v>L2025-00051-2</x:v>
      </x:c>
      <x:c r="B36" s="43" t="str">
        <x:v>2022-00076</x:v>
      </x:c>
      <x:c r="C36" s="43" t="str">
        <x:v>피지</x:v>
      </x:c>
      <x:c r="D36" s="43" t="str">
        <x:v>Fiji</x:v>
      </x:c>
      <x:c r="E36" s="43" t="str"/>
      <x:c r="F36" s="46" t="str">
        <x:v>피지 국립재활센터 건립사업('22-'27/1,000만불)</x:v>
      </x:c>
      <x:c r="G36" s="46" t="str">
        <x:v>피지 국립재활센터 신축 공사</x:v>
      </x:c>
      <x:c r="H36" s="46" t="str">
        <x:v>Construction Works for the National Rehabilitation Center in Fiji</x:v>
      </x:c>
      <x:c r="I36" s="43" t="str">
        <x:v>기타·미분류</x:v>
      </x:c>
      <x:c r="J36" s="43" t="str">
        <x:v>리모델링·개보수</x:v>
      </x:c>
      <x:c r="K36" s="43" t="str">
        <x:v>공사</x:v>
      </x:c>
      <x:c r="L36" s="43" t="str">
        <x:v>일반경쟁</x:v>
      </x:c>
      <x:c r="M36" s="46" t="str">
        <x:v>적격심사</x:v>
      </x:c>
      <x:c r="N36" s="46" t="str">
        <x:v>$ 6,767,312
		                    	 (환율 : 1356.86)</x:v>
      </x:c>
      <x:c r="O36" s="46" t="str">
        <x:v>\ 9,182,267,806</x:v>
      </x:c>
      <x:c r="P36" s="43" t="str">
        <x:v>2025-09-12</x:v>
      </x:c>
      <x:c r="Q36" s="43" t="str">
        <x:v>https://nebid.koica.go.kr/oep/lobi/localBidManageDetail.do?P_LOAZ_BID_PBLANC_NO=L2025-00051&amp;P_PBLANC_ODR=2</x:v>
      </x:c>
    </x:row>
    <x:row r="37">
      <x:c r="A37" s="43" t="str">
        <x:v>L2025-00051-1</x:v>
      </x:c>
      <x:c r="B37" s="43" t="str">
        <x:v>2022-00076</x:v>
      </x:c>
      <x:c r="C37" s="43" t="str">
        <x:v>피지</x:v>
      </x:c>
      <x:c r="D37" s="43" t="str">
        <x:v>Fiji</x:v>
      </x:c>
      <x:c r="E37" s="43" t="str"/>
      <x:c r="F37" s="46" t="str">
        <x:v>피지 국립재활센터 건립사업('22-'27/1,000만불)</x:v>
      </x:c>
      <x:c r="G37" s="46" t="str">
        <x:v>피지 국립재활센터 신축 공사</x:v>
      </x:c>
      <x:c r="H37" s="46" t="str">
        <x:v>Construction Works for the National Rehabilitation Center in Fiji</x:v>
      </x:c>
      <x:c r="I37" s="43" t="str">
        <x:v>기타·미분류</x:v>
      </x:c>
      <x:c r="J37" s="43" t="str">
        <x:v>리모델링·개보수</x:v>
      </x:c>
      <x:c r="K37" s="43" t="str">
        <x:v>공사</x:v>
      </x:c>
      <x:c r="L37" s="43" t="str">
        <x:v>일반경쟁</x:v>
      </x:c>
      <x:c r="M37" s="46" t="str">
        <x:v>적격심사</x:v>
      </x:c>
      <x:c r="N37" s="46" t="str">
        <x:v>$ 6,767,312
		                    	 (환율 : 1356.86)</x:v>
      </x:c>
      <x:c r="O37" s="46" t="str">
        <x:v>\ 9,182,267,806</x:v>
      </x:c>
      <x:c r="P37" s="43" t="str">
        <x:v>2025-07-11</x:v>
      </x:c>
      <x:c r="Q37" s="43" t="str">
        <x:v>https://nebid.koica.go.kr/oep/lobi/localBidManageDetail.do?P_LOAZ_BID_PBLANC_NO=L2025-00051&amp;P_PBLANC_ODR=1</x:v>
      </x:c>
    </x:row>
    <x:row r="38">
      <x:c r="A38" s="43" t="str">
        <x:v>L2025-00049-2</x:v>
      </x:c>
      <x:c r="B38" s="43" t="str">
        <x:v>2023-00096</x:v>
      </x:c>
      <x:c r="C38" s="43" t="str"/>
      <x:c r="D38" s="43" t="str"/>
      <x:c r="E38" s="43" t="str"/>
      <x:c r="F38" s="46" t="str">
        <x:v>우크라이나 키이우주 재활의료 역량강화 사업('23-'27/500만불)</x:v>
      </x:c>
      <x:c r="G38" s="46" t="str">
        <x:v>우크라이나 키이우주 재활의료 역량강화사업 재활센터 리모델링을 위한 설계 및 저작권 감리용역 현지 입찰</x:v>
      </x:c>
      <x:c r="H38" s="46" t="str">
        <x:v>The Design and Author Supervision Services for the Remodeling of the Rehabilitation Center for the Project Modernization of the Ukrainian State Medical and Social Center for War Veterans</x:v>
      </x:c>
      <x:c r="I38" s="43" t="str">
        <x:v>기타·미분류</x:v>
      </x:c>
      <x:c r="J38" s="43" t="str">
        <x:v>리모델링·개보수</x:v>
      </x:c>
      <x:c r="K38" s="43" t="str">
        <x:v>용역</x:v>
      </x:c>
      <x:c r="L38" s="43" t="str">
        <x:v>일반경쟁</x:v>
      </x:c>
      <x:c r="M38" s="46" t="str">
        <x:v>협상에 의한 계약(기술가격종합평가)</x:v>
      </x:c>
      <x:c r="N38" s="46" t="str">
        <x:v>$ 148,913</x:v>
      </x:c>
      <x:c r="O38" s="46" t="str"/>
      <x:c r="P38" s="43" t="str">
        <x:v>2025-08-05</x:v>
      </x:c>
      <x:c r="Q38" s="43" t="str">
        <x:v>https://nebid.koica.go.kr/oep/lobi/localBidManageDetail.do?P_LOAZ_BID_PBLANC_NO=L2025-00049&amp;P_PBLANC_ODR=2</x:v>
      </x:c>
    </x:row>
    <x:row r="39">
      <x:c r="A39" s="43" t="str">
        <x:v>L2025-00049-1</x:v>
      </x:c>
      <x:c r="B39" s="43" t="str">
        <x:v>2023-00096</x:v>
      </x:c>
      <x:c r="C39" s="43" t="str"/>
      <x:c r="D39" s="43" t="str"/>
      <x:c r="E39" s="43" t="str"/>
      <x:c r="F39" s="46" t="str">
        <x:v>우크라이나 키이우주 재활의료 역량강화 사업('23-'27/500만불)</x:v>
      </x:c>
      <x:c r="G39" s="46" t="str">
        <x:v>우크라이나 키이우주 재활의료 역량강화사업 재활센터 리모델링을 위한 설계 및 저작권 감리용역 현지 입찰</x:v>
      </x:c>
      <x:c r="H39" s="46" t="str">
        <x:v>The Design and Author Supervision Services for the Remodeling of the Rehabilitation Center for the Project Modernization of the Ukrainian State Medical and Social Center for War Veterans</x:v>
      </x:c>
      <x:c r="I39" s="43" t="str">
        <x:v>기타·미분류</x:v>
      </x:c>
      <x:c r="J39" s="43" t="str">
        <x:v>리모델링·개보수</x:v>
      </x:c>
      <x:c r="K39" s="43" t="str">
        <x:v>용역</x:v>
      </x:c>
      <x:c r="L39" s="43" t="str">
        <x:v>일반경쟁</x:v>
      </x:c>
      <x:c r="M39" s="46" t="str">
        <x:v>협상에 의한 계약(기술가격종합평가)</x:v>
      </x:c>
      <x:c r="N39" s="46" t="str">
        <x:v>$ 148,913</x:v>
      </x:c>
      <x:c r="O39" s="46" t="str"/>
      <x:c r="P39" s="43" t="str">
        <x:v>2025-06-26</x:v>
      </x:c>
      <x:c r="Q39" s="43" t="str">
        <x:v>https://nebid.koica.go.kr/oep/lobi/localBidManageDetail.do?P_LOAZ_BID_PBLANC_NO=L2025-00049&amp;P_PBLANC_ODR=1</x:v>
      </x:c>
    </x:row>
    <x:row r="40">
      <x:c r="A40" s="43" t="str">
        <x:v>L2025-00048-1</x:v>
      </x:c>
      <x:c r="B40" s="43" t="str">
        <x:v>2021-00016</x:v>
      </x:c>
      <x:c r="C40" s="43" t="str">
        <x:v>가나</x:v>
      </x:c>
      <x:c r="D40" s="43" t="str">
        <x:v>Ghana</x:v>
      </x:c>
      <x:c r="E40" s="43" t="str"/>
      <x:c r="F40" s="46" t="str">
        <x:v>가나대학교 연구 및 ICT 혁신센터 건립 사업('21-'26/999만불)</x:v>
      </x:c>
      <x:c r="G40" s="46" t="str">
        <x:v>가나대학교 한-가나 연구 및 ICT 혁신센터 건립사업 시공감리용역</x:v>
      </x:c>
      <x:c r="H40" s="46" t="str">
        <x:v>Construction supervision services for the Ghana-Korea Center of Excellence(GK-IMPACT) for ICT based Startups and Asian Research</x:v>
      </x:c>
      <x:c r="I40" s="43" t="str">
        <x:v>학교·교육시설</x:v>
      </x:c>
      <x:c r="J40" s="43" t="str">
        <x:v>신축</x:v>
      </x:c>
      <x:c r="K40" s="43" t="str">
        <x:v>용역</x:v>
      </x:c>
      <x:c r="L40" s="43" t="str">
        <x:v>일반경쟁</x:v>
      </x:c>
      <x:c r="M40" s="46" t="str">
        <x:v>협상에 의한 계약(기술가격종합평가)</x:v>
      </x:c>
      <x:c r="N40" s="46" t="str">
        <x:v>$ 207,230
		                    	 (환율 : 1380)</x:v>
      </x:c>
      <x:c r="O40" s="46" t="str">
        <x:v>\ 285,977,400</x:v>
      </x:c>
      <x:c r="P40" s="43" t="str">
        <x:v>2025-07-04</x:v>
      </x:c>
      <x:c r="Q40" s="43" t="str">
        <x:v>https://nebid.koica.go.kr/oep/lobi/localBidManageDetail.do?P_LOAZ_BID_PBLANC_NO=L2025-00048&amp;P_PBLANC_ODR=1</x:v>
      </x:c>
    </x:row>
    <x:row r="41">
      <x:c r="A41" s="43" t="str">
        <x:v>L2025-00047-1</x:v>
      </x:c>
      <x:c r="B41" s="43" t="str">
        <x:v>2022-00598</x:v>
      </x:c>
      <x:c r="C41" s="43" t="str">
        <x:v>파키스탄</x:v>
      </x:c>
      <x:c r="D41" s="43" t="str">
        <x:v>Pakistan</x:v>
      </x:c>
      <x:c r="E41" s="43" t="str"/>
      <x:c r="F41" s="46" t="str">
        <x:v>파키스탄 국립섬유대학 산업용 섬유센터 설립사업 2차사업('22-'28/795만불)</x:v>
      </x:c>
      <x:c r="G41" s="46" t="str">
        <x:v>파키스탄 국립섬유대학 산업용 섬유센터 설립사업 2차사업 공사</x:v>
      </x:c>
      <x:c r="H41" s="46" t="str">
        <x:v>Construction for Strengthening of Pak-Korea Technical Textile Center-2nd Phase</x:v>
      </x:c>
      <x:c r="I41" s="43" t="str">
        <x:v>산업·직업훈련시설</x:v>
      </x:c>
      <x:c r="J41" s="43" t="str">
        <x:v>미분류</x:v>
      </x:c>
      <x:c r="K41" s="43" t="str">
        <x:v>공사</x:v>
      </x:c>
      <x:c r="L41" s="43" t="str">
        <x:v>일반경쟁</x:v>
      </x:c>
      <x:c r="M41" s="46" t="str">
        <x:v>적격심사</x:v>
      </x:c>
      <x:c r="N41" s="46" t="str">
        <x:v>$ 1,964,270</x:v>
      </x:c>
      <x:c r="O41" s="46" t="str"/>
      <x:c r="P41" s="43" t="str">
        <x:v>2025-06-21</x:v>
      </x:c>
      <x:c r="Q41" s="43" t="str">
        <x:v>https://nebid.koica.go.kr/oep/lobi/localBidManageDetail.do?P_LOAZ_BID_PBLANC_NO=L2025-00047&amp;P_PBLANC_ODR=1</x:v>
      </x:c>
    </x:row>
    <x:row r="42">
      <x:c r="A42" s="43" t="str">
        <x:v>L2025-00045-2</x:v>
      </x:c>
      <x:c r="B42" s="43" t="str">
        <x:v>2023-00087</x:v>
      </x:c>
      <x:c r="C42" s="43" t="str">
        <x:v>이라크</x:v>
      </x:c>
      <x:c r="D42" s="43" t="str">
        <x:v>Iraq</x:v>
      </x:c>
      <x:c r="E42" s="43" t="str"/>
      <x:c r="F42" s="46" t="str">
        <x:v>이라크 쿠르드 지역학교 내 난민통합교육 강화사업 ('23-'28/1,200만불)</x:v>
      </x:c>
      <x:c r="G42" s="46" t="str">
        <x:v>“이라크 쿠르드 지역학교 내 난민통합교육 강화사업” 선도학교 및 교사연수센터 신축을 위한 설계 및 시공감리 업체 선정</x:v>
      </x:c>
      <x:c r="H42" s="46" t="str">
        <x:v>The Design and Construction Supervision Service for the Construction of a Model School at Darato sub-district and an Institute at New Hawler area for The Project for the Establishment of A Model School for the Vulnerable in Erbil, KRG, IRAQ</x:v>
      </x:c>
      <x:c r="I42" s="43" t="str">
        <x:v>학교·교육시설</x:v>
      </x:c>
      <x:c r="J42" s="43" t="str">
        <x:v>신축</x:v>
      </x:c>
      <x:c r="K42" s="43" t="str">
        <x:v>용역</x:v>
      </x:c>
      <x:c r="L42" s="43" t="str">
        <x:v>일반경쟁</x:v>
      </x:c>
      <x:c r="M42" s="46" t="str">
        <x:v>협상에 의한 계약(기술가격종합평가)</x:v>
      </x:c>
      <x:c r="N42" s="46" t="str">
        <x:v>$ 411,000
		                    	 (환율 : 1400)</x:v>
      </x:c>
      <x:c r="O42" s="46" t="str">
        <x:v>\ 575,400,000</x:v>
      </x:c>
      <x:c r="P42" s="43" t="str">
        <x:v>2025-08-28</x:v>
      </x:c>
      <x:c r="Q42" s="43" t="str">
        <x:v>https://nebid.koica.go.kr/oep/lobi/localBidManageDetail.do?P_LOAZ_BID_PBLANC_NO=L2025-00045&amp;P_PBLANC_ODR=2</x:v>
      </x:c>
    </x:row>
    <x:row r="43">
      <x:c r="A43" s="43" t="str">
        <x:v>L2025-00045-1</x:v>
      </x:c>
      <x:c r="B43" s="43" t="str">
        <x:v>2023-00087</x:v>
      </x:c>
      <x:c r="C43" s="43" t="str">
        <x:v>이라크</x:v>
      </x:c>
      <x:c r="D43" s="43" t="str">
        <x:v>Iraq</x:v>
      </x:c>
      <x:c r="E43" s="43" t="str"/>
      <x:c r="F43" s="46" t="str">
        <x:v>이라크 쿠르드 지역학교 내 난민통합교육 강화사업 ('23-'28/1,200만불)</x:v>
      </x:c>
      <x:c r="G43" s="46" t="str">
        <x:v>“이라크 쿠르드 지역학교 내 난민통합교육 강화사업” 선도학교 및 교사연수센터 신축을 위한 설계 및 시공감리 업체 선정</x:v>
      </x:c>
      <x:c r="H43" s="46" t="str">
        <x:v>The Design and Construction Supervision Service for the Construction of a Model School at Darato sub-district and an Institute at New Hawler area for The Project for the Establishment of A Model School for the Vulnerable in Erbil, KRG, IRAQ</x:v>
      </x:c>
      <x:c r="I43" s="43" t="str">
        <x:v>학교·교육시설</x:v>
      </x:c>
      <x:c r="J43" s="43" t="str">
        <x:v>신축</x:v>
      </x:c>
      <x:c r="K43" s="43" t="str">
        <x:v>용역</x:v>
      </x:c>
      <x:c r="L43" s="43" t="str">
        <x:v>일반경쟁</x:v>
      </x:c>
      <x:c r="M43" s="46" t="str">
        <x:v>협상에 의한 계약(기술가격종합평가)</x:v>
      </x:c>
      <x:c r="N43" s="46" t="str">
        <x:v>$ 411,000
		                    	 (환율 : 1400)</x:v>
      </x:c>
      <x:c r="O43" s="46" t="str">
        <x:v>\ 575,400,000</x:v>
      </x:c>
      <x:c r="P43" s="43" t="str">
        <x:v>2025-06-15</x:v>
      </x:c>
      <x:c r="Q43" s="43" t="str">
        <x:v>https://nebid.koica.go.kr/oep/lobi/localBidManageDetail.do?P_LOAZ_BID_PBLANC_NO=L2025-00045&amp;P_PBLANC_ODR=1</x:v>
      </x:c>
    </x:row>
    <x:row r="44">
      <x:c r="A44" s="43" t="str">
        <x:v>L2025-00038-1</x:v>
      </x:c>
      <x:c r="B44" s="43" t="str">
        <x:v>2020-00070</x:v>
      </x:c>
      <x:c r="C44" s="43" t="str">
        <x:v>도미니카</x:v>
      </x:c>
      <x:c r="D44" s="43" t="str">
        <x:v>Dominican Republic</x:v>
      </x:c>
      <x:c r="E44" s="43" t="str"/>
      <x:c r="F44" s="46" t="str">
        <x:v>도미니카공화국 여성 중심 취약계층 사회경제적 역량강화사업('20-'28/690만불)</x:v>
      </x:c>
      <x:c r="G44" s="46" t="str">
        <x:v>도미니카공화국 몬테 크리스티 직업훈련센터 (MVC) 감리사 선정</x:v>
      </x:c>
      <x:c r="H44" s="46" t="str">
        <x:v>Procurement of Supervision Consultant for The Project of Construction of the Monte Cristi Vocational Training Center (MVC), Dominican Republic</x:v>
      </x:c>
      <x:c r="I44" s="43" t="str">
        <x:v>학교·교육시설</x:v>
      </x:c>
      <x:c r="J44" s="43" t="str">
        <x:v>신축</x:v>
      </x:c>
      <x:c r="K44" s="43" t="str">
        <x:v>용역</x:v>
      </x:c>
      <x:c r="L44" s="43" t="str">
        <x:v>일반경쟁</x:v>
      </x:c>
      <x:c r="M44" s="46" t="str">
        <x:v>협상에 의한 계약(기술가격종합평가)</x:v>
      </x:c>
      <x:c r="N44" s="46" t="str">
        <x:v>$ 94,880
		                    	 (환율 : 1380)</x:v>
      </x:c>
      <x:c r="O44" s="46" t="str">
        <x:v>\ 130,934,400</x:v>
      </x:c>
      <x:c r="P44" s="43" t="str">
        <x:v>2025-06-09</x:v>
      </x:c>
      <x:c r="Q44" s="43" t="str">
        <x:v>https://nebid.koica.go.kr/oep/lobi/localBidManageDetail.do?P_LOAZ_BID_PBLANC_NO=L2025-00038&amp;P_PBLANC_ODR=1</x:v>
      </x:c>
    </x:row>
    <x:row r="45">
      <x:c r="A45" s="43" t="str">
        <x:v>L2025-00036-1</x:v>
      </x:c>
      <x:c r="B45" s="43" t="str">
        <x:v>2024-00015</x:v>
      </x:c>
      <x:c r="C45" s="43" t="str">
        <x:v>캄보디아</x:v>
      </x:c>
      <x:c r="D45" s="43" t="str">
        <x:v>Cambodia</x:v>
      </x:c>
      <x:c r="E45" s="43" t="str"/>
      <x:c r="F45" s="46" t="str">
        <x:v>캄보디아 당까오 후송병원 공공의료서비스 개선사업('24-'29/1,100만불)</x:v>
      </x:c>
      <x:c r="G45" s="46" t="str">
        <x:v>캄보디아 당까오 후송병원 공공의료서비스 개선사업 병원신축 설계감리용역</x:v>
      </x:c>
      <x:c r="H45" s="46" t="str">
        <x:v>Design and Construction Supervision Services for the Project for Improvement of Public Health Service in Dangkor District Referral Hospital, Phnom Penh, Cambodia</x:v>
      </x:c>
      <x:c r="I45" s="43" t="str">
        <x:v>병원</x:v>
      </x:c>
      <x:c r="J45" s="43" t="str">
        <x:v>신축</x:v>
      </x:c>
      <x:c r="K45" s="43" t="str">
        <x:v>용역</x:v>
      </x:c>
      <x:c r="L45" s="43" t="str">
        <x:v>일반경쟁</x:v>
      </x:c>
      <x:c r="M45" s="46" t="str">
        <x:v>협상에 의한 계약(기술가격종합평가)</x:v>
      </x:c>
      <x:c r="N45" s="46" t="str">
        <x:v>$ 500,000</x:v>
      </x:c>
      <x:c r="O45" s="46" t="str"/>
      <x:c r="P45" s="43" t="str">
        <x:v>2025-05-30</x:v>
      </x:c>
      <x:c r="Q45" s="43" t="str">
        <x:v>https://nebid.koica.go.kr/oep/lobi/localBidManageDetail.do?P_LOAZ_BID_PBLANC_NO=L2025-00036&amp;P_PBLANC_ODR=1</x:v>
      </x:c>
    </x:row>
    <x:row r="46">
      <x:c r="A46" s="43" t="str">
        <x:v>L2025-00032-2</x:v>
      </x:c>
      <x:c r="B46" s="43" t="str">
        <x:v>2022-00142</x:v>
      </x:c>
      <x:c r="C46" s="43" t="str">
        <x:v>카메룬</x:v>
      </x:c>
      <x:c r="D46" s="43" t="str">
        <x:v>Cameroon</x:v>
      </x:c>
      <x:c r="E46" s="43" t="str"/>
      <x:c r="F46" s="46" t="str">
        <x:v>카메룬 전자정부 인식개선 및 역량강화 사업('22-'26/823만불)</x:v>
      </x:c>
      <x:c r="G46" s="46" t="str">
        <x:v>카메룬 전자정부 인식개선 및 역량강화 사업 신축 시공 입찰</x:v>
      </x:c>
      <x:c r="H46" s="46" t="str">
        <x:v>Construction works for Enhancing awareness and capacity building for public service transformation in Cameroon project</x:v>
      </x:c>
      <x:c r="I46" s="43" t="str">
        <x:v>기타·미분류</x:v>
      </x:c>
      <x:c r="J46" s="43" t="str">
        <x:v>신축</x:v>
      </x:c>
      <x:c r="K46" s="43" t="str">
        <x:v>공사</x:v>
      </x:c>
      <x:c r="L46" s="43" t="str">
        <x:v>일반경쟁</x:v>
      </x:c>
      <x:c r="M46" s="46" t="str">
        <x:v>적격심사</x:v>
      </x:c>
      <x:c r="N46" s="46" t="str">
        <x:v>$ 2,414,508</x:v>
      </x:c>
      <x:c r="O46" s="46" t="str"/>
      <x:c r="P46" s="43" t="str">
        <x:v>2025-07-28</x:v>
      </x:c>
      <x:c r="Q46" s="43" t="str">
        <x:v>https://nebid.koica.go.kr/oep/lobi/localBidManageDetail.do?P_LOAZ_BID_PBLANC_NO=L2025-00032&amp;P_PBLANC_ODR=2</x:v>
      </x:c>
    </x:row>
    <x:row r="47">
      <x:c r="A47" s="43" t="str">
        <x:v>L2025-00032-1</x:v>
      </x:c>
      <x:c r="B47" s="43" t="str">
        <x:v>2022-00142</x:v>
      </x:c>
      <x:c r="C47" s="43" t="str">
        <x:v>카메룬</x:v>
      </x:c>
      <x:c r="D47" s="43" t="str">
        <x:v>Cameroon</x:v>
      </x:c>
      <x:c r="E47" s="43" t="str"/>
      <x:c r="F47" s="46" t="str">
        <x:v>카메룬 전자정부 인식개선 및 역량강화 사업('22-'26/823만불)</x:v>
      </x:c>
      <x:c r="G47" s="46" t="str">
        <x:v>카메룬 전자정부 인식개선 및 역량강화 사업 신축 시공 입찰</x:v>
      </x:c>
      <x:c r="H47" s="46" t="str">
        <x:v>Construction works for Enhancing awareness and capacity building for public service transformation in Cameroon project</x:v>
      </x:c>
      <x:c r="I47" s="43" t="str">
        <x:v>기타·미분류</x:v>
      </x:c>
      <x:c r="J47" s="43" t="str">
        <x:v>신축</x:v>
      </x:c>
      <x:c r="K47" s="43" t="str">
        <x:v>공사</x:v>
      </x:c>
      <x:c r="L47" s="43" t="str">
        <x:v>일반경쟁</x:v>
      </x:c>
      <x:c r="M47" s="46" t="str">
        <x:v>적격심사</x:v>
      </x:c>
      <x:c r="N47" s="46" t="str">
        <x:v>$ 2,414,508</x:v>
      </x:c>
      <x:c r="O47" s="46" t="str"/>
      <x:c r="P47" s="43" t="str">
        <x:v>2025-05-28</x:v>
      </x:c>
      <x:c r="Q47" s="43" t="str">
        <x:v>https://nebid.koica.go.kr/oep/lobi/localBidManageDetail.do?P_LOAZ_BID_PBLANC_NO=L2025-00032&amp;P_PBLANC_ODR=1</x:v>
      </x:c>
    </x:row>
    <x:row r="48">
      <x:c r="A48" s="43" t="str">
        <x:v>L2025-00031-1</x:v>
      </x:c>
      <x:c r="B48" s="43" t="str">
        <x:v>2014-00049</x:v>
      </x:c>
      <x:c r="C48" s="43" t="str">
        <x:v>캄보디아</x:v>
      </x:c>
      <x:c r="D48" s="43" t="str">
        <x:v>Cambodia</x:v>
      </x:c>
      <x:c r="E48" s="43" t="str"/>
      <x:c r="F48" s="46" t="str">
        <x:v>캄보디아 농촌공동체 개발사업('14-'20/895만불)</x:v>
      </x:c>
      <x:c r="G48" s="46" t="str">
        <x:v>캄보디아 농촌공동체 개발사업 사후지원 캄-한 농촌개발센터 개보수 시공 입찰</x:v>
      </x:c>
      <x:c r="H48" s="46" t="str">
        <x:v>Renovation Works of  Cambodia-Korea Rural Development Center (CKRDC) in Kampong Speu province, Cambodia</x:v>
      </x:c>
      <x:c r="I48" s="43" t="str">
        <x:v>기타·미분류</x:v>
      </x:c>
      <x:c r="J48" s="43" t="str">
        <x:v>리모델링·개보수</x:v>
      </x:c>
      <x:c r="K48" s="43" t="str">
        <x:v>공사</x:v>
      </x:c>
      <x:c r="L48" s="43" t="str">
        <x:v>일반경쟁</x:v>
      </x:c>
      <x:c r="M48" s="46" t="str">
        <x:v>적격심사</x:v>
      </x:c>
      <x:c r="N48" s="46" t="str">
        <x:v>$ 320,000</x:v>
      </x:c>
      <x:c r="O48" s="46" t="str"/>
      <x:c r="P48" s="43" t="str">
        <x:v>2025-05-28</x:v>
      </x:c>
      <x:c r="Q48" s="43" t="str">
        <x:v>https://nebid.koica.go.kr/oep/lobi/localBidManageDetail.do?P_LOAZ_BID_PBLANC_NO=L2025-00031&amp;P_PBLANC_ODR=1</x:v>
      </x:c>
    </x:row>
    <x:row r="49">
      <x:c r="A49" s="43" t="str">
        <x:v>L2025-00030-1</x:v>
      </x:c>
      <x:c r="B49" s="43" t="str">
        <x:v>2022-00038</x:v>
      </x:c>
      <x:c r="C49" s="43" t="str">
        <x:v>볼리비아</x:v>
      </x:c>
      <x:c r="D49" s="43" t="str">
        <x:v>Bolivia</x:v>
      </x:c>
      <x:c r="E49" s="43" t="str"/>
      <x:c r="F49" s="46" t="str">
        <x:v>볼리비아 라파스주 임상병리검사실체계 강화사업('22-'26/700만불)</x:v>
      </x:c>
      <x:c r="G49" s="46" t="str">
        <x:v>볼리비아 라파스주 임상병리검사실체계 강화사업 감염병 예방의학연구소 구축 감리사 선정</x:v>
      </x:c>
      <x:c r="H49" s="46" t="str">
        <x:v>Local Bidding for Selection of Supervision Company for Construction of Infectious Disease Prevention Medicine Research Institute</x:v>
      </x:c>
      <x:c r="I49" s="43" t="str">
        <x:v>실험실·연구시설</x:v>
      </x:c>
      <x:c r="J49" s="43" t="str">
        <x:v>신축</x:v>
      </x:c>
      <x:c r="K49" s="43" t="str">
        <x:v>용역</x:v>
      </x:c>
      <x:c r="L49" s="43" t="str">
        <x:v>일반경쟁</x:v>
      </x:c>
      <x:c r="M49" s="46" t="str">
        <x:v>협상에 의한 계약(기술가격종합평가)</x:v>
      </x:c>
      <x:c r="N49" s="46" t="str">
        <x:v>$ 169,258</x:v>
      </x:c>
      <x:c r="O49" s="46" t="str"/>
      <x:c r="P49" s="43" t="str">
        <x:v>2025-06-06</x:v>
      </x:c>
      <x:c r="Q49" s="43" t="str">
        <x:v>https://nebid.koica.go.kr/oep/lobi/localBidManageDetail.do?P_LOAZ_BID_PBLANC_NO=L2025-00030&amp;P_PBLANC_ODR=1</x:v>
      </x:c>
    </x:row>
    <x:row r="50">
      <x:c r="A50" s="43" t="str">
        <x:v>L2025-00029-1</x:v>
      </x:c>
      <x:c r="B50" s="43" t="str">
        <x:v>2022-00038</x:v>
      </x:c>
      <x:c r="C50" s="43" t="str">
        <x:v>볼리비아</x:v>
      </x:c>
      <x:c r="D50" s="43" t="str">
        <x:v>Bolivia</x:v>
      </x:c>
      <x:c r="E50" s="43" t="str"/>
      <x:c r="F50" s="46" t="str">
        <x:v>볼리비아 라파스주 임상병리검사실체계 강화사업('22-'26/700만불)</x:v>
      </x:c>
      <x:c r="G50" s="46" t="str">
        <x:v>볼리비아 라파스주 임상병리검사실체계 강화사업 감염병 예방의학연구소 구축 시공사 선정</x:v>
      </x:c>
      <x:c r="H50" s="46" t="str">
        <x:v>Bidding for construction of Clinical Pathology Laboratory in the Department of La Paz, Bolivia</x:v>
      </x:c>
      <x:c r="I50" s="43" t="str">
        <x:v>병원</x:v>
      </x:c>
      <x:c r="J50" s="43" t="str">
        <x:v>신축</x:v>
      </x:c>
      <x:c r="K50" s="43" t="str">
        <x:v>공사</x:v>
      </x:c>
      <x:c r="L50" s="43" t="str">
        <x:v>일반경쟁</x:v>
      </x:c>
      <x:c r="M50" s="46" t="str">
        <x:v>적격심사</x:v>
      </x:c>
      <x:c r="N50" s="46" t="str">
        <x:v>$ 2,417,979</x:v>
      </x:c>
      <x:c r="O50" s="46" t="str"/>
      <x:c r="P50" s="43" t="str">
        <x:v>2025-05-29</x:v>
      </x:c>
      <x:c r="Q50" s="43" t="str">
        <x:v>https://nebid.koica.go.kr/oep/lobi/localBidManageDetail.do?P_LOAZ_BID_PBLANC_NO=L2025-00029&amp;P_PBLANC_ODR=1</x:v>
      </x:c>
    </x:row>
    <x:row r="51">
      <x:c r="A51" s="43" t="str">
        <x:v>L2025-00028-1</x:v>
      </x:c>
      <x:c r="B51" s="43" t="str">
        <x:v>2023-00027</x:v>
      </x:c>
      <x:c r="C51" s="43" t="str"/>
      <x:c r="D51" s="43" t="str"/>
      <x:c r="E51" s="43" t="str"/>
      <x:c r="F51" s="46" t="str">
        <x:v>키르기스스탄 국회 디지털화 사업('23-'27/840만불)</x:v>
      </x:c>
      <x:c r="G51" s="46" t="str">
        <x:v>키르키즈공화국 국회 디지털화 사업 시공</x:v>
      </x:c>
      <x:c r="H51" s="46" t="str">
        <x:v>Remodeling Works for the project Digitalization of the Jogorku Kenesh(Parliament) of the Kyrgyz Republic</x:v>
      </x:c>
      <x:c r="I51" s="43" t="str">
        <x:v>기타·미분류</x:v>
      </x:c>
      <x:c r="J51" s="43" t="str">
        <x:v>미분류</x:v>
      </x:c>
      <x:c r="K51" s="43" t="str">
        <x:v>공사</x:v>
      </x:c>
      <x:c r="L51" s="43" t="str">
        <x:v>일반경쟁</x:v>
      </x:c>
      <x:c r="M51" s="46" t="str">
        <x:v>적격심사</x:v>
      </x:c>
      <x:c r="N51" s="46" t="str">
        <x:v>$ 1,700,000</x:v>
      </x:c>
      <x:c r="O51" s="46" t="str"/>
      <x:c r="P51" s="43" t="str">
        <x:v>2025-05-21</x:v>
      </x:c>
      <x:c r="Q51" s="43" t="str">
        <x:v>https://nebid.koica.go.kr/oep/lobi/localBidManageDetail.do?P_LOAZ_BID_PBLANC_NO=L2025-00028&amp;P_PBLANC_ODR=1</x:v>
      </x:c>
    </x:row>
    <x:row r="52">
      <x:c r="A52" s="43" t="str">
        <x:v>L2025-00025-1</x:v>
      </x:c>
      <x:c r="B52" s="43" t="str">
        <x:v>2017-14639</x:v>
      </x:c>
      <x:c r="C52" s="43" t="str">
        <x:v>페루</x:v>
      </x:c>
      <x:c r="D52" s="43" t="str">
        <x:v>Peru</x:v>
      </x:c>
      <x:c r="E52" s="43" t="str"/>
      <x:c r="F52" s="46" t="str">
        <x:v>중남미 사후관리(사후지원)</x:v>
      </x:c>
      <x:c r="G52" s="46" t="str">
        <x:v>페루 제3 한·페 의료센터 건립사업 리모델링 설계용역 입찰(재공고)</x:v>
      </x:c>
      <x:c r="H52" s="46" t="str">
        <x:v>San Juan Health Center  Iquitos, Peru. Remodeling Design Service Bid Document(Re Announcement)</x:v>
      </x:c>
      <x:c r="I52" s="43" t="str">
        <x:v>병원</x:v>
      </x:c>
      <x:c r="J52" s="43" t="str">
        <x:v>리모델링·개보수</x:v>
      </x:c>
      <x:c r="K52" s="43" t="str">
        <x:v>용역</x:v>
      </x:c>
      <x:c r="L52" s="43" t="str">
        <x:v>일반경쟁</x:v>
      </x:c>
      <x:c r="M52" s="46" t="str">
        <x:v>협상에 의한 계약(기술가격종합평가)</x:v>
      </x:c>
      <x:c r="N52" s="46" t="str">
        <x:v>$ 130,000</x:v>
      </x:c>
      <x:c r="O52" s="46" t="str"/>
      <x:c r="P52" s="43" t="str">
        <x:v>2025-04-23</x:v>
      </x:c>
      <x:c r="Q52" s="43" t="str">
        <x:v>https://nebid.koica.go.kr/oep/lobi/localBidManageDetail.do?P_LOAZ_BID_PBLANC_NO=L2025-00025&amp;P_PBLANC_ODR=1</x:v>
      </x:c>
    </x:row>
    <x:row r="53">
      <x:c r="A53" s="43" t="str">
        <x:v>L2025-00021-1</x:v>
      </x:c>
      <x:c r="B53" s="43" t="str">
        <x:v>2020-00048</x:v>
      </x:c>
      <x:c r="C53" s="43" t="str">
        <x:v>세네갈</x:v>
      </x:c>
      <x:c r="D53" s="43" t="str">
        <x:v>Senegal</x:v>
      </x:c>
      <x:c r="E53" s="43" t="str"/>
      <x:c r="F53" s="46" t="str">
        <x:v>세네갈 미곡가치사슬 강화 2차 사업('20-'26/1,100만불)</x:v>
      </x:c>
      <x:c r="G53" s="46" t="str">
        <x:v>세네갈 미곡가치사슬 2차사업 미곡종합처리장(RPC)/농기계 서비스센터 건축시공 감리용역 입찰</x:v>
      </x:c>
      <x:c r="H53" s="46" t="str">
        <x:v>Bidding for the procurement of construction supervision Services for Construction of a rice processing center (RPC) / agricultural machinery service center for the PDCVR 2nd Project in Senegal</x:v>
      </x:c>
      <x:c r="I53" s="43" t="str">
        <x:v>농업시설</x:v>
      </x:c>
      <x:c r="J53" s="43" t="str">
        <x:v>신축</x:v>
      </x:c>
      <x:c r="K53" s="43" t="str">
        <x:v>용역</x:v>
      </x:c>
      <x:c r="L53" s="43" t="str">
        <x:v>일반경쟁</x:v>
      </x:c>
      <x:c r="M53" s="46" t="str">
        <x:v>협상에 의한 계약(기술가격종합평가)</x:v>
      </x:c>
      <x:c r="N53" s="46" t="str">
        <x:v>$ 100,000
		                    	 (환율 : 1380)</x:v>
      </x:c>
      <x:c r="O53" s="46" t="str">
        <x:v>\ 138,000,000</x:v>
      </x:c>
      <x:c r="P53" s="43" t="str">
        <x:v>2025-04-02</x:v>
      </x:c>
      <x:c r="Q53" s="43" t="str">
        <x:v>https://nebid.koica.go.kr/oep/lobi/localBidManageDetail.do?P_LOAZ_BID_PBLANC_NO=L2025-00021&amp;P_PBLANC_ODR=1</x:v>
      </x:c>
    </x:row>
    <x:row r="54">
      <x:c r="A54" s="43" t="str">
        <x:v>L2025-00019-1</x:v>
      </x:c>
      <x:c r="B54" s="43" t="str">
        <x:v>2020-00024</x:v>
      </x:c>
      <x:c r="C54" s="43" t="str">
        <x:v>가나</x:v>
      </x:c>
      <x:c r="D54" s="43" t="str">
        <x:v>Ghana</x:v>
      </x:c>
      <x:c r="E54" s="43" t="str"/>
      <x:c r="F54" s="46" t="str">
        <x:v>가나 관개지구 개선 및 물 관리 역량강화 사업('20-26/653만불)</x:v>
      </x:c>
      <x:c r="G54" s="46" t="str">
        <x:v>가나 관개지구 공사(아베이만, 아세이만 관개시설 토목공사 및 태양광,양수장 설치 공사)</x:v>
      </x:c>
      <x:c r="H54" s="46" t="str">
        <x:v>THE REHABILITATION OF ASHAIMAN IRRIGATION SCHEME IN THE ASHAIMAN MUNICIPAL IN THE GREATER ACCRA REGION</x:v>
      </x:c>
      <x:c r="I54" s="43" t="str">
        <x:v>농업시설</x:v>
      </x:c>
      <x:c r="J54" s="43" t="str">
        <x:v>리모델링·개보수</x:v>
      </x:c>
      <x:c r="K54" s="43" t="str">
        <x:v>공사</x:v>
      </x:c>
      <x:c r="L54" s="43" t="str">
        <x:v>조달위탁</x:v>
      </x:c>
      <x:c r="M54" s="46" t="str">
        <x:v>적격심사</x:v>
      </x:c>
      <x:c r="N54" s="46" t="str">
        <x:v>$ 2,028,932
		                    	 (환율 : 1380)</x:v>
      </x:c>
      <x:c r="O54" s="46" t="str">
        <x:v>\ 2,799,926,160</x:v>
      </x:c>
      <x:c r="P54" s="43" t="str">
        <x:v>2025-02-25</x:v>
      </x:c>
      <x:c r="Q54" s="43" t="str">
        <x:v>https://nebid.koica.go.kr/oep/lobi/localBidManageDetail.do?P_LOAZ_BID_PBLANC_NO=L2025-00019&amp;P_PBLANC_ODR=1</x:v>
      </x:c>
    </x:row>
    <x:row r="55">
      <x:c r="A55" s="43" t="str">
        <x:v>L2025-00018-1</x:v>
      </x:c>
      <x:c r="B55" s="43" t="str">
        <x:v>2021-00016</x:v>
      </x:c>
      <x:c r="C55" s="43" t="str">
        <x:v>가나</x:v>
      </x:c>
      <x:c r="D55" s="43" t="str">
        <x:v>Ghana</x:v>
      </x:c>
      <x:c r="E55" s="43" t="str"/>
      <x:c r="F55" s="46" t="str">
        <x:v>가나대학교 연구 및 ICT 혁신센터 건립 사업('21-'26/999만불)</x:v>
      </x:c>
      <x:c r="G55" s="46" t="str">
        <x:v>가나대학교 한-가나 연구 및 ICT 혁신센터 건립사업 공사</x:v>
      </x:c>
      <x:c r="H55" s="46" t="str">
        <x:v>Construction for the Ghana-Korea Center of Excellence(GK-IMPACT) for ICT based Startups and Asian Research</x:v>
      </x:c>
      <x:c r="I55" s="43" t="str">
        <x:v>학교·교육시설</x:v>
      </x:c>
      <x:c r="J55" s="43" t="str">
        <x:v>신축</x:v>
      </x:c>
      <x:c r="K55" s="43" t="str">
        <x:v>공사</x:v>
      </x:c>
      <x:c r="L55" s="43" t="str">
        <x:v>일반경쟁</x:v>
      </x:c>
      <x:c r="M55" s="46" t="str">
        <x:v>적격심사</x:v>
      </x:c>
      <x:c r="N55" s="46" t="str">
        <x:v>$ 4,333,427
		                    	 (환율 : 1380)</x:v>
      </x:c>
      <x:c r="O55" s="46" t="str">
        <x:v>\ 5,980,129,260</x:v>
      </x:c>
      <x:c r="P55" s="43" t="str">
        <x:v>2025-04-02</x:v>
      </x:c>
      <x:c r="Q55" s="43" t="str">
        <x:v>https://nebid.koica.go.kr/oep/lobi/localBidManageDetail.do?P_LOAZ_BID_PBLANC_NO=L2025-00018&amp;P_PBLANC_ODR=1</x:v>
      </x:c>
    </x:row>
    <x:row r="56">
      <x:c r="A56" s="43" t="str">
        <x:v>L2025-00017-2</x:v>
      </x:c>
      <x:c r="B56" s="43" t="str">
        <x:v>2023-00087</x:v>
      </x:c>
      <x:c r="C56" s="43" t="str">
        <x:v>이라크</x:v>
      </x:c>
      <x:c r="D56" s="43" t="str">
        <x:v>Iraq</x:v>
      </x:c>
      <x:c r="E56" s="43" t="str"/>
      <x:c r="F56" s="46" t="str">
        <x:v>이라크 쿠르드 지역학교 내 난민통합교육 강화사업 ('23-'28/1,200만불)</x:v>
      </x:c>
      <x:c r="G56" s="46" t="str">
        <x:v>이라크 아르빌 자이툰 도서관 개보수(리모델링) 공사 시공업체 선정</x:v>
      </x:c>
      <x:c r="H56" s="46" t="str">
        <x:v>Renovation of Zaytun Library</x:v>
      </x:c>
      <x:c r="I56" s="43" t="str">
        <x:v>학교·교육시설</x:v>
      </x:c>
      <x:c r="J56" s="43" t="str">
        <x:v>리모델링·개보수</x:v>
      </x:c>
      <x:c r="K56" s="43" t="str">
        <x:v>공사</x:v>
      </x:c>
      <x:c r="L56" s="43" t="str">
        <x:v>조달위탁</x:v>
      </x:c>
      <x:c r="M56" s="46" t="str">
        <x:v>협상에 의한 계약(기술가격종합평가)</x:v>
      </x:c>
      <x:c r="N56" s="46" t="str">
        <x:v>$ 1,000,000
		                    	 (환율 : 1430)</x:v>
      </x:c>
      <x:c r="O56" s="46" t="str">
        <x:v>\ 1,430,000,000</x:v>
      </x:c>
      <x:c r="P56" s="43" t="str">
        <x:v>2025-05-08</x:v>
      </x:c>
      <x:c r="Q56" s="43" t="str">
        <x:v>https://nebid.koica.go.kr/oep/lobi/localBidManageDetail.do?P_LOAZ_BID_PBLANC_NO=L2025-00017&amp;P_PBLANC_ODR=2</x:v>
      </x:c>
    </x:row>
    <x:row r="57">
      <x:c r="A57" s="43" t="str">
        <x:v>L2025-00017-1</x:v>
      </x:c>
      <x:c r="B57" s="43" t="str">
        <x:v>2023-00087</x:v>
      </x:c>
      <x:c r="C57" s="43" t="str">
        <x:v>이라크</x:v>
      </x:c>
      <x:c r="D57" s="43" t="str">
        <x:v>Iraq</x:v>
      </x:c>
      <x:c r="E57" s="43" t="str"/>
      <x:c r="F57" s="46" t="str">
        <x:v>이라크 쿠르드 지역학교 내 난민통합교육 강화사업 ('23-'28/1,200만불)</x:v>
      </x:c>
      <x:c r="G57" s="46" t="str">
        <x:v>이라크 아르빌 자이툰 도서관 개보수(리모델링) 공사 시공업체 선정 입찰</x:v>
      </x:c>
      <x:c r="H57" s="46" t="str">
        <x:v>Renovation of Zaytun Library</x:v>
      </x:c>
      <x:c r="I57" s="43" t="str">
        <x:v>학교·교육시설</x:v>
      </x:c>
      <x:c r="J57" s="43" t="str">
        <x:v>리모델링·개보수</x:v>
      </x:c>
      <x:c r="K57" s="43" t="str">
        <x:v>공사</x:v>
      </x:c>
      <x:c r="L57" s="43" t="str">
        <x:v>조달위탁</x:v>
      </x:c>
      <x:c r="M57" s="46" t="str">
        <x:v>적격심사</x:v>
      </x:c>
      <x:c r="N57" s="46" t="str">
        <x:v>$ 1,000,000</x:v>
      </x:c>
      <x:c r="O57" s="46" t="str"/>
      <x:c r="P57" s="43" t="str">
        <x:v>2025-03-24</x:v>
      </x:c>
      <x:c r="Q57" s="43" t="str">
        <x:v>https://nebid.koica.go.kr/oep/lobi/localBidManageDetail.do?P_LOAZ_BID_PBLANC_NO=L2025-00017&amp;P_PBLANC_ODR=1</x:v>
      </x:c>
    </x:row>
    <x:row r="58">
      <x:c r="A58" s="43" t="str">
        <x:v>L2025-00016-2</x:v>
      </x:c>
      <x:c r="B58" s="43" t="str">
        <x:v>2018-56501</x:v>
      </x:c>
      <x:c r="C58" s="43" t="str">
        <x:v>모잠비크</x:v>
      </x:c>
      <x:c r="D58" s="43" t="str">
        <x:v>Mozambique</x:v>
      </x:c>
      <x:c r="E58" s="43" t="str"/>
      <x:c r="F58" s="46" t="str">
        <x:v>아프리카 사후관리(사후지원 - 아프리카1팀)</x:v>
      </x:c>
      <x:c r="G58" s="46" t="str">
        <x:v>(재공고) 모잠비크 마톨라 산업학교 역량강화사업 사후지원 보수 공사</x:v>
      </x:c>
      <x:c r="H58" s="46" t="str">
        <x:v>(Re-announcement) Maintenance work of the project for capacity building of the Matola Industrial and Commercial Institut</x:v>
      </x:c>
      <x:c r="I58" s="43" t="str">
        <x:v>학교·교육시설</x:v>
      </x:c>
      <x:c r="J58" s="43" t="str">
        <x:v>리모델링·개보수</x:v>
      </x:c>
      <x:c r="K58" s="43" t="str">
        <x:v>공사</x:v>
      </x:c>
      <x:c r="L58" s="43" t="str">
        <x:v>일반경쟁</x:v>
      </x:c>
      <x:c r="M58" s="46" t="str">
        <x:v>적격심사</x:v>
      </x:c>
      <x:c r="N58" s="46" t="str">
        <x:v>$ 230,586
		                    	 (환율 : 1470)</x:v>
      </x:c>
      <x:c r="O58" s="46" t="str">
        <x:v>\ 338,961,420</x:v>
      </x:c>
      <x:c r="P58" s="43" t="str">
        <x:v>2025-05-29</x:v>
      </x:c>
      <x:c r="Q58" s="43" t="str">
        <x:v>https://nebid.koica.go.kr/oep/lobi/localBidManageDetail.do?P_LOAZ_BID_PBLANC_NO=L2025-00016&amp;P_PBLANC_ODR=2</x:v>
      </x:c>
    </x:row>
    <x:row r="59">
      <x:c r="A59" s="43" t="str">
        <x:v>L2025-00016-1</x:v>
      </x:c>
      <x:c r="B59" s="43" t="str">
        <x:v>2018-56501</x:v>
      </x:c>
      <x:c r="C59" s="43" t="str">
        <x:v>모잠비크</x:v>
      </x:c>
      <x:c r="D59" s="43" t="str">
        <x:v>Mozambique</x:v>
      </x:c>
      <x:c r="E59" s="43" t="str"/>
      <x:c r="F59" s="46" t="str">
        <x:v>아프리카 사후관리(사후지원 - 아프리카1팀)</x:v>
      </x:c>
      <x:c r="G59" s="46" t="str">
        <x:v>모잠비크 마톨라 산업학교 역량강화사업 사후지원 보수 공사</x:v>
      </x:c>
      <x:c r="H59" s="46" t="str">
        <x:v>Maintenance work of the project for capacity building of the Matola Industrial and Commercial Institute</x:v>
      </x:c>
      <x:c r="I59" s="43" t="str">
        <x:v>학교·교육시설</x:v>
      </x:c>
      <x:c r="J59" s="43" t="str">
        <x:v>리모델링·개보수</x:v>
      </x:c>
      <x:c r="K59" s="43" t="str">
        <x:v>공사</x:v>
      </x:c>
      <x:c r="L59" s="43" t="str">
        <x:v>일반경쟁</x:v>
      </x:c>
      <x:c r="M59" s="46" t="str">
        <x:v>적격심사</x:v>
      </x:c>
      <x:c r="N59" s="46" t="str">
        <x:v>$ 230,586
		                    	 (환율 : 1470)</x:v>
      </x:c>
      <x:c r="O59" s="46" t="str">
        <x:v>\ 338,961,420</x:v>
      </x:c>
      <x:c r="P59" s="43" t="str">
        <x:v>2025-04-09</x:v>
      </x:c>
      <x:c r="Q59" s="43" t="str">
        <x:v>https://nebid.koica.go.kr/oep/lobi/localBidManageDetail.do?P_LOAZ_BID_PBLANC_NO=L2025-00016&amp;P_PBLANC_ODR=1</x:v>
      </x:c>
    </x:row>
    <x:row r="60">
      <x:c r="A60" s="43" t="str">
        <x:v>L2025-00015-2</x:v>
      </x:c>
      <x:c r="B60" s="43" t="str">
        <x:v>2021-00097</x:v>
      </x:c>
      <x:c r="C60" s="43" t="str">
        <x:v>피지</x:v>
      </x:c>
      <x:c r="D60" s="43" t="str">
        <x:v>Fiji</x:v>
      </x:c>
      <x:c r="E60" s="43" t="str"/>
      <x:c r="F60" s="46" t="str">
        <x:v>피지 농업공존형 태양광 발전사업(GCF)('21-'27/841만불)</x:v>
      </x:c>
      <x:c r="G60" s="46" t="str">
        <x:v>피지 농업공존형 태양광 발전사업(GCF) 영농기술센터 및 농기자재 보관창고 신축</x:v>
      </x:c>
      <x:c r="H60" s="46" t="str">
        <x:v>Construction Works for the Agriculture Research Center and Machinery Storage in Ovalau for KOICA Fiji Agrophotovoltaic Programme</x:v>
      </x:c>
      <x:c r="I60" s="43" t="str">
        <x:v>농업시설</x:v>
      </x:c>
      <x:c r="J60" s="43" t="str">
        <x:v>신축</x:v>
      </x:c>
      <x:c r="K60" s="43" t="str">
        <x:v>공사</x:v>
      </x:c>
      <x:c r="L60" s="43" t="str">
        <x:v>일반경쟁</x:v>
      </x:c>
      <x:c r="M60" s="46" t="str">
        <x:v>적격심사</x:v>
      </x:c>
      <x:c r="N60" s="46" t="str">
        <x:v>$ 2,072,295
		                    	 (환율 : 1229.41)</x:v>
      </x:c>
      <x:c r="O60" s="46" t="str">
        <x:v>\ 2,547,706,762</x:v>
      </x:c>
      <x:c r="P60" s="43" t="str">
        <x:v>2025-08-05</x:v>
      </x:c>
      <x:c r="Q60" s="43" t="str">
        <x:v>https://nebid.koica.go.kr/oep/lobi/localBidManageDetail.do?P_LOAZ_BID_PBLANC_NO=L2025-00015&amp;P_PBLANC_ODR=2</x:v>
      </x:c>
    </x:row>
    <x:row r="61">
      <x:c r="A61" s="43" t="str">
        <x:v>L2025-00015-1</x:v>
      </x:c>
      <x:c r="B61" s="43" t="str">
        <x:v>2021-00097</x:v>
      </x:c>
      <x:c r="C61" s="43" t="str">
        <x:v>피지</x:v>
      </x:c>
      <x:c r="D61" s="43" t="str">
        <x:v>Fiji</x:v>
      </x:c>
      <x:c r="E61" s="43" t="str"/>
      <x:c r="F61" s="46" t="str">
        <x:v>피지 농업공존형 태양광 발전사업(GCF)('21-'27/841만불)</x:v>
      </x:c>
      <x:c r="G61" s="46" t="str">
        <x:v>피지 농업공존형 태양광 발전사업(GCF) 영농기술센터 및 농기자재 보관창고 신축</x:v>
      </x:c>
      <x:c r="H61" s="46" t="str">
        <x:v>Construction Works for the Agriculture Research Center and Machinery Storage in Ovalau for KOICA Fiji Agrophotovoltaic Programme</x:v>
      </x:c>
      <x:c r="I61" s="43" t="str">
        <x:v>농업시설</x:v>
      </x:c>
      <x:c r="J61" s="43" t="str">
        <x:v>신축</x:v>
      </x:c>
      <x:c r="K61" s="43" t="str">
        <x:v>공사</x:v>
      </x:c>
      <x:c r="L61" s="43" t="str">
        <x:v>일반경쟁</x:v>
      </x:c>
      <x:c r="M61" s="46" t="str">
        <x:v>적격심사</x:v>
      </x:c>
      <x:c r="N61" s="46" t="str">
        <x:v>$ 2,072,295
		                    	 (환율 : 1229.41)</x:v>
      </x:c>
      <x:c r="O61" s="46" t="str">
        <x:v>\ 2,547,706,762</x:v>
      </x:c>
      <x:c r="P61" s="43" t="str">
        <x:v>2025-04-02</x:v>
      </x:c>
      <x:c r="Q61" s="43" t="str">
        <x:v>https://nebid.koica.go.kr/oep/lobi/localBidManageDetail.do?P_LOAZ_BID_PBLANC_NO=L2025-00015&amp;P_PBLANC_ODR=1</x:v>
      </x:c>
    </x:row>
    <x:row r="62">
      <x:c r="A62" s="43" t="str">
        <x:v>L2025-00014-1</x:v>
      </x:c>
      <x:c r="B62" s="43" t="str">
        <x:v>2022-00598</x:v>
      </x:c>
      <x:c r="C62" s="43" t="str">
        <x:v>파키스탄</x:v>
      </x:c>
      <x:c r="D62" s="43" t="str">
        <x:v>Pakistan</x:v>
      </x:c>
      <x:c r="E62" s="43" t="str"/>
      <x:c r="F62" s="46" t="str">
        <x:v>파키스탄 국립섬유대학 산업용 섬유센터 설립사업 2차사업('22-'28/795만불)</x:v>
      </x:c>
      <x:c r="G62" s="46" t="str">
        <x:v>파키스탄 국립섬유대학 산업용 섬유센터 설립사업 2차사업 감리용역</x:v>
      </x:c>
      <x:c r="H62" s="46" t="str">
        <x:v>Construction Supervision Service for Strengthening of Pak-Korea Technical Textile Center-2nd Phase</x:v>
      </x:c>
      <x:c r="I62" s="43" t="str">
        <x:v>산업·직업훈련시설</x:v>
      </x:c>
      <x:c r="J62" s="43" t="str">
        <x:v>미분류</x:v>
      </x:c>
      <x:c r="K62" s="43" t="str">
        <x:v>용역</x:v>
      </x:c>
      <x:c r="L62" s="43" t="str">
        <x:v>일반경쟁</x:v>
      </x:c>
      <x:c r="M62" s="46" t="str">
        <x:v>협상에 의한 계약(기술가격종합평가)</x:v>
      </x:c>
      <x:c r="N62" s="46" t="str">
        <x:v>$ 60,000
		                    	 (환율 : 1380)</x:v>
      </x:c>
      <x:c r="O62" s="46" t="str">
        <x:v>\ 82,800,000</x:v>
      </x:c>
      <x:c r="P62" s="43" t="str">
        <x:v>2025-03-15</x:v>
      </x:c>
      <x:c r="Q62" s="43" t="str">
        <x:v>https://nebid.koica.go.kr/oep/lobi/localBidManageDetail.do?P_LOAZ_BID_PBLANC_NO=L2025-00014&amp;P_PBLANC_ODR=1</x:v>
      </x:c>
    </x:row>
    <x:row r="63">
      <x:c r="A63" s="43" t="str">
        <x:v>L2025-00012-2</x:v>
      </x:c>
      <x:c r="B63" s="43" t="str">
        <x:v>2013-00064</x:v>
      </x:c>
      <x:c r="C63" s="43" t="str">
        <x:v>볼리비아</x:v>
      </x:c>
      <x:c r="D63" s="43" t="str">
        <x:v>Bolivia</x:v>
      </x:c>
      <x:c r="E63" s="43" t="str"/>
      <x:c r="F63" s="46" t="str">
        <x:v>볼리비아 고원지역 농업기계화 및 농민 역량강화를 통한 생산성증대 지원사업('13-'25/500만불)</x:v>
      </x:c>
      <x:c r="G63" s="46" t="str">
        <x:v>볼리비아 고원 지역 농업 기계화 및 농민역량 강화를 통한 생산성 증대 사업 퀴노아 연구센터 차칼라 건립 공사 시공사 선정 현지 입찰 재공고</x:v>
      </x:c>
      <x:c r="H63" s="46" t="str">
        <x:v>Quinoa Research Center Construction (Chacala)</x:v>
      </x:c>
      <x:c r="I63" s="43" t="str">
        <x:v>농업시설</x:v>
      </x:c>
      <x:c r="J63" s="43" t="str">
        <x:v>신축</x:v>
      </x:c>
      <x:c r="K63" s="43" t="str">
        <x:v>공사</x:v>
      </x:c>
      <x:c r="L63" s="43" t="str">
        <x:v>일반경쟁</x:v>
      </x:c>
      <x:c r="M63" s="46" t="str">
        <x:v>적격심사</x:v>
      </x:c>
      <x:c r="N63" s="46" t="str">
        <x:v>$ 98,954</x:v>
      </x:c>
      <x:c r="O63" s="46" t="str"/>
      <x:c r="P63" s="43" t="str">
        <x:v>2025-05-09</x:v>
      </x:c>
      <x:c r="Q63" s="43" t="str">
        <x:v>https://nebid.koica.go.kr/oep/lobi/localBidManageDetail.do?P_LOAZ_BID_PBLANC_NO=L2025-00012&amp;P_PBLANC_ODR=2</x:v>
      </x:c>
    </x:row>
    <x:row r="64">
      <x:c r="A64" s="43" t="str">
        <x:v>L2025-00012-1</x:v>
      </x:c>
      <x:c r="B64" s="43" t="str">
        <x:v>2013-00064</x:v>
      </x:c>
      <x:c r="C64" s="43" t="str">
        <x:v>볼리비아</x:v>
      </x:c>
      <x:c r="D64" s="43" t="str">
        <x:v>Bolivia</x:v>
      </x:c>
      <x:c r="E64" s="43" t="str"/>
      <x:c r="F64" s="46" t="str">
        <x:v>볼리비아 고원지역 농업기계화 및 농민 역량강화를 통한 생산성증대 지원사업('13-'25/500만불)</x:v>
      </x:c>
      <x:c r="G64" s="46" t="str">
        <x:v>볼리비아 고원 지역 농업 기계화 및 농민역량 강화를 통한 생산성 증대 사업 퀴노아 연구센터 차칼라 건립 공사 시공사 선정 현지 입찰</x:v>
      </x:c>
      <x:c r="H64" s="46" t="str">
        <x:v>Quinoa Research Center Construction (Chacala)</x:v>
      </x:c>
      <x:c r="I64" s="43" t="str">
        <x:v>농업시설</x:v>
      </x:c>
      <x:c r="J64" s="43" t="str">
        <x:v>신축</x:v>
      </x:c>
      <x:c r="K64" s="43" t="str">
        <x:v>공사</x:v>
      </x:c>
      <x:c r="L64" s="43" t="str">
        <x:v>일반경쟁</x:v>
      </x:c>
      <x:c r="M64" s="46" t="str">
        <x:v>적격심사</x:v>
      </x:c>
      <x:c r="N64" s="46" t="str">
        <x:v>$ 98,954</x:v>
      </x:c>
      <x:c r="O64" s="46" t="str"/>
      <x:c r="P64" s="43" t="str">
        <x:v>2025-02-28</x:v>
      </x:c>
      <x:c r="Q64" s="43" t="str">
        <x:v>https://nebid.koica.go.kr/oep/lobi/localBidManageDetail.do?P_LOAZ_BID_PBLANC_NO=L2025-00012&amp;P_PBLANC_ODR=1</x:v>
      </x:c>
    </x:row>
    <x:row r="65">
      <x:c r="A65" s="43" t="str">
        <x:v>L2025-00011-1</x:v>
      </x:c>
      <x:c r="B65" s="43" t="str">
        <x:v>2022-00598</x:v>
      </x:c>
      <x:c r="C65" s="43" t="str">
        <x:v>파키스탄</x:v>
      </x:c>
      <x:c r="D65" s="43" t="str">
        <x:v>Pakistan</x:v>
      </x:c>
      <x:c r="E65" s="43" t="str"/>
      <x:c r="F65" s="46" t="str">
        <x:v>파키스탄 국립섬유대학 산업용 섬유센터 설립사업 2차사업(22-28/795만불)</x:v>
      </x:c>
      <x:c r="G65" s="46" t="str">
        <x:v>파키스탄 국립섬유대학 산업용 섬유센터 설립사업 2차사업 공사</x:v>
      </x:c>
      <x:c r="H65" s="46" t="str">
        <x:v>Construction for Strengthening of Pak-Korea Technical Textile Center 2nd Phase</x:v>
      </x:c>
      <x:c r="I65" s="43" t="str">
        <x:v>산업·직업훈련시설</x:v>
      </x:c>
      <x:c r="J65" s="43" t="str">
        <x:v>미분류</x:v>
      </x:c>
      <x:c r="K65" s="43" t="str">
        <x:v>공사</x:v>
      </x:c>
      <x:c r="L65" s="43" t="str">
        <x:v>일반경쟁</x:v>
      </x:c>
      <x:c r="M65" s="46" t="str">
        <x:v>적격심사</x:v>
      </x:c>
      <x:c r="N65" s="46" t="str">
        <x:v>$ 1,964,270</x:v>
      </x:c>
      <x:c r="O65" s="46" t="str"/>
      <x:c r="P65" s="43" t="str">
        <x:v>2025-03-08</x:v>
      </x:c>
      <x:c r="Q65" s="43" t="str">
        <x:v>https://nebid.koica.go.kr/oep/lobi/localBidManageDetail.do?P_LOAZ_BID_PBLANC_NO=L2025-00011&amp;P_PBLANC_ODR=1</x:v>
      </x:c>
    </x:row>
    <x:row r="66">
      <x:c r="A66" s="43" t="str">
        <x:v>L2025-00010-1</x:v>
      </x:c>
      <x:c r="B66" s="43" t="str">
        <x:v>2020-00070</x:v>
      </x:c>
      <x:c r="C66" s="43" t="str">
        <x:v>도미니카</x:v>
      </x:c>
      <x:c r="D66" s="43" t="str">
        <x:v>Dominican Republic</x:v>
      </x:c>
      <x:c r="E66" s="43" t="str"/>
      <x:c r="F66" s="46" t="str">
        <x:v>도미니카공화국 여성 중심 취약계층 사회.경제적 역량강화사업('20-'26/550만불)</x:v>
      </x:c>
      <x:c r="G66" s="46" t="str">
        <x:v>도미니카공화국 여성 중심 취약계층 사회경제적 역량강화사업 하이나 직업훈련센터 리모델링 설계용역</x:v>
      </x:c>
      <x:c r="H66" s="46" t="str">
        <x:v>Remodeling Project for Haina Vocational Training Center, Design Service Bid Document</x:v>
      </x:c>
      <x:c r="I66" s="43" t="str">
        <x:v>학교·교육시설</x:v>
      </x:c>
      <x:c r="J66" s="43" t="str">
        <x:v>리모델링·개보수</x:v>
      </x:c>
      <x:c r="K66" s="43" t="str">
        <x:v>용역</x:v>
      </x:c>
      <x:c r="L66" s="43" t="str">
        <x:v>일반경쟁</x:v>
      </x:c>
      <x:c r="M66" s="46" t="str">
        <x:v>협상에 의한 계약(기술가격종합평가)</x:v>
      </x:c>
      <x:c r="N66" s="46" t="str">
        <x:v>$ 89,787
		                    	 (환율 : 1380)</x:v>
      </x:c>
      <x:c r="O66" s="46" t="str">
        <x:v>\ 123,906,060</x:v>
      </x:c>
      <x:c r="P66" s="43" t="str">
        <x:v>2025-04-30</x:v>
      </x:c>
      <x:c r="Q66" s="43" t="str">
        <x:v>https://nebid.koica.go.kr/oep/lobi/localBidManageDetail.do?P_LOAZ_BID_PBLANC_NO=L2025-00010&amp;P_PBLANC_ODR=1</x:v>
      </x:c>
    </x:row>
    <x:row r="67">
      <x:c r="A67" s="43" t="str">
        <x:v>L2025-00009-1</x:v>
      </x:c>
      <x:c r="B67" s="43" t="str">
        <x:v>2017-14639</x:v>
      </x:c>
      <x:c r="C67" s="43" t="str">
        <x:v>페루</x:v>
      </x:c>
      <x:c r="D67" s="43" t="str">
        <x:v>Peru</x:v>
      </x:c>
      <x:c r="E67" s="43" t="str"/>
      <x:c r="F67" s="46" t="str">
        <x:v>중남미 사후관리(사후지원)</x:v>
      </x:c>
      <x:c r="G67" s="46" t="str">
        <x:v>페루 제3 한·페 의료센터 건립사업 리모델링 설계용역 입찰</x:v>
      </x:c>
      <x:c r="H67" s="46" t="str">
        <x:v>San Juan Health Center  Iquitos, Peru. Remodeling Design Service Bid</x:v>
      </x:c>
      <x:c r="I67" s="43" t="str">
        <x:v>병원</x:v>
      </x:c>
      <x:c r="J67" s="43" t="str">
        <x:v>리모델링·개보수</x:v>
      </x:c>
      <x:c r="K67" s="43" t="str">
        <x:v>용역</x:v>
      </x:c>
      <x:c r="L67" s="43" t="str">
        <x:v>일반경쟁</x:v>
      </x:c>
      <x:c r="M67" s="46" t="str">
        <x:v>협상에 의한 계약(기술평가)</x:v>
      </x:c>
      <x:c r="N67" s="46" t="str">
        <x:v>$ 130,000</x:v>
      </x:c>
      <x:c r="O67" s="46" t="str"/>
      <x:c r="P67" s="43" t="str">
        <x:v>2025-03-03</x:v>
      </x:c>
      <x:c r="Q67" s="43" t="str">
        <x:v>https://nebid.koica.go.kr/oep/lobi/localBidManageDetail.do?P_LOAZ_BID_PBLANC_NO=L2025-00009&amp;P_PBLANC_ODR=1</x:v>
      </x:c>
    </x:row>
    <x:row r="68">
      <x:c r="A68" s="43" t="str">
        <x:v>L2025-00008-1</x:v>
      </x:c>
      <x:c r="B68" s="43" t="str">
        <x:v>2021-00126</x:v>
      </x:c>
      <x:c r="C68" s="43" t="str">
        <x:v>케냐</x:v>
      </x:c>
      <x:c r="D68" s="43" t="str">
        <x:v>Kenya</x:v>
      </x:c>
      <x:c r="E68" s="43" t="str"/>
      <x:c r="F68" s="46" t="str">
        <x:v>케냐 카지아도주 보건시스템 강화를 통한 모성 및 신생아 보건 개선 사업('21-'26/605만불)</x:v>
      </x:c>
      <x:c r="G68" s="46" t="str">
        <x:v>케냐 카지아도주 보건시스템 강화를 위한 모성 및 신생아 보건 개선사업 시공</x:v>
      </x:c>
      <x:c r="H68" s="46" t="str">
        <x:v>Construction for Improving maternal and child health through health system strengthening Project in Kenya</x:v>
      </x:c>
      <x:c r="I68" s="43" t="str">
        <x:v>기타·미분류</x:v>
      </x:c>
      <x:c r="J68" s="43" t="str">
        <x:v>미분류</x:v>
      </x:c>
      <x:c r="K68" s="43" t="str">
        <x:v>공사</x:v>
      </x:c>
      <x:c r="L68" s="43" t="str">
        <x:v>일반경쟁</x:v>
      </x:c>
      <x:c r="M68" s="46" t="str">
        <x:v>적격심사</x:v>
      </x:c>
      <x:c r="N68" s="46" t="str">
        <x:v>$ 555,810</x:v>
      </x:c>
      <x:c r="O68" s="46" t="str"/>
      <x:c r="P68" s="43" t="str">
        <x:v>2025-02-14</x:v>
      </x:c>
      <x:c r="Q68" s="43" t="str">
        <x:v>https://nebid.koica.go.kr/oep/lobi/localBidManageDetail.do?P_LOAZ_BID_PBLANC_NO=L2025-00008&amp;P_PBLANC_ODR=1</x:v>
      </x:c>
    </x:row>
    <x:row r="69">
      <x:c r="A69" s="43" t="str">
        <x:v>L2025-00007-2</x:v>
      </x:c>
      <x:c r="B69" s="43" t="str">
        <x:v>2020-00070</x:v>
      </x:c>
      <x:c r="C69" s="43" t="str">
        <x:v>도미니카</x:v>
      </x:c>
      <x:c r="D69" s="43" t="str">
        <x:v>Dominican Republic</x:v>
      </x:c>
      <x:c r="E69" s="43" t="str"/>
      <x:c r="F69" s="46" t="str">
        <x:v>도미니카공화국 여성 중심 취약계층 사회.경제적 역량강화사업('20-'26/550만불)</x:v>
      </x:c>
      <x:c r="G69" s="46" t="str">
        <x:v>도미니카공화국 몬테 크리스티 직업훈련센터 (MVC) 감리사 선정</x:v>
      </x:c>
      <x:c r="H69" s="46" t="str">
        <x:v>Procurement of Supervision Consultant for The Project of Construction of the Monte Cristi Vocational Training Center (MVC), Dominican Republic</x:v>
      </x:c>
      <x:c r="I69" s="43" t="str">
        <x:v>학교·교육시설</x:v>
      </x:c>
      <x:c r="J69" s="43" t="str">
        <x:v>신축</x:v>
      </x:c>
      <x:c r="K69" s="43" t="str">
        <x:v>용역</x:v>
      </x:c>
      <x:c r="L69" s="43" t="str">
        <x:v>일반경쟁</x:v>
      </x:c>
      <x:c r="M69" s="46" t="str">
        <x:v>협상에 의한 계약(기술가격종합평가)</x:v>
      </x:c>
      <x:c r="N69" s="46" t="str">
        <x:v>$ 83,100</x:v>
      </x:c>
      <x:c r="O69" s="46" t="str"/>
      <x:c r="P69" s="43" t="str">
        <x:v>2025-04-11</x:v>
      </x:c>
      <x:c r="Q69" s="43" t="str">
        <x:v>https://nebid.koica.go.kr/oep/lobi/localBidManageDetail.do?P_LOAZ_BID_PBLANC_NO=L2025-00007&amp;P_PBLANC_ODR=2</x:v>
      </x:c>
    </x:row>
    <x:row r="70">
      <x:c r="A70" s="43" t="str">
        <x:v>L2025-00007-1</x:v>
      </x:c>
      <x:c r="B70" s="43" t="str">
        <x:v>2020-00070</x:v>
      </x:c>
      <x:c r="C70" s="43" t="str">
        <x:v>도미니카</x:v>
      </x:c>
      <x:c r="D70" s="43" t="str">
        <x:v>Dominican Republic</x:v>
      </x:c>
      <x:c r="E70" s="43" t="str"/>
      <x:c r="F70" s="46" t="str">
        <x:v>도미니카공화국 여성 중심 취약계층 사회.경제적 역량강화사업('20-'26/550만불)</x:v>
      </x:c>
      <x:c r="G70" s="46" t="str">
        <x:v>도미니카공화국 몬테 크리스티 직업훈련센터 (MVC) 감리사 선정</x:v>
      </x:c>
      <x:c r="H70" s="46" t="str">
        <x:v>Procurement of Supervision Consultant for The Project of Construction of the Monte Cristi Vocational Training Center (MVC), Dominican Republic</x:v>
      </x:c>
      <x:c r="I70" s="43" t="str">
        <x:v>학교·교육시설</x:v>
      </x:c>
      <x:c r="J70" s="43" t="str">
        <x:v>신축</x:v>
      </x:c>
      <x:c r="K70" s="43" t="str">
        <x:v>용역</x:v>
      </x:c>
      <x:c r="L70" s="43" t="str">
        <x:v>일반경쟁</x:v>
      </x:c>
      <x:c r="M70" s="46" t="str">
        <x:v>협상에 의한 계약(기술가격종합평가)</x:v>
      </x:c>
      <x:c r="N70" s="46" t="str">
        <x:v>$ 83,100</x:v>
      </x:c>
      <x:c r="O70" s="46" t="str"/>
      <x:c r="P70" s="43" t="str">
        <x:v>2025-03-03</x:v>
      </x:c>
      <x:c r="Q70" s="43" t="str">
        <x:v>https://nebid.koica.go.kr/oep/lobi/localBidManageDetail.do?P_LOAZ_BID_PBLANC_NO=L2025-00007&amp;P_PBLANC_ODR=1</x:v>
      </x:c>
    </x:row>
    <x:row r="71">
      <x:c r="A71" s="43" t="str">
        <x:v>L2025-00006-1</x:v>
      </x:c>
      <x:c r="B71" s="43" t="str">
        <x:v>2023-00100</x:v>
      </x:c>
      <x:c r="C71" s="43" t="str">
        <x:v>탄자니아</x:v>
      </x:c>
      <x:c r="D71" s="43" t="str">
        <x:v>Tanzania</x:v>
      </x:c>
      <x:c r="E71" s="43" t="str"/>
      <x:c r="F71" s="46" t="str">
        <x:v>탄자니아 도도마시 및 아루샤 농촌지역 상수도시설 모델구축 시범사업('23-'26/382만불)</x:v>
      </x:c>
      <x:c r="G71" s="46" t="str">
        <x:v>탄자니아 도도마주 유수율 제고 시범모델 구축 및 상수도 시설 개선사업 기본 및 실시설계 용역</x:v>
      </x:c>
      <x:c r="H71" s="46" t="str">
        <x:v>Basic and Detailed Design of Establishing a Pilot Model to Improve Revenue Water Ratio and Improving Water Supply Facilities in Dodoma Region, Tanzania</x:v>
      </x:c>
      <x:c r="I71" s="43" t="str">
        <x:v>기타·미분류</x:v>
      </x:c>
      <x:c r="J71" s="43" t="str">
        <x:v>미분류</x:v>
      </x:c>
      <x:c r="K71" s="43" t="str">
        <x:v>용역</x:v>
      </x:c>
      <x:c r="L71" s="43" t="str">
        <x:v>일반경쟁</x:v>
      </x:c>
      <x:c r="M71" s="46" t="str">
        <x:v>협상에 의한 계약(기술가격종합평가)</x:v>
      </x:c>
      <x:c r="N71" s="46" t="str">
        <x:v>$ 124,148</x:v>
      </x:c>
      <x:c r="O71" s="46" t="str"/>
      <x:c r="P71" s="43" t="str">
        <x:v>2025-02-10</x:v>
      </x:c>
      <x:c r="Q71" s="43" t="str">
        <x:v>https://nebid.koica.go.kr/oep/lobi/localBidManageDetail.do?P_LOAZ_BID_PBLANC_NO=L2025-00006&amp;P_PBLANC_ODR=1</x:v>
      </x:c>
    </x:row>
    <x:row r="72">
      <x:c r="A72" s="43" t="str">
        <x:v>L2025-00004-1</x:v>
      </x:c>
      <x:c r="B72" s="43" t="str">
        <x:v>2021-00009</x:v>
      </x:c>
      <x:c r="C72" s="43" t="str">
        <x:v>인도네시아</x:v>
      </x:c>
      <x:c r="D72" s="43" t="str">
        <x:v>Indonesia</x:v>
      </x:c>
      <x:c r="E72" s="43" t="str"/>
      <x:c r="F72" s="46" t="str">
        <x:v>인도네시아 국립대학교 ICT기반 통합지식교육센터 구축 사업('21-'26/985만불)</x:v>
      </x:c>
      <x:c r="G72" s="46" t="str">
        <x:v>인도네시아 국립대학교 ICT기반 통합지식교육센터 신축공사를 위한 시공사 선정</x:v>
      </x:c>
      <x:c r="H72" s="46" t="str">
        <x:v>The General Contract for Construction Works of Connectivity Hub Building Development in University Indonesia</x:v>
      </x:c>
      <x:c r="I72" s="43" t="str">
        <x:v>학교·교육시설</x:v>
      </x:c>
      <x:c r="J72" s="43" t="str">
        <x:v>신축</x:v>
      </x:c>
      <x:c r="K72" s="43" t="str">
        <x:v>공사</x:v>
      </x:c>
      <x:c r="L72" s="43" t="str">
        <x:v>일반경쟁</x:v>
      </x:c>
      <x:c r="M72" s="46" t="str">
        <x:v>적격심사</x:v>
      </x:c>
      <x:c r="N72" s="46" t="str">
        <x:v>$ 5,600,000</x:v>
      </x:c>
      <x:c r="O72" s="46" t="str"/>
      <x:c r="P72" s="43" t="str">
        <x:v>2025-01-22</x:v>
      </x:c>
      <x:c r="Q72" s="43" t="str">
        <x:v>https://nebid.koica.go.kr/oep/lobi/localBidManageDetail.do?P_LOAZ_BID_PBLANC_NO=L2025-00004&amp;P_PBLANC_ODR=1</x:v>
      </x:c>
    </x:row>
    <x:row r="73">
      <x:c r="A73" s="43" t="str">
        <x:v>L2025-00003-2</x:v>
      </x:c>
      <x:c r="B73" s="43" t="str">
        <x:v>2023-00027</x:v>
      </x:c>
      <x:c r="C73" s="43" t="str"/>
      <x:c r="D73" s="43" t="str"/>
      <x:c r="E73" s="43" t="str"/>
      <x:c r="F73" s="46" t="str">
        <x:v>키르기스스탄 국회 디지털화 사업('23-'27/840만불)</x:v>
      </x:c>
      <x:c r="G73" s="46" t="str">
        <x:v>키르키즈공화국 국회 디지털화 사업 시공</x:v>
      </x:c>
      <x:c r="H73" s="46" t="str">
        <x:v>Remodeling Works for the project Digitalization of the Jogorku Kenesh(Parliament) of the Kyrgyz Republic</x:v>
      </x:c>
      <x:c r="I73" s="43" t="str">
        <x:v>기타·미분류</x:v>
      </x:c>
      <x:c r="J73" s="43" t="str">
        <x:v>미분류</x:v>
      </x:c>
      <x:c r="K73" s="43" t="str">
        <x:v>공사</x:v>
      </x:c>
      <x:c r="L73" s="43" t="str">
        <x:v>일반경쟁</x:v>
      </x:c>
      <x:c r="M73" s="46" t="str">
        <x:v>적격심사</x:v>
      </x:c>
      <x:c r="N73" s="46" t="str">
        <x:v>$ 1,700,000</x:v>
      </x:c>
      <x:c r="O73" s="46" t="str"/>
      <x:c r="P73" s="43" t="str">
        <x:v>2025-01-16</x:v>
      </x:c>
      <x:c r="Q73" s="43" t="str">
        <x:v>https://nebid.koica.go.kr/oep/lobi/localBidManageDetail.do?P_LOAZ_BID_PBLANC_NO=L2025-00003&amp;P_PBLANC_ODR=2</x:v>
      </x:c>
    </x:row>
    <x:row r="74">
      <x:c r="A74" s="43" t="str">
        <x:v>L2025-00003-1</x:v>
      </x:c>
      <x:c r="B74" s="43" t="str">
        <x:v>2023-00027</x:v>
      </x:c>
      <x:c r="C74" s="43" t="str"/>
      <x:c r="D74" s="43" t="str"/>
      <x:c r="E74" s="43" t="str"/>
      <x:c r="F74" s="46" t="str">
        <x:v>키르기스스탄 국회 디지털화 사업('23-'27/840만불)</x:v>
      </x:c>
      <x:c r="G74" s="46" t="str">
        <x:v>키르키즈공화국 국회 디지털화 사업 시공</x:v>
      </x:c>
      <x:c r="H74" s="46" t="str">
        <x:v>Remodeling Works for the project Digitalization of the Jogorku Kenesh(Parliament) of the Kyrgyz Republic</x:v>
      </x:c>
      <x:c r="I74" s="43" t="str">
        <x:v>기타·미분류</x:v>
      </x:c>
      <x:c r="J74" s="43" t="str">
        <x:v>미분류</x:v>
      </x:c>
      <x:c r="K74" s="43" t="str">
        <x:v>공사</x:v>
      </x:c>
      <x:c r="L74" s="43" t="str">
        <x:v>일반경쟁</x:v>
      </x:c>
      <x:c r="M74" s="46" t="str">
        <x:v>적격심사</x:v>
      </x:c>
      <x:c r="N74" s="46" t="str">
        <x:v>$ 1,700,000</x:v>
      </x:c>
      <x:c r="O74" s="46" t="str"/>
      <x:c r="P74" s="43" t="str">
        <x:v>2024-12-30</x:v>
      </x:c>
      <x:c r="Q74" s="43" t="str">
        <x:v>https://nebid.koica.go.kr/oep/lobi/localBidManageDetail.do?P_LOAZ_BID_PBLANC_NO=L2025-00003&amp;P_PBLANC_ODR=1</x:v>
      </x:c>
    </x:row>
    <x:row r="75">
      <x:c r="A75" s="43" t="str">
        <x:v>L2025-00002-1</x:v>
      </x:c>
      <x:c r="B75" s="43" t="str">
        <x:v>2022-00079</x:v>
      </x:c>
      <x:c r="C75" s="43" t="str">
        <x:v>인도네시아</x:v>
      </x:c>
      <x:c r="D75" s="43" t="str">
        <x:v>Indonesia</x:v>
      </x:c>
      <x:c r="E75" s="43" t="str"/>
      <x:c r="F75" s="46" t="str">
        <x:v>인도네시아 사이버보안 전문인력양성 역량강화사업('22-'27/740만불)</x:v>
      </x:c>
      <x:c r="G75" s="46" t="str">
        <x:v>인도네시아 사이버보안 훈련센터 신축공사 시공사 선정</x:v>
      </x:c>
      <x:c r="H75" s="46" t="str">
        <x:v>Construction Works of Cyber Security Vocational Center of PSSN in Indonesia</x:v>
      </x:c>
      <x:c r="I75" s="43" t="str">
        <x:v>산업·직업훈련시설</x:v>
      </x:c>
      <x:c r="J75" s="43" t="str">
        <x:v>신축</x:v>
      </x:c>
      <x:c r="K75" s="43" t="str">
        <x:v>공사</x:v>
      </x:c>
      <x:c r="L75" s="43" t="str">
        <x:v>일반경쟁</x:v>
      </x:c>
      <x:c r="M75" s="46" t="str">
        <x:v>적격심사</x:v>
      </x:c>
      <x:c r="N75" s="46" t="str">
        <x:v>$ 2,361,000</x:v>
      </x:c>
      <x:c r="O75" s="46" t="str"/>
      <x:c r="P75" s="43" t="str">
        <x:v>2025-01-10</x:v>
      </x:c>
      <x:c r="Q75" s="43" t="str">
        <x:v>https://nebid.koica.go.kr/oep/lobi/localBidManageDetail.do?P_LOAZ_BID_PBLANC_NO=L2025-00002&amp;P_PBLANC_ODR=1</x:v>
      </x:c>
    </x:row>
    <x:row r="76">
      <x:c r="A76" s="43" t="str">
        <x:v>L2024-00079-1</x:v>
      </x:c>
      <x:c r="B76" s="43" t="str">
        <x:v>2023-00052</x:v>
      </x:c>
      <x:c r="C76" s="43" t="str">
        <x:v>네팔</x:v>
      </x:c>
      <x:c r="D76" s="43" t="str">
        <x:v>Nepal</x:v>
      </x:c>
      <x:c r="E76" s="43" t="str"/>
      <x:c r="F76" s="46" t="str">
        <x:v>네팔 포카라시 리사이클/업사이클 플랫폼 및 친환경 시범마을 구축을 통한 녹색일자리 창출지원사업('23-'29/980만불)</x:v>
      </x:c>
      <x:c r="G76" s="46" t="str">
        <x:v>네팔 포카라시 리사이클/업사이클 플랫폼 및 친환경 시범마을 구축을 통한 녹색일자리 창출사업(23~29/980만불) 시공업체 선정</x:v>
      </x:c>
      <x:c r="H76" s="46" t="str">
        <x:v>The construction for the Green Job Creation through Recycling and Upcycling Project in Pokhara Metropolitan City, Nepal(2023-2029/US 9.8 Million)</x:v>
      </x:c>
      <x:c r="I76" s="43" t="str">
        <x:v>기타·미분류</x:v>
      </x:c>
      <x:c r="J76" s="43" t="str">
        <x:v>미분류</x:v>
      </x:c>
      <x:c r="K76" s="43" t="str">
        <x:v>공사</x:v>
      </x:c>
      <x:c r="L76" s="43" t="str">
        <x:v>일반경쟁</x:v>
      </x:c>
      <x:c r="M76" s="46" t="str">
        <x:v>적격심사</x:v>
      </x:c>
      <x:c r="N76" s="46" t="str">
        <x:v>$ 3,534,542
		                    	 (환율 : 1300)</x:v>
      </x:c>
      <x:c r="O76" s="46" t="str">
        <x:v>\ 4,594,904,600</x:v>
      </x:c>
      <x:c r="P76" s="43" t="str">
        <x:v>2024-12-23</x:v>
      </x:c>
      <x:c r="Q76" s="43" t="str">
        <x:v>https://nebid.koica.go.kr/oep/lobi/localBidManageDetail.do?P_LOAZ_BID_PBLANC_NO=L2024-00079&amp;P_PBLANC_ODR=1</x:v>
      </x:c>
    </x:row>
    <x:row r="77">
      <x:c r="A77" s="43" t="str">
        <x:v>L2024-00078-1</x:v>
      </x:c>
      <x:c r="B77" s="43" t="str">
        <x:v>2020-00070</x:v>
      </x:c>
      <x:c r="C77" s="43" t="str">
        <x:v>도미니카</x:v>
      </x:c>
      <x:c r="D77" s="43" t="str">
        <x:v>Dominican Republic</x:v>
      </x:c>
      <x:c r="E77" s="43" t="str"/>
      <x:c r="F77" s="46" t="str">
        <x:v>도미니카공화국 여성 중심 취약계층 사회.경제적 역량강화사업('20-'26/550만불)</x:v>
      </x:c>
      <x:c r="G77" s="46" t="str">
        <x:v>도미니카공화국 몬테 크리스티 직업훈련센터 (MVC)  시공사 선정</x:v>
      </x:c>
      <x:c r="H77" s="46" t="str">
        <x:v>Construction of the  Monte Cristi Vocational Training Centers (MVC)</x:v>
      </x:c>
      <x:c r="I77" s="43" t="str">
        <x:v>학교·교육시설</x:v>
      </x:c>
      <x:c r="J77" s="43" t="str">
        <x:v>신축</x:v>
      </x:c>
      <x:c r="K77" s="43" t="str">
        <x:v>공사</x:v>
      </x:c>
      <x:c r="L77" s="43" t="str">
        <x:v>일반경쟁</x:v>
      </x:c>
      <x:c r="M77" s="46" t="str">
        <x:v>적격심사</x:v>
      </x:c>
      <x:c r="N77" s="46" t="str">
        <x:v>$ 1,187,000
		                    	 (환율 : 1300)</x:v>
      </x:c>
      <x:c r="O77" s="46" t="str">
        <x:v>\ 1,543,100,000</x:v>
      </x:c>
      <x:c r="P77" s="43" t="str">
        <x:v>2024-12-20</x:v>
      </x:c>
      <x:c r="Q77" s="43" t="str">
        <x:v>https://nebid.koica.go.kr/oep/lobi/localBidManageDetail.do?P_LOAZ_BID_PBLANC_NO=L2024-00078&amp;P_PBLANC_ODR=1</x:v>
      </x:c>
    </x:row>
    <x:row r="78">
      <x:c r="A78" s="43" t="str">
        <x:v>L2024-00076-1</x:v>
      </x:c>
      <x:c r="B78" s="43" t="str">
        <x:v>2022-00058</x:v>
      </x:c>
      <x:c r="C78" s="43" t="str">
        <x:v>페루</x:v>
      </x:c>
      <x:c r="D78" s="43" t="str">
        <x:v>Peru</x:v>
      </x:c>
      <x:c r="E78" s="43" t="str"/>
      <x:c r="F78" s="46" t="str">
        <x:v>페루 쿠스코시 폐기물 통합관리체계 구축 및 자원순환 선진화 사업('22-'27/450만불)</x:v>
      </x:c>
      <x:c r="G78" s="46" t="str">
        <x:v>페루 쿠스코시 폐기물 통합관리 및 순환경제 구축사업 퇴비화 시범 플랜트 설계용역</x:v>
      </x:c>
      <x:c r="H78" s="46" t="str">
        <x:v>Establishing Integrated Solid Waste Management and Circular Economy in the Province of Cusco, Peru.  Design Service for Pilot Compost Plant</x:v>
      </x:c>
      <x:c r="I78" s="43" t="str">
        <x:v>상하수·환경시설</x:v>
      </x:c>
      <x:c r="J78" s="43" t="str">
        <x:v>미분류</x:v>
      </x:c>
      <x:c r="K78" s="43" t="str">
        <x:v>공사</x:v>
      </x:c>
      <x:c r="L78" s="43" t="str">
        <x:v>일반경쟁</x:v>
      </x:c>
      <x:c r="M78" s="46" t="str">
        <x:v>협상에 의한 계약(기술가격종합평가)</x:v>
      </x:c>
      <x:c r="N78" s="46" t="str">
        <x:v>$ 52,000</x:v>
      </x:c>
      <x:c r="O78" s="46" t="str"/>
      <x:c r="P78" s="43" t="str">
        <x:v>2024-11-25</x:v>
      </x:c>
      <x:c r="Q78" s="43" t="str">
        <x:v>https://nebid.koica.go.kr/oep/lobi/localBidManageDetail.do?P_LOAZ_BID_PBLANC_NO=L2024-00076&amp;P_PBLANC_ODR=1</x:v>
      </x:c>
    </x:row>
    <x:row r="79">
      <x:c r="A79" s="43" t="str">
        <x:v>L2024-00075-1</x:v>
      </x:c>
      <x:c r="B79" s="43" t="str">
        <x:v>2020-00023</x:v>
      </x:c>
      <x:c r="C79" s="43" t="str">
        <x:v>라오스</x:v>
      </x:c>
      <x:c r="D79" s="43" t="str">
        <x:v>Laos</x:v>
      </x:c>
      <x:c r="E79" s="43" t="str"/>
      <x:c r="F79" s="46" t="str">
        <x:v>라오스 남부 3개주 농촌개발 사업('20-'25/900만불)</x:v>
      </x:c>
      <x:c r="G79" s="46" t="str">
        <x:v>라오스 남부 3개주 농촌종합개발사업 남부농촌개발연수원 공사</x:v>
      </x:c>
      <x:c r="H79" s="46" t="str">
        <x:v>Construction of the  Southern Agricultural Training Center (SATC)  In Lak 35 village, Paksong District, Champasak Province,  Lao PDR</x:v>
      </x:c>
      <x:c r="I79" s="43" t="str">
        <x:v>학교·교육시설</x:v>
      </x:c>
      <x:c r="J79" s="43" t="str">
        <x:v>신축</x:v>
      </x:c>
      <x:c r="K79" s="43" t="str">
        <x:v>공사</x:v>
      </x:c>
      <x:c r="L79" s="43" t="str">
        <x:v>일반경쟁</x:v>
      </x:c>
      <x:c r="M79" s="46" t="str">
        <x:v>적격심사</x:v>
      </x:c>
      <x:c r="N79" s="46" t="str">
        <x:v>$ 624,034
		                    	 (환율 : 1190)</x:v>
      </x:c>
      <x:c r="O79" s="46" t="str">
        <x:v>\ 742,600,460</x:v>
      </x:c>
      <x:c r="P79" s="43" t="str">
        <x:v>2024-11-20</x:v>
      </x:c>
      <x:c r="Q79" s="43" t="str">
        <x:v>https://nebid.koica.go.kr/oep/lobi/localBidManageDetail.do?P_LOAZ_BID_PBLANC_NO=L2024-00075&amp;P_PBLANC_ODR=1</x:v>
      </x:c>
    </x:row>
    <x:row r="80">
      <x:c r="A80" s="43" t="str">
        <x:v>L2024-00074-1</x:v>
      </x:c>
      <x:c r="B80" s="43" t="str">
        <x:v>2019-00027</x:v>
      </x:c>
      <x:c r="C80" s="43" t="str">
        <x:v>알제리</x:v>
      </x:c>
      <x:c r="D80" s="43" t="str">
        <x:v>Algeria</x:v>
      </x:c>
      <x:c r="E80" s="43" t="str"/>
      <x:c r="F80" s="46" t="str">
        <x:v>알제리 사이버 보안센터 설립 사업('19-'26/650만불)</x:v>
      </x:c>
      <x:c r="G80" s="46" t="str">
        <x:v>알제리 사이버보안센터 건립사업 기자재 및 가구</x:v>
      </x:c>
      <x:c r="H80" s="46" t="str">
        <x:v>Purchase of equipment and furniture for  Algeria Cyber Security Center (CERT) in Algeria</x:v>
      </x:c>
      <x:c r="I80" s="43" t="str">
        <x:v>기타·미분류</x:v>
      </x:c>
      <x:c r="J80" s="43" t="str">
        <x:v>신축</x:v>
      </x:c>
      <x:c r="K80" s="43" t="str">
        <x:v>물품</x:v>
      </x:c>
      <x:c r="L80" s="43" t="str">
        <x:v>일반경쟁</x:v>
      </x:c>
      <x:c r="M80" s="46" t="str">
        <x:v>적격심사</x:v>
      </x:c>
      <x:c r="N80" s="46" t="str">
        <x:v>$ 103,630
		                    	 (환율 : 1328.81)</x:v>
      </x:c>
      <x:c r="O80" s="46" t="str">
        <x:v>\ 137,704,508</x:v>
      </x:c>
      <x:c r="P80" s="43" t="str">
        <x:v>2024-11-08</x:v>
      </x:c>
      <x:c r="Q80" s="43" t="str">
        <x:v>https://nebid.koica.go.kr/oep/lobi/localBidManageDetail.do?P_LOAZ_BID_PBLANC_NO=L2024-00074&amp;P_PBLANC_ODR=1</x:v>
      </x:c>
    </x:row>
    <x:row r="81">
      <x:c r="A81" s="43" t="str">
        <x:v>L2024-00072-1</x:v>
      </x:c>
      <x:c r="B81" s="43" t="str">
        <x:v>2022-00064</x:v>
      </x:c>
      <x:c r="C81" s="43" t="str">
        <x:v>우간다</x:v>
      </x:c>
      <x:c r="D81" s="43" t="str">
        <x:v>Uganda</x:v>
      </x:c>
      <x:c r="E81" s="43" t="str"/>
      <x:c r="F81" s="46" t="str">
        <x:v>우간다 마케레레대학교 ICT 교육환경 조성사업('23-'28/1,220만불)</x:v>
      </x:c>
      <x:c r="G81" s="46" t="str">
        <x:v>우간다 마케레레 대학 원격교육센터 설계 및 감리용역 입찰</x:v>
      </x:c>
      <x:c r="H81" s="46" t="str">
        <x:v>Design and Construction Supervision Services for the Center for the distance learning at Makerere University in Uganda</x:v>
      </x:c>
      <x:c r="I81" s="43" t="str">
        <x:v>학교·교육시설</x:v>
      </x:c>
      <x:c r="J81" s="43" t="str">
        <x:v>미분류</x:v>
      </x:c>
      <x:c r="K81" s="43" t="str">
        <x:v>용역</x:v>
      </x:c>
      <x:c r="L81" s="43" t="str">
        <x:v>일반경쟁</x:v>
      </x:c>
      <x:c r="M81" s="46" t="str">
        <x:v>협상에 의한 계약(기술가격종합평가)</x:v>
      </x:c>
      <x:c r="N81" s="46" t="str">
        <x:v>$ 390,500</x:v>
      </x:c>
      <x:c r="O81" s="46" t="str"/>
      <x:c r="P81" s="43" t="str">
        <x:v>2024-10-08</x:v>
      </x:c>
      <x:c r="Q81" s="43" t="str">
        <x:v>https://nebid.koica.go.kr/oep/lobi/localBidManageDetail.do?P_LOAZ_BID_PBLANC_NO=L2024-00072&amp;P_PBLANC_ODR=1</x:v>
      </x:c>
    </x:row>
    <x:row r="82">
      <x:c r="A82" s="43" t="str">
        <x:v>L2024-00069-1</x:v>
      </x:c>
      <x:c r="B82" s="43" t="str">
        <x:v>2022-00036</x:v>
      </x:c>
      <x:c r="C82" s="43" t="str">
        <x:v>에티오피아</x:v>
      </x:c>
      <x:c r="D82" s="43" t="str">
        <x:v>Ethiopia</x:v>
      </x:c>
      <x:c r="E82" s="43" t="str"/>
      <x:c r="F82" s="46" t="str">
        <x:v>에티오피아 가죽 및 가죽제품 경쟁력 강화 사업('22-'27/1,000만불)</x:v>
      </x:c>
      <x:c r="G82" s="46" t="str">
        <x:v>[긴급] 에티오피아 가죽 및 가죽제품 강화 사업 신발 라스트 생산 공장 신축 및 보수 공사 시공 용역</x:v>
      </x:c>
      <x:c r="H82" s="46" t="str">
        <x:v>Construction and renovation works for the project for enhancing competitiveness of leather and leather products industry in Ethiopia</x:v>
      </x:c>
      <x:c r="I82" s="43" t="str">
        <x:v>기타·미분류</x:v>
      </x:c>
      <x:c r="J82" s="43" t="str">
        <x:v>리모델링·개보수</x:v>
      </x:c>
      <x:c r="K82" s="43" t="str">
        <x:v>공사</x:v>
      </x:c>
      <x:c r="L82" s="43" t="str">
        <x:v>일반경쟁</x:v>
      </x:c>
      <x:c r="M82" s="46" t="str">
        <x:v>적격심사</x:v>
      </x:c>
      <x:c r="N82" s="46" t="str">
        <x:v>$ 1,303,100
		                    	 (환율 : 1275.8)</x:v>
      </x:c>
      <x:c r="O82" s="46" t="str">
        <x:v>\ 1,661,552,000</x:v>
      </x:c>
      <x:c r="P82" s="43" t="str">
        <x:v>2024-10-21</x:v>
      </x:c>
      <x:c r="Q82" s="43" t="str">
        <x:v>https://nebid.koica.go.kr/oep/lobi/localBidManageDetail.do?P_LOAZ_BID_PBLANC_NO=L2024-00069&amp;P_PBLANC_ODR=1</x:v>
      </x:c>
    </x:row>
    <x:row r="83">
      <x:c r="A83" s="43" t="str">
        <x:v>L2024-00068-2</x:v>
      </x:c>
      <x:c r="B83" s="43" t="str">
        <x:v>2021-00104</x:v>
      </x:c>
      <x:c r="C83" s="43" t="str">
        <x:v>코트디부아르</x:v>
      </x:c>
      <x:c r="D83" s="43" t="str">
        <x:v>Côte d’Ivoire</x:v>
      </x:c>
      <x:c r="E83" s="43" t="str"/>
      <x:c r="F83" s="46" t="str">
        <x:v>코트디부아르 국립직업기술교육원 교사 ICT기반 교수역량강화사업(`21-`26/758만불)</x:v>
      </x:c>
      <x:c r="G83" s="46" t="str">
        <x:v>[긴급] 코트디부아르 국립직업기술교육원 교사 ICT기반 교수역량강화사업 리모델링 공사</x:v>
      </x:c>
      <x:c r="H83" s="46" t="str">
        <x:v>Renovation Works for Capacity Building of Instructors on Teaching and Learning Applying ICT in National Pedagogical Institute for Technical and Vocational Education(IPNETP) in Cote dIvoire</x:v>
      </x:c>
      <x:c r="I83" s="43" t="str">
        <x:v>산업·직업훈련시설</x:v>
      </x:c>
      <x:c r="J83" s="43" t="str">
        <x:v>리모델링·개보수</x:v>
      </x:c>
      <x:c r="K83" s="43" t="str">
        <x:v>공사</x:v>
      </x:c>
      <x:c r="L83" s="43" t="str">
        <x:v>일반경쟁</x:v>
      </x:c>
      <x:c r="M83" s="46" t="str">
        <x:v>적격심사</x:v>
      </x:c>
      <x:c r="N83" s="46" t="str">
        <x:v>$ 440,000</x:v>
      </x:c>
      <x:c r="O83" s="46" t="str"/>
      <x:c r="P83" s="43" t="str">
        <x:v>2024-11-14</x:v>
      </x:c>
      <x:c r="Q83" s="43" t="str">
        <x:v>https://nebid.koica.go.kr/oep/lobi/localBidManageDetail.do?P_LOAZ_BID_PBLANC_NO=L2024-00068&amp;P_PBLANC_ODR=2</x:v>
      </x:c>
    </x:row>
    <x:row r="84">
      <x:c r="A84" s="43" t="str">
        <x:v>L2024-00068-1</x:v>
      </x:c>
      <x:c r="B84" s="43" t="str">
        <x:v>2021-00104</x:v>
      </x:c>
      <x:c r="C84" s="43" t="str">
        <x:v>코트디부아르</x:v>
      </x:c>
      <x:c r="D84" s="43" t="str">
        <x:v>Côte d’Ivoire</x:v>
      </x:c>
      <x:c r="E84" s="43" t="str"/>
      <x:c r="F84" s="46" t="str">
        <x:v>코트디부아르 국립직업기술교육원 교사 ICT기반 교수역량강화사업(`21-`26/758만불)</x:v>
      </x:c>
      <x:c r="G84" s="46" t="str">
        <x:v>[긴급] 코트디부아르 국립직업기술교육원 교사 ICT기반 교수역량강화사업 리모델링 공사</x:v>
      </x:c>
      <x:c r="H84" s="46" t="str">
        <x:v>Renovation Works for Capacity Building of Instructors on Teaching and Learning Applying ICT in National Pedagogical Institute for Technical and Vocational Education(IPNETP) in Cote dIvoire</x:v>
      </x:c>
      <x:c r="I84" s="43" t="str">
        <x:v>산업·직업훈련시설</x:v>
      </x:c>
      <x:c r="J84" s="43" t="str">
        <x:v>리모델링·개보수</x:v>
      </x:c>
      <x:c r="K84" s="43" t="str">
        <x:v>공사</x:v>
      </x:c>
      <x:c r="L84" s="43" t="str">
        <x:v>일반경쟁</x:v>
      </x:c>
      <x:c r="M84" s="46" t="str">
        <x:v>적격심사</x:v>
      </x:c>
      <x:c r="N84" s="46" t="str">
        <x:v>$ 440,000</x:v>
      </x:c>
      <x:c r="O84" s="46" t="str"/>
      <x:c r="P84" s="43" t="str">
        <x:v>2024-10-25</x:v>
      </x:c>
      <x:c r="Q84" s="43" t="str">
        <x:v>https://nebid.koica.go.kr/oep/lobi/localBidManageDetail.do?P_LOAZ_BID_PBLANC_NO=L2024-00068&amp;P_PBLANC_ODR=1</x:v>
      </x:c>
    </x:row>
    <x:row r="85">
      <x:c r="A85" s="43" t="str">
        <x:v>L2024-00066-1</x:v>
      </x:c>
      <x:c r="B85" s="43" t="str">
        <x:v>2023-00032</x:v>
      </x:c>
      <x:c r="C85" s="43" t="str">
        <x:v>피지</x:v>
      </x:c>
      <x:c r="D85" s="43" t="str">
        <x:v>Fiji</x:v>
      </x:c>
      <x:c r="E85" s="43" t="str"/>
      <x:c r="F85" s="46" t="str">
        <x:v>피지 국립대학교 의과대학 교육 역량강화사업(23-27/977만불)</x:v>
      </x:c>
      <x:c r="G85" s="46" t="str">
        <x:v>피지국립의과대학 의료인력 역량강화사업  설계 및 감리용역</x:v>
      </x:c>
      <x:c r="H85" s="46" t="str">
        <x:v>, Design and Construction Supervision Consultant Services  (Simulation Center)  for Educational Capacity Building Project at the College of Medicine, Nursing and Health Sciences, Fiji National University in Fiji</x:v>
      </x:c>
      <x:c r="I85" s="43" t="str">
        <x:v>학교·교육시설</x:v>
      </x:c>
      <x:c r="J85" s="43" t="str">
        <x:v>미분류</x:v>
      </x:c>
      <x:c r="K85" s="43" t="str">
        <x:v>용역</x:v>
      </x:c>
      <x:c r="L85" s="43" t="str">
        <x:v>일반경쟁</x:v>
      </x:c>
      <x:c r="M85" s="46" t="str">
        <x:v>협상에 의한 계약(기술가격종합평가)</x:v>
      </x:c>
      <x:c r="N85" s="46" t="str">
        <x:v>$ 216,571</x:v>
      </x:c>
      <x:c r="O85" s="46" t="str"/>
      <x:c r="P85" s="43" t="str">
        <x:v>2024-10-25</x:v>
      </x:c>
      <x:c r="Q85" s="43" t="str">
        <x:v>https://nebid.koica.go.kr/oep/lobi/localBidManageDetail.do?P_LOAZ_BID_PBLANC_NO=L2024-00066&amp;P_PBLANC_ODR=1</x:v>
      </x:c>
    </x:row>
    <x:row r="86">
      <x:c r="A86" s="43" t="str">
        <x:v>L2024-00065-2</x:v>
      </x:c>
      <x:c r="B86" s="43" t="str">
        <x:v>2010-00071</x:v>
      </x:c>
      <x:c r="C86" s="43" t="str">
        <x:v>에콰도르</x:v>
      </x:c>
      <x:c r="D86" s="43" t="str">
        <x:v>Ecuador</x:v>
      </x:c>
      <x:c r="E86" s="43" t="str"/>
      <x:c r="F86" s="46" t="str">
        <x:v>에콰도르 갈라파고스 태양광 발전소 건립사업('10-'16/1,010만불)</x:v>
      </x:c>
      <x:c r="G86" s="46" t="str">
        <x:v>에콰도르 갈라파고스 태양광 발전소 건립사업 사후지원 공사</x:v>
      </x:c>
      <x:c r="H86" s="46" t="str">
        <x:v>Provision of Maintenance Repair Works Equipment for the CIER and CEER Buildings for the project of the Establishment of the Photovoltaic Power Plant in Galapagos-Santa Cruz Island, Ecuador</x:v>
      </x:c>
      <x:c r="I86" s="43" t="str">
        <x:v>기타·미분류</x:v>
      </x:c>
      <x:c r="J86" s="43" t="str">
        <x:v>신축</x:v>
      </x:c>
      <x:c r="K86" s="43" t="str">
        <x:v>공사</x:v>
      </x:c>
      <x:c r="L86" s="43" t="str">
        <x:v>일반경쟁</x:v>
      </x:c>
      <x:c r="M86" s="46" t="str">
        <x:v>적격심사</x:v>
      </x:c>
      <x:c r="N86" s="46" t="str">
        <x:v>$ 142,890
		                    	 (환율 : 1300.1)</x:v>
      </x:c>
      <x:c r="O86" s="46" t="str">
        <x:v>\ 185,758,235</x:v>
      </x:c>
      <x:c r="P86" s="43" t="str">
        <x:v>2024-11-19</x:v>
      </x:c>
      <x:c r="Q86" s="43" t="str">
        <x:v>https://nebid.koica.go.kr/oep/lobi/localBidManageDetail.do?P_LOAZ_BID_PBLANC_NO=L2024-00065&amp;P_PBLANC_ODR=2</x:v>
      </x:c>
    </x:row>
    <x:row r="87">
      <x:c r="A87" s="43" t="str">
        <x:v>L2024-00065-1</x:v>
      </x:c>
      <x:c r="B87" s="43" t="str">
        <x:v>2010-00071</x:v>
      </x:c>
      <x:c r="C87" s="43" t="str">
        <x:v>에콰도르</x:v>
      </x:c>
      <x:c r="D87" s="43" t="str">
        <x:v>Ecuador</x:v>
      </x:c>
      <x:c r="E87" s="43" t="str"/>
      <x:c r="F87" s="46" t="str">
        <x:v>에콰도르 갈라파고스 태양광 발전소 건립사업('10-'16/1,010만불)</x:v>
      </x:c>
      <x:c r="G87" s="46" t="str">
        <x:v>에콰도르 갈라파고스 태양광 발전소 건립사업 사후지원 공사</x:v>
      </x:c>
      <x:c r="H87" s="46" t="str">
        <x:v>Provision of Maintenance Repair Works Equipment for the CIER and CEER Buildings for the project of the Establishment of the Photovoltaic Power Plant in Galapagos-Santa Cruz Island, Ecuador</x:v>
      </x:c>
      <x:c r="I87" s="43" t="str">
        <x:v>기타·미분류</x:v>
      </x:c>
      <x:c r="J87" s="43" t="str">
        <x:v>신축</x:v>
      </x:c>
      <x:c r="K87" s="43" t="str">
        <x:v>공사</x:v>
      </x:c>
      <x:c r="L87" s="43" t="str">
        <x:v>일반경쟁</x:v>
      </x:c>
      <x:c r="M87" s="46" t="str">
        <x:v>적격심사</x:v>
      </x:c>
      <x:c r="N87" s="46" t="str">
        <x:v>$ 142,890
		                    	 (환율 : 1300.1)</x:v>
      </x:c>
      <x:c r="O87" s="46" t="str">
        <x:v>\ 185,758,235</x:v>
      </x:c>
      <x:c r="P87" s="43" t="str">
        <x:v>2024-10-22</x:v>
      </x:c>
      <x:c r="Q87" s="43" t="str">
        <x:v>https://nebid.koica.go.kr/oep/lobi/localBidManageDetail.do?P_LOAZ_BID_PBLANC_NO=L2024-00065&amp;P_PBLANC_ODR=1</x:v>
      </x:c>
    </x:row>
    <x:row r="88">
      <x:c r="A88" s="43" t="str">
        <x:v>L2024-00063-1</x:v>
      </x:c>
      <x:c r="B88" s="43" t="str">
        <x:v>2021-00009</x:v>
      </x:c>
      <x:c r="C88" s="43" t="str">
        <x:v>인도네시아</x:v>
      </x:c>
      <x:c r="D88" s="43" t="str">
        <x:v>Indonesia</x:v>
      </x:c>
      <x:c r="E88" s="43" t="str"/>
      <x:c r="F88" s="46" t="str">
        <x:v>인도네시아 국립대학교 ICT기반 통합지식교육센터 구축 사업('21-'26/985만불)</x:v>
      </x:c>
      <x:c r="G88" s="46" t="str">
        <x:v>인도네시아 국립대학교 ICT기반 통합지식교육센터 신축공사를 위한 시공사  선정</x:v>
      </x:c>
      <x:c r="H88" s="46" t="str">
        <x:v>Bidding for the General Contract for Construction Works of Connectivity Hub Building Development in University Indonesia</x:v>
      </x:c>
      <x:c r="I88" s="43" t="str">
        <x:v>학교·교육시설</x:v>
      </x:c>
      <x:c r="J88" s="43" t="str">
        <x:v>신축</x:v>
      </x:c>
      <x:c r="K88" s="43" t="str">
        <x:v>공사</x:v>
      </x:c>
      <x:c r="L88" s="43" t="str">
        <x:v>일반경쟁</x:v>
      </x:c>
      <x:c r="M88" s="46" t="str">
        <x:v>적격심사</x:v>
      </x:c>
      <x:c r="N88" s="46" t="str">
        <x:v>$ 5,600,000
		                    	 (환율 : 1300)</x:v>
      </x:c>
      <x:c r="O88" s="46" t="str">
        <x:v>\ 7,280,000,000</x:v>
      </x:c>
      <x:c r="P88" s="43" t="str">
        <x:v>2024-10-14</x:v>
      </x:c>
      <x:c r="Q88" s="43" t="str">
        <x:v>https://nebid.koica.go.kr/oep/lobi/localBidManageDetail.do?P_LOAZ_BID_PBLANC_NO=L2024-00063&amp;P_PBLANC_ODR=1</x:v>
      </x:c>
    </x:row>
    <x:row r="89">
      <x:c r="A89" s="43" t="str">
        <x:v>L2024-00062-3</x:v>
      </x:c>
      <x:c r="B89" s="43" t="str">
        <x:v>2020-00048</x:v>
      </x:c>
      <x:c r="C89" s="43" t="str">
        <x:v>세네갈</x:v>
      </x:c>
      <x:c r="D89" s="43" t="str">
        <x:v>Senegal</x:v>
      </x:c>
      <x:c r="E89" s="43" t="str"/>
      <x:c r="F89" s="46" t="str">
        <x:v>세네갈 미곡가치사슬 강화 2차 사업('20-'26/1,100만불)</x:v>
      </x:c>
      <x:c r="G89" s="46" t="str">
        <x:v>세네갈 미곡가치사슬 역량강화 2차사업 미곡종합처리장(RPC)/농기계서비스센터 건축 시공사 선정 현지입찰</x:v>
      </x:c>
      <x:c r="H89" s="46" t="str">
        <x:v>Bidding for the construction of a rice processing center (RPC)/agricultural machinery service center for the PDCVR 2nd project in Senegal</x:v>
      </x:c>
      <x:c r="I89" s="43" t="str">
        <x:v>농업시설</x:v>
      </x:c>
      <x:c r="J89" s="43" t="str">
        <x:v>신축</x:v>
      </x:c>
      <x:c r="K89" s="43" t="str">
        <x:v>공사</x:v>
      </x:c>
      <x:c r="L89" s="43" t="str">
        <x:v>일반경쟁</x:v>
      </x:c>
      <x:c r="M89" s="46" t="str">
        <x:v>적격심사</x:v>
      </x:c>
      <x:c r="N89" s="46" t="str">
        <x:v>$ 1,910,000
		                    	 (환율 : 1300)</x:v>
      </x:c>
      <x:c r="O89" s="46" t="str">
        <x:v>\ 2,483,000,000</x:v>
      </x:c>
      <x:c r="P89" s="43" t="str">
        <x:v>2024-12-31</x:v>
      </x:c>
      <x:c r="Q89" s="43" t="str">
        <x:v>https://nebid.koica.go.kr/oep/lobi/localBidManageDetail.do?P_LOAZ_BID_PBLANC_NO=L2024-00062&amp;P_PBLANC_ODR=3</x:v>
      </x:c>
    </x:row>
    <x:row r="90">
      <x:c r="A90" s="43" t="str">
        <x:v>L2024-00062-2</x:v>
      </x:c>
      <x:c r="B90" s="43" t="str">
        <x:v>2020-00048</x:v>
      </x:c>
      <x:c r="C90" s="43" t="str">
        <x:v>세네갈</x:v>
      </x:c>
      <x:c r="D90" s="43" t="str">
        <x:v>Senegal</x:v>
      </x:c>
      <x:c r="E90" s="43" t="str"/>
      <x:c r="F90" s="46" t="str">
        <x:v>세네갈 미곡가치사슬 강화 2차 사업('20-'26/1,100만불)</x:v>
      </x:c>
      <x:c r="G90" s="46" t="str">
        <x:v>세네갈 미곡가치사슬 역량강화 2차사업 미곡종합처리장(RPC)/농기계서비스센터 건축 시공사 선정 현지입찰</x:v>
      </x:c>
      <x:c r="H90" s="46" t="str">
        <x:v>Bidding for the construction of a rice processing center (RPC)/agricultural machinery service center for the PDCVR 2nd project in Senegal</x:v>
      </x:c>
      <x:c r="I90" s="43" t="str">
        <x:v>농업시설</x:v>
      </x:c>
      <x:c r="J90" s="43" t="str">
        <x:v>신축</x:v>
      </x:c>
      <x:c r="K90" s="43" t="str">
        <x:v>공사</x:v>
      </x:c>
      <x:c r="L90" s="43" t="str">
        <x:v>일반경쟁</x:v>
      </x:c>
      <x:c r="M90" s="46" t="str">
        <x:v>적격심사</x:v>
      </x:c>
      <x:c r="N90" s="46" t="str">
        <x:v>$ 1,910,000
		                    	 (환율 : 1300)</x:v>
      </x:c>
      <x:c r="O90" s="46" t="str">
        <x:v>\ 2,483,000,000</x:v>
      </x:c>
      <x:c r="P90" s="43" t="str">
        <x:v>2024-11-27</x:v>
      </x:c>
      <x:c r="Q90" s="43" t="str">
        <x:v>https://nebid.koica.go.kr/oep/lobi/localBidManageDetail.do?P_LOAZ_BID_PBLANC_NO=L2024-00062&amp;P_PBLANC_ODR=2</x:v>
      </x:c>
    </x:row>
    <x:row r="91">
      <x:c r="A91" s="43" t="str">
        <x:v>L2024-00062-1</x:v>
      </x:c>
      <x:c r="B91" s="43" t="str">
        <x:v>2020-00048</x:v>
      </x:c>
      <x:c r="C91" s="43" t="str">
        <x:v>세네갈</x:v>
      </x:c>
      <x:c r="D91" s="43" t="str">
        <x:v>Senegal</x:v>
      </x:c>
      <x:c r="E91" s="43" t="str"/>
      <x:c r="F91" s="46" t="str">
        <x:v>세네갈 미곡가치사슬 강화 2차 사업('20-'26/1,100만불)</x:v>
      </x:c>
      <x:c r="G91" s="46" t="str">
        <x:v>세네갈 미곡가치사슬 역량강화 2차사업 미곡종합처리장(RPC)/농기계서비스센터 건축 시공사 선정 현지입찰</x:v>
      </x:c>
      <x:c r="H91" s="46" t="str">
        <x:v>Bidding for the construction of a rice processing center (RPC)/agricultural machinery service center for the PDCVR 2nd project in Senegal</x:v>
      </x:c>
      <x:c r="I91" s="43" t="str">
        <x:v>농업시설</x:v>
      </x:c>
      <x:c r="J91" s="43" t="str">
        <x:v>신축</x:v>
      </x:c>
      <x:c r="K91" s="43" t="str">
        <x:v>공사</x:v>
      </x:c>
      <x:c r="L91" s="43" t="str">
        <x:v>일반경쟁</x:v>
      </x:c>
      <x:c r="M91" s="46" t="str">
        <x:v>적격심사</x:v>
      </x:c>
      <x:c r="N91" s="46" t="str">
        <x:v>$ 1,910,000
		                    	 (환율 : 1300)</x:v>
      </x:c>
      <x:c r="O91" s="46" t="str">
        <x:v>\ 2,483,000,000</x:v>
      </x:c>
      <x:c r="P91" s="43" t="str">
        <x:v>2024-10-21</x:v>
      </x:c>
      <x:c r="Q91" s="43" t="str">
        <x:v>https://nebid.koica.go.kr/oep/lobi/localBidManageDetail.do?P_LOAZ_BID_PBLANC_NO=L2024-00062&amp;P_PBLANC_ODR=1</x:v>
      </x:c>
    </x:row>
    <x:row r="92">
      <x:c r="A92" s="43" t="str">
        <x:v>L2024-00056-2</x:v>
      </x:c>
      <x:c r="B92" s="43" t="str">
        <x:v>2023-00067</x:v>
      </x:c>
      <x:c r="C92" s="43" t="str">
        <x:v>코트디부아르</x:v>
      </x:c>
      <x:c r="D92" s="43" t="str">
        <x:v>Côte d’Ivoire</x:v>
      </x:c>
      <x:c r="E92" s="43" t="str"/>
      <x:c r="F92" s="46" t="str">
        <x:v>코트디부아르 펠릭스 우푸에 부아니대학교 ICT 교육역량 강화 및 ICT 혁신센터 설립 사업('23-'27/995만불)</x:v>
      </x:c>
      <x:c r="G92" s="46" t="str">
        <x:v>[긴급] 코트디부아르 펠릭스우푸에부아니대학교 ICT 고등교육 역량강화 및 디지털 교육 개선사업 설계 및 감리용역</x:v>
      </x:c>
      <x:c r="H92" s="46" t="str">
        <x:v>Urgent Design and Construction Supervision of Renovation of PETROCI Building at Felix Houpouet-Boigny University</x:v>
      </x:c>
      <x:c r="I92" s="43" t="str">
        <x:v>학교·교육시설</x:v>
      </x:c>
      <x:c r="J92" s="43" t="str">
        <x:v>리모델링·개보수</x:v>
      </x:c>
      <x:c r="K92" s="43" t="str">
        <x:v>용역</x:v>
      </x:c>
      <x:c r="L92" s="43" t="str">
        <x:v>일반경쟁</x:v>
      </x:c>
      <x:c r="M92" s="46" t="str">
        <x:v>협상에 의한 계약(기술가격종합평가)</x:v>
      </x:c>
      <x:c r="N92" s="46" t="str">
        <x:v>$ 220,000
		                    	 (환율 : 1300)</x:v>
      </x:c>
      <x:c r="O92" s="46" t="str">
        <x:v>\ 286,000,000</x:v>
      </x:c>
      <x:c r="P92" s="43" t="str">
        <x:v>2024-10-14</x:v>
      </x:c>
      <x:c r="Q92" s="43" t="str">
        <x:v>https://nebid.koica.go.kr/oep/lobi/localBidManageDetail.do?P_LOAZ_BID_PBLANC_NO=L2024-00056&amp;P_PBLANC_ODR=2</x:v>
      </x:c>
    </x:row>
    <x:row r="93">
      <x:c r="A93" s="43" t="str">
        <x:v>L2024-00056-1</x:v>
      </x:c>
      <x:c r="B93" s="43" t="str">
        <x:v>2023-00067</x:v>
      </x:c>
      <x:c r="C93" s="43" t="str">
        <x:v>코트디부아르</x:v>
      </x:c>
      <x:c r="D93" s="43" t="str">
        <x:v>Côte d’Ivoire</x:v>
      </x:c>
      <x:c r="E93" s="43" t="str"/>
      <x:c r="F93" s="46" t="str">
        <x:v>코트디부아르 펠릭스 우푸에 부아니대학교 ICT 교육역량 강화 및 ICT 혁신센터 설립 사업('23-'27/995만불)</x:v>
      </x:c>
      <x:c r="G93" s="46" t="str">
        <x:v>[긴급] 코트디부아르 펠릭스우푸에부아니대학교 ICT 고등교육 역량강화 및 디지털 교육 개선사업 설계 및 감리용역</x:v>
      </x:c>
      <x:c r="H93" s="46" t="str">
        <x:v>Urgent Design and Construction Supervision of Renovation of PETROCI Building at Felix Houpouet-Boigny University</x:v>
      </x:c>
      <x:c r="I93" s="43" t="str">
        <x:v>학교·교육시설</x:v>
      </x:c>
      <x:c r="J93" s="43" t="str">
        <x:v>리모델링·개보수</x:v>
      </x:c>
      <x:c r="K93" s="43" t="str">
        <x:v>용역</x:v>
      </x:c>
      <x:c r="L93" s="43" t="str">
        <x:v>일반경쟁</x:v>
      </x:c>
      <x:c r="M93" s="46" t="str">
        <x:v>협상에 의한 계약(기술가격종합평가)</x:v>
      </x:c>
      <x:c r="N93" s="46" t="str">
        <x:v>$ 220,000
		                    	 (환율 : 1300)</x:v>
      </x:c>
      <x:c r="O93" s="46" t="str">
        <x:v>\ 286,000,000</x:v>
      </x:c>
      <x:c r="P93" s="43" t="str">
        <x:v>2024-09-26</x:v>
      </x:c>
      <x:c r="Q93" s="43" t="str">
        <x:v>https://nebid.koica.go.kr/oep/lobi/localBidManageDetail.do?P_LOAZ_BID_PBLANC_NO=L2024-00056&amp;P_PBLANC_ODR=1</x:v>
      </x:c>
    </x:row>
    <x:row r="94">
      <x:c r="A94" s="43" t="str">
        <x:v>L2024-00055-1</x:v>
      </x:c>
      <x:c r="B94" s="43" t="str">
        <x:v>2022-00058</x:v>
      </x:c>
      <x:c r="C94" s="43" t="str">
        <x:v>페루</x:v>
      </x:c>
      <x:c r="D94" s="43" t="str">
        <x:v>Peru</x:v>
      </x:c>
      <x:c r="E94" s="43" t="str"/>
      <x:c r="F94" s="46" t="str">
        <x:v>페루 쿠스코시 폐기물 통합관리체계 구축 및 자원순환 선진화 사업('22-'27/450만불)</x:v>
      </x:c>
      <x:c r="G94" s="46" t="str">
        <x:v>페루 쿠스코시 폐기물 통합관리 및 순환경제 구축사업 퇴비화 시범 플랜트 설계용역</x:v>
      </x:c>
      <x:c r="H94" s="46" t="str">
        <x:v>Establishing Integrated Solid Waste Management and Circular Economy in the Province of Cusco, Peru.  Design Service for Pilot Compost Plant</x:v>
      </x:c>
      <x:c r="I94" s="43" t="str">
        <x:v>상하수·환경시설</x:v>
      </x:c>
      <x:c r="J94" s="43" t="str">
        <x:v>미분류</x:v>
      </x:c>
      <x:c r="K94" s="43" t="str">
        <x:v>용역</x:v>
      </x:c>
      <x:c r="L94" s="43" t="str">
        <x:v>일반경쟁</x:v>
      </x:c>
      <x:c r="M94" s="46" t="str">
        <x:v>협상에 의한 계약(기술가격종합평가)</x:v>
      </x:c>
      <x:c r="N94" s="46" t="str">
        <x:v>$ 52,000</x:v>
      </x:c>
      <x:c r="O94" s="46" t="str"/>
      <x:c r="P94" s="43" t="str">
        <x:v>2024-09-30</x:v>
      </x:c>
      <x:c r="Q94" s="43" t="str">
        <x:v>https://nebid.koica.go.kr/oep/lobi/localBidManageDetail.do?P_LOAZ_BID_PBLANC_NO=L2024-00055&amp;P_PBLANC_ODR=1</x:v>
      </x:c>
    </x:row>
    <x:row r="95">
      <x:c r="A95" s="43" t="str">
        <x:v>L2024-00054-2</x:v>
      </x:c>
      <x:c r="B95" s="43" t="str">
        <x:v>2021-00111</x:v>
      </x:c>
      <x:c r="C95" s="43" t="str">
        <x:v>엘살바도르</x:v>
      </x:c>
      <x:c r="D95" s="43" t="str">
        <x:v>El Salvador</x:v>
      </x:c>
      <x:c r="E95" s="43" t="str"/>
      <x:c r="F95" s="46" t="str">
        <x:v>엘살바도르 ITCA 공학교육역량 강화사업('21-'26/580만불)</x:v>
      </x:c>
      <x:c r="G95" s="46" t="str">
        <x:v>엘살바도르 ITCA 공학교육역량 강화사업 감리사 선정 현지 재입찰</x:v>
      </x:c>
      <x:c r="H95" s="46" t="str">
        <x:v>Supervision Consultant for the Project of Construction of the ITCA Innovation Center for Engineering Education Capacity Enhancement of ITCA-FEPADE, El Salvador</x:v>
      </x:c>
      <x:c r="I95" s="43" t="str">
        <x:v>학교·교육시설</x:v>
      </x:c>
      <x:c r="J95" s="43" t="str">
        <x:v>신축</x:v>
      </x:c>
      <x:c r="K95" s="43" t="str">
        <x:v>용역</x:v>
      </x:c>
      <x:c r="L95" s="43" t="str">
        <x:v>일반경쟁</x:v>
      </x:c>
      <x:c r="M95" s="46" t="str">
        <x:v>협상에 의한 계약(기술가격종합평가)</x:v>
      </x:c>
      <x:c r="N95" s="46" t="str">
        <x:v>$ 76,000</x:v>
      </x:c>
      <x:c r="O95" s="46" t="str"/>
      <x:c r="P95" s="43" t="str">
        <x:v>2024-11-13</x:v>
      </x:c>
      <x:c r="Q95" s="43" t="str">
        <x:v>https://nebid.koica.go.kr/oep/lobi/localBidManageDetail.do?P_LOAZ_BID_PBLANC_NO=L2024-00054&amp;P_PBLANC_ODR=2</x:v>
      </x:c>
    </x:row>
    <x:row r="96">
      <x:c r="A96" s="43" t="str">
        <x:v>L2024-00054-1</x:v>
      </x:c>
      <x:c r="B96" s="43" t="str">
        <x:v>2021-00111</x:v>
      </x:c>
      <x:c r="C96" s="43" t="str">
        <x:v>엘살바도르</x:v>
      </x:c>
      <x:c r="D96" s="43" t="str">
        <x:v>El Salvador</x:v>
      </x:c>
      <x:c r="E96" s="43" t="str"/>
      <x:c r="F96" s="46" t="str">
        <x:v>엘살바도르 ITCA 공학교육역량 강화사업('21-'26/580만불)</x:v>
      </x:c>
      <x:c r="G96" s="46" t="str">
        <x:v>엘살바도르 ITCA 공학교육역량 강화사업 감리사 선정 현지입찰</x:v>
      </x:c>
      <x:c r="H96" s="46" t="str">
        <x:v>Supervision Consultant for the Project of Construction of the ITCA Innovation Center for Engineering Education Capacity Enhancement of ITCA-FEPADE, El Salvador</x:v>
      </x:c>
      <x:c r="I96" s="43" t="str">
        <x:v>학교·교육시설</x:v>
      </x:c>
      <x:c r="J96" s="43" t="str">
        <x:v>신축</x:v>
      </x:c>
      <x:c r="K96" s="43" t="str">
        <x:v>용역</x:v>
      </x:c>
      <x:c r="L96" s="43" t="str">
        <x:v>일반경쟁</x:v>
      </x:c>
      <x:c r="M96" s="46" t="str">
        <x:v>협상에 의한 계약(기술가격종합평가)</x:v>
      </x:c>
      <x:c r="N96" s="46" t="str">
        <x:v>$ 76,000</x:v>
      </x:c>
      <x:c r="O96" s="46" t="str"/>
      <x:c r="P96" s="43" t="str">
        <x:v>2024-09-23</x:v>
      </x:c>
      <x:c r="Q96" s="43" t="str">
        <x:v>https://nebid.koica.go.kr/oep/lobi/localBidManageDetail.do?P_LOAZ_BID_PBLANC_NO=L2024-00054&amp;P_PBLANC_ODR=1</x:v>
      </x:c>
    </x:row>
    <x:row r="97">
      <x:c r="A97" s="43" t="str">
        <x:v>L2024-00053-1</x:v>
      </x:c>
      <x:c r="B97" s="43" t="str">
        <x:v>2022-00079</x:v>
      </x:c>
      <x:c r="C97" s="43" t="str">
        <x:v>인도네시아</x:v>
      </x:c>
      <x:c r="D97" s="43" t="str">
        <x:v>Indonesia</x:v>
      </x:c>
      <x:c r="E97" s="43" t="str"/>
      <x:c r="F97" s="46" t="str">
        <x:v>인도네시아 사이버보안 전문인력양성 역량강화사업('22-'27/740만불)</x:v>
      </x:c>
      <x:c r="G97" s="46" t="str">
        <x:v>인도네시아 사이버보안 훈련센터 신축 시공사 선정 입찰</x:v>
      </x:c>
      <x:c r="H97" s="46" t="str">
        <x:v>Construction Works for Cyber Security Vocational Center of PSSN in Indonesia</x:v>
      </x:c>
      <x:c r="I97" s="43" t="str">
        <x:v>산업·직업훈련시설</x:v>
      </x:c>
      <x:c r="J97" s="43" t="str">
        <x:v>신축</x:v>
      </x:c>
      <x:c r="K97" s="43" t="str">
        <x:v>공사</x:v>
      </x:c>
      <x:c r="L97" s="43" t="str">
        <x:v>일반경쟁</x:v>
      </x:c>
      <x:c r="M97" s="46" t="str">
        <x:v>적격심사</x:v>
      </x:c>
      <x:c r="N97" s="46" t="str">
        <x:v>$ 2,237,000</x:v>
      </x:c>
      <x:c r="O97" s="46" t="str"/>
      <x:c r="P97" s="43" t="str">
        <x:v>2024-09-30</x:v>
      </x:c>
      <x:c r="Q97" s="43" t="str">
        <x:v>https://nebid.koica.go.kr/oep/lobi/localBidManageDetail.do?P_LOAZ_BID_PBLANC_NO=L2024-00053&amp;P_PBLANC_ODR=1</x:v>
      </x:c>
    </x:row>
    <x:row r="98">
      <x:c r="A98" s="43" t="str">
        <x:v>L2024-00052-1</x:v>
      </x:c>
      <x:c r="B98" s="43" t="str">
        <x:v>2021-00156</x:v>
      </x:c>
      <x:c r="C98" s="43" t="str">
        <x:v>인도네시아</x:v>
      </x:c>
      <x:c r="D98" s="43" t="str">
        <x:v>Indonesia</x:v>
      </x:c>
      <x:c r="E98" s="43" t="str"/>
      <x:c r="F98" s="46" t="str">
        <x:v>인도네시아 보고르대학교 농업생명과학연구센터 역량강화 사업('21-'28/1,100만불)</x:v>
      </x:c>
      <x:c r="G98" s="46" t="str">
        <x:v>인도네시아 보고르대학교 첨단 연구실험센터 설계 및 시공감리 용역업체 선정</x:v>
      </x:c>
      <x:c r="H98" s="46" t="str">
        <x:v>Design and Construction Supervision Consultant Services for New Advanced Research Laboratory Center of IPB University in Indonesia</x:v>
      </x:c>
      <x:c r="I98" s="43" t="str">
        <x:v>학교·교육시설</x:v>
      </x:c>
      <x:c r="J98" s="43" t="str">
        <x:v>미분류</x:v>
      </x:c>
      <x:c r="K98" s="43" t="str">
        <x:v>용역</x:v>
      </x:c>
      <x:c r="L98" s="43" t="str">
        <x:v>일반경쟁</x:v>
      </x:c>
      <x:c r="M98" s="46" t="str">
        <x:v>협상에 의한 계약(기술가격종합평가)</x:v>
      </x:c>
      <x:c r="N98" s="46" t="str"/>
      <x:c r="O98" s="46" t="str"/>
      <x:c r="P98" s="43" t="str">
        <x:v>2024-09-24</x:v>
      </x:c>
      <x:c r="Q98" s="43" t="str">
        <x:v>https://nebid.koica.go.kr/oep/lobi/localBidManageDetail.do?P_LOAZ_BID_PBLANC_NO=L2024-00052&amp;P_PBLANC_ODR=1</x:v>
      </x:c>
    </x:row>
    <x:row r="99">
      <x:c r="A99" s="43" t="str">
        <x:v>L2024-00050-1</x:v>
      </x:c>
      <x:c r="B99" s="43" t="str">
        <x:v>2021-00042</x:v>
      </x:c>
      <x:c r="C99" s="43" t="str">
        <x:v>우간다</x:v>
      </x:c>
      <x:c r="D99" s="43" t="str">
        <x:v>Uganda</x:v>
      </x:c>
      <x:c r="E99" s="43" t="str"/>
      <x:c r="F99" s="46" t="str">
        <x:v>우간다 농업지도자 연수원 자립적 운영체계 구축 및 연수역량 강화사업('21-'28/1,200만불)</x:v>
      </x:c>
      <x:c r="G99" s="46" t="str">
        <x:v>우간다 농업지도자 연수원 자립적 운영체계구축 및 연수역량 강화사업 공사</x:v>
      </x:c>
      <x:c r="H99" s="46" t="str">
        <x:v>Institutional Capacity Support to the National Farmers Leadership Center(NFLC) - Construction of Training Complex in NFLC, Mpigi District</x:v>
      </x:c>
      <x:c r="I99" s="43" t="str">
        <x:v>농업시설</x:v>
      </x:c>
      <x:c r="J99" s="43" t="str">
        <x:v>신축</x:v>
      </x:c>
      <x:c r="K99" s="43" t="str">
        <x:v>공사</x:v>
      </x:c>
      <x:c r="L99" s="43" t="str">
        <x:v>일반경쟁</x:v>
      </x:c>
      <x:c r="M99" s="46" t="str">
        <x:v>적격심사</x:v>
      </x:c>
      <x:c r="N99" s="46" t="str">
        <x:v>$ 3,910,000</x:v>
      </x:c>
      <x:c r="O99" s="46" t="str"/>
      <x:c r="P99" s="43" t="str">
        <x:v>2024-09-16</x:v>
      </x:c>
      <x:c r="Q99" s="43" t="str">
        <x:v>https://nebid.koica.go.kr/oep/lobi/localBidManageDetail.do?P_LOAZ_BID_PBLANC_NO=L2024-00050&amp;P_PBLANC_ODR=1</x:v>
      </x:c>
    </x:row>
    <x:row r="100">
      <x:c r="A100" s="43" t="str">
        <x:v>L2024-00049-2</x:v>
      </x:c>
      <x:c r="B100" s="43" t="str">
        <x:v>2021-00111</x:v>
      </x:c>
      <x:c r="C100" s="43" t="str">
        <x:v>엘살바도르</x:v>
      </x:c>
      <x:c r="D100" s="43" t="str">
        <x:v>El Salvador</x:v>
      </x:c>
      <x:c r="E100" s="43" t="str"/>
      <x:c r="F100" s="46" t="str">
        <x:v>엘살바도르 ITCA 공학교육역량 강화사업('21-'26/580만불)</x:v>
      </x:c>
      <x:c r="G100" s="46" t="str">
        <x:v>엘살바도르 ITCA 공학교육역량 강화사업 시공사 선정 현지 재입찰</x:v>
      </x:c>
      <x:c r="H100" s="46" t="str">
        <x:v>Construction of the ITCA Innovation Center for Engineering Education Capacity Enhancement of ITCA-FEPADE, El Salvador</x:v>
      </x:c>
      <x:c r="I100" s="43" t="str">
        <x:v>학교·교육시설</x:v>
      </x:c>
      <x:c r="J100" s="43" t="str">
        <x:v>신축</x:v>
      </x:c>
      <x:c r="K100" s="43" t="str">
        <x:v>공사</x:v>
      </x:c>
      <x:c r="L100" s="43" t="str">
        <x:v>일반경쟁</x:v>
      </x:c>
      <x:c r="M100" s="46" t="str">
        <x:v>적격심사</x:v>
      </x:c>
      <x:c r="N100" s="46" t="str">
        <x:v>$ 965,000</x:v>
      </x:c>
      <x:c r="O100" s="46" t="str"/>
      <x:c r="P100" s="43" t="str">
        <x:v>2024-11-01</x:v>
      </x:c>
      <x:c r="Q100" s="43" t="str">
        <x:v>https://nebid.koica.go.kr/oep/lobi/localBidManageDetail.do?P_LOAZ_BID_PBLANC_NO=L2024-00049&amp;P_PBLANC_ODR=2</x:v>
      </x:c>
    </x:row>
    <x:row r="101">
      <x:c r="A101" s="43" t="str">
        <x:v>L2024-00049-1</x:v>
      </x:c>
      <x:c r="B101" s="43" t="str">
        <x:v>2021-00111</x:v>
      </x:c>
      <x:c r="C101" s="43" t="str">
        <x:v>엘살바도르</x:v>
      </x:c>
      <x:c r="D101" s="43" t="str">
        <x:v>El Salvador</x:v>
      </x:c>
      <x:c r="E101" s="43" t="str"/>
      <x:c r="F101" s="46" t="str">
        <x:v>엘살바도르 ITCA 공학교육역량 강화사업('21-'26/580만불)</x:v>
      </x:c>
      <x:c r="G101" s="46" t="str">
        <x:v>엘살바도르 ITCA 공학교육역량 강화사업 시공사 선정 현지입찰</x:v>
      </x:c>
      <x:c r="H101" s="46" t="str">
        <x:v>Construction of the ITCA Innovation Center for Engineering Education Capacity Enhancement of ITCA-FEPADE, El Salvador</x:v>
      </x:c>
      <x:c r="I101" s="43" t="str">
        <x:v>학교·교육시설</x:v>
      </x:c>
      <x:c r="J101" s="43" t="str">
        <x:v>신축</x:v>
      </x:c>
      <x:c r="K101" s="43" t="str">
        <x:v>공사</x:v>
      </x:c>
      <x:c r="L101" s="43" t="str">
        <x:v>일반경쟁</x:v>
      </x:c>
      <x:c r="M101" s="46" t="str">
        <x:v>적격심사</x:v>
      </x:c>
      <x:c r="N101" s="46" t="str">
        <x:v>$ 965,000</x:v>
      </x:c>
      <x:c r="O101" s="46" t="str"/>
      <x:c r="P101" s="43" t="str">
        <x:v>2024-09-09</x:v>
      </x:c>
      <x:c r="Q101" s="43" t="str">
        <x:v>https://nebid.koica.go.kr/oep/lobi/localBidManageDetail.do?P_LOAZ_BID_PBLANC_NO=L2024-00049&amp;P_PBLANC_ODR=1</x:v>
      </x:c>
    </x:row>
    <x:row r="102">
      <x:c r="A102" s="43" t="str">
        <x:v>L2024-00048-1</x:v>
      </x:c>
      <x:c r="B102" s="43" t="str">
        <x:v>2023-00067</x:v>
      </x:c>
      <x:c r="C102" s="43" t="str">
        <x:v>코트디부아르</x:v>
      </x:c>
      <x:c r="D102" s="43" t="str">
        <x:v>Côte d’Ivoire</x:v>
      </x:c>
      <x:c r="E102" s="43" t="str"/>
      <x:c r="F102" s="46" t="str">
        <x:v>코트디부아르 펠릭스 우푸에 부아니대학교 ICT 교육역량 강화 및 ICT 혁신센터 설립 사업('23-'27/995만불)</x:v>
      </x:c>
      <x:c r="G102" s="46" t="str">
        <x:v>코트디부아르 펠릭스우푸에부아니대학교 ICT 고등교육 역량강화 및 디지털 교육 개선사업 설계 및 감리용역</x:v>
      </x:c>
      <x:c r="H102" s="46" t="str">
        <x:v>Design and Construction Supervision of Renovation of PETROCI Building at Felix Houpouet-Boigny University</x:v>
      </x:c>
      <x:c r="I102" s="43" t="str">
        <x:v>학교·교육시설</x:v>
      </x:c>
      <x:c r="J102" s="43" t="str">
        <x:v>리모델링·개보수</x:v>
      </x:c>
      <x:c r="K102" s="43" t="str">
        <x:v>용역</x:v>
      </x:c>
      <x:c r="L102" s="43" t="str">
        <x:v>일반경쟁</x:v>
      </x:c>
      <x:c r="M102" s="46" t="str">
        <x:v>협상에 의한 계약(기술가격종합평가)</x:v>
      </x:c>
      <x:c r="N102" s="46" t="str">
        <x:v>$ 220,000
		                    	 (환율 : 1300)</x:v>
      </x:c>
      <x:c r="O102" s="46" t="str">
        <x:v>\ 286,000,000</x:v>
      </x:c>
      <x:c r="P102" s="43" t="str">
        <x:v>2024-08-30</x:v>
      </x:c>
      <x:c r="Q102" s="43" t="str">
        <x:v>https://nebid.koica.go.kr/oep/lobi/localBidManageDetail.do?P_LOAZ_BID_PBLANC_NO=L2024-00048&amp;P_PBLANC_ODR=1</x:v>
      </x:c>
    </x:row>
    <x:row r="103">
      <x:c r="A103" s="43" t="str">
        <x:v>L2024-00042-1</x:v>
      </x:c>
      <x:c r="B103" s="43" t="str">
        <x:v>2021-00152</x:v>
      </x:c>
      <x:c r="C103" s="43" t="str">
        <x:v>라오스</x:v>
      </x:c>
      <x:c r="D103" s="43" t="str">
        <x:v>Laos</x:v>
      </x:c>
      <x:c r="E103" s="43" t="str"/>
      <x:c r="F103" s="46" t="str">
        <x:v>라오스 8번 국도(아시안 하이웨이 15) 교량과 도로안전 기능개선 및 역량강화 사업('21-'25/1,300만불)</x:v>
      </x:c>
      <x:c r="G103" s="46" t="str">
        <x:v>라오스 8번 국도(AH15) 교량과 도로안전 개선사업 시공업체 선정</x:v>
      </x:c>
      <x:c r="H103" s="46" t="str">
        <x:v>Construction Works for Upgrading Bridges and Road Safety  on National Road No.8 (AH15) in Lao PDR</x:v>
      </x:c>
      <x:c r="I103" s="43" t="str">
        <x:v>기타·미분류</x:v>
      </x:c>
      <x:c r="J103" s="43" t="str">
        <x:v>미분류</x:v>
      </x:c>
      <x:c r="K103" s="43" t="str">
        <x:v>공사</x:v>
      </x:c>
      <x:c r="L103" s="43" t="str">
        <x:v>일반경쟁</x:v>
      </x:c>
      <x:c r="M103" s="46" t="str">
        <x:v>적격심사</x:v>
      </x:c>
      <x:c r="N103" s="46" t="str">
        <x:v>$ 9,406,500
		                    	 (환율 : 1300)</x:v>
      </x:c>
      <x:c r="O103" s="46" t="str">
        <x:v>\ 12,228,450,000</x:v>
      </x:c>
      <x:c r="P103" s="43" t="str">
        <x:v>2024-07-24</x:v>
      </x:c>
      <x:c r="Q103" s="43" t="str">
        <x:v>https://nebid.koica.go.kr/oep/lobi/localBidManageDetail.do?P_LOAZ_BID_PBLANC_NO=L2024-00042&amp;P_PBLANC_ODR=1</x:v>
      </x:c>
    </x:row>
    <x:row r="104">
      <x:c r="A104" s="43" t="str">
        <x:v>L2024-00041-1</x:v>
      </x:c>
      <x:c r="B104" s="43" t="str">
        <x:v>2023-00030</x:v>
      </x:c>
      <x:c r="C104" s="43" t="str">
        <x:v>키르기즈</x:v>
      </x:c>
      <x:c r="D104" s="43" t="str">
        <x:v>Kyrgyzstan</x:v>
      </x:c>
      <x:c r="E104" s="43" t="str"/>
      <x:c r="F104" s="46" t="str">
        <x:v>키르기스스탄 가축 품종개량 및 인공수정인력 역량강화사업('23-'27/750만불)</x:v>
      </x:c>
      <x:c r="G104" s="46" t="str">
        <x:v>키르기즈공화국 가축 품종개량 및 인공수정인력 역량강화사업 연수센터 신축, 바이오센터 리모델링 설계 및 저작권감리용역</x:v>
      </x:c>
      <x:c r="H104" s="46" t="str">
        <x:v>The Design and Author Supervision Services for the Construction of Training Center and remodeling of bio-center for The Project for Genetic Improvement of Beef and Dairy Cattle and Capacity Building for the Veterinarians in the kyrgyz Repulicin Chuy Oblast, Kyrgyz Republic</x:v>
      </x:c>
      <x:c r="I104" s="43" t="str">
        <x:v>학교·교육시설</x:v>
      </x:c>
      <x:c r="J104" s="43" t="str">
        <x:v>리모델링·개보수</x:v>
      </x:c>
      <x:c r="K104" s="43" t="str">
        <x:v>용역</x:v>
      </x:c>
      <x:c r="L104" s="43" t="str">
        <x:v>일반경쟁</x:v>
      </x:c>
      <x:c r="M104" s="46" t="str">
        <x:v>협상에 의한 계약(기술가격종합평가)</x:v>
      </x:c>
      <x:c r="N104" s="46" t="str">
        <x:v>$ 166,600
		                    	 (환율 : 1300)</x:v>
      </x:c>
      <x:c r="O104" s="46" t="str">
        <x:v>\ 216,580,000</x:v>
      </x:c>
      <x:c r="P104" s="43" t="str">
        <x:v>2024-06-18</x:v>
      </x:c>
      <x:c r="Q104" s="43" t="str">
        <x:v>https://nebid.koica.go.kr/oep/lobi/localBidManageDetail.do?P_LOAZ_BID_PBLANC_NO=L2024-00041&amp;P_PBLANC_ODR=1</x:v>
      </x:c>
    </x:row>
    <x:row r="105">
      <x:c r="A105" s="43" t="str">
        <x:v>L2024-00039-1</x:v>
      </x:c>
      <x:c r="B105" s="43" t="str">
        <x:v>2014-00016</x:v>
      </x:c>
      <x:c r="C105" s="43" t="str">
        <x:v>이라크</x:v>
      </x:c>
      <x:c r="D105" s="43" t="str">
        <x:v>Iraq</x:v>
      </x:c>
      <x:c r="E105" s="43" t="str"/>
      <x:c r="F105" s="46" t="str">
        <x:v>이라크 한-이라크 직업훈련원 2차 지원사업('14-'25/541만불)</x:v>
      </x:c>
      <x:c r="G105" s="46" t="str">
        <x:v>한-이라크 직업훈련원 2차 지원사업 리노베이션 시공업체선정 현지입찰</x:v>
      </x:c>
      <x:c r="H105" s="46" t="str">
        <x:v>Selection of the Renovation Construction Contractor of the 2nd Project for Supporting the Korea-Iraq Vocational Training Center in Iraq, Baghdad Iraq</x:v>
      </x:c>
      <x:c r="I105" s="43" t="str">
        <x:v>학교·교육시설</x:v>
      </x:c>
      <x:c r="J105" s="43" t="str">
        <x:v>리모델링·개보수</x:v>
      </x:c>
      <x:c r="K105" s="43" t="str">
        <x:v>공사</x:v>
      </x:c>
      <x:c r="L105" s="43" t="str">
        <x:v>일반경쟁</x:v>
      </x:c>
      <x:c r="M105" s="46" t="str">
        <x:v>적격심사</x:v>
      </x:c>
      <x:c r="N105" s="46" t="str">
        <x:v>$ 1,811,491</x:v>
      </x:c>
      <x:c r="O105" s="46" t="str"/>
      <x:c r="P105" s="43" t="str">
        <x:v>2024-05-12</x:v>
      </x:c>
      <x:c r="Q105" s="43" t="str">
        <x:v>https://nebid.koica.go.kr/oep/lobi/localBidManageDetail.do?P_LOAZ_BID_PBLANC_NO=L2024-00039&amp;P_PBLANC_ODR=1</x:v>
      </x:c>
    </x:row>
    <x:row r="106">
      <x:c r="A106" s="43" t="str">
        <x:v>L2024-00036-1</x:v>
      </x:c>
      <x:c r="B106" s="43" t="str">
        <x:v>2021-00097</x:v>
      </x:c>
      <x:c r="C106" s="43" t="str">
        <x:v>피지</x:v>
      </x:c>
      <x:c r="D106" s="43" t="str">
        <x:v>Fiji</x:v>
      </x:c>
      <x:c r="E106" s="43" t="str"/>
      <x:c r="F106" s="46" t="str">
        <x:v>피지 농업공존형 태양광 발전사업(GCF)('21-'25/800만불)</x:v>
      </x:c>
      <x:c r="G106" s="46" t="str">
        <x:v>피지 농업공존형 태양광 발전사업 영농기술센터 및 농기자재 보관창고 신축 시공사 선정 입찰</x:v>
      </x:c>
      <x:c r="H106" s="46" t="str">
        <x:v>Construction Works for the Agriculture Research Center  Machinery Storage in Ovalau for KOICA Fiji Agrophotovoltaic Programme</x:v>
      </x:c>
      <x:c r="I106" s="43" t="str">
        <x:v>농업시설</x:v>
      </x:c>
      <x:c r="J106" s="43" t="str">
        <x:v>신축</x:v>
      </x:c>
      <x:c r="K106" s="43" t="str">
        <x:v>공사</x:v>
      </x:c>
      <x:c r="L106" s="43" t="str">
        <x:v>일반경쟁</x:v>
      </x:c>
      <x:c r="M106" s="46" t="str">
        <x:v>적격심사</x:v>
      </x:c>
      <x:c r="N106" s="46" t="str">
        <x:v>$ 1,337,298</x:v>
      </x:c>
      <x:c r="O106" s="46" t="str"/>
      <x:c r="P106" s="43" t="str">
        <x:v>2024-06-29</x:v>
      </x:c>
      <x:c r="Q106" s="43" t="str">
        <x:v>https://nebid.koica.go.kr/oep/lobi/localBidManageDetail.do?P_LOAZ_BID_PBLANC_NO=L2024-00036&amp;P_PBLANC_ODR=1</x:v>
      </x:c>
    </x:row>
    <x:row r="107">
      <x:c r="A107" s="43" t="str">
        <x:v>L2024-00035-1</x:v>
      </x:c>
      <x:c r="B107" s="43" t="str">
        <x:v>2021-00126</x:v>
      </x:c>
      <x:c r="C107" s="43" t="str">
        <x:v>케냐</x:v>
      </x:c>
      <x:c r="D107" s="43" t="str">
        <x:v>Kenya</x:v>
      </x:c>
      <x:c r="E107" s="43" t="str"/>
      <x:c r="F107" s="46" t="str">
        <x:v>케냐 카지아도주 보건시스템 강화를 통한 모성 및 신생아 보건 개선 사업('21-'26/605만불)</x:v>
      </x:c>
      <x:c r="G107" s="46" t="str">
        <x:v>케냐 카지아도주 보건시스템 강화를 위한 모성 및 신생아 보건 개선사업 설계 및 감리용역</x:v>
      </x:c>
      <x:c r="H107" s="46" t="str">
        <x:v>Design and Construction Supervision Services for Improving maternal and child health through health system strengthening Project in Kenya</x:v>
      </x:c>
      <x:c r="I107" s="43" t="str">
        <x:v>기타·미분류</x:v>
      </x:c>
      <x:c r="J107" s="43" t="str">
        <x:v>미분류</x:v>
      </x:c>
      <x:c r="K107" s="43" t="str">
        <x:v>용역</x:v>
      </x:c>
      <x:c r="L107" s="43" t="str">
        <x:v>일반경쟁</x:v>
      </x:c>
      <x:c r="M107" s="46" t="str">
        <x:v>협상에 의한 계약(기술가격종합평가)</x:v>
      </x:c>
      <x:c r="N107" s="46" t="str">
        <x:v>$ 57,500</x:v>
      </x:c>
      <x:c r="O107" s="46" t="str"/>
      <x:c r="P107" s="43" t="str">
        <x:v>2024-06-28</x:v>
      </x:c>
      <x:c r="Q107" s="43" t="str">
        <x:v>https://nebid.koica.go.kr/oep/lobi/localBidManageDetail.do?P_LOAZ_BID_PBLANC_NO=L2024-00035&amp;P_PBLANC_ODR=1</x:v>
      </x:c>
    </x:row>
    <x:row r="108">
      <x:c r="A108" s="43" t="str">
        <x:v>L2024-00031-1</x:v>
      </x:c>
      <x:c r="B108" s="43" t="str">
        <x:v>2022-00009</x:v>
      </x:c>
      <x:c r="C108" s="43" t="str">
        <x:v>네팔</x:v>
      </x:c>
      <x:c r="D108" s="43" t="str">
        <x:v>Nepal</x:v>
      </x:c>
      <x:c r="E108" s="43" t="str"/>
      <x:c r="F108" s="46" t="str">
        <x:v>네팔 박타푸르 취약지역의 빈곤층 건강수준 향상을 위한 역량강화 및 의료인프라 개선사업 ('22-'27/950만불)</x:v>
      </x:c>
      <x:c r="G108" s="46" t="str">
        <x:v>네팔 박타푸르 취약지역의 빈곤층 건강수준 향상을 위한 역량강화 및 의료인프라 개선사업</x:v>
      </x:c>
      <x:c r="H108" s="46" t="str">
        <x:v>the Project for Capability Building of Medical Service to achieve Universal Health Coverage for the poor in vulnerable area in Bhaktapur, Nepal</x:v>
      </x:c>
      <x:c r="I108" s="43" t="str">
        <x:v>기타·미분류</x:v>
      </x:c>
      <x:c r="J108" s="43" t="str">
        <x:v>미분류</x:v>
      </x:c>
      <x:c r="K108" s="43" t="str">
        <x:v>공사</x:v>
      </x:c>
      <x:c r="L108" s="43" t="str">
        <x:v>일반경쟁</x:v>
      </x:c>
      <x:c r="M108" s="46" t="str">
        <x:v>적격심사</x:v>
      </x:c>
      <x:c r="N108" s="46" t="str">
        <x:v>$ 4,653,720</x:v>
      </x:c>
      <x:c r="O108" s="46" t="str"/>
      <x:c r="P108" s="43" t="str">
        <x:v>2024-05-29</x:v>
      </x:c>
      <x:c r="Q108" s="43" t="str">
        <x:v>https://nebid.koica.go.kr/oep/lobi/localBidManageDetail.do?P_LOAZ_BID_PBLANC_NO=L2024-00031&amp;P_PBLANC_ODR=1</x:v>
      </x:c>
    </x:row>
    <x:row r="109">
      <x:c r="A109" s="43" t="str">
        <x:v>L2024-00024-1</x:v>
      </x:c>
      <x:c r="B109" s="43" t="str">
        <x:v>2020-00023</x:v>
      </x:c>
      <x:c r="C109" s="43" t="str">
        <x:v>라오스</x:v>
      </x:c>
      <x:c r="D109" s="43" t="str">
        <x:v>Laos</x:v>
      </x:c>
      <x:c r="E109" s="43" t="str"/>
      <x:c r="F109" s="46" t="str">
        <x:v>라오스 남부 3개주 농촌개발 사업('20-'25/900만불)</x:v>
      </x:c>
      <x:c r="G109" s="46" t="str">
        <x:v>라오스 남부 3개주 농촌개발사업  남부농업기술훈련원 건축 설계 및 시공감리 용역</x:v>
      </x:c>
      <x:c r="H109" s="46" t="str">
        <x:v>Design and Supervision for Construction of  Southern Agricultural Training Center (SATC) In Lak 35 village (Paksong) District, Champasak province, Lao PDR</x:v>
      </x:c>
      <x:c r="I109" s="43" t="str">
        <x:v>학교·교육시설</x:v>
      </x:c>
      <x:c r="J109" s="43" t="str">
        <x:v>신축</x:v>
      </x:c>
      <x:c r="K109" s="43" t="str">
        <x:v>용역</x:v>
      </x:c>
      <x:c r="L109" s="43" t="str">
        <x:v>일반경쟁</x:v>
      </x:c>
      <x:c r="M109" s="46" t="str">
        <x:v>협상에 의한 계약(기술가격종합평가)</x:v>
      </x:c>
      <x:c r="N109" s="46" t="str">
        <x:v>$ 65,000
		                    	 (환율 : 1300)</x:v>
      </x:c>
      <x:c r="O109" s="46" t="str">
        <x:v>\ 84,500,000</x:v>
      </x:c>
      <x:c r="P109" s="43" t="str">
        <x:v>2024-05-21</x:v>
      </x:c>
      <x:c r="Q109" s="43" t="str">
        <x:v>https://nebid.koica.go.kr/oep/lobi/localBidManageDetail.do?P_LOAZ_BID_PBLANC_NO=L2024-00024&amp;P_PBLANC_ODR=1</x:v>
      </x:c>
    </x:row>
    <x:row r="110">
      <x:c r="A110" s="43" t="str">
        <x:v>L2024-00022-1</x:v>
      </x:c>
      <x:c r="B110" s="43" t="str">
        <x:v>2022-00048</x:v>
      </x:c>
      <x:c r="C110" s="43" t="str">
        <x:v>몽골</x:v>
      </x:c>
      <x:c r="D110" s="43" t="str">
        <x:v>Mongolia</x:v>
      </x:c>
      <x:c r="E110" s="43" t="str"/>
      <x:c r="F110" s="46" t="str">
        <x:v>몽골 초중고등학교 급식환경 개선 및 역량강화 사업 ('22-'26/800만불)</x:v>
      </x:c>
      <x:c r="G110" s="46" t="str">
        <x:v>몽골 초중고등학교 급식환경 개선 및 역량강화사업 설계업체 선정</x:v>
      </x:c>
      <x:c r="H110" s="46" t="str">
        <x:v>Contract for Design Services of the renovation for the project to improve the school Meal Environment and Build Capacity for Elementary, Middle and High Schools in Mongolia</x:v>
      </x:c>
      <x:c r="I110" s="43" t="str">
        <x:v>학교·교육시설</x:v>
      </x:c>
      <x:c r="J110" s="43" t="str">
        <x:v>리모델링·개보수</x:v>
      </x:c>
      <x:c r="K110" s="43" t="str">
        <x:v>용역</x:v>
      </x:c>
      <x:c r="L110" s="43" t="str">
        <x:v>조달위탁</x:v>
      </x:c>
      <x:c r="M110" s="46" t="str">
        <x:v>최저가</x:v>
      </x:c>
      <x:c r="N110" s="46" t="str"/>
      <x:c r="O110" s="46" t="str"/>
      <x:c r="P110" s="43" t="str">
        <x:v>2023-11-02</x:v>
      </x:c>
      <x:c r="Q110" s="43" t="str">
        <x:v>https://nebid.koica.go.kr/oep/lobi/localBidManageDetail.do?P_LOAZ_BID_PBLANC_NO=L2024-00022&amp;P_PBLANC_ODR=1</x:v>
      </x:c>
    </x:row>
    <x:row r="111">
      <x:c r="A111" s="43" t="str">
        <x:v>L2024-00021-1</x:v>
      </x:c>
      <x:c r="B111" s="43" t="str">
        <x:v>2022-00048</x:v>
      </x:c>
      <x:c r="C111" s="43" t="str">
        <x:v>몽골</x:v>
      </x:c>
      <x:c r="D111" s="43" t="str">
        <x:v>Mongolia</x:v>
      </x:c>
      <x:c r="E111" s="43" t="str"/>
      <x:c r="F111" s="46" t="str">
        <x:v>몽골 초중고등학교 급식환경 개선 및 역량강화 사업 ('22-'26/800만불)</x:v>
      </x:c>
      <x:c r="G111" s="46" t="str">
        <x:v>몽골 초중고등학교 급식환경 개선 및 역량강화사업 설계업체 선정</x:v>
      </x:c>
      <x:c r="H111" s="46" t="str">
        <x:v>Contract for Design Services of the renovation for the project to improve the school Meal Environment and Build Capacity for Elementary, Middle and High Schools in Mongolia</x:v>
      </x:c>
      <x:c r="I111" s="43" t="str">
        <x:v>학교·교육시설</x:v>
      </x:c>
      <x:c r="J111" s="43" t="str">
        <x:v>리모델링·개보수</x:v>
      </x:c>
      <x:c r="K111" s="43" t="str">
        <x:v>용역</x:v>
      </x:c>
      <x:c r="L111" s="43" t="str">
        <x:v>조달위탁</x:v>
      </x:c>
      <x:c r="M111" s="46" t="str">
        <x:v>협상에 의한 계약(기술가격종합평가)</x:v>
      </x:c>
      <x:c r="N111" s="46" t="str"/>
      <x:c r="O111" s="46" t="str"/>
      <x:c r="P111" s="43" t="str">
        <x:v>2023-11-20</x:v>
      </x:c>
      <x:c r="Q111" s="43" t="str">
        <x:v>https://nebid.koica.go.kr/oep/lobi/localBidManageDetail.do?P_LOAZ_BID_PBLANC_NO=L2024-00021&amp;P_PBLANC_ODR=1</x:v>
      </x:c>
    </x:row>
    <x:row r="112">
      <x:c r="A112" s="43" t="str">
        <x:v>L2024-00018-1</x:v>
      </x:c>
      <x:c r="B112" s="43" t="str">
        <x:v>2022-00011</x:v>
      </x:c>
      <x:c r="C112" s="43" t="str">
        <x:v>파라과이</x:v>
      </x:c>
      <x:c r="D112" s="43" t="str">
        <x:v>Paraguay</x:v>
      </x:c>
      <x:c r="E112" s="43" t="str"/>
      <x:c r="F112" s="46" t="str">
        <x:v>파라과이 아순시온 국립대학 ICT 혁신센터 설립을 통한 ICT 경쟁력 강화 사업('22-'26/960만불)</x:v>
      </x:c>
      <x:c r="G112" s="46" t="str">
        <x:v>파라과이 아순시온 국립대학 ICT 혁신센터 설립을 통한 ICT 경쟁력 강화사업 현지 감리사 선정 국제경쟁입찰</x:v>
      </x:c>
      <x:c r="H112" s="46" t="str">
        <x:v>Procurement of Supervision Consultant for the Project of the ICT Innovation Center for Enhancement ICT Competency in UNA in Paraguay</x:v>
      </x:c>
      <x:c r="I112" s="43" t="str">
        <x:v>기타·미분류</x:v>
      </x:c>
      <x:c r="J112" s="43" t="str">
        <x:v>미분류</x:v>
      </x:c>
      <x:c r="K112" s="43" t="str">
        <x:v>용역</x:v>
      </x:c>
      <x:c r="L112" s="43" t="str">
        <x:v>일반경쟁</x:v>
      </x:c>
      <x:c r="M112" s="46" t="str">
        <x:v>협상에 의한 계약(기술가격종합평가)</x:v>
      </x:c>
      <x:c r="N112" s="46" t="str"/>
      <x:c r="O112" s="46" t="str"/>
      <x:c r="P112" s="43" t="str">
        <x:v>2024-04-11</x:v>
      </x:c>
      <x:c r="Q112" s="43" t="str">
        <x:v>https://nebid.koica.go.kr/oep/lobi/localBidManageDetail.do?P_LOAZ_BID_PBLANC_NO=L2024-00018&amp;P_PBLANC_ODR=1</x:v>
      </x:c>
    </x:row>
    <x:row r="113">
      <x:c r="A113" s="43" t="str">
        <x:v>L2024-00017-1</x:v>
      </x:c>
      <x:c r="B113" s="43" t="str">
        <x:v>2022-00011</x:v>
      </x:c>
      <x:c r="C113" s="43" t="str">
        <x:v>파라과이</x:v>
      </x:c>
      <x:c r="D113" s="43" t="str">
        <x:v>Paraguay</x:v>
      </x:c>
      <x:c r="E113" s="43" t="str"/>
      <x:c r="F113" s="46" t="str">
        <x:v>파라과이 아순시온 국립대학 ICT 혁신센터 설립을 통한 ICT 경쟁력 강화 사업('22-'26/960만불)</x:v>
      </x:c>
      <x:c r="G113" s="46" t="str">
        <x:v>파라과이 아순시온 국립대학 ICT 혁신센터 설립을 통한 ICT 경쟁력 강화사업 현지 시공사 선정 국제경쟁입찰</x:v>
      </x:c>
      <x:c r="H113" s="46" t="str">
        <x:v>Construction of the ICT Innovation Center for Enhancement ICT Competency in UNA, Paraguay</x:v>
      </x:c>
      <x:c r="I113" s="43" t="str">
        <x:v>기타·미분류</x:v>
      </x:c>
      <x:c r="J113" s="43" t="str">
        <x:v>신축</x:v>
      </x:c>
      <x:c r="K113" s="43" t="str">
        <x:v>공사</x:v>
      </x:c>
      <x:c r="L113" s="43" t="str">
        <x:v>일반경쟁</x:v>
      </x:c>
      <x:c r="M113" s="46" t="str">
        <x:v>적격심사</x:v>
      </x:c>
      <x:c r="N113" s="46" t="str"/>
      <x:c r="O113" s="46" t="str"/>
      <x:c r="P113" s="43" t="str">
        <x:v>2024-03-26</x:v>
      </x:c>
      <x:c r="Q113" s="43" t="str">
        <x:v>https://nebid.koica.go.kr/oep/lobi/localBidManageDetail.do?P_LOAZ_BID_PBLANC_NO=L2024-00017&amp;P_PBLANC_ODR=1</x:v>
      </x:c>
    </x:row>
    <x:row r="114">
      <x:c r="A114" s="43" t="str">
        <x:v>L2024-00016-1</x:v>
      </x:c>
      <x:c r="B114" s="43" t="str">
        <x:v>2014-00016</x:v>
      </x:c>
      <x:c r="C114" s="43" t="str">
        <x:v>이라크</x:v>
      </x:c>
      <x:c r="D114" s="43" t="str">
        <x:v>Iraq</x:v>
      </x:c>
      <x:c r="E114" s="43" t="str"/>
      <x:c r="F114" s="46" t="str">
        <x:v>이라크 한-이라크 직업훈련원 2차 지원사업('14-'25/541만불)</x:v>
      </x:c>
      <x:c r="G114" s="46" t="str">
        <x:v>이라크 한-이라크 직업훈련원 2차 지원사업 리노베이션 공사 시공업체 선정 현지 입찰</x:v>
      </x:c>
      <x:c r="H114" s="46" t="str">
        <x:v>Selection of the Renovation Contractor of the 2nd Project for Supporting the Korea-Iraq Vocational Training Center in Iraq, Baghdad Iraq.</x:v>
      </x:c>
      <x:c r="I114" s="43" t="str">
        <x:v>학교·교육시설</x:v>
      </x:c>
      <x:c r="J114" s="43" t="str">
        <x:v>리모델링·개보수</x:v>
      </x:c>
      <x:c r="K114" s="43" t="str">
        <x:v>공사</x:v>
      </x:c>
      <x:c r="L114" s="43" t="str">
        <x:v>일반경쟁</x:v>
      </x:c>
      <x:c r="M114" s="46" t="str">
        <x:v>적격심사</x:v>
      </x:c>
      <x:c r="N114" s="46" t="str">
        <x:v>$ 1,811,491</x:v>
      </x:c>
      <x:c r="O114" s="46" t="str"/>
      <x:c r="P114" s="43" t="str">
        <x:v>2024-05-09</x:v>
      </x:c>
      <x:c r="Q114" s="43" t="str">
        <x:v>https://nebid.koica.go.kr/oep/lobi/localBidManageDetail.do?P_LOAZ_BID_PBLANC_NO=L2024-00016&amp;P_PBLANC_ODR=1</x:v>
      </x:c>
    </x:row>
    <x:row r="115">
      <x:c r="A115" s="43" t="str">
        <x:v>L2024-00015-2</x:v>
      </x:c>
      <x:c r="B115" s="43" t="str">
        <x:v>2022-00142</x:v>
      </x:c>
      <x:c r="C115" s="43" t="str">
        <x:v>카메룬</x:v>
      </x:c>
      <x:c r="D115" s="43" t="str">
        <x:v>Cameroon</x:v>
      </x:c>
      <x:c r="E115" s="43" t="str"/>
      <x:c r="F115" s="46" t="str">
        <x:v>카메룬 전자정부 인식개선 및 역량강화 사업('22-'26/823만불)</x:v>
      </x:c>
      <x:c r="G115" s="46" t="str">
        <x:v>카메룬 전자정부 인식개선 및 역량강화 사업 설계 및 감리 용역</x:v>
      </x:c>
      <x:c r="H115" s="46" t="str">
        <x:v>Design and Construction Supervision Services for Enhancing Awareness and Capacity Building for Public Service Transformation Project in Cameroon</x:v>
      </x:c>
      <x:c r="I115" s="43" t="str">
        <x:v>기타·미분류</x:v>
      </x:c>
      <x:c r="J115" s="43" t="str">
        <x:v>미분류</x:v>
      </x:c>
      <x:c r="K115" s="43" t="str">
        <x:v>용역</x:v>
      </x:c>
      <x:c r="L115" s="43" t="str">
        <x:v>일반경쟁</x:v>
      </x:c>
      <x:c r="M115" s="46" t="str">
        <x:v>협상에 의한 계약(기술가격종합평가)</x:v>
      </x:c>
      <x:c r="N115" s="46" t="str"/>
      <x:c r="O115" s="46" t="str"/>
      <x:c r="P115" s="43" t="str">
        <x:v>2024-06-05</x:v>
      </x:c>
      <x:c r="Q115" s="43" t="str">
        <x:v>https://nebid.koica.go.kr/oep/lobi/localBidManageDetail.do?P_LOAZ_BID_PBLANC_NO=L2024-00015&amp;P_PBLANC_ODR=2</x:v>
      </x:c>
    </x:row>
    <x:row r="116">
      <x:c r="A116" s="43" t="str">
        <x:v>L2024-00015-1</x:v>
      </x:c>
      <x:c r="B116" s="43" t="str">
        <x:v>2022-00142</x:v>
      </x:c>
      <x:c r="C116" s="43" t="str">
        <x:v>카메룬</x:v>
      </x:c>
      <x:c r="D116" s="43" t="str">
        <x:v>Cameroon</x:v>
      </x:c>
      <x:c r="E116" s="43" t="str"/>
      <x:c r="F116" s="46" t="str">
        <x:v>카메룬 전자정부 인식개선 및 역량강화 사업('22-'26/823만불)</x:v>
      </x:c>
      <x:c r="G116" s="46" t="str">
        <x:v>카메룬 전자정부 인식개선 및 역량강화 사업 설계 및 감리 용역</x:v>
      </x:c>
      <x:c r="H116" s="46" t="str">
        <x:v>Design and Construction Supervision Services for Enhancing Awareness and Capacity Building for Public Service Transformation Project in Cameroon</x:v>
      </x:c>
      <x:c r="I116" s="43" t="str">
        <x:v>기타·미분류</x:v>
      </x:c>
      <x:c r="J116" s="43" t="str">
        <x:v>미분류</x:v>
      </x:c>
      <x:c r="K116" s="43" t="str">
        <x:v>용역</x:v>
      </x:c>
      <x:c r="L116" s="43" t="str">
        <x:v>일반경쟁</x:v>
      </x:c>
      <x:c r="M116" s="46" t="str">
        <x:v>협상에 의한 계약(기술가격종합평가)</x:v>
      </x:c>
      <x:c r="N116" s="46" t="str"/>
      <x:c r="O116" s="46" t="str"/>
      <x:c r="P116" s="43" t="str">
        <x:v>2024-05-02</x:v>
      </x:c>
      <x:c r="Q116" s="43" t="str">
        <x:v>https://nebid.koica.go.kr/oep/lobi/localBidManageDetail.do?P_LOAZ_BID_PBLANC_NO=L2024-00015&amp;P_PBLANC_ODR=1</x:v>
      </x:c>
    </x:row>
    <x:row r="117">
      <x:c r="A117" s="43" t="str">
        <x:v>L2024-00013-1</x:v>
      </x:c>
      <x:c r="B117" s="43" t="str">
        <x:v>2021-00029</x:v>
      </x:c>
      <x:c r="C117" s="43" t="str">
        <x:v>파키스탄</x:v>
      </x:c>
      <x:c r="D117" s="43" t="str">
        <x:v>Pakistan</x:v>
      </x:c>
      <x:c r="E117" s="43" t="str"/>
      <x:c r="F117" s="46" t="str">
        <x:v>파키스탄 KP주 아보타바드시 하베리안지역 상수도공급 지원사업('21-'26/1,200만불)</x:v>
      </x:c>
      <x:c r="G117" s="46" t="str">
        <x:v>파키스탄 KP주 아보타바드시 하베리안지역 상수도시설 건설사업</x:v>
      </x:c>
      <x:c r="H117" s="46" t="str">
        <x:v>Construction of Gravity-Based Water Supply System in Havelian, Abbottabad, Khyber Pakhtunkhwa province, Pakistan</x:v>
      </x:c>
      <x:c r="I117" s="43" t="str">
        <x:v>기타·미분류</x:v>
      </x:c>
      <x:c r="J117" s="43" t="str">
        <x:v>신축</x:v>
      </x:c>
      <x:c r="K117" s="43" t="str">
        <x:v>공사</x:v>
      </x:c>
      <x:c r="L117" s="43" t="str">
        <x:v>일반경쟁</x:v>
      </x:c>
      <x:c r="M117" s="46" t="str">
        <x:v>적격심사</x:v>
      </x:c>
      <x:c r="N117" s="46" t="str">
        <x:v>$ 8,086,003</x:v>
      </x:c>
      <x:c r="O117" s="46" t="str"/>
      <x:c r="P117" s="43" t="str">
        <x:v>2024-04-22</x:v>
      </x:c>
      <x:c r="Q117" s="43" t="str">
        <x:v>https://nebid.koica.go.kr/oep/lobi/localBidManageDetail.do?P_LOAZ_BID_PBLANC_NO=L2024-00013&amp;P_PBLANC_ODR=1</x:v>
      </x:c>
    </x:row>
    <x:row r="118">
      <x:c r="A118" s="43" t="str">
        <x:v>L2024-00002-2</x:v>
      </x:c>
      <x:c r="B118" s="43" t="str">
        <x:v>2010-00005</x:v>
      </x:c>
      <x:c r="C118" s="43" t="str">
        <x:v>카메룬</x:v>
      </x:c>
      <x:c r="D118" s="43" t="str">
        <x:v>Cameroon</x:v>
      </x:c>
      <x:c r="E118" s="43" t="str"/>
      <x:c r="F118" s="46" t="str">
        <x:v>카메룬 국립응급 의료센터 건립사업('10-'14/393만불)</x:v>
      </x:c>
      <x:c r="G118" s="46" t="str">
        <x:v>카메룬 야운데 응급센터 및 직업훈련원 사후지원 리모델링 시공용역(재공고)</x:v>
      </x:c>
      <x:c r="H118" s="46" t="str">
        <x:v>Remodeling Works for CURY and NTTPDC in Yaounde, Cameroon</x:v>
      </x:c>
      <x:c r="I118" s="43" t="str">
        <x:v>산업·직업훈련시설</x:v>
      </x:c>
      <x:c r="J118" s="43" t="str">
        <x:v>리모델링·개보수</x:v>
      </x:c>
      <x:c r="K118" s="43" t="str">
        <x:v>공사</x:v>
      </x:c>
      <x:c r="L118" s="43" t="str">
        <x:v>일반경쟁</x:v>
      </x:c>
      <x:c r="M118" s="46" t="str">
        <x:v>적격심사</x:v>
      </x:c>
      <x:c r="N118" s="46" t="str">
        <x:v>$ 477,000</x:v>
      </x:c>
      <x:c r="O118" s="46" t="str"/>
      <x:c r="P118" s="43" t="str">
        <x:v>2024-04-26</x:v>
      </x:c>
      <x:c r="Q118" s="43" t="str">
        <x:v>https://nebid.koica.go.kr/oep/lobi/localBidManageDetail.do?P_LOAZ_BID_PBLANC_NO=L2024-00002&amp;P_PBLANC_ODR=2</x:v>
      </x:c>
    </x:row>
    <x:row r="119">
      <x:c r="A119" s="43" t="str">
        <x:v>L2024-00002-1</x:v>
      </x:c>
      <x:c r="B119" s="43" t="str">
        <x:v>2010-00005</x:v>
      </x:c>
      <x:c r="C119" s="43" t="str">
        <x:v>카메룬</x:v>
      </x:c>
      <x:c r="D119" s="43" t="str">
        <x:v>Cameroon</x:v>
      </x:c>
      <x:c r="E119" s="43" t="str"/>
      <x:c r="F119" s="46" t="str">
        <x:v>카메룬 국립응급 의료센터 건립사업('10-'14/393만불)</x:v>
      </x:c>
      <x:c r="G119" s="46" t="str">
        <x:v>카메룬 야운데 응급센터 및 직업훈련원 사후지원 리모델링 시공용역</x:v>
      </x:c>
      <x:c r="H119" s="46" t="str">
        <x:v>Remodeling Works for CURY and NTTPDC in Yaounde, Cameroon</x:v>
      </x:c>
      <x:c r="I119" s="43" t="str">
        <x:v>산업·직업훈련시설</x:v>
      </x:c>
      <x:c r="J119" s="43" t="str">
        <x:v>리모델링·개보수</x:v>
      </x:c>
      <x:c r="K119" s="43" t="str">
        <x:v>공사</x:v>
      </x:c>
      <x:c r="L119" s="43" t="str">
        <x:v>일반경쟁</x:v>
      </x:c>
      <x:c r="M119" s="46" t="str">
        <x:v>적격심사</x:v>
      </x:c>
      <x:c r="N119" s="46" t="str">
        <x:v>$ 477,000</x:v>
      </x:c>
      <x:c r="O119" s="46" t="str"/>
      <x:c r="P119" s="43" t="str">
        <x:v>2024-02-05</x:v>
      </x:c>
      <x:c r="Q119" s="43" t="str">
        <x:v>https://nebid.koica.go.kr/oep/lobi/localBidManageDetail.do?P_LOAZ_BID_PBLANC_NO=L2024-00002&amp;P_PBLANC_ODR=1</x:v>
      </x:c>
    </x:row>
    <x:row r="120">
      <x:c r="A120" s="43" t="str">
        <x:v>L2024-00001-1</x:v>
      </x:c>
      <x:c r="B120" s="43" t="str">
        <x:v>2022-00598</x:v>
      </x:c>
      <x:c r="C120" s="43" t="str">
        <x:v>파키스탄</x:v>
      </x:c>
      <x:c r="D120" s="43" t="str">
        <x:v>Pakistan</x:v>
      </x:c>
      <x:c r="E120" s="43" t="str"/>
      <x:c r="F120" s="46" t="str">
        <x:v>파키스탄 국립섬유대학 산업용 섬유센터 설립사업 2차사업('22-'28/795만불)</x:v>
      </x:c>
      <x:c r="G120" s="46" t="str">
        <x:v>파키스탄 국립섬유대학 산업용 섬유센터 설립사업 2차사업 설계용역</x:v>
      </x:c>
      <x:c r="H120" s="46" t="str">
        <x:v>Design Service for Project Strengthening of Pak-Korea Technical Textile Center 2nd Phase</x:v>
      </x:c>
      <x:c r="I120" s="43" t="str">
        <x:v>산업·직업훈련시설</x:v>
      </x:c>
      <x:c r="J120" s="43" t="str">
        <x:v>미분류</x:v>
      </x:c>
      <x:c r="K120" s="43" t="str">
        <x:v>용역</x:v>
      </x:c>
      <x:c r="L120" s="43" t="str">
        <x:v>일반경쟁</x:v>
      </x:c>
      <x:c r="M120" s="46" t="str">
        <x:v>협상에 의한 계약(기술가격종합평가)</x:v>
      </x:c>
      <x:c r="N120" s="46" t="str">
        <x:v>$ 127,677</x:v>
      </x:c>
      <x:c r="O120" s="46" t="str"/>
      <x:c r="P120" s="43" t="str">
        <x:v>2024-01-11</x:v>
      </x:c>
      <x:c r="Q120" s="43" t="str">
        <x:v>https://nebid.koica.go.kr/oep/lobi/localBidManageDetail.do?P_LOAZ_BID_PBLANC_NO=L2024-00001&amp;P_PBLANC_ODR=1</x:v>
      </x:c>
    </x:row>
    <x:row r="121">
      <x:c r="A121" s="43" t="str">
        <x:v>L2023-00077-1</x:v>
      </x:c>
      <x:c r="B121" s="43" t="str">
        <x:v>2021-00054</x:v>
      </x:c>
      <x:c r="C121" s="43" t="str">
        <x:v>세네갈</x:v>
      </x:c>
      <x:c r="D121" s="43" t="str">
        <x:v>Senegal</x:v>
      </x:c>
      <x:c r="E121" s="43" t="str"/>
      <x:c r="F121" s="46" t="str">
        <x:v>세네갈 대국민 소통 증진을 위한 국회의정활동시스템 현대화 사업('21-'26/600만불)</x:v>
      </x:c>
      <x:c r="G121" s="46" t="str">
        <x:v>세네갈 대국민 소통증진을 위한 국회의정활동시스템 현대화사업 리모델링 업체 선정 입</x:v>
      </x:c>
      <x:c r="H121" s="46" t="str">
        <x:v>Request For remodeling task for the Project of Support to the Modernization of the Means of Communication of the National Assembly of Senegal with the Public</x:v>
      </x:c>
      <x:c r="I121" s="43" t="str">
        <x:v>기타·미분류</x:v>
      </x:c>
      <x:c r="J121" s="43" t="str">
        <x:v>리모델링·개보수</x:v>
      </x:c>
      <x:c r="K121" s="43" t="str">
        <x:v>물품</x:v>
      </x:c>
      <x:c r="L121" s="43" t="str">
        <x:v>일반경쟁</x:v>
      </x:c>
      <x:c r="M121" s="46" t="str">
        <x:v>협상에 의한 계약(기술가격종합평가)</x:v>
      </x:c>
      <x:c r="N121" s="46" t="str">
        <x:v>$ 347,000</x:v>
      </x:c>
      <x:c r="O121" s="46" t="str"/>
      <x:c r="P121" s="43" t="str">
        <x:v>2023-11-14</x:v>
      </x:c>
      <x:c r="Q121" s="43" t="str">
        <x:v>https://nebid.koica.go.kr/oep/lobi/localBidManageDetail.do?P_LOAZ_BID_PBLANC_NO=L2023-00077&amp;P_PBLANC_ODR=1</x:v>
      </x:c>
    </x:row>
    <x:row r="122">
      <x:c r="A122" s="43" t="str">
        <x:v>L2023-00075-1</x:v>
      </x:c>
      <x:c r="B122" s="43" t="str">
        <x:v>2021-00018</x:v>
      </x:c>
      <x:c r="C122" s="43" t="str">
        <x:v>몽골</x:v>
      </x:c>
      <x:c r="D122" s="43" t="str">
        <x:v>Mongolia</x:v>
      </x:c>
      <x:c r="E122" s="43" t="str"/>
      <x:c r="F122" s="46" t="str">
        <x:v>몽골 철도교통관제센터 건립 및  운영 역량강화를 통한 철도교통 경쟁력 강화 사업(21-26/1,400만불)</x:v>
      </x:c>
      <x:c r="G122" s="46" t="str">
        <x:v>몽골 철도교통관제센터(RTCC) 건립 시공 입찰</x:v>
      </x:c>
      <x:c r="H122" s="46" t="str">
        <x:v>New building construction for the Railway Traffic Control Center(RTCC) in Mongolia</x:v>
      </x:c>
      <x:c r="I122" s="43" t="str">
        <x:v>기타·미분류</x:v>
      </x:c>
      <x:c r="J122" s="43" t="str">
        <x:v>신축</x:v>
      </x:c>
      <x:c r="K122" s="43" t="str">
        <x:v>공사</x:v>
      </x:c>
      <x:c r="L122" s="43" t="str">
        <x:v>조달위탁</x:v>
      </x:c>
      <x:c r="M122" s="46" t="str">
        <x:v>협상에 의한 계약(기술가격종합평가)</x:v>
      </x:c>
      <x:c r="N122" s="46" t="str">
        <x:v>$ 3,454,118</x:v>
      </x:c>
      <x:c r="O122" s="46" t="str"/>
      <x:c r="P122" s="43" t="str">
        <x:v>2024-01-22</x:v>
      </x:c>
      <x:c r="Q122" s="43" t="str">
        <x:v>https://nebid.koica.go.kr/oep/lobi/localBidManageDetail.do?P_LOAZ_BID_PBLANC_NO=L2023-00075&amp;P_PBLANC_ODR=1</x:v>
      </x:c>
    </x:row>
    <x:row r="123">
      <x:c r="A123" s="43" t="str">
        <x:v>L2023-00074-1</x:v>
      </x:c>
      <x:c r="B123" s="43" t="str">
        <x:v>2023-00052</x:v>
      </x:c>
      <x:c r="C123" s="43" t="str">
        <x:v>네팔</x:v>
      </x:c>
      <x:c r="D123" s="43" t="str">
        <x:v>Nepal</x:v>
      </x:c>
      <x:c r="E123" s="43" t="str"/>
      <x:c r="F123" s="46" t="str">
        <x:v>네팔 포카라시 리사이클/업사이클 플랫폼 및 친환경 시범마을 구축을 통한 녹색일자리 창출지원사업('23-'29/980만불)</x:v>
      </x:c>
      <x:c r="G123" s="46" t="str">
        <x:v>네팔 포카라시 리사이클/업사이클 플랫폼 및 친환경 시범마을 구축을 통한 녹색일자리 창출지원사업(23-29/980만불) 건축 설계 및 감리업체 선정</x:v>
      </x:c>
      <x:c r="H123" s="46" t="str">
        <x:v>Design and Construction Supervision for the Project for Establishment of a Green job creation through Recycling and Upcycling project at Pokhara Metropolitan City,Nepal</x:v>
      </x:c>
      <x:c r="I123" s="43" t="str">
        <x:v>기타·미분류</x:v>
      </x:c>
      <x:c r="J123" s="43" t="str">
        <x:v>미분류</x:v>
      </x:c>
      <x:c r="K123" s="43" t="str">
        <x:v>용역</x:v>
      </x:c>
      <x:c r="L123" s="43" t="str">
        <x:v>일반경쟁</x:v>
      </x:c>
      <x:c r="M123" s="46" t="str">
        <x:v>적격심사</x:v>
      </x:c>
      <x:c r="N123" s="46" t="str">
        <x:v>$ 233,000</x:v>
      </x:c>
      <x:c r="O123" s="46" t="str"/>
      <x:c r="P123" s="43" t="str">
        <x:v>2023-09-04</x:v>
      </x:c>
      <x:c r="Q123" s="43" t="str">
        <x:v>https://nebid.koica.go.kr/oep/lobi/localBidManageDetail.do?P_LOAZ_BID_PBLANC_NO=L2023-00074&amp;P_PBLANC_ODR=1</x:v>
      </x:c>
    </x:row>
    <x:row r="124">
      <x:c r="A124" s="43" t="str">
        <x:v>L2023-00073-1</x:v>
      </x:c>
      <x:c r="B124" s="43" t="str">
        <x:v>2023-00052</x:v>
      </x:c>
      <x:c r="C124" s="43" t="str">
        <x:v>네팔</x:v>
      </x:c>
      <x:c r="D124" s="43" t="str">
        <x:v>Nepal</x:v>
      </x:c>
      <x:c r="E124" s="43" t="str"/>
      <x:c r="F124" s="46" t="str">
        <x:v>네팔 포카라시 리사이클/업사이클 플랫폼 및 친환경 시범마을 구축을 통한 녹색일자리 창출지원사업('23-'29/980만불)</x:v>
      </x:c>
      <x:c r="G124" s="46" t="str">
        <x:v>네팔 포카라시 리사이클/업사이클 플랫폼 및 친환경 시범마을 구축을 통한 녹색일자리 창출지원사업('23-'29/980만불) 건축 설계 및 감리업체 선정</x:v>
      </x:c>
      <x:c r="H124" s="46" t="str">
        <x:v>Design and Construction Supervision for the Project for Establishment of a Green job creation through Recycling and Upcycling project at Pokhara Metropolitan City,Nepal</x:v>
      </x:c>
      <x:c r="I124" s="43" t="str">
        <x:v>기타·미분류</x:v>
      </x:c>
      <x:c r="J124" s="43" t="str">
        <x:v>미분류</x:v>
      </x:c>
      <x:c r="K124" s="43" t="str">
        <x:v>용역</x:v>
      </x:c>
      <x:c r="L124" s="43" t="str">
        <x:v>일반경쟁</x:v>
      </x:c>
      <x:c r="M124" s="46" t="str">
        <x:v>적격심사</x:v>
      </x:c>
      <x:c r="N124" s="46" t="str">
        <x:v>$ 233,000</x:v>
      </x:c>
      <x:c r="O124" s="46" t="str"/>
      <x:c r="P124" s="43" t="str">
        <x:v>2023-09-04</x:v>
      </x:c>
      <x:c r="Q124" s="43" t="str">
        <x:v>https://nebid.koica.go.kr/oep/lobi/localBidManageDetail.do?P_LOAZ_BID_PBLANC_NO=L2023-00073&amp;P_PBLANC_ODR=1</x:v>
      </x:c>
    </x:row>
    <x:row r="125">
      <x:c r="A125" s="43" t="str">
        <x:v>L2023-00072-2</x:v>
      </x:c>
      <x:c r="B125" s="43" t="str">
        <x:v>2022-00045</x:v>
      </x:c>
      <x:c r="C125" s="43" t="str"/>
      <x:c r="D125" s="43" t="str"/>
      <x:c r="E125" s="43" t="str"/>
      <x:c r="F125" s="46" t="str">
        <x:v>이집트 정부서비스청(GAGS) 공공 전자조달시스템 개선 사업('22-'26/790만불)</x:v>
      </x:c>
      <x:c r="G125" s="46" t="str">
        <x:v>(재공고) 이집트 전자조달 개선사업 리모델링 공사 및 일반 기자재 업체 선정 현지입찰</x:v>
      </x:c>
      <x:c r="H125" s="46" t="str">
        <x:v>Bidding for the Project of the Establishing the operation center for public e-procurement system in Egypt</x:v>
      </x:c>
      <x:c r="I125" s="43" t="str">
        <x:v>기타·미분류</x:v>
      </x:c>
      <x:c r="J125" s="43" t="str">
        <x:v>리모델링·개보수</x:v>
      </x:c>
      <x:c r="K125" s="43" t="str">
        <x:v>물품</x:v>
      </x:c>
      <x:c r="L125" s="43" t="str">
        <x:v>일반경쟁</x:v>
      </x:c>
      <x:c r="M125" s="46" t="str">
        <x:v>적격심사</x:v>
      </x:c>
      <x:c r="N125" s="46" t="str">
        <x:v>$ 231,000
		                    	 (환율 : 1127.61)</x:v>
      </x:c>
      <x:c r="O125" s="46" t="str">
        <x:v>\ 260,477,208</x:v>
      </x:c>
      <x:c r="P125" s="43" t="str">
        <x:v>2024-01-07</x:v>
      </x:c>
      <x:c r="Q125" s="43" t="str">
        <x:v>https://nebid.koica.go.kr/oep/lobi/localBidManageDetail.do?P_LOAZ_BID_PBLANC_NO=L2023-00072&amp;P_PBLANC_ODR=2</x:v>
      </x:c>
    </x:row>
    <x:row r="126">
      <x:c r="A126" s="43" t="str">
        <x:v>L2023-00072-1</x:v>
      </x:c>
      <x:c r="B126" s="43" t="str">
        <x:v>2022-00045</x:v>
      </x:c>
      <x:c r="C126" s="43" t="str"/>
      <x:c r="D126" s="43" t="str"/>
      <x:c r="E126" s="43" t="str"/>
      <x:c r="F126" s="46" t="str">
        <x:v>이집트 정부서비스청(GAGS) 공공 전자조달시스템 개선 사업('22-'26/790만불)</x:v>
      </x:c>
      <x:c r="G126" s="46" t="str">
        <x:v>이집트 전자조달 개선사업 리모델링 공사 및 일반 기자재 업체 선정 현지입찰</x:v>
      </x:c>
      <x:c r="H126" s="46" t="str">
        <x:v>Bidding for the Project of the Establishing the operation center for public e-procurement system in Egypt</x:v>
      </x:c>
      <x:c r="I126" s="43" t="str">
        <x:v>기타·미분류</x:v>
      </x:c>
      <x:c r="J126" s="43" t="str">
        <x:v>리모델링·개보수</x:v>
      </x:c>
      <x:c r="K126" s="43" t="str">
        <x:v>물품</x:v>
      </x:c>
      <x:c r="L126" s="43" t="str">
        <x:v>일반경쟁</x:v>
      </x:c>
      <x:c r="M126" s="46" t="str">
        <x:v>적격심사</x:v>
      </x:c>
      <x:c r="N126" s="46" t="str">
        <x:v>$ 231,000
		                    	 (환율 : 1127.61)</x:v>
      </x:c>
      <x:c r="O126" s="46" t="str">
        <x:v>\ 260,477,208</x:v>
      </x:c>
      <x:c r="P126" s="43" t="str">
        <x:v>2023-12-03</x:v>
      </x:c>
      <x:c r="Q126" s="43" t="str">
        <x:v>https://nebid.koica.go.kr/oep/lobi/localBidManageDetail.do?P_LOAZ_BID_PBLANC_NO=L2023-00072&amp;P_PBLANC_ODR=1</x:v>
      </x:c>
    </x:row>
    <x:row r="127">
      <x:c r="A127" s="43" t="str">
        <x:v>L2023-00071-1</x:v>
      </x:c>
      <x:c r="B127" s="43" t="str">
        <x:v>2022-00079</x:v>
      </x:c>
      <x:c r="C127" s="43" t="str">
        <x:v>인도네시아</x:v>
      </x:c>
      <x:c r="D127" s="43" t="str">
        <x:v>Indonesia</x:v>
      </x:c>
      <x:c r="E127" s="43" t="str"/>
      <x:c r="F127" s="46" t="str">
        <x:v>인도네시아 사이버보안 전문인력양성 역량강화사업('22-'26/740만불)</x:v>
      </x:c>
      <x:c r="G127" s="46" t="str">
        <x:v>인도네시아 사이버보안 전문인력양성 역량강화 사업 설계 및 시공 감리 용역사 선정</x:v>
      </x:c>
      <x:c r="H127" s="46" t="str">
        <x:v>Bidding for the Design and Construction Supervision of the Project of Capacity Development Project for Nurturing Cybersecurity Professionals in Indonesia</x:v>
      </x:c>
      <x:c r="I127" s="43" t="str">
        <x:v>기타·미분류</x:v>
      </x:c>
      <x:c r="J127" s="43" t="str">
        <x:v>미분류</x:v>
      </x:c>
      <x:c r="K127" s="43" t="str">
        <x:v>용역</x:v>
      </x:c>
      <x:c r="L127" s="43" t="str">
        <x:v>일반경쟁</x:v>
      </x:c>
      <x:c r="M127" s="46" t="str">
        <x:v>협상에 의한 계약(기술가격종합평가)</x:v>
      </x:c>
      <x:c r="N127" s="46" t="str"/>
      <x:c r="O127" s="46" t="str"/>
      <x:c r="P127" s="43" t="str">
        <x:v>2023-12-20</x:v>
      </x:c>
      <x:c r="Q127" s="43" t="str">
        <x:v>https://nebid.koica.go.kr/oep/lobi/localBidManageDetail.do?P_LOAZ_BID_PBLANC_NO=L2023-00071&amp;P_PBLANC_ODR=1</x:v>
      </x:c>
    </x:row>
    <x:row r="128">
      <x:c r="A128" s="43" t="str">
        <x:v>L2023-00070-2</x:v>
      </x:c>
      <x:c r="B128" s="43" t="str">
        <x:v>2022-00038</x:v>
      </x:c>
      <x:c r="C128" s="43" t="str">
        <x:v>볼리비아</x:v>
      </x:c>
      <x:c r="D128" s="43" t="str">
        <x:v>Bolivia</x:v>
      </x:c>
      <x:c r="E128" s="43" t="str"/>
      <x:c r="F128" s="46" t="str">
        <x:v>볼리비아 라파스주 임상병리검사실체계 강화사업('22-'26/700만불)</x:v>
      </x:c>
      <x:c r="G128" s="46" t="str">
        <x:v>볼리비아 라파스 주 임상병리검사실 체계 강화사업 현지 설계입찰</x:v>
      </x:c>
      <x:c r="H128" s="46" t="str">
        <x:v>Procurement of Design Consultant For La Paz Departmental Referral Laboratory</x:v>
      </x:c>
      <x:c r="I128" s="43" t="str">
        <x:v>실험실·연구시설</x:v>
      </x:c>
      <x:c r="J128" s="43" t="str">
        <x:v>미분류</x:v>
      </x:c>
      <x:c r="K128" s="43" t="str">
        <x:v>용역</x:v>
      </x:c>
      <x:c r="L128" s="43" t="str">
        <x:v>일반경쟁</x:v>
      </x:c>
      <x:c r="M128" s="46" t="str">
        <x:v>협상에 의한 계약(기술가격종합평가)</x:v>
      </x:c>
      <x:c r="N128" s="46" t="str">
        <x:v>$ 175,000</x:v>
      </x:c>
      <x:c r="O128" s="46" t="str"/>
      <x:c r="P128" s="43" t="str">
        <x:v>2023-11-03</x:v>
      </x:c>
      <x:c r="Q128" s="43" t="str">
        <x:v>https://nebid.koica.go.kr/oep/lobi/localBidManageDetail.do?P_LOAZ_BID_PBLANC_NO=L2023-00070&amp;P_PBLANC_ODR=2</x:v>
      </x:c>
    </x:row>
    <x:row r="129">
      <x:c r="A129" s="43" t="str">
        <x:v>L2023-00070-1</x:v>
      </x:c>
      <x:c r="B129" s="43" t="str">
        <x:v>2022-00038</x:v>
      </x:c>
      <x:c r="C129" s="43" t="str">
        <x:v>볼리비아</x:v>
      </x:c>
      <x:c r="D129" s="43" t="str">
        <x:v>Bolivia</x:v>
      </x:c>
      <x:c r="E129" s="43" t="str"/>
      <x:c r="F129" s="46" t="str">
        <x:v>볼리비아 라파스주 임상병리검사실체계 강화사업('22-'26/700만불)</x:v>
      </x:c>
      <x:c r="G129" s="46" t="str">
        <x:v>볼리비아 라파스 주 임상병리검사실 체계 강화사업 현지 설계입찰</x:v>
      </x:c>
      <x:c r="H129" s="46" t="str">
        <x:v>Procurement of Design Consultant For La Paz Departmental Referral Laboratory</x:v>
      </x:c>
      <x:c r="I129" s="43" t="str">
        <x:v>실험실·연구시설</x:v>
      </x:c>
      <x:c r="J129" s="43" t="str">
        <x:v>미분류</x:v>
      </x:c>
      <x:c r="K129" s="43" t="str">
        <x:v>용역</x:v>
      </x:c>
      <x:c r="L129" s="43" t="str">
        <x:v>일반경쟁</x:v>
      </x:c>
      <x:c r="M129" s="46" t="str">
        <x:v>협상에 의한 계약(기술가격종합평가)</x:v>
      </x:c>
      <x:c r="N129" s="46" t="str">
        <x:v>$ 175,000</x:v>
      </x:c>
      <x:c r="O129" s="46" t="str"/>
      <x:c r="P129" s="43" t="str">
        <x:v>2023-09-14</x:v>
      </x:c>
      <x:c r="Q129" s="43" t="str">
        <x:v>https://nebid.koica.go.kr/oep/lobi/localBidManageDetail.do?P_LOAZ_BID_PBLANC_NO=L2023-00070&amp;P_PBLANC_ODR=1</x:v>
      </x:c>
    </x:row>
    <x:row r="130">
      <x:c r="A130" s="43" t="str">
        <x:v>L2023-00068-1</x:v>
      </x:c>
      <x:c r="B130" s="43" t="str">
        <x:v>2011-00008</x:v>
      </x:c>
      <x:c r="C130" s="43" t="str">
        <x:v>캄보디아</x:v>
      </x:c>
      <x:c r="D130" s="43" t="str">
        <x:v>Cambodia</x:v>
      </x:c>
      <x:c r="E130" s="43" t="str"/>
      <x:c r="F130" s="46" t="str">
        <x:v>캄보디아 안과전문병원 설립사업('11-'15/550만불)</x:v>
      </x:c>
      <x:c r="G130" s="46" t="str">
        <x:v>캄보디아 앙두엉 안과전문병원 설립사업 리모델링 공사</x:v>
      </x:c>
      <x:c r="H130" s="46" t="str">
        <x:v>The Renovation Works of the Project for the Establishment of Preah Angduong Eye Hospital in Phnom Penh, Cambodia</x:v>
      </x:c>
      <x:c r="I130" s="43" t="str">
        <x:v>병원</x:v>
      </x:c>
      <x:c r="J130" s="43" t="str">
        <x:v>리모델링·개보수</x:v>
      </x:c>
      <x:c r="K130" s="43" t="str">
        <x:v>공사</x:v>
      </x:c>
      <x:c r="L130" s="43" t="str">
        <x:v>일반경쟁</x:v>
      </x:c>
      <x:c r="M130" s="46" t="str">
        <x:v>적격심사</x:v>
      </x:c>
      <x:c r="N130" s="46" t="str">
        <x:v>$ 239,882</x:v>
      </x:c>
      <x:c r="O130" s="46" t="str"/>
      <x:c r="P130" s="43" t="str">
        <x:v>2023-11-21</x:v>
      </x:c>
      <x:c r="Q130" s="43" t="str">
        <x:v>https://nebid.koica.go.kr/oep/lobi/localBidManageDetail.do?P_LOAZ_BID_PBLANC_NO=L2023-00068&amp;P_PBLANC_ODR=1</x:v>
      </x:c>
    </x:row>
    <x:row r="131">
      <x:c r="A131" s="43" t="str">
        <x:v>L2023-00067-1</x:v>
      </x:c>
      <x:c r="B131" s="43" t="str">
        <x:v>2020-00099</x:v>
      </x:c>
      <x:c r="C131" s="43" t="str">
        <x:v>키르기즈</x:v>
      </x:c>
      <x:c r="D131" s="43" t="str">
        <x:v>Kyrgyzstan</x:v>
      </x:c>
      <x:c r="E131" s="43" t="str"/>
      <x:c r="F131" s="46" t="str">
        <x:v>키르기즈공화국 행정정보공유체계 구축 및 역량개발 사업('20-'24/500만불)</x:v>
      </x:c>
      <x:c r="G131" s="46" t="str">
        <x:v>키르기스스탄 G-cloud 센터 인테리어 리모델링 시공 입찰</x:v>
      </x:c>
      <x:c r="H131" s="46" t="str">
        <x:v>G-Cloud Center Interior Remodeling Work in the Kyrgyz Republic</x:v>
      </x:c>
      <x:c r="I131" s="43" t="str">
        <x:v>정부·행정시설</x:v>
      </x:c>
      <x:c r="J131" s="43" t="str">
        <x:v>리모델링·개보수</x:v>
      </x:c>
      <x:c r="K131" s="43" t="str">
        <x:v>공사</x:v>
      </x:c>
      <x:c r="L131" s="43" t="str">
        <x:v>일반경쟁</x:v>
      </x:c>
      <x:c r="M131" s="46" t="str">
        <x:v>적격심사</x:v>
      </x:c>
      <x:c r="N131" s="46" t="str">
        <x:v>$ 280,621</x:v>
      </x:c>
      <x:c r="O131" s="46" t="str"/>
      <x:c r="P131" s="43" t="str">
        <x:v>2023-11-21</x:v>
      </x:c>
      <x:c r="Q131" s="43" t="str">
        <x:v>https://nebid.koica.go.kr/oep/lobi/localBidManageDetail.do?P_LOAZ_BID_PBLANC_NO=L2023-00067&amp;P_PBLANC_ODR=1</x:v>
      </x:c>
    </x:row>
    <x:row r="132">
      <x:c r="A132" s="43" t="str">
        <x:v>L2023-00066-1</x:v>
      </x:c>
      <x:c r="B132" s="43" t="str">
        <x:v>2021-00098</x:v>
      </x:c>
      <x:c r="C132" s="43" t="str">
        <x:v>에티오피아</x:v>
      </x:c>
      <x:c r="D132" s="43" t="str">
        <x:v>Ethiopia</x:v>
      </x:c>
      <x:c r="E132" s="43" t="str"/>
      <x:c r="F132" s="46" t="str">
        <x:v>에티오피아 아디스아바바 강변개발 미스터플랜 수립지원 및 Sheger강 상류 수질 및 수변정화 사업('21-'24/1,000만불)</x:v>
      </x:c>
      <x:c r="G132" s="46" t="str">
        <x:v>에티오피아 아디스아바바 강변 개발 마스터플랜 수립지원 및 Sheger강 상류 수질 및 수변정화 사업 시범사업 기본/상세설계 및 감리 용역</x:v>
      </x:c>
      <x:c r="H132" s="46" t="str">
        <x:v>Basic and Detailed Design and Construction Supervision Consultant Services within the framework of the Project Supporting Watershed Development Master Plan Development for Addis Ababa City and Clearing Upstream of Sheger River</x:v>
      </x:c>
      <x:c r="I132" s="43" t="str">
        <x:v>기타·미분류</x:v>
      </x:c>
      <x:c r="J132" s="43" t="str">
        <x:v>미분류</x:v>
      </x:c>
      <x:c r="K132" s="43" t="str">
        <x:v>용역</x:v>
      </x:c>
      <x:c r="L132" s="43" t="str">
        <x:v>일반경쟁</x:v>
      </x:c>
      <x:c r="M132" s="46" t="str">
        <x:v>협상에 의한 계약(기술가격종합평가)</x:v>
      </x:c>
      <x:c r="N132" s="46" t="str">
        <x:v>$ 674,371</x:v>
      </x:c>
      <x:c r="O132" s="46" t="str"/>
      <x:c r="P132" s="43" t="str">
        <x:v>2023-11-08</x:v>
      </x:c>
      <x:c r="Q132" s="43" t="str">
        <x:v>https://nebid.koica.go.kr/oep/lobi/localBidManageDetail.do?P_LOAZ_BID_PBLANC_NO=L2023-00066&amp;P_PBLANC_ODR=1</x:v>
      </x:c>
    </x:row>
    <x:row r="133">
      <x:c r="A133" s="43" t="str">
        <x:v>L2023-00065-1</x:v>
      </x:c>
      <x:c r="B133" s="43" t="str">
        <x:v>2021-00085</x:v>
      </x:c>
      <x:c r="C133" s="43" t="str">
        <x:v>우즈베키스탄</x:v>
      </x:c>
      <x:c r="D133" s="43" t="str">
        <x:v>Uzbekistan</x:v>
      </x:c>
      <x:c r="E133" s="43" t="str"/>
      <x:c r="F133" s="46" t="str">
        <x:v>우즈베키스탄 교수학습개발복합센터 건립을 통한 유아교사 역량강화사업('21-'26/1,100만불)</x:v>
      </x:c>
      <x:c r="G133" s="46" t="str">
        <x:v>(긴급) 우즈베키스탄 유아 교육 복합센터 신축공사 시공감리 용역업체 선정</x:v>
      </x:c>
      <x:c r="H133" s="46" t="str">
        <x:v>Selection of the Construction Supervision Contractor for the Pre-school Educational Complex Project  in Uzbekistan</x:v>
      </x:c>
      <x:c r="I133" s="43" t="str">
        <x:v>학교·교육시설</x:v>
      </x:c>
      <x:c r="J133" s="43" t="str">
        <x:v>신축</x:v>
      </x:c>
      <x:c r="K133" s="43" t="str">
        <x:v>용역</x:v>
      </x:c>
      <x:c r="L133" s="43" t="str">
        <x:v>일반경쟁</x:v>
      </x:c>
      <x:c r="M133" s="46" t="str">
        <x:v>협상에 의한 계약(기술가격종합평가)</x:v>
      </x:c>
      <x:c r="N133" s="46" t="str"/>
      <x:c r="O133" s="46" t="str"/>
      <x:c r="P133" s="43" t="str">
        <x:v>2023-11-10</x:v>
      </x:c>
      <x:c r="Q133" s="43" t="str">
        <x:v>https://nebid.koica.go.kr/oep/lobi/localBidManageDetail.do?P_LOAZ_BID_PBLANC_NO=L2023-00065&amp;P_PBLANC_ODR=1</x:v>
      </x:c>
    </x:row>
    <x:row r="134">
      <x:c r="A134" s="43" t="str">
        <x:v>L2023-00061-1</x:v>
      </x:c>
      <x:c r="B134" s="43" t="str">
        <x:v>2022-00036</x:v>
      </x:c>
      <x:c r="C134" s="43" t="str">
        <x:v>에티오피아</x:v>
      </x:c>
      <x:c r="D134" s="43" t="str">
        <x:v>Ethiopia</x:v>
      </x:c>
      <x:c r="E134" s="43" t="str"/>
      <x:c r="F134" s="46" t="str">
        <x:v>에티오피아 가죽 및 가죽제품 경쟁력 강화 사업('22-'27/1,000만불)</x:v>
      </x:c>
      <x:c r="G134" s="46" t="str">
        <x:v>에티오피아 가죽 및 가죽제품 강화 사업 신발 라스트 생산 공장 신축 및 보수 공사 설계, 감리 용역</x:v>
      </x:c>
      <x:c r="H134" s="46" t="str">
        <x:v>Architectural Design and Construction Supervision Consultancy Services for Shoe Last Factory Construction and Remodeling Existing Facilities for Leather and Leather Products Industry RD Center</x:v>
      </x:c>
      <x:c r="I134" s="43" t="str">
        <x:v>기타·미분류</x:v>
      </x:c>
      <x:c r="J134" s="43" t="str">
        <x:v>리모델링·개보수</x:v>
      </x:c>
      <x:c r="K134" s="43" t="str">
        <x:v>용역</x:v>
      </x:c>
      <x:c r="L134" s="43" t="str">
        <x:v>일반경쟁</x:v>
      </x:c>
      <x:c r="M134" s="46" t="str">
        <x:v>협상에 의한 계약(기술가격종합평가)</x:v>
      </x:c>
      <x:c r="N134" s="46" t="str">
        <x:v>$ 180,000</x:v>
      </x:c>
      <x:c r="O134" s="46" t="str"/>
      <x:c r="P134" s="43" t="str">
        <x:v>2023-10-17</x:v>
      </x:c>
      <x:c r="Q134" s="43" t="str">
        <x:v>https://nebid.koica.go.kr/oep/lobi/localBidManageDetail.do?P_LOAZ_BID_PBLANC_NO=L2023-00061&amp;P_PBLANC_ODR=1</x:v>
      </x:c>
    </x:row>
    <x:row r="135">
      <x:c r="A135" s="43" t="str">
        <x:v>L2023-00060-1</x:v>
      </x:c>
      <x:c r="B135" s="43" t="str">
        <x:v>2019-00037</x:v>
      </x:c>
      <x:c r="C135" s="43" t="str">
        <x:v>엘살바도르</x:v>
      </x:c>
      <x:c r="D135" s="43" t="str">
        <x:v>El Salvador</x:v>
      </x:c>
      <x:c r="E135" s="43" t="str"/>
      <x:c r="F135" s="46" t="str">
        <x:v>엘살바도르 국립보건교육센터 설립 및 보건교육 강화사업('19-'25/718만불)</x:v>
      </x:c>
      <x:c r="G135" s="46" t="str">
        <x:v>엘살바도르 국립보건교육센터 설립 및 보건교육 강화사업 시공사 선정 입찰</x:v>
      </x:c>
      <x:c r="H135" s="46" t="str">
        <x:v>Bid for the Construction of the National Training Center of the Ministry of Health of El Salvador</x:v>
      </x:c>
      <x:c r="I135" s="43" t="str">
        <x:v>학교·교육시설</x:v>
      </x:c>
      <x:c r="J135" s="43" t="str">
        <x:v>신축</x:v>
      </x:c>
      <x:c r="K135" s="43" t="str">
        <x:v>공사</x:v>
      </x:c>
      <x:c r="L135" s="43" t="str">
        <x:v>일반경쟁</x:v>
      </x:c>
      <x:c r="M135" s="46" t="str">
        <x:v>적격심사</x:v>
      </x:c>
      <x:c r="N135" s="46" t="str">
        <x:v>$ 3,875,000</x:v>
      </x:c>
      <x:c r="O135" s="46" t="str"/>
      <x:c r="P135" s="43" t="str">
        <x:v>2023-10-09</x:v>
      </x:c>
      <x:c r="Q135" s="43" t="str">
        <x:v>https://nebid.koica.go.kr/oep/lobi/localBidManageDetail.do?P_LOAZ_BID_PBLANC_NO=L2023-00060&amp;P_PBLANC_ODR=1</x:v>
      </x:c>
    </x:row>
    <x:row r="136">
      <x:c r="A136" s="43" t="str">
        <x:v>L2023-00058-1</x:v>
      </x:c>
      <x:c r="B136" s="43" t="str">
        <x:v>2019-00037</x:v>
      </x:c>
      <x:c r="C136" s="43" t="str">
        <x:v>엘살바도르</x:v>
      </x:c>
      <x:c r="D136" s="43" t="str">
        <x:v>El Salvador</x:v>
      </x:c>
      <x:c r="E136" s="43" t="str"/>
      <x:c r="F136" s="46" t="str">
        <x:v>엘살바도르 국립보건교육센터 설립 및 보건교육 강화사업('19-'25/718만불)</x:v>
      </x:c>
      <x:c r="G136" s="46" t="str">
        <x:v>엘살바도르 국립보건교육센터 설립 및 보건교육 강화사업 시공사 선정 입찰(재공고)</x:v>
      </x:c>
      <x:c r="H136" s="46" t="str">
        <x:v>Bid for the Construction of the National Training Center of the Ministry of Health of El Salvador</x:v>
      </x:c>
      <x:c r="I136" s="43" t="str">
        <x:v>학교·교육시설</x:v>
      </x:c>
      <x:c r="J136" s="43" t="str">
        <x:v>신축</x:v>
      </x:c>
      <x:c r="K136" s="43" t="str">
        <x:v>공사</x:v>
      </x:c>
      <x:c r="L136" s="43" t="str">
        <x:v>일반경쟁</x:v>
      </x:c>
      <x:c r="M136" s="46" t="str">
        <x:v>적격심사</x:v>
      </x:c>
      <x:c r="N136" s="46" t="str">
        <x:v>$ 3,875,000</x:v>
      </x:c>
      <x:c r="O136" s="46" t="str"/>
      <x:c r="P136" s="43" t="str">
        <x:v>2023-08-07</x:v>
      </x:c>
      <x:c r="Q136" s="43" t="str">
        <x:v>https://nebid.koica.go.kr/oep/lobi/localBidManageDetail.do?P_LOAZ_BID_PBLANC_NO=L2023-00058&amp;P_PBLANC_ODR=1</x:v>
      </x:c>
    </x:row>
    <x:row r="137">
      <x:c r="A137" s="43" t="str">
        <x:v>L2023-00057-1</x:v>
      </x:c>
      <x:c r="B137" s="43" t="str">
        <x:v>2019-00037</x:v>
      </x:c>
      <x:c r="C137" s="43" t="str">
        <x:v>엘살바도르</x:v>
      </x:c>
      <x:c r="D137" s="43" t="str">
        <x:v>El Salvador</x:v>
      </x:c>
      <x:c r="E137" s="43" t="str"/>
      <x:c r="F137" s="46" t="str">
        <x:v>엘살바도르 국립보건교육센터 설립 및 보건교육 강화사업('19-'25/718만불)</x:v>
      </x:c>
      <x:c r="G137" s="46" t="str">
        <x:v>엘살바도르 국립보건교육센터 설립 및 보건교육 강화사업 감리 용역 현지 입찰 (재공고)</x:v>
      </x:c>
      <x:c r="H137" s="46" t="str">
        <x:v>Supervision Consultant for the Construction of National Training Center of the Ministry of Health of El Salvador</x:v>
      </x:c>
      <x:c r="I137" s="43" t="str">
        <x:v>학교·교육시설</x:v>
      </x:c>
      <x:c r="J137" s="43" t="str">
        <x:v>신축</x:v>
      </x:c>
      <x:c r="K137" s="43" t="str">
        <x:v>용역</x:v>
      </x:c>
      <x:c r="L137" s="43" t="str">
        <x:v>일반경쟁</x:v>
      </x:c>
      <x:c r="M137" s="46" t="str">
        <x:v>협상에 의한 계약(기술가격종합평가)</x:v>
      </x:c>
      <x:c r="N137" s="46" t="str">
        <x:v>$ 200,000</x:v>
      </x:c>
      <x:c r="O137" s="46" t="str"/>
      <x:c r="P137" s="43" t="str">
        <x:v>2023-09-08</x:v>
      </x:c>
      <x:c r="Q137" s="43" t="str">
        <x:v>https://nebid.koica.go.kr/oep/lobi/localBidManageDetail.do?P_LOAZ_BID_PBLANC_NO=L2023-00057&amp;P_PBLANC_ODR=1</x:v>
      </x:c>
    </x:row>
    <x:row r="138">
      <x:c r="A138" s="43" t="str">
        <x:v>L2023-00056-1</x:v>
      </x:c>
      <x:c r="B138" s="43" t="str">
        <x:v>2021-00055</x:v>
      </x:c>
      <x:c r="C138" s="43" t="str">
        <x:v>세네갈</x:v>
      </x:c>
      <x:c r="D138" s="43" t="str">
        <x:v>Senegal</x:v>
      </x:c>
      <x:c r="E138" s="43" t="str"/>
      <x:c r="F138" s="46" t="str">
        <x:v>세네갈 잠냐죠 고등기술전문대학 메이커스페이스 구축 및 창업 인큐베이팅 지원사업('21-'26/750만불)</x:v>
      </x:c>
      <x:c r="G138" s="46" t="str">
        <x:v>세네갈 ISEPDD 메이커스페이스 및 카페테리아 리모델링 공사 계약</x:v>
      </x:c>
      <x:c r="H138" s="46" t="str">
        <x:v>Remodeling Works for Establishing a start-up incubating Center and Makerspace in Senegal</x:v>
      </x:c>
      <x:c r="I138" s="43" t="str">
        <x:v>기타·미분류</x:v>
      </x:c>
      <x:c r="J138" s="43" t="str">
        <x:v>리모델링·개보수</x:v>
      </x:c>
      <x:c r="K138" s="43" t="str">
        <x:v>공사</x:v>
      </x:c>
      <x:c r="L138" s="43" t="str">
        <x:v>일반경쟁</x:v>
      </x:c>
      <x:c r="M138" s="46" t="str">
        <x:v>적격심사</x:v>
      </x:c>
      <x:c r="N138" s="46" t="str">
        <x:v>$ 297,000
		                    	 (환율 : 1210)</x:v>
      </x:c>
      <x:c r="O138" s="46" t="str">
        <x:v>\ 359,370,000</x:v>
      </x:c>
      <x:c r="P138" s="43" t="str">
        <x:v>2023-09-12</x:v>
      </x:c>
      <x:c r="Q138" s="43" t="str">
        <x:v>https://nebid.koica.go.kr/oep/lobi/localBidManageDetail.do?P_LOAZ_BID_PBLANC_NO=L2023-00056&amp;P_PBLANC_ODR=1</x:v>
      </x:c>
    </x:row>
    <x:row r="139">
      <x:c r="A139" s="43" t="str">
        <x:v>L2023-00054-2</x:v>
      </x:c>
      <x:c r="B139" s="43" t="str">
        <x:v>2021-00072</x:v>
      </x:c>
      <x:c r="C139" s="43" t="str">
        <x:v>필리핀</x:v>
      </x:c>
      <x:c r="D139" s="43" t="str">
        <x:v>Philippines</x:v>
      </x:c>
      <x:c r="E139" s="43" t="str"/>
      <x:c r="F139" s="46" t="str">
        <x:v>필리핀 국립대학교 첨단 농업연구센터 설립 및 고등교육 역량강화 사업('21-'26/1,495만불)</x:v>
      </x:c>
      <x:c r="G139" s="46" t="str">
        <x:v>(재공고) 필리핀 국립대학교 로스바뇨스(UPLB) 첨단농업연구센터 신축공사</x:v>
      </x:c>
      <x:c r="H139" s="46" t="str">
        <x:v>The Construction of the Agricultural Genomics Research Center at the University of the Philippines Los Banos Project</x:v>
      </x:c>
      <x:c r="I139" s="43" t="str">
        <x:v>학교·교육시설</x:v>
      </x:c>
      <x:c r="J139" s="43" t="str">
        <x:v>신축</x:v>
      </x:c>
      <x:c r="K139" s="43" t="str">
        <x:v>공사</x:v>
      </x:c>
      <x:c r="L139" s="43" t="str">
        <x:v>일반경쟁</x:v>
      </x:c>
      <x:c r="M139" s="46" t="str">
        <x:v>적격심사</x:v>
      </x:c>
      <x:c r="N139" s="46" t="str">
        <x:v>$ 5,107,200</x:v>
      </x:c>
      <x:c r="O139" s="46" t="str"/>
      <x:c r="P139" s="43" t="str">
        <x:v>2023-11-03</x:v>
      </x:c>
      <x:c r="Q139" s="43" t="str">
        <x:v>https://nebid.koica.go.kr/oep/lobi/localBidManageDetail.do?P_LOAZ_BID_PBLANC_NO=L2023-00054&amp;P_PBLANC_ODR=2</x:v>
      </x:c>
    </x:row>
    <x:row r="140">
      <x:c r="A140" s="43" t="str">
        <x:v>L2023-00054-1</x:v>
      </x:c>
      <x:c r="B140" s="43" t="str">
        <x:v>2021-00072</x:v>
      </x:c>
      <x:c r="C140" s="43" t="str">
        <x:v>필리핀</x:v>
      </x:c>
      <x:c r="D140" s="43" t="str">
        <x:v>Philippines</x:v>
      </x:c>
      <x:c r="E140" s="43" t="str"/>
      <x:c r="F140" s="46" t="str">
        <x:v>필리핀 국립대학교 첨단 농업연구센터 설립 및 고등교육 역량강화 사업('21-'26/1,495만불)</x:v>
      </x:c>
      <x:c r="G140" s="46" t="str">
        <x:v>필리핀 국립대학교 로스바뇨스(UPLB) 첨단농업연구센터 신축공사</x:v>
      </x:c>
      <x:c r="H140" s="46" t="str">
        <x:v>The Construction of the Agricultural Genomics Research Center at the University of the Philippines Los Banos Project</x:v>
      </x:c>
      <x:c r="I140" s="43" t="str">
        <x:v>학교·교육시설</x:v>
      </x:c>
      <x:c r="J140" s="43" t="str">
        <x:v>신축</x:v>
      </x:c>
      <x:c r="K140" s="43" t="str">
        <x:v>공사</x:v>
      </x:c>
      <x:c r="L140" s="43" t="str">
        <x:v>일반경쟁</x:v>
      </x:c>
      <x:c r="M140" s="46" t="str">
        <x:v>적격심사</x:v>
      </x:c>
      <x:c r="N140" s="46" t="str">
        <x:v>$ 5,107,200</x:v>
      </x:c>
      <x:c r="O140" s="46" t="str"/>
      <x:c r="P140" s="43" t="str">
        <x:v>2023-09-21</x:v>
      </x:c>
      <x:c r="Q140" s="43" t="str">
        <x:v>https://nebid.koica.go.kr/oep/lobi/localBidManageDetail.do?P_LOAZ_BID_PBLANC_NO=L2023-00054&amp;P_PBLANC_ODR=1</x:v>
      </x:c>
    </x:row>
    <x:row r="141">
      <x:c r="A141" s="43" t="str">
        <x:v>L2023-00053-1</x:v>
      </x:c>
      <x:c r="B141" s="43" t="str">
        <x:v>2020-00086</x:v>
      </x:c>
      <x:c r="C141" s="43" t="str">
        <x:v>우즈베키스탄</x:v>
      </x:c>
      <x:c r="D141" s="43" t="str">
        <x:v>Uzbekistan</x:v>
      </x:c>
      <x:c r="E141" s="43" t="str"/>
      <x:c r="F141" s="46" t="str">
        <x:v>우즈베키스탄 우르겐치 직업훈련원 건립 및 직업훈련 제도역량 공고화 지원 사업('20-'24/1,400만불)</x:v>
      </x:c>
      <x:c r="G141" s="46" t="str">
        <x:v>우즈베키스탄 직업훈련원 및 타슈켄트 교사연수센터 건립 시공업체 선정 현지입찰</x:v>
      </x:c>
      <x:c r="H141" s="46" t="str">
        <x:v>Construction of Urgench Vocational Training Center and Tashkent Teachers Training Center</x:v>
      </x:c>
      <x:c r="I141" s="43" t="str">
        <x:v>학교·교육시설</x:v>
      </x:c>
      <x:c r="J141" s="43" t="str">
        <x:v>신축</x:v>
      </x:c>
      <x:c r="K141" s="43" t="str">
        <x:v>공사</x:v>
      </x:c>
      <x:c r="L141" s="43" t="str">
        <x:v>일반경쟁</x:v>
      </x:c>
      <x:c r="M141" s="46" t="str">
        <x:v>적격심사</x:v>
      </x:c>
      <x:c r="N141" s="46" t="str">
        <x:v>$ 5,361,576</x:v>
      </x:c>
      <x:c r="O141" s="46" t="str"/>
      <x:c r="P141" s="43" t="str">
        <x:v>2023-07-17</x:v>
      </x:c>
      <x:c r="Q141" s="43" t="str">
        <x:v>https://nebid.koica.go.kr/oep/lobi/localBidManageDetail.do?P_LOAZ_BID_PBLANC_NO=L2023-00053&amp;P_PBLANC_ODR=1</x:v>
      </x:c>
    </x:row>
    <x:row r="142">
      <x:c r="A142" s="43" t="str">
        <x:v>L2023-00051-1</x:v>
      </x:c>
      <x:c r="B142" s="43" t="str">
        <x:v>2020-00112</x:v>
      </x:c>
      <x:c r="C142" s="43" t="str">
        <x:v>몽골</x:v>
      </x:c>
      <x:c r="D142" s="43" t="str">
        <x:v>Mongolia</x:v>
      </x:c>
      <x:c r="E142" s="43" t="str"/>
      <x:c r="F142" s="46" t="str">
        <x:v>몽골 국립과학수사원 법과학 역량강화 사업(20-25/700만불)</x:v>
      </x:c>
      <x:c r="G142" s="46" t="str">
        <x:v>몽골 국립과학수사원 법과학 역량강화 사업 시공업체 선정</x:v>
      </x:c>
      <x:c r="H142" s="46" t="str">
        <x:v>Building remodeling for Capacity Building Project for Forensic Science in Mongolia</x:v>
      </x:c>
      <x:c r="I142" s="43" t="str">
        <x:v>기타·미분류</x:v>
      </x:c>
      <x:c r="J142" s="43" t="str">
        <x:v>미분류</x:v>
      </x:c>
      <x:c r="K142" s="43" t="str">
        <x:v>공사</x:v>
      </x:c>
      <x:c r="L142" s="43" t="str">
        <x:v>조달위탁</x:v>
      </x:c>
      <x:c r="M142" s="46" t="str">
        <x:v>최저가</x:v>
      </x:c>
      <x:c r="N142" s="46" t="str"/>
      <x:c r="O142" s="46" t="str"/>
      <x:c r="P142" s="43" t="str">
        <x:v>2022-08-12</x:v>
      </x:c>
      <x:c r="Q142" s="43" t="str">
        <x:v>https://nebid.koica.go.kr/oep/lobi/localBidManageDetail.do?P_LOAZ_BID_PBLANC_NO=L2023-00051&amp;P_PBLANC_ODR=1</x:v>
      </x:c>
    </x:row>
    <x:row r="143">
      <x:c r="A143" s="43" t="str">
        <x:v>L2023-00050-1</x:v>
      </x:c>
      <x:c r="B143" s="43" t="str">
        <x:v>2021-00018</x:v>
      </x:c>
      <x:c r="C143" s="43" t="str">
        <x:v>몽골</x:v>
      </x:c>
      <x:c r="D143" s="43" t="str">
        <x:v>Mongolia</x:v>
      </x:c>
      <x:c r="E143" s="43" t="str"/>
      <x:c r="F143" s="46" t="str">
        <x:v>몽골 철도교통관제센터 건립 및  운영 역량강화를 통한 철도교통 경쟁력 강화 사업('21-'26/1,400만불)</x:v>
      </x:c>
      <x:c r="G143" s="46" t="str">
        <x:v>몽골 철도교통관제센터 건립 및 운영 역량강화사업을 통한 철도교통 경쟁력 강화사업 설계업체 선정</x:v>
      </x:c>
      <x:c r="H143" s="46" t="str">
        <x:v>Bid for design services of project to strengthen railway transportation competitiveness of Mongolia through the establishment and operational capability Enhancement of Railway Traffic Control Center (RTCC)</x:v>
      </x:c>
      <x:c r="I143" s="43" t="str">
        <x:v>기타·미분류</x:v>
      </x:c>
      <x:c r="J143" s="43" t="str">
        <x:v>신축</x:v>
      </x:c>
      <x:c r="K143" s="43" t="str">
        <x:v>용역</x:v>
      </x:c>
      <x:c r="L143" s="43" t="str">
        <x:v>조달위탁</x:v>
      </x:c>
      <x:c r="M143" s="46" t="str">
        <x:v>협상에 의한 계약(기술가격종합평가)</x:v>
      </x:c>
      <x:c r="N143" s="46" t="str"/>
      <x:c r="O143" s="46" t="str"/>
      <x:c r="P143" s="43" t="str">
        <x:v>2022-08-12</x:v>
      </x:c>
      <x:c r="Q143" s="43" t="str">
        <x:v>https://nebid.koica.go.kr/oep/lobi/localBidManageDetail.do?P_LOAZ_BID_PBLANC_NO=L2023-00050&amp;P_PBLANC_ODR=1</x:v>
      </x:c>
    </x:row>
    <x:row r="144">
      <x:c r="A144" s="43" t="str">
        <x:v>L2023-00049-1</x:v>
      </x:c>
      <x:c r="B144" s="43" t="str">
        <x:v>2019-00015</x:v>
      </x:c>
      <x:c r="C144" s="43" t="str">
        <x:v>키르기즈</x:v>
      </x:c>
      <x:c r="D144" s="43" t="str">
        <x:v>Kyrgyzstan</x:v>
      </x:c>
      <x:c r="E144" s="43" t="str"/>
      <x:c r="F144" s="46" t="str">
        <x:v>키르기즈공화국 유기농업정책 이행지원 및 역량강화 사업('19-'23/500만불)</x:v>
      </x:c>
      <x:c r="G144" s="46" t="str">
        <x:v>(재)(긴급)키르기스스탄 OPSC 리모델링공사 시공업체 선정 현지 입찰</x:v>
      </x:c>
      <x:c r="H144" s="46" t="str">
        <x:v>(re)election of the Construction Contractor of the Remodeling of Organic Production Service Cen</x:v>
      </x:c>
      <x:c r="I144" s="43" t="str">
        <x:v>농업시설</x:v>
      </x:c>
      <x:c r="J144" s="43" t="str">
        <x:v>리모델링·개보수</x:v>
      </x:c>
      <x:c r="K144" s="43" t="str">
        <x:v>공사</x:v>
      </x:c>
      <x:c r="L144" s="43" t="str">
        <x:v>일반경쟁</x:v>
      </x:c>
      <x:c r="M144" s="46" t="str">
        <x:v>적격심사</x:v>
      </x:c>
      <x:c r="N144" s="46" t="str">
        <x:v>$ 393,908</x:v>
      </x:c>
      <x:c r="O144" s="46" t="str"/>
      <x:c r="P144" s="43" t="str">
        <x:v>2023-08-21</x:v>
      </x:c>
      <x:c r="Q144" s="43" t="str">
        <x:v>https://nebid.koica.go.kr/oep/lobi/localBidManageDetail.do?P_LOAZ_BID_PBLANC_NO=L2023-00049&amp;P_PBLANC_ODR=1</x:v>
      </x:c>
    </x:row>
    <x:row r="145">
      <x:c r="A145" s="43" t="str">
        <x:v>L2023-00048-1</x:v>
      </x:c>
      <x:c r="B145" s="43" t="str">
        <x:v>2021-00163</x:v>
      </x:c>
      <x:c r="C145" s="43" t="str">
        <x:v>몽골</x:v>
      </x:c>
      <x:c r="D145" s="43" t="str">
        <x:v>Mongolia</x:v>
      </x:c>
      <x:c r="E145" s="43" t="str"/>
      <x:c r="F145" s="46" t="str">
        <x:v>몽골 대기환경 개선을 위한 에너지원 품질 관리 역량 강화사업('21-'25/450만불)</x:v>
      </x:c>
      <x:c r="G145" s="46" t="str">
        <x:v>몽골 대기환경 개선을 위한 에너지원 품질 관리 역량 강화사업 시공업체 선정</x:v>
      </x:c>
      <x:c r="H145" s="46" t="str">
        <x:v>Building remodeling for the project of capacity building for energy resource quality management to improve the air quality of Mongolia</x:v>
      </x:c>
      <x:c r="I145" s="43" t="str">
        <x:v>기타·미분류</x:v>
      </x:c>
      <x:c r="J145" s="43" t="str">
        <x:v>미분류</x:v>
      </x:c>
      <x:c r="K145" s="43" t="str">
        <x:v>공사</x:v>
      </x:c>
      <x:c r="L145" s="43" t="str">
        <x:v>조달위탁</x:v>
      </x:c>
      <x:c r="M145" s="46" t="str">
        <x:v>최저가</x:v>
      </x:c>
      <x:c r="N145" s="46" t="str"/>
      <x:c r="O145" s="46" t="str"/>
      <x:c r="P145" s="43" t="str">
        <x:v>2023-06-06</x:v>
      </x:c>
      <x:c r="Q145" s="43" t="str">
        <x:v>https://nebid.koica.go.kr/oep/lobi/localBidManageDetail.do?P_LOAZ_BID_PBLANC_NO=L2023-00048&amp;P_PBLANC_ODR=1</x:v>
      </x:c>
    </x:row>
    <x:row r="146">
      <x:c r="A146" s="43" t="str">
        <x:v>L2023-00047-1</x:v>
      </x:c>
      <x:c r="B146" s="43" t="str">
        <x:v>2010-00020</x:v>
      </x:c>
      <x:c r="C146" s="43" t="str">
        <x:v>몽골</x:v>
      </x:c>
      <x:c r="D146" s="43" t="str">
        <x:v>Mongolia</x:v>
      </x:c>
      <x:c r="E146" s="43" t="str"/>
      <x:c r="F146" s="46" t="str">
        <x:v>몽골 한몽 기술대학교 역량강화사업('10-'16/576만불)</x:v>
      </x:c>
      <x:c r="G146" s="46" t="str">
        <x:v>몽골 한몽기술대학교 역량강화사업 사후지원사업 시공업체 선정</x:v>
      </x:c>
      <x:c r="H146" s="46" t="str">
        <x:v>Repairing the building defects and improvement of structure and ventilation installation of equipment of the post management project for the capacity building of Mongolia Korea Technical College in Ulaanbaatar</x:v>
      </x:c>
      <x:c r="I146" s="43" t="str">
        <x:v>학교·교육시설</x:v>
      </x:c>
      <x:c r="J146" s="43" t="str">
        <x:v>미분류</x:v>
      </x:c>
      <x:c r="K146" s="43" t="str">
        <x:v>공사</x:v>
      </x:c>
      <x:c r="L146" s="43" t="str">
        <x:v>일반경쟁</x:v>
      </x:c>
      <x:c r="M146" s="46" t="str">
        <x:v>최저가</x:v>
      </x:c>
      <x:c r="N146" s="46" t="str"/>
      <x:c r="O146" s="46" t="str"/>
      <x:c r="P146" s="43" t="str">
        <x:v>2023-06-06</x:v>
      </x:c>
      <x:c r="Q146" s="43" t="str">
        <x:v>https://nebid.koica.go.kr/oep/lobi/localBidManageDetail.do?P_LOAZ_BID_PBLANC_NO=L2023-00047&amp;P_PBLANC_ODR=1</x:v>
      </x:c>
    </x:row>
    <x:row r="147">
      <x:c r="A147" s="43" t="str">
        <x:v>L2023-00045-1</x:v>
      </x:c>
      <x:c r="B147" s="43" t="str">
        <x:v>2021-00055</x:v>
      </x:c>
      <x:c r="C147" s="43" t="str">
        <x:v>세네갈</x:v>
      </x:c>
      <x:c r="D147" s="43" t="str">
        <x:v>Senegal</x:v>
      </x:c>
      <x:c r="E147" s="43" t="str"/>
      <x:c r="F147" s="46" t="str">
        <x:v>세네갈 잠냐죠 고등기술전문대학 메이커스페이스 구축 및 창업 인큐베이팅 지원사업('21-'26/750만불)</x:v>
      </x:c>
      <x:c r="G147" s="46" t="str">
        <x:v>세네갈 ISEPDD 메이커스페이스 및 카페테리아 리모델링 공사 계약</x:v>
      </x:c>
      <x:c r="H147" s="46" t="str">
        <x:v>Remodeling Works for Establishing a start-up incubating Center and Makerspace in Senegal</x:v>
      </x:c>
      <x:c r="I147" s="43" t="str">
        <x:v>기타·미분류</x:v>
      </x:c>
      <x:c r="J147" s="43" t="str">
        <x:v>리모델링·개보수</x:v>
      </x:c>
      <x:c r="K147" s="43" t="str">
        <x:v>공사</x:v>
      </x:c>
      <x:c r="L147" s="43" t="str">
        <x:v>일반경쟁</x:v>
      </x:c>
      <x:c r="M147" s="46" t="str">
        <x:v>적격심사</x:v>
      </x:c>
      <x:c r="N147" s="46" t="str">
        <x:v>$ 297,000
		                    	 (환율 : 1210)</x:v>
      </x:c>
      <x:c r="O147" s="46" t="str">
        <x:v>\ 359,370,000</x:v>
      </x:c>
      <x:c r="P147" s="43" t="str">
        <x:v>2023-06-16</x:v>
      </x:c>
      <x:c r="Q147" s="43" t="str">
        <x:v>https://nebid.koica.go.kr/oep/lobi/localBidManageDetail.do?P_LOAZ_BID_PBLANC_NO=L2023-00045&amp;P_PBLANC_ODR=1</x:v>
      </x:c>
    </x:row>
    <x:row r="148">
      <x:c r="A148" s="43" t="str">
        <x:v>L2023-00042-1</x:v>
      </x:c>
      <x:c r="B148" s="43" t="str">
        <x:v>2014-00003</x:v>
      </x:c>
      <x:c r="C148" s="43" t="str">
        <x:v>방글라데시</x:v>
      </x:c>
      <x:c r="D148" s="43" t="str">
        <x:v>Bangladesh</x:v>
      </x:c>
      <x:c r="E148" s="43" t="str"/>
      <x:c r="F148" s="46" t="str">
        <x:v>방글라데시 안질환 예방 및 치료역량강화사업('14-'23/940만불)</x:v>
      </x:c>
      <x:c r="G148" s="46" t="str">
        <x:v>방글라데시 안질환 예방 및 치료역량 강화사업 병원운영 안정성강화 지원</x:v>
      </x:c>
      <x:c r="H148" s="46" t="str">
        <x:v>Building Renovation Works for Strengthening sustainability and stability of Bangladesh Korea Friendship Hospital and Eye care Center</x:v>
      </x:c>
      <x:c r="I148" s="43" t="str">
        <x:v>병원</x:v>
      </x:c>
      <x:c r="J148" s="43" t="str">
        <x:v>리모델링·개보수</x:v>
      </x:c>
      <x:c r="K148" s="43" t="str">
        <x:v>공사</x:v>
      </x:c>
      <x:c r="L148" s="43" t="str">
        <x:v>일반경쟁</x:v>
      </x:c>
      <x:c r="M148" s="46" t="str">
        <x:v>적격심사</x:v>
      </x:c>
      <x:c r="N148" s="46" t="str">
        <x:v>$ 341,250</x:v>
      </x:c>
      <x:c r="O148" s="46" t="str"/>
      <x:c r="P148" s="43" t="str">
        <x:v>2023-08-08</x:v>
      </x:c>
      <x:c r="Q148" s="43" t="str">
        <x:v>https://nebid.koica.go.kr/oep/lobi/localBidManageDetail.do?P_LOAZ_BID_PBLANC_NO=L2023-00042&amp;P_PBLANC_ODR=1</x:v>
      </x:c>
    </x:row>
    <x:row r="149">
      <x:c r="A149" s="43" t="str">
        <x:v>L2023-00040-1</x:v>
      </x:c>
      <x:c r="B149" s="43" t="str">
        <x:v>2020-00070</x:v>
      </x:c>
      <x:c r="C149" s="43" t="str">
        <x:v>도미니카</x:v>
      </x:c>
      <x:c r="D149" s="43" t="str">
        <x:v>Dominican Republic</x:v>
      </x:c>
      <x:c r="E149" s="43" t="str"/>
      <x:c r="F149" s="46" t="str">
        <x:v>도미니카공화국 여성 중심 취약계층 사회.경제적 역량강화사업('20-'26/550만불)</x:v>
      </x:c>
      <x:c r="G149" s="46" t="str">
        <x:v>도미니카공화국 여성 중심 취약계층 사회경제적 역량강화사업 - 몬테크리스티 직업훈련센터 설계용역 입찰</x:v>
      </x:c>
      <x:c r="H149" s="46" t="str">
        <x:v>Monte Cristi Vocational Training Centers for Strengthening Capacities for the Empowerment of Women through Technical Training and Gender Mainstreaming, Dominican Republic</x:v>
      </x:c>
      <x:c r="I149" s="43" t="str">
        <x:v>학교·교육시설</x:v>
      </x:c>
      <x:c r="J149" s="43" t="str">
        <x:v>미분류</x:v>
      </x:c>
      <x:c r="K149" s="43" t="str">
        <x:v>용역</x:v>
      </x:c>
      <x:c r="L149" s="43" t="str">
        <x:v>일반경쟁</x:v>
      </x:c>
      <x:c r="M149" s="46" t="str">
        <x:v>협상에 의한 계약(기술가격종합평가)</x:v>
      </x:c>
      <x:c r="N149" s="46" t="str">
        <x:v>$ 73,800</x:v>
      </x:c>
      <x:c r="O149" s="46" t="str"/>
      <x:c r="P149" s="43" t="str">
        <x:v>2023-08-08</x:v>
      </x:c>
      <x:c r="Q149" s="43" t="str">
        <x:v>https://nebid.koica.go.kr/oep/lobi/localBidManageDetail.do?P_LOAZ_BID_PBLANC_NO=L2023-00040&amp;P_PBLANC_ODR=1</x:v>
      </x:c>
    </x:row>
    <x:row r="150">
      <x:c r="A150" s="43" t="str">
        <x:v>L2023-00038-1</x:v>
      </x:c>
      <x:c r="B150" s="43" t="str">
        <x:v>2022-00076</x:v>
      </x:c>
      <x:c r="C150" s="43" t="str">
        <x:v>피지</x:v>
      </x:c>
      <x:c r="D150" s="43" t="str">
        <x:v>Fiji</x:v>
      </x:c>
      <x:c r="E150" s="43" t="str"/>
      <x:c r="F150" s="46" t="str">
        <x:v>피지 국립재활센터 건립사업('22-'27/1,000만불)</x:v>
      </x:c>
      <x:c r="G150" s="46" t="str">
        <x:v>피지 국립재활센터 건립사업 설계 및 감리용역 현지입찰계획</x:v>
      </x:c>
      <x:c r="H150" s="46" t="str">
        <x:v>Design and Construction Supervision Consultant Services for the National Rehabilitation Center in Fiji</x:v>
      </x:c>
      <x:c r="I150" s="43" t="str">
        <x:v>기타·미분류</x:v>
      </x:c>
      <x:c r="J150" s="43" t="str">
        <x:v>리모델링·개보수</x:v>
      </x:c>
      <x:c r="K150" s="43" t="str">
        <x:v>용역</x:v>
      </x:c>
      <x:c r="L150" s="43" t="str">
        <x:v>일반경쟁</x:v>
      </x:c>
      <x:c r="M150" s="46" t="str">
        <x:v>협상에 의한 계약(기술가격종합평가)</x:v>
      </x:c>
      <x:c r="N150" s="46" t="str">
        <x:v>$ 450,176
		                    	 (환율 : 1290)</x:v>
      </x:c>
      <x:c r="O150" s="46" t="str">
        <x:v>\ 580,727,040</x:v>
      </x:c>
      <x:c r="P150" s="43" t="str">
        <x:v>2023-07-22</x:v>
      </x:c>
      <x:c r="Q150" s="43" t="str">
        <x:v>https://nebid.koica.go.kr/oep/lobi/localBidManageDetail.do?P_LOAZ_BID_PBLANC_NO=L2023-00038&amp;P_PBLANC_ODR=1</x:v>
      </x:c>
    </x:row>
    <x:row r="151">
      <x:c r="A151" s="43" t="str">
        <x:v>L2023-00037-1</x:v>
      </x:c>
      <x:c r="B151" s="43" t="str">
        <x:v>2019-00037</x:v>
      </x:c>
      <x:c r="C151" s="43" t="str">
        <x:v>엘살바도르</x:v>
      </x:c>
      <x:c r="D151" s="43" t="str">
        <x:v>El Salvador</x:v>
      </x:c>
      <x:c r="E151" s="43" t="str"/>
      <x:c r="F151" s="46" t="str">
        <x:v>엘살바도르 국립보건교육센터 설립 및 보건교육 강화사업('19-'25/718만불)</x:v>
      </x:c>
      <x:c r="G151" s="46" t="str">
        <x:v>엘살바도르 국립보건교육센터 설립 및 보건교육 강화사업 감리 용역 현지 입찰</x:v>
      </x:c>
      <x:c r="H151" s="46" t="str">
        <x:v>Supervision Consultant for the Construction of National Training Center of the Ministry of Health of El Salvador</x:v>
      </x:c>
      <x:c r="I151" s="43" t="str">
        <x:v>학교·교육시설</x:v>
      </x:c>
      <x:c r="J151" s="43" t="str">
        <x:v>신축</x:v>
      </x:c>
      <x:c r="K151" s="43" t="str">
        <x:v>용역</x:v>
      </x:c>
      <x:c r="L151" s="43" t="str">
        <x:v>일반경쟁</x:v>
      </x:c>
      <x:c r="M151" s="46" t="str">
        <x:v>협상에 의한 계약(기술가격종합평가)</x:v>
      </x:c>
      <x:c r="N151" s="46" t="str">
        <x:v>$ 200,000</x:v>
      </x:c>
      <x:c r="O151" s="46" t="str"/>
      <x:c r="P151" s="43" t="str">
        <x:v>2023-07-18</x:v>
      </x:c>
      <x:c r="Q151" s="43" t="str">
        <x:v>https://nebid.koica.go.kr/oep/lobi/localBidManageDetail.do?P_LOAZ_BID_PBLANC_NO=L2023-00037&amp;P_PBLANC_ODR=1</x:v>
      </x:c>
    </x:row>
    <x:row r="152">
      <x:c r="A152" s="43" t="str">
        <x:v>L2023-00036-1</x:v>
      </x:c>
      <x:c r="B152" s="43" t="str">
        <x:v>2020-00086</x:v>
      </x:c>
      <x:c r="C152" s="43" t="str">
        <x:v>우즈베키스탄</x:v>
      </x:c>
      <x:c r="D152" s="43" t="str">
        <x:v>Uzbekistan</x:v>
      </x:c>
      <x:c r="E152" s="43" t="str"/>
      <x:c r="F152" s="46" t="str">
        <x:v>우즈베키스탄 우르겐치 직업훈련원 건립 및 직업훈련 제도역량 공고화 지원 사업('20-'24/1,400만불)</x:v>
      </x:c>
      <x:c r="G152" s="46" t="str">
        <x:v>우즈베키스탄 우르겐치 직업훈련원 건립 및 타슈켄트 교사연수센터 건립사업 시공업체선정 현지입찰</x:v>
      </x:c>
      <x:c r="H152" s="46" t="str">
        <x:v>Selection of the Construction Contractor of Urgench Vocational Training Center and Tashkent Teachers Training Center</x:v>
      </x:c>
      <x:c r="I152" s="43" t="str">
        <x:v>학교·교육시설</x:v>
      </x:c>
      <x:c r="J152" s="43" t="str">
        <x:v>신축</x:v>
      </x:c>
      <x:c r="K152" s="43" t="str">
        <x:v>공사</x:v>
      </x:c>
      <x:c r="L152" s="43" t="str">
        <x:v>일반경쟁</x:v>
      </x:c>
      <x:c r="M152" s="46" t="str">
        <x:v>적격심사</x:v>
      </x:c>
      <x:c r="N152" s="46" t="str">
        <x:v>$ 5,361,576</x:v>
      </x:c>
      <x:c r="O152" s="46" t="str"/>
      <x:c r="P152" s="43" t="str">
        <x:v>2023-07-17</x:v>
      </x:c>
      <x:c r="Q152" s="43" t="str">
        <x:v>https://nebid.koica.go.kr/oep/lobi/localBidManageDetail.do?P_LOAZ_BID_PBLANC_NO=L2023-00036&amp;P_PBLANC_ODR=1</x:v>
      </x:c>
    </x:row>
    <x:row r="153">
      <x:c r="A153" s="43" t="str">
        <x:v>L2023-00035-1</x:v>
      </x:c>
      <x:c r="B153" s="43" t="str">
        <x:v>2019-00015</x:v>
      </x:c>
      <x:c r="C153" s="43" t="str">
        <x:v>키르기즈</x:v>
      </x:c>
      <x:c r="D153" s="43" t="str">
        <x:v>Kyrgyzstan</x:v>
      </x:c>
      <x:c r="E153" s="43" t="str"/>
      <x:c r="F153" s="46" t="str">
        <x:v>키르기즈공화국 유기농업정책 이행지원 및 역량강화 사업('19-'23/500만불)</x:v>
      </x:c>
      <x:c r="G153" s="46" t="str">
        <x:v>(긴급) 키르기스스탄 OPSC 개보수 공사 시공업체 선정 현지 입찰</x:v>
      </x:c>
      <x:c r="H153" s="46" t="str">
        <x:v>Selection of the Construction Contractor of the Remodeling of Organic Production Service Center, Issyk-Kul Oblast, Kyrgyz Republic</x:v>
      </x:c>
      <x:c r="I153" s="43" t="str">
        <x:v>농업시설</x:v>
      </x:c>
      <x:c r="J153" s="43" t="str">
        <x:v>리모델링·개보수</x:v>
      </x:c>
      <x:c r="K153" s="43" t="str">
        <x:v>공사</x:v>
      </x:c>
      <x:c r="L153" s="43" t="str">
        <x:v>일반경쟁</x:v>
      </x:c>
      <x:c r="M153" s="46" t="str">
        <x:v>적격심사</x:v>
      </x:c>
      <x:c r="N153" s="46" t="str">
        <x:v>$ 388,511</x:v>
      </x:c>
      <x:c r="O153" s="46" t="str"/>
      <x:c r="P153" s="43" t="str">
        <x:v>2023-07-07</x:v>
      </x:c>
      <x:c r="Q153" s="43" t="str">
        <x:v>https://nebid.koica.go.kr/oep/lobi/localBidManageDetail.do?P_LOAZ_BID_PBLANC_NO=L2023-00035&amp;P_PBLANC_ODR=1</x:v>
      </x:c>
    </x:row>
    <x:row r="154">
      <x:c r="A154" s="43" t="str">
        <x:v>L2023-00032-1</x:v>
      </x:c>
      <x:c r="B154" s="43" t="str">
        <x:v>2020-00046</x:v>
      </x:c>
      <x:c r="C154" s="43" t="str">
        <x:v>모잠비크</x:v>
      </x:c>
      <x:c r="D154" s="43" t="str">
        <x:v>Mozambique</x:v>
      </x:c>
      <x:c r="E154" s="43" t="str"/>
      <x:c r="F154" s="46" t="str">
        <x:v>모잠비크 도로안전 시범개선 및 역량강화 사업('20-'24/700만불)</x:v>
      </x:c>
      <x:c r="G154" s="46" t="str">
        <x:v>모잠비크 도로안전 시범개선사업 시공업체 선정 입찰</x:v>
      </x:c>
      <x:c r="H154" s="46" t="str">
        <x:v>Construction for Road Safety Improvements and Capability-Enhancement Project of Mozambique.</x:v>
      </x:c>
      <x:c r="I154" s="43" t="str">
        <x:v>기타·미분류</x:v>
      </x:c>
      <x:c r="J154" s="43" t="str">
        <x:v>미분류</x:v>
      </x:c>
      <x:c r="K154" s="43" t="str">
        <x:v>공사</x:v>
      </x:c>
      <x:c r="L154" s="43" t="str">
        <x:v>일반경쟁</x:v>
      </x:c>
      <x:c r="M154" s="46" t="str">
        <x:v>적격심사</x:v>
      </x:c>
      <x:c r="N154" s="46" t="str">
        <x:v>$ 2,060,000</x:v>
      </x:c>
      <x:c r="O154" s="46" t="str"/>
      <x:c r="P154" s="43" t="str">
        <x:v>2023-06-30</x:v>
      </x:c>
      <x:c r="Q154" s="43" t="str">
        <x:v>https://nebid.koica.go.kr/oep/lobi/localBidManageDetail.do?P_LOAZ_BID_PBLANC_NO=L2023-00032&amp;P_PBLANC_ODR=1</x:v>
      </x:c>
    </x:row>
    <x:row r="155">
      <x:c r="A155" s="43" t="str">
        <x:v>L2023-00031-2</x:v>
      </x:c>
      <x:c r="B155" s="43" t="str">
        <x:v>2013-00064</x:v>
      </x:c>
      <x:c r="C155" s="43" t="str">
        <x:v>볼리비아</x:v>
      </x:c>
      <x:c r="D155" s="43" t="str">
        <x:v>Bolivia</x:v>
      </x:c>
      <x:c r="E155" s="43" t="str"/>
      <x:c r="F155" s="46" t="str">
        <x:v>볼리비아 고원지역 농업기계화 및 농민 역량강화를 통한 생산성증대 지원사업('13-'25/500만불)</x:v>
      </x:c>
      <x:c r="G155" s="46" t="str">
        <x:v>(재공고) 볼리비아 고원지역 농업기계화 및 농민 역량강화를 통한 생산성증대 지원사업 시공 용역 입찰</x:v>
      </x:c>
      <x:c r="H155" s="46" t="str">
        <x:v>Bidding for the construction of the Improvement of the Agricultural Productivity in the Highlands through the Mechanization and Capacity Building of Farmers in Bolivia.</x:v>
      </x:c>
      <x:c r="I155" s="43" t="str">
        <x:v>농업시설</x:v>
      </x:c>
      <x:c r="J155" s="43" t="str">
        <x:v>신축</x:v>
      </x:c>
      <x:c r="K155" s="43" t="str">
        <x:v>공사</x:v>
      </x:c>
      <x:c r="L155" s="43" t="str">
        <x:v>일반경쟁</x:v>
      </x:c>
      <x:c r="M155" s="46" t="str">
        <x:v>최저가</x:v>
      </x:c>
      <x:c r="N155" s="46" t="str"/>
      <x:c r="O155" s="46" t="str"/>
      <x:c r="P155" s="43" t="str">
        <x:v>2023-07-05</x:v>
      </x:c>
      <x:c r="Q155" s="43" t="str">
        <x:v>https://nebid.koica.go.kr/oep/lobi/localBidManageDetail.do?P_LOAZ_BID_PBLANC_NO=L2023-00031&amp;P_PBLANC_ODR=2</x:v>
      </x:c>
    </x:row>
    <x:row r="156">
      <x:c r="A156" s="43" t="str">
        <x:v>L2023-00031-1</x:v>
      </x:c>
      <x:c r="B156" s="43" t="str">
        <x:v>2013-00064</x:v>
      </x:c>
      <x:c r="C156" s="43" t="str">
        <x:v>볼리비아</x:v>
      </x:c>
      <x:c r="D156" s="43" t="str">
        <x:v>Bolivia</x:v>
      </x:c>
      <x:c r="E156" s="43" t="str"/>
      <x:c r="F156" s="46" t="str">
        <x:v>볼리비아 고원지역 농업기계화 및 농민 역량강화를 통한 생산성증대 지원사업('13-'25/500만불)</x:v>
      </x:c>
      <x:c r="G156" s="46" t="str">
        <x:v>(재입찰) 볼리비아 고원지역 농업기계화 및 농민 역량강화를 통한 생산성증대 지원사업 시공 용역 입찰</x:v>
      </x:c>
      <x:c r="H156" s="46" t="str">
        <x:v>Bidding for the construction of the Improvement of the Agricultural Productivity in the Highlands through the Mechanization and Capacity Building of Farmers in Bolivia.</x:v>
      </x:c>
      <x:c r="I156" s="43" t="str">
        <x:v>농업시설</x:v>
      </x:c>
      <x:c r="J156" s="43" t="str">
        <x:v>신축</x:v>
      </x:c>
      <x:c r="K156" s="43" t="str">
        <x:v>공사</x:v>
      </x:c>
      <x:c r="L156" s="43" t="str">
        <x:v>일반경쟁</x:v>
      </x:c>
      <x:c r="M156" s="46" t="str">
        <x:v>최저가</x:v>
      </x:c>
      <x:c r="N156" s="46" t="str"/>
      <x:c r="O156" s="46" t="str"/>
      <x:c r="P156" s="43" t="str">
        <x:v>2023-05-25</x:v>
      </x:c>
      <x:c r="Q156" s="43" t="str">
        <x:v>https://nebid.koica.go.kr/oep/lobi/localBidManageDetail.do?P_LOAZ_BID_PBLANC_NO=L2023-00031&amp;P_PBLANC_ODR=1</x:v>
      </x:c>
    </x:row>
    <x:row r="157">
      <x:c r="A157" s="43" t="str">
        <x:v>L2023-00030-1</x:v>
      </x:c>
      <x:c r="B157" s="43" t="str">
        <x:v>2021-00097</x:v>
      </x:c>
      <x:c r="C157" s="43" t="str">
        <x:v>피지</x:v>
      </x:c>
      <x:c r="D157" s="43" t="str">
        <x:v>Fiji</x:v>
      </x:c>
      <x:c r="E157" s="43" t="str"/>
      <x:c r="F157" s="46" t="str">
        <x:v>피지 농업공존형 태양광 발전사업(GCF)('21-'24/800만불)</x:v>
      </x:c>
      <x:c r="G157" s="46" t="str">
        <x:v>피지 농업공존형 태양광 발전사업(GCF) 영농기술센터 및 농기자재 보관창고 신축 설계 및 감리용역</x:v>
      </x:c>
      <x:c r="H157" s="46" t="str">
        <x:v>Design and Construction Supervision Consultant Services for the Agricultural Research Center  Machinery Storage of KOICA Fiji Agrophotovoltaic Programme (GCF)</x:v>
      </x:c>
      <x:c r="I157" s="43" t="str">
        <x:v>농업시설</x:v>
      </x:c>
      <x:c r="J157" s="43" t="str">
        <x:v>신축</x:v>
      </x:c>
      <x:c r="K157" s="43" t="str">
        <x:v>용역</x:v>
      </x:c>
      <x:c r="L157" s="43" t="str">
        <x:v>일반경쟁</x:v>
      </x:c>
      <x:c r="M157" s="46" t="str">
        <x:v>협상에 의한 계약(기술가격종합평가)</x:v>
      </x:c>
      <x:c r="N157" s="46" t="str">
        <x:v>$ 95,000</x:v>
      </x:c>
      <x:c r="O157" s="46" t="str"/>
      <x:c r="P157" s="43" t="str">
        <x:v>2023-06-08</x:v>
      </x:c>
      <x:c r="Q157" s="43" t="str">
        <x:v>https://nebid.koica.go.kr/oep/lobi/localBidManageDetail.do?P_LOAZ_BID_PBLANC_NO=L2023-00030&amp;P_PBLANC_ODR=1</x:v>
      </x:c>
    </x:row>
    <x:row r="158">
      <x:c r="A158" s="43" t="str">
        <x:v>L2023-00028-1</x:v>
      </x:c>
      <x:c r="B158" s="43" t="str">
        <x:v>2021-00042</x:v>
      </x:c>
      <x:c r="C158" s="43" t="str">
        <x:v>우간다</x:v>
      </x:c>
      <x:c r="D158" s="43" t="str">
        <x:v>Uganda</x:v>
      </x:c>
      <x:c r="E158" s="43" t="str"/>
      <x:c r="F158" s="46" t="str">
        <x:v>우간다 농업지도자 연수원 자립적 운영체계 구축 및 연수역량 강화사업(`21-`28/1,200만불)</x:v>
      </x:c>
      <x:c r="G158" s="46" t="str">
        <x:v>우간다 농업지도자연수원 자립적 운영체계 구축 및 연수역량강화 사업을 위한 설계 및 감리 용역</x:v>
      </x:c>
      <x:c r="H158" s="46" t="str">
        <x:v>Architectural Design  Construction Supervision Consultancy Services (Building Construction) for the establishment of Institutional Capacity support to the National Farmers Leadership Center in Uganda</x:v>
      </x:c>
      <x:c r="I158" s="43" t="str">
        <x:v>농업시설</x:v>
      </x:c>
      <x:c r="J158" s="43" t="str">
        <x:v>미분류</x:v>
      </x:c>
      <x:c r="K158" s="43" t="str">
        <x:v>용역</x:v>
      </x:c>
      <x:c r="L158" s="43" t="str">
        <x:v>일반경쟁</x:v>
      </x:c>
      <x:c r="M158" s="46" t="str">
        <x:v>협상에 의한 계약(기술가격종합평가)</x:v>
      </x:c>
      <x:c r="N158" s="46" t="str">
        <x:v>$ 274,330</x:v>
      </x:c>
      <x:c r="O158" s="46" t="str"/>
      <x:c r="P158" s="43" t="str">
        <x:v>2023-06-27</x:v>
      </x:c>
      <x:c r="Q158" s="43" t="str">
        <x:v>https://nebid.koica.go.kr/oep/lobi/localBidManageDetail.do?P_LOAZ_BID_PBLANC_NO=L2023-00028&amp;P_PBLANC_ODR=1</x:v>
      </x:c>
    </x:row>
    <x:row r="159">
      <x:c r="A159" s="43" t="str">
        <x:v>L2023-00027-1</x:v>
      </x:c>
      <x:c r="B159" s="43" t="str">
        <x:v>2019-00037</x:v>
      </x:c>
      <x:c r="C159" s="43" t="str">
        <x:v>엘살바도르</x:v>
      </x:c>
      <x:c r="D159" s="43" t="str">
        <x:v>El Salvador</x:v>
      </x:c>
      <x:c r="E159" s="43" t="str"/>
      <x:c r="F159" s="46" t="str">
        <x:v>엘살바도르 국립보건교육센터 설립 및 보건교육 강화사업('19-'25/718만불)</x:v>
      </x:c>
      <x:c r="G159" s="46" t="str">
        <x:v>엘살바도르 국립보건교육센터 설립 및 보건교육 강화사업 시공사 선정 입찰</x:v>
      </x:c>
      <x:c r="H159" s="46" t="str">
        <x:v>Bid for the Construction of the National Training Center of the Ministry of Health of El Salvador</x:v>
      </x:c>
      <x:c r="I159" s="43" t="str">
        <x:v>학교·교육시설</x:v>
      </x:c>
      <x:c r="J159" s="43" t="str">
        <x:v>신축</x:v>
      </x:c>
      <x:c r="K159" s="43" t="str">
        <x:v>공사</x:v>
      </x:c>
      <x:c r="L159" s="43" t="str">
        <x:v>일반경쟁</x:v>
      </x:c>
      <x:c r="M159" s="46" t="str">
        <x:v>적격심사</x:v>
      </x:c>
      <x:c r="N159" s="46" t="str">
        <x:v>$ 3,875,000</x:v>
      </x:c>
      <x:c r="O159" s="46" t="str"/>
      <x:c r="P159" s="43" t="str">
        <x:v>2023-06-21</x:v>
      </x:c>
      <x:c r="Q159" s="43" t="str">
        <x:v>https://nebid.koica.go.kr/oep/lobi/localBidManageDetail.do?P_LOAZ_BID_PBLANC_NO=L2023-00027&amp;P_PBLANC_ODR=1</x:v>
      </x:c>
    </x:row>
    <x:row r="160">
      <x:c r="A160" s="43" t="str">
        <x:v>L2023-00024-1</x:v>
      </x:c>
      <x:c r="B160" s="43" t="str">
        <x:v>2019-00015</x:v>
      </x:c>
      <x:c r="C160" s="43" t="str">
        <x:v>키르기즈</x:v>
      </x:c>
      <x:c r="D160" s="43" t="str">
        <x:v>Kyrgyzstan</x:v>
      </x:c>
      <x:c r="E160" s="43" t="str"/>
      <x:c r="F160" s="46" t="str">
        <x:v>키르기즈공화국 유기농업정책 이행지원 및 역량강화 사업('19-'23/500만불)</x:v>
      </x:c>
      <x:c r="G160" s="46" t="str">
        <x:v>키르기즈공화국 유기농업정책 이행지원 및 역량강화 사업 약초건조장 신축공사 시공업체 선정 현지입찰</x:v>
      </x:c>
      <x:c r="H160" s="46" t="str">
        <x:v>Selection of the Construction Contractor of the Herb Dryer Equipment Storage, Issyk-Kul Oblast, Kyrgyz Republic</x:v>
      </x:c>
      <x:c r="I160" s="43" t="str">
        <x:v>농업시설</x:v>
      </x:c>
      <x:c r="J160" s="43" t="str">
        <x:v>신축</x:v>
      </x:c>
      <x:c r="K160" s="43" t="str">
        <x:v>공사</x:v>
      </x:c>
      <x:c r="L160" s="43" t="str">
        <x:v>일반경쟁</x:v>
      </x:c>
      <x:c r="M160" s="46" t="str">
        <x:v>적격심사</x:v>
      </x:c>
      <x:c r="N160" s="46" t="str">
        <x:v>$ 417,057</x:v>
      </x:c>
      <x:c r="O160" s="46" t="str">
        <x:v>\ 1,100</x:v>
      </x:c>
      <x:c r="P160" s="43" t="str">
        <x:v>2023-03-30</x:v>
      </x:c>
      <x:c r="Q160" s="43" t="str">
        <x:v>https://nebid.koica.go.kr/oep/lobi/localBidManageDetail.do?P_LOAZ_BID_PBLANC_NO=L2023-00024&amp;P_PBLANC_ODR=1</x:v>
      </x:c>
    </x:row>
    <x:row r="161">
      <x:c r="A161" s="43" t="str">
        <x:v>L2023-00022-1</x:v>
      </x:c>
      <x:c r="B161" s="43" t="str">
        <x:v>2021-00075</x:v>
      </x:c>
      <x:c r="C161" s="43" t="str">
        <x:v>동티모르</x:v>
      </x:c>
      <x:c r="D161" s="43" t="str">
        <x:v>Timor-Leste</x:v>
      </x:c>
      <x:c r="E161" s="43" t="str"/>
      <x:c r="F161" s="46" t="str">
        <x:v>동티모르 농민참여형 가치사슬 개선사업('21-'25/600만불)</x:v>
      </x:c>
      <x:c r="G161" s="46" t="str">
        <x:v>동티모르 농민참여형 가치사슬 개선사업 농업용 인프라 시공업체 선정</x:v>
      </x:c>
      <x:c r="H161" s="46" t="str">
        <x:v>Selection of an Agricultural Infrastructure Contractor for the Value Chain Improvement Project Through Farmers Participation in Timor-Leste</x:v>
      </x:c>
      <x:c r="I161" s="43" t="str">
        <x:v>농업시설</x:v>
      </x:c>
      <x:c r="J161" s="43" t="str">
        <x:v>미분류</x:v>
      </x:c>
      <x:c r="K161" s="43" t="str">
        <x:v>공사</x:v>
      </x:c>
      <x:c r="L161" s="43" t="str">
        <x:v>일반경쟁</x:v>
      </x:c>
      <x:c r="M161" s="46" t="str">
        <x:v>적격심사</x:v>
      </x:c>
      <x:c r="N161" s="46" t="str">
        <x:v>$ 1,570,000</x:v>
      </x:c>
      <x:c r="O161" s="46" t="str"/>
      <x:c r="P161" s="43" t="str">
        <x:v>2023-05-04</x:v>
      </x:c>
      <x:c r="Q161" s="43" t="str">
        <x:v>https://nebid.koica.go.kr/oep/lobi/localBidManageDetail.do?P_LOAZ_BID_PBLANC_NO=L2023-00022&amp;P_PBLANC_ODR=1</x:v>
      </x:c>
    </x:row>
    <x:row r="162">
      <x:c r="A162" s="43" t="str">
        <x:v>L2023-00021-1</x:v>
      </x:c>
      <x:c r="B162" s="43" t="str">
        <x:v>2021-00064</x:v>
      </x:c>
      <x:c r="C162" s="43" t="str">
        <x:v>파라과이</x:v>
      </x:c>
      <x:c r="D162" s="43" t="str">
        <x:v>Paraguay</x:v>
      </x:c>
      <x:c r="E162" s="43" t="str"/>
      <x:c r="F162" s="46" t="str">
        <x:v>파라과이 멀티미디어 교육 지원센터 설립을 통한 교육접근성 향상사업('21-'27/990만불)</x:v>
      </x:c>
      <x:c r="G162" s="46" t="str">
        <x:v>파라과이 멀티미디어 교육지원센터 설립을 통한 교육접근성 향상사업(설계 용역 입찰)</x:v>
      </x:c>
      <x:c r="H162" s="46" t="str">
        <x:v>Education Accessibility Improvement Project through Establishment of MULTI-MEDIA Center in Paraguay (Design Bidding)</x:v>
      </x:c>
      <x:c r="I162" s="43" t="str">
        <x:v>기타·미분류</x:v>
      </x:c>
      <x:c r="J162" s="43" t="str">
        <x:v>미분류</x:v>
      </x:c>
      <x:c r="K162" s="43" t="str">
        <x:v>용역</x:v>
      </x:c>
      <x:c r="L162" s="43" t="str">
        <x:v>일반경쟁</x:v>
      </x:c>
      <x:c r="M162" s="46" t="str">
        <x:v>협상에 의한 계약(기술평가)</x:v>
      </x:c>
      <x:c r="N162" s="46" t="str">
        <x:v>$ 88,000</x:v>
      </x:c>
      <x:c r="O162" s="46" t="str"/>
      <x:c r="P162" s="43" t="str">
        <x:v>2023-02-06</x:v>
      </x:c>
      <x:c r="Q162" s="43" t="str">
        <x:v>https://nebid.koica.go.kr/oep/lobi/localBidManageDetail.do?P_LOAZ_BID_PBLANC_NO=L2023-00021&amp;P_PBLANC_ODR=1</x:v>
      </x:c>
    </x:row>
    <x:row r="163">
      <x:c r="A163" s="43" t="str">
        <x:v>L2023-00019-1</x:v>
      </x:c>
      <x:c r="B163" s="43" t="str">
        <x:v>2021-00075</x:v>
      </x:c>
      <x:c r="C163" s="43" t="str">
        <x:v>동티모르</x:v>
      </x:c>
      <x:c r="D163" s="43" t="str">
        <x:v>Timor-Leste</x:v>
      </x:c>
      <x:c r="E163" s="43" t="str"/>
      <x:c r="F163" s="46" t="str">
        <x:v>동티모르 농민참여형 가치사슬 개선사업('21-'25/600만불)</x:v>
      </x:c>
      <x:c r="G163" s="46" t="str">
        <x:v>(신규재입찰) 동티모르 농민참여형 가치사슬 개선사업 농업용 인프라 시공</x:v>
      </x:c>
      <x:c r="H163" s="46" t="str">
        <x:v>Construction of Agricultural Infrastructure for The Value Chain Improvement Project in Timor Leste</x:v>
      </x:c>
      <x:c r="I163" s="43" t="str">
        <x:v>농업시설</x:v>
      </x:c>
      <x:c r="J163" s="43" t="str">
        <x:v>신축</x:v>
      </x:c>
      <x:c r="K163" s="43" t="str">
        <x:v>공사</x:v>
      </x:c>
      <x:c r="L163" s="43" t="str">
        <x:v>일반경쟁</x:v>
      </x:c>
      <x:c r="M163" s="46" t="str">
        <x:v>적격심사</x:v>
      </x:c>
      <x:c r="N163" s="46" t="str">
        <x:v>$ 1,570,000</x:v>
      </x:c>
      <x:c r="O163" s="46" t="str"/>
      <x:c r="P163" s="43" t="str">
        <x:v>2023-04-12</x:v>
      </x:c>
      <x:c r="Q163" s="43" t="str">
        <x:v>https://nebid.koica.go.kr/oep/lobi/localBidManageDetail.do?P_LOAZ_BID_PBLANC_NO=L2023-00019&amp;P_PBLANC_ODR=1</x:v>
      </x:c>
    </x:row>
    <x:row r="164">
      <x:c r="A164" s="43" t="str">
        <x:v>L2023-00018-1</x:v>
      </x:c>
      <x:c r="B164" s="43" t="str">
        <x:v>2020-00087</x:v>
      </x:c>
      <x:c r="C164" s="43" t="str">
        <x:v>인도네시아</x:v>
      </x:c>
      <x:c r="D164" s="43" t="str">
        <x:v>Indonesia</x:v>
      </x:c>
      <x:c r="E164" s="43" t="str"/>
      <x:c r="F164" s="46" t="str">
        <x:v>인도네시아 취약계층 청소년 사회복귀 지원 사업('20-'25/700만불)</x:v>
      </x:c>
      <x:c r="G164" s="46" t="str">
        <x:v>인도네시아 취약계층 청소년 사회복귀 지원사업 리모델링 시공업체 선정</x:v>
      </x:c>
      <x:c r="H164" s="46" t="str">
        <x:v>Selection of the Construction Contractor of Remodeling Works of the Project of Enhancing Social Rehabilitation Support for the Indonesian Vulnerable Youth in Jakarta</x:v>
      </x:c>
      <x:c r="I164" s="43" t="str">
        <x:v>기타·미분류</x:v>
      </x:c>
      <x:c r="J164" s="43" t="str">
        <x:v>리모델링·개보수</x:v>
      </x:c>
      <x:c r="K164" s="43" t="str">
        <x:v>공사</x:v>
      </x:c>
      <x:c r="L164" s="43" t="str">
        <x:v>일반경쟁</x:v>
      </x:c>
      <x:c r="M164" s="46" t="str">
        <x:v>적격심사</x:v>
      </x:c>
      <x:c r="N164" s="46" t="str">
        <x:v>$ 2,355,000</x:v>
      </x:c>
      <x:c r="O164" s="46" t="str"/>
      <x:c r="P164" s="43" t="str">
        <x:v>2023-04-18</x:v>
      </x:c>
      <x:c r="Q164" s="43" t="str">
        <x:v>https://nebid.koica.go.kr/oep/lobi/localBidManageDetail.do?P_LOAZ_BID_PBLANC_NO=L2023-00018&amp;P_PBLANC_ODR=1</x:v>
      </x:c>
    </x:row>
    <x:row r="165">
      <x:c r="A165" s="43" t="str">
        <x:v>L2023-00015-1</x:v>
      </x:c>
      <x:c r="B165" s="43" t="str">
        <x:v>2013-00064</x:v>
      </x:c>
      <x:c r="C165" s="43" t="str">
        <x:v>볼리비아</x:v>
      </x:c>
      <x:c r="D165" s="43" t="str">
        <x:v>Bolivia</x:v>
      </x:c>
      <x:c r="E165" s="43" t="str"/>
      <x:c r="F165" s="46" t="str">
        <x:v>볼리비아 고원지역 농업기계화 및 농민 역량강화를 통한 생산성증대 지원사업('13-'25/500만불)</x:v>
      </x:c>
      <x:c r="G165" s="46" t="str">
        <x:v>볼리비아 고원지역 농업기계화 및 농민 역량강화를 통한 생산성증대 지원사업 감리 용역 입찰</x:v>
      </x:c>
      <x:c r="H165" s="46" t="str">
        <x:v>Bidding for the construction supervision of the Improvement of the Agricultural Productivity in the Highlands through the Mechanization and Capacity Building of Farmers in Bolivia</x:v>
      </x:c>
      <x:c r="I165" s="43" t="str">
        <x:v>농업시설</x:v>
      </x:c>
      <x:c r="J165" s="43" t="str">
        <x:v>미분류</x:v>
      </x:c>
      <x:c r="K165" s="43" t="str">
        <x:v>용역</x:v>
      </x:c>
      <x:c r="L165" s="43" t="str">
        <x:v>일반경쟁</x:v>
      </x:c>
      <x:c r="M165" s="46" t="str">
        <x:v>협상에 의한 계약(기술가격종합평가)</x:v>
      </x:c>
      <x:c r="N165" s="46" t="str"/>
      <x:c r="O165" s="46" t="str"/>
      <x:c r="P165" s="43" t="str">
        <x:v>2023-03-29</x:v>
      </x:c>
      <x:c r="Q165" s="43" t="str">
        <x:v>https://nebid.koica.go.kr/oep/lobi/localBidManageDetail.do?P_LOAZ_BID_PBLANC_NO=L2023-00015&amp;P_PBLANC_ODR=1</x:v>
      </x:c>
    </x:row>
    <x:row r="166">
      <x:c r="A166" s="43" t="str">
        <x:v>L2023-00012-1</x:v>
      </x:c>
      <x:c r="B166" s="43" t="str">
        <x:v>2013-00064</x:v>
      </x:c>
      <x:c r="C166" s="43" t="str">
        <x:v>볼리비아</x:v>
      </x:c>
      <x:c r="D166" s="43" t="str">
        <x:v>Bolivia</x:v>
      </x:c>
      <x:c r="E166" s="43" t="str"/>
      <x:c r="F166" s="46" t="str">
        <x:v>볼리비아 고원지역 농업기계화 및 농민 역량강화를 통한 생산성증대 지원사업(13-25/500만불)</x:v>
      </x:c>
      <x:c r="G166" s="46" t="str">
        <x:v>볼리비아 고원지역 농업기계화 및 농민 역량강화를 통한 생산성증대 지원사업 시공 용역 입찰</x:v>
      </x:c>
      <x:c r="H166" s="46" t="str">
        <x:v>Bidding for the construction of the Improvement of the Agricultural Productivity in the Highlands through the Mechanization and Capacity Building of Farmers in Bolivia.</x:v>
      </x:c>
      <x:c r="I166" s="43" t="str">
        <x:v>농업시설</x:v>
      </x:c>
      <x:c r="J166" s="43" t="str">
        <x:v>신축</x:v>
      </x:c>
      <x:c r="K166" s="43" t="str">
        <x:v>공사</x:v>
      </x:c>
      <x:c r="L166" s="43" t="str">
        <x:v>일반경쟁</x:v>
      </x:c>
      <x:c r="M166" s="46" t="str">
        <x:v>최저가</x:v>
      </x:c>
      <x:c r="N166" s="46" t="str"/>
      <x:c r="O166" s="46" t="str"/>
      <x:c r="P166" s="43" t="str">
        <x:v>2023-03-17</x:v>
      </x:c>
      <x:c r="Q166" s="43" t="str">
        <x:v>https://nebid.koica.go.kr/oep/lobi/localBidManageDetail.do?P_LOAZ_BID_PBLANC_NO=L2023-00012&amp;P_PBLANC_ODR=1</x:v>
      </x:c>
    </x:row>
    <x:row r="167">
      <x:c r="A167" s="43" t="str">
        <x:v>L2023-00011-1</x:v>
      </x:c>
      <x:c r="B167" s="43" t="str">
        <x:v>2021-00043</x:v>
      </x:c>
      <x:c r="C167" s="43" t="str">
        <x:v>우간다</x:v>
      </x:c>
      <x:c r="D167" s="43" t="str">
        <x:v>Uganda</x:v>
      </x:c>
      <x:c r="E167" s="43" t="str"/>
      <x:c r="F167" s="46" t="str">
        <x:v>우간다 주요 채소작물 종자 가치사슬 역량강화사업(`21-`29/800만불)</x:v>
      </x:c>
      <x:c r="G167" s="46" t="str">
        <x:v>우간다 주요 채소작물 종자 가치사슬 역량강화사업 Wakiso, Mukono 및 Luwero지역 온실, 토목 및 수도 건축공사</x:v>
      </x:c>
      <x:c r="H167" s="46" t="str">
        <x:v>Uganda seed value chain capacity building for key vegetable crops(Vegeseed Project) Construction of Greenhouses, Civil and Water Works at Four sites in Wakiso, Mukono, and Luwero Districs</x:v>
      </x:c>
      <x:c r="I167" s="43" t="str">
        <x:v>기타·미분류</x:v>
      </x:c>
      <x:c r="J167" s="43" t="str">
        <x:v>신축</x:v>
      </x:c>
      <x:c r="K167" s="43" t="str">
        <x:v>공사</x:v>
      </x:c>
      <x:c r="L167" s="43" t="str">
        <x:v>일반경쟁</x:v>
      </x:c>
      <x:c r="M167" s="46" t="str">
        <x:v>적격심사</x:v>
      </x:c>
      <x:c r="N167" s="46" t="str">
        <x:v>$ 1,540,000</x:v>
      </x:c>
      <x:c r="O167" s="46" t="str"/>
      <x:c r="P167" s="43" t="str">
        <x:v>2023-03-28</x:v>
      </x:c>
      <x:c r="Q167" s="43" t="str">
        <x:v>https://nebid.koica.go.kr/oep/lobi/localBidManageDetail.do?P_LOAZ_BID_PBLANC_NO=L2023-00011&amp;P_PBLANC_ODR=1</x:v>
      </x:c>
    </x:row>
    <x:row r="168">
      <x:c r="A168" s="43" t="str">
        <x:v>L2023-00009-1</x:v>
      </x:c>
      <x:c r="B168" s="43" t="str">
        <x:v>2019-00005</x:v>
      </x:c>
      <x:c r="C168" s="43" t="str">
        <x:v>우간다</x:v>
      </x:c>
      <x:c r="D168" s="43" t="str">
        <x:v>Uganda</x:v>
      </x:c>
      <x:c r="E168" s="43" t="str"/>
      <x:c r="F168" s="46" t="str">
        <x:v>우간다 지속가능 농촌개발 시범마을 확산 사업('19-'23/590만불)</x:v>
      </x:c>
      <x:c r="G168" s="46" t="str">
        <x:v>우간다 지속가능 농촌개발 시범마을 확산사업 옥수수 가공시설 및 여성친화적 시장 건축 공사</x:v>
      </x:c>
      <x:c r="H168" s="46" t="str">
        <x:v>Construction of Medium Maize Milling Facility and Women Friendly Market in Bongole Parish, Mpigi District</x:v>
      </x:c>
      <x:c r="I168" s="43" t="str">
        <x:v>기타·미분류</x:v>
      </x:c>
      <x:c r="J168" s="43" t="str">
        <x:v>신축</x:v>
      </x:c>
      <x:c r="K168" s="43" t="str">
        <x:v>공사</x:v>
      </x:c>
      <x:c r="L168" s="43" t="str">
        <x:v>일반경쟁</x:v>
      </x:c>
      <x:c r="M168" s="46" t="str">
        <x:v>적격심사</x:v>
      </x:c>
      <x:c r="N168" s="46" t="str">
        <x:v>$ 272,603
		                    	 (환율 : 1299.1)</x:v>
      </x:c>
      <x:c r="O168" s="46" t="str">
        <x:v>\ 354,383,562</x:v>
      </x:c>
      <x:c r="P168" s="43" t="str">
        <x:v>2023-03-20</x:v>
      </x:c>
      <x:c r="Q168" s="43" t="str">
        <x:v>https://nebid.koica.go.kr/oep/lobi/localBidManageDetail.do?P_LOAZ_BID_PBLANC_NO=L2023-00009&amp;P_PBLANC_ODR=1</x:v>
      </x:c>
    </x:row>
    <x:row r="169">
      <x:c r="A169" s="43" t="str">
        <x:v>L2023-00007-1</x:v>
      </x:c>
      <x:c r="B169" s="43" t="str">
        <x:v>2020-00086</x:v>
      </x:c>
      <x:c r="C169" s="43" t="str">
        <x:v>우즈베키스탄</x:v>
      </x:c>
      <x:c r="D169" s="43" t="str">
        <x:v>Uzbekistan</x:v>
      </x:c>
      <x:c r="E169" s="43" t="str"/>
      <x:c r="F169" s="46" t="str">
        <x:v>우즈베키스탄 우르겐치 직업훈련원 건립 및 직업훈련 제도역량 공고화 지원 사업('20-'24/1,400만불)</x:v>
      </x:c>
      <x:c r="G169" s="46" t="str">
        <x:v>우즈베키스탄 우르겐치 직업훈련원 건립 및 타슈켄트 교사연수센터 건립사업 시공업체선정 현지입찰</x:v>
      </x:c>
      <x:c r="H169" s="46" t="str">
        <x:v>Selection of the Construction Contractor of the Vocational Training Center in Urgench district of Khorezm region and Teachers Training Center in Tashkent City, Uzbekistan</x:v>
      </x:c>
      <x:c r="I169" s="43" t="str">
        <x:v>학교·교육시설</x:v>
      </x:c>
      <x:c r="J169" s="43" t="str">
        <x:v>신축</x:v>
      </x:c>
      <x:c r="K169" s="43" t="str">
        <x:v>공사</x:v>
      </x:c>
      <x:c r="L169" s="43" t="str">
        <x:v>일반경쟁</x:v>
      </x:c>
      <x:c r="M169" s="46" t="str">
        <x:v>적격심사</x:v>
      </x:c>
      <x:c r="N169" s="46" t="str">
        <x:v>$ 5,361,576</x:v>
      </x:c>
      <x:c r="O169" s="46" t="str"/>
      <x:c r="P169" s="43" t="str">
        <x:v>2023-02-28</x:v>
      </x:c>
      <x:c r="Q169" s="43" t="str">
        <x:v>https://nebid.koica.go.kr/oep/lobi/localBidManageDetail.do?P_LOAZ_BID_PBLANC_NO=L2023-00007&amp;P_PBLANC_ODR=1</x:v>
      </x:c>
    </x:row>
    <x:row r="170">
      <x:c r="A170" s="43" t="str">
        <x:v>L2023-00006-1</x:v>
      </x:c>
      <x:c r="B170" s="43" t="str">
        <x:v>2021-00075</x:v>
      </x:c>
      <x:c r="C170" s="43" t="str">
        <x:v>동티모르</x:v>
      </x:c>
      <x:c r="D170" s="43" t="str">
        <x:v>Timor-Leste</x:v>
      </x:c>
      <x:c r="E170" s="43" t="str"/>
      <x:c r="F170" s="46" t="str">
        <x:v>동티모르 농민참여형 가치사슬 개선사업('21-'25/600만불)</x:v>
      </x:c>
      <x:c r="G170" s="46" t="str">
        <x:v>동티모르 농민참여형 가치사슬 개선사업 농업용 인프라 시공</x:v>
      </x:c>
      <x:c r="H170" s="46" t="str">
        <x:v>Construction of Agricultural Infrastructure for The Value Chain Improvement Project in Timor Leste</x:v>
      </x:c>
      <x:c r="I170" s="43" t="str">
        <x:v>농업시설</x:v>
      </x:c>
      <x:c r="J170" s="43" t="str">
        <x:v>신축</x:v>
      </x:c>
      <x:c r="K170" s="43" t="str">
        <x:v>공사</x:v>
      </x:c>
      <x:c r="L170" s="43" t="str">
        <x:v>일반경쟁</x:v>
      </x:c>
      <x:c r="M170" s="46" t="str">
        <x:v>적격심사</x:v>
      </x:c>
      <x:c r="N170" s="46" t="str">
        <x:v>$ 1,570,000</x:v>
      </x:c>
      <x:c r="O170" s="46" t="str"/>
      <x:c r="P170" s="43" t="str">
        <x:v>2023-02-23</x:v>
      </x:c>
      <x:c r="Q170" s="43" t="str">
        <x:v>https://nebid.koica.go.kr/oep/lobi/localBidManageDetail.do?P_LOAZ_BID_PBLANC_NO=L2023-00006&amp;P_PBLANC_ODR=1</x:v>
      </x:c>
    </x:row>
    <x:row r="171">
      <x:c r="A171" s="43" t="str">
        <x:v>L2023-00004-1</x:v>
      </x:c>
      <x:c r="B171" s="43" t="str">
        <x:v>2020-00053</x:v>
      </x:c>
      <x:c r="C171" s="43" t="str">
        <x:v>에티오피아</x:v>
      </x:c>
      <x:c r="D171" s="43" t="str">
        <x:v>Ethiopia</x:v>
      </x:c>
      <x:c r="E171" s="43" t="str"/>
      <x:c r="F171" s="46" t="str">
        <x:v>에티오피아 양질의 일자리 창출을 위한 ICT 기반의 창업 및 중소기업(SMEs) 육성 지원 사업(`20-`26/1,000만불)</x:v>
      </x:c>
      <x:c r="G171" s="46" t="str">
        <x:v>에티오피아 양질의 일자리 창출을 위한 ICT기반의 창업 및 중소기업(SME)육성 지원사업 ICT 센터 리모델링 공사</x:v>
      </x:c>
      <x:c r="H171" s="46" t="str">
        <x:v>Remodeling Works for the Project for ICT-based Business Creation and SME Support to Create Quality Jobs in Ethiopia</x:v>
      </x:c>
      <x:c r="I171" s="43" t="str">
        <x:v>기타·미분류</x:v>
      </x:c>
      <x:c r="J171" s="43" t="str">
        <x:v>리모델링·개보수</x:v>
      </x:c>
      <x:c r="K171" s="43" t="str">
        <x:v>공사</x:v>
      </x:c>
      <x:c r="L171" s="43" t="str">
        <x:v>일반경쟁</x:v>
      </x:c>
      <x:c r="M171" s="46" t="str">
        <x:v>적격심사</x:v>
      </x:c>
      <x:c r="N171" s="46" t="str">
        <x:v>$ 704,431</x:v>
      </x:c>
      <x:c r="O171" s="46" t="str"/>
      <x:c r="P171" s="43" t="str">
        <x:v>2023-02-10</x:v>
      </x:c>
      <x:c r="Q171" s="43" t="str">
        <x:v>https://nebid.koica.go.kr/oep/lobi/localBidManageDetail.do?P_LOAZ_BID_PBLANC_NO=L2023-00004&amp;P_PBLANC_ODR=1</x:v>
      </x:c>
    </x:row>
    <x:row r="172">
      <x:c r="A172" s="43" t="str">
        <x:v>L2023-00003-1</x:v>
      </x:c>
      <x:c r="B172" s="43" t="str">
        <x:v>2019-00005</x:v>
      </x:c>
      <x:c r="C172" s="43" t="str">
        <x:v>우간다</x:v>
      </x:c>
      <x:c r="D172" s="43" t="str">
        <x:v>Uganda</x:v>
      </x:c>
      <x:c r="E172" s="43" t="str"/>
      <x:c r="F172" s="46" t="str">
        <x:v>우간다 지속가능 농촌개발 시범마을 확산 사업('19-'23/590만불)</x:v>
      </x:c>
      <x:c r="G172" s="46" t="str">
        <x:v>우간다 지속가능 농촌개발 시범마을 확산사업 옥수수 가공시설 및 여성친화적 시장 건축 공사</x:v>
      </x:c>
      <x:c r="H172" s="46" t="str">
        <x:v>Construction of Medium Maize Milling Facility and Women Friendly Market in Bongole Parish, Mpigi District</x:v>
      </x:c>
      <x:c r="I172" s="43" t="str">
        <x:v>기타·미분류</x:v>
      </x:c>
      <x:c r="J172" s="43" t="str">
        <x:v>신축</x:v>
      </x:c>
      <x:c r="K172" s="43" t="str">
        <x:v>공사</x:v>
      </x:c>
      <x:c r="L172" s="43" t="str">
        <x:v>일반경쟁</x:v>
      </x:c>
      <x:c r="M172" s="46" t="str">
        <x:v>적격심사</x:v>
      </x:c>
      <x:c r="N172" s="46" t="str">
        <x:v>$ 272,603
		                    	 (환율 : 1249.1)</x:v>
      </x:c>
      <x:c r="O172" s="46" t="str">
        <x:v>\ 340,753,425</x:v>
      </x:c>
      <x:c r="P172" s="43" t="str">
        <x:v>2023-01-30</x:v>
      </x:c>
      <x:c r="Q172" s="43" t="str">
        <x:v>https://nebid.koica.go.kr/oep/lobi/localBidManageDetail.do?P_LOAZ_BID_PBLANC_NO=L2023-00003&amp;P_PBLANC_ODR=1</x:v>
      </x:c>
    </x:row>
    <x:row r="173">
      <x:c r="A173" s="43" t="str">
        <x:v>L2022-00069-1</x:v>
      </x:c>
      <x:c r="B173" s="43" t="str">
        <x:v>2022-00011</x:v>
      </x:c>
      <x:c r="C173" s="43" t="str">
        <x:v>파라과이</x:v>
      </x:c>
      <x:c r="D173" s="43" t="str">
        <x:v>Paraguay</x:v>
      </x:c>
      <x:c r="E173" s="43" t="str"/>
      <x:c r="F173" s="46" t="str">
        <x:v>파라과이 아순시온 국립대학 ICT 혁신센터 설립을 통한 ICT 경쟁력 강화 사업('22-'26/960만불)</x:v>
      </x:c>
      <x:c r="G173" s="46" t="str">
        <x:v>파라과이 아순시온 국립대학 ICT 혁신센터 설립 현지 설계업체 선정 입찰</x:v>
      </x:c>
      <x:c r="H173" s="46" t="str">
        <x:v>Procurement of Design Consultant For ICT Innovation Center (Enhancement ICT Competency in UNA, Paraguay)</x:v>
      </x:c>
      <x:c r="I173" s="43" t="str">
        <x:v>기타·미분류</x:v>
      </x:c>
      <x:c r="J173" s="43" t="str">
        <x:v>미분류</x:v>
      </x:c>
      <x:c r="K173" s="43" t="str">
        <x:v>용역</x:v>
      </x:c>
      <x:c r="L173" s="43" t="str">
        <x:v>일반경쟁</x:v>
      </x:c>
      <x:c r="M173" s="46" t="str">
        <x:v>협상에 의한 계약(기술가격종합평가)</x:v>
      </x:c>
      <x:c r="N173" s="46" t="str">
        <x:v>$ 140,000
		                    	 (환율 : 1130)</x:v>
      </x:c>
      <x:c r="O173" s="46" t="str">
        <x:v>\ 158,200,000</x:v>
      </x:c>
      <x:c r="P173" s="43" t="str">
        <x:v>2022-09-29</x:v>
      </x:c>
      <x:c r="Q173" s="43" t="str">
        <x:v>https://nebid.koica.go.kr/oep/lobi/localBidManageDetail.do?P_LOAZ_BID_PBLANC_NO=L2022-00069&amp;P_PBLANC_ODR=1</x:v>
      </x:c>
    </x:row>
    <x:row r="174">
      <x:c r="A174" s="43" t="str">
        <x:v>L2022-00068-1</x:v>
      </x:c>
      <x:c r="B174" s="43" t="str">
        <x:v>2020-00053</x:v>
      </x:c>
      <x:c r="C174" s="43" t="str">
        <x:v>에티오피아</x:v>
      </x:c>
      <x:c r="D174" s="43" t="str">
        <x:v>Ethiopia</x:v>
      </x:c>
      <x:c r="E174" s="43" t="str"/>
      <x:c r="F174" s="46" t="str">
        <x:v>에티오피아 양질의 일자리 창출을 위한 ICT 기반의 창업 및 중소기업(SMEs) 육성 지원 사업(`20-`26/1,000만불)</x:v>
      </x:c>
      <x:c r="G174" s="46" t="str">
        <x:v>에티오피아 양질의 일자리 창출을 위한 ICT기반의 창업 및 중소기업(SME)육성 지원사업 ICT 센터 리모델링 공사</x:v>
      </x:c>
      <x:c r="H174" s="46" t="str">
        <x:v>Remodeling Works for the Project for ICT-based Business Creation and SME Support to Create Quality Jobs in Ethiopia</x:v>
      </x:c>
      <x:c r="I174" s="43" t="str">
        <x:v>기타·미분류</x:v>
      </x:c>
      <x:c r="J174" s="43" t="str">
        <x:v>리모델링·개보수</x:v>
      </x:c>
      <x:c r="K174" s="43" t="str">
        <x:v>공사</x:v>
      </x:c>
      <x:c r="L174" s="43" t="str">
        <x:v>일반경쟁</x:v>
      </x:c>
      <x:c r="M174" s="46" t="str">
        <x:v>적격심사</x:v>
      </x:c>
      <x:c r="N174" s="46" t="str">
        <x:v>$ 704,431</x:v>
      </x:c>
      <x:c r="O174" s="46" t="str"/>
      <x:c r="P174" s="43" t="str">
        <x:v>2022-11-25</x:v>
      </x:c>
      <x:c r="Q174" s="43" t="str">
        <x:v>https://nebid.koica.go.kr/oep/lobi/localBidManageDetail.do?P_LOAZ_BID_PBLANC_NO=L2022-00068&amp;P_PBLANC_ODR=1</x:v>
      </x:c>
    </x:row>
    <x:row r="175">
      <x:c r="A175" s="43" t="str">
        <x:v>L2022-00066-1</x:v>
      </x:c>
      <x:c r="B175" s="43" t="str">
        <x:v>2010-00020</x:v>
      </x:c>
      <x:c r="C175" s="43" t="str">
        <x:v>몽골</x:v>
      </x:c>
      <x:c r="D175" s="43" t="str">
        <x:v>Mongolia</x:v>
      </x:c>
      <x:c r="E175" s="43" t="str"/>
      <x:c r="F175" s="46" t="str">
        <x:v>몽골 한몽 기술대학교 역량강화사업('10-'16/576만불)</x:v>
      </x:c>
      <x:c r="G175" s="46" t="str">
        <x:v>몽골 한몽기술대학교 역량강화사업 사후관리 설계업체 선정</x:v>
      </x:c>
      <x:c r="H175" s="46" t="str">
        <x:v>Bid for design services of the project for the capacity building of Korea-Mongolia Technical college in Ulaanbaatar</x:v>
      </x:c>
      <x:c r="I175" s="43" t="str">
        <x:v>학교·교육시설</x:v>
      </x:c>
      <x:c r="J175" s="43" t="str">
        <x:v>미분류</x:v>
      </x:c>
      <x:c r="K175" s="43" t="str">
        <x:v>용역</x:v>
      </x:c>
      <x:c r="L175" s="43" t="str">
        <x:v>조달위탁</x:v>
      </x:c>
      <x:c r="M175" s="46" t="str">
        <x:v>최저가</x:v>
      </x:c>
      <x:c r="N175" s="46" t="str"/>
      <x:c r="O175" s="46" t="str"/>
      <x:c r="P175" s="43" t="str">
        <x:v>2022-09-15</x:v>
      </x:c>
      <x:c r="Q175" s="43" t="str">
        <x:v>https://nebid.koica.go.kr/oep/lobi/localBidManageDetail.do?P_LOAZ_BID_PBLANC_NO=L2022-00066&amp;P_PBLANC_ODR=1</x:v>
      </x:c>
    </x:row>
    <x:row r="176">
      <x:c r="A176" s="43" t="str">
        <x:v>L2022-00065-2</x:v>
      </x:c>
      <x:c r="B176" s="43" t="str">
        <x:v>2010-00020</x:v>
      </x:c>
      <x:c r="C176" s="43" t="str">
        <x:v>몽골</x:v>
      </x:c>
      <x:c r="D176" s="43" t="str">
        <x:v>Mongolia</x:v>
      </x:c>
      <x:c r="E176" s="43" t="str"/>
      <x:c r="F176" s="46" t="str">
        <x:v>몽골 한몽 기술대학교 역량강화사업('10-'16/576만불)</x:v>
      </x:c>
      <x:c r="G176" s="46" t="str">
        <x:v>몽골 한몽기술대학교 역량강화사업 사후관리 설계업체 선정</x:v>
      </x:c>
      <x:c r="H176" s="46" t="str">
        <x:v>Bid for design services of the project for the capacity building of KOrea-Mongolia Technical college in Ulaanbaatar</x:v>
      </x:c>
      <x:c r="I176" s="43" t="str">
        <x:v>학교·교육시설</x:v>
      </x:c>
      <x:c r="J176" s="43" t="str">
        <x:v>미분류</x:v>
      </x:c>
      <x:c r="K176" s="43" t="str">
        <x:v>용역</x:v>
      </x:c>
      <x:c r="L176" s="43" t="str">
        <x:v>조달위탁</x:v>
      </x:c>
      <x:c r="M176" s="46" t="str">
        <x:v>협상에 의한 계약(기술가격종합평가)</x:v>
      </x:c>
      <x:c r="N176" s="46" t="str"/>
      <x:c r="O176" s="46" t="str"/>
      <x:c r="P176" s="43" t="str">
        <x:v>2022-07-29</x:v>
      </x:c>
      <x:c r="Q176" s="43" t="str">
        <x:v>https://nebid.koica.go.kr/oep/lobi/localBidManageDetail.do?P_LOAZ_BID_PBLANC_NO=L2022-00065&amp;P_PBLANC_ODR=2</x:v>
      </x:c>
    </x:row>
    <x:row r="177">
      <x:c r="A177" s="43" t="str">
        <x:v>L2022-00065-1</x:v>
      </x:c>
      <x:c r="B177" s="43" t="str">
        <x:v>2010-00020</x:v>
      </x:c>
      <x:c r="C177" s="43" t="str">
        <x:v>몽골</x:v>
      </x:c>
      <x:c r="D177" s="43" t="str">
        <x:v>Mongolia</x:v>
      </x:c>
      <x:c r="E177" s="43" t="str"/>
      <x:c r="F177" s="46" t="str">
        <x:v>몽골 한몽 기술대학교 역량강화사업('10-'16/576만불)</x:v>
      </x:c>
      <x:c r="G177" s="46" t="str">
        <x:v>몽골 한몽기술대학교 역량강화사업 사후관리 설계업체 선정</x:v>
      </x:c>
      <x:c r="H177" s="46" t="str">
        <x:v>Bid for design services of the project for the capacity building of KOrea-Mongolia Technical college in Ulaanbaatar</x:v>
      </x:c>
      <x:c r="I177" s="43" t="str">
        <x:v>학교·교육시설</x:v>
      </x:c>
      <x:c r="J177" s="43" t="str">
        <x:v>미분류</x:v>
      </x:c>
      <x:c r="K177" s="43" t="str">
        <x:v>용역</x:v>
      </x:c>
      <x:c r="L177" s="43" t="str">
        <x:v>조달위탁</x:v>
      </x:c>
      <x:c r="M177" s="46" t="str">
        <x:v>최저가</x:v>
      </x:c>
      <x:c r="N177" s="46" t="str"/>
      <x:c r="O177" s="46" t="str"/>
      <x:c r="P177" s="43" t="str">
        <x:v>2022-07-06</x:v>
      </x:c>
      <x:c r="Q177" s="43" t="str">
        <x:v>https://nebid.koica.go.kr/oep/lobi/localBidManageDetail.do?P_LOAZ_BID_PBLANC_NO=L2022-00065&amp;P_PBLANC_ODR=1</x:v>
      </x:c>
    </x:row>
    <x:row r="178">
      <x:c r="A178" s="43" t="str">
        <x:v>L2022-00064-1</x:v>
      </x:c>
      <x:c r="B178" s="43" t="str">
        <x:v>2021-00163</x:v>
      </x:c>
      <x:c r="C178" s="43" t="str">
        <x:v>몽골</x:v>
      </x:c>
      <x:c r="D178" s="43" t="str">
        <x:v>Mongolia</x:v>
      </x:c>
      <x:c r="E178" s="43" t="str"/>
      <x:c r="F178" s="46" t="str">
        <x:v>몽골 대기환경 개선을 위한 에너지원 품질 관리 역량 강화사업('21-'25/450만불)</x:v>
      </x:c>
      <x:c r="G178" s="46" t="str">
        <x:v>몽골 대기환경 개선을 위한 에너지원 품질관리 역량강화사업 설계업체 선정</x:v>
      </x:c>
      <x:c r="H178" s="46" t="str">
        <x:v>Bid for design servies of the project of the capacity building for Energy resources quality management to improve the air quality of Mongolia, Ulaanbaatar city in Mongolia</x:v>
      </x:c>
      <x:c r="I178" s="43" t="str">
        <x:v>기타·미분류</x:v>
      </x:c>
      <x:c r="J178" s="43" t="str">
        <x:v>미분류</x:v>
      </x:c>
      <x:c r="K178" s="43" t="str">
        <x:v>용역</x:v>
      </x:c>
      <x:c r="L178" s="43" t="str">
        <x:v>조달위탁</x:v>
      </x:c>
      <x:c r="M178" s="46" t="str">
        <x:v>최저가</x:v>
      </x:c>
      <x:c r="N178" s="46" t="str"/>
      <x:c r="O178" s="46" t="str"/>
      <x:c r="P178" s="43" t="str">
        <x:v>2022-09-15</x:v>
      </x:c>
      <x:c r="Q178" s="43" t="str">
        <x:v>https://nebid.koica.go.kr/oep/lobi/localBidManageDetail.do?P_LOAZ_BID_PBLANC_NO=L2022-00064&amp;P_PBLANC_ODR=1</x:v>
      </x:c>
    </x:row>
    <x:row r="179">
      <x:c r="A179" s="43" t="str">
        <x:v>L2022-00063-2</x:v>
      </x:c>
      <x:c r="B179" s="43" t="str">
        <x:v>2021-00163</x:v>
      </x:c>
      <x:c r="C179" s="43" t="str">
        <x:v>몽골</x:v>
      </x:c>
      <x:c r="D179" s="43" t="str">
        <x:v>Mongolia</x:v>
      </x:c>
      <x:c r="E179" s="43" t="str"/>
      <x:c r="F179" s="46" t="str">
        <x:v>몽골 대기환경 개선을 위한 에너지원 품질 관리 역량 강화사업('21-'25/450만불)</x:v>
      </x:c>
      <x:c r="G179" s="46" t="str">
        <x:v>몽골 대기환경 개선을 위한 에너지원 품질관리 역량강화사업 설계업체 선정</x:v>
      </x:c>
      <x:c r="H179" s="46" t="str">
        <x:v>Bid for design servies of the project of the capacity building for Energy resources quality management to improve the air quality of Mongolia, Ulaanbaatar city in Mongolia</x:v>
      </x:c>
      <x:c r="I179" s="43" t="str">
        <x:v>기타·미분류</x:v>
      </x:c>
      <x:c r="J179" s="43" t="str">
        <x:v>미분류</x:v>
      </x:c>
      <x:c r="K179" s="43" t="str">
        <x:v>용역</x:v>
      </x:c>
      <x:c r="L179" s="43" t="str">
        <x:v>조달위탁</x:v>
      </x:c>
      <x:c r="M179" s="46" t="str">
        <x:v>최저가</x:v>
      </x:c>
      <x:c r="N179" s="46" t="str"/>
      <x:c r="O179" s="46" t="str"/>
      <x:c r="P179" s="43" t="str">
        <x:v>2022-08-04</x:v>
      </x:c>
      <x:c r="Q179" s="43" t="str">
        <x:v>https://nebid.koica.go.kr/oep/lobi/localBidManageDetail.do?P_LOAZ_BID_PBLANC_NO=L2022-00063&amp;P_PBLANC_ODR=2</x:v>
      </x:c>
    </x:row>
    <x:row r="180">
      <x:c r="A180" s="43" t="str">
        <x:v>L2022-00063-1</x:v>
      </x:c>
      <x:c r="B180" s="43" t="str">
        <x:v>2021-00163</x:v>
      </x:c>
      <x:c r="C180" s="43" t="str">
        <x:v>몽골</x:v>
      </x:c>
      <x:c r="D180" s="43" t="str">
        <x:v>Mongolia</x:v>
      </x:c>
      <x:c r="E180" s="43" t="str"/>
      <x:c r="F180" s="46" t="str">
        <x:v>몽골 대기환경 개선을 위한 에너지원 품질 관리 역량 강화사업('21-'25/450만불)</x:v>
      </x:c>
      <x:c r="G180" s="46" t="str">
        <x:v>몽골 대기환경 개선을 위한 에너지원 품질관리 역량강화사업 설계업체 선정</x:v>
      </x:c>
      <x:c r="H180" s="46" t="str">
        <x:v>Bid for design servies of the project of the capacity building for Energy resources quality management to improve the air quality of Mongolia, Ulaanbaatar city in Mongolia</x:v>
      </x:c>
      <x:c r="I180" s="43" t="str">
        <x:v>기타·미분류</x:v>
      </x:c>
      <x:c r="J180" s="43" t="str">
        <x:v>미분류</x:v>
      </x:c>
      <x:c r="K180" s="43" t="str">
        <x:v>용역</x:v>
      </x:c>
      <x:c r="L180" s="43" t="str">
        <x:v>조달위탁</x:v>
      </x:c>
      <x:c r="M180" s="46" t="str">
        <x:v>최저가</x:v>
      </x:c>
      <x:c r="N180" s="46" t="str"/>
      <x:c r="O180" s="46" t="str"/>
      <x:c r="P180" s="43" t="str">
        <x:v>2022-07-20</x:v>
      </x:c>
      <x:c r="Q180" s="43" t="str">
        <x:v>https://nebid.koica.go.kr/oep/lobi/localBidManageDetail.do?P_LOAZ_BID_PBLANC_NO=L2022-00063&amp;P_PBLANC_ODR=1</x:v>
      </x:c>
    </x:row>
    <x:row r="181">
      <x:c r="A181" s="43" t="str">
        <x:v>L2022-00060-1</x:v>
      </x:c>
      <x:c r="B181" s="43" t="str">
        <x:v>2016-20176</x:v>
      </x:c>
      <x:c r="C181" s="43" t="str">
        <x:v>도미니카</x:v>
      </x:c>
      <x:c r="D181" s="43" t="str">
        <x:v>Dominican Republic</x:v>
      </x:c>
      <x:c r="E181" s="43" t="str"/>
      <x:c r="F181" s="46" t="str">
        <x:v>도미니카공화국 미성년자 임신방지 및 여성보건환경개선 3차 사업('18-'24/470만불)</x:v>
      </x:c>
      <x:c r="G181" s="46" t="str">
        <x:v>도미니카공화국 미성년자 임신방지 및 여성보건환경개선 3차사업_산후안 성보건센터 건립 감리사 선정 현지입찰</x:v>
      </x:c>
      <x:c r="H181" s="46" t="str">
        <x:v>Procurement for Construction Supervision Service for Construction of the Comprehensive Health Promotion Center for Adolescent, San Juan de la Maguana</x:v>
      </x:c>
      <x:c r="I181" s="43" t="str">
        <x:v>기타·미분류</x:v>
      </x:c>
      <x:c r="J181" s="43" t="str">
        <x:v>신축</x:v>
      </x:c>
      <x:c r="K181" s="43" t="str">
        <x:v>용역</x:v>
      </x:c>
      <x:c r="L181" s="43" t="str">
        <x:v>일반경쟁</x:v>
      </x:c>
      <x:c r="M181" s="46" t="str">
        <x:v>협상에 의한 계약(기술가격종합평가)</x:v>
      </x:c>
      <x:c r="N181" s="46" t="str">
        <x:v>$ 105,490</x:v>
      </x:c>
      <x:c r="O181" s="46" t="str"/>
      <x:c r="P181" s="43" t="str">
        <x:v>2022-10-10</x:v>
      </x:c>
      <x:c r="Q181" s="43" t="str">
        <x:v>https://nebid.koica.go.kr/oep/lobi/localBidManageDetail.do?P_LOAZ_BID_PBLANC_NO=L2022-00060&amp;P_PBLANC_ODR=1</x:v>
      </x:c>
    </x:row>
    <x:row r="182">
      <x:c r="A182" s="43" t="str">
        <x:v>L2022-00059-1</x:v>
      </x:c>
      <x:c r="B182" s="43" t="str">
        <x:v>2020-00070</x:v>
      </x:c>
      <x:c r="C182" s="43" t="str">
        <x:v>도미니카</x:v>
      </x:c>
      <x:c r="D182" s="43" t="str">
        <x:v>Dominican Republic</x:v>
      </x:c>
      <x:c r="E182" s="43" t="str"/>
      <x:c r="F182" s="46" t="str">
        <x:v>도미니카공화국 여성 중심 취약계층 사회,경제적 역량강화사업(`20-`26/550만불)</x:v>
      </x:c>
      <x:c r="G182" s="46" t="str">
        <x:v>도미니카(공) 여성 중심 취약계층 사회경제적 역량강화사업 - 하이나 및 몬테크리스티 직업훈련센터 설계용역 입찰</x:v>
      </x:c>
      <x:c r="H182" s="46" t="str">
        <x:v>Haina and Monte Cristi Vocational Training Centers for Capacity Building for Empowerment of Women through Technical and Vocational Education and Training, Dominican Republic</x:v>
      </x:c>
      <x:c r="I182" s="43" t="str">
        <x:v>학교·교육시설</x:v>
      </x:c>
      <x:c r="J182" s="43" t="str">
        <x:v>미분류</x:v>
      </x:c>
      <x:c r="K182" s="43" t="str">
        <x:v>용역</x:v>
      </x:c>
      <x:c r="L182" s="43" t="str">
        <x:v>일반경쟁</x:v>
      </x:c>
      <x:c r="M182" s="46" t="str">
        <x:v>협상에 의한 계약(기술가격종합평가)</x:v>
      </x:c>
      <x:c r="N182" s="46" t="str">
        <x:v>$ 117,460</x:v>
      </x:c>
      <x:c r="O182" s="46" t="str"/>
      <x:c r="P182" s="43" t="str">
        <x:v>2022-10-04</x:v>
      </x:c>
      <x:c r="Q182" s="43" t="str">
        <x:v>https://nebid.koica.go.kr/oep/lobi/localBidManageDetail.do?P_LOAZ_BID_PBLANC_NO=L2022-00059&amp;P_PBLANC_ODR=1</x:v>
      </x:c>
    </x:row>
    <x:row r="183">
      <x:c r="A183" s="43" t="str">
        <x:v>L2022-00056-1</x:v>
      </x:c>
      <x:c r="B183" s="43" t="str">
        <x:v>2011-00011</x:v>
      </x:c>
      <x:c r="C183" s="43" t="str">
        <x:v>과테말라</x:v>
      </x:c>
      <x:c r="D183" s="43" t="str">
        <x:v>Guatemala</x:v>
      </x:c>
      <x:c r="E183" s="43" t="str"/>
      <x:c r="F183" s="46" t="str">
        <x:v>과테말라 웨웨떼낭고주 국립병원 모자보건 역량강화사업('11-'18/510만불)</x:v>
      </x:c>
      <x:c r="G183" s="46" t="str">
        <x:v>과테말라 웨웨떼낭고 모자병원  보수공사 시공업체 선정</x:v>
      </x:c>
      <x:c r="H183" s="46" t="str">
        <x:v>Procurement of Contractor  For  Repair works of Huehuetenango National Hospital of Maternal and Infant Health, Guatemala.</x:v>
      </x:c>
      <x:c r="I183" s="43" t="str">
        <x:v>병원</x:v>
      </x:c>
      <x:c r="J183" s="43" t="str">
        <x:v>리모델링·개보수</x:v>
      </x:c>
      <x:c r="K183" s="43" t="str">
        <x:v>공사</x:v>
      </x:c>
      <x:c r="L183" s="43" t="str">
        <x:v>일반경쟁</x:v>
      </x:c>
      <x:c r="M183" s="46" t="str">
        <x:v>최저가</x:v>
      </x:c>
      <x:c r="N183" s="46" t="str">
        <x:v>$ 166,241</x:v>
      </x:c>
      <x:c r="O183" s="46" t="str"/>
      <x:c r="P183" s="43" t="str">
        <x:v>2022-09-21</x:v>
      </x:c>
      <x:c r="Q183" s="43" t="str">
        <x:v>https://nebid.koica.go.kr/oep/lobi/localBidManageDetail.do?P_LOAZ_BID_PBLANC_NO=L2022-00056&amp;P_PBLANC_ODR=1</x:v>
      </x:c>
    </x:row>
    <x:row r="184">
      <x:c r="A184" s="43" t="str">
        <x:v>L2022-00055-1</x:v>
      </x:c>
      <x:c r="B184" s="43" t="str">
        <x:v>2019-00015</x:v>
      </x:c>
      <x:c r="C184" s="43" t="str">
        <x:v>키르기즈</x:v>
      </x:c>
      <x:c r="D184" s="43" t="str">
        <x:v>Kyrgyzstan</x:v>
      </x:c>
      <x:c r="E184" s="43" t="str"/>
      <x:c r="F184" s="46" t="str">
        <x:v>키르기즈공화국 유기농업정책 이행지원 및 역량강화 사업('19-'23/500만불)</x:v>
      </x:c>
      <x:c r="G184" s="46" t="str">
        <x:v>키르기즈공화국 유기농업정책 이행지원 및 역량강화 사업 약초건조장 신축공사 시공업체 선정 현지입찰</x:v>
      </x:c>
      <x:c r="H184" s="46" t="str">
        <x:v>Selection of the Construction Contractor of the Herb Dryer Equipment Storage, Issyk-Kul Oblast, Kyrgyz Republic</x:v>
      </x:c>
      <x:c r="I184" s="43" t="str">
        <x:v>농업시설</x:v>
      </x:c>
      <x:c r="J184" s="43" t="str">
        <x:v>신축</x:v>
      </x:c>
      <x:c r="K184" s="43" t="str">
        <x:v>공사</x:v>
      </x:c>
      <x:c r="L184" s="43" t="str">
        <x:v>일반경쟁</x:v>
      </x:c>
      <x:c r="M184" s="46" t="str">
        <x:v>적격심사</x:v>
      </x:c>
      <x:c r="N184" s="46" t="str">
        <x:v>$ 420,285</x:v>
      </x:c>
      <x:c r="O184" s="46" t="str"/>
      <x:c r="P184" s="43" t="str">
        <x:v>2022-09-22</x:v>
      </x:c>
      <x:c r="Q184" s="43" t="str">
        <x:v>https://nebid.koica.go.kr/oep/lobi/localBidManageDetail.do?P_LOAZ_BID_PBLANC_NO=L2022-00055&amp;P_PBLANC_ODR=1</x:v>
      </x:c>
    </x:row>
    <x:row r="185">
      <x:c r="A185" s="43" t="str">
        <x:v>L2022-00047-1</x:v>
      </x:c>
      <x:c r="B185" s="43" t="str">
        <x:v>2019-00005</x:v>
      </x:c>
      <x:c r="C185" s="43" t="str">
        <x:v>우간다</x:v>
      </x:c>
      <x:c r="D185" s="43" t="str">
        <x:v>Uganda</x:v>
      </x:c>
      <x:c r="E185" s="43" t="str"/>
      <x:c r="F185" s="46" t="str">
        <x:v>우간다 지속가능 농촌개발 시범마을 확산 사업('19-'23/590만불)</x:v>
      </x:c>
      <x:c r="G185" s="46" t="str">
        <x:v>우간다 미티아나 및 음피지 건축자재 공급</x:v>
      </x:c>
      <x:c r="H185" s="46" t="str">
        <x:v>Supply of Materials for Constructions in Mityana and Mpigi Districts</x:v>
      </x:c>
      <x:c r="I185" s="43" t="str">
        <x:v>기타·미분류</x:v>
      </x:c>
      <x:c r="J185" s="43" t="str">
        <x:v>미분류</x:v>
      </x:c>
      <x:c r="K185" s="43" t="str">
        <x:v>물품</x:v>
      </x:c>
      <x:c r="L185" s="43" t="str">
        <x:v>일반경쟁</x:v>
      </x:c>
      <x:c r="M185" s="46" t="str">
        <x:v>적격심사</x:v>
      </x:c>
      <x:c r="N185" s="46" t="str">
        <x:v>$ 70,239
		                    	 (환율 : 1400)</x:v>
      </x:c>
      <x:c r="O185" s="46" t="str">
        <x:v>\ 98,334,600</x:v>
      </x:c>
      <x:c r="P185" s="43" t="str">
        <x:v>2022-08-01</x:v>
      </x:c>
      <x:c r="Q185" s="43" t="str">
        <x:v>https://nebid.koica.go.kr/oep/lobi/localBidManageDetail.do?P_LOAZ_BID_PBLANC_NO=L2022-00047&amp;P_PBLANC_ODR=1</x:v>
      </x:c>
    </x:row>
    <x:row r="186">
      <x:c r="A186" s="43" t="str">
        <x:v>L2022-00046-1</x:v>
      </x:c>
      <x:c r="B186" s="43" t="str">
        <x:v>2016-20176</x:v>
      </x:c>
      <x:c r="C186" s="43" t="str">
        <x:v>도미니카</x:v>
      </x:c>
      <x:c r="D186" s="43" t="str">
        <x:v>Dominican Republic</x:v>
      </x:c>
      <x:c r="E186" s="43" t="str"/>
      <x:c r="F186" s="46" t="str">
        <x:v>도미니카공화국 미성년자 임신방지 및 여성보건환경개선 3차 사업('18-'24/470만불)</x:v>
      </x:c>
      <x:c r="G186" s="46" t="str">
        <x:v>도미니카공화국 미성년자 임신방지 및 여성보건환경개선 3차사업_산후안 성보건센터 건립 시공사 선정 현지입찰</x:v>
      </x:c>
      <x:c r="H186" s="46" t="str">
        <x:v>International Open Competitive Bidding for the Construction of the Comprehensive Health Promotion Center for Adolescent, San Juan de la Maguana</x:v>
      </x:c>
      <x:c r="I186" s="43" t="str">
        <x:v>기타·미분류</x:v>
      </x:c>
      <x:c r="J186" s="43" t="str">
        <x:v>신축</x:v>
      </x:c>
      <x:c r="K186" s="43" t="str">
        <x:v>공사</x:v>
      </x:c>
      <x:c r="L186" s="43" t="str">
        <x:v>일반경쟁</x:v>
      </x:c>
      <x:c r="M186" s="46" t="str">
        <x:v>적격심사</x:v>
      </x:c>
      <x:c r="N186" s="46" t="str">
        <x:v>$ 1,507,000</x:v>
      </x:c>
      <x:c r="O186" s="46" t="str"/>
      <x:c r="P186" s="43" t="str">
        <x:v>2022-09-13</x:v>
      </x:c>
      <x:c r="Q186" s="43" t="str">
        <x:v>https://nebid.koica.go.kr/oep/lobi/localBidManageDetail.do?P_LOAZ_BID_PBLANC_NO=L2022-00046&amp;P_PBLANC_ODR=1</x:v>
      </x:c>
    </x:row>
    <x:row r="187">
      <x:c r="A187" s="43" t="str">
        <x:v>L2022-00045-1</x:v>
      </x:c>
      <x:c r="B187" s="43" t="str">
        <x:v>2021-00039</x:v>
      </x:c>
      <x:c r="C187" s="43" t="str">
        <x:v>캄보디아</x:v>
      </x:c>
      <x:c r="D187" s="43" t="str">
        <x:v>Cambodia</x:v>
      </x:c>
      <x:c r="E187" s="43" t="str"/>
      <x:c r="F187" s="46" t="str">
        <x:v>캄보디아 중학교 ICT교육역량 강화 사업(‘21-’26/700만불)</x:v>
      </x:c>
      <x:c r="G187" s="46" t="str">
        <x:v>중학교 ICT 교육역량강화사업 ICT Lab 리모델링 시공</x:v>
      </x:c>
      <x:c r="H187" s="46" t="str">
        <x:v>construction for the project of Enhancement of ICT secondary education capacity in Cambodia</x:v>
      </x:c>
      <x:c r="I187" s="43" t="str">
        <x:v>학교·교육시설</x:v>
      </x:c>
      <x:c r="J187" s="43" t="str">
        <x:v>리모델링·개보수</x:v>
      </x:c>
      <x:c r="K187" s="43" t="str">
        <x:v>공사</x:v>
      </x:c>
      <x:c r="L187" s="43" t="str">
        <x:v>일반경쟁</x:v>
      </x:c>
      <x:c r="M187" s="46" t="str">
        <x:v>적격심사</x:v>
      </x:c>
      <x:c r="N187" s="46" t="str">
        <x:v>$ 770,000</x:v>
      </x:c>
      <x:c r="O187" s="46" t="str"/>
      <x:c r="P187" s="43" t="str">
        <x:v>2022-08-01</x:v>
      </x:c>
      <x:c r="Q187" s="43" t="str">
        <x:v>https://nebid.koica.go.kr/oep/lobi/localBidManageDetail.do?P_LOAZ_BID_PBLANC_NO=L2022-00045&amp;P_PBLANC_ODR=1</x:v>
      </x:c>
    </x:row>
    <x:row r="188">
      <x:c r="A188" s="43" t="str">
        <x:v>L2022-00043-1</x:v>
      </x:c>
      <x:c r="B188" s="43" t="str">
        <x:v>2020-00113</x:v>
      </x:c>
      <x:c r="C188" s="43" t="str">
        <x:v>방글라데시</x:v>
      </x:c>
      <x:c r="D188" s="43" t="str">
        <x:v>Bangladesh</x:v>
      </x:c>
      <x:c r="E188" s="43" t="str"/>
      <x:c r="F188" s="46" t="str">
        <x:v>방글라데시 사이버안전을 위한 디지털 수사 역량 확산 사업('20-'23/480만불)</x:v>
      </x:c>
      <x:c r="G188" s="46" t="str">
        <x:v>방글라데시 사이버안전을 위한 디지털수사역량 확산사업 챠토그램 사이버경찰센터 시공</x:v>
      </x:c>
      <x:c r="H188" s="46" t="str">
        <x:v>Construction of Cyber Police Center in Chattogram for the Project for Safer Cyberspace for Digital Bangladesh Enhancing National  Regional Digital Investigation Capability of Bangladesh Police</x:v>
      </x:c>
      <x:c r="I188" s="43" t="str">
        <x:v>정부·행정시설</x:v>
      </x:c>
      <x:c r="J188" s="43" t="str">
        <x:v>신축</x:v>
      </x:c>
      <x:c r="K188" s="43" t="str">
        <x:v>공사</x:v>
      </x:c>
      <x:c r="L188" s="43" t="str">
        <x:v>일반경쟁</x:v>
      </x:c>
      <x:c r="M188" s="46" t="str">
        <x:v>적격심사</x:v>
      </x:c>
      <x:c r="N188" s="46" t="str">
        <x:v>$ 1,575,000</x:v>
      </x:c>
      <x:c r="O188" s="46" t="str"/>
      <x:c r="P188" s="43" t="str">
        <x:v>2022-09-01</x:v>
      </x:c>
      <x:c r="Q188" s="43" t="str">
        <x:v>https://nebid.koica.go.kr/oep/lobi/localBidManageDetail.do?P_LOAZ_BID_PBLANC_NO=L2022-00043&amp;P_PBLANC_ODR=1</x:v>
      </x:c>
    </x:row>
    <x:row r="189">
      <x:c r="A189" s="43" t="str">
        <x:v>L2022-00042-1</x:v>
      </x:c>
      <x:c r="B189" s="43" t="str">
        <x:v>2016-20150</x:v>
      </x:c>
      <x:c r="C189" s="43" t="str">
        <x:v>필리핀</x:v>
      </x:c>
      <x:c r="D189" s="43" t="str">
        <x:v>Philippines</x:v>
      </x:c>
      <x:c r="E189" s="43" t="str"/>
      <x:c r="F189" s="46" t="str">
        <x:v>필리핀 퀴리노주 농촌종합개발 2차 사업('18-'23/950만불)</x:v>
      </x:c>
      <x:c r="G189" s="46" t="str">
        <x:v>필리핀 퀴리노주 농촌종합개발 2차사업 잔여공사 시공사 선정</x:v>
      </x:c>
      <x:c r="H189" s="46" t="str">
        <x:v>Selection of the Construction Contractor of The Construction of the Remaining Works for the Quirino Integrated Rural Development Project Phase II</x:v>
      </x:c>
      <x:c r="I189" s="43" t="str">
        <x:v>기타·미분류</x:v>
      </x:c>
      <x:c r="J189" s="43" t="str">
        <x:v>신축</x:v>
      </x:c>
      <x:c r="K189" s="43" t="str">
        <x:v>공사</x:v>
      </x:c>
      <x:c r="L189" s="43" t="str">
        <x:v>일반경쟁</x:v>
      </x:c>
      <x:c r="M189" s="46" t="str">
        <x:v>적격심사</x:v>
      </x:c>
      <x:c r="N189" s="46" t="str">
        <x:v>$ 1,406,000</x:v>
      </x:c>
      <x:c r="O189" s="46" t="str"/>
      <x:c r="P189" s="43" t="str">
        <x:v>2022-08-19</x:v>
      </x:c>
      <x:c r="Q189" s="43" t="str">
        <x:v>https://nebid.koica.go.kr/oep/lobi/localBidManageDetail.do?P_LOAZ_BID_PBLANC_NO=L2022-00042&amp;P_PBLANC_ODR=1</x:v>
      </x:c>
    </x:row>
    <x:row r="190">
      <x:c r="A190" s="43" t="str">
        <x:v>L2022-00040-1</x:v>
      </x:c>
      <x:c r="B190" s="43" t="str">
        <x:v>2016-20176</x:v>
      </x:c>
      <x:c r="C190" s="43" t="str">
        <x:v>도미니카</x:v>
      </x:c>
      <x:c r="D190" s="43" t="str">
        <x:v>Dominican Republic</x:v>
      </x:c>
      <x:c r="E190" s="43" t="str"/>
      <x:c r="F190" s="46" t="str">
        <x:v>도미니카공화국 미성년자 임신방지 및 여성보건환경개선 3차 사업('18-'24/470만불)</x:v>
      </x:c>
      <x:c r="G190" s="46" t="str">
        <x:v>도미니카공화국 미성년자 임신방지 및 여성보건환경개선 3차사업_산후안 성보건센터 건립 감리사 선정 현지입찰</x:v>
      </x:c>
      <x:c r="H190" s="46" t="str">
        <x:v>Procurement for Construction Supervision Service for Construction of the Comprehensive Health Promotion Center for Adolescent, San Juan de la Maguana</x:v>
      </x:c>
      <x:c r="I190" s="43" t="str">
        <x:v>기타·미분류</x:v>
      </x:c>
      <x:c r="J190" s="43" t="str">
        <x:v>신축</x:v>
      </x:c>
      <x:c r="K190" s="43" t="str">
        <x:v>용역</x:v>
      </x:c>
      <x:c r="L190" s="43" t="str">
        <x:v>일반경쟁</x:v>
      </x:c>
      <x:c r="M190" s="46" t="str">
        <x:v>협상에 의한 계약(기술가격종합평가)</x:v>
      </x:c>
      <x:c r="N190" s="46" t="str">
        <x:v>$ 105,490</x:v>
      </x:c>
      <x:c r="O190" s="46" t="str"/>
      <x:c r="P190" s="43" t="str">
        <x:v>2022-08-10</x:v>
      </x:c>
      <x:c r="Q190" s="43" t="str">
        <x:v>https://nebid.koica.go.kr/oep/lobi/localBidManageDetail.do?P_LOAZ_BID_PBLANC_NO=L2022-00040&amp;P_PBLANC_ODR=1</x:v>
      </x:c>
    </x:row>
    <x:row r="191">
      <x:c r="A191" s="43" t="str">
        <x:v>L2022-00038-1</x:v>
      </x:c>
      <x:c r="B191" s="43" t="str">
        <x:v>2016-00002</x:v>
      </x:c>
      <x:c r="C191" s="43" t="str">
        <x:v>파라과이</x:v>
      </x:c>
      <x:c r="D191" s="43" t="str">
        <x:v>Paraguay</x:v>
      </x:c>
      <x:c r="E191" s="43" t="str"/>
      <x:c r="F191" s="46" t="str">
        <x:v>파라과이 센트럴주 림삐오시 보건의료체계 형성 및 일차의료 강화사업(‘16-’23/1,443만불)</x:v>
      </x:c>
      <x:c r="G191" s="46" t="str">
        <x:v>파라과이 센트럴주 림삐오시 보건의료체계 형성 및 일차의료 강화사업 림삐오 병원(신관 및 리모델링) 일반기자재 재공고 입찰</x:v>
      </x:c>
      <x:c r="H191" s="46" t="str">
        <x:v>Bidding Guidelines for Provision of General Equipment (Electronics and Furniture/14 types) for Limpio District Hospital (second call)</x:v>
      </x:c>
      <x:c r="I191" s="43" t="str">
        <x:v>병원</x:v>
      </x:c>
      <x:c r="J191" s="43" t="str">
        <x:v>리모델링·개보수</x:v>
      </x:c>
      <x:c r="K191" s="43" t="str">
        <x:v>물품</x:v>
      </x:c>
      <x:c r="L191" s="43" t="str">
        <x:v>일반경쟁</x:v>
      </x:c>
      <x:c r="M191" s="46" t="str">
        <x:v>적격심사</x:v>
      </x:c>
      <x:c r="N191" s="46" t="str">
        <x:v>$ 36,300</x:v>
      </x:c>
      <x:c r="O191" s="46" t="str"/>
      <x:c r="P191" s="43" t="str">
        <x:v>2022-07-04</x:v>
      </x:c>
      <x:c r="Q191" s="43" t="str">
        <x:v>https://nebid.koica.go.kr/oep/lobi/localBidManageDetail.do?P_LOAZ_BID_PBLANC_NO=L2022-00038&amp;P_PBLANC_ODR=1</x:v>
      </x:c>
    </x:row>
    <x:row r="192">
      <x:c r="A192" s="43" t="str">
        <x:v>L2022-00037-1</x:v>
      </x:c>
      <x:c r="B192" s="43" t="str">
        <x:v>2020-00021</x:v>
      </x:c>
      <x:c r="C192" s="43" t="str">
        <x:v>동티모르</x:v>
      </x:c>
      <x:c r="D192" s="43" t="str">
        <x:v>Timor-Leste</x:v>
      </x:c>
      <x:c r="E192" s="43" t="str"/>
      <x:c r="F192" s="46" t="str">
        <x:v>동티모르 스포츠를 활용한 아동발달사업('20-'25/650만불)</x:v>
      </x:c>
      <x:c r="G192" s="46" t="str">
        <x:v>동티모르 스포츠를 활용한 아동발달사업 시공업체 선정</x:v>
      </x:c>
      <x:c r="H192" s="46" t="str">
        <x:v>Selection of the Construction Contractor of Sports Center for Children Development Project</x:v>
      </x:c>
      <x:c r="I192" s="43" t="str">
        <x:v>기타·미분류</x:v>
      </x:c>
      <x:c r="J192" s="43" t="str">
        <x:v>미분류</x:v>
      </x:c>
      <x:c r="K192" s="43" t="str">
        <x:v>공사</x:v>
      </x:c>
      <x:c r="L192" s="43" t="str">
        <x:v>일반경쟁</x:v>
      </x:c>
      <x:c r="M192" s="46" t="str">
        <x:v>적격심사</x:v>
      </x:c>
      <x:c r="N192" s="46" t="str"/>
      <x:c r="O192" s="46" t="str"/>
      <x:c r="P192" s="43" t="str">
        <x:v>2022-07-11</x:v>
      </x:c>
      <x:c r="Q192" s="43" t="str">
        <x:v>https://nebid.koica.go.kr/oep/lobi/localBidManageDetail.do?P_LOAZ_BID_PBLANC_NO=L2022-00037&amp;P_PBLANC_ODR=1</x:v>
      </x:c>
    </x:row>
    <x:row r="193">
      <x:c r="A193" s="43" t="str">
        <x:v>L2022-00036-1</x:v>
      </x:c>
      <x:c r="B193" s="43" t="str">
        <x:v>2021-00111</x:v>
      </x:c>
      <x:c r="C193" s="43" t="str">
        <x:v>엘살바도르</x:v>
      </x:c>
      <x:c r="D193" s="43" t="str">
        <x:v>El Salvador</x:v>
      </x:c>
      <x:c r="E193" s="43" t="str"/>
      <x:c r="F193" s="46" t="str">
        <x:v>엘살바도르 ITCA 공학교육역량 강화사업('21-'26/580만불)</x:v>
      </x:c>
      <x:c r="G193" s="46" t="str">
        <x:v>엘살바도르 ITCA 공학교육역량 강화사업 설계용역 입찰</x:v>
      </x:c>
      <x:c r="H193" s="46" t="str">
        <x:v>Architectural Design Service for the Industrial Innovation Training Center</x:v>
      </x:c>
      <x:c r="I193" s="43" t="str">
        <x:v>학교·교육시설</x:v>
      </x:c>
      <x:c r="J193" s="43" t="str">
        <x:v>미분류</x:v>
      </x:c>
      <x:c r="K193" s="43" t="str">
        <x:v>용역</x:v>
      </x:c>
      <x:c r="L193" s="43" t="str">
        <x:v>일반경쟁</x:v>
      </x:c>
      <x:c r="M193" s="46" t="str">
        <x:v>협상에 의한 계약(기술평가)</x:v>
      </x:c>
      <x:c r="N193" s="46" t="str">
        <x:v>$ 72,000</x:v>
      </x:c>
      <x:c r="O193" s="46" t="str"/>
      <x:c r="P193" s="43" t="str">
        <x:v>2022-06-27</x:v>
      </x:c>
      <x:c r="Q193" s="43" t="str">
        <x:v>https://nebid.koica.go.kr/oep/lobi/localBidManageDetail.do?P_LOAZ_BID_PBLANC_NO=L2022-00036&amp;P_PBLANC_ODR=1</x:v>
      </x:c>
    </x:row>
    <x:row r="194">
      <x:c r="A194" s="43" t="str">
        <x:v>L2022-00035-2</x:v>
      </x:c>
      <x:c r="B194" s="43" t="str">
        <x:v>2020-00053</x:v>
      </x:c>
      <x:c r="C194" s="43" t="str">
        <x:v>에티오피아</x:v>
      </x:c>
      <x:c r="D194" s="43" t="str">
        <x:v>Ethiopia</x:v>
      </x:c>
      <x:c r="E194" s="43" t="str"/>
      <x:c r="F194" s="46" t="str">
        <x:v>에티오피아 양질의 일자리 창출을 위한 ICT 기반의 창업 및 중소기업(SMEs) 육성 지원 사업(`20-`26/1,000만불)</x:v>
      </x:c>
      <x:c r="G194" s="46" t="str">
        <x:v>에티오피아 양질의 일자리 창출을 위한 ICT기반의 창업 및 중소기업(SME)육성 지원사업 ICT 센터 리모델링 공사</x:v>
      </x:c>
      <x:c r="H194" s="46" t="str">
        <x:v>Remodeling Works for the Project for ICT-based Business Creation and SME Support to Create Quality Jobs in Ethiopia</x:v>
      </x:c>
      <x:c r="I194" s="43" t="str">
        <x:v>기타·미분류</x:v>
      </x:c>
      <x:c r="J194" s="43" t="str">
        <x:v>리모델링·개보수</x:v>
      </x:c>
      <x:c r="K194" s="43" t="str">
        <x:v>공사</x:v>
      </x:c>
      <x:c r="L194" s="43" t="str">
        <x:v>일반경쟁</x:v>
      </x:c>
      <x:c r="M194" s="46" t="str">
        <x:v>적격심사</x:v>
      </x:c>
      <x:c r="N194" s="46" t="str">
        <x:v>$ 613,069</x:v>
      </x:c>
      <x:c r="O194" s="46" t="str"/>
      <x:c r="P194" s="43" t="str">
        <x:v>2022-08-19</x:v>
      </x:c>
      <x:c r="Q194" s="43" t="str">
        <x:v>https://nebid.koica.go.kr/oep/lobi/localBidManageDetail.do?P_LOAZ_BID_PBLANC_NO=L2022-00035&amp;P_PBLANC_ODR=2</x:v>
      </x:c>
    </x:row>
    <x:row r="195">
      <x:c r="A195" s="43" t="str">
        <x:v>L2022-00035-1</x:v>
      </x:c>
      <x:c r="B195" s="43" t="str">
        <x:v>2020-00053</x:v>
      </x:c>
      <x:c r="C195" s="43" t="str">
        <x:v>에티오피아</x:v>
      </x:c>
      <x:c r="D195" s="43" t="str">
        <x:v>Ethiopia</x:v>
      </x:c>
      <x:c r="E195" s="43" t="str"/>
      <x:c r="F195" s="46" t="str">
        <x:v>에티오피아 양질의 일자리 창출을 위한 ICT 기반의 창업 및 중소기업(SMEs) 육성 지원 사업(`20-`26/1,000만불)</x:v>
      </x:c>
      <x:c r="G195" s="46" t="str">
        <x:v>에티오피아 양질의 일자리 창출을 위한 ICT기반의 창업 및 중소기업(SME)육성 지원사업 ICT 센터 리모델링 공사</x:v>
      </x:c>
      <x:c r="H195" s="46" t="str">
        <x:v>Remodeling Works for the Project for ICT-based Business Creation and SME Support to Create Quality Jobs in Ethiopia</x:v>
      </x:c>
      <x:c r="I195" s="43" t="str">
        <x:v>기타·미분류</x:v>
      </x:c>
      <x:c r="J195" s="43" t="str">
        <x:v>리모델링·개보수</x:v>
      </x:c>
      <x:c r="K195" s="43" t="str">
        <x:v>공사</x:v>
      </x:c>
      <x:c r="L195" s="43" t="str">
        <x:v>일반경쟁</x:v>
      </x:c>
      <x:c r="M195" s="46" t="str">
        <x:v>적격심사</x:v>
      </x:c>
      <x:c r="N195" s="46" t="str">
        <x:v>$ 613,069</x:v>
      </x:c>
      <x:c r="O195" s="46" t="str"/>
      <x:c r="P195" s="43" t="str">
        <x:v>2022-06-30</x:v>
      </x:c>
      <x:c r="Q195" s="43" t="str">
        <x:v>https://nebid.koica.go.kr/oep/lobi/localBidManageDetail.do?P_LOAZ_BID_PBLANC_NO=L2022-00035&amp;P_PBLANC_ODR=1</x:v>
      </x:c>
    </x:row>
    <x:row r="196">
      <x:c r="A196" s="43" t="str">
        <x:v>L2022-00034-1</x:v>
      </x:c>
      <x:c r="B196" s="43" t="str">
        <x:v>2020-00104</x:v>
      </x:c>
      <x:c r="C196" s="43" t="str">
        <x:v>파키스탄</x:v>
      </x:c>
      <x:c r="D196" s="43" t="str">
        <x:v>Pakistan</x:v>
      </x:c>
      <x:c r="E196" s="43" t="str"/>
      <x:c r="F196" s="46" t="str">
        <x:v>파키스탄 아동 및 지역 영양 개선을 위한 영양교육센터 설립사업('20-'24/700만불)</x:v>
      </x:c>
      <x:c r="G196" s="46" t="str">
        <x:v>파키스탄 아동 및 지역 영양개선을 위한 영양교육센터 신축공사  공사입찰설명서</x:v>
      </x:c>
      <x:c r="H196" s="46" t="str">
        <x:v>Establishment of PAK-KOREA Nutrition Center(PKNC) to improve child  community nutrition</x:v>
      </x:c>
      <x:c r="I196" s="43" t="str">
        <x:v>학교·교육시설</x:v>
      </x:c>
      <x:c r="J196" s="43" t="str">
        <x:v>신축</x:v>
      </x:c>
      <x:c r="K196" s="43" t="str">
        <x:v>용역</x:v>
      </x:c>
      <x:c r="L196" s="43" t="str">
        <x:v>일반경쟁</x:v>
      </x:c>
      <x:c r="M196" s="46" t="str">
        <x:v>적격심사</x:v>
      </x:c>
      <x:c r="N196" s="46" t="str">
        <x:v>$ 2,462,409</x:v>
      </x:c>
      <x:c r="O196" s="46" t="str"/>
      <x:c r="P196" s="43" t="str">
        <x:v>2022-06-30</x:v>
      </x:c>
      <x:c r="Q196" s="43" t="str">
        <x:v>https://nebid.koica.go.kr/oep/lobi/localBidManageDetail.do?P_LOAZ_BID_PBLANC_NO=L2022-00034&amp;P_PBLANC_ODR=1</x:v>
      </x:c>
    </x:row>
    <x:row r="197">
      <x:c r="A197" s="43" t="str">
        <x:v>L2022-00033-1</x:v>
      </x:c>
      <x:c r="B197" s="43" t="str">
        <x:v>2016-20206</x:v>
      </x:c>
      <x:c r="C197" s="43" t="str">
        <x:v>방글라데시</x:v>
      </x:c>
      <x:c r="D197" s="43" t="str">
        <x:v>Bangladesh</x:v>
      </x:c>
      <x:c r="E197" s="43" t="str"/>
      <x:c r="F197" s="46" t="str">
        <x:v>방글라데시 청년창업 활성화를 위한 대학 창업교육 역량강화 지원사업('18-'24/750만불)</x:v>
      </x:c>
      <x:c r="G197" s="46" t="str">
        <x:v>방글라데시 청년창업 활성화를 위한 대학 창업교육 역량강화 지원사업 센터 증축 시공업체선정</x:v>
      </x:c>
      <x:c r="H197" s="46" t="str">
        <x:v>Construction Works for Capacity Building of Universities in Bangladesh to Promote Youth Entrepreneurship</x:v>
      </x:c>
      <x:c r="I197" s="43" t="str">
        <x:v>기타·미분류</x:v>
      </x:c>
      <x:c r="J197" s="43" t="str">
        <x:v>증축</x:v>
      </x:c>
      <x:c r="K197" s="43" t="str">
        <x:v>공사</x:v>
      </x:c>
      <x:c r="L197" s="43" t="str">
        <x:v>일반경쟁</x:v>
      </x:c>
      <x:c r="M197" s="46" t="str">
        <x:v>적격심사</x:v>
      </x:c>
      <x:c r="N197" s="46" t="str">
        <x:v>$ 1,394,064</x:v>
      </x:c>
      <x:c r="O197" s="46" t="str"/>
      <x:c r="P197" s="43" t="str">
        <x:v>2022-06-30</x:v>
      </x:c>
      <x:c r="Q197" s="43" t="str">
        <x:v>https://nebid.koica.go.kr/oep/lobi/localBidManageDetail.do?P_LOAZ_BID_PBLANC_NO=L2022-00033&amp;P_PBLANC_ODR=1</x:v>
      </x:c>
    </x:row>
    <x:row r="198">
      <x:c r="A198" s="43" t="str">
        <x:v>L2022-00032-1</x:v>
      </x:c>
      <x:c r="B198" s="43" t="str">
        <x:v>2016-20176</x:v>
      </x:c>
      <x:c r="C198" s="43" t="str">
        <x:v>도미니카</x:v>
      </x:c>
      <x:c r="D198" s="43" t="str">
        <x:v>Dominican Republic</x:v>
      </x:c>
      <x:c r="E198" s="43" t="str"/>
      <x:c r="F198" s="46" t="str">
        <x:v>도미니카공화국 미성년자 임신방지 및 여성보건환경개선 3차 사업('18-'24/470만불)</x:v>
      </x:c>
      <x:c r="G198" s="46" t="str">
        <x:v>도미니카공화국 미성년자 임신방지 및 여성보건환경개선 3차사업_산후안 성보건센터 건립 시공사 선정 현지입찰</x:v>
      </x:c>
      <x:c r="H198" s="46" t="str">
        <x:v>International Open Competitive Bidding for the construction of Comprehensive Health Promotion Center for Adolescents, San Juan de la Maguana</x:v>
      </x:c>
      <x:c r="I198" s="43" t="str">
        <x:v>기타·미분류</x:v>
      </x:c>
      <x:c r="J198" s="43" t="str">
        <x:v>신축</x:v>
      </x:c>
      <x:c r="K198" s="43" t="str">
        <x:v>공사</x:v>
      </x:c>
      <x:c r="L198" s="43" t="str">
        <x:v>일반경쟁</x:v>
      </x:c>
      <x:c r="M198" s="46" t="str">
        <x:v>적격심사</x:v>
      </x:c>
      <x:c r="N198" s="46" t="str">
        <x:v>$ 1,507,000</x:v>
      </x:c>
      <x:c r="O198" s="46" t="str"/>
      <x:c r="P198" s="43" t="str">
        <x:v>2022-06-29</x:v>
      </x:c>
      <x:c r="Q198" s="43" t="str">
        <x:v>https://nebid.koica.go.kr/oep/lobi/localBidManageDetail.do?P_LOAZ_BID_PBLANC_NO=L2022-00032&amp;P_PBLANC_ODR=1</x:v>
      </x:c>
    </x:row>
    <x:row r="199">
      <x:c r="A199" s="43" t="str">
        <x:v>L2022-00031-1</x:v>
      </x:c>
      <x:c r="B199" s="43" t="str">
        <x:v>2021-00029</x:v>
      </x:c>
      <x:c r="C199" s="43" t="str">
        <x:v>파키스탄</x:v>
      </x:c>
      <x:c r="D199" s="43" t="str">
        <x:v>Pakistan</x:v>
      </x:c>
      <x:c r="E199" s="43" t="str"/>
      <x:c r="F199" s="46" t="str">
        <x:v>파키스탄 KP주 아보타바드시 하베리안지역 상수도공급 지원사업('21-'26/1,200만불)</x:v>
      </x:c>
      <x:c r="G199" s="46" t="str">
        <x:v>파키스탄 KP주 아보타바드시 하베리안지역 상수도사업 기본 및 실시설계 용역</x:v>
      </x:c>
      <x:c r="H199" s="46" t="str">
        <x:v>Basic and Detailed design of gravity based safe drinking water supply system in Havelian, Abbottabad, KP province, Pakistan</x:v>
      </x:c>
      <x:c r="I199" s="43" t="str">
        <x:v>기타·미분류</x:v>
      </x:c>
      <x:c r="J199" s="43" t="str">
        <x:v>미분류</x:v>
      </x:c>
      <x:c r="K199" s="43" t="str">
        <x:v>용역</x:v>
      </x:c>
      <x:c r="L199" s="43" t="str">
        <x:v>일반경쟁</x:v>
      </x:c>
      <x:c r="M199" s="46" t="str">
        <x:v>협상에 의한 계약(기술가격종합평가)</x:v>
      </x:c>
      <x:c r="N199" s="46" t="str">
        <x:v>$ 302,740</x:v>
      </x:c>
      <x:c r="O199" s="46" t="str"/>
      <x:c r="P199" s="43" t="str">
        <x:v>2022-06-29</x:v>
      </x:c>
      <x:c r="Q199" s="43" t="str">
        <x:v>https://nebid.koica.go.kr/oep/lobi/localBidManageDetail.do?P_LOAZ_BID_PBLANC_NO=L2022-00031&amp;P_PBLANC_ODR=1</x:v>
      </x:c>
    </x:row>
    <x:row r="200">
      <x:c r="A200" s="43" t="str">
        <x:v>L2022-00029-1</x:v>
      </x:c>
      <x:c r="B200" s="43" t="str">
        <x:v>2021-00139</x:v>
      </x:c>
      <x:c r="C200" s="43" t="str">
        <x:v>네팔</x:v>
      </x:c>
      <x:c r="D200" s="43" t="str">
        <x:v>Nepal</x:v>
      </x:c>
      <x:c r="E200" s="43" t="str"/>
      <x:c r="F200" s="46" t="str">
        <x:v>네팔 Province 2 지역 건설기술인력 양성을 위한 모델 폴리텍 설립사업('21-'27/860만불)</x:v>
      </x:c>
      <x:c r="G200" s="46" t="str">
        <x:v>네팔 Province 2 지역 건설기술인력 양성을 위한 모델 폴리텍 설립사업 시공업체 선정</x:v>
      </x:c>
      <x:c r="H200" s="46" t="str">
        <x:v>THE Construction for Establishment of Model Polytechnic Institute for Construction Workforce Development in Province 2, Nepal</x:v>
      </x:c>
      <x:c r="I200" s="43" t="str">
        <x:v>기타·미분류</x:v>
      </x:c>
      <x:c r="J200" s="43" t="str">
        <x:v>미분류</x:v>
      </x:c>
      <x:c r="K200" s="43" t="str">
        <x:v>공사</x:v>
      </x:c>
      <x:c r="L200" s="43" t="str">
        <x:v>일반경쟁</x:v>
      </x:c>
      <x:c r="M200" s="46" t="str">
        <x:v>적격심사</x:v>
      </x:c>
      <x:c r="N200" s="46" t="str">
        <x:v>$ 3,744,400</x:v>
      </x:c>
      <x:c r="O200" s="46" t="str"/>
      <x:c r="P200" s="43" t="str">
        <x:v>2022-06-06</x:v>
      </x:c>
      <x:c r="Q200" s="43" t="str">
        <x:v>https://nebid.koica.go.kr/oep/lobi/localBidManageDetail.do?P_LOAZ_BID_PBLANC_NO=L2022-00029&amp;P_PBLANC_ODR=1</x:v>
      </x:c>
    </x:row>
    <x:row r="201">
      <x:c r="A201" s="43" t="str">
        <x:v>L2022-00027-1</x:v>
      </x:c>
      <x:c r="B201" s="43" t="str">
        <x:v>2020-00073</x:v>
      </x:c>
      <x:c r="C201" s="43" t="str">
        <x:v>에콰도르</x:v>
      </x:c>
      <x:c r="D201" s="43" t="str">
        <x:v>Ecuador</x:v>
      </x:c>
      <x:c r="E201" s="43" t="str"/>
      <x:c r="F201" s="46" t="str">
        <x:v>에콰도르 키토시 혁신센터 건립을 통한 창업 및 기업혁신 지원체계 강화 사업('20-'26/900만불)</x:v>
      </x:c>
      <x:c r="G201" s="46" t="str">
        <x:v>에콰도르 키토시 혁신센터 건립을 통한 창업 및 기업혁신 지원체계 강화사업 리모델링 설계 용역</x:v>
      </x:c>
      <x:c r="H201" s="46" t="str">
        <x:v>The Project to Strengthen the Enterprise Support System by Establishing Quito Innovation Center (QIC, hereinafter) of Ecuador  Design for QIC Remodeling</x:v>
      </x:c>
      <x:c r="I201" s="43" t="str">
        <x:v>기타·미분류</x:v>
      </x:c>
      <x:c r="J201" s="43" t="str">
        <x:v>리모델링·개보수</x:v>
      </x:c>
      <x:c r="K201" s="43" t="str">
        <x:v>용역</x:v>
      </x:c>
      <x:c r="L201" s="43" t="str">
        <x:v>일반경쟁</x:v>
      </x:c>
      <x:c r="M201" s="46" t="str">
        <x:v>협상에 의한 계약(기술가격종합평가)</x:v>
      </x:c>
      <x:c r="N201" s="46" t="str">
        <x:v>$ 160,350</x:v>
      </x:c>
      <x:c r="O201" s="46" t="str"/>
      <x:c r="P201" s="43" t="str">
        <x:v>2022-06-06</x:v>
      </x:c>
      <x:c r="Q201" s="43" t="str">
        <x:v>https://nebid.koica.go.kr/oep/lobi/localBidManageDetail.do?P_LOAZ_BID_PBLANC_NO=L2022-00027&amp;P_PBLANC_ODR=1</x:v>
      </x:c>
    </x:row>
    <x:row r="202">
      <x:c r="A202" s="43" t="str">
        <x:v>L2022-00025-1</x:v>
      </x:c>
      <x:c r="B202" s="43" t="str">
        <x:v>2019-00005</x:v>
      </x:c>
      <x:c r="C202" s="43" t="str">
        <x:v>우간다</x:v>
      </x:c>
      <x:c r="D202" s="43" t="str">
        <x:v>Uganda</x:v>
      </x:c>
      <x:c r="E202" s="43" t="str"/>
      <x:c r="F202" s="46" t="str">
        <x:v>우간다 지속가능 농촌개발 시범마을 확산 사업('19-'23/590만불)</x:v>
      </x:c>
      <x:c r="G202" s="46" t="str">
        <x:v>우간다 미티아나 및 음피지 건축자재 공급</x:v>
      </x:c>
      <x:c r="H202" s="46" t="str">
        <x:v>SUPPLY OF MATERIALS FOR CONSTRUCTIONS IN MITYANA AND MPIGI DISTRICT</x:v>
      </x:c>
      <x:c r="I202" s="43" t="str">
        <x:v>기타·미분류</x:v>
      </x:c>
      <x:c r="J202" s="43" t="str">
        <x:v>미분류</x:v>
      </x:c>
      <x:c r="K202" s="43" t="str">
        <x:v>물품</x:v>
      </x:c>
      <x:c r="L202" s="43" t="str">
        <x:v>일반경쟁</x:v>
      </x:c>
      <x:c r="M202" s="46" t="str">
        <x:v>적격심사</x:v>
      </x:c>
      <x:c r="N202" s="46" t="str">
        <x:v>$ 73,200</x:v>
      </x:c>
      <x:c r="O202" s="46" t="str"/>
      <x:c r="P202" s="43" t="str">
        <x:v>2022-05-30</x:v>
      </x:c>
      <x:c r="Q202" s="43" t="str">
        <x:v>https://nebid.koica.go.kr/oep/lobi/localBidManageDetail.do?P_LOAZ_BID_PBLANC_NO=L2022-00025&amp;P_PBLANC_ODR=1</x:v>
      </x:c>
    </x:row>
    <x:row r="203">
      <x:c r="A203" s="43" t="str">
        <x:v>L2022-00019-1</x:v>
      </x:c>
      <x:c r="B203" s="43" t="str">
        <x:v>2019-00071</x:v>
      </x:c>
      <x:c r="C203" s="43" t="str">
        <x:v>라오스</x:v>
      </x:c>
      <x:c r="D203" s="43" t="str">
        <x:v>Laos</x:v>
      </x:c>
      <x:c r="E203" s="43" t="str"/>
      <x:c r="F203" s="46" t="str">
        <x:v>라오스 성생식 모자보건 접근성 개선을 위한 서비스 수준 강화 및 지역기반 프로그램 개발사업('19-'24/750만불)</x:v>
      </x:c>
      <x:c r="G203" s="46" t="str">
        <x:v>라오스 성생식 모자보건 RMNCH센터 및 여성폭력 예방대응 EVAW센터 시공업체 선정</x:v>
      </x:c>
      <x:c r="H203" s="46" t="str">
        <x:v>Construction of the RMNCH Training and Nutrition Service Center (at luangnamtha) and Gender and EVAW Center (at Vientiane Capital)</x:v>
      </x:c>
      <x:c r="I203" s="43" t="str">
        <x:v>기타·미분류</x:v>
      </x:c>
      <x:c r="J203" s="43" t="str">
        <x:v>신축</x:v>
      </x:c>
      <x:c r="K203" s="43" t="str">
        <x:v>공사</x:v>
      </x:c>
      <x:c r="L203" s="43" t="str">
        <x:v>일반경쟁</x:v>
      </x:c>
      <x:c r="M203" s="46" t="str">
        <x:v>적격심사</x:v>
      </x:c>
      <x:c r="N203" s="46" t="str">
        <x:v>$ 1,447,700</x:v>
      </x:c>
      <x:c r="O203" s="46" t="str"/>
      <x:c r="P203" s="43" t="str">
        <x:v>2022-05-24</x:v>
      </x:c>
      <x:c r="Q203" s="43" t="str">
        <x:v>https://nebid.koica.go.kr/oep/lobi/localBidManageDetail.do?P_LOAZ_BID_PBLANC_NO=L2022-00019&amp;P_PBLANC_ODR=1</x:v>
      </x:c>
    </x:row>
    <x:row r="204">
      <x:c r="A204" s="43" t="str">
        <x:v>L2022-00018-1</x:v>
      </x:c>
      <x:c r="B204" s="43" t="str">
        <x:v>2010-00026</x:v>
      </x:c>
      <x:c r="C204" s="43" t="str">
        <x:v>필리핀</x:v>
      </x:c>
      <x:c r="D204" s="43" t="str">
        <x:v>Philippines</x:v>
      </x:c>
      <x:c r="E204" s="43" t="str"/>
      <x:c r="F204" s="46" t="str">
        <x:v>필리핀 한-필 인력개발센터 설립사업('10-'14/750만불)</x:v>
      </x:c>
      <x:c r="G204" s="46" t="str">
        <x:v>한-필 IT 훈련원 사후지원 입찰</x:v>
      </x:c>
      <x:c r="H204" s="46" t="str">
        <x:v>Renovation of the Korea-Philippines IT Training Center in Bulacan</x:v>
      </x:c>
      <x:c r="I204" s="43" t="str">
        <x:v>학교·교육시설</x:v>
      </x:c>
      <x:c r="J204" s="43" t="str">
        <x:v>리모델링·개보수</x:v>
      </x:c>
      <x:c r="K204" s="43" t="str">
        <x:v>공사</x:v>
      </x:c>
      <x:c r="L204" s="43" t="str">
        <x:v>일반경쟁</x:v>
      </x:c>
      <x:c r="M204" s="46" t="str">
        <x:v>적격심사</x:v>
      </x:c>
      <x:c r="N204" s="46" t="str">
        <x:v>$ 280,000</x:v>
      </x:c>
      <x:c r="O204" s="46" t="str"/>
      <x:c r="P204" s="43" t="str">
        <x:v>2022-01-19</x:v>
      </x:c>
      <x:c r="Q204" s="43" t="str">
        <x:v>https://nebid.koica.go.kr/oep/lobi/localBidManageDetail.do?P_LOAZ_BID_PBLANC_NO=L2022-00018&amp;P_PBLANC_ODR=1</x:v>
      </x:c>
    </x:row>
    <x:row r="205">
      <x:c r="A205" s="43" t="str">
        <x:v>L2022-00015-1</x:v>
      </x:c>
      <x:c r="B205" s="43" t="str">
        <x:v>2020-00094</x:v>
      </x:c>
      <x:c r="C205" s="43" t="str">
        <x:v>필리핀</x:v>
      </x:c>
      <x:c r="D205" s="43" t="str">
        <x:v>Philippines</x:v>
      </x:c>
      <x:c r="E205" s="43" t="str"/>
      <x:c r="F205" s="46" t="str">
        <x:v>필리핀 농기계현대화센터 구축 및 역량강화 사업('20-'25/578만불)</x:v>
      </x:c>
      <x:c r="G205" s="46" t="str">
        <x:v>필리핀 농기계현대화센터 건축 시공 용역</x:v>
      </x:c>
      <x:c r="H205" s="46" t="str">
        <x:v>Construction of the PHilMech Machinery Design and Prototype Center</x:v>
      </x:c>
      <x:c r="I205" s="43" t="str">
        <x:v>기타·미분류</x:v>
      </x:c>
      <x:c r="J205" s="43" t="str">
        <x:v>신축</x:v>
      </x:c>
      <x:c r="K205" s="43" t="str">
        <x:v>공사</x:v>
      </x:c>
      <x:c r="L205" s="43" t="str">
        <x:v>일반경쟁</x:v>
      </x:c>
      <x:c r="M205" s="46" t="str">
        <x:v>적격심사</x:v>
      </x:c>
      <x:c r="N205" s="46" t="str">
        <x:v>$ 1,848,000</x:v>
      </x:c>
      <x:c r="O205" s="46" t="str"/>
      <x:c r="P205" s="43" t="str">
        <x:v>2022-05-18</x:v>
      </x:c>
      <x:c r="Q205" s="43" t="str">
        <x:v>https://nebid.koica.go.kr/oep/lobi/localBidManageDetail.do?P_LOAZ_BID_PBLANC_NO=L2022-00015&amp;P_PBLANC_ODR=1</x:v>
      </x:c>
    </x:row>
    <x:row r="206">
      <x:c r="A206" s="43" t="str">
        <x:v>L2022-00009-1</x:v>
      </x:c>
      <x:c r="B206" s="43" t="str">
        <x:v>2020-00094</x:v>
      </x:c>
      <x:c r="C206" s="43" t="str">
        <x:v>필리핀</x:v>
      </x:c>
      <x:c r="D206" s="43" t="str">
        <x:v>Philippines</x:v>
      </x:c>
      <x:c r="E206" s="43" t="str"/>
      <x:c r="F206" s="46" t="str">
        <x:v>필리핀 농기계현대화센터 구축 및 역량강화 사업('20-'25/578만불)</x:v>
      </x:c>
      <x:c r="G206" s="46" t="str">
        <x:v>필리핀 국립대학교 로스바뇨스 첨단농업연구센터 건축 설계 용역</x:v>
      </x:c>
      <x:c r="H206" s="46" t="str">
        <x:v>Design for the Agricultural Genomics Research Center at the University of the Philippines Los Banos</x:v>
      </x:c>
      <x:c r="I206" s="43" t="str">
        <x:v>학교·교육시설</x:v>
      </x:c>
      <x:c r="J206" s="43" t="str">
        <x:v>미분류</x:v>
      </x:c>
      <x:c r="K206" s="43" t="str">
        <x:v>용역</x:v>
      </x:c>
      <x:c r="L206" s="43" t="str">
        <x:v>일반경쟁</x:v>
      </x:c>
      <x:c r="M206" s="46" t="str">
        <x:v>협상에 의한 계약(기술가격종합평가)</x:v>
      </x:c>
      <x:c r="N206" s="46" t="str">
        <x:v>$ 255,360</x:v>
      </x:c>
      <x:c r="O206" s="46" t="str"/>
      <x:c r="P206" s="43" t="str">
        <x:v>2022-04-26</x:v>
      </x:c>
      <x:c r="Q206" s="43" t="str">
        <x:v>https://nebid.koica.go.kr/oep/lobi/localBidManageDetail.do?P_LOAZ_BID_PBLANC_NO=L2022-00009&amp;P_PBLANC_ODR=1</x:v>
      </x:c>
    </x:row>
    <x:row r="207">
      <x:c r="A207" s="43" t="str">
        <x:v>L2022-00007-2</x:v>
      </x:c>
      <x:c r="B207" s="43" t="str">
        <x:v>2016-20098</x:v>
      </x:c>
      <x:c r="C207" s="43" t="str">
        <x:v>인도네시아</x:v>
      </x:c>
      <x:c r="D207" s="43" t="str">
        <x:v>Indonesia</x:v>
      </x:c>
      <x:c r="E207" s="43" t="str"/>
      <x:c r="F207" s="46" t="str">
        <x:v>인도네시아 경찰청 사이버 범죄수사역량강화사업('18-'23/510만불)</x:v>
      </x:c>
      <x:c r="G207" s="46" t="str">
        <x:v>인도네시아 경찰청 사이버범죄수사 교육센터 프로젝트 리모델링업체 선정 입찰</x:v>
      </x:c>
      <x:c r="H207" s="46" t="str">
        <x:v>Selection of the Construction Contractor of Police Cybercrime Investigation Education Center</x:v>
      </x:c>
      <x:c r="I207" s="43" t="str">
        <x:v>학교·교육시설</x:v>
      </x:c>
      <x:c r="J207" s="43" t="str">
        <x:v>리모델링·개보수</x:v>
      </x:c>
      <x:c r="K207" s="43" t="str">
        <x:v>공사</x:v>
      </x:c>
      <x:c r="L207" s="43" t="str">
        <x:v>일반경쟁</x:v>
      </x:c>
      <x:c r="M207" s="46" t="str">
        <x:v>적격심사</x:v>
      </x:c>
      <x:c r="N207" s="46" t="str">
        <x:v>$ 275,400</x:v>
      </x:c>
      <x:c r="O207" s="46" t="str"/>
      <x:c r="P207" s="43" t="str">
        <x:v>2022-05-30</x:v>
      </x:c>
      <x:c r="Q207" s="43" t="str">
        <x:v>https://nebid.koica.go.kr/oep/lobi/localBidManageDetail.do?P_LOAZ_BID_PBLANC_NO=L2022-00007&amp;P_PBLANC_ODR=2</x:v>
      </x:c>
    </x:row>
    <x:row r="208">
      <x:c r="A208" s="43" t="str">
        <x:v>L2022-00007-1</x:v>
      </x:c>
      <x:c r="B208" s="43" t="str">
        <x:v>2016-20098</x:v>
      </x:c>
      <x:c r="C208" s="43" t="str">
        <x:v>인도네시아</x:v>
      </x:c>
      <x:c r="D208" s="43" t="str">
        <x:v>Indonesia</x:v>
      </x:c>
      <x:c r="E208" s="43" t="str"/>
      <x:c r="F208" s="46" t="str">
        <x:v>인도네시아 경찰청 사이버 범죄수사역량강화사업('18-'23/510만불)</x:v>
      </x:c>
      <x:c r="G208" s="46" t="str">
        <x:v>인도네시아 경찰청 사이버범죄수사 교육센터 프로젝트 리모델링업체 선정 입찰</x:v>
      </x:c>
      <x:c r="H208" s="46" t="str">
        <x:v>Selection of the Construction Contractor of Police Cybercrime Investigation Education Center</x:v>
      </x:c>
      <x:c r="I208" s="43" t="str">
        <x:v>학교·교육시설</x:v>
      </x:c>
      <x:c r="J208" s="43" t="str">
        <x:v>리모델링·개보수</x:v>
      </x:c>
      <x:c r="K208" s="43" t="str">
        <x:v>공사</x:v>
      </x:c>
      <x:c r="L208" s="43" t="str">
        <x:v>일반경쟁</x:v>
      </x:c>
      <x:c r="M208" s="46" t="str">
        <x:v>적격심사</x:v>
      </x:c>
      <x:c r="N208" s="46" t="str">
        <x:v>$ 275,400</x:v>
      </x:c>
      <x:c r="O208" s="46" t="str"/>
      <x:c r="P208" s="43" t="str">
        <x:v>2022-04-05</x:v>
      </x:c>
      <x:c r="Q208" s="43" t="str">
        <x:v>https://nebid.koica.go.kr/oep/lobi/localBidManageDetail.do?P_LOAZ_BID_PBLANC_NO=L2022-00007&amp;P_PBLANC_ODR=1</x:v>
      </x:c>
    </x:row>
    <x:row r="209">
      <x:c r="A209" s="43" t="str">
        <x:v>L2022-00006-1</x:v>
      </x:c>
      <x:c r="B209" s="43" t="str">
        <x:v>2021-00141</x:v>
      </x:c>
      <x:c r="C209" s="43" t="str">
        <x:v>네팔</x:v>
      </x:c>
      <x:c r="D209" s="43" t="str">
        <x:v>Nepal</x:v>
      </x:c>
      <x:c r="E209" s="43" t="str"/>
      <x:c r="F209" s="46" t="str">
        <x:v>네팔 경찰청 사이버 안전국 설립을 통한 사이버 수사능력 강화사업('21-'26/800만불)</x:v>
      </x:c>
      <x:c r="G209" s="46" t="str">
        <x:v>네팔 경찰 역량강화를 위한 사이버안전국 설립사업 설계 및 감리업체 선정 현지입찰</x:v>
      </x:c>
      <x:c r="H209" s="46" t="str">
        <x:v>Design and Construction Supervision Services for Establishment of Cyber Bureau with Capacity Building for Nepal Police</x:v>
      </x:c>
      <x:c r="I209" s="43" t="str">
        <x:v>정부·행정시설</x:v>
      </x:c>
      <x:c r="J209" s="43" t="str">
        <x:v>미분류</x:v>
      </x:c>
      <x:c r="K209" s="43" t="str">
        <x:v>용역</x:v>
      </x:c>
      <x:c r="L209" s="43" t="str">
        <x:v>일반경쟁</x:v>
      </x:c>
      <x:c r="M209" s="46" t="str">
        <x:v>협상에 의한 계약(기술가격종합평가)</x:v>
      </x:c>
      <x:c r="N209" s="46" t="str">
        <x:v>$ 154,872</x:v>
      </x:c>
      <x:c r="O209" s="46" t="str"/>
      <x:c r="P209" s="43" t="str">
        <x:v>2022-04-04</x:v>
      </x:c>
      <x:c r="Q209" s="43" t="str">
        <x:v>https://nebid.koica.go.kr/oep/lobi/localBidManageDetail.do?P_LOAZ_BID_PBLANC_NO=L2022-00006&amp;P_PBLANC_ODR=1</x:v>
      </x:c>
    </x:row>
    <x:row r="210">
      <x:c r="A210" s="43" t="str">
        <x:v>L2022-00004-1</x:v>
      </x:c>
      <x:c r="B210" s="43" t="str">
        <x:v>2003-10233</x:v>
      </x:c>
      <x:c r="C210" s="43" t="str">
        <x:v>필리핀</x:v>
      </x:c>
      <x:c r="D210" s="43" t="str">
        <x:v>Philippines</x:v>
      </x:c>
      <x:c r="E210" s="43" t="str"/>
      <x:c r="F210" s="46" t="str">
        <x:v>필리핀 한-필리핀 IT훈련원 건립사업 ('03-'05/500만불)</x:v>
      </x:c>
      <x:c r="G210" s="46" t="str">
        <x:v>블라칸 한-필 IT 훈련원 시설 개선 공사</x:v>
      </x:c>
      <x:c r="H210" s="46" t="str">
        <x:v>Renovation of the Korea-Philippines IT Training Center in Bulacan</x:v>
      </x:c>
      <x:c r="I210" s="43" t="str">
        <x:v>학교·교육시설</x:v>
      </x:c>
      <x:c r="J210" s="43" t="str">
        <x:v>리모델링·개보수</x:v>
      </x:c>
      <x:c r="K210" s="43" t="str">
        <x:v>공사</x:v>
      </x:c>
      <x:c r="L210" s="43" t="str">
        <x:v>일반경쟁</x:v>
      </x:c>
      <x:c r="M210" s="46" t="str">
        <x:v>적격심사</x:v>
      </x:c>
      <x:c r="N210" s="46" t="str">
        <x:v>$ 280,000</x:v>
      </x:c>
      <x:c r="O210" s="46" t="str"/>
      <x:c r="P210" s="43" t="str">
        <x:v>2022-01-19</x:v>
      </x:c>
      <x:c r="Q210" s="43" t="str">
        <x:v>https://nebid.koica.go.kr/oep/lobi/localBidManageDetail.do?P_LOAZ_BID_PBLANC_NO=L2022-00004&amp;P_PBLANC_ODR=1</x:v>
      </x:c>
    </x:row>
    <x:row r="211">
      <x:c r="A211" s="43" t="str">
        <x:v>L2022-00003-1</x:v>
      </x:c>
      <x:c r="B211" s="43" t="str">
        <x:v>2020-00086</x:v>
      </x:c>
      <x:c r="C211" s="43" t="str">
        <x:v>우즈베키스탄</x:v>
      </x:c>
      <x:c r="D211" s="43" t="str">
        <x:v>Uzbekistan</x:v>
      </x:c>
      <x:c r="E211" s="43" t="str"/>
      <x:c r="F211" s="46" t="str">
        <x:v>우즈베키스탄 우르겐치 직업훈련원 건립 및 직업훈련 제도역량 공고화 지원 사업('20-'24/1,400만불)</x:v>
      </x:c>
      <x:c r="G211" s="46" t="str">
        <x:v>우즈베키스탄 우르겐치 직업훈련원 및 직업훈련제도 역량공고화 지원사업 설계 및 감리업체 선정</x:v>
      </x:c>
      <x:c r="H211" s="46" t="str">
        <x:v>Selecting Design and Construction Supervision Firm on the project of Establishment of Vocational Training Center in Urgench district of Khorezm region, Strengthening Capacity for Establishing the National Skills Testing and Certification System and Establishment of Teachers Training Center in Uzbekistan</x:v>
      </x:c>
      <x:c r="I211" s="43" t="str">
        <x:v>학교·교육시설</x:v>
      </x:c>
      <x:c r="J211" s="43" t="str">
        <x:v>신축</x:v>
      </x:c>
      <x:c r="K211" s="43" t="str">
        <x:v>용역</x:v>
      </x:c>
      <x:c r="L211" s="43" t="str">
        <x:v>일반경쟁</x:v>
      </x:c>
      <x:c r="M211" s="46" t="str">
        <x:v>협상에 의한 계약(기술가격종합평가)</x:v>
      </x:c>
      <x:c r="N211" s="46" t="str">
        <x:v>$ 248,335</x:v>
      </x:c>
      <x:c r="O211" s="46" t="str"/>
      <x:c r="P211" s="43" t="str">
        <x:v>2022-02-21</x:v>
      </x:c>
      <x:c r="Q211" s="43" t="str">
        <x:v>https://nebid.koica.go.kr/oep/lobi/localBidManageDetail.do?P_LOAZ_BID_PBLANC_NO=L2022-00003&amp;P_PBLANC_ODR=1</x:v>
      </x:c>
    </x:row>
    <x:row r="212">
      <x:c r="A212" s="43" t="str">
        <x:v>L2022-00002-1</x:v>
      </x:c>
      <x:c r="B212" s="43" t="str">
        <x:v>2019-00032</x:v>
      </x:c>
      <x:c r="C212" s="43" t="str">
        <x:v>파라과이</x:v>
      </x:c>
      <x:c r="D212" s="43" t="str">
        <x:v>Paraguay</x:v>
      </x:c>
      <x:c r="E212" s="43" t="str"/>
      <x:c r="F212" s="46" t="str">
        <x:v>파라과이 항공 전문인력 역량강화사업('19-'23/1,113만불)</x:v>
      </x:c>
      <x:c r="G212" s="46" t="str">
        <x:v>파라과이 항공 전문인력 역량강화사업 항공훈련센터 현지 감리사 선정 국제경쟁 입찰</x:v>
      </x:c>
      <x:c r="H212" s="46" t="str">
        <x:v>International Open Competitive Supervision Consultant Bidding for “Strengthening the Institutional Management of the National Authority of Civil Aviation [Aviation Training Center]” in Luque, Paraguay</x:v>
      </x:c>
      <x:c r="I212" s="43" t="str">
        <x:v>학교·교육시설</x:v>
      </x:c>
      <x:c r="J212" s="43" t="str">
        <x:v>미분류</x:v>
      </x:c>
      <x:c r="K212" s="43" t="str">
        <x:v>용역</x:v>
      </x:c>
      <x:c r="L212" s="43" t="str">
        <x:v>일반경쟁</x:v>
      </x:c>
      <x:c r="M212" s="46" t="str">
        <x:v>협상에 의한 계약(기술가격종합평가)</x:v>
      </x:c>
      <x:c r="N212" s="46" t="str">
        <x:v>$ 205,000</x:v>
      </x:c>
      <x:c r="O212" s="46" t="str"/>
      <x:c r="P212" s="43" t="str">
        <x:v>2022-01-20</x:v>
      </x:c>
      <x:c r="Q212" s="43" t="str">
        <x:v>https://nebid.koica.go.kr/oep/lobi/localBidManageDetail.do?P_LOAZ_BID_PBLANC_NO=L2022-00002&amp;P_PBLANC_ODR=1</x:v>
      </x:c>
    </x:row>
    <x:row r="213">
      <x:c r="A213" s="43" t="str">
        <x:v>L2022-00001-1</x:v>
      </x:c>
      <x:c r="B213" s="43" t="str">
        <x:v>2019-00011</x:v>
      </x:c>
      <x:c r="C213" s="43" t="str">
        <x:v>모잠비크</x:v>
      </x:c>
      <x:c r="D213" s="43" t="str">
        <x:v>Mozambique</x:v>
      </x:c>
      <x:c r="E213" s="43" t="str"/>
      <x:c r="F213" s="46" t="str">
        <x:v>모잠비크 직업훈련교육 역량강화사업('19-'23/700만불)</x:v>
      </x:c>
      <x:c r="G213" s="46" t="str">
        <x:v>모잠비크 직업훈련교육 역량강화사업 시공업체 선정 국제 경쟁입찰</x:v>
      </x:c>
      <x:c r="H213" s="46" t="str">
        <x:v>Selecting the Construction Company of the Project of Enhancing Capacity of the Matola Industrial and Vocational Education and Training in Mozambique</x:v>
      </x:c>
      <x:c r="I213" s="43" t="str">
        <x:v>산업·직업훈련시설</x:v>
      </x:c>
      <x:c r="J213" s="43" t="str">
        <x:v>미분류</x:v>
      </x:c>
      <x:c r="K213" s="43" t="str">
        <x:v>공사</x:v>
      </x:c>
      <x:c r="L213" s="43" t="str">
        <x:v>일반경쟁</x:v>
      </x:c>
      <x:c r="M213" s="46" t="str">
        <x:v>적격심사</x:v>
      </x:c>
      <x:c r="N213" s="46" t="str">
        <x:v>$ 2,200,000</x:v>
      </x:c>
      <x:c r="O213" s="46" t="str"/>
      <x:c r="P213" s="43" t="str">
        <x:v>2022-01-14</x:v>
      </x:c>
      <x:c r="Q213" s="43" t="str">
        <x:v>https://nebid.koica.go.kr/oep/lobi/localBidManageDetail.do?P_LOAZ_BID_PBLANC_NO=L2022-00001&amp;P_PBLANC_ODR=1</x:v>
      </x:c>
    </x:row>
    <x:row r="214">
      <x:c r="A214" s="43" t="str">
        <x:v>L2021-00045-1</x:v>
      </x:c>
      <x:c r="B214" s="43" t="str">
        <x:v>2019-00032</x:v>
      </x:c>
      <x:c r="C214" s="43" t="str">
        <x:v>파라과이</x:v>
      </x:c>
      <x:c r="D214" s="43" t="str">
        <x:v>Paraguay</x:v>
      </x:c>
      <x:c r="E214" s="43" t="str"/>
      <x:c r="F214" s="46" t="str">
        <x:v>파라과이 항공 전문인력 역량강화사업('19-'23/1,113만불)</x:v>
      </x:c>
      <x:c r="G214" s="46" t="str">
        <x:v>파라과이 항공 전문인력 역량강화사업 항공훈련센터 현지 시공사 선정 국제경쟁 입찰</x:v>
      </x:c>
      <x:c r="H214" s="46" t="str">
        <x:v>International Open Competitive Construction Bidding for Strengthening the Institutional Management of the National Authority of Civil Aviation Aviation Training Center</x:v>
      </x:c>
      <x:c r="I214" s="43" t="str">
        <x:v>학교·교육시설</x:v>
      </x:c>
      <x:c r="J214" s="43" t="str">
        <x:v>미분류</x:v>
      </x:c>
      <x:c r="K214" s="43" t="str">
        <x:v>공사</x:v>
      </x:c>
      <x:c r="L214" s="43" t="str">
        <x:v>일반경쟁</x:v>
      </x:c>
      <x:c r="M214" s="46" t="str">
        <x:v>적격심사</x:v>
      </x:c>
      <x:c r="N214" s="46" t="str">
        <x:v>$ 2,415,000</x:v>
      </x:c>
      <x:c r="O214" s="46" t="str"/>
      <x:c r="P214" s="43" t="str">
        <x:v>2021-12-28</x:v>
      </x:c>
      <x:c r="Q214" s="43" t="str">
        <x:v>https://nebid.koica.go.kr/oep/lobi/localBidManageDetail.do?P_LOAZ_BID_PBLANC_NO=L2021-00045&amp;P_PBLANC_ODR=1</x:v>
      </x:c>
    </x:row>
    <x:row r="215">
      <x:c r="A215" s="43" t="str">
        <x:v>L2021-00042-1</x:v>
      </x:c>
      <x:c r="B215" s="43" t="str">
        <x:v>2019-00032</x:v>
      </x:c>
      <x:c r="C215" s="43" t="str">
        <x:v>파라과이</x:v>
      </x:c>
      <x:c r="D215" s="43" t="str">
        <x:v>Paraguay</x:v>
      </x:c>
      <x:c r="E215" s="43" t="str"/>
      <x:c r="F215" s="46" t="str">
        <x:v>파라과이 항공 전문인력 역량강화사업('19-'23/1,113만불)</x:v>
      </x:c>
      <x:c r="G215" s="46" t="str">
        <x:v>파라과이 항공 전문인력 역량강화사업 격납고 현지 감리사 선정 국제경쟁 입찰</x:v>
      </x:c>
      <x:c r="H215" s="46" t="str">
        <x:v>Procurement of Supervision Consultant [Hangar]  Strengthening the Institutional Management of the National Authority of Civil Aviation   In Luque, Paragua</x:v>
      </x:c>
      <x:c r="I215" s="43" t="str">
        <x:v>기타·미분류</x:v>
      </x:c>
      <x:c r="J215" s="43" t="str">
        <x:v>미분류</x:v>
      </x:c>
      <x:c r="K215" s="43" t="str">
        <x:v>용역</x:v>
      </x:c>
      <x:c r="L215" s="43" t="str">
        <x:v>일반경쟁</x:v>
      </x:c>
      <x:c r="M215" s="46" t="str">
        <x:v>협상에 의한 계약(기술가격종합평가)</x:v>
      </x:c>
      <x:c r="N215" s="46" t="str">
        <x:v>$ 71,000</x:v>
      </x:c>
      <x:c r="O215" s="46" t="str"/>
      <x:c r="P215" s="43" t="str">
        <x:v>2021-11-17</x:v>
      </x:c>
      <x:c r="Q215" s="43" t="str">
        <x:v>https://nebid.koica.go.kr/oep/lobi/localBidManageDetail.do?P_LOAZ_BID_PBLANC_NO=L2021-00042&amp;P_PBLANC_ODR=1</x:v>
      </x:c>
    </x:row>
    <x:row r="216">
      <x:c r="A216" s="43" t="str">
        <x:v>L2021-00037-1</x:v>
      </x:c>
      <x:c r="B216" s="43" t="str">
        <x:v>2019-00066</x:v>
      </x:c>
      <x:c r="C216" s="43" t="str">
        <x:v>캄보디아</x:v>
      </x:c>
      <x:c r="D216" s="43" t="str">
        <x:v>Cambodia</x:v>
      </x:c>
      <x:c r="E216" s="43" t="str"/>
      <x:c r="F216" s="46" t="str">
        <x:v>캄보디아 동북부 소외지역 모자보건 프로그램('19-'23/700만불)</x:v>
      </x:c>
      <x:c r="G216" s="46" t="str">
        <x:v>캄보디아 동북부 소외지역 모자보건 프로그램 시공업체 선정 현지입찰(4차 신규)</x:v>
      </x:c>
      <x:c r="H216" s="46" t="str">
        <x:v>The Construction of Project for Strengthening Maternal and Child Health in North-Eastern Region, Cambodia</x:v>
      </x:c>
      <x:c r="I216" s="43" t="str">
        <x:v>기타·미분류</x:v>
      </x:c>
      <x:c r="J216" s="43" t="str">
        <x:v>신축</x:v>
      </x:c>
      <x:c r="K216" s="43" t="str">
        <x:v>공사</x:v>
      </x:c>
      <x:c r="L216" s="43" t="str">
        <x:v>일반경쟁</x:v>
      </x:c>
      <x:c r="M216" s="46" t="str">
        <x:v>협상에 의한 계약(기술가격종합평가)</x:v>
      </x:c>
      <x:c r="N216" s="46" t="str">
        <x:v>$ 1,074,976</x:v>
      </x:c>
      <x:c r="O216" s="46" t="str"/>
      <x:c r="P216" s="43" t="str">
        <x:v>2021-11-04</x:v>
      </x:c>
      <x:c r="Q216" s="43" t="str">
        <x:v>https://nebid.koica.go.kr/oep/lobi/localBidManageDetail.do?P_LOAZ_BID_PBLANC_NO=L2021-00037&amp;P_PBLANC_ODR=1</x:v>
      </x:c>
    </x:row>
    <x:row r="217">
      <x:c r="A217" s="43" t="str">
        <x:v>L2021-00036-1</x:v>
      </x:c>
      <x:c r="B217" s="43" t="str">
        <x:v>2019-00015</x:v>
      </x:c>
      <x:c r="C217" s="43" t="str">
        <x:v>키르기즈</x:v>
      </x:c>
      <x:c r="D217" s="43" t="str">
        <x:v>Kyrgyzstan</x:v>
      </x:c>
      <x:c r="E217" s="43" t="str"/>
      <x:c r="F217" s="46" t="str">
        <x:v>키르기즈공화국 유기농업정책 이행지원 및 역량강화 사업('19-'23/500만불)</x:v>
      </x:c>
      <x:c r="G217" s="46" t="str">
        <x:v>키르기즈공화국 유기농업 정책이행지원 및 역량강화사업 유기농 로컬푸드마켓 현지 설계 및 감리업체 선정</x:v>
      </x:c>
      <x:c r="H217" s="46" t="str">
        <x:v>Development of Design and  Construction Supervision Services oft the Organic Local Food Store, Issyk-Kul, Kyrgyzstan</x:v>
      </x:c>
      <x:c r="I217" s="43" t="str">
        <x:v>농업시설</x:v>
      </x:c>
      <x:c r="J217" s="43" t="str">
        <x:v>미분류</x:v>
      </x:c>
      <x:c r="K217" s="43" t="str">
        <x:v>용역</x:v>
      </x:c>
      <x:c r="L217" s="43" t="str">
        <x:v>일반경쟁</x:v>
      </x:c>
      <x:c r="M217" s="46" t="str">
        <x:v>협상에 의한 계약(기술가격종합평가)</x:v>
      </x:c>
      <x:c r="N217" s="46" t="str">
        <x:v>$ 20,000</x:v>
      </x:c>
      <x:c r="O217" s="46" t="str"/>
      <x:c r="P217" s="43" t="str">
        <x:v>2021-11-01</x:v>
      </x:c>
      <x:c r="Q217" s="43" t="str">
        <x:v>https://nebid.koica.go.kr/oep/lobi/localBidManageDetail.do?P_LOAZ_BID_PBLANC_NO=L2021-00036&amp;P_PBLANC_ODR=1</x:v>
      </x:c>
    </x:row>
    <x:row r="218">
      <x:c r="A218" s="43" t="str">
        <x:v>L2021-00034-1</x:v>
      </x:c>
      <x:c r="B218" s="43" t="str">
        <x:v>2019-00037</x:v>
      </x:c>
      <x:c r="C218" s="43" t="str">
        <x:v>엘살바도르</x:v>
      </x:c>
      <x:c r="D218" s="43" t="str">
        <x:v>El Salvador</x:v>
      </x:c>
      <x:c r="E218" s="43" t="str"/>
      <x:c r="F218" s="46" t="str">
        <x:v>엘살바도르 국립보건교육센터 설립 및 보건교육 강화사업('19-'23/683만불)</x:v>
      </x:c>
      <x:c r="G218" s="46" t="str">
        <x:v>엘살바도르 국립보건교육센터 설립 및 보건교육 강화사업 설계용역 입찰</x:v>
      </x:c>
      <x:c r="H218" s="46" t="str">
        <x:v>Design of the National Training Center of the Health Ministry of El Salvador</x:v>
      </x:c>
      <x:c r="I218" s="43" t="str">
        <x:v>학교·교육시설</x:v>
      </x:c>
      <x:c r="J218" s="43" t="str">
        <x:v>미분류</x:v>
      </x:c>
      <x:c r="K218" s="43" t="str">
        <x:v>용역</x:v>
      </x:c>
      <x:c r="L218" s="43" t="str">
        <x:v>일반경쟁</x:v>
      </x:c>
      <x:c r="M218" s="46" t="str">
        <x:v>협상에 의한 계약(기술가격종합평가)</x:v>
      </x:c>
      <x:c r="N218" s="46" t="str">
        <x:v>$ 219,000</x:v>
      </x:c>
      <x:c r="O218" s="46" t="str"/>
      <x:c r="P218" s="43" t="str">
        <x:v>2021-10-15</x:v>
      </x:c>
      <x:c r="Q218" s="43" t="str">
        <x:v>https://nebid.koica.go.kr/oep/lobi/localBidManageDetail.do?P_LOAZ_BID_PBLANC_NO=L2021-00034&amp;P_PBLANC_ODR=1</x:v>
      </x:c>
    </x:row>
    <x:row r="219">
      <x:c r="A219" s="43" t="str">
        <x:v>L2021-00031-1</x:v>
      </x:c>
      <x:c r="B219" s="43" t="str">
        <x:v>2019-00045</x:v>
      </x:c>
      <x:c r="C219" s="43" t="str">
        <x:v>파키스탄</x:v>
      </x:c>
      <x:c r="D219" s="43" t="str">
        <x:v>Pakistan</x:v>
      </x:c>
      <x:c r="E219" s="43" t="str"/>
      <x:c r="F219" s="46" t="str">
        <x:v>파키스탄 태양전지모듈 인증시험소 설립사업('19-'23/950만불)</x:v>
      </x:c>
      <x:c r="G219" s="46" t="str">
        <x:v>파키스탄 태양전지모듈 인증시험소 설립사업 시험소 신축공사 시공업체 선정 입찰</x:v>
      </x:c>
      <x:c r="H219" s="46" t="str">
        <x:v>Construction for the Project Establishment of Pak-Korea Testing Laboratory for PV Modules  Allied Equipment Pakistan</x:v>
      </x:c>
      <x:c r="I219" s="43" t="str">
        <x:v>실험실·연구시설</x:v>
      </x:c>
      <x:c r="J219" s="43" t="str">
        <x:v>신축</x:v>
      </x:c>
      <x:c r="K219" s="43" t="str">
        <x:v>공사</x:v>
      </x:c>
      <x:c r="L219" s="43" t="str">
        <x:v>일반경쟁</x:v>
      </x:c>
      <x:c r="M219" s="46" t="str">
        <x:v>적격심사</x:v>
      </x:c>
      <x:c r="N219" s="46" t="str">
        <x:v>$ 1,839,007</x:v>
      </x:c>
      <x:c r="O219" s="46" t="str"/>
      <x:c r="P219" s="43" t="str">
        <x:v>2021-10-22</x:v>
      </x:c>
      <x:c r="Q219" s="43" t="str">
        <x:v>https://nebid.koica.go.kr/oep/lobi/localBidManageDetail.do?P_LOAZ_BID_PBLANC_NO=L2021-00031&amp;P_PBLANC_ODR=1</x:v>
      </x:c>
    </x:row>
    <x:row r="220">
      <x:c r="A220" s="43" t="str">
        <x:v>L2021-00030-1</x:v>
      </x:c>
      <x:c r="B220" s="43" t="str">
        <x:v>2019-00032</x:v>
      </x:c>
      <x:c r="C220" s="43" t="str">
        <x:v>파라과이</x:v>
      </x:c>
      <x:c r="D220" s="43" t="str">
        <x:v>Paraguay</x:v>
      </x:c>
      <x:c r="E220" s="43" t="str"/>
      <x:c r="F220" s="46" t="str">
        <x:v>파라과이 항공 전문인력 역량강화사업('19-'23/1,113만불)</x:v>
      </x:c>
      <x:c r="G220" s="46" t="str">
        <x:v>파라과이 항공 전문인력 역량강화사업 격납고 현지 시공사 선정 국제경쟁 입찰</x:v>
      </x:c>
      <x:c r="H220" s="46" t="str">
        <x:v>International Open Competitive Construction Bidding for Strengthening the Institutional Management of the National Authority of Civil Aviation Hangar in Luque, Paraguay</x:v>
      </x:c>
      <x:c r="I220" s="43" t="str">
        <x:v>기타·미분류</x:v>
      </x:c>
      <x:c r="J220" s="43" t="str">
        <x:v>미분류</x:v>
      </x:c>
      <x:c r="K220" s="43" t="str">
        <x:v>공사</x:v>
      </x:c>
      <x:c r="L220" s="43" t="str">
        <x:v>일반경쟁</x:v>
      </x:c>
      <x:c r="M220" s="46" t="str">
        <x:v>적격심사</x:v>
      </x:c>
      <x:c r="N220" s="46" t="str">
        <x:v>$ 892,000</x:v>
      </x:c>
      <x:c r="O220" s="46" t="str"/>
      <x:c r="P220" s="43" t="str">
        <x:v>2021-10-20</x:v>
      </x:c>
      <x:c r="Q220" s="43" t="str">
        <x:v>https://nebid.koica.go.kr/oep/lobi/localBidManageDetail.do?P_LOAZ_BID_PBLANC_NO=L2021-00030&amp;P_PBLANC_ODR=1</x:v>
      </x:c>
    </x:row>
    <x:row r="221">
      <x:c r="A221" s="43" t="str">
        <x:v>L2021-00029-1</x:v>
      </x:c>
      <x:c r="B221" s="43" t="str">
        <x:v>2020-00114</x:v>
      </x:c>
      <x:c r="C221" s="43" t="str">
        <x:v>네팔</x:v>
      </x:c>
      <x:c r="D221" s="43" t="str">
        <x:v>Nepal</x:v>
      </x:c>
      <x:c r="E221" s="43" t="str"/>
      <x:c r="F221" s="46" t="str">
        <x:v>네팔 보건 및 소득증대를 통한 통합적 농촌지역 역량강화사업(`20-`25/470만불)</x:v>
      </x:c>
      <x:c r="G221" s="46" t="str">
        <x:v>네팔 보건 및 소득증대를 통한 통합적 농촌지역 역량강화사업 시공업체 선정 현지 입찰</x:v>
      </x:c>
      <x:c r="H221" s="46" t="str">
        <x:v>The Construction of Outreach Center (ORC) for Empowering Rural Communities in Nepal through an integrated approach Health and Income growth.</x:v>
      </x:c>
      <x:c r="I221" s="43" t="str">
        <x:v>기타·미분류</x:v>
      </x:c>
      <x:c r="J221" s="43" t="str">
        <x:v>신축</x:v>
      </x:c>
      <x:c r="K221" s="43" t="str">
        <x:v>공사</x:v>
      </x:c>
      <x:c r="L221" s="43" t="str">
        <x:v>일반경쟁</x:v>
      </x:c>
      <x:c r="M221" s="46" t="str">
        <x:v>적격심사</x:v>
      </x:c>
      <x:c r="N221" s="46" t="str">
        <x:v>$ 953,460</x:v>
      </x:c>
      <x:c r="O221" s="46" t="str"/>
      <x:c r="P221" s="43" t="str">
        <x:v>2021-10-11</x:v>
      </x:c>
      <x:c r="Q221" s="43" t="str">
        <x:v>https://nebid.koica.go.kr/oep/lobi/localBidManageDetail.do?P_LOAZ_BID_PBLANC_NO=L2021-00029&amp;P_PBLANC_ODR=1</x:v>
      </x:c>
    </x:row>
    <x:row r="222">
      <x:c r="A222" s="43" t="str">
        <x:v>L2021-00028-1</x:v>
      </x:c>
      <x:c r="B222" s="43" t="str">
        <x:v>2015-00019</x:v>
      </x:c>
      <x:c r="C222" s="43" t="str">
        <x:v>코트디부아르</x:v>
      </x:c>
      <x:c r="D222" s="43" t="str">
        <x:v>Côte d’Ivoire</x:v>
      </x:c>
      <x:c r="E222" s="43" t="str"/>
      <x:c r="F222" s="46" t="str">
        <x:v>코트디부아르 한-코 협력센터 건립사업(15-20/950만불)</x:v>
      </x:c>
      <x:c r="G222" s="46" t="str">
        <x:v>한코협력센터 건립사업 사후지원 IT기자재 추가구매 현지입찰</x:v>
      </x:c>
      <x:c r="H222" s="46" t="str">
        <x:v>Supply, Installation and After-sales Service of Computer Equipment for the Multimedia Room and Offices of the Ivorian-Korean Sports, Culture and ICT Center Alassane OUATTTARA</x:v>
      </x:c>
      <x:c r="I222" s="43" t="str">
        <x:v>기타·미분류</x:v>
      </x:c>
      <x:c r="J222" s="43" t="str">
        <x:v>신축</x:v>
      </x:c>
      <x:c r="K222" s="43" t="str">
        <x:v>물품</x:v>
      </x:c>
      <x:c r="L222" s="43" t="str">
        <x:v>일반경쟁</x:v>
      </x:c>
      <x:c r="M222" s="46" t="str">
        <x:v>적격심사</x:v>
      </x:c>
      <x:c r="N222" s="46" t="str">
        <x:v>$ 32,957</x:v>
      </x:c>
      <x:c r="O222" s="46" t="str"/>
      <x:c r="P222" s="43" t="str">
        <x:v>2021-09-20</x:v>
      </x:c>
      <x:c r="Q222" s="43" t="str">
        <x:v>https://nebid.koica.go.kr/oep/lobi/localBidManageDetail.do?P_LOAZ_BID_PBLANC_NO=L2021-00028&amp;P_PBLANC_ODR=1</x:v>
      </x:c>
    </x:row>
    <x:row r="223">
      <x:c r="A223" s="43" t="str">
        <x:v>L2021-00025-1</x:v>
      </x:c>
      <x:c r="B223" s="43" t="str">
        <x:v>2019-00066</x:v>
      </x:c>
      <x:c r="C223" s="43" t="str">
        <x:v>캄보디아</x:v>
      </x:c>
      <x:c r="D223" s="43" t="str">
        <x:v>Cambodia</x:v>
      </x:c>
      <x:c r="E223" s="43" t="str"/>
      <x:c r="F223" s="46" t="str">
        <x:v>캄보디아 동북부 소외지역 모자보건 프로그램('19-'23/700만불)</x:v>
      </x:c>
      <x:c r="G223" s="46" t="str">
        <x:v>캄보디아 동북부 소외지역 모자보건 프로그램 시공업체 선정 현지입찰(3차 신규)</x:v>
      </x:c>
      <x:c r="H223" s="46" t="str">
        <x:v>The Construction of Project for Strengthening Maternal and Child Health in North-Eastern Region, Cambodia</x:v>
      </x:c>
      <x:c r="I223" s="43" t="str">
        <x:v>기타·미분류</x:v>
      </x:c>
      <x:c r="J223" s="43" t="str">
        <x:v>신축</x:v>
      </x:c>
      <x:c r="K223" s="43" t="str">
        <x:v>공사</x:v>
      </x:c>
      <x:c r="L223" s="43" t="str">
        <x:v>일반경쟁</x:v>
      </x:c>
      <x:c r="M223" s="46" t="str">
        <x:v>협상에 의한 계약(기술가격종합평가)</x:v>
      </x:c>
      <x:c r="N223" s="46" t="str">
        <x:v>$ 1,074,976</x:v>
      </x:c>
      <x:c r="O223" s="46" t="str"/>
      <x:c r="P223" s="43" t="str">
        <x:v>2021-08-27</x:v>
      </x:c>
      <x:c r="Q223" s="43" t="str">
        <x:v>https://nebid.koica.go.kr/oep/lobi/localBidManageDetail.do?P_LOAZ_BID_PBLANC_NO=L2021-00025&amp;P_PBLANC_ODR=1</x:v>
      </x:c>
    </x:row>
    <x:row r="224">
      <x:c r="A224" s="43" t="str">
        <x:v>L2021-00023-1</x:v>
      </x:c>
      <x:c r="B224" s="43" t="str">
        <x:v>2014-00003</x:v>
      </x:c>
      <x:c r="C224" s="43" t="str">
        <x:v>방글라데시</x:v>
      </x:c>
      <x:c r="D224" s="43" t="str">
        <x:v>Bangladesh</x:v>
      </x:c>
      <x:c r="E224" s="43" t="str"/>
      <x:c r="F224" s="46" t="str">
        <x:v>방글라데시 안질환 예방 및 치료역량강화사업('14-'23/940만불)</x:v>
      </x:c>
      <x:c r="G224" s="46" t="str">
        <x:v>방글라데시 안질환 예방 및 치료역량 강화사업 코로나19 및 감염병 대응력 강화를 위한 보건위생환경 개선</x:v>
      </x:c>
      <x:c r="H224" s="46" t="str">
        <x:v>Building Renovation Works to improve sanitation environment and ability against COVID-19 for the Project of the Eye Health Promotion and Prevention of Blindness in Bangladesh</x:v>
      </x:c>
      <x:c r="I224" s="43" t="str">
        <x:v>기타·미분류</x:v>
      </x:c>
      <x:c r="J224" s="43" t="str">
        <x:v>리모델링·개보수</x:v>
      </x:c>
      <x:c r="K224" s="43" t="str">
        <x:v>공사</x:v>
      </x:c>
      <x:c r="L224" s="43" t="str">
        <x:v>일반경쟁</x:v>
      </x:c>
      <x:c r="M224" s="46" t="str">
        <x:v>적격심사</x:v>
      </x:c>
      <x:c r="N224" s="46" t="str">
        <x:v>$ 162,138</x:v>
      </x:c>
      <x:c r="O224" s="46" t="str"/>
      <x:c r="P224" s="43" t="str">
        <x:v>2021-08-11</x:v>
      </x:c>
      <x:c r="Q224" s="43" t="str">
        <x:v>https://nebid.koica.go.kr/oep/lobi/localBidManageDetail.do?P_LOAZ_BID_PBLANC_NO=L2021-00023&amp;P_PBLANC_ODR=1</x:v>
      </x:c>
    </x:row>
    <x:row r="225">
      <x:c r="A225" s="43" t="str">
        <x:v>L2021-00022-1</x:v>
      </x:c>
      <x:c r="B225" s="43" t="str">
        <x:v>2015-00019</x:v>
      </x:c>
      <x:c r="C225" s="43" t="str">
        <x:v>코트디부아르</x:v>
      </x:c>
      <x:c r="D225" s="43" t="str">
        <x:v>Côte d’Ivoire</x:v>
      </x:c>
      <x:c r="E225" s="43" t="str"/>
      <x:c r="F225" s="46" t="str">
        <x:v>코트디부아르 한-코 협력센터 건립사업(15-20/950만불)</x:v>
      </x:c>
      <x:c r="G225" s="46" t="str">
        <x:v>한코협력센터 건립사업 사후지원 IT 기자재 구매 현지입찰</x:v>
      </x:c>
      <x:c r="H225" s="46" t="str">
        <x:v>Supply, Installation and After-sales Service of Computer Equipment for the Multimedia Room and Offices of the Ivorian-Korean Sports, Culture and ICT Center Alassane OUATTARA</x:v>
      </x:c>
      <x:c r="I225" s="43" t="str">
        <x:v>기타·미분류</x:v>
      </x:c>
      <x:c r="J225" s="43" t="str">
        <x:v>신축</x:v>
      </x:c>
      <x:c r="K225" s="43" t="str">
        <x:v>물품</x:v>
      </x:c>
      <x:c r="L225" s="43" t="str">
        <x:v>일반경쟁</x:v>
      </x:c>
      <x:c r="M225" s="46" t="str">
        <x:v>적격심사</x:v>
      </x:c>
      <x:c r="N225" s="46" t="str">
        <x:v>$ 32,228</x:v>
      </x:c>
      <x:c r="O225" s="46" t="str"/>
      <x:c r="P225" s="43" t="str">
        <x:v>2021-06-28</x:v>
      </x:c>
      <x:c r="Q225" s="43" t="str">
        <x:v>https://nebid.koica.go.kr/oep/lobi/localBidManageDetail.do?P_LOAZ_BID_PBLANC_NO=L2021-00022&amp;P_PBLANC_ODR=1</x:v>
      </x:c>
    </x:row>
    <x:row r="226">
      <x:c r="A226" s="43" t="str">
        <x:v>L2021-00020-1</x:v>
      </x:c>
      <x:c r="B226" s="43" t="str">
        <x:v>2019-00064</x:v>
      </x:c>
      <x:c r="C226" s="43" t="str">
        <x:v>캄보디아</x:v>
      </x:c>
      <x:c r="D226" s="43" t="str">
        <x:v>Cambodia</x:v>
      </x:c>
      <x:c r="E226" s="43" t="str"/>
      <x:c r="F226" s="46" t="str">
        <x:v>캄보디아 산학연계 비즈니스 인큐베이팅 체계 구축 사업('19-'24/791만불)</x:v>
      </x:c>
      <x:c r="G226" s="46" t="str">
        <x:v>캄보디아 산학연계 비즈니스 인큐베이팅 체계 구축사업 시공업체 선정 재입찰</x:v>
      </x:c>
      <x:c r="H226" s="46" t="str">
        <x:v>Bidding for Establishment of Business Incubation System between University and Industry in Cambodia</x:v>
      </x:c>
      <x:c r="I226" s="43" t="str">
        <x:v>기타·미분류</x:v>
      </x:c>
      <x:c r="J226" s="43" t="str">
        <x:v>미분류</x:v>
      </x:c>
      <x:c r="K226" s="43" t="str">
        <x:v>공사</x:v>
      </x:c>
      <x:c r="L226" s="43" t="str">
        <x:v>일반경쟁</x:v>
      </x:c>
      <x:c r="M226" s="46" t="str">
        <x:v>적격심사</x:v>
      </x:c>
      <x:c r="N226" s="46" t="str">
        <x:v>$ 2,750,000</x:v>
      </x:c>
      <x:c r="O226" s="46" t="str"/>
      <x:c r="P226" s="43" t="str">
        <x:v>2021-06-16</x:v>
      </x:c>
      <x:c r="Q226" s="43" t="str">
        <x:v>https://nebid.koica.go.kr/oep/lobi/localBidManageDetail.do?P_LOAZ_BID_PBLANC_NO=L2021-00020&amp;P_PBLANC_ODR=1</x:v>
      </x:c>
    </x:row>
    <x:row r="227">
      <x:c r="A227" s="43" t="str">
        <x:v>L2021-00019-1</x:v>
      </x:c>
      <x:c r="B227" s="43" t="str">
        <x:v>2020-00028</x:v>
      </x:c>
      <x:c r="C227" s="43" t="str">
        <x:v>라오스</x:v>
      </x:c>
      <x:c r="D227" s="43" t="str">
        <x:v>Laos</x:v>
      </x:c>
      <x:c r="E227" s="43" t="str"/>
      <x:c r="F227" s="46" t="str">
        <x:v>라오스 여성폭력 예방·대응체계 및 정책역량 강화 사업('20-'24/700만불)</x:v>
      </x:c>
      <x:c r="G227" s="46" t="str">
        <x:v>라오스 모자보건 영양 교육훈련센터 및 여성폭력 예방대응센터 건축 설계 용역</x:v>
      </x:c>
      <x:c r="H227" s="46" t="str">
        <x:v>Design for construction of RMNCH training and nutrition service center and LWU EVAW center in Lao PDR</x:v>
      </x:c>
      <x:c r="I227" s="43" t="str">
        <x:v>기타·미분류</x:v>
      </x:c>
      <x:c r="J227" s="43" t="str">
        <x:v>신축</x:v>
      </x:c>
      <x:c r="K227" s="43" t="str">
        <x:v>용역</x:v>
      </x:c>
      <x:c r="L227" s="43" t="str">
        <x:v>일반경쟁</x:v>
      </x:c>
      <x:c r="M227" s="46" t="str">
        <x:v>협상에 의한 계약(기술가격종합평가)</x:v>
      </x:c>
      <x:c r="N227" s="46" t="str"/>
      <x:c r="O227" s="46" t="str"/>
      <x:c r="P227" s="43" t="str">
        <x:v>2021-06-07</x:v>
      </x:c>
      <x:c r="Q227" s="43" t="str">
        <x:v>https://nebid.koica.go.kr/oep/lobi/localBidManageDetail.do?P_LOAZ_BID_PBLANC_NO=L2021-00019&amp;P_PBLANC_ODR=1</x:v>
      </x:c>
    </x:row>
    <x:row r="228">
      <x:c r="A228" s="43" t="str">
        <x:v>L2021-00018-1</x:v>
      </x:c>
      <x:c r="B228" s="43" t="str">
        <x:v>2020-00102</x:v>
      </x:c>
      <x:c r="C228" s="43" t="str">
        <x:v>인도네시아</x:v>
      </x:c>
      <x:c r="D228" s="43" t="str">
        <x:v>Indonesia</x:v>
      </x:c>
      <x:c r="E228" s="43" t="str"/>
      <x:c r="F228" s="46" t="str">
        <x:v>인도네시아 한-인니-동티모르 태양광 에너지 접근성 향상 사업 (UNDP)('20-'24/1,850만불)</x:v>
      </x:c>
      <x:c r="G228" s="46" t="str">
        <x:v>인도네시아 태양광 에너지 접근성 향상사업 EPC 선정 입찰</x:v>
      </x:c>
      <x:c r="H228" s="46" t="str">
        <x:v>UNDP-ACCESS-023-116781-2021 Engineering Design, Procurement, and Construction for Centralized Off-Grid Solar PV Power Generation System in 23 Villages in Indonesia</x:v>
      </x:c>
      <x:c r="I228" s="43" t="str">
        <x:v>기타·미분류</x:v>
      </x:c>
      <x:c r="J228" s="43" t="str">
        <x:v>미분류</x:v>
      </x:c>
      <x:c r="K228" s="43" t="str">
        <x:v>공사</x:v>
      </x:c>
      <x:c r="L228" s="43" t="str">
        <x:v>일반경쟁</x:v>
      </x:c>
      <x:c r="M228" s="46" t="str">
        <x:v>협상에 의한 계약(기술가격종합평가)</x:v>
      </x:c>
      <x:c r="N228" s="46" t="str">
        <x:v>$ 9,546,000</x:v>
      </x:c>
      <x:c r="O228" s="46" t="str"/>
      <x:c r="P228" s="43" t="str">
        <x:v>2021-06-09</x:v>
      </x:c>
      <x:c r="Q228" s="43" t="str">
        <x:v>https://nebid.koica.go.kr/oep/lobi/localBidManageDetail.do?P_LOAZ_BID_PBLANC_NO=L2021-00018&amp;P_PBLANC_ODR=1</x:v>
      </x:c>
    </x:row>
    <x:row r="229">
      <x:c r="A229" s="43" t="str">
        <x:v>L2021-00017-1</x:v>
      </x:c>
      <x:c r="B229" s="43" t="str">
        <x:v>2012-00016</x:v>
      </x:c>
      <x:c r="C229" s="43" t="str">
        <x:v>파키스탄</x:v>
      </x:c>
      <x:c r="D229" s="43" t="str">
        <x:v>Pakistan</x:v>
      </x:c>
      <x:c r="E229" s="43" t="str"/>
      <x:c r="F229" s="46" t="str">
        <x:v>파키스탄 건조농업대학 농축산 기술 역량강화센터 설립사업('12-'16/350만불)</x:v>
      </x:c>
      <x:c r="G229" s="46" t="str">
        <x:v>건조농대 농축산 역량강화센터 및 수자원 연수센터 사후관리를 위한 시공업체 선정입찰</x:v>
      </x:c>
      <x:c r="H229" s="46" t="str">
        <x:v>Improvement and Repair Works of Pak-Korea Capacity Building Center for Agriculture  Livestock Technology at Arid Agriculture University Rawalpindi (AAUR) and National Capacity Building Institute for Water Quality Management Islamabad (PCRWR), Pakistanan</x:v>
      </x:c>
      <x:c r="I229" s="43" t="str">
        <x:v>농업시설</x:v>
      </x:c>
      <x:c r="J229" s="43" t="str">
        <x:v>미분류</x:v>
      </x:c>
      <x:c r="K229" s="43" t="str">
        <x:v>공사</x:v>
      </x:c>
      <x:c r="L229" s="43" t="str">
        <x:v>일반경쟁</x:v>
      </x:c>
      <x:c r="M229" s="46" t="str">
        <x:v>적격심사</x:v>
      </x:c>
      <x:c r="N229" s="46" t="str">
        <x:v>$ 731,618</x:v>
      </x:c>
      <x:c r="O229" s="46" t="str"/>
      <x:c r="P229" s="43" t="str">
        <x:v>2021-05-17</x:v>
      </x:c>
      <x:c r="Q229" s="43" t="str">
        <x:v>https://nebid.koica.go.kr/oep/lobi/localBidManageDetail.do?P_LOAZ_BID_PBLANC_NO=L2021-00017&amp;P_PBLANC_ODR=1</x:v>
      </x:c>
    </x:row>
    <x:row r="230">
      <x:c r="A230" s="43" t="str">
        <x:v>L2021-00016-2</x:v>
      </x:c>
      <x:c r="B230" s="43" t="str">
        <x:v>2019-00066</x:v>
      </x:c>
      <x:c r="C230" s="43" t="str">
        <x:v>캄보디아</x:v>
      </x:c>
      <x:c r="D230" s="43" t="str">
        <x:v>Cambodia</x:v>
      </x:c>
      <x:c r="E230" s="43" t="str"/>
      <x:c r="F230" s="46" t="str">
        <x:v>캄보디아 동북부 소외지역 모자보건 프로그램('19-'23/700만불)</x:v>
      </x:c>
      <x:c r="G230" s="46" t="str">
        <x:v>캄보디아 동북부 소외지역 모자보건 프로그램 시공업체 선정 현지입찰(재입찰)</x:v>
      </x:c>
      <x:c r="H230" s="46" t="str">
        <x:v>The Construction of Project for Strengthening Maternal and Child Health in North-Eastern Region, Cambodia</x:v>
      </x:c>
      <x:c r="I230" s="43" t="str">
        <x:v>기타·미분류</x:v>
      </x:c>
      <x:c r="J230" s="43" t="str">
        <x:v>신축</x:v>
      </x:c>
      <x:c r="K230" s="43" t="str">
        <x:v>공사</x:v>
      </x:c>
      <x:c r="L230" s="43" t="str">
        <x:v>일반경쟁</x:v>
      </x:c>
      <x:c r="M230" s="46" t="str">
        <x:v>협상에 의한 계약(기술가격종합평가)</x:v>
      </x:c>
      <x:c r="N230" s="46" t="str">
        <x:v>$ 1,074,976</x:v>
      </x:c>
      <x:c r="O230" s="46" t="str"/>
      <x:c r="P230" s="43" t="str">
        <x:v>2021-06-18</x:v>
      </x:c>
      <x:c r="Q230" s="43" t="str">
        <x:v>https://nebid.koica.go.kr/oep/lobi/localBidManageDetail.do?P_LOAZ_BID_PBLANC_NO=L2021-00016&amp;P_PBLANC_ODR=2</x:v>
      </x:c>
    </x:row>
    <x:row r="231">
      <x:c r="A231" s="43" t="str">
        <x:v>L2021-00016-1</x:v>
      </x:c>
      <x:c r="B231" s="43" t="str">
        <x:v>2019-00066</x:v>
      </x:c>
      <x:c r="C231" s="43" t="str">
        <x:v>캄보디아</x:v>
      </x:c>
      <x:c r="D231" s="43" t="str">
        <x:v>Cambodia</x:v>
      </x:c>
      <x:c r="E231" s="43" t="str"/>
      <x:c r="F231" s="46" t="str">
        <x:v>캄보디아 동북부 소외지역 모자보건 프로그램('19-'23/700만불)</x:v>
      </x:c>
      <x:c r="G231" s="46" t="str">
        <x:v>캄보디아 동북부 소외지역 모자보건 프로그램 시공업체 선정</x:v>
      </x:c>
      <x:c r="H231" s="46" t="str">
        <x:v>The Construction of Project for Strengthening Maternal and Child Health in North-Eastern Region, Cambodia</x:v>
      </x:c>
      <x:c r="I231" s="43" t="str">
        <x:v>기타·미분류</x:v>
      </x:c>
      <x:c r="J231" s="43" t="str">
        <x:v>신축</x:v>
      </x:c>
      <x:c r="K231" s="43" t="str">
        <x:v>공사</x:v>
      </x:c>
      <x:c r="L231" s="43" t="str">
        <x:v>일반경쟁</x:v>
      </x:c>
      <x:c r="M231" s="46" t="str">
        <x:v>적격심사</x:v>
      </x:c>
      <x:c r="N231" s="46" t="str">
        <x:v>$ 1,074,976</x:v>
      </x:c>
      <x:c r="O231" s="46" t="str"/>
      <x:c r="P231" s="43" t="str">
        <x:v>2021-05-11</x:v>
      </x:c>
      <x:c r="Q231" s="43" t="str">
        <x:v>https://nebid.koica.go.kr/oep/lobi/localBidManageDetail.do?P_LOAZ_BID_PBLANC_NO=L2021-00016&amp;P_PBLANC_ODR=1</x:v>
      </x:c>
    </x:row>
    <x:row r="232">
      <x:c r="A232" s="43" t="str">
        <x:v>L2021-00015-1</x:v>
      </x:c>
      <x:c r="B232" s="43" t="str">
        <x:v>2019-00064</x:v>
      </x:c>
      <x:c r="C232" s="43" t="str">
        <x:v>캄보디아</x:v>
      </x:c>
      <x:c r="D232" s="43" t="str">
        <x:v>Cambodia</x:v>
      </x:c>
      <x:c r="E232" s="43" t="str"/>
      <x:c r="F232" s="46" t="str">
        <x:v>캄보디아 산학연계 비즈니스 인큐베이팅 체계 구축 사업('19-'24/791만불)</x:v>
      </x:c>
      <x:c r="G232" s="46" t="str">
        <x:v>캄보디아 산학연계 비즈니스 인큐베이팅 체계 구축사업 시공업체 선정</x:v>
      </x:c>
      <x:c r="H232" s="46" t="str">
        <x:v>Project for Establishment of Business Incubation System between University and Industry in Cambodia</x:v>
      </x:c>
      <x:c r="I232" s="43" t="str">
        <x:v>기타·미분류</x:v>
      </x:c>
      <x:c r="J232" s="43" t="str">
        <x:v>미분류</x:v>
      </x:c>
      <x:c r="K232" s="43" t="str">
        <x:v>공사</x:v>
      </x:c>
      <x:c r="L232" s="43" t="str">
        <x:v>일반경쟁</x:v>
      </x:c>
      <x:c r="M232" s="46" t="str">
        <x:v>적격심사</x:v>
      </x:c>
      <x:c r="N232" s="46" t="str">
        <x:v>$ 2,746,477</x:v>
      </x:c>
      <x:c r="O232" s="46" t="str"/>
      <x:c r="P232" s="43" t="str">
        <x:v>2021-05-10</x:v>
      </x:c>
      <x:c r="Q232" s="43" t="str">
        <x:v>https://nebid.koica.go.kr/oep/lobi/localBidManageDetail.do?P_LOAZ_BID_PBLANC_NO=L2021-00015&amp;P_PBLANC_ODR=1</x:v>
      </x:c>
    </x:row>
    <x:row r="233">
      <x:c r="A233" s="43" t="str">
        <x:v>L2021-00014-1</x:v>
      </x:c>
      <x:c r="B233" s="43" t="str">
        <x:v>2020-00094</x:v>
      </x:c>
      <x:c r="C233" s="43" t="str">
        <x:v>필리핀</x:v>
      </x:c>
      <x:c r="D233" s="43" t="str">
        <x:v>Philippines</x:v>
      </x:c>
      <x:c r="E233" s="43" t="str"/>
      <x:c r="F233" s="46" t="str">
        <x:v>필리핀 농기계현대화센터 구축 및 역량강화 사업('20-'25/578만불)</x:v>
      </x:c>
      <x:c r="G233" s="46" t="str">
        <x:v>필리핀 농기계현대화센터 구축 및 역량강화 사업 건축 설계용역</x:v>
      </x:c>
      <x:c r="H233" s="46" t="str">
        <x:v>Design Work for the Agricultural Machineries Development Center in Nueva Ecija, Philippines</x:v>
      </x:c>
      <x:c r="I233" s="43" t="str">
        <x:v>농업시설</x:v>
      </x:c>
      <x:c r="J233" s="43" t="str">
        <x:v>미분류</x:v>
      </x:c>
      <x:c r="K233" s="43" t="str">
        <x:v>용역</x:v>
      </x:c>
      <x:c r="L233" s="43" t="str">
        <x:v>일반경쟁</x:v>
      </x:c>
      <x:c r="M233" s="46" t="str">
        <x:v>협상에 의한 계약(기술가격종합평가)</x:v>
      </x:c>
      <x:c r="N233" s="46" t="str">
        <x:v>$ 92,400</x:v>
      </x:c>
      <x:c r="O233" s="46" t="str"/>
      <x:c r="P233" s="43" t="str">
        <x:v>2021-05-20</x:v>
      </x:c>
      <x:c r="Q233" s="43" t="str">
        <x:v>https://nebid.koica.go.kr/oep/lobi/localBidManageDetail.do?P_LOAZ_BID_PBLANC_NO=L2021-00014&amp;P_PBLANC_ODR=1</x:v>
      </x:c>
    </x:row>
    <x:row r="234">
      <x:c r="A234" s="43" t="str">
        <x:v>L2021-00013-1</x:v>
      </x:c>
      <x:c r="B234" s="43" t="str">
        <x:v>2021-00139</x:v>
      </x:c>
      <x:c r="C234" s="43" t="str">
        <x:v>네팔</x:v>
      </x:c>
      <x:c r="D234" s="43" t="str">
        <x:v>Nepal</x:v>
      </x:c>
      <x:c r="E234" s="43" t="str"/>
      <x:c r="F234" s="46" t="str">
        <x:v>네팔 Province 2 지역 건설기술인력 양성을 위한 모델 폴리텍 설립사업('21-'27/860만불)</x:v>
      </x:c>
      <x:c r="G234" s="46" t="str">
        <x:v>네팔 Province 2 지역 건설기술인력 양성을 위한 모델 폴리텍 설립사업” 모델 폴리텍 설계 및 감리업체 선정</x:v>
      </x:c>
      <x:c r="H234" s="46" t="str">
        <x:v>Design and Construction Supervision Services for Establishment of Model Polytechnic Institute for Construction Workforce Development in Province 2, Nepal</x:v>
      </x:c>
      <x:c r="I234" s="43" t="str">
        <x:v>기타·미분류</x:v>
      </x:c>
      <x:c r="J234" s="43" t="str">
        <x:v>미분류</x:v>
      </x:c>
      <x:c r="K234" s="43" t="str">
        <x:v>용역</x:v>
      </x:c>
      <x:c r="L234" s="43" t="str">
        <x:v>일반경쟁</x:v>
      </x:c>
      <x:c r="M234" s="46" t="str">
        <x:v>협상에 의한 계약(기술가격종합평가)</x:v>
      </x:c>
      <x:c r="N234" s="46" t="str">
        <x:v>$ 264,350</x:v>
      </x:c>
      <x:c r="O234" s="46" t="str"/>
      <x:c r="P234" s="43" t="str">
        <x:v>2021-04-23</x:v>
      </x:c>
      <x:c r="Q234" s="43" t="str">
        <x:v>https://nebid.koica.go.kr/oep/lobi/localBidManageDetail.do?P_LOAZ_BID_PBLANC_NO=L2021-00013&amp;P_PBLANC_ODR=1</x:v>
      </x:c>
    </x:row>
    <x:row r="235">
      <x:c r="A235" s="43" t="str">
        <x:v>L2021-00012-1</x:v>
      </x:c>
      <x:c r="B235" s="43" t="str">
        <x:v>2020-00104</x:v>
      </x:c>
      <x:c r="C235" s="43" t="str">
        <x:v>파키스탄</x:v>
      </x:c>
      <x:c r="D235" s="43" t="str">
        <x:v>Pakistan</x:v>
      </x:c>
      <x:c r="E235" s="43" t="str"/>
      <x:c r="F235" s="46" t="str">
        <x:v>파키스탄 아동 및 지역 영양 개선을 위한 영양교육센터 설립사업('20-'24/700만불)</x:v>
      </x:c>
      <x:c r="G235" s="46" t="str">
        <x:v>파키스탄 아동 및 지역 영양 개선을 위한 영양교육센터 설립사업 설계 및 감리용역</x:v>
      </x:c>
      <x:c r="H235" s="46" t="str">
        <x:v>Design and Construction Supervision Consultant Services for Establishment of PAK-Korea Nutrition Center (PKNC) to improve child and community nutrition</x:v>
      </x:c>
      <x:c r="I235" s="43" t="str">
        <x:v>학교·교육시설</x:v>
      </x:c>
      <x:c r="J235" s="43" t="str">
        <x:v>미분류</x:v>
      </x:c>
      <x:c r="K235" s="43" t="str">
        <x:v>용역</x:v>
      </x:c>
      <x:c r="L235" s="43" t="str">
        <x:v>일반경쟁</x:v>
      </x:c>
      <x:c r="M235" s="46" t="str">
        <x:v>협상에 의한 계약(기술가격종합평가)</x:v>
      </x:c>
      <x:c r="N235" s="46" t="str">
        <x:v>$ 202,827</x:v>
      </x:c>
      <x:c r="O235" s="46" t="str"/>
      <x:c r="P235" s="43" t="str">
        <x:v>2021-04-28</x:v>
      </x:c>
      <x:c r="Q235" s="43" t="str">
        <x:v>https://nebid.koica.go.kr/oep/lobi/localBidManageDetail.do?P_LOAZ_BID_PBLANC_NO=L2021-00012&amp;P_PBLANC_ODR=1</x:v>
      </x:c>
    </x:row>
    <x:row r="236">
      <x:c r="A236" s="43" t="str">
        <x:v>L2021-00011-1</x:v>
      </x:c>
      <x:c r="B236" s="43" t="str">
        <x:v>2016-20176</x:v>
      </x:c>
      <x:c r="C236" s="43" t="str">
        <x:v>도미니카</x:v>
      </x:c>
      <x:c r="D236" s="43" t="str">
        <x:v>Dominican Republic</x:v>
      </x:c>
      <x:c r="E236" s="43" t="str"/>
      <x:c r="F236" s="46" t="str">
        <x:v>도미니카공화국 미성년자 임신방지 및 여성보건환경개선 3차 사업('18-'23/400만불)</x:v>
      </x:c>
      <x:c r="G236" s="46" t="str">
        <x:v>도미니카(공) 미성년자 임신방지 및 여성보건환경 개선 3차사업 산후안 성보건센터 현지 설계업체 선정</x:v>
      </x:c>
      <x:c r="H236" s="46" t="str">
        <x:v>The Comprehensive Health Promotion Center for Adolescent, San Juan de la Maguana  (Prevention of Teenage Pregnancy and Strengthening of the Comprehensive Health of Adolescents in Dominican Republic, Phase 3))</x:v>
      </x:c>
      <x:c r="I236" s="43" t="str">
        <x:v>기타·미분류</x:v>
      </x:c>
      <x:c r="J236" s="43" t="str">
        <x:v>미분류</x:v>
      </x:c>
      <x:c r="K236" s="43" t="str">
        <x:v>용역</x:v>
      </x:c>
      <x:c r="L236" s="43" t="str">
        <x:v>일반경쟁</x:v>
      </x:c>
      <x:c r="M236" s="46" t="str">
        <x:v>협상에 의한 계약(기술가격종합평가)</x:v>
      </x:c>
      <x:c r="N236" s="46" t="str">
        <x:v>$ 84,340</x:v>
      </x:c>
      <x:c r="O236" s="46" t="str"/>
      <x:c r="P236" s="43" t="str">
        <x:v>2021-04-16</x:v>
      </x:c>
      <x:c r="Q236" s="43" t="str">
        <x:v>https://nebid.koica.go.kr/oep/lobi/localBidManageDetail.do?P_LOAZ_BID_PBLANC_NO=L2021-00011&amp;P_PBLANC_ODR=1</x:v>
      </x:c>
    </x:row>
    <x:row r="237">
      <x:c r="A237" s="43" t="str">
        <x:v>L2021-00010-1</x:v>
      </x:c>
      <x:c r="B237" s="43" t="str">
        <x:v>2016-20206</x:v>
      </x:c>
      <x:c r="C237" s="43" t="str">
        <x:v>방글라데시</x:v>
      </x:c>
      <x:c r="D237" s="43" t="str">
        <x:v>Bangladesh</x:v>
      </x:c>
      <x:c r="E237" s="43" t="str"/>
      <x:c r="F237" s="46" t="str">
        <x:v>방글라데시 청년창업 활성화를 위한 대학 창업교육 역량강화 지원사업('18-'24/750만불)</x:v>
      </x:c>
      <x:c r="G237" s="46" t="str">
        <x:v>방글라데시 청년창업 활성화를 위한 대학 창업교육 역량강화 지원사업 센터 증축 설계 및 감리용역</x:v>
      </x:c>
      <x:c r="H237" s="46" t="str">
        <x:v>Design and Construction Supervision Consultant Services for the Building Extension for the Project of Capacity Building of Universities in Bangladesh to Promote Youth Entrepreneurship</x:v>
      </x:c>
      <x:c r="I237" s="43" t="str">
        <x:v>기타·미분류</x:v>
      </x:c>
      <x:c r="J237" s="43" t="str">
        <x:v>증축</x:v>
      </x:c>
      <x:c r="K237" s="43" t="str">
        <x:v>용역</x:v>
      </x:c>
      <x:c r="L237" s="43" t="str">
        <x:v>일반경쟁</x:v>
      </x:c>
      <x:c r="M237" s="46" t="str">
        <x:v>협상에 의한 계약(기술가격종합평가)</x:v>
      </x:c>
      <x:c r="N237" s="46" t="str">
        <x:v>$ 117,391</x:v>
      </x:c>
      <x:c r="O237" s="46" t="str"/>
      <x:c r="P237" s="43" t="str">
        <x:v>2021-03-03</x:v>
      </x:c>
      <x:c r="Q237" s="43" t="str">
        <x:v>https://nebid.koica.go.kr/oep/lobi/localBidManageDetail.do?P_LOAZ_BID_PBLANC_NO=L2021-00010&amp;P_PBLANC_ODR=1</x:v>
      </x:c>
    </x:row>
    <x:row r="238">
      <x:c r="A238" s="43" t="str">
        <x:v>L2021-00006-1</x:v>
      </x:c>
      <x:c r="B238" s="43" t="str">
        <x:v>2020-00113</x:v>
      </x:c>
      <x:c r="C238" s="43" t="str">
        <x:v>방글라데시</x:v>
      </x:c>
      <x:c r="D238" s="43" t="str">
        <x:v>Bangladesh</x:v>
      </x:c>
      <x:c r="E238" s="43" t="str"/>
      <x:c r="F238" s="46" t="str">
        <x:v>방글라데시 사이버안전을 위한 디지털 수사 역량 확산 사업('20-'23/480만불)</x:v>
      </x:c>
      <x:c r="G238" s="46" t="str">
        <x:v>방글라데시 사이버수사 역량강화사업 Cyber Police Center 설계 및 감리용역</x:v>
      </x:c>
      <x:c r="H238" s="46" t="str">
        <x:v>Design and Construction Supervision Consultant Service for Cyber Police Center for the Project titled Safer Cyberspace for Digital Bangladesh Enhancing National  Regional Digital Investigation Capability of Bangladesh Police</x:v>
      </x:c>
      <x:c r="I238" s="43" t="str">
        <x:v>정부·행정시설</x:v>
      </x:c>
      <x:c r="J238" s="43" t="str">
        <x:v>미분류</x:v>
      </x:c>
      <x:c r="K238" s="43" t="str">
        <x:v>용역</x:v>
      </x:c>
      <x:c r="L238" s="43" t="str">
        <x:v>일반경쟁</x:v>
      </x:c>
      <x:c r="M238" s="46" t="str">
        <x:v>협상에 의한 계약(기술가격종합평가)</x:v>
      </x:c>
      <x:c r="N238" s="46" t="str">
        <x:v>$ 143,000</x:v>
      </x:c>
      <x:c r="O238" s="46" t="str"/>
      <x:c r="P238" s="43" t="str">
        <x:v>2021-03-01</x:v>
      </x:c>
      <x:c r="Q238" s="43" t="str">
        <x:v>https://nebid.koica.go.kr/oep/lobi/localBidManageDetail.do?P_LOAZ_BID_PBLANC_NO=L2021-00006&amp;P_PBLANC_ODR=1</x:v>
      </x:c>
    </x:row>
    <x:row r="239">
      <x:c r="A239" s="43" t="str">
        <x:v>L2021-00005-1</x:v>
      </x:c>
      <x:c r="B239" s="43" t="str">
        <x:v>2013-00064</x:v>
      </x:c>
      <x:c r="C239" s="43" t="str">
        <x:v>볼리비아</x:v>
      </x:c>
      <x:c r="D239" s="43" t="str">
        <x:v>Bolivia</x:v>
      </x:c>
      <x:c r="E239" s="43" t="str"/>
      <x:c r="F239" s="46" t="str">
        <x:v>볼리비아 고원지역 농업기계화 및 농민 역량강화를 통한 생산성증대 지원사업('13-'25/500만불)</x:v>
      </x:c>
      <x:c r="G239" s="46" t="str">
        <x:v>볼리비아 고원지역 농업 기계화 및 농민역량 강화를 통한 생산성 증대사업 설계사 선정 현지입찰</x:v>
      </x:c>
      <x:c r="H239" s="46" t="str">
        <x:v>The Improvement of the Agricultural Productivity in the Highlands through the Mechanization and Capacity Building of Farmers</x:v>
      </x:c>
      <x:c r="I239" s="43" t="str">
        <x:v>농업시설</x:v>
      </x:c>
      <x:c r="J239" s="43" t="str">
        <x:v>미분류</x:v>
      </x:c>
      <x:c r="K239" s="43" t="str">
        <x:v>용역</x:v>
      </x:c>
      <x:c r="L239" s="43" t="str">
        <x:v>일반경쟁</x:v>
      </x:c>
      <x:c r="M239" s="46" t="str">
        <x:v>협상에 의한 계약(기술가격종합평가)</x:v>
      </x:c>
      <x:c r="N239" s="46" t="str"/>
      <x:c r="O239" s="46" t="str"/>
      <x:c r="P239" s="43" t="str">
        <x:v>2021-02-04</x:v>
      </x:c>
      <x:c r="Q239" s="43" t="str">
        <x:v>https://nebid.koica.go.kr/oep/lobi/localBidManageDetail.do?P_LOAZ_BID_PBLANC_NO=L2021-00005&amp;P_PBLANC_ODR=1</x:v>
      </x:c>
    </x:row>
    <x:row r="240">
      <x:c r="A240" s="43" t="str">
        <x:v>L2021-00004-1</x:v>
      </x:c>
      <x:c r="B240" s="43" t="str">
        <x:v>2020-00114</x:v>
      </x:c>
      <x:c r="C240" s="43" t="str">
        <x:v>네팔</x:v>
      </x:c>
      <x:c r="D240" s="43" t="str">
        <x:v>Nepal</x:v>
      </x:c>
      <x:c r="E240" s="43" t="str"/>
      <x:c r="F240" s="46" t="str">
        <x:v>네팔 보건 및 소득증대를 통한 통합적 농촌지역 역량강화사업(`20-`25/470만불)</x:v>
      </x:c>
      <x:c r="G240" s="46" t="str">
        <x:v>네팔 보건 및 소득증대를 통한 통합적 농촌지역 역량강화사업 아웃리치 센터 설계 및 감리업체 선정 현지입찰 계획</x:v>
      </x:c>
      <x:c r="H240" s="46" t="str">
        <x:v>Design and Construction Supervision Services of Outreach Center for Empowering Rural Communities in Nepal through an integrated Approach to Health and Income Growth</x:v>
      </x:c>
      <x:c r="I240" s="43" t="str">
        <x:v>기타·미분류</x:v>
      </x:c>
      <x:c r="J240" s="43" t="str">
        <x:v>미분류</x:v>
      </x:c>
      <x:c r="K240" s="43" t="str">
        <x:v>용역</x:v>
      </x:c>
      <x:c r="L240" s="43" t="str">
        <x:v>일반경쟁</x:v>
      </x:c>
      <x:c r="M240" s="46" t="str">
        <x:v>협상에 의한 계약(기술가격종합평가)</x:v>
      </x:c>
      <x:c r="N240" s="46" t="str">
        <x:v>$ 128,600</x:v>
      </x:c>
      <x:c r="O240" s="46" t="str"/>
      <x:c r="P240" s="43" t="str">
        <x:v>2021-02-08</x:v>
      </x:c>
      <x:c r="Q240" s="43" t="str">
        <x:v>https://nebid.koica.go.kr/oep/lobi/localBidManageDetail.do?P_LOAZ_BID_PBLANC_NO=L2021-00004&amp;P_PBLANC_ODR=1</x:v>
      </x:c>
    </x:row>
    <x:row r="241">
      <x:c r="A241" s="43" t="str">
        <x:v>L2021-00001-2</x:v>
      </x:c>
      <x:c r="B241" s="43" t="str">
        <x:v>2016-20242</x:v>
      </x:c>
      <x:c r="C241" s="43" t="str">
        <x:v>케냐</x:v>
      </x:c>
      <x:c r="D241" s="43" t="str">
        <x:v>Kenya</x:v>
      </x:c>
      <x:c r="E241" s="43" t="str"/>
      <x:c r="F241" s="46" t="str">
        <x:v>케냐 분고마주 체퓩-키바비 식수개발사업(`18-`23/600만불)</x:v>
      </x:c>
      <x:c r="G241" s="46" t="str">
        <x:v>케냐 분고마 체퓩-키바비 식수개발사업 시공업체 선정용역</x:v>
      </x:c>
      <x:c r="H241" s="46" t="str">
        <x:v>Construction of Water Supply System for Chepyuk Ward  Kibabii Complex in Bungoma County, Kenya</x:v>
      </x:c>
      <x:c r="I241" s="43" t="str">
        <x:v>기타·미분류</x:v>
      </x:c>
      <x:c r="J241" s="43" t="str">
        <x:v>신축</x:v>
      </x:c>
      <x:c r="K241" s="43" t="str">
        <x:v>공사</x:v>
      </x:c>
      <x:c r="L241" s="43" t="str">
        <x:v>일반경쟁</x:v>
      </x:c>
      <x:c r="M241" s="46" t="str">
        <x:v>적격심사</x:v>
      </x:c>
      <x:c r="N241" s="46" t="str"/>
      <x:c r="O241" s="46" t="str"/>
      <x:c r="P241" s="43" t="str">
        <x:v>2021-04-01</x:v>
      </x:c>
      <x:c r="Q241" s="43" t="str">
        <x:v>https://nebid.koica.go.kr/oep/lobi/localBidManageDetail.do?P_LOAZ_BID_PBLANC_NO=L2021-00001&amp;P_PBLANC_ODR=2</x:v>
      </x:c>
    </x:row>
    <x:row r="242">
      <x:c r="A242" s="44" t="str">
        <x:v>L2021-00001-1</x:v>
      </x:c>
      <x:c r="B242" s="44" t="str">
        <x:v>2016-20242</x:v>
      </x:c>
      <x:c r="C242" s="44" t="str">
        <x:v>케냐</x:v>
      </x:c>
      <x:c r="D242" s="44" t="str">
        <x:v>Kenya</x:v>
      </x:c>
      <x:c r="E242" s="44" t="str"/>
      <x:c r="F242" s="47" t="str">
        <x:v>케냐 분고마주 체퓩-키바비 식수개발사업(`18-`23/600만불)</x:v>
      </x:c>
      <x:c r="G242" s="47" t="str">
        <x:v>케냐 분고마 체퓩-키바비 식수개발사업 시공업체 선정용역</x:v>
      </x:c>
      <x:c r="H242" s="47" t="str">
        <x:v>Construction of Water Supply System for Chepyuk Ward  Kibabii Complex in Bungoma County, Kenya</x:v>
      </x:c>
      <x:c r="I242" s="44" t="str">
        <x:v>기타·미분류</x:v>
      </x:c>
      <x:c r="J242" s="44" t="str">
        <x:v>신축</x:v>
      </x:c>
      <x:c r="K242" s="44" t="str">
        <x:v>공사</x:v>
      </x:c>
      <x:c r="L242" s="44" t="str">
        <x:v>일반경쟁</x:v>
      </x:c>
      <x:c r="M242" s="47" t="str">
        <x:v>적격심사</x:v>
      </x:c>
      <x:c r="N242" s="47" t="str"/>
      <x:c r="O242" s="47" t="str"/>
      <x:c r="P242" s="44" t="str">
        <x:v>2021-01-20</x:v>
      </x:c>
      <x:c r="Q242" s="44" t="str">
        <x:v>https://nebid.koica.go.kr/oep/lobi/localBidManageDetail.do?P_LOAZ_BID_PBLANC_NO=L2021-00001&amp;P_PBLANC_ODR=1</x:v>
      </x:c>
    </x:row>
  </x:sheetData>
  <x:mergeCells>
    <x:mergeCell ref="A1:Q1"/>
  </x:mergeCells>
  <x:pageMargins left="0.7" right="0.7" top="0.75" bottom="0.75" header="0.3" footer="0.3"/>
  <x:tableParts count="1">
    <x:tablePart xmlns:r="http://schemas.openxmlformats.org/officeDocument/2006/relationships" r:id="Rfcb0e9f76f02491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7" hidden="0" customWidth="1"/>
    <x:col min="2" max="2" width="16" hidden="0" customWidth="1"/>
    <x:col min="3" max="3" width="24" hidden="0" customWidth="1"/>
    <x:col min="4" max="4" width="28" hidden="0" customWidth="1"/>
    <x:col min="5" max="5" width="28" hidden="0" customWidth="1"/>
    <x:col min="6" max="6" width="18" hidden="0" customWidth="1"/>
    <x:col min="7" max="7" width="54" hidden="0" customWidth="1"/>
    <x:col min="8" max="8" width="16" hidden="0" customWidth="1"/>
    <x:col min="9" max="9" width="70" hidden="0" customWidth="1"/>
    <x:col min="10" max="10" width="20" hidden="0" customWidth="1"/>
  </x:cols>
  <x:sheetData>
    <x:row r="1" ht="30" customHeight="1">
      <x:c r="A1" s="28" t="str">
        <x:v>문서에서 자동 추출한 수치 근거 — 원문 검토용</x:v>
      </x:c>
    </x:row>
    <x:row r="2" ht="34" customHeight="1">
      <x:c r="A2" s="35" t="str">
        <x:v>공고번호</x:v>
      </x:c>
      <x:c r="B2" s="36" t="str">
        <x:v>분류</x:v>
      </x:c>
      <x:c r="C2" s="36" t="str">
        <x:v>매칭키워드</x:v>
      </x:c>
      <x:c r="D2" s="36" t="str">
        <x:v>면적표현</x:v>
      </x:c>
      <x:c r="E2" s="36" t="str">
        <x:v>금액표현</x:v>
      </x:c>
      <x:c r="F2" s="36" t="str">
        <x:v>비율표현</x:v>
      </x:c>
      <x:c r="G2" s="36" t="str">
        <x:v>근거파일</x:v>
      </x:c>
      <x:c r="H2" s="36" t="str">
        <x:v>근거위치</x:v>
      </x:c>
      <x:c r="I2" s="36" t="str">
        <x:v>근거문장</x:v>
      </x:c>
      <x:c r="J2" s="37" t="str">
        <x:v>검토상태</x:v>
      </x:c>
    </x:row>
    <x:row r="3">
      <x:c r="A3" s="42" t="str">
        <x:v>L2025-00106-1</x:v>
      </x:c>
      <x:c r="B3" s="42" t="str">
        <x:v>공사비</x:v>
      </x:c>
      <x:c r="C3" s="45" t="str">
        <x:v>contract price</x:v>
      </x:c>
      <x:c r="D3" s="45" t="str"/>
      <x:c r="E3" s="45" t="str">
        <x:v>13,000 USD</x:v>
      </x:c>
      <x:c r="F3" s="45" t="str"/>
      <x:c r="G3" s="45" t="str">
        <x:v>L2025-00106-1/실험실 Control office_최종/Control office_최종/Annex_2_Undertaking_of_Payment_and_Integrity_Pledge_control_CM.docx</x:v>
      </x:c>
      <x:c r="H3" s="42" t="str">
        <x:v>문단 5</x:v>
      </x:c>
      <x:c r="I3" s="45" t="str">
        <x:v>Contract Price: 13,000 USD</x:v>
      </x:c>
      <x:c r="J3" s="42" t="str">
        <x:v>자동추출·검토필요</x:v>
      </x:c>
    </x:row>
    <x:row r="4">
      <x:c r="A4" s="43" t="str">
        <x:v>L2025-00106-1</x:v>
      </x:c>
      <x:c r="B4" s="43" t="str">
        <x:v>공사비</x:v>
      </x:c>
      <x:c r="C4" s="46" t="str">
        <x:v>contract price</x:v>
      </x:c>
      <x:c r="D4" s="46" t="str"/>
      <x:c r="E4" s="46" t="str">
        <x:v>13,000 USD</x:v>
      </x:c>
      <x:c r="F4" s="46" t="str"/>
      <x:c r="G4" s="46" t="str">
        <x:v>L2025-00106-1/실험실 Control office_최종/Control office_최종/Annex_2_Undertaking_of_Payment_and_Integrity_Pledge_control_CM.docx</x:v>
      </x:c>
      <x:c r="H4" s="43" t="str">
        <x:v>문단 31</x:v>
      </x:c>
      <x:c r="I4" s="46" t="str">
        <x:v>Contract Price: 13,000 USD</x:v>
      </x:c>
      <x:c r="J4" s="43" t="str">
        <x:v>자동추출·검토필요</x:v>
      </x:c>
    </x:row>
    <x:row r="5">
      <x:c r="A5" s="43" t="str">
        <x:v>L2025-00099-1</x:v>
      </x:c>
      <x:c r="B5" s="43" t="str">
        <x:v>공사비</x:v>
      </x:c>
      <x:c r="C5" s="46" t="str">
        <x:v>contract price</x:v>
      </x:c>
      <x:c r="D5" s="46" t="str"/>
      <x:c r="E5" s="46" t="str">
        <x:v>USD 1,300,000</x:v>
      </x:c>
      <x:c r="F5" s="46" t="str"/>
      <x:c r="G5" s="46" t="str">
        <x:v>L2025-00099-1/KG-2025-11/KG-2025-11/Section 8 Special_Conditions_of_Contract_WaSH.docx</x:v>
      </x:c>
      <x:c r="H5" s="43" t="str">
        <x:v>문단 434</x:v>
      </x:c>
      <x:c r="I5" s="46" t="str">
        <x:v>The Contract Price is the lump sum price of [Insert Contract Price in figures and words (e.g. USD 1,300,000 (one million three hundred thousand US Dollars)].</x:v>
      </x:c>
      <x:c r="J5" s="43" t="str">
        <x:v>자동추출·검토필요</x:v>
      </x:c>
    </x:row>
    <x:row r="6">
      <x:c r="A6" s="43" t="str">
        <x:v>L2025-00097-1</x:v>
      </x:c>
      <x:c r="B6" s="43" t="str">
        <x:v>공사비</x:v>
      </x:c>
      <x:c r="C6" s="46" t="str">
        <x:v>contract price, bill of quantities, boq</x:v>
      </x:c>
      <x:c r="D6" s="46" t="str">
        <x:v>1,179 M2 | 1,179 M2</x:v>
      </x:c>
      <x:c r="E6" s="46" t="str">
        <x:v>USD 1,704,050 | USD 1,704,050</x:v>
      </x:c>
      <x:c r="F6" s="46" t="str">
        <x:v>5% | 5%</x:v>
      </x:c>
      <x:c r="G6" s="46" t="str">
        <x:v>L2025-00097-1/붙임1. 공고내역 (KG-2025-10)/ENG - final/Section 2 - Bid Data Sheet (BDS).docx</x:v>
      </x:c>
      <x:c r="H6" s="43" t="str">
        <x:v>표 5 행 3</x:v>
      </x:c>
      <x:c r="I6" s="46" t="str">
        <x:v>․ Scope of Service | ※The assignment consist of the services for the construction of the project mentioned below: -Project purpose: New Construction of ICT Training center -Project plot location: Ch.Aitmatov Avenue, 104v, Bishkek -Project plot Area: 1.0 ha -Gross Floor Area 1,179 M2 (±5%) of two(2) story building. -Construction budget limit is USD 1,704,050 (including a stand-by generator) -Detailed design requirement and Space program: refer to the [Section 5]. 1) Design and Construction document Service -Soil Investigation and Required surveys (Including Access road, Existing infra-structure and facilities in the vicinity of the site, Topographical, Structural, and Geographical surveys for New construction work) -Preparation of layout(masterplan) options to efficiently use the plot for both ICT education center and other purpose (e.g. a future extension). -Preparation of design and other engineering services necessary to bring the work to the construction readiness state for the projects mentioned in the Agreement - Preparation of all the developed construction documents -All required administration &amp; preparation for relevant permits Approval or consent from KOICA (including CM a</x:v>
      </x:c>
      <x:c r="J6" s="43" t="str">
        <x:v>자동추출·검토필요</x:v>
      </x:c>
    </x:row>
    <x:row r="7">
      <x:c r="A7" s="43" t="str">
        <x:v>L2025-00094-1</x:v>
      </x:c>
      <x:c r="B7" s="43" t="str">
        <x:v>공사비</x:v>
      </x:c>
      <x:c r="C7" s="46" t="str">
        <x:v>contract amount</x:v>
      </x:c>
      <x:c r="D7" s="46" t="str"/>
      <x:c r="E7" s="46" t="str">
        <x:v>USD 50,000</x:v>
      </x:c>
      <x:c r="F7" s="46" t="str"/>
      <x:c r="G7" s="46" t="str">
        <x:v>L2025-00094-1/ReBidding Documents (Guimaras_Design) 1022v2/ReBidding Documents (Guimaras_Design) 1022/Section 2 - Bid Data Sheet (BDS)_20251020v5.docx</x:v>
      </x:c>
      <x:c r="H7" s="43" t="str">
        <x:v>표 8 행 4</x:v>
      </x:c>
      <x:c r="I7" s="46" t="str">
        <x:v>Track Records | Design | Accumulated contract amount of similar buildings design completed not less than USD50,000 within the last 5 years from the announcement date of tender | 6</x:v>
      </x:c>
      <x:c r="J7" s="43" t="str">
        <x:v>자동추출·검토필요</x:v>
      </x:c>
    </x:row>
    <x:row r="8">
      <x:c r="A8" s="43" t="str">
        <x:v>L2025-00094-1</x:v>
      </x:c>
      <x:c r="B8" s="43" t="str">
        <x:v>공사비</x:v>
      </x:c>
      <x:c r="C8" s="46" t="str">
        <x:v>contract price</x:v>
      </x:c>
      <x:c r="D8" s="46" t="str"/>
      <x:c r="E8" s="46" t="str">
        <x:v>$ 000,000 | $ 000,000 | $ 000,000 | $ 000,000 | $ 000,000 | $ 000,000 | $ 000,000 | $ 000,000</x:v>
      </x:c>
      <x:c r="F8" s="46" t="str"/>
      <x:c r="G8" s="46" t="str">
        <x:v>L2025-00094-1/ReBidding Documents (Guimaras_Design) 1022v2/ReBidding Documents (Guimaras_Design) 1022/Section 3 - Bidding Forms_251020.docx</x:v>
      </x:c>
      <x:c r="H8" s="43" t="str">
        <x:v>표 4 행 5</x:v>
      </x:c>
      <x:c r="I8" s="46" t="str">
        <x:v>Total Contract Price | Total Contract Price | [numbers] U$ 000,000 [words] _________________________ | [numbers] U$ 000,000 [words] _________________________ | [numbers] U$ 000,000 [words] _________________________ | [numbers] U$ 000,000 [words] _________________________ | [numbers] U$ 000,000 [words] _________________________ | [numbers] U$ 000,000 [words] _________________________ | [numbers] U$ 000,000 [words] _________________________ | [numbers] U$ 000,000 [words] _________________________</x:v>
      </x:c>
      <x:c r="J8" s="43" t="str">
        <x:v>자동추출·검토필요</x:v>
      </x:c>
    </x:row>
    <x:row r="9">
      <x:c r="A9" s="43" t="str">
        <x:v>L2025-00094-1</x:v>
      </x:c>
      <x:c r="B9" s="43" t="str">
        <x:v>공사비</x:v>
      </x:c>
      <x:c r="C9" s="46" t="str">
        <x:v>contract price</x:v>
      </x:c>
      <x:c r="D9" s="46" t="str"/>
      <x:c r="E9" s="46" t="str">
        <x:v>USD 000,000</x:v>
      </x:c>
      <x:c r="F9" s="46" t="str"/>
      <x:c r="G9" s="46" t="str">
        <x:v>L2025-00094-1/ReBidding Documents (Guimaras_Design) 1022v2/ReBidding Documents (Guimaras_Design) 1022/Section 8 - Contract Forms_251020v2.docx</x:v>
      </x:c>
      <x:c r="H9" s="43" t="str">
        <x:v>문단 34</x:v>
      </x:c>
      <x:c r="I9" s="46" t="str">
        <x:v>For the Total Contract Price of in word U.S. Dollars (USD 000,000)</x:v>
      </x:c>
      <x:c r="J9" s="43" t="str">
        <x:v>자동추출·검토필요</x:v>
      </x:c>
    </x:row>
    <x:row r="10">
      <x:c r="A10" s="43" t="str">
        <x:v>L2025-00085-1</x:v>
      </x:c>
      <x:c r="B10" s="43" t="str">
        <x:v>공사비</x:v>
      </x:c>
      <x:c r="C10" s="46" t="str">
        <x:v>contract amount</x:v>
      </x:c>
      <x:c r="D10" s="46" t="str"/>
      <x:c r="E10" s="46" t="str">
        <x:v>6,646,000 USD</x:v>
      </x:c>
      <x:c r="F10" s="46" t="str"/>
      <x:c r="G10" s="46" t="str">
        <x:v>L2025-00085-1/붙임2. 현지입찰(신규입찰) 서류 및 계약서류(안)/★Summary of Bidding _공고용 최종.docx</x:v>
      </x:c>
      <x:c r="H10" s="43" t="str">
        <x:v>문단 11</x:v>
      </x:c>
      <x:c r="I10" s="46" t="str">
        <x:v>④ Bidder's qualification requirement: A company which has built at least one hospital of which contract amount is More than 6,646,000 USD, within last 10 years</x:v>
      </x:c>
      <x:c r="J10" s="43" t="str">
        <x:v>자동추출·검토필요</x:v>
      </x:c>
    </x:row>
    <x:row r="11">
      <x:c r="A11" s="43" t="str">
        <x:v>L2025-00085-1</x:v>
      </x:c>
      <x:c r="B11" s="43" t="str">
        <x:v>공사비</x:v>
      </x:c>
      <x:c r="C11" s="46" t="str">
        <x:v>contract amount</x:v>
      </x:c>
      <x:c r="D11" s="46" t="str"/>
      <x:c r="E11" s="46" t="str">
        <x:v>6,646,000 USD</x:v>
      </x:c>
      <x:c r="F11" s="46" t="str"/>
      <x:c r="G11" s="46" t="str">
        <x:v>L2025-00085-1/붙임2. 현지입찰(신규입찰) 서류 및 계약서류(안)/IKHCC Section 2 - Bid Data Sheet (ITB) (English)  250930 final★.docx</x:v>
      </x:c>
      <x:c r="H11" s="43" t="str">
        <x:v>문단 101</x:v>
      </x:c>
      <x:c r="I11" s="46" t="str">
        <x:v>A company which has built at least one hospital of which contract amount is More than 6,646,000 USD, within last 10 years.</x:v>
      </x:c>
      <x:c r="J11" s="43" t="str">
        <x:v>자동추출·검토필요</x:v>
      </x:c>
    </x:row>
    <x:row r="12">
      <x:c r="A12" s="43" t="str">
        <x:v>L2025-00085-1</x:v>
      </x:c>
      <x:c r="B12" s="43" t="str">
        <x:v>공사비</x:v>
      </x:c>
      <x:c r="C12" s="46" t="str">
        <x:v>contract amount</x:v>
      </x:c>
      <x:c r="D12" s="46" t="str"/>
      <x:c r="E12" s="46" t="str">
        <x:v>USD 6,646,000</x:v>
      </x:c>
      <x:c r="F12" s="46" t="str"/>
      <x:c r="G12" s="46" t="str">
        <x:v>L2025-00085-1/붙임2. 현지입찰(신규입찰) 서류 및 계약서류(안)/IKHCC Section 2 - Bid Data Sheet (ITB) (English)  250930 final★.docx</x:v>
      </x:c>
      <x:c r="H12" s="43" t="str">
        <x:v>문단 192</x:v>
      </x:c>
      <x:c r="I12" s="46" t="str">
        <x:v>Hospital construction project performance record during the last 10 years from the bid announce date. (completed project only) and of which contract amount is equal or more than USD 6,646,000 only.</x:v>
      </x:c>
      <x:c r="J12" s="43" t="str">
        <x:v>자동추출·검토필요</x:v>
      </x:c>
    </x:row>
    <x:row r="13">
      <x:c r="A13" s="43" t="str">
        <x:v>L2025-00085-1</x:v>
      </x:c>
      <x:c r="B13" s="43" t="str">
        <x:v>공사비</x:v>
      </x:c>
      <x:c r="C13" s="46" t="str">
        <x:v>contract amount</x:v>
      </x:c>
      <x:c r="D13" s="46" t="str"/>
      <x:c r="E13" s="46" t="str">
        <x:v>USD 6,975,000</x:v>
      </x:c>
      <x:c r="F13" s="46" t="str"/>
      <x:c r="G13" s="46" t="str">
        <x:v>L2025-00085-1/붙임2. 현지입찰(신규입찰) 서류 및 계약서류(안)/IKHCC Section 2 - Bid Data Sheet (ITB) (English)  250930 final★.docx</x:v>
      </x:c>
      <x:c r="H13" s="43" t="str">
        <x:v>문단 282</x:v>
      </x:c>
      <x:c r="I13" s="46" t="str">
        <x:v>* The hospital of which contract amount is less than USD 6,975,000(1/2 of estimated budget) shall not be included in the total contract amount of hospital.</x:v>
      </x:c>
      <x:c r="J13" s="43" t="str">
        <x:v>자동추출·검토필요</x:v>
      </x:c>
    </x:row>
    <x:row r="14">
      <x:c r="A14" s="43" t="str">
        <x:v>L2025-00085-1</x:v>
      </x:c>
      <x:c r="B14" s="43" t="str">
        <x:v>공사비</x:v>
      </x:c>
      <x:c r="C14" s="46" t="str">
        <x:v>contract amount</x:v>
      </x:c>
      <x:c r="D14" s="46" t="str"/>
      <x:c r="E14" s="46" t="str">
        <x:v>1,000,000 USD</x:v>
      </x:c>
      <x:c r="F14" s="46" t="str"/>
      <x:c r="G14" s="46" t="str">
        <x:v>L2025-00085-1/붙임2. 현지입찰(신규입찰) 서류 및 계약서류(안)/IKHCC Section 2 - Bid Data Sheet (ITB) (English)  250930 final★.docx</x:v>
      </x:c>
      <x:c r="H14" s="43" t="str">
        <x:v>문단 288</x:v>
      </x:c>
      <x:c r="I14" s="46" t="str">
        <x:v>Building contract amount less than 1,000,000 USD shall not be included.</x:v>
      </x:c>
      <x:c r="J14" s="43" t="str">
        <x:v>자동추출·검토필요</x:v>
      </x:c>
    </x:row>
    <x:row r="15">
      <x:c r="A15" s="43" t="str">
        <x:v>L2025-00085-1</x:v>
      </x:c>
      <x:c r="B15" s="43" t="str">
        <x:v>공사비</x:v>
      </x:c>
      <x:c r="C15" s="46" t="str">
        <x:v>contract amount</x:v>
      </x:c>
      <x:c r="D15" s="46" t="str"/>
      <x:c r="E15" s="46" t="str">
        <x:v>USD 6,646,000 200</x:v>
      </x:c>
      <x:c r="F15" s="46" t="str">
        <x:v>200% | 175% | 150% | 125% | 100%</x:v>
      </x:c>
      <x:c r="G15" s="46" t="str">
        <x:v>L2025-00085-1/붙임2. 현지입찰(신규입찰) 서류 및 계약서류(안)/IKHCC Section 2 - Bid Data Sheet (ITB) (English)  250930 final★.docx</x:v>
      </x:c>
      <x:c r="H15" s="43" t="str">
        <x:v>표 6 행 2</x:v>
      </x:c>
      <x:c r="I15" s="46" t="str">
        <x:v>The total of contract amount of hospitals completed during the last 10years | Hospital construction record. Rate of bidder’s total hospital performance record amount / estimated budget USD 6,646,000 200% or more : 10 175% or more : 9.1 150% or more : 8.2 125% or more : 7.3 100% or more : 6.4 |</x:v>
      </x:c>
      <x:c r="J15" s="43" t="str">
        <x:v>자동추출·검토필요</x:v>
      </x:c>
    </x:row>
    <x:row r="16">
      <x:c r="A16" s="43" t="str">
        <x:v>L2025-00085-1</x:v>
      </x:c>
      <x:c r="B16" s="43" t="str">
        <x:v>공사비</x:v>
      </x:c>
      <x:c r="C16" s="46" t="str">
        <x:v>contract amount</x:v>
      </x:c>
      <x:c r="D16" s="46" t="str"/>
      <x:c r="E16" s="46" t="str">
        <x:v>USD 13,601,250. 170</x:v>
      </x:c>
      <x:c r="F16" s="46" t="str">
        <x:v>170% | 160% | 150% | 140% | 130% | 120% | 100%</x:v>
      </x:c>
      <x:c r="G16" s="46" t="str">
        <x:v>L2025-00085-1/붙임2. 현지입찰(신규입찰) 서류 및 계약서류(안)/IKHCC Section 2 - Bid Data Sheet (ITB) (English)  250930 final★.docx</x:v>
      </x:c>
      <x:c r="H16" s="43" t="str">
        <x:v>표 7 행 2</x:v>
      </x:c>
      <x:c r="I16" s="46" t="str">
        <x:v>The total of contract amount of buildings completed during the last 3 years | Building construction record. Rate of bidder’s total general building construction work contract value / estimated budget USD 13,601,250. 170% or more : 12.0 160% or more : 11.1 150% or more : 10.2 140% or more : 9.3 130% or more : 8.4 120% or more : 7.5 100% or more : 6.6 |</x:v>
      </x:c>
      <x:c r="J16" s="43" t="str">
        <x:v>자동추출·검토필요</x:v>
      </x:c>
    </x:row>
    <x:row r="17">
      <x:c r="A17" s="43" t="str">
        <x:v>L2025-00085-1</x:v>
      </x:c>
      <x:c r="B17" s="43" t="str">
        <x:v>공사비</x:v>
      </x:c>
      <x:c r="C17" s="46" t="str">
        <x:v>contract amount</x:v>
      </x:c>
      <x:c r="D17" s="46" t="str"/>
      <x:c r="E17" s="46" t="str">
        <x:v>USD 6,646,000</x:v>
      </x:c>
      <x:c r="F17" s="46" t="str"/>
      <x:c r="G17" s="46" t="str">
        <x:v>L2025-00085-1/붙임2. 현지입찰(신규입찰) 서류 및 계약서류(안)/IKHCC Section 3 - Bidding Forms 250903.docx</x:v>
      </x:c>
      <x:c r="H17" s="43" t="str">
        <x:v>문단 93</x:v>
      </x:c>
      <x:c r="I17" s="46" t="str">
        <x:v>The contract amount equal or more than USD 6,646,000 only, and completed during the</x:v>
      </x:c>
      <x:c r="J17" s="43" t="str">
        <x:v>자동추출·검토필요</x:v>
      </x:c>
    </x:row>
    <x:row r="18">
      <x:c r="A18" s="43" t="str">
        <x:v>L2025-00085-1</x:v>
      </x:c>
      <x:c r="B18" s="43" t="str">
        <x:v>공사비</x:v>
      </x:c>
      <x:c r="C18" s="46" t="str">
        <x:v>contract amount</x:v>
      </x:c>
      <x:c r="D18" s="46" t="str"/>
      <x:c r="E18" s="46" t="str">
        <x:v>USD 6,646,000</x:v>
      </x:c>
      <x:c r="F18" s="46" t="str"/>
      <x:c r="G18" s="46" t="str">
        <x:v>L2025-00085-1/붙임2. 현지입찰(신규입찰) 서류 및 계약서류(안)/IKHCC Section 3 - Bidding Forms 250903.docx</x:v>
      </x:c>
      <x:c r="H18" s="43" t="str">
        <x:v>문단 144</x:v>
      </x:c>
      <x:c r="I18" s="46" t="str">
        <x:v>The contract amount equal or more than USD 6,646,000 only, and completed during the</x:v>
      </x:c>
      <x:c r="J18" s="43" t="str">
        <x:v>자동추출·검토필요</x:v>
      </x:c>
    </x:row>
    <x:row r="19">
      <x:c r="A19" s="43" t="str">
        <x:v>L2025-00085-1</x:v>
      </x:c>
      <x:c r="B19" s="43" t="str">
        <x:v>공사비</x:v>
      </x:c>
      <x:c r="C19" s="46" t="str">
        <x:v>contract amount</x:v>
      </x:c>
      <x:c r="D19" s="46" t="str"/>
      <x:c r="E19" s="46" t="str">
        <x:v>1,000,000 USD</x:v>
      </x:c>
      <x:c r="F19" s="46" t="str"/>
      <x:c r="G19" s="46" t="str">
        <x:v>L2025-00085-1/붙임2. 현지입찰(신규입찰) 서류 및 계약서류(안)/IKHCC Section 3 - Bidding Forms 250903.docx</x:v>
      </x:c>
      <x:c r="H19" s="43" t="str">
        <x:v>문단 146</x:v>
      </x:c>
      <x:c r="I19" s="46" t="str">
        <x:v>Building of which contract amount less than 1,000,000 USD &amp; Factory building, warehouse, Temporary building shall not be listed.</x:v>
      </x:c>
      <x:c r="J19" s="43" t="str">
        <x:v>자동추출·검토필요</x:v>
      </x:c>
    </x:row>
    <x:row r="20">
      <x:c r="A20" s="43" t="str">
        <x:v>L2025-00085-1</x:v>
      </x:c>
      <x:c r="B20" s="43" t="str">
        <x:v>공사비</x:v>
      </x:c>
      <x:c r="C20" s="46" t="str">
        <x:v>contract amount</x:v>
      </x:c>
      <x:c r="D20" s="46" t="str"/>
      <x:c r="E20" s="46" t="str">
        <x:v>USD 20,000 | USD 2,000</x:v>
      </x:c>
      <x:c r="F20" s="46" t="str"/>
      <x:c r="G20" s="46" t="str">
        <x:v>L2025-00085-1/붙임2. 현지입찰(신규입찰) 서류 및 계약서류(안)/IKHCC Section 7,8 - contract conditions - General &amp; Special conditions. of contract 250903.docx</x:v>
      </x:c>
      <x:c r="H20" s="43" t="str">
        <x:v>문단 223</x:v>
      </x:c>
      <x:c r="I20" s="46" t="str">
        <x:v>The contractor shall submit detailed CPM construction progress schedule within 2 months from the contract date, and shall be up-dated by monthly when there is any delay in progress. If this is not submitted by the time required USD 20,000 shall be deducted from the contract amount. If not up-dated by monthly when the progress is delayed USD 2,000 shall be deducted per the failure of the up-date.</x:v>
      </x:c>
      <x:c r="J20" s="43" t="str">
        <x:v>자동추출·검토필요</x:v>
      </x:c>
    </x:row>
    <x:row r="21">
      <x:c r="A21" s="43" t="str">
        <x:v>L2025-00078-1</x:v>
      </x:c>
      <x:c r="B21" s="43" t="str">
        <x:v>공사비</x:v>
      </x:c>
      <x:c r="C21" s="46" t="str">
        <x:v>공사비</x:v>
      </x:c>
      <x:c r="D21" s="46" t="str"/>
      <x:c r="E21" s="46" t="str">
        <x:v>USD 3,226,604.00</x:v>
      </x:c>
      <x:c r="F21" s="46" t="str"/>
      <x:c r="G21" s="46" t="str">
        <x:v>L2025-00078-1/1. 국문 입찰계획서.hwp</x:v>
      </x:c>
      <x:c r="H21" s="43" t="str">
        <x:v>문단 80</x:v>
      </x:c>
      <x:c r="I21" s="46" t="str">
        <x:v>＊예비조사 추정 건축공사비 : USD 3,226,604.00</x:v>
      </x:c>
      <x:c r="J21" s="43" t="str">
        <x:v>자동추출·검토필요</x:v>
      </x:c>
    </x:row>
    <x:row r="22">
      <x:c r="A22" s="43" t="str">
        <x:v>L2025-00078-1</x:v>
      </x:c>
      <x:c r="B22" s="43" t="str">
        <x:v>공사비</x:v>
      </x:c>
      <x:c r="C22" s="46" t="str">
        <x:v>공사비</x:v>
      </x:c>
      <x:c r="D22" s="46" t="str"/>
      <x:c r="E22" s="46" t="str">
        <x:v>$ 1</x:v>
      </x:c>
      <x:c r="F22" s="46" t="str">
        <x:v>7%</x:v>
      </x:c>
      <x:c r="G22" s="46" t="str">
        <x:v>L2025-00078-1/1. 국문 입찰계획서.hwp</x:v>
      </x:c>
      <x:c r="H22" s="43" t="str">
        <x:v>문단 81</x:v>
      </x:c>
      <x:c r="I22" s="46" t="str">
        <x:v>* 공식환율($1 = 6.96 bs) 및 추정공사비의 7% 적용하여 설계 집행한도액 산정</x:v>
      </x:c>
      <x:c r="J22" s="43" t="str">
        <x:v>자동추출·검토필요</x:v>
      </x:c>
    </x:row>
    <x:row r="23">
      <x:c r="A23" s="43" t="str">
        <x:v>L2025-00075-1</x:v>
      </x:c>
      <x:c r="B23" s="43" t="str">
        <x:v>공사비</x:v>
      </x:c>
      <x:c r="C23" s="46" t="str">
        <x:v>contract amount</x:v>
      </x:c>
      <x:c r="D23" s="46" t="str"/>
      <x:c r="E23" s="46" t="str">
        <x:v>USD 50,000</x:v>
      </x:c>
      <x:c r="F23" s="46" t="str"/>
      <x:c r="G23" s="46" t="str">
        <x:v>L2025-00075-1/Section 2 - Bid Data Sheet (BDS)_20250913_fin.docx</x:v>
      </x:c>
      <x:c r="H23" s="43" t="str">
        <x:v>표 8 행 4</x:v>
      </x:c>
      <x:c r="I23" s="46" t="str">
        <x:v>Track Records | Design | Accumulated contract amount of similar buildings design completed not less than USD50,000 within the last 5 years from the announcement date of tender | 6</x:v>
      </x:c>
      <x:c r="J23" s="43" t="str">
        <x:v>자동추출·검토필요</x:v>
      </x:c>
    </x:row>
    <x:row r="24">
      <x:c r="A24" s="43" t="str">
        <x:v>L2025-00075-1</x:v>
      </x:c>
      <x:c r="B24" s="43" t="str">
        <x:v>공사비</x:v>
      </x:c>
      <x:c r="C24" s="46" t="str">
        <x:v>contract price</x:v>
      </x:c>
      <x:c r="D24" s="46" t="str"/>
      <x:c r="E24" s="46" t="str">
        <x:v>$ 000,000 | $ 000,000 | $ 000,000 | $ 000,000 | $ 000,000 | $ 000,000 | $ 000,000 | $ 000,000</x:v>
      </x:c>
      <x:c r="F24" s="46" t="str"/>
      <x:c r="G24" s="46" t="str">
        <x:v>L2025-00075-1/Section 3 - Bidding Forms_fin.docx</x:v>
      </x:c>
      <x:c r="H24" s="43" t="str">
        <x:v>표 4 행 5</x:v>
      </x:c>
      <x:c r="I24" s="46" t="str">
        <x:v>Total Contract Price | Total Contract Price | [numbers] U$ 000,000 [words] _________________________ | [numbers] U$ 000,000 [words] _________________________ | [numbers] U$ 000,000 [words] _________________________ | [numbers] U$ 000,000 [words] _________________________ | [numbers] U$ 000,000 [words] _________________________ | [numbers] U$ 000,000 [words] _________________________ | [numbers] U$ 000,000 [words] _________________________ | [numbers] U$ 000,000 [words] _________________________</x:v>
      </x:c>
      <x:c r="J24" s="43" t="str">
        <x:v>자동추출·검토필요</x:v>
      </x:c>
    </x:row>
    <x:row r="25">
      <x:c r="A25" s="43" t="str">
        <x:v>L2025-00075-1</x:v>
      </x:c>
      <x:c r="B25" s="43" t="str">
        <x:v>공사비</x:v>
      </x:c>
      <x:c r="C25" s="46" t="str">
        <x:v>contract price</x:v>
      </x:c>
      <x:c r="D25" s="46" t="str"/>
      <x:c r="E25" s="46" t="str">
        <x:v>USD 000,000</x:v>
      </x:c>
      <x:c r="F25" s="46" t="str"/>
      <x:c r="G25" s="46" t="str">
        <x:v>L2025-00075-1/Section 8 - Contract Forms_fin.docx</x:v>
      </x:c>
      <x:c r="H25" s="43" t="str">
        <x:v>문단 34</x:v>
      </x:c>
      <x:c r="I25" s="46" t="str">
        <x:v>For the Total Contract Price of in word U.S. Dollars (USD 000,000)</x:v>
      </x:c>
      <x:c r="J25" s="43" t="str">
        <x:v>자동추출·검토필요</x:v>
      </x:c>
    </x:row>
    <x:row r="26">
      <x:c r="A26" s="43" t="str">
        <x:v>L2025-00073-1</x:v>
      </x:c>
      <x:c r="B26" s="43" t="str">
        <x:v>공사비</x:v>
      </x:c>
      <x:c r="C26" s="46" t="str">
        <x:v>boq</x:v>
      </x:c>
      <x:c r="D26" s="46" t="str"/>
      <x:c r="E26" s="46" t="str">
        <x:v>USD 1,000,000</x:v>
      </x:c>
      <x:c r="F26" s="46" t="str">
        <x:v>79.995%</x:v>
      </x:c>
      <x:c r="G26" s="46" t="str">
        <x:v>L2025-00073-1/(붙임1) 입찰공고문(국문).pdf</x:v>
      </x:c>
      <x:c r="H26" s="43" t="str">
        <x:v>페이지 6</x:v>
      </x:c>
      <x:c r="I26" s="46" t="str">
        <x:v>ㅇ 통화 : USD ㅇ 부가세관련 유의사항 : 부가가치세와 관련하여 KOICA는 동 입찰 및 계약에 대해 발생하는 VAT 포함 그 어떠한 세금과 관련해서도 아무런 권한이나 책임이 없으며, 주재국의 법규에 따라 세금납부 및 환급과 관련한 책임은 낙찰자에게 있다. ※ BoQ의 가격 계산과 관련하여 입찰자가 BoQ의 가격을 계산할 때 모든 단가에 대한 VAT 또는 세금을 제외한다. 2. 입찰방법 및 낙찰자 선정방법 가. 입찰방법 : 국제입찰, 일반경쟁입찰 나. 낙찰자결정방법 : 적격심사 낙찰제 ㅇ 예정가격 이하, 낙찰하한율(79.995%) 이상 투찰자 중 최저가격으로 입찰한 자의 순으로 계약이행능력(이행실적, 기술능력, 재무상태 등)을 심사하여 적격점수 (92점) 이상인 자를 선정한다. ㅇ 계약이행능력심사는 “현지입찰 시공자 선정 적격심사지침”에 따라 평가한다. 3. 입찰 참가 자격 가. 입찰 참가신청서를 적기에 제출하고 입찰적격자로 통보된 자 나. 설립지 국내법에 따른 설립의 적법성 ㅇ 각 업체별 해당 설립 국가 내 적법한 사업자등록증 및 건설업등록증, 납세증명서 등 설립지의 국내법에 따른 자격조건 충족(입찰참가신청 마감일 기준) ㅇ (한국업체의 경우) 해외건설 촉진법 제6조에 따라 (종합건설업-건축공사업)(나 라장터 업종코드:4915)을 신고하여야 함(입찰참가신청 마감일 기준) 다. 사업대상지에서 사업을 수행할 수 있는 사업 자격 ㅇ 캄보디아 내 건설공사 수행업 가능 자격에 대한 증빙 제출 업체(입찰참가신청 마감일 기준) 1) 사업자등록증 (Business Registration) 2) 건설관련면허증 (Business Operating License for Construction) 3) 납세증명서 (Tax Payment Certificate, 2025) 라. 입찰공고일 기준 최근 10년 이내 준공된 USD 1,000,000 이상의 의료시설 관련 공사 실적을 최소 1건 이상 보유한 업체 ㅇ 의료시설 관련 건물공사에 포함되는 실적은 종합병원, 전문병원, 보건소, 의과대 - 3 -</x:v>
      </x:c>
      <x:c r="J26" s="43" t="str">
        <x:v>자동추출·검토필요</x:v>
      </x:c>
    </x:row>
    <x:row r="27">
      <x:c r="A27" s="43" t="str">
        <x:v>L2025-00073-1</x:v>
      </x:c>
      <x:c r="B27" s="43" t="str">
        <x:v>공사비</x:v>
      </x:c>
      <x:c r="C27" s="46" t="str">
        <x:v>contract price, boq</x:v>
      </x:c>
      <x:c r="D27" s="46" t="str"/>
      <x:c r="E27" s="46" t="str">
        <x:v>$ 74</x:v>
      </x:c>
      <x:c r="F27" s="46" t="str"/>
      <x:c r="G27" s="46" t="str">
        <x:v>L2025-00073-1/(붙임2) 입찰서류(영문)_도면, 시방서, 프로젝트리포트 제외/Section 4_BLANK BOQ.xlsx</x:v>
      </x:c>
      <x:c r="H27" s="43" t="str">
        <x:v>Bill 3.1!266</x:v>
      </x:c>
      <x:c r="I27" s="46" t="str">
        <x:v>A266==A265+1 | C266==+IF(F266&lt;&gt;0,MAX($C$74:C265)+1,0) | E266=The Contractor is to include below for any other items not included in this BoQ but are either indicated in the drawings or described in the specifications or alluded elsewhere or which the Contractor deemed necessary for the proper execution and completion of the Works. If this item is left unpriced, it shall be deemed that the same have been included and allowed for in the overall Contract Price and no claims for extra payment arising from the Works.</x:v>
      </x:c>
      <x:c r="J27" s="43" t="str">
        <x:v>자동추출·검토필요</x:v>
      </x:c>
    </x:row>
    <x:row r="28">
      <x:c r="A28" s="43" t="str">
        <x:v>L2025-00073-1</x:v>
      </x:c>
      <x:c r="B28" s="43" t="str">
        <x:v>공사비</x:v>
      </x:c>
      <x:c r="C28" s="46" t="str">
        <x:v>contract price, boq</x:v>
      </x:c>
      <x:c r="D28" s="46" t="str"/>
      <x:c r="E28" s="46" t="str">
        <x:v>$ 74</x:v>
      </x:c>
      <x:c r="F28" s="46" t="str"/>
      <x:c r="G28" s="46" t="str">
        <x:v>L2025-00073-1/(붙임2) 입찰서류(영문)_도면, 시방서, 프로젝트리포트 제외/Section 4_BLANK BOQ.xlsx</x:v>
      </x:c>
      <x:c r="H28" s="43" t="str">
        <x:v>Bill 3.2!581</x:v>
      </x:c>
      <x:c r="I28" s="46" t="str">
        <x:v>A581==A580+1 | C581==+IF(F581&lt;&gt;0,MAX($C$74:C580)+1,0) | E581=The Contractor is to include below for any other items not included in this BoQ but are either indicated in the drawings or described in the specifications or alluded elsewhere or which the Contractor deemed necessary for the proper execution and completion of the Works. If this item is left unpriced, it shall be deemed that the same have been included and allowed for in the overall Contract Price and no claims for extra payment arising from the Works.</x:v>
      </x:c>
      <x:c r="J28" s="43" t="str">
        <x:v>자동추출·검토필요</x:v>
      </x:c>
    </x:row>
    <x:row r="29">
      <x:c r="A29" s="43" t="str">
        <x:v>L2025-00073-1</x:v>
      </x:c>
      <x:c r="B29" s="43" t="str">
        <x:v>공사비</x:v>
      </x:c>
      <x:c r="C29" s="46" t="str">
        <x:v>contract price, boq</x:v>
      </x:c>
      <x:c r="D29" s="46" t="str"/>
      <x:c r="E29" s="46" t="str">
        <x:v>$ 74</x:v>
      </x:c>
      <x:c r="F29" s="46" t="str"/>
      <x:c r="G29" s="46" t="str">
        <x:v>L2025-00073-1/(붙임2) 입찰서류(영문)_도면, 시방서, 프로젝트리포트 제외/Section 4_BLANK BOQ.xlsx</x:v>
      </x:c>
      <x:c r="H29" s="43" t="str">
        <x:v>Bill 4.1!392</x:v>
      </x:c>
      <x:c r="I29" s="46" t="str">
        <x:v>A392==A391+1 | C392==+IF(F392&lt;&gt;0,MAX($C$74:C391)+1,0) | E392=The Contractor is to include below for any other items not included in this BoQ but are either indicated in the drawings or described in the specifications or alluded elsewhere or which the Contractor deemed necessary for the proper execution and completion of the Works. If this item is left unpriced, it shall be deemed that the same have been included and allowed for in the overall Contract Price and no claims for extra payment arising from the Works.</x:v>
      </x:c>
      <x:c r="J29" s="43" t="str">
        <x:v>자동추출·검토필요</x:v>
      </x:c>
    </x:row>
    <x:row r="30">
      <x:c r="A30" s="43" t="str">
        <x:v>L2025-00073-1</x:v>
      </x:c>
      <x:c r="B30" s="43" t="str">
        <x:v>공사비</x:v>
      </x:c>
      <x:c r="C30" s="46" t="str">
        <x:v>contract price, boq</x:v>
      </x:c>
      <x:c r="D30" s="46" t="str"/>
      <x:c r="E30" s="46" t="str">
        <x:v>$ 74</x:v>
      </x:c>
      <x:c r="F30" s="46" t="str"/>
      <x:c r="G30" s="46" t="str">
        <x:v>L2025-00073-1/(붙임2) 입찰서류(영문)_도면, 시방서, 프로젝트리포트 제외/Section 4_BLANK BOQ.xlsx</x:v>
      </x:c>
      <x:c r="H30" s="43" t="str">
        <x:v>Bill 4.2!770</x:v>
      </x:c>
      <x:c r="I30" s="46" t="str">
        <x:v>A770==A769+1 | C770==+IF(F770&lt;&gt;0,MAX($C$74:C769)+1,0) | E770=The Contractor is to include below for any other items not included in this BoQ but are either indicated in the drawings or described in the specifications or alluded elsewhere or which the Contractor deemed necessary for the proper execution and completion of the Works. If this item is left unpriced, it shall be deemed that the same have been included and allowed for in the overall Contract Price and no claims for extra payment arising from the Works.</x:v>
      </x:c>
      <x:c r="J30" s="43" t="str">
        <x:v>자동추출·검토필요</x:v>
      </x:c>
    </x:row>
    <x:row r="31">
      <x:c r="A31" s="43" t="str">
        <x:v>L2025-00073-1</x:v>
      </x:c>
      <x:c r="B31" s="43" t="str">
        <x:v>공사비</x:v>
      </x:c>
      <x:c r="C31" s="46" t="str">
        <x:v>contract price, boq</x:v>
      </x:c>
      <x:c r="D31" s="46" t="str"/>
      <x:c r="E31" s="46" t="str">
        <x:v>$ 74</x:v>
      </x:c>
      <x:c r="F31" s="46" t="str"/>
      <x:c r="G31" s="46" t="str">
        <x:v>L2025-00073-1/(붙임2) 입찰서류(영문)_도면, 시방서, 프로젝트리포트 제외/Section 4_BLANK BOQ.xlsx</x:v>
      </x:c>
      <x:c r="H31" s="43" t="str">
        <x:v>Bill 4.3!1841</x:v>
      </x:c>
      <x:c r="I31" s="46" t="str">
        <x:v>A1841==A1840+1 | C1841==+IF(F1841&lt;&gt;0,MAX($C$74:C1840)+1,0) | E1841=The Contractor is to include below for any other items not included in this BoQ but are either indicated in the drawings or described in the specifications or alluded elsewhere or which the Contractor deemed necessary for the proper execution and completion of the Works. If this item is left unpriced, it shall be deemed that the same have been included and allowed for in the overall Contract Price and no claims for extra payment arising from the Works.</x:v>
      </x:c>
      <x:c r="J31" s="43" t="str">
        <x:v>자동추출·검토필요</x:v>
      </x:c>
    </x:row>
    <x:row r="32">
      <x:c r="A32" s="43" t="str">
        <x:v>L2025-00073-1</x:v>
      </x:c>
      <x:c r="B32" s="43" t="str">
        <x:v>공사비</x:v>
      </x:c>
      <x:c r="C32" s="46" t="str">
        <x:v>contract price, boq</x:v>
      </x:c>
      <x:c r="D32" s="46" t="str"/>
      <x:c r="E32" s="46" t="str">
        <x:v>$ 74</x:v>
      </x:c>
      <x:c r="F32" s="46" t="str"/>
      <x:c r="G32" s="46" t="str">
        <x:v>L2025-00073-1/(붙임2) 입찰서류(영문)_도면, 시방서, 프로젝트리포트 제외/Section 4_BLANK BOQ.xlsx</x:v>
      </x:c>
      <x:c r="H32" s="43" t="str">
        <x:v>Bill 4.5!392</x:v>
      </x:c>
      <x:c r="I32" s="46" t="str">
        <x:v>A392==A391+1 | C392==+IF(F392&lt;&gt;0,MAX($C$74:C391)+1,0) | E392=The Contractor is to include below for any other items not included in this BoQ but are either indicated in the drawings or described in the specifications or alluded elsewhere or which the Contractor deemed necessary for the proper execution and completion of the Works. If this item is left unpriced, it shall be deemed that the same have been included and allowed for in the overall Contract Price and no claims for extra payment arising from the Works.</x:v>
      </x:c>
      <x:c r="J32" s="43" t="str">
        <x:v>자동추출·검토필요</x:v>
      </x:c>
    </x:row>
    <x:row r="33">
      <x:c r="A33" s="43" t="str">
        <x:v>L2025-00073-1</x:v>
      </x:c>
      <x:c r="B33" s="43" t="str">
        <x:v>공사비</x:v>
      </x:c>
      <x:c r="C33" s="46" t="str">
        <x:v>contract price</x:v>
      </x:c>
      <x:c r="D33" s="46" t="str"/>
      <x:c r="E33" s="46" t="str">
        <x:v>USD 1,300,000</x:v>
      </x:c>
      <x:c r="F33" s="46" t="str"/>
      <x:c r="G33" s="46" t="str">
        <x:v>L2025-00073-1/(붙임2) 입찰서류(영문)_도면, 시방서, 프로젝트리포트 제외/Section 8_Special Conditions of Contract.docx</x:v>
      </x:c>
      <x:c r="H33" s="43" t="str">
        <x:v>문단 328</x:v>
      </x:c>
      <x:c r="I33" s="46" t="str">
        <x:v>The Contract Price is the lump sum price of [Insert Contract Price in figures and words (e.g. USD 1,300,000 (one million three hundred thousand US Dollars)].</x:v>
      </x:c>
      <x:c r="J33" s="43" t="str">
        <x:v>자동추출·검토필요</x:v>
      </x:c>
    </x:row>
    <x:row r="34">
      <x:c r="A34" s="43" t="str">
        <x:v>L2025-00073-1</x:v>
      </x:c>
      <x:c r="B34" s="43" t="str">
        <x:v>공사비</x:v>
      </x:c>
      <x:c r="C34" s="46" t="str">
        <x:v>contract price</x:v>
      </x:c>
      <x:c r="D34" s="46" t="str"/>
      <x:c r="E34" s="46" t="str">
        <x:v>US$ 0,000,000</x:v>
      </x:c>
      <x:c r="F34" s="46" t="str"/>
      <x:c r="G34" s="46" t="str">
        <x:v>L2025-00073-1/(붙임2) 입찰서류(영문)_도면, 시방서, 프로젝트리포트 제외/Section 8_Special Conditions of Contract.docx</x:v>
      </x:c>
      <x:c r="H34" s="43" t="str">
        <x:v>표 3 행 5</x:v>
      </x:c>
      <x:c r="I34" s="46" t="str">
        <x:v>Article 1.1 / Article 12.1 Contract Price | US$ 0,000,000 (VAT excluded)</x:v>
      </x:c>
      <x:c r="J34" s="43" t="str">
        <x:v>자동추출·검토필요</x:v>
      </x:c>
    </x:row>
    <x:row r="35">
      <x:c r="A35" s="43" t="str">
        <x:v>L2025-00071-1</x:v>
      </x:c>
      <x:c r="B35" s="43" t="str">
        <x:v>공사비</x:v>
      </x:c>
      <x:c r="C35" s="46" t="str">
        <x:v>contract amount</x:v>
      </x:c>
      <x:c r="D35" s="46" t="str"/>
      <x:c r="E35" s="46" t="str">
        <x:v>6,646,000 USD</x:v>
      </x:c>
      <x:c r="F35" s="46" t="str"/>
      <x:c r="G35" s="46" t="str">
        <x:v>L2025-00071-1/붙임2. 현지입찰(재공고입찰) 서류 및 계약서류(안)/í┌Summary of Bidding IKHCC_250903_final revised(╟÷┴÷ ░°░φ┐δ).docx</x:v>
      </x:c>
      <x:c r="H35" s="43" t="str">
        <x:v>문단 11</x:v>
      </x:c>
      <x:c r="I35" s="46" t="str">
        <x:v>④ Bidder's qualification requirement: A company which has built at least one hospital of which contract amount is More than 6,646,000 USD, within last 10 years</x:v>
      </x:c>
      <x:c r="J35" s="43" t="str">
        <x:v>자동추출·검토필요</x:v>
      </x:c>
    </x:row>
    <x:row r="36">
      <x:c r="A36" s="43" t="str">
        <x:v>L2025-00071-1</x:v>
      </x:c>
      <x:c r="B36" s="43" t="str">
        <x:v>공사비</x:v>
      </x:c>
      <x:c r="C36" s="46" t="str">
        <x:v>contract amount</x:v>
      </x:c>
      <x:c r="D36" s="46" t="str"/>
      <x:c r="E36" s="46" t="str">
        <x:v>6,646,000 USD</x:v>
      </x:c>
      <x:c r="F36" s="46" t="str"/>
      <x:c r="G36" s="46" t="str">
        <x:v>L2025-00071-1/붙임2. 현지입찰(재공고입찰) 서류 및 계약서류(안)/IKHCC Section 2 - Bid Data Sheet (ITB) (English)  250903_final.docx</x:v>
      </x:c>
      <x:c r="H36" s="43" t="str">
        <x:v>문단 101</x:v>
      </x:c>
      <x:c r="I36" s="46" t="str">
        <x:v>A company which has built at least one hospital of which contract amount is More than 6,646,000 USD, within last 10 years.</x:v>
      </x:c>
      <x:c r="J36" s="43" t="str">
        <x:v>자동추출·검토필요</x:v>
      </x:c>
    </x:row>
    <x:row r="37">
      <x:c r="A37" s="43" t="str">
        <x:v>L2025-00071-1</x:v>
      </x:c>
      <x:c r="B37" s="43" t="str">
        <x:v>공사비</x:v>
      </x:c>
      <x:c r="C37" s="46" t="str">
        <x:v>contract amount</x:v>
      </x:c>
      <x:c r="D37" s="46" t="str"/>
      <x:c r="E37" s="46" t="str">
        <x:v>USD 6,646,000</x:v>
      </x:c>
      <x:c r="F37" s="46" t="str"/>
      <x:c r="G37" s="46" t="str">
        <x:v>L2025-00071-1/붙임2. 현지입찰(재공고입찰) 서류 및 계약서류(안)/IKHCC Section 2 - Bid Data Sheet (ITB) (English)  250903_final.docx</x:v>
      </x:c>
      <x:c r="H37" s="43" t="str">
        <x:v>문단 195</x:v>
      </x:c>
      <x:c r="I37" s="46" t="str">
        <x:v>Hospital construction project performance record during the last 10 years from the bid announce date. (completed project only) and of which contract amount is equal or more than USD 6,646,000 only.</x:v>
      </x:c>
      <x:c r="J37" s="43" t="str">
        <x:v>자동추출·검토필요</x:v>
      </x:c>
    </x:row>
    <x:row r="38">
      <x:c r="A38" s="43" t="str">
        <x:v>L2025-00071-1</x:v>
      </x:c>
      <x:c r="B38" s="43" t="str">
        <x:v>공사비</x:v>
      </x:c>
      <x:c r="C38" s="46" t="str">
        <x:v>contract amount</x:v>
      </x:c>
      <x:c r="D38" s="46" t="str"/>
      <x:c r="E38" s="46" t="str">
        <x:v>USD 6,975,000</x:v>
      </x:c>
      <x:c r="F38" s="46" t="str"/>
      <x:c r="G38" s="46" t="str">
        <x:v>L2025-00071-1/붙임2. 현지입찰(재공고입찰) 서류 및 계약서류(안)/IKHCC Section 2 - Bid Data Sheet (ITB) (English)  250903_final.docx</x:v>
      </x:c>
      <x:c r="H38" s="43" t="str">
        <x:v>문단 285</x:v>
      </x:c>
      <x:c r="I38" s="46" t="str">
        <x:v>* The hospital of which contract amount is less than USD 6,975,000(1/2 of estimated budget) shall not be included in the total contract amount of hospital.</x:v>
      </x:c>
      <x:c r="J38" s="43" t="str">
        <x:v>자동추출·검토필요</x:v>
      </x:c>
    </x:row>
    <x:row r="39">
      <x:c r="A39" s="43" t="str">
        <x:v>L2025-00071-1</x:v>
      </x:c>
      <x:c r="B39" s="43" t="str">
        <x:v>공사비</x:v>
      </x:c>
      <x:c r="C39" s="46" t="str">
        <x:v>contract amount</x:v>
      </x:c>
      <x:c r="D39" s="46" t="str"/>
      <x:c r="E39" s="46" t="str">
        <x:v>1,000,000 USD</x:v>
      </x:c>
      <x:c r="F39" s="46" t="str"/>
      <x:c r="G39" s="46" t="str">
        <x:v>L2025-00071-1/붙임2. 현지입찰(재공고입찰) 서류 및 계약서류(안)/IKHCC Section 2 - Bid Data Sheet (ITB) (English)  250903_final.docx</x:v>
      </x:c>
      <x:c r="H39" s="43" t="str">
        <x:v>문단 291</x:v>
      </x:c>
      <x:c r="I39" s="46" t="str">
        <x:v>Building contract amount less than 1,000,000 USD shall not be included.</x:v>
      </x:c>
      <x:c r="J39" s="43" t="str">
        <x:v>자동추출·검토필요</x:v>
      </x:c>
    </x:row>
    <x:row r="40">
      <x:c r="A40" s="43" t="str">
        <x:v>L2025-00071-1</x:v>
      </x:c>
      <x:c r="B40" s="43" t="str">
        <x:v>공사비</x:v>
      </x:c>
      <x:c r="C40" s="46" t="str">
        <x:v>contract amount</x:v>
      </x:c>
      <x:c r="D40" s="46" t="str"/>
      <x:c r="E40" s="46" t="str">
        <x:v>6,646,000 USD</x:v>
      </x:c>
      <x:c r="F40" s="46" t="str"/>
      <x:c r="G40" s="46" t="str">
        <x:v>L2025-00071-1/붙임2. 현지입찰(재공고입찰) 서류 및 계약서류(안)/IKHCC Section 2 - Bid Data Sheet (ITB) (English)  250903_final.docx</x:v>
      </x:c>
      <x:c r="H40" s="43" t="str">
        <x:v>표 4 행 2</x:v>
      </x:c>
      <x:c r="I40" s="46" t="str">
        <x:v>Hospital construction record of a hospital within last 10 years | At least one hospital (having operation room) Construction performance record of which contract amount is more than 6,646,000 USD | Verification document to be submitted as per ITB requirement.</x:v>
      </x:c>
      <x:c r="J40" s="43" t="str">
        <x:v>자동추출·검토필요</x:v>
      </x:c>
    </x:row>
    <x:row r="41">
      <x:c r="A41" s="43" t="str">
        <x:v>L2025-00071-1</x:v>
      </x:c>
      <x:c r="B41" s="43" t="str">
        <x:v>공사비</x:v>
      </x:c>
      <x:c r="C41" s="46" t="str">
        <x:v>contract amount</x:v>
      </x:c>
      <x:c r="D41" s="46" t="str"/>
      <x:c r="E41" s="46" t="str">
        <x:v>USD 6,646,000 400</x:v>
      </x:c>
      <x:c r="F41" s="46" t="str">
        <x:v>400% | 330% | 260% | 180% | 100%</x:v>
      </x:c>
      <x:c r="G41" s="46" t="str">
        <x:v>L2025-00071-1/붙임2. 현지입찰(재공고입찰) 서류 및 계약서류(안)/IKHCC Section 2 - Bid Data Sheet (ITB) (English)  250903_final.docx</x:v>
      </x:c>
      <x:c r="H41" s="43" t="str">
        <x:v>표 7 행 2</x:v>
      </x:c>
      <x:c r="I41" s="46" t="str">
        <x:v>The total of contract amount of hospitals completed during the last 10years | Hospital construction record. Rate of bidder’s total hospital performance record amount / estimated budget USD 6,646,000 400% or more : 10 330% or more : 9.1 260% or more : 8.2 180% or more : 7.3 100% or more : 6.4 |</x:v>
      </x:c>
      <x:c r="J41" s="43" t="str">
        <x:v>자동추출·검토필요</x:v>
      </x:c>
    </x:row>
    <x:row r="42">
      <x:c r="A42" s="43" t="str">
        <x:v>L2025-00071-1</x:v>
      </x:c>
      <x:c r="B42" s="43" t="str">
        <x:v>공사비</x:v>
      </x:c>
      <x:c r="C42" s="46" t="str">
        <x:v>contract amount</x:v>
      </x:c>
      <x:c r="D42" s="46" t="str"/>
      <x:c r="E42" s="46" t="str">
        <x:v>USD 13,601,250. 240</x:v>
      </x:c>
      <x:c r="F42" s="46" t="str">
        <x:v>240% | 220% | 200% | 180% | 160% | 140% | 120%</x:v>
      </x:c>
      <x:c r="G42" s="46" t="str">
        <x:v>L2025-00071-1/붙임2. 현지입찰(재공고입찰) 서류 및 계약서류(안)/IKHCC Section 2 - Bid Data Sheet (ITB) (English)  250903_final.docx</x:v>
      </x:c>
      <x:c r="H42" s="43" t="str">
        <x:v>표 8 행 2</x:v>
      </x:c>
      <x:c r="I42" s="46" t="str">
        <x:v>The total of contract amount of buildings completed during the last 3 years | Building construction record. Rate of bidder’s total general building construction work contract value / estimated budget USD 13,601,250. 240% or more : 12.0 220% or more : 11.1 200% or more : 10.2 180% or more : 9.3 160% or more : 8.4 140% or more : 7.5 120% or more : 6.6 |</x:v>
      </x:c>
      <x:c r="J42" s="43" t="str">
        <x:v>자동추출·검토필요</x:v>
      </x:c>
    </x:row>
    <x:row r="43">
      <x:c r="A43" s="43" t="str">
        <x:v>L2025-00071-1</x:v>
      </x:c>
      <x:c r="B43" s="43" t="str">
        <x:v>공사비</x:v>
      </x:c>
      <x:c r="C43" s="46" t="str">
        <x:v>contract amount</x:v>
      </x:c>
      <x:c r="D43" s="46" t="str"/>
      <x:c r="E43" s="46" t="str">
        <x:v>USD 6,646,000</x:v>
      </x:c>
      <x:c r="F43" s="46" t="str"/>
      <x:c r="G43" s="46" t="str">
        <x:v>L2025-00071-1/붙임2. 현지입찰(재공고입찰) 서류 및 계약서류(안)/IKHCC Section 3 - Bidding Forms 250903.docx</x:v>
      </x:c>
      <x:c r="H43" s="43" t="str">
        <x:v>문단 93</x:v>
      </x:c>
      <x:c r="I43" s="46" t="str">
        <x:v>The contract amount equal or more than USD 6,646,000 only, and completed during the</x:v>
      </x:c>
      <x:c r="J43" s="43" t="str">
        <x:v>자동추출·검토필요</x:v>
      </x:c>
    </x:row>
    <x:row r="44">
      <x:c r="A44" s="43" t="str">
        <x:v>L2025-00071-1</x:v>
      </x:c>
      <x:c r="B44" s="43" t="str">
        <x:v>공사비</x:v>
      </x:c>
      <x:c r="C44" s="46" t="str">
        <x:v>contract amount</x:v>
      </x:c>
      <x:c r="D44" s="46" t="str"/>
      <x:c r="E44" s="46" t="str">
        <x:v>USD 6,646,000</x:v>
      </x:c>
      <x:c r="F44" s="46" t="str"/>
      <x:c r="G44" s="46" t="str">
        <x:v>L2025-00071-1/붙임2. 현지입찰(재공고입찰) 서류 및 계약서류(안)/IKHCC Section 3 - Bidding Forms 250903.docx</x:v>
      </x:c>
      <x:c r="H44" s="43" t="str">
        <x:v>문단 144</x:v>
      </x:c>
      <x:c r="I44" s="46" t="str">
        <x:v>The contract amount equal or more than USD 6,646,000 only, and completed during the</x:v>
      </x:c>
      <x:c r="J44" s="43" t="str">
        <x:v>자동추출·검토필요</x:v>
      </x:c>
    </x:row>
    <x:row r="45">
      <x:c r="A45" s="43" t="str">
        <x:v>L2025-00071-1</x:v>
      </x:c>
      <x:c r="B45" s="43" t="str">
        <x:v>공사비</x:v>
      </x:c>
      <x:c r="C45" s="46" t="str">
        <x:v>contract amount</x:v>
      </x:c>
      <x:c r="D45" s="46" t="str"/>
      <x:c r="E45" s="46" t="str">
        <x:v>1,000,000 USD</x:v>
      </x:c>
      <x:c r="F45" s="46" t="str"/>
      <x:c r="G45" s="46" t="str">
        <x:v>L2025-00071-1/붙임2. 현지입찰(재공고입찰) 서류 및 계약서류(안)/IKHCC Section 3 - Bidding Forms 250903.docx</x:v>
      </x:c>
      <x:c r="H45" s="43" t="str">
        <x:v>문단 146</x:v>
      </x:c>
      <x:c r="I45" s="46" t="str">
        <x:v>Building of which contract amount less than 1,000,000 USD &amp; Factory building, warehouse, Temporary building shall not be listed.</x:v>
      </x:c>
      <x:c r="J45" s="43" t="str">
        <x:v>자동추출·검토필요</x:v>
      </x:c>
    </x:row>
    <x:row r="46">
      <x:c r="A46" s="43" t="str">
        <x:v>L2025-00071-1</x:v>
      </x:c>
      <x:c r="B46" s="43" t="str">
        <x:v>공사비</x:v>
      </x:c>
      <x:c r="C46" s="46" t="str">
        <x:v>contract amount</x:v>
      </x:c>
      <x:c r="D46" s="46" t="str"/>
      <x:c r="E46" s="46" t="str">
        <x:v>USD 20,000 | USD 2,000</x:v>
      </x:c>
      <x:c r="F46" s="46" t="str"/>
      <x:c r="G46" s="46" t="str">
        <x:v>L2025-00071-1/붙임2. 현지입찰(재공고입찰) 서류 및 계약서류(안)/IKHCC Section 7,8 - contract conditions - General &amp; Special conditions. of contract 250903.docx</x:v>
      </x:c>
      <x:c r="H46" s="43" t="str">
        <x:v>문단 223</x:v>
      </x:c>
      <x:c r="I46" s="46" t="str">
        <x:v>The contractor shall submit detailed CPM construction progress schedule within 2 months from the contract date, and shall be up-dated by monthly when there is any delay in progress. If this is not submitted by the time required USD 20,000 shall be deducted from the contract amount. If not up-dated by monthly when the progress is delayed USD 2,000 shall be deducted per the failure of the up-date.</x:v>
      </x:c>
      <x:c r="J46" s="43" t="str">
        <x:v>자동추출·검토필요</x:v>
      </x:c>
    </x:row>
    <x:row r="47">
      <x:c r="A47" s="43" t="str">
        <x:v>L2025-00070-1</x:v>
      </x:c>
      <x:c r="B47" s="43" t="str">
        <x:v>공사비</x:v>
      </x:c>
      <x:c r="C47" s="46" t="str">
        <x:v>contract amount</x:v>
      </x:c>
      <x:c r="D47" s="46" t="str"/>
      <x:c r="E47" s="46" t="str">
        <x:v>6,646,000 USD</x:v>
      </x:c>
      <x:c r="F47" s="46" t="str"/>
      <x:c r="G47" s="46" t="str">
        <x:v>L2025-00070-1/붙임3. 현지입찰 서류 및 계약서류(안)/IKHCC Section 2 - Bid Data Sheet (ITB) (English) revised final 250702.docx</x:v>
      </x:c>
      <x:c r="H47" s="43" t="str">
        <x:v>문단 107</x:v>
      </x:c>
      <x:c r="I47" s="46" t="str">
        <x:v>A company which has built at least one hospital of which contract amount is More than 6,646,000 USD, within last 10 years.</x:v>
      </x:c>
      <x:c r="J47" s="43" t="str">
        <x:v>자동추출·검토필요</x:v>
      </x:c>
    </x:row>
    <x:row r="48">
      <x:c r="A48" s="43" t="str">
        <x:v>L2025-00070-1</x:v>
      </x:c>
      <x:c r="B48" s="43" t="str">
        <x:v>공사비</x:v>
      </x:c>
      <x:c r="C48" s="46" t="str">
        <x:v>contract amount</x:v>
      </x:c>
      <x:c r="D48" s="46" t="str"/>
      <x:c r="E48" s="46" t="str">
        <x:v>USD 6,646,000</x:v>
      </x:c>
      <x:c r="F48" s="46" t="str"/>
      <x:c r="G48" s="46" t="str">
        <x:v>L2025-00070-1/붙임3. 현지입찰 서류 및 계약서류(안)/IKHCC Section 2 - Bid Data Sheet (ITB) (English) revised final 250702.docx</x:v>
      </x:c>
      <x:c r="H48" s="43" t="str">
        <x:v>문단 205</x:v>
      </x:c>
      <x:c r="I48" s="46" t="str">
        <x:v>Hospital construction project performance record during the last 10 years from the bid announce date. (completed project only) and of which contract amount is equal or more than USD 6,646,000 only.</x:v>
      </x:c>
      <x:c r="J48" s="43" t="str">
        <x:v>자동추출·검토필요</x:v>
      </x:c>
    </x:row>
    <x:row r="49">
      <x:c r="A49" s="43" t="str">
        <x:v>L2025-00070-1</x:v>
      </x:c>
      <x:c r="B49" s="43" t="str">
        <x:v>공사비</x:v>
      </x:c>
      <x:c r="C49" s="46" t="str">
        <x:v>contract amount</x:v>
      </x:c>
      <x:c r="D49" s="46" t="str"/>
      <x:c r="E49" s="46" t="str">
        <x:v>USD 6,975,000</x:v>
      </x:c>
      <x:c r="F49" s="46" t="str"/>
      <x:c r="G49" s="46" t="str">
        <x:v>L2025-00070-1/붙임3. 현지입찰 서류 및 계약서류(안)/IKHCC Section 2 - Bid Data Sheet (ITB) (English) revised final 250702.docx</x:v>
      </x:c>
      <x:c r="H49" s="43" t="str">
        <x:v>문단 294</x:v>
      </x:c>
      <x:c r="I49" s="46" t="str">
        <x:v>* The hospital of which contract amount is less than USD 6,975,000(1/2 of estimated budget) shall not be included in the total contract amount of hospital.</x:v>
      </x:c>
      <x:c r="J49" s="43" t="str">
        <x:v>자동추출·검토필요</x:v>
      </x:c>
    </x:row>
    <x:row r="50">
      <x:c r="A50" s="43" t="str">
        <x:v>L2025-00070-1</x:v>
      </x:c>
      <x:c r="B50" s="43" t="str">
        <x:v>공사비</x:v>
      </x:c>
      <x:c r="C50" s="46" t="str">
        <x:v>contract amount</x:v>
      </x:c>
      <x:c r="D50" s="46" t="str"/>
      <x:c r="E50" s="46" t="str">
        <x:v>6,646,000 USD</x:v>
      </x:c>
      <x:c r="F50" s="46" t="str"/>
      <x:c r="G50" s="46" t="str">
        <x:v>L2025-00070-1/붙임3. 현지입찰 서류 및 계약서류(안)/IKHCC Section 2 - Bid Data Sheet (ITB) (English) revised final 250702.docx</x:v>
      </x:c>
      <x:c r="H50" s="43" t="str">
        <x:v>표 4 행 2</x:v>
      </x:c>
      <x:c r="I50" s="46" t="str">
        <x:v>Hospital construction record of a hospital within last 10 years | At least one hospital (having operation room) Construction performance record of which contract amount is more than 6,646,000 USD | Verification document to be submitted as per ITB requirement.</x:v>
      </x:c>
      <x:c r="J50" s="43" t="str">
        <x:v>자동추출·검토필요</x:v>
      </x:c>
    </x:row>
    <x:row r="51">
      <x:c r="A51" s="43" t="str">
        <x:v>L2025-00070-1</x:v>
      </x:c>
      <x:c r="B51" s="43" t="str">
        <x:v>공사비</x:v>
      </x:c>
      <x:c r="C51" s="46" t="str">
        <x:v>contract amount</x:v>
      </x:c>
      <x:c r="D51" s="46" t="str"/>
      <x:c r="E51" s="46" t="str">
        <x:v>USD 6,646,000 400</x:v>
      </x:c>
      <x:c r="F51" s="46" t="str">
        <x:v>400% | 330% | 260% | 180% | 100%</x:v>
      </x:c>
      <x:c r="G51" s="46" t="str">
        <x:v>L2025-00070-1/붙임3. 현지입찰 서류 및 계약서류(안)/IKHCC Section 2 - Bid Data Sheet (ITB) (English) revised final 250702.docx</x:v>
      </x:c>
      <x:c r="H51" s="43" t="str">
        <x:v>표 7 행 2</x:v>
      </x:c>
      <x:c r="I51" s="46" t="str">
        <x:v>The total of contract amount of hospitals completed during the last 10years | Hospital construction record. Rate of bidder’s total hospital performance record amount / estimated budget USD 6,646,000 400% or more : 10 330% or more : 9.1 260% or more : 8.2 180% or more : 7.3 100% or more : 6.4 |</x:v>
      </x:c>
      <x:c r="J51" s="43" t="str">
        <x:v>자동추출·검토필요</x:v>
      </x:c>
    </x:row>
    <x:row r="52">
      <x:c r="A52" s="43" t="str">
        <x:v>L2025-00070-1</x:v>
      </x:c>
      <x:c r="B52" s="43" t="str">
        <x:v>공사비</x:v>
      </x:c>
      <x:c r="C52" s="46" t="str">
        <x:v>contract amount</x:v>
      </x:c>
      <x:c r="D52" s="46" t="str"/>
      <x:c r="E52" s="46" t="str">
        <x:v>USD 13,601,250. 240</x:v>
      </x:c>
      <x:c r="F52" s="46" t="str">
        <x:v>240% | 220% | 200% | 180% | 160% | 140% | 120%</x:v>
      </x:c>
      <x:c r="G52" s="46" t="str">
        <x:v>L2025-00070-1/붙임3. 현지입찰 서류 및 계약서류(안)/IKHCC Section 2 - Bid Data Sheet (ITB) (English) revised final 250702.docx</x:v>
      </x:c>
      <x:c r="H52" s="43" t="str">
        <x:v>표 8 행 2</x:v>
      </x:c>
      <x:c r="I52" s="46" t="str">
        <x:v>The total of contract amount of general buildings completed during the last 3 years | General building construction record. Rate of bidder’s total general building construction work contract value / estimated budget USD 13,601,250. 240% or more : 12.0 220% or more : 11.1 200% or more : 10.2 180% or more : 9.3 160% or more : 8.4 140% or more : 7.5 120% or more : 6.6 |</x:v>
      </x:c>
      <x:c r="J52" s="43" t="str">
        <x:v>자동추출·검토필요</x:v>
      </x:c>
    </x:row>
    <x:row r="53">
      <x:c r="A53" s="43" t="str">
        <x:v>L2025-00070-1</x:v>
      </x:c>
      <x:c r="B53" s="43" t="str">
        <x:v>공사비</x:v>
      </x:c>
      <x:c r="C53" s="46" t="str">
        <x:v>contract amount</x:v>
      </x:c>
      <x:c r="D53" s="46" t="str"/>
      <x:c r="E53" s="46" t="str">
        <x:v>USD 6,646,000</x:v>
      </x:c>
      <x:c r="F53" s="46" t="str"/>
      <x:c r="G53" s="46" t="str">
        <x:v>L2025-00070-1/붙임3. 현지입찰 서류 및 계약서류(안)/IKHCC Section 3 - Bidding Forms 250624-2.docx</x:v>
      </x:c>
      <x:c r="H53" s="43" t="str">
        <x:v>문단 93</x:v>
      </x:c>
      <x:c r="I53" s="46" t="str">
        <x:v>The contract amount equal or more than USD 6,646,000 only, and completed during the</x:v>
      </x:c>
      <x:c r="J53" s="43" t="str">
        <x:v>자동추출·검토필요</x:v>
      </x:c>
    </x:row>
    <x:row r="54">
      <x:c r="A54" s="43" t="str">
        <x:v>L2025-00070-1</x:v>
      </x:c>
      <x:c r="B54" s="43" t="str">
        <x:v>공사비</x:v>
      </x:c>
      <x:c r="C54" s="46" t="str">
        <x:v>contract amount</x:v>
      </x:c>
      <x:c r="D54" s="46" t="str"/>
      <x:c r="E54" s="46" t="str">
        <x:v>USD 6,646,000</x:v>
      </x:c>
      <x:c r="F54" s="46" t="str"/>
      <x:c r="G54" s="46" t="str">
        <x:v>L2025-00070-1/붙임3. 현지입찰 서류 및 계약서류(안)/IKHCC Section 3 - Bidding Forms 250624-2.docx</x:v>
      </x:c>
      <x:c r="H54" s="43" t="str">
        <x:v>문단 144</x:v>
      </x:c>
      <x:c r="I54" s="46" t="str">
        <x:v>The contract amount equal or more than USD 6,646,000 only, and completed during the</x:v>
      </x:c>
      <x:c r="J54" s="43" t="str">
        <x:v>자동추출·검토필요</x:v>
      </x:c>
    </x:row>
    <x:row r="55">
      <x:c r="A55" s="43" t="str">
        <x:v>L2025-00070-1</x:v>
      </x:c>
      <x:c r="B55" s="43" t="str">
        <x:v>공사비</x:v>
      </x:c>
      <x:c r="C55" s="46" t="str">
        <x:v>contract amount</x:v>
      </x:c>
      <x:c r="D55" s="46" t="str"/>
      <x:c r="E55" s="46" t="str">
        <x:v>USD 20,000 | USD 2,000</x:v>
      </x:c>
      <x:c r="F55" s="46" t="str"/>
      <x:c r="G55" s="46" t="str">
        <x:v>L2025-00070-1/붙임3. 현지입찰 서류 및 계약서류(안)/IKHCC Section 7,8 - contract conditions - General &amp; Special conditions. of contract 250311.docx</x:v>
      </x:c>
      <x:c r="H55" s="43" t="str">
        <x:v>문단 223</x:v>
      </x:c>
      <x:c r="I55" s="46" t="str">
        <x:v>The contractor shall submit detailed CPM construction progress schedule within 2 months from the contract date, and shall be up-dated by monthly when there is any delay in progress. If this is not submitted by the time required USD 20,000 shall be deducted from the contract amount. If not up-dated by monthly when the progress is delayed USD 2,000 shall be deducted per the failure of the up-date.</x:v>
      </x:c>
      <x:c r="J55" s="43" t="str">
        <x:v>자동추출·검토필요</x:v>
      </x:c>
    </x:row>
    <x:row r="56">
      <x:c r="A56" s="43" t="str">
        <x:v>L2025-00070-1</x:v>
      </x:c>
      <x:c r="B56" s="43" t="str">
        <x:v>공사비</x:v>
      </x:c>
      <x:c r="C56" s="46" t="str">
        <x:v>contract amount</x:v>
      </x:c>
      <x:c r="D56" s="46" t="str"/>
      <x:c r="E56" s="46" t="str">
        <x:v>6,646,000 USD</x:v>
      </x:c>
      <x:c r="F56" s="46" t="str"/>
      <x:c r="G56" s="46" t="str">
        <x:v>L2025-00070-1/붙임3. 현지입찰 서류 및 계약서류(안)/Summary of Bidding IKHCC_final.docx</x:v>
      </x:c>
      <x:c r="H56" s="43" t="str">
        <x:v>문단 11</x:v>
      </x:c>
      <x:c r="I56" s="46" t="str">
        <x:v>④ Bidder's qualification requirement: A company which has built at least one hospital of which contract amount is More than 6,646,000 USD, within last 10 years</x:v>
      </x:c>
      <x:c r="J56" s="43" t="str">
        <x:v>자동추출·검토필요</x:v>
      </x:c>
    </x:row>
    <x:row r="57">
      <x:c r="A57" s="43" t="str">
        <x:v>L2025-00062-1</x:v>
      </x:c>
      <x:c r="B57" s="43" t="str">
        <x:v>공사비</x:v>
      </x:c>
      <x:c r="C57" s="46" t="str">
        <x:v>contract price</x:v>
      </x:c>
      <x:c r="D57" s="46" t="str"/>
      <x:c r="E57" s="46" t="str">
        <x:v>USD 1,300,000</x:v>
      </x:c>
      <x:c r="F57" s="46" t="str"/>
      <x:c r="G57" s="46" t="str">
        <x:v>L2025-00062-1/붙임 2. 입찰 첨부서류 각 1부(Part II 제외)/붙임 2. 입찰 첨부서류 각 1부(Part II 제외)/Section 8 - Specail Conditions of Contract.docx</x:v>
      </x:c>
      <x:c r="H57" s="43" t="str">
        <x:v>문단 365</x:v>
      </x:c>
      <x:c r="I57" s="46" t="str">
        <x:v>The Contract Price is the lump sum price of [Insert Contract Price in figures and words (e.g. USD 1,300,000 (one million three hundred thousand US Dollars)].</x:v>
      </x:c>
      <x:c r="J57" s="43" t="str">
        <x:v>자동추출·검토필요</x:v>
      </x:c>
    </x:row>
    <x:row r="58">
      <x:c r="A58" s="43" t="str">
        <x:v>L2025-00062-1</x:v>
      </x:c>
      <x:c r="B58" s="43" t="str">
        <x:v>공사비</x:v>
      </x:c>
      <x:c r="C58" s="46" t="str">
        <x:v>contract price</x:v>
      </x:c>
      <x:c r="D58" s="46" t="str"/>
      <x:c r="E58" s="46" t="str">
        <x:v>UGX 500 Million | UGX 25 Million</x:v>
      </x:c>
      <x:c r="F58" s="46" t="str">
        <x:v>5% | 5%</x:v>
      </x:c>
      <x:c r="G58" s="46" t="str">
        <x:v>L2025-00062-1/붙임 3. 우간다 조달청(PPDA) 관련 규정/3-1. (PPDA 보증규정) GUIDELINE-3-OF-2024-ON-BID-AND-PERFORMANCE-SECURITIES.pdf</x:v>
      </x:c>
      <x:c r="H58" s="43" t="str">
        <x:v>페이지 3</x:v>
      </x:c>
      <x:c r="I58" s="46" t="str">
        <x:v>The Public Procurement and Disposal ofPublic Assets Guidelines,2024 The format of the bid security in form of a bid bond is provided in the standard bidding documents issued to procuring and disposing entities. vt. Where an Entity finds it necessary to extend the bid security (bid bond), such extension shall be undertaken by use of a bid securing declaration. The format of the bid securing declaration is provided in the standard bidding documents issued to procuring and disposing entities. 1.3 Bid or Proposal Securing Declaration A bid or Proposal Securing Declaration shall be required for procurement of supplies, works and non-+onsultancy services under the restricted domestic, restricted international, quotation and direct methods. A proposal securing declaration shall be required for procurement of consultancy services under all procurement bidding methods. iii. Notwithstanding provisions in .1 (i) and .2(i) above, a bid securing 1 '1 declaration shall be required for procurements that are reserved for national providers under the open domestic bidding method. The format of the bid securing declaration is provided in the standard bidding documents issued to procuring and disposi</x:v>
      </x:c>
      <x:c r="J58" s="43" t="str">
        <x:v>자동추출·검토필요</x:v>
      </x:c>
    </x:row>
    <x:row r="59">
      <x:c r="A59" s="43" t="str">
        <x:v>L2025-00058-1</x:v>
      </x:c>
      <x:c r="B59" s="43" t="str">
        <x:v>공사비</x:v>
      </x:c>
      <x:c r="C59" s="46" t="str">
        <x:v>construction cost</x:v>
      </x:c>
      <x:c r="D59" s="46" t="str"/>
      <x:c r="E59" s="46" t="str">
        <x:v>USD 1,645,112 | USD 1,645,112</x:v>
      </x:c>
      <x:c r="F59" s="46" t="str">
        <x:v>0.5 % | 2.5% | 0.5 % | 2.5%</x:v>
      </x:c>
      <x:c r="G59" s="46" t="str">
        <x:v>L2025-00058-1/(붙임1) 공고내역 (KG_2025_07)/Re-Bid_Document_Digitalization_of_the_Parliament_KG_2025_07/Bid document (Eng)/ENG_Section 2 - Bid Data Sheet Digitalization Parliament_2025 07(final).docx</x:v>
      </x:c>
      <x:c r="H59" s="43" t="str">
        <x:v>표 5 행 15</x:v>
      </x:c>
      <x:c r="I59" s="46" t="str">
        <x:v>․ Base Price | USD 1,645,112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USD 1,645,112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x:v>
      </x:c>
      <x:c r="J59" s="43" t="str">
        <x:v>자동추출·검토필요</x:v>
      </x:c>
    </x:row>
    <x:row r="60">
      <x:c r="A60" s="43" t="str">
        <x:v>L2025-00056-1</x:v>
      </x:c>
      <x:c r="B60" s="43" t="str">
        <x:v>공사비</x:v>
      </x:c>
      <x:c r="C60" s="46" t="str">
        <x:v>contract price</x:v>
      </x:c>
      <x:c r="D60" s="46" t="str"/>
      <x:c r="E60" s="46" t="str">
        <x:v>US$ 1,024,479.58</x:v>
      </x:c>
      <x:c r="F60" s="46" t="str"/>
      <x:c r="G60" s="46" t="str">
        <x:v>L2025-00056-1/4-PCF/4-PCF/ICT_Bid Application Form_L2025-00056-1.pdf</x:v>
      </x:c>
      <x:c r="H60" s="43" t="str">
        <x:v>페이지 11</x:v>
      </x:c>
      <x:c r="I60" s="46" t="str">
        <x:v>KOREA INTERNATIONAL COOPERATION AGENCY Mr. Chang Jae Young Phnom Penh, December 06, 2023 Chief of Executive Director KOICACambodia-2023- 300&lt;3 PCf Asset &amp; Engineering Co., Ltd Sub: Confirmation on the construction completion of 48 ICT labs of 4 RTTCs and 20 lower secondary schools Dr. Mr. Chang Jae Young, On behalf of the Korea International Cooperation Agency (KOICA) in Cambodia, we thank you for your cooperation with KOICA for constructing 48 JCT labs of 4 RTTCs and 20 lower secondary schools under the "Project for Construction (Remodeling) of ICT Capacity Building of Lower Secondary Education m Cambodia". With the reference to the contract between KOICA and the PCF Asset &amp; Engineering Co., Ltd signed on October 07, 2022 and amendment# I issued on August 11 , 2023 respectively, we would like to acknowledge that the construction of the 48 labs of RTTCs and 20 lower secondary schools is completed as follows: 1. All work has been perfonned in accordance with the terms of the contract. 2. There have been no claims made for Contract Payment including additional work. 3. The work to which this certificate applies has been inspected by the representatives of Employer, KOICA and the punc</x:v>
      </x:c>
      <x:c r="J60" s="43" t="str">
        <x:v>자동추출·검토필요</x:v>
      </x:c>
    </x:row>
    <x:row r="61">
      <x:c r="A61" s="43" t="str">
        <x:v>L2025-00056-1</x:v>
      </x:c>
      <x:c r="B61" s="43" t="str">
        <x:v>공사비</x:v>
      </x:c>
      <x:c r="C61" s="46" t="str">
        <x:v>contract price</x:v>
      </x:c>
      <x:c r="D61" s="46" t="str"/>
      <x:c r="E61" s="46" t="str">
        <x:v>US$ 2,772,958.00</x:v>
      </x:c>
      <x:c r="F61" s="46" t="str"/>
      <x:c r="G61" s="46" t="str">
        <x:v>L2025-00056-1/4-PCF/4-PCF/ICT_Bid Application Form_L2025-00056-1.pdf</x:v>
      </x:c>
      <x:c r="H61" s="43" t="str">
        <x:v>페이지 14</x:v>
      </x:c>
      <x:c r="I61" s="46" t="str">
        <x:v>KOREA INTERNATIONAL COOPERATION AGENCY Mr. Chang Jae Young Phnom Penh, November 10, 2023 Chief of Executive Director KOICA Cambodia-2023-. ~~2.l PCF Asset &amp; Engineering Co., Ltd Sub: Confirmation on the construction completion of the National Incubation Center of Cambodia (NICC) Building Dr. Mr. Chang Jae Young, On behalf of the Korea International Cooperation Agency (KOICA), we appreciate your cooperation with KOICA for the constructing the National Incubation Center of Cambodia (NICC) under the "Project for Establishment of Business Incubation System between School and Industry in Cambodia". With the reference to the contracts between the KOICA and the PCF Asset &amp; Engineering Co., Ltd signed on August 06, 2021 and amendment #4 issued on April 17, 2023 respectively, we would like to acknowledge that the construction of the NICC is completed as follows: 1. All work has been performed in accordance with the terms of the contract. 2. There have been no claims made for Contract Payment including additional work. 3. The work to which this certificate applies has been inspected by the representatives of Employer, KO ICA and the punch list has been completed and the work of the contract </x:v>
      </x:c>
      <x:c r="J61" s="43" t="str">
        <x:v>자동추출·검토필요</x:v>
      </x:c>
    </x:row>
    <x:row r="62">
      <x:c r="A62" s="43" t="str">
        <x:v>L2025-00054-1</x:v>
      </x:c>
      <x:c r="B62" s="43" t="str">
        <x:v>공사비</x:v>
      </x:c>
      <x:c r="C62" s="46" t="str">
        <x:v>construction cost</x:v>
      </x:c>
      <x:c r="D62" s="46" t="str"/>
      <x:c r="E62" s="46" t="str">
        <x:v>USD 1,645,112 | USD 1,645,112</x:v>
      </x:c>
      <x:c r="F62" s="46" t="str">
        <x:v>0.5 % | 2.5% | 0.5 % | 2.5%</x:v>
      </x:c>
      <x:c r="G62" s="46" t="str">
        <x:v>L2025-00054-1/(붙임1) 공고내역_Bid_Document_Digitalization_of_the_Parliament_KG_2025_05 (2)/Bid_Document_Digitalization_of_the_Parliament_KG_2025_05/Bid Document (Eng)/ENG_Section_2 - Bid_Data_Sheet_Digitalization_Parliament.docx</x:v>
      </x:c>
      <x:c r="H62" s="43" t="str">
        <x:v>표 5 행 15</x:v>
      </x:c>
      <x:c r="I62" s="46" t="str">
        <x:v>․ Base Price | USD 1,645,112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USD 1,645,112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x:v>
      </x:c>
      <x:c r="J62" s="43" t="str">
        <x:v>자동추출·검토필요</x:v>
      </x:c>
    </x:row>
    <x:row r="63">
      <x:c r="A63" s="43" t="str">
        <x:v>L2025-00052-1</x:v>
      </x:c>
      <x:c r="B63" s="43" t="str">
        <x:v>공사비</x:v>
      </x:c>
      <x:c r="C63" s="46" t="str">
        <x:v>contract amount</x:v>
      </x:c>
      <x:c r="D63" s="46" t="str"/>
      <x:c r="E63" s="46" t="str">
        <x:v>$ 3</x:v>
      </x:c>
      <x:c r="F63" s="46" t="str"/>
      <x:c r="G63" s="46" t="str">
        <x:v>L2025-00052-1/(붙임 2) 영문 입찰 계획 서류_KOICA FHBU Construction_정정본/Section 11 - Bid Document Checklist_FHBU Construction_KOICA FHBU Construction.xlsx</x:v>
      </x:c>
      <x:c r="H63" s="43" t="str">
        <x:v>List!16</x:v>
      </x:c>
      <x:c r="I63" s="46" t="str">
        <x:v>A16=12 | B16=Bid Submission | C16=2025-08-18 15:00:00 | D16=materials of qualification examination (in the prescribed form) | E16=Visit KOICA Office | F16=1. Construction Experience(in the prescribed Section 3 - Annex 4) Evidence of performance in the construction of similar projects in the past 10 years(5th July, 2016 ~ 4th July, 2025) (in the prescribed form 4 : list of performance results(including contract amount and client information), performance certificates, Contract for construction and Completion certificates) 2. Finances(in the prescribed Section 3 - Annex 5) a) Letter of comfort from an accredited Commercial Bank declaring that the Construction Contractor has access to financial resources; line of credit, overdraft facility b) Audited financial statements/Books of Account including income statements and balance sheet(2022~2024) c) The period from the date of issuance of the license or qualification certificate proving eligibility to carry out the relevant construction work to the evaluation reference date (18th August 2025). [A construction business license refers to a case where the main business type indicated in the business registration certificate is construction </x:v>
      </x:c>
      <x:c r="J63" s="43" t="str">
        <x:v>자동추출·검토필요</x:v>
      </x:c>
    </x:row>
    <x:row r="64">
      <x:c r="A64" s="43" t="str">
        <x:v>L2025-00052-1</x:v>
      </x:c>
      <x:c r="B64" s="43" t="str">
        <x:v>공사비</x:v>
      </x:c>
      <x:c r="C64" s="46" t="str">
        <x:v>contract price</x:v>
      </x:c>
      <x:c r="D64" s="46" t="str"/>
      <x:c r="E64" s="46" t="str">
        <x:v>USD 1,300,000</x:v>
      </x:c>
      <x:c r="F64" s="46" t="str"/>
      <x:c r="G64" s="46" t="str">
        <x:v>L2025-00052-1/(붙임 2) 영문 입찰 계획 서류_KOICA FHBU Construction_정정본/Section 8 - Special Conditions of Contract(Draft)_KOICA FHBU Construction.docx</x:v>
      </x:c>
      <x:c r="H64" s="43" t="str">
        <x:v>문단 365</x:v>
      </x:c>
      <x:c r="I64" s="46" t="str">
        <x:v>The Contract Price is the lump sum price of [Insert Contract Price in figures and words (e.g. USD 1,300,000 (one million three hundred thousand US Dollars)].</x:v>
      </x:c>
      <x:c r="J64" s="43" t="str">
        <x:v>자동추출·검토필요</x:v>
      </x:c>
    </x:row>
    <x:row r="65">
      <x:c r="A65" s="43" t="str">
        <x:v>L2025-00051-2</x:v>
      </x:c>
      <x:c r="B65" s="43" t="str">
        <x:v>공사비</x:v>
      </x:c>
      <x:c r="C65" s="46" t="str">
        <x:v>contract price</x:v>
      </x:c>
      <x:c r="D65" s="46" t="str"/>
      <x:c r="E65" s="46" t="str">
        <x:v>3.0 PEN</x:v>
      </x:c>
      <x:c r="F65" s="46" t="str"/>
      <x:c r="G65" s="46" t="str">
        <x:v>L2025-00051-2/Section 6- Specification Of Work/Services Specifications/3921-Specifications-Electronic Services-T1-2024.08.22.pdf</x:v>
      </x:c>
      <x:c r="H65" s="43" t="str">
        <x:v>페이지 19</x:v>
      </x:c>
      <x:c r="I65" s="46" t="str">
        <x:v>EDISON CONSULTANTS LIMITED 22 MARION STREET SUVA, FIJI ISLANDS TELEPHONE: (679) 330 7060 ■ website: www.edisonconsultants.com ■ office email: info@edisonconsultants.com ■ project manager: edisonfiji@gmail.com 2.3 PROVISIONS FOR OTHER SERVICES The Security &amp; Access Control Services Contract shall include provisions for other services installations as follows: 2.3.1 Hydraulics Services None required for Hydraulics Services builders work penetration, chasing, making good, repainting is to be included in SAC contract price. 2.3.2 Fire Protection Services Not required. 2.3.3 Mechanical Services No work required 2.3.4 Transportation Services No work required 2.3.5 Electrical Services The Electronic Services Contractor shall provide the following for Electrical Services works: Power supply requirements for their equipment. The electrical contractor shall ensure that adequate power provisions shall be provided for the same. 3.3.5.2 Co-ordination of the Security installation, with respect to power supply throughout the site with the Electrical Contractor 2.3.6 Liaison with Client The Contractor shall ensure that they have liaised with the client to ensure that their requirements are fully m</x:v>
      </x:c>
      <x:c r="J65" s="43" t="str">
        <x:v>자동추출·검토필요</x:v>
      </x:c>
    </x:row>
    <x:row r="66">
      <x:c r="A66" s="43" t="str">
        <x:v>L2025-00051-1</x:v>
      </x:c>
      <x:c r="B66" s="43" t="str">
        <x:v>공사비</x:v>
      </x:c>
      <x:c r="C66" s="46" t="str">
        <x:v>contract price</x:v>
      </x:c>
      <x:c r="D66" s="46" t="str"/>
      <x:c r="E66" s="46" t="str">
        <x:v>3.0 PEN</x:v>
      </x:c>
      <x:c r="F66" s="46" t="str"/>
      <x:c r="G66" s="46" t="str">
        <x:v>L2025-00051-1/Section 6- Specification Of Work/Services Specifications/3921-Specifications-Electronic Services-T1-2024.08.22.pdf</x:v>
      </x:c>
      <x:c r="H66" s="43" t="str">
        <x:v>페이지 19</x:v>
      </x:c>
      <x:c r="I66" s="46" t="str">
        <x:v>EDISON CONSULTANTS LIMITED 22 MARION STREET SUVA, FIJI ISLANDS TELEPHONE: (679) 330 7060 ■ website: www.edisonconsultants.com ■ office email: info@edisonconsultants.com ■ project manager: edisonfiji@gmail.com 2.3 PROVISIONS FOR OTHER SERVICES The Security &amp; Access Control Services Contract shall include provisions for other services installations as follows: 2.3.1 Hydraulics Services None required for Hydraulics Services builders work penetration, chasing, making good, repainting is to be included in SAC contract price. 2.3.2 Fire Protection Services Not required. 2.3.3 Mechanical Services No work required 2.3.4 Transportation Services No work required 2.3.5 Electrical Services The Electronic Services Contractor shall provide the following for Electrical Services works: Power supply requirements for their equipment. The electrical contractor shall ensure that adequate power provisions shall be provided for the same. 3.3.5.2 Co-ordination of the Security installation, with respect to power supply throughout the site with the Electrical Contractor 2.3.6 Liaison with Client The Contractor shall ensure that they have liaised with the client to ensure that their requirements are fully m</x:v>
      </x:c>
      <x:c r="J66" s="43" t="str">
        <x:v>자동추출·검토필요</x:v>
      </x:c>
    </x:row>
    <x:row r="67">
      <x:c r="A67" s="43" t="str">
        <x:v>L2025-00047-1</x:v>
      </x:c>
      <x:c r="B67" s="43" t="str">
        <x:v>공사비</x:v>
      </x:c>
      <x:c r="C67" s="46" t="str">
        <x:v>contract price</x:v>
      </x:c>
      <x:c r="D67" s="46" t="str"/>
      <x:c r="E67" s="46" t="str">
        <x:v>USD 0000000 | USD 0000000</x:v>
      </x:c>
      <x:c r="F67" s="46" t="str"/>
      <x:c r="G67" s="46" t="str">
        <x:v>L2025-00047-1/붙임2. 영문 입찰서류_섬유센터 2차사업 시공 재입찰 (2025.06.20)/Section 8 - Special Conditions of Contract.docx</x:v>
      </x:c>
      <x:c r="H67" s="43" t="str">
        <x:v>표 3 행 4</x:v>
      </x:c>
      <x:c r="I67" s="46" t="str">
        <x:v>Contract Price | USD 0000000 | USD 0000000</x:v>
      </x:c>
      <x:c r="J67" s="43" t="str">
        <x:v>자동추출·검토필요</x:v>
      </x:c>
    </x:row>
    <x:row r="68">
      <x:c r="A68" s="43" t="str">
        <x:v>L2025-00047-1</x:v>
      </x:c>
      <x:c r="B68" s="43" t="str">
        <x:v>공사비</x:v>
      </x:c>
      <x:c r="C68" s="46" t="str">
        <x:v>contract amount</x:v>
      </x:c>
      <x:c r="D68" s="46" t="str"/>
      <x:c r="E68" s="46" t="str">
        <x:v>KRW 30 million</x:v>
      </x:c>
      <x:c r="F68" s="46" t="str"/>
      <x:c r="G68" s="46" t="str">
        <x:v>L2025-00047-1/붙임3. KOICA 입찰관련 규정 및 지침/Regulations for Procurement and Contract in Grant Aid Projects(┤δ┐▄╣½╗≤╟∙╖┬╗τ╛≈┐í ░ⁿ╟╤ ┴╢┤▐ ╣╫ ░Φ╛α▒╘┴ñ)_20190520.pdf</x:v>
      </x:c>
      <x:c r="H68" s="43" t="str">
        <x:v>페이지 26</x:v>
      </x:c>
      <x:c r="I68" s="46" t="str">
        <x:v>not exceed KRW 30 million. &lt;Amended on May 20, 2019&gt; (2) Warranty bond shall be paid at a rate of between 2/100 and 10/100 of the contract amount to guarantee repair of defects and the bond shall be kept for the warranty period under the provisions of Paragraph (1). Article 31-2 (Liquidated Damages) (1) When signing contracts for construction works and services that require liquidated damages, it is mandatory to purchase indemnity insurance and join a mutual aid association. &lt;Amended on Dec. 30, 2016&gt; (2) Details related to the calculation of insurance costs shall be determined separately. &lt;Amended on Dec. 30, 2016&gt; [This Article Newly Inserted on Nov. 2, 2015] Article 32 (Payment and Settlement of Service Cost) (1) Technical service fees shall be paid in installments or lump-sum according to the terms and conditions of the contract and the counterparty's request. &lt;Amended on Nov. 2, 2015, Dec. 30, 2016&gt; (2) The counterparty shall return the balance after settlement of the service fee is confirmed and the details shall be determined separately. &lt;Amended on Nov. 2, 2015, Dec. 30, 2016&gt; Article 33 (Performing Integrity Agreements) (1) KOICA shall require a tenderer or counterparty to</x:v>
      </x:c>
      <x:c r="J68" s="43" t="str">
        <x:v>자동추출·검토필요</x:v>
      </x:c>
    </x:row>
    <x:row r="69">
      <x:c r="A69" s="43" t="str">
        <x:v>L2025-00036-1</x:v>
      </x:c>
      <x:c r="B69" s="43" t="str">
        <x:v>공사비</x:v>
      </x:c>
      <x:c r="C69" s="46" t="str">
        <x:v>construction cost</x:v>
      </x:c>
      <x:c r="D69" s="46" t="str">
        <x:v>1,900 ㎡ | 3,700 m²</x:v>
      </x:c>
      <x:c r="E69" s="46" t="str">
        <x:v>$ 6.6 million</x:v>
      </x:c>
      <x:c r="F69" s="46" t="str"/>
      <x:c r="G69" s="46" t="str">
        <x:v>L2025-00036-1/붙임2. 입찰서류 영문본 일체/Section 6 - Related Project Information of RFP.pdf</x:v>
      </x:c>
      <x:c r="H69" s="43" t="str">
        <x:v>페이지 3</x:v>
      </x:c>
      <x:c r="I69" s="46" t="str">
        <x:v>2. Survey Results Summary 2.1. Architectural Overview Category Chamkar Doung Street (217), Phnom Penh 12401, Cambodia (11.5187744, Site (Coordinates/Area) 104.8890853/1,900㎡) Building Purpose Medical Facility Construction Method New Construction / Reinforced Concrete - 7 Departments (Internal Medicine, General Surgery, Traumatology, Pediatrics, Obstetrics &amp; Gynecology, Anesthesiology, Dentistry) - 70 beds - Building Content 5 examination rooms, 2 operating rooms, delivery room, neonatal room, emergency room, 2 clinical pathology rooms, etc. Building Scale (Total 3,700m² / 3 above-ground floors (including GL) Floor Area/Floors) Construction Cost $6.6 million 2.2. Additional Survey Requirements ㅇ Through on-site surveys, it was confirmed that Dangkao Referral Hospital is a trauma-specialized hospital at CPA Level 2, and the space program has been adjusted accordingly to include departments, operating rooms, emergency rooms, etc.  The recipient country's stakeholders (Phnom Penh City Health Department, Dangkao OD, Dangkao Admin., Dangkao Referral Hospital) are diverse, but due to a lack of architectural experts, continuous consultation is necessary to align detailed requirements and </x:v>
      </x:c>
      <x:c r="J69" s="43" t="str">
        <x:v>자동추출·검토필요</x:v>
      </x:c>
    </x:row>
    <x:row r="70">
      <x:c r="A70" s="43" t="str">
        <x:v>L2025-00028-1</x:v>
      </x:c>
      <x:c r="B70" s="43" t="str">
        <x:v>공사비</x:v>
      </x:c>
      <x:c r="C70" s="46" t="str">
        <x:v>construction cost</x:v>
      </x:c>
      <x:c r="D70" s="46" t="str"/>
      <x:c r="E70" s="46" t="str">
        <x:v>USD 1,645,112 | USD 1,645,112</x:v>
      </x:c>
      <x:c r="F70" s="46" t="str">
        <x:v>0.5 % | 2.5% | 0.5 % | 2.5%</x:v>
      </x:c>
      <x:c r="G70" s="46" t="str">
        <x:v>L2025-00028-1/Bid_Document_Digitalization_of_the_Parliament_KG_2025_04_May/[2RE] (Bid Document) Digitalization of the Parliament_KG-2025-04_May 20,2025/Eng/ENG_Section 2 -Bid_Data_Sheet_Digitalization_Parliament.docx</x:v>
      </x:c>
      <x:c r="H70" s="43" t="str">
        <x:v>표 5 행 15</x:v>
      </x:c>
      <x:c r="I70" s="46" t="str">
        <x:v>․ Base Price | USD 1,645,112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USD 1,645,112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x:v>
      </x:c>
      <x:c r="J70" s="43" t="str">
        <x:v>자동추출·검토필요</x:v>
      </x:c>
    </x:row>
    <x:row r="71">
      <x:c r="A71" s="43" t="str">
        <x:v>L2025-00017-1</x:v>
      </x:c>
      <x:c r="B71" s="43" t="str">
        <x:v>공사비</x:v>
      </x:c>
      <x:c r="C71" s="46" t="str">
        <x:v>공사비</x:v>
      </x:c>
      <x:c r="D71" s="46" t="str"/>
      <x:c r="E71" s="46" t="str">
        <x:v>USD 1,000,000</x:v>
      </x:c>
      <x:c r="F71" s="46" t="str"/>
      <x:c r="G71" s="46" t="str">
        <x:v>L2025-00017-1/[붙임1] 자이툰 도서관 리모델링 공사 입찰계획(안).hwp</x:v>
      </x:c>
      <x:c r="H71" s="43" t="str">
        <x:v>문단 47</x:v>
      </x:c>
      <x:c r="I71" s="46" t="str">
        <x:v>· 공사비: USD 1,000,000(1백만불, VAT 면제)</x:v>
      </x:c>
      <x:c r="J71" s="43" t="str">
        <x:v>자동추출·검토필요</x:v>
      </x:c>
    </x:row>
    <x:row r="72">
      <x:c r="A72" s="43" t="str">
        <x:v>L2025-00017-1</x:v>
      </x:c>
      <x:c r="B72" s="43" t="str">
        <x:v>공사비</x:v>
      </x:c>
      <x:c r="C72" s="46" t="str">
        <x:v>시공비</x:v>
      </x:c>
      <x:c r="D72" s="46" t="str"/>
      <x:c r="E72" s="46" t="str">
        <x:v>$ 990,805</x:v>
      </x:c>
      <x:c r="F72" s="46" t="str"/>
      <x:c r="G72" s="46" t="str">
        <x:v>L2025-00017-1/[붙임4] 토펙중동중앙아제2025-002호 (이크라 자이툰 도서관 리노베이션 수원국 조달시스.pdf</x:v>
      </x:c>
      <x:c r="H72" s="43" t="str">
        <x:v>페이지 2</x:v>
      </x:c>
      <x:c r="I72" s="46" t="str">
        <x:v>라. 리노베이션 시공 과업 범위를 위해 내역서, 사진 및 도면이 붙임자료로 제출되었는데, 내역서의 총금액이 예산 한도인 백만 불 이내인 $990,805로 작성되었으며, 현장의 이해를 도울 수 있는 수준의 현황사진과 당초 2007년 작성된 도면이 제출되었음. 그러나 아래 내용을 추가로 보완 후 코이카의 승인을 얻도록 해야 할 것으로 판단됨. ①내역서 보완: 설치/시공비, 간접비/이윤 및 세금 포함여부 명시하고, 1식으로 표현된 비목 중 일부는 구체적으로 분개하여 정리 필요 ②공사용 도면: 내역서의 각 비목에 따른 공사 범위와 수량을 확인할 수 있는 리노베이션 공사용 도면(또는 다이어그램)의 작성이 필요하고, 일부 비목에서 언급하는 상세도면도 추가해야 함. 마. 상기 라.②항 관련, 수원국이 현지관례상 리모델링 공사도면을 제공하기가 어려운 여건이라면, 코이카의 기성 지급 승인할 때 리모델링 공사 범위를 확인할 수 있도록 단순한 수준의 스케치도면(2007년 작성된 당초 현황 도면 위에 수기로 표현 또는 명시한 것이어도 무방함)이라도 제공받을 필요가 있다고 판단됨. 끝. ※첨부: 1. Addendum to the R/D 및 붙임자료 1식. 끝. ㈜토펙엔지니어링건축사사무소 중동중앙아지역 건설사업관리단 총괄CM단장 김 철 중 (인)</x:v>
      </x:c>
      <x:c r="J72" s="43" t="str">
        <x:v>자동추출·검토필요</x:v>
      </x:c>
    </x:row>
    <x:row r="73">
      <x:c r="A73" s="43" t="str">
        <x:v>L2025-00016-2</x:v>
      </x:c>
      <x:c r="B73" s="43" t="str">
        <x:v>공사비</x:v>
      </x:c>
      <x:c r="C73" s="46" t="str">
        <x:v>contract amount</x:v>
      </x:c>
      <x:c r="D73" s="46" t="str"/>
      <x:c r="E73" s="46" t="str">
        <x:v>6. Pen</x:v>
      </x:c>
      <x:c r="F73" s="46" t="str"/>
      <x:c r="G73" s="46" t="str">
        <x:v>L2025-00016-2/KOICA bidding regulation/Detailed Enforcement Rules of the Regulations for Procurement and Contract in Grant Aid Projects(┤δ┐▄╣½╗≤╟∙╖┬╗τ╛≈┐í ░ⁿ╟╤ ┴╢┤▐ ╣╫ ░Φ╛α▒╘┴ñ ╜├╟α╝╝─ó)_20190503.pdf</x:v>
      </x:c>
      <x:c r="H73" s="43" t="str">
        <x:v>페이지 44</x:v>
      </x:c>
      <x:c r="I73" s="46" t="str">
        <x:v>Article 48 (Preparing and Signing Contracts) (1) When signing a contract, the head of the procurement department shall prepare a contract clearly stating the following items. However, in cases falling under Article 49 of the Enforcement Decree of the Act on Contracts to Which the State is a Party, the contract need not be prepared: 1. Purpose of the contract; 2. Contract amount; 3. Implementation period; 4. Contract bond; 5. Risk burden; 6. Penalty for delay; 7. Other necessary matters. (2) When a contract is drafted pursuant to Paragraph (1), the contract shall be finalized by the head of the procurement department and the counterparty shall write his/her/its name, imprint seal, or sign the contract. (3) Where signing a contract with a foreigner, if other special grounds exist, the signature of the head of the procurement department may be in lieu thereof. (4) When the head of the procurement department determines the counterparty, he/she shall sign a contract based upon each standard contract within 10 days of the date of the successful tender or contract notification. (5) The head of the procurement department may sign a contract by specifying the special contract terms necessar</x:v>
      </x:c>
      <x:c r="J73" s="43" t="str">
        <x:v>자동추출·검토필요</x:v>
      </x:c>
    </x:row>
    <x:row r="74">
      <x:c r="A74" s="43" t="str">
        <x:v>L2025-00016-2</x:v>
      </x:c>
      <x:c r="B74" s="43" t="str">
        <x:v>공사비</x:v>
      </x:c>
      <x:c r="C74" s="46" t="str">
        <x:v>contract amount</x:v>
      </x:c>
      <x:c r="D74" s="46" t="str"/>
      <x:c r="E74" s="46" t="str">
        <x:v>KRW 50 million</x:v>
      </x:c>
      <x:c r="F74" s="46" t="str"/>
      <x:c r="G74" s="46" t="str">
        <x:v>L2025-00016-2/KOICA bidding regulation/Detailed Enforcement Rules of the Regulations for Procurement and Contract in Grant Aid Projects(┤δ┐▄╣½╗≤╟∙╖┬╗τ╛≈┐í ░ⁿ╟╤ ┴╢┤▐ ╣╫ ░Φ╛α▒╘┴ñ ╜├╟α╝╝─ó)_20190503.pdf</x:v>
      </x:c>
      <x:c r="H74" s="43" t="str">
        <x:v>페이지 46</x:v>
      </x:c>
      <x:c r="I74" s="46" t="str">
        <x:v>bond shall be exempted in any of the following circumstances. In such cases, the Payment Guarantee Confirmation Memorandum of Contract Bond (Form 14) shall be submitted when a ground arises for the contract bond to escheat: &lt;Amended on Jun. 3, 2009, Feb. 18, 2016&gt; 1. When a contract is signed with a person falling under Article 26 (2) 1 or 4 and 6; &lt;Amended on Oct. 8, 2008, Jul. 20, 2017&gt; 2. Where signing a contract with a contract amount of up to KRW 50 million; &lt;Amended on Jul. 20, 2017&gt; 3. Where the collection of contract bonds is not appropriate considering the customs effecting the contract that are generally recognized as fair and reasonable. 4. When purchasing parts of foreign-funded facilities, machinery, and equipment that have already been introduced, and it is impracticable to purchase the parts unless the supplier is involved. &lt;Newly Inserted on Jul. 20, 2017&gt; (3) If the counterparty requests that the contract bond paid in securities or cash pursuant to Article 192 of the Enforcement Decree of the Financial Investment Services and Capital Markets Act is in lieu of a certificate of guaranty stipulated in Article 37 (2) 1 to 5 of the Enforcement Decree of the Act on Contr</x:v>
      </x:c>
      <x:c r="J74" s="43" t="str">
        <x:v>자동추출·검토필요</x:v>
      </x:c>
    </x:row>
    <x:row r="75">
      <x:c r="A75" s="43" t="str">
        <x:v>L2025-00016-2</x:v>
      </x:c>
      <x:c r="B75" s="43" t="str">
        <x:v>공사비</x:v>
      </x:c>
      <x:c r="C75" s="46" t="str">
        <x:v>contract amount</x:v>
      </x:c>
      <x:c r="D75" s="46" t="str"/>
      <x:c r="E75" s="46" t="str">
        <x:v>KRW 30 million</x:v>
      </x:c>
      <x:c r="F75" s="46" t="str"/>
      <x:c r="G75" s="46" t="str">
        <x:v>L2025-00016-2/KOICA bidding regulation/Detailed Enforcement Rules of the Regulations for Procurement and Contract in Grant Aid Projects(┤δ┐▄╣½╗≤╟∙╖┬╗τ╛≈┐í ░ⁿ╟╤ ┴╢┤▐ ╣╫ ░Φ╛α▒╘┴ñ ╜├╟α╝╝─ó)_20190503.pdf</x:v>
      </x:c>
      <x:c r="H75" s="43" t="str">
        <x:v>페이지 48</x:v>
      </x:c>
      <x:c r="I75" s="46" t="str">
        <x:v>(1) Where possible to omit a contract pursuant to Article 49 of the Enforcement Decree of the Act on Contracts to Which the State is a Party shall be as follows: &lt;Amended on Jul. 20, 2017&gt; 1. Where signing a contract with a contract amount not exceeding KRW 30 million; &lt;Amended on Jul. 20, 2017&gt; 2. Where signing a contract with the state or a local government; &lt;Amended on Jul. 20, 2017&gt; 3. Deleted. &lt;Jul. 20, 2017&gt; (2) Where omitting a contract, documents that can evidence establishment of the contract, such as invoices, memorandums, agreements, and acceptance, shall be submitted by the counterparty and retained. Article 55 (Indicating Donation Text and Shipping Mark) (1) The heads of the procurement and business department shall have the contractor of supplying goods affix a donation phrase on commodities and a shipping mark and mark “warning”, “danger”, or “safety” on the packaging box. &lt;Amended on Feb. 18, 2016&gt; (2) The donation phrase and shipping mark shall be as prescribed in Form 16. Article 56 (Inspections) (1) Pursuant to Article 35 of the Regulations and Article 14 of the Act on Contracts to Which the State is a Party, the head of the procurement department and the busines</x:v>
      </x:c>
      <x:c r="J75" s="43" t="str">
        <x:v>자동추출·검토필요</x:v>
      </x:c>
    </x:row>
    <x:row r="76">
      <x:c r="A76" s="43" t="str">
        <x:v>L2025-00016-2</x:v>
      </x:c>
      <x:c r="B76" s="43" t="str">
        <x:v>공사비</x:v>
      </x:c>
      <x:c r="C76" s="46" t="str">
        <x:v>contract amount</x:v>
      </x:c>
      <x:c r="D76" s="46" t="str"/>
      <x:c r="E76" s="46" t="str">
        <x:v>KRW 420 billion</x:v>
      </x:c>
      <x:c r="F76" s="46" t="str"/>
      <x:c r="G76" s="46" t="str">
        <x:v>L2025-00016-2/KOICA bidding regulation/Detailed Enforcement Rules of the Regulations for Procurement and Contract in Grant Aid Projects(┤δ┐▄╣½╗≤╟∙╖┬╗τ╛≈┐í ░ⁿ╟╤ ┴╢┤▐ ╣╫ ░Φ╛α▒╘┴ñ ╜├╟α╝╝─ó)_20190503.pdf</x:v>
      </x:c>
      <x:c r="H76" s="43" t="str">
        <x:v>페이지 61</x:v>
      </x:c>
      <x:c r="I76"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76" s="43" t="str">
        <x:v>자동추출·검토필요</x:v>
      </x:c>
    </x:row>
    <x:row r="77">
      <x:c r="A77" s="43" t="str">
        <x:v>L2025-00016-2</x:v>
      </x:c>
      <x:c r="B77" s="43" t="str">
        <x:v>공사비</x:v>
      </x:c>
      <x:c r="C77" s="46" t="str">
        <x:v>contract amount</x:v>
      </x:c>
      <x:c r="D77" s="46" t="str"/>
      <x:c r="E77" s="46" t="str">
        <x:v>KRW 2 billion</x:v>
      </x:c>
      <x:c r="F77" s="46" t="str"/>
      <x:c r="G77" s="46" t="str">
        <x:v>L2025-00016-2/KOICA bidding regulation/Guidelines for Technical Evaluation(▒Γ╝·╞≥░í┴÷─º)_20210408.pdf</x:v>
      </x:c>
      <x:c r="H77" s="43" t="str">
        <x:v>페이지 33</x:v>
      </x:c>
      <x:c r="I77"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77" s="43" t="str">
        <x:v>자동추출·검토필요</x:v>
      </x:c>
    </x:row>
    <x:row r="78">
      <x:c r="A78" s="43" t="str">
        <x:v>L2025-00016-2</x:v>
      </x:c>
      <x:c r="B78" s="43" t="str">
        <x:v>공사비</x:v>
      </x:c>
      <x:c r="C78" s="46" t="str">
        <x:v>contract amount</x:v>
      </x:c>
      <x:c r="D78" s="46" t="str"/>
      <x:c r="E78" s="46" t="str">
        <x:v>1 KRW | 2 KRW | 1 KRW | 2 KRW</x:v>
      </x:c>
      <x:c r="F78" s="46" t="str">
        <x:v>50%</x:v>
      </x:c>
      <x:c r="G78" s="46" t="str">
        <x:v>L2025-00016-2/KOICA bidding regulation/Guidelines for Technical Evaluation(▒Γ╝·╞≥░í┴÷─º)_20210408.pdf</x:v>
      </x:c>
      <x:c r="H78" s="43" t="str">
        <x:v>페이지 63</x:v>
      </x:c>
      <x:c r="I78" s="46" t="str">
        <x:v>[Form 6-2] Software Project Subcontracting Plan (when signing a contract) &lt;Newly Inserted on Apr. 8, 2021&gt; Software Project Subcontracting Plan (when signing a contract) Project Name Contract Amount (C) KRW Period mm/dd/yy ∼ mm/dd/yy Contractor Business Name Representative (Representative of Corporate contracting Registration Location consortium) Number Plan to be subcontracted Ratio of Estimated Planned Subcontractor Subcontract Contract Subcontracting No. Contractor Subcontracting Name Name Period Amount to Amount (A) Contract Amount . . . ∼ . . 1 KRW % . . . . ∼ . . 2 KRW % . . . . ∼ . . Total KRW % . Plan to purchase goods directly Category Estimated Name of Manufacturer Proposed No. (HW, Facility, Quantity Purchase Goods (Developer) Purchase Date Commercial SW) Amount (B) 1 KRW 2 KRW Total KRW - If the contractor is a contracting consortium, specify the plan for subcontracting of the consortium members (including the representative). - Simple purchase of goods, installation services, new technology, or specialized technology included in subcontracting - Direct goods purchase plans are limited to items purchased directly by the contractor (contract partner) - Grounds for except</x:v>
      </x:c>
      <x:c r="J78" s="43" t="str">
        <x:v>자동추출·검토필요</x:v>
      </x:c>
    </x:row>
    <x:row r="79">
      <x:c r="A79" s="43" t="str">
        <x:v>L2025-00016-2</x:v>
      </x:c>
      <x:c r="B79" s="43" t="str">
        <x:v>공사비</x:v>
      </x:c>
      <x:c r="C79" s="46" t="str">
        <x:v>contract amount</x:v>
      </x:c>
      <x:c r="D79" s="46" t="str"/>
      <x:c r="E79" s="46" t="str">
        <x:v>KRW 30 million</x:v>
      </x:c>
      <x:c r="F79" s="46" t="str"/>
      <x:c r="G79" s="46" t="str">
        <x:v>L2025-00016-2/KOICA bidding regulation/Regulations for Procurement and Contract in Grant Aid Projects(┤δ┐▄╣½╗≤╟∙╖┬╗τ╛≈┐í ░ⁿ╟╤ ┴╢┤▐ ╣╫ ░Φ╛α▒╘┴ñ)_20190520.pdf</x:v>
      </x:c>
      <x:c r="H79" s="43" t="str">
        <x:v>페이지 26</x:v>
      </x:c>
      <x:c r="I79" s="46" t="str">
        <x:v>not exceed KRW 30 million. &lt;Amended on May 20, 2019&gt; (2) Warranty bond shall be paid at a rate of between 2/100 and 10/100 of the contract amount to guarantee repair of defects and the bond shall be kept for the warranty period under the provisions of Paragraph (1). Article 31-2 (Liquidated Damages) (1) When signing contracts for construction works and services that require liquidated damages, it is mandatory to purchase indemnity insurance and join a mutual aid association. &lt;Amended on Dec. 30, 2016&gt; (2) Details related to the calculation of insurance costs shall be determined separately. &lt;Amended on Dec. 30, 2016&gt; [This Article Newly Inserted on Nov. 2, 2015] Article 32 (Payment and Settlement of Service Cost) (1) Technical service fees shall be paid in installments or lump-sum according to the terms and conditions of the contract and the counterparty's request. &lt;Amended on Nov. 2, 2015, Dec. 30, 2016&gt; (2) The counterparty shall return the balance after settlement of the service fee is confirmed and the details shall be determined separately. &lt;Amended on Nov. 2, 2015, Dec. 30, 2016&gt; Article 33 (Performing Integrity Agreements) (1) KOICA shall require a tenderer or counterparty to</x:v>
      </x:c>
      <x:c r="J79" s="43" t="str">
        <x:v>자동추출·검토필요</x:v>
      </x:c>
    </x:row>
    <x:row r="80">
      <x:c r="A80" s="43" t="str">
        <x:v>L2025-00016-2</x:v>
      </x:c>
      <x:c r="B80" s="43" t="str">
        <x:v>공사비</x:v>
      </x:c>
      <x:c r="C80" s="46" t="str">
        <x:v>contract price</x:v>
      </x:c>
      <x:c r="D80" s="46" t="str"/>
      <x:c r="E80" s="46" t="str">
        <x:v>USD 1,300,000</x:v>
      </x:c>
      <x:c r="F80" s="46" t="str"/>
      <x:c r="G80" s="46" t="str">
        <x:v>L2025-00016-2/Section 8 - Special Conditions of Contract.docx</x:v>
      </x:c>
      <x:c r="H80" s="43" t="str">
        <x:v>문단 365</x:v>
      </x:c>
      <x:c r="I80" s="46" t="str">
        <x:v>The Contract Price is the lump sum price of [Insert Contract Price in figures and words (e.g. USD 1,300,000 (one million three hundred thousand US Dollars)].</x:v>
      </x:c>
      <x:c r="J80" s="43" t="str">
        <x:v>자동추출·검토필요</x:v>
      </x:c>
    </x:row>
    <x:row r="81">
      <x:c r="A81" s="43" t="str">
        <x:v>L2025-00016-1</x:v>
      </x:c>
      <x:c r="B81" s="43" t="str">
        <x:v>공사비</x:v>
      </x:c>
      <x:c r="C81" s="46" t="str">
        <x:v>contract amount</x:v>
      </x:c>
      <x:c r="D81" s="46" t="str"/>
      <x:c r="E81" s="46" t="str">
        <x:v>6. Pen</x:v>
      </x:c>
      <x:c r="F81" s="46" t="str"/>
      <x:c r="G81" s="46" t="str">
        <x:v>L2025-00016-1/KOICA 입찰 관련 규정 및 지침/Detailed Enforcement Rules of the Regulations for Procurement and Contract in Grant Aid Projects(┤δ┐▄╣½╗≤╟∙╖┬╗τ╛≈┐í ░ⁿ╟╤ ┴╢┤▐ ╣╫ ░Φ╛α▒╘┴ñ ╜├╟α╝╝─ó)_20190503.pdf</x:v>
      </x:c>
      <x:c r="H81" s="43" t="str">
        <x:v>페이지 44</x:v>
      </x:c>
      <x:c r="I81" s="46" t="str">
        <x:v>Article 48 (Preparing and Signing Contracts) (1) When signing a contract, the head of the procurement department shall prepare a contract clearly stating the following items. However, in cases falling under Article 49 of the Enforcement Decree of the Act on Contracts to Which the State is a Party, the contract need not be prepared: 1. Purpose of the contract; 2. Contract amount; 3. Implementation period; 4. Contract bond; 5. Risk burden; 6. Penalty for delay; 7. Other necessary matters. (2) When a contract is drafted pursuant to Paragraph (1), the contract shall be finalized by the head of the procurement department and the counterparty shall write his/her/its name, imprint seal, or sign the contract. (3) Where signing a contract with a foreigner, if other special grounds exist, the signature of the head of the procurement department may be in lieu thereof. (4) When the head of the procurement department determines the counterparty, he/she shall sign a contract based upon each standard contract within 10 days of the date of the successful tender or contract notification. (5) The head of the procurement department may sign a contract by specifying the special contract terms necessar</x:v>
      </x:c>
      <x:c r="J81" s="43" t="str">
        <x:v>자동추출·검토필요</x:v>
      </x:c>
    </x:row>
    <x:row r="82">
      <x:c r="A82" s="43" t="str">
        <x:v>L2025-00016-1</x:v>
      </x:c>
      <x:c r="B82" s="43" t="str">
        <x:v>공사비</x:v>
      </x:c>
      <x:c r="C82" s="46" t="str">
        <x:v>contract amount</x:v>
      </x:c>
      <x:c r="D82" s="46" t="str"/>
      <x:c r="E82" s="46" t="str">
        <x:v>KRW 50 million</x:v>
      </x:c>
      <x:c r="F82" s="46" t="str"/>
      <x:c r="G82" s="46" t="str">
        <x:v>L2025-00016-1/KOICA 입찰 관련 규정 및 지침/Detailed Enforcement Rules of the Regulations for Procurement and Contract in Grant Aid Projects(┤δ┐▄╣½╗≤╟∙╖┬╗τ╛≈┐í ░ⁿ╟╤ ┴╢┤▐ ╣╫ ░Φ╛α▒╘┴ñ ╜├╟α╝╝─ó)_20190503.pdf</x:v>
      </x:c>
      <x:c r="H82" s="43" t="str">
        <x:v>페이지 46</x:v>
      </x:c>
      <x:c r="I82" s="46" t="str">
        <x:v>bond shall be exempted in any of the following circumstances. In such cases, the Payment Guarantee Confirmation Memorandum of Contract Bond (Form 14) shall be submitted when a ground arises for the contract bond to escheat: &lt;Amended on Jun. 3, 2009, Feb. 18, 2016&gt; 1. When a contract is signed with a person falling under Article 26 (2) 1 or 4 and 6; &lt;Amended on Oct. 8, 2008, Jul. 20, 2017&gt; 2. Where signing a contract with a contract amount of up to KRW 50 million; &lt;Amended on Jul. 20, 2017&gt; 3. Where the collection of contract bonds is not appropriate considering the customs effecting the contract that are generally recognized as fair and reasonable. 4. When purchasing parts of foreign-funded facilities, machinery, and equipment that have already been introduced, and it is impracticable to purchase the parts unless the supplier is involved. &lt;Newly Inserted on Jul. 20, 2017&gt; (3) If the counterparty requests that the contract bond paid in securities or cash pursuant to Article 192 of the Enforcement Decree of the Financial Investment Services and Capital Markets Act is in lieu of a certificate of guaranty stipulated in Article 37 (2) 1 to 5 of the Enforcement Decree of the Act on Contr</x:v>
      </x:c>
      <x:c r="J82" s="43" t="str">
        <x:v>자동추출·검토필요</x:v>
      </x:c>
    </x:row>
    <x:row r="83">
      <x:c r="A83" s="43" t="str">
        <x:v>L2025-00016-1</x:v>
      </x:c>
      <x:c r="B83" s="43" t="str">
        <x:v>공사비</x:v>
      </x:c>
      <x:c r="C83" s="46" t="str">
        <x:v>contract amount</x:v>
      </x:c>
      <x:c r="D83" s="46" t="str"/>
      <x:c r="E83" s="46" t="str">
        <x:v>KRW 30 million</x:v>
      </x:c>
      <x:c r="F83" s="46" t="str"/>
      <x:c r="G83" s="46" t="str">
        <x:v>L2025-00016-1/KOICA 입찰 관련 규정 및 지침/Detailed Enforcement Rules of the Regulations for Procurement and Contract in Grant Aid Projects(┤δ┐▄╣½╗≤╟∙╖┬╗τ╛≈┐í ░ⁿ╟╤ ┴╢┤▐ ╣╫ ░Φ╛α▒╘┴ñ ╜├╟α╝╝─ó)_20190503.pdf</x:v>
      </x:c>
      <x:c r="H83" s="43" t="str">
        <x:v>페이지 48</x:v>
      </x:c>
      <x:c r="I83" s="46" t="str">
        <x:v>(1) Where possible to omit a contract pursuant to Article 49 of the Enforcement Decree of the Act on Contracts to Which the State is a Party shall be as follows: &lt;Amended on Jul. 20, 2017&gt; 1. Where signing a contract with a contract amount not exceeding KRW 30 million; &lt;Amended on Jul. 20, 2017&gt; 2. Where signing a contract with the state or a local government; &lt;Amended on Jul. 20, 2017&gt; 3. Deleted. &lt;Jul. 20, 2017&gt; (2) Where omitting a contract, documents that can evidence establishment of the contract, such as invoices, memorandums, agreements, and acceptance, shall be submitted by the counterparty and retained. Article 55 (Indicating Donation Text and Shipping Mark) (1) The heads of the procurement and business department shall have the contractor of supplying goods affix a donation phrase on commodities and a shipping mark and mark “warning”, “danger”, or “safety” on the packaging box. &lt;Amended on Feb. 18, 2016&gt; (2) The donation phrase and shipping mark shall be as prescribed in Form 16. Article 56 (Inspections) (1) Pursuant to Article 35 of the Regulations and Article 14 of the Act on Contracts to Which the State is a Party, the head of the procurement department and the busines</x:v>
      </x:c>
      <x:c r="J83" s="43" t="str">
        <x:v>자동추출·검토필요</x:v>
      </x:c>
    </x:row>
    <x:row r="84">
      <x:c r="A84" s="43" t="str">
        <x:v>L2025-00016-1</x:v>
      </x:c>
      <x:c r="B84" s="43" t="str">
        <x:v>공사비</x:v>
      </x:c>
      <x:c r="C84" s="46" t="str">
        <x:v>contract amount</x:v>
      </x:c>
      <x:c r="D84" s="46" t="str"/>
      <x:c r="E84" s="46" t="str">
        <x:v>KRW 420 billion</x:v>
      </x:c>
      <x:c r="F84" s="46" t="str"/>
      <x:c r="G84" s="46" t="str">
        <x:v>L2025-00016-1/KOICA 입찰 관련 규정 및 지침/Detailed Enforcement Rules of the Regulations for Procurement and Contract in Grant Aid Projects(┤δ┐▄╣½╗≤╟∙╖┬╗τ╛≈┐í ░ⁿ╟╤ ┴╢┤▐ ╣╫ ░Φ╛α▒╘┴ñ ╜├╟α╝╝─ó)_20190503.pdf</x:v>
      </x:c>
      <x:c r="H84" s="43" t="str">
        <x:v>페이지 61</x:v>
      </x:c>
      <x:c r="I84"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84" s="43" t="str">
        <x:v>자동추출·검토필요</x:v>
      </x:c>
    </x:row>
    <x:row r="85">
      <x:c r="A85" s="43" t="str">
        <x:v>L2025-00016-1</x:v>
      </x:c>
      <x:c r="B85" s="43" t="str">
        <x:v>공사비</x:v>
      </x:c>
      <x:c r="C85" s="46" t="str">
        <x:v>contract amount</x:v>
      </x:c>
      <x:c r="D85" s="46" t="str"/>
      <x:c r="E85" s="46" t="str">
        <x:v>KRW 2 billion</x:v>
      </x:c>
      <x:c r="F85" s="46" t="str"/>
      <x:c r="G85" s="46" t="str">
        <x:v>L2025-00016-1/KOICA 입찰 관련 규정 및 지침/Guidelines for Technical Evaluation(▒Γ╝·╞≥░í┴÷─º)_20210408.pdf</x:v>
      </x:c>
      <x:c r="H85" s="43" t="str">
        <x:v>페이지 33</x:v>
      </x:c>
      <x:c r="I85"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85" s="43" t="str">
        <x:v>자동추출·검토필요</x:v>
      </x:c>
    </x:row>
    <x:row r="86">
      <x:c r="A86" s="43" t="str">
        <x:v>L2025-00016-1</x:v>
      </x:c>
      <x:c r="B86" s="43" t="str">
        <x:v>공사비</x:v>
      </x:c>
      <x:c r="C86" s="46" t="str">
        <x:v>contract amount</x:v>
      </x:c>
      <x:c r="D86" s="46" t="str"/>
      <x:c r="E86" s="46" t="str">
        <x:v>1 KRW | 2 KRW | 1 KRW | 2 KRW</x:v>
      </x:c>
      <x:c r="F86" s="46" t="str">
        <x:v>50%</x:v>
      </x:c>
      <x:c r="G86" s="46" t="str">
        <x:v>L2025-00016-1/KOICA 입찰 관련 규정 및 지침/Guidelines for Technical Evaluation(▒Γ╝·╞≥░í┴÷─º)_20210408.pdf</x:v>
      </x:c>
      <x:c r="H86" s="43" t="str">
        <x:v>페이지 63</x:v>
      </x:c>
      <x:c r="I86" s="46" t="str">
        <x:v>[Form 6-2] Software Project Subcontracting Plan (when signing a contract) &lt;Newly Inserted on Apr. 8, 2021&gt; Software Project Subcontracting Plan (when signing a contract) Project Name Contract Amount (C) KRW Period mm/dd/yy ∼ mm/dd/yy Contractor Business Name Representative (Representative of Corporate contracting Registration Location consortium) Number Plan to be subcontracted Ratio of Estimated Planned Subcontractor Subcontract Contract Subcontracting No. Contractor Subcontracting Name Name Period Amount to Amount (A) Contract Amount . . . ∼ . . 1 KRW % . . . . ∼ . . 2 KRW % . . . . ∼ . . Total KRW % . Plan to purchase goods directly Category Estimated Name of Manufacturer Proposed No. (HW, Facility, Quantity Purchase Goods (Developer) Purchase Date Commercial SW) Amount (B) 1 KRW 2 KRW Total KRW - If the contractor is a contracting consortium, specify the plan for subcontracting of the consortium members (including the representative). - Simple purchase of goods, installation services, new technology, or specialized technology included in subcontracting - Direct goods purchase plans are limited to items purchased directly by the contractor (contract partner) - Grounds for except</x:v>
      </x:c>
      <x:c r="J86" s="43" t="str">
        <x:v>자동추출·검토필요</x:v>
      </x:c>
    </x:row>
    <x:row r="87">
      <x:c r="A87" s="43" t="str">
        <x:v>L2025-00016-1</x:v>
      </x:c>
      <x:c r="B87" s="43" t="str">
        <x:v>공사비</x:v>
      </x:c>
      <x:c r="C87" s="46" t="str">
        <x:v>contract amount</x:v>
      </x:c>
      <x:c r="D87" s="46" t="str"/>
      <x:c r="E87" s="46" t="str">
        <x:v>KRW 30 million</x:v>
      </x:c>
      <x:c r="F87" s="46" t="str"/>
      <x:c r="G87" s="46" t="str">
        <x:v>L2025-00016-1/KOICA 입찰 관련 규정 및 지침/Regulations for Procurement and Contract in Grant Aid Projects(┤δ┐▄╣½╗≤╟∙╖┬╗τ╛≈┐í ░ⁿ╟╤ ┴╢┤▐ ╣╫ ░Φ╛α▒╘┴ñ)_20190520.pdf</x:v>
      </x:c>
      <x:c r="H87" s="43" t="str">
        <x:v>페이지 26</x:v>
      </x:c>
      <x:c r="I87" s="46" t="str">
        <x:v>not exceed KRW 30 million. &lt;Amended on May 20, 2019&gt; (2) Warranty bond shall be paid at a rate of between 2/100 and 10/100 of the contract amount to guarantee repair of defects and the bond shall be kept for the warranty period under the provisions of Paragraph (1). Article 31-2 (Liquidated Damages) (1) When signing contracts for construction works and services that require liquidated damages, it is mandatory to purchase indemnity insurance and join a mutual aid association. &lt;Amended on Dec. 30, 2016&gt; (2) Details related to the calculation of insurance costs shall be determined separately. &lt;Amended on Dec. 30, 2016&gt; [This Article Newly Inserted on Nov. 2, 2015] Article 32 (Payment and Settlement of Service Cost) (1) Technical service fees shall be paid in installments or lump-sum according to the terms and conditions of the contract and the counterparty's request. &lt;Amended on Nov. 2, 2015, Dec. 30, 2016&gt; (2) The counterparty shall return the balance after settlement of the service fee is confirmed and the details shall be determined separately. &lt;Amended on Nov. 2, 2015, Dec. 30, 2016&gt; Article 33 (Performing Integrity Agreements) (1) KOICA shall require a tenderer or counterparty to</x:v>
      </x:c>
      <x:c r="J87" s="43" t="str">
        <x:v>자동추출·검토필요</x:v>
      </x:c>
    </x:row>
    <x:row r="88">
      <x:c r="A88" s="43" t="str">
        <x:v>L2025-00016-1</x:v>
      </x:c>
      <x:c r="B88" s="43" t="str">
        <x:v>공사비</x:v>
      </x:c>
      <x:c r="C88" s="46" t="str">
        <x:v>contract price</x:v>
      </x:c>
      <x:c r="D88" s="46" t="str"/>
      <x:c r="E88" s="46" t="str">
        <x:v>USD 1,300,000</x:v>
      </x:c>
      <x:c r="F88" s="46" t="str"/>
      <x:c r="G88" s="46" t="str">
        <x:v>L2025-00016-1/Section 8 - Special Conditions of Contract.docx</x:v>
      </x:c>
      <x:c r="H88" s="43" t="str">
        <x:v>문단 365</x:v>
      </x:c>
      <x:c r="I88" s="46" t="str">
        <x:v>The Contract Price is the lump sum price of [Insert Contract Price in figures and words (e.g. USD 1,300,000 (one million three hundred thousand US Dollars)].</x:v>
      </x:c>
      <x:c r="J88" s="43" t="str">
        <x:v>자동추출·검토필요</x:v>
      </x:c>
    </x:row>
    <x:row r="89">
      <x:c r="A89" s="43" t="str">
        <x:v>L2025-00012-2</x:v>
      </x:c>
      <x:c r="B89" s="43" t="str">
        <x:v>공사비</x:v>
      </x:c>
      <x:c r="C89" s="46" t="str">
        <x:v>contract price</x:v>
      </x:c>
      <x:c r="D89" s="46" t="str"/>
      <x:c r="E89" s="46" t="str">
        <x:v>USD 1,300,000</x:v>
      </x:c>
      <x:c r="F89" s="46" t="str"/>
      <x:c r="G89" s="46" t="str">
        <x:v>L2025-00012-2/(붙임2) 입찰 관련 부속서류/Q-Lab_Chacala_Bidding Doc/Section 8. Q-Lab_Chacala_Specail Conditions of Contract.docx</x:v>
      </x:c>
      <x:c r="H89" s="43" t="str">
        <x:v>문단 365</x:v>
      </x:c>
      <x:c r="I89" s="46" t="str">
        <x:v>The Contract Price is the lump sum price of [Insert Contract Price in figures and words (e.g. USD 1,300,000 (one million three hundred thousand US Dollars)].</x:v>
      </x:c>
      <x:c r="J89" s="43" t="str">
        <x:v>자동추출·검토필요</x:v>
      </x:c>
    </x:row>
    <x:row r="90">
      <x:c r="A90" s="43" t="str">
        <x:v>L2025-00012-1</x:v>
      </x:c>
      <x:c r="B90" s="43" t="str">
        <x:v>공사비</x:v>
      </x:c>
      <x:c r="C90" s="46" t="str">
        <x:v>contract price</x:v>
      </x:c>
      <x:c r="D90" s="46" t="str"/>
      <x:c r="E90" s="46" t="str">
        <x:v>USD 1,300,000</x:v>
      </x:c>
      <x:c r="F90" s="46" t="str"/>
      <x:c r="G90" s="46" t="str">
        <x:v>L2025-00012-1/(붙임2) 입찰 관련 부속서류/Q-Lab_Chacala_Bidding Doc/Section 8. Q-Lab_Chacala_Specail Conditions of Contract.docx</x:v>
      </x:c>
      <x:c r="H90" s="43" t="str">
        <x:v>문단 365</x:v>
      </x:c>
      <x:c r="I90" s="46" t="str">
        <x:v>The Contract Price is the lump sum price of [Insert Contract Price in figures and words (e.g. USD 1,300,000 (one million three hundred thousand US Dollars)].</x:v>
      </x:c>
      <x:c r="J90" s="43" t="str">
        <x:v>자동추출·검토필요</x:v>
      </x:c>
    </x:row>
    <x:row r="91">
      <x:c r="A91" s="43" t="str">
        <x:v>L2025-00011-1</x:v>
      </x:c>
      <x:c r="B91" s="43" t="str">
        <x:v>공사비</x:v>
      </x:c>
      <x:c r="C91" s="46" t="str">
        <x:v>contract price</x:v>
      </x:c>
      <x:c r="D91" s="46" t="str"/>
      <x:c r="E91" s="46" t="str">
        <x:v>USD 0000000 | USD 0000000</x:v>
      </x:c>
      <x:c r="F91" s="46" t="str"/>
      <x:c r="G91" s="46" t="str">
        <x:v>L2025-00011-1/2. 영문 입찰서류(수정)/Section 8 - Special Conditions of Contract.docx</x:v>
      </x:c>
      <x:c r="H91" s="43" t="str">
        <x:v>표 3 행 4</x:v>
      </x:c>
      <x:c r="I91" s="46" t="str">
        <x:v>Contract Price | USD 0000000 | USD 0000000</x:v>
      </x:c>
      <x:c r="J91" s="43" t="str">
        <x:v>자동추출·검토필요</x:v>
      </x:c>
    </x:row>
    <x:row r="92">
      <x:c r="A92" s="43" t="str">
        <x:v>L2025-00011-1</x:v>
      </x:c>
      <x:c r="B92" s="43" t="str">
        <x:v>공사비</x:v>
      </x:c>
      <x:c r="C92" s="46" t="str">
        <x:v>contract amount</x:v>
      </x:c>
      <x:c r="D92" s="46" t="str"/>
      <x:c r="E92" s="46" t="str">
        <x:v>KRW 30 million</x:v>
      </x:c>
      <x:c r="F92" s="46" t="str"/>
      <x:c r="G92" s="46" t="str">
        <x:v>L2025-00011-1/3. KOICA 입찰 관련 규정 및 지침(사무소홈페이지 게시)/KOICA Regulations for International Procurement/Regulations for Procurement and Contract in Grant Aid Projects(대외무상협력사업에 관한 조달 및 계약규정)_20190520.pdf</x:v>
      </x:c>
      <x:c r="H92" s="43" t="str">
        <x:v>페이지 26</x:v>
      </x:c>
      <x:c r="I92" s="46" t="str">
        <x:v>not exceed KRW 30 million. &lt;Amended on May 20, 2019&gt; (2) Warranty bond shall be paid at a rate of between 2/100 and 10/100 of the contract amount to guarantee repair of defects and the bond shall be kept for the warranty period under the provisions of Paragraph (1). Article 31-2 (Liquidated Damages) (1) When signing contracts for construction works and services that require liquidated damages, it is mandatory to purchase indemnity insurance and join a mutual aid association. &lt;Amended on Dec. 30, 2016&gt; (2) Details related to the calculation of insurance costs shall be determined separately. &lt;Amended on Dec. 30, 2016&gt; [This Article Newly Inserted on Nov. 2, 2015] Article 32 (Payment and Settlement of Service Cost) (1) Technical service fees shall be paid in installments or lump-sum according to the terms and conditions of the contract and the counterparty's request. &lt;Amended on Nov. 2, 2015, Dec. 30, 2016&gt; (2) The counterparty shall return the balance after settlement of the service fee is confirmed and the details shall be determined separately. &lt;Amended on Nov. 2, 2015, Dec. 30, 2016&gt; Article 33 (Performing Integrity Agreements) (1) KOICA shall require a tenderer or counterparty to</x:v>
      </x:c>
      <x:c r="J92" s="43" t="str">
        <x:v>자동추출·검토필요</x:v>
      </x:c>
    </x:row>
    <x:row r="93">
      <x:c r="A93" s="43" t="str">
        <x:v>L2025-00008-1</x:v>
      </x:c>
      <x:c r="B93" s="43" t="str">
        <x:v>공사비</x:v>
      </x:c>
      <x:c r="C93" s="46" t="str">
        <x:v>contract price</x:v>
      </x:c>
      <x:c r="D93" s="46" t="str"/>
      <x:c r="E93" s="46" t="str">
        <x:v>USD 1,300,000</x:v>
      </x:c>
      <x:c r="F93" s="46" t="str"/>
      <x:c r="G93" s="46" t="str">
        <x:v>L2025-00008-1/Tender document full set_Kajiado_0219 rev/Section 8 - Specail Conditions of Contract.docx</x:v>
      </x:c>
      <x:c r="H93" s="43" t="str">
        <x:v>문단 365</x:v>
      </x:c>
      <x:c r="I93" s="46" t="str">
        <x:v>The Contract Price is the lump sum price of [Insert Contract Price in figures and words (e.g. USD 1,300,000 (one million three hundred thousand US Dollars)].</x:v>
      </x:c>
      <x:c r="J93" s="43" t="str">
        <x:v>자동추출·검토필요</x:v>
      </x:c>
    </x:row>
    <x:row r="94">
      <x:c r="A94" s="43" t="str">
        <x:v>L2025-00006-1</x:v>
      </x:c>
      <x:c r="B94" s="43" t="str">
        <x:v>공사비</x:v>
      </x:c>
      <x:c r="C94" s="46" t="str">
        <x:v>contract amount</x:v>
      </x:c>
      <x:c r="D94" s="46" t="str"/>
      <x:c r="E94" s="46" t="str">
        <x:v>$ 5,912, 4.75</x:v>
      </x:c>
      <x:c r="F94" s="46" t="str">
        <x:v>4.75%</x:v>
      </x:c>
      <x:c r="G94" s="46" t="str">
        <x:v>L2025-00006-1/상수도 설계 현지입찰 제반서류/(┼║└┌┤╧╛╞ ╗τ╣½╝╥)Summary of Bidding (┐Σ╛α║╗)_TZ Dodoma(Draft).docx</x:v>
      </x:c>
      <x:c r="H94" s="43" t="str">
        <x:v>문단 25</x:v>
      </x:c>
      <x:c r="I94" s="46" t="str">
        <x:v>*A fixed bid of $5,912, 4.75% of the total contract amount, must be submitted as a reserve</x:v>
      </x:c>
      <x:c r="J94" s="43" t="str">
        <x:v>자동추출·검토필요</x:v>
      </x:c>
    </x:row>
    <x:row r="95">
      <x:c r="A95" s="43" t="str">
        <x:v>L2025-00006-1</x:v>
      </x:c>
      <x:c r="B95" s="43" t="str">
        <x:v>공사비</x:v>
      </x:c>
      <x:c r="C95" s="46" t="str">
        <x:v>contract amount</x:v>
      </x:c>
      <x:c r="D95" s="46" t="str"/>
      <x:c r="E95" s="46" t="str">
        <x:v>USD 124,148 | $ 5,912,</x:v>
      </x:c>
      <x:c r="F95" s="46" t="str">
        <x:v>4.75%</x:v>
      </x:c>
      <x:c r="G95" s="46" t="str">
        <x:v>L2025-00006-1/상수도 설계 현지입찰 제반서류/(┼║└┌┤╧╛╞ ╗τ╣½╝╥)Summary of Bidding (┐Σ╛α║╗)_TZ Dodoma(Draft).docx</x:v>
      </x:c>
      <x:c r="H95" s="43" t="str">
        <x:v>표 2 행 4</x:v>
      </x:c>
      <x:c r="I95" s="46" t="str">
        <x:v>․ Project Budget | USD 124,148 (including value-added taxes and other fees) * A fixed bid of $5,912, which is 4.75% of the total contract amount, must be included and submitted as a reserve.</x:v>
      </x:c>
      <x:c r="J95" s="43" t="str">
        <x:v>자동추출·검토필요</x:v>
      </x:c>
    </x:row>
    <x:row r="96">
      <x:c r="A96" s="43" t="str">
        <x:v>L2025-00006-1</x:v>
      </x:c>
      <x:c r="B96" s="43" t="str">
        <x:v>공사비</x:v>
      </x:c>
      <x:c r="C96" s="46" t="str">
        <x:v>contract amount</x:v>
      </x:c>
      <x:c r="D96" s="46" t="str"/>
      <x:c r="E96" s="46" t="str">
        <x:v>$ 5,912, 4.75</x:v>
      </x:c>
      <x:c r="F96" s="46" t="str">
        <x:v>4.75%</x:v>
      </x:c>
      <x:c r="G96" s="46" t="str">
        <x:v>L2025-00006-1/상수도 설계 현지입찰 제반서류/Section 5 - Terms of Reference - Incl SoW (Draft).docx</x:v>
      </x:c>
      <x:c r="H96" s="43" t="str">
        <x:v>문단 50</x:v>
      </x:c>
      <x:c r="I96" s="46" t="str">
        <x:v>*A fixed bid of $5,912, 4.75% of the total contract amount, must be submitted as a reserve.</x:v>
      </x:c>
      <x:c r="J96" s="43" t="str">
        <x:v>자동추출·검토필요</x:v>
      </x:c>
    </x:row>
    <x:row r="97">
      <x:c r="A97" s="43" t="str">
        <x:v>L2025-00003-2</x:v>
      </x:c>
      <x:c r="B97" s="43" t="str">
        <x:v>공사비</x:v>
      </x:c>
      <x:c r="C97" s="46" t="str">
        <x:v>construction cost</x:v>
      </x:c>
      <x:c r="D97" s="46" t="str"/>
      <x:c r="E97" s="46" t="str">
        <x:v>USD 1,642,498 | USD 1,642,498</x:v>
      </x:c>
      <x:c r="F97" s="46" t="str">
        <x:v>0.5 % | 2.5% | 0.5 % | 2.5%</x:v>
      </x:c>
      <x:c r="G97" s="46" t="str">
        <x:v>L2025-00003-2/[RE] (Bid Document) Digitalization of the Parliament/(Bid Document) Digitalization of the Parliament/Eng/ENG_Section 2 - Bid Data Sheet_Digitalization_Parliament.docx</x:v>
      </x:c>
      <x:c r="H97" s="43" t="str">
        <x:v>표 5 행 15</x:v>
      </x:c>
      <x:c r="I97" s="46" t="str">
        <x:v>․ Base Price | USD 1,642,498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USD 1,642,498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x:v>
      </x:c>
      <x:c r="J97" s="43" t="str">
        <x:v>자동추출·검토필요</x:v>
      </x:c>
    </x:row>
    <x:row r="98">
      <x:c r="A98" s="43" t="str">
        <x:v>L2025-00003-1</x:v>
      </x:c>
      <x:c r="B98" s="43" t="str">
        <x:v>공사비</x:v>
      </x:c>
      <x:c r="C98" s="46" t="str">
        <x:v>construction cost</x:v>
      </x:c>
      <x:c r="D98" s="46" t="str"/>
      <x:c r="E98" s="46" t="str">
        <x:v>USD 1,642,498 | USD 1,642,498</x:v>
      </x:c>
      <x:c r="F98" s="46" t="str">
        <x:v>0.5 % | 2.5% | 0.5 % | 2.5%</x:v>
      </x:c>
      <x:c r="G98" s="46" t="str">
        <x:v>L2025-00003-1/Parliament Bidding Document (Eng, Rus)/Eng/ENG_Section 2 - Bid Data Sheet_Digitalization_Parliament.docx</x:v>
      </x:c>
      <x:c r="H98" s="43" t="str">
        <x:v>표 5 행 15</x:v>
      </x:c>
      <x:c r="I98" s="46" t="str">
        <x:v>․ Base Price | USD 1,642,498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USD 1,642,498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x:v>
      </x:c>
      <x:c r="J98" s="43" t="str">
        <x:v>자동추출·검토필요</x:v>
      </x:c>
    </x:row>
    <x:row r="99">
      <x:c r="A99" s="43" t="str">
        <x:v>L2025-00002-1</x:v>
      </x:c>
      <x:c r="B99" s="43" t="str">
        <x:v>공사비</x:v>
      </x:c>
      <x:c r="C99" s="46" t="str">
        <x:v>contract amount</x:v>
      </x:c>
      <x:c r="D99" s="46" t="str"/>
      <x:c r="E99" s="46" t="str">
        <x:v>USD 1,000,000</x:v>
      </x:c>
      <x:c r="F99" s="46" t="str"/>
      <x:c r="G99" s="46" t="str">
        <x:v>L2025-00002-1/Section 2 - Bid Data Sheet_Final.docx</x:v>
      </x:c>
      <x:c r="H99" s="43" t="str">
        <x:v>문단 75</x:v>
      </x:c>
      <x:c r="I99" s="46" t="str">
        <x:v>- Anyone interested in this bid shall have at least one record of performing construction works completed with bigger than contract amount USD1,000,000 similar to educational, business, industrial, and IT facilities building over the last 5 years (2020-2024) from the date of this bid notice</x:v>
      </x:c>
      <x:c r="J99" s="43" t="str">
        <x:v>자동추출·검토필요</x:v>
      </x:c>
    </x:row>
    <x:row r="100">
      <x:c r="A100" s="43" t="str">
        <x:v>L2025-00002-1</x:v>
      </x:c>
      <x:c r="B100" s="43" t="str">
        <x:v>공사비</x:v>
      </x:c>
      <x:c r="C100" s="46" t="str">
        <x:v>contract amount</x:v>
      </x:c>
      <x:c r="D100" s="46" t="str"/>
      <x:c r="E100" s="46" t="str">
        <x:v>USD 1,000,000</x:v>
      </x:c>
      <x:c r="F100" s="46" t="str"/>
      <x:c r="G100" s="46" t="str">
        <x:v>L2025-00002-1/Section 2 - Bid Data Sheet_Final.docx</x:v>
      </x:c>
      <x:c r="H100" s="43" t="str">
        <x:v>문단 109</x:v>
      </x:c>
      <x:c r="I100" s="46" t="str">
        <x:v>- One or more evidence of Performance completed with bigger than contract amount USD1,000,000 similar to the content during last 5 years (2020-2024).</x:v>
      </x:c>
      <x:c r="J100" s="43" t="str">
        <x:v>자동추출·검토필요</x:v>
      </x:c>
    </x:row>
    <x:row r="101">
      <x:c r="A101" s="43" t="str">
        <x:v>L2025-00002-1</x:v>
      </x:c>
      <x:c r="B101" s="43" t="str">
        <x:v>공사비</x:v>
      </x:c>
      <x:c r="C101" s="46" t="str">
        <x:v>contract amount</x:v>
      </x:c>
      <x:c r="D101" s="46" t="str"/>
      <x:c r="E101" s="46" t="str">
        <x:v>USD 1,000,000</x:v>
      </x:c>
      <x:c r="F101" s="46" t="str">
        <x:v>86.745%</x:v>
      </x:c>
      <x:c r="G101" s="46" t="str">
        <x:v>L2025-00002-1/Section 2 - Bid Data Sheet_Final.pdf</x:v>
      </x:c>
      <x:c r="H101" s="43" t="str">
        <x:v>페이지 7</x:v>
      </x:c>
      <x:c r="I101" s="46" t="str">
        <x:v>○ Based upon bid prices which shall be below the Estimated Price, but above the floor price of 86.745% of the Estimated Price, the Qualification Examination will be conducted. ○ Selection as successful bidder is determined, when the overall grade is higher than 95 points (the passing grade). ○ Qualification examination will be conducted in accordance with the ‘Standards of Qualification Examination for Selection of Constructor’ (July.6,2023). C. Bidders’ Qualifications (To be verify of legal qualification documents for construction) The Bidders must: 1. Have submitted a bid application on or before the Application Submission Deadline and been notified the qualified bidder. 2. Must be a legally registered company in applicable country and registered enterprise legally in Indonesia as of the deadline for submission of bids application. 3. Have a valid registration (by the authorities) to perform construction works in Indonesia as of the deadline for submission of bids application. ① Enterprise Registration License ➁ Business License in Construction ③ Tax Payment Certificate(2023) 4. Past performance (to be submitted an evidence) - Anyone interested in this bid shall have at least one</x:v>
      </x:c>
      <x:c r="J101" s="43" t="str">
        <x:v>자동추출·검토필요</x:v>
      </x:c>
    </x:row>
    <x:row r="102">
      <x:c r="A102" s="43" t="str">
        <x:v>L2025-00002-1</x:v>
      </x:c>
      <x:c r="B102" s="43" t="str">
        <x:v>공사비</x:v>
      </x:c>
      <x:c r="C102" s="46" t="str">
        <x:v>contract amount</x:v>
      </x:c>
      <x:c r="D102" s="46" t="str"/>
      <x:c r="E102" s="46" t="str">
        <x:v>USD 1,000,000</x:v>
      </x:c>
      <x:c r="F102" s="46" t="str">
        <x:v>5%</x:v>
      </x:c>
      <x:c r="G102" s="46" t="str">
        <x:v>L2025-00002-1/Section 2 - Bid Data Sheet_Final.pdf</x:v>
      </x:c>
      <x:c r="H102" s="43" t="str">
        <x:v>페이지 9</x:v>
      </x:c>
      <x:c r="I102" s="46" t="str">
        <x:v>1. Application for bidding ○ Those who intend to participate in this bid shall submit the application via email (indonesia@koica.go.kr). - When the application is submitted, the title of email shall be the name of this bid. ○ Deadline: 17 Jan, 2025 / 17:00 ○ Email address: Indonesia@koica.go.kr ○ Required documents - Application (in the prescribed Section 3 Bid form-Annex 1) - Business registration certificate (Enterprise Registration License). - License, certificates or other equivalent qualification documents (Business License (Construction). - 2023 Tax payment Certificate - One or more evidence of Performance completed with bigger than contract amount USD1,000,000 similar to the content during last 5 years (2020-2024). - Legal documents that show the authenticity of signature or corporate seal. - Other documents required in this bid. ○ Only eligible applicants that have submitted applications to participate in the bid will be eligible to participate in this tender. You will be notified by email on 21 January whether you are eligible to participate in the tender. 2. Pre-Bid meeting: Not mandatory ○ Date: 23 Jan 2025, 10:00am ○ Place: KOICA Indonesia Office ○ Site visit - There wi</x:v>
      </x:c>
      <x:c r="J102" s="43" t="str">
        <x:v>자동추출·검토필요</x:v>
      </x:c>
    </x:row>
    <x:row r="103">
      <x:c r="A103" s="43" t="str">
        <x:v>L2025-00002-1</x:v>
      </x:c>
      <x:c r="B103" s="43" t="str">
        <x:v>공사비</x:v>
      </x:c>
      <x:c r="C103" s="46" t="str">
        <x:v>contract price</x:v>
      </x:c>
      <x:c r="D103" s="46" t="str"/>
      <x:c r="E103" s="46" t="str">
        <x:v>USD 1,300,000</x:v>
      </x:c>
      <x:c r="F103" s="46" t="str"/>
      <x:c r="G103" s="46" t="str">
        <x:v>L2025-00002-1/Section 8 - Special Conditions of Contract.docx</x:v>
      </x:c>
      <x:c r="H103" s="43" t="str">
        <x:v>문단 365</x:v>
      </x:c>
      <x:c r="I103" s="46" t="str">
        <x:v>The Contract Price is the lump sum price of [Insert Contract Price in figures and words (e.g. USD 1,300,000 (one million three hundred thousand US Dollars)].</x:v>
      </x:c>
      <x:c r="J103" s="43" t="str">
        <x:v>자동추출·검토필요</x:v>
      </x:c>
    </x:row>
    <x:row r="104">
      <x:c r="A104" s="43" t="str">
        <x:v>L2024-00078-1</x:v>
      </x:c>
      <x:c r="B104" s="43" t="str">
        <x:v>공사비</x:v>
      </x:c>
      <x:c r="C104" s="46" t="str">
        <x:v>contract amount</x:v>
      </x:c>
      <x:c r="D104" s="46" t="str"/>
      <x:c r="E104" s="46" t="str">
        <x:v>6. Pen</x:v>
      </x:c>
      <x:c r="F104" s="46" t="str"/>
      <x:c r="G104" s="46" t="str">
        <x:v>L2024-00078-1/0. Attachment_MVC (Construction)_fin/Attachment 1. KOICA Detailed Enforcement Rules of the Regulations for Procurement and Contract in Grant Aid Projects_20190503.pdf</x:v>
      </x:c>
      <x:c r="H104" s="43" t="str">
        <x:v>페이지 44</x:v>
      </x:c>
      <x:c r="I104" s="46" t="str">
        <x:v>Article 48 (Preparing and Signing Contracts) (1) When signing a contract, the head of the procurement department shall prepare a contract clearly stating the following items. However, in cases falling under Article 49 of the Enforcement Decree of the Act on Contracts to Which the State is a Party, the contract need not be prepared: 1. Purpose of the contract; 2. Contract amount; 3. Implementation period; 4. Contract bond; 5. Risk burden; 6. Penalty for delay; 7. Other necessary matters. (2) When a contract is drafted pursuant to Paragraph (1), the contract shall be finalized by the head of the procurement department and the counterparty shall write his/her/its name, imprint seal, or sign the contract. (3) Where signing a contract with a foreigner, if other special grounds exist, the signature of the head of the procurement department may be in lieu thereof. (4) When the head of the procurement department determines the counterparty, he/she shall sign a contract based upon each standard contract within 10 days of the date of the successful tender or contract notification. (5) The head of the procurement department may sign a contract by specifying the special contract terms necessar</x:v>
      </x:c>
      <x:c r="J104" s="43" t="str">
        <x:v>자동추출·검토필요</x:v>
      </x:c>
    </x:row>
    <x:row r="105">
      <x:c r="A105" s="43" t="str">
        <x:v>L2024-00078-1</x:v>
      </x:c>
      <x:c r="B105" s="43" t="str">
        <x:v>공사비</x:v>
      </x:c>
      <x:c r="C105" s="46" t="str">
        <x:v>contract amount</x:v>
      </x:c>
      <x:c r="D105" s="46" t="str"/>
      <x:c r="E105" s="46" t="str">
        <x:v>KRW 50 million</x:v>
      </x:c>
      <x:c r="F105" s="46" t="str"/>
      <x:c r="G105" s="46" t="str">
        <x:v>L2024-00078-1/0. Attachment_MVC (Construction)_fin/Attachment 1. KOICA Detailed Enforcement Rules of the Regulations for Procurement and Contract in Grant Aid Projects_20190503.pdf</x:v>
      </x:c>
      <x:c r="H105" s="43" t="str">
        <x:v>페이지 46</x:v>
      </x:c>
      <x:c r="I105" s="46" t="str">
        <x:v>bond shall be exempted in any of the following circumstances. In such cases, the Payment Guarantee Confirmation Memorandum of Contract Bond (Form 14) shall be submitted when a ground arises for the contract bond to escheat: &lt;Amended on Jun. 3, 2009, Feb. 18, 2016&gt; 1. When a contract is signed with a person falling under Article 26 (2) 1 or 4 and 6; &lt;Amended on Oct. 8, 2008, Jul. 20, 2017&gt; 2. Where signing a contract with a contract amount of up to KRW 50 million; &lt;Amended on Jul. 20, 2017&gt; 3. Where the collection of contract bonds is not appropriate considering the customs effecting the contract that are generally recognized as fair and reasonable. 4. When purchasing parts of foreign-funded facilities, machinery, and equipment that have already been introduced, and it is impracticable to purchase the parts unless the supplier is involved. &lt;Newly Inserted on Jul. 20, 2017&gt; (3) If the counterparty requests that the contract bond paid in securities or cash pursuant to Article 192 of the Enforcement Decree of the Financial Investment Services and Capital Markets Act is in lieu of a certificate of guaranty stipulated in Article 37 (2) 1 to 5 of the Enforcement Decree of the Act on Contr</x:v>
      </x:c>
      <x:c r="J105" s="43" t="str">
        <x:v>자동추출·검토필요</x:v>
      </x:c>
    </x:row>
    <x:row r="106">
      <x:c r="A106" s="43" t="str">
        <x:v>L2024-00078-1</x:v>
      </x:c>
      <x:c r="B106" s="43" t="str">
        <x:v>공사비</x:v>
      </x:c>
      <x:c r="C106" s="46" t="str">
        <x:v>contract amount</x:v>
      </x:c>
      <x:c r="D106" s="46" t="str"/>
      <x:c r="E106" s="46" t="str">
        <x:v>KRW 30 million</x:v>
      </x:c>
      <x:c r="F106" s="46" t="str"/>
      <x:c r="G106" s="46" t="str">
        <x:v>L2024-00078-1/0. Attachment_MVC (Construction)_fin/Attachment 1. KOICA Detailed Enforcement Rules of the Regulations for Procurement and Contract in Grant Aid Projects_20190503.pdf</x:v>
      </x:c>
      <x:c r="H106" s="43" t="str">
        <x:v>페이지 48</x:v>
      </x:c>
      <x:c r="I106" s="46" t="str">
        <x:v>(1) Where possible to omit a contract pursuant to Article 49 of the Enforcement Decree of the Act on Contracts to Which the State is a Party shall be as follows: &lt;Amended on Jul. 20, 2017&gt; 1. Where signing a contract with a contract amount not exceeding KRW 30 million; &lt;Amended on Jul. 20, 2017&gt; 2. Where signing a contract with the state or a local government; &lt;Amended on Jul. 20, 2017&gt; 3. Deleted. &lt;Jul. 20, 2017&gt; (2) Where omitting a contract, documents that can evidence establishment of the contract, such as invoices, memorandums, agreements, and acceptance, shall be submitted by the counterparty and retained. Article 55 (Indicating Donation Text and Shipping Mark) (1) The heads of the procurement and business department shall have the contractor of supplying goods affix a donation phrase on commodities and a shipping mark and mark “warning”, “danger”, or “safety” on the packaging box. &lt;Amended on Feb. 18, 2016&gt; (2) The donation phrase and shipping mark shall be as prescribed in Form 16. Article 56 (Inspections) (1) Pursuant to Article 35 of the Regulations and Article 14 of the Act on Contracts to Which the State is a Party, the head of the procurement department and the busines</x:v>
      </x:c>
      <x:c r="J106" s="43" t="str">
        <x:v>자동추출·검토필요</x:v>
      </x:c>
    </x:row>
    <x:row r="107">
      <x:c r="A107" s="43" t="str">
        <x:v>L2024-00078-1</x:v>
      </x:c>
      <x:c r="B107" s="43" t="str">
        <x:v>공사비</x:v>
      </x:c>
      <x:c r="C107" s="46" t="str">
        <x:v>contract amount</x:v>
      </x:c>
      <x:c r="D107" s="46" t="str"/>
      <x:c r="E107" s="46" t="str">
        <x:v>KRW 420 billion</x:v>
      </x:c>
      <x:c r="F107" s="46" t="str"/>
      <x:c r="G107" s="46" t="str">
        <x:v>L2024-00078-1/0. Attachment_MVC (Construction)_fin/Attachment 1. KOICA Detailed Enforcement Rules of the Regulations for Procurement and Contract in Grant Aid Projects_20190503.pdf</x:v>
      </x:c>
      <x:c r="H107" s="43" t="str">
        <x:v>페이지 61</x:v>
      </x:c>
      <x:c r="I107"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107" s="43" t="str">
        <x:v>자동추출·검토필요</x:v>
      </x:c>
    </x:row>
    <x:row r="108">
      <x:c r="A108" s="43" t="str">
        <x:v>L2024-00078-1</x:v>
      </x:c>
      <x:c r="B108" s="43" t="str">
        <x:v>공사비</x:v>
      </x:c>
      <x:c r="C108" s="46" t="str">
        <x:v>contract amount</x:v>
      </x:c>
      <x:c r="D108" s="46" t="str"/>
      <x:c r="E108" s="46" t="str">
        <x:v>KRW 30 million</x:v>
      </x:c>
      <x:c r="F108" s="46" t="str"/>
      <x:c r="G108" s="46" t="str">
        <x:v>L2024-00078-1/0. Attachment_MVC (Construction)_fin/Attachment 3. KOICA Regulations for Procurement and Contract in Grant Aid Projects_20190520.pdf</x:v>
      </x:c>
      <x:c r="H108" s="43" t="str">
        <x:v>페이지 26</x:v>
      </x:c>
      <x:c r="I108" s="46" t="str">
        <x:v>not exceed KRW 30 million. &lt;Amended on May 20, 2019&gt; (2) Warranty bond shall be paid at a rate of between 2/100 and 10/100 of the contract amount to guarantee repair of defects and the bond shall be kept for the warranty period under the provisions of Paragraph (1). Article 31-2 (Liquidated Damages) (1) When signing contracts for construction works and services that require liquidated damages, it is mandatory to purchase indemnity insurance and join a mutual aid association. &lt;Amended on Dec. 30, 2016&gt; (2) Details related to the calculation of insurance costs shall be determined separately. &lt;Amended on Dec. 30, 2016&gt; [This Article Newly Inserted on Nov. 2, 2015] Article 32 (Payment and Settlement of Service Cost) (1) Technical service fees shall be paid in installments or lump-sum according to the terms and conditions of the contract and the counterparty's request. &lt;Amended on Nov. 2, 2015, Dec. 30, 2016&gt; (2) The counterparty shall return the balance after settlement of the service fee is confirmed and the details shall be determined separately. &lt;Amended on Nov. 2, 2015, Dec. 30, 2016&gt; Article 33 (Performing Integrity Agreements) (1) KOICA shall require a tenderer or counterparty to</x:v>
      </x:c>
      <x:c r="J108" s="43" t="str">
        <x:v>자동추출·검토필요</x:v>
      </x:c>
    </x:row>
    <x:row r="109">
      <x:c r="A109" s="43" t="str">
        <x:v>L2024-00075-1</x:v>
      </x:c>
      <x:c r="B109" s="43" t="str">
        <x:v>공사비</x:v>
      </x:c>
      <x:c r="C109" s="46" t="str">
        <x:v>bill of quantities</x:v>
      </x:c>
      <x:c r="D109" s="46" t="str">
        <x:v>8,069 m2 | 700 m2 | 700 m2</x:v>
      </x:c>
      <x:c r="E109" s="46" t="str">
        <x:v>USD 624,034 | USD 608,433</x:v>
      </x:c>
      <x:c r="F109" s="46" t="str"/>
      <x:c r="G109" s="46" t="str">
        <x:v>L2024-00075-1/Section 2 - Bid Data Sheet_1120.pdf</x:v>
      </x:c>
      <x:c r="H109" s="43" t="str">
        <x:v>페이지 5</x:v>
      </x:c>
      <x:c r="I109" s="46" t="str">
        <x:v>A. Brief of Bidding ․ Invitation No. KOICALAO-2024-15-1 L2022-0000-1 Construction of the Southern Agricultural Training Center ․ Bid Title (SATC) ․ Summary of Construction - Location Lak 35 village Paksong District, Champasak Province, Lao PDR - Programme Southern Agricultural Training Center - Site area 8,069m2 - Building area 700m2 - Gross floor area 700m2 Training Building including Director room, Reception room, pantry, staff office, Equipment storage, divisional Discussion 1 &amp;2, - Building scope Men &amp; female toilet, Accessible toilet, janitor, Technical, Dish- washing room, kitchen, Gas, storage 1 &amp; 2 Dining room, lecture room, corridor, terrace, pump area and water tank. - Structure Reinforced Concrete Structure, Steel Structure (Roof) The Contractor shall implement all of works described and designed in contract documents including Design Drawings, - Scope of Works Technical Specifications, Special Condition of Contract and Bill of Quantities as a duty and obligation of the Fixed Lump Sum Contract. - Scheduled Construction Period 300 days Until 330 days from the date of signing the contract -Shall commence 30 days from the date of signing the contract -construction period: 3</x:v>
      </x:c>
      <x:c r="J109" s="43" t="str">
        <x:v>자동추출·검토필요</x:v>
      </x:c>
    </x:row>
    <x:row r="110">
      <x:c r="A110" s="43" t="str">
        <x:v>L2024-00075-1</x:v>
      </x:c>
      <x:c r="B110" s="43" t="str">
        <x:v>공사비</x:v>
      </x:c>
      <x:c r="C110" s="46" t="str">
        <x:v>contract price</x:v>
      </x:c>
      <x:c r="D110" s="46" t="str"/>
      <x:c r="E110" s="46" t="str">
        <x:v>USD 1,300,000</x:v>
      </x:c>
      <x:c r="F110" s="46" t="str"/>
      <x:c r="G110" s="46" t="str">
        <x:v>L2024-00075-1/Section 8 - Special Conditions of Contract.docx</x:v>
      </x:c>
      <x:c r="H110" s="43" t="str">
        <x:v>문단 365</x:v>
      </x:c>
      <x:c r="I110" s="46" t="str">
        <x:v>The Contract Price is the lump sum price of [Insert Contract Price in figures and words (e.g. USD 1,300,000 (one million three hundred thousand US Dollars)].</x:v>
      </x:c>
      <x:c r="J110" s="43" t="str">
        <x:v>자동추출·검토필요</x:v>
      </x:c>
    </x:row>
    <x:row r="111">
      <x:c r="A111" s="43" t="str">
        <x:v>L2024-00068-2</x:v>
      </x:c>
      <x:c r="B111" s="43" t="str">
        <x:v>공사비</x:v>
      </x:c>
      <x:c r="C111" s="46" t="str">
        <x:v>contract amount</x:v>
      </x:c>
      <x:c r="D111" s="46" t="str"/>
      <x:c r="E111" s="46" t="str">
        <x:v>$ 3</x:v>
      </x:c>
      <x:c r="F111" s="46" t="str"/>
      <x:c r="G111" s="46" t="str">
        <x:v>L2024-00068-2/Section 11 - Bid Document Checklist_IPNETP Construction.xlsx</x:v>
      </x:c>
      <x:c r="H111" s="43" t="str">
        <x:v>List!21</x:v>
      </x:c>
      <x:c r="I111" s="46" t="str">
        <x:v>A21=18 | B21=Bid Submission | C21=2024-11-28 11:00:00 | D21=materials of qualification examination (in the prescribed form) | E21=Visit KOICA Office | F21=1. Construction Experience(in the prescribed form 4) Evidence of performance in the construction of similar projects in the past 10 years(October 01, 2015 ~ September 30, 2024) (in the prescribed form 4 : list of performance results(including contract amount and client information), performance certificates, Contract for construction and Completion certificates) 2. Finances(in the prescribed form 5) a) Audited financial statements including income statement and balance sheet for the last 3 Financial Years (2021, 2022 &amp; 2023). b) Evidence of Annual turnover for the last 3 Financial years(2021, 2022 &amp; 2023) c) Letter of comfort from an accredited Commercial Bank declaring that the Construction Contractor has access to financial resources; line of credit, overdraft facility) ※ Evaluation and Qualification Criteria duly completed and signed and in accordance with Annex 1 | G21=="(Attached "&amp;ROW(A10)&amp;") "&amp;표1[[#This Row],[Title of the document]]&amp;"_"&amp;$I$3 | H21=1 copy</x:v>
      </x:c>
      <x:c r="J111" s="43" t="str">
        <x:v>자동추출·검토필요</x:v>
      </x:c>
    </x:row>
    <x:row r="112">
      <x:c r="A112" s="43" t="str">
        <x:v>L2024-00068-2</x:v>
      </x:c>
      <x:c r="B112" s="43" t="str">
        <x:v>공사비</x:v>
      </x:c>
      <x:c r="C112" s="46" t="str">
        <x:v>contract price</x:v>
      </x:c>
      <x:c r="D112" s="46" t="str"/>
      <x:c r="E112" s="46" t="str">
        <x:v>USD 1,300,000</x:v>
      </x:c>
      <x:c r="F112" s="46" t="str"/>
      <x:c r="G112" s="46" t="str">
        <x:v>L2024-00068-2/Section 8 - Specail Conditions of Contract.docx</x:v>
      </x:c>
      <x:c r="H112" s="43" t="str">
        <x:v>문단 365</x:v>
      </x:c>
      <x:c r="I112" s="46" t="str">
        <x:v>The Contract Price is the lump sum price of [Insert Contract Price in figures and words (e.g. USD 1,300,000 (one million three hundred thousand US Dollars)].</x:v>
      </x:c>
      <x:c r="J112" s="43" t="str">
        <x:v>자동추출·검토필요</x:v>
      </x:c>
    </x:row>
    <x:row r="113">
      <x:c r="A113" s="43" t="str">
        <x:v>L2024-00068-1</x:v>
      </x:c>
      <x:c r="B113" s="43" t="str">
        <x:v>공사비</x:v>
      </x:c>
      <x:c r="C113" s="46" t="str">
        <x:v>contract amount</x:v>
      </x:c>
      <x:c r="D113" s="46" t="str"/>
      <x:c r="E113" s="46" t="str">
        <x:v>$ 3</x:v>
      </x:c>
      <x:c r="F113" s="46" t="str"/>
      <x:c r="G113" s="46" t="str">
        <x:v>L2024-00068-1/Section 11 - Bid Document Checklist_IPNETP Construction.xlsx</x:v>
      </x:c>
      <x:c r="H113" s="43" t="str">
        <x:v>List!21</x:v>
      </x:c>
      <x:c r="I113" s="46" t="str">
        <x:v>A21=18 | B21=Bid Submission | C21=2024-11-11 10:00:00 | D21=materials of qualification examination (in the prescribed form) | E21=Visit KOICA Office | F21=1. Construction Experience(in the prescribed form 4) Evidence of performance in the construction of similar projects in the past 10 years(October 01, 2015 ~ September 30, 2024) (in the prescribed form 4 : list of performance results(including contract amount and client information), performance certificates, Contract for construction and Completion certificates) 2. Finances(in the prescribed form 5) a) Audited financial statements including income statement and balance sheet for the last 3 Financial Years (2021, 2022 &amp; 2023). b) Evidence of Annual turnover for the last 3 Financial years(2021, 2022 &amp; 2023) c) Letter of comfort from an accredited Commercial Bank declaring that the Construction Contractor has access to financial resources; line of credit, overdraft facility) ※ Evaluation and Qualification Criteria duly completed and signed and in accordance with Annex 1 | G21=="(Attached "&amp;ROW(A10)&amp;") "&amp;표1[[#This Row],[Title of the document]]&amp;"_"&amp;$I$3 | H21=1 copy</x:v>
      </x:c>
      <x:c r="J113" s="43" t="str">
        <x:v>자동추출·검토필요</x:v>
      </x:c>
    </x:row>
    <x:row r="114">
      <x:c r="A114" s="43" t="str">
        <x:v>L2024-00068-1</x:v>
      </x:c>
      <x:c r="B114" s="43" t="str">
        <x:v>공사비</x:v>
      </x:c>
      <x:c r="C114" s="46" t="str">
        <x:v>contract price</x:v>
      </x:c>
      <x:c r="D114" s="46" t="str"/>
      <x:c r="E114" s="46" t="str">
        <x:v>USD 1,300,000</x:v>
      </x:c>
      <x:c r="F114" s="46" t="str"/>
      <x:c r="G114" s="46" t="str">
        <x:v>L2024-00068-1/Section 8 - Specail Conditions of Contract.docx</x:v>
      </x:c>
      <x:c r="H114" s="43" t="str">
        <x:v>문단 365</x:v>
      </x:c>
      <x:c r="I114" s="46" t="str">
        <x:v>The Contract Price is the lump sum price of [Insert Contract Price in figures and words (e.g. USD 1,300,000 (one million three hundred thousand US Dollars)].</x:v>
      </x:c>
      <x:c r="J114" s="43" t="str">
        <x:v>자동추출·검토필요</x:v>
      </x:c>
    </x:row>
    <x:row r="115">
      <x:c r="A115" s="43" t="str">
        <x:v>L2024-00066-1</x:v>
      </x:c>
      <x:c r="B115" s="43" t="str">
        <x:v>공사비</x:v>
      </x:c>
      <x:c r="C115" s="46" t="str">
        <x:v>construction cost</x:v>
      </x:c>
      <x:c r="D115" s="46" t="str">
        <x:v>500 ㎡ | 060.00 m²</x:v>
      </x:c>
      <x:c r="E115" s="46" t="str">
        <x:v>USD 2,406,346</x:v>
      </x:c>
      <x:c r="F115" s="46" t="str"/>
      <x:c r="G115" s="46" t="str">
        <x:v>L2024-00066-1/Section 5 - Terms of Reference (ToR) R1.doc</x:v>
      </x:c>
      <x:c r="H115" s="43" t="str">
        <x:v>문단 46</x:v>
      </x:c>
      <x:c r="I115" s="46" t="str">
        <x:v>Site Area approx. 500㎡ Construction content Establishment of Simulation Center • three-story building • Total floor area : approx.1,060.00m² Please refer to the attached space program. Construction cost budget : approx. USD 2,406,346</x:v>
      </x:c>
      <x:c r="J115" s="43" t="str">
        <x:v>자동추출·검토필요</x:v>
      </x:c>
    </x:row>
    <x:row r="116">
      <x:c r="A116" s="43" t="str">
        <x:v>L2024-00052-1</x:v>
      </x:c>
      <x:c r="B116" s="43" t="str">
        <x:v>공사비</x:v>
      </x:c>
      <x:c r="C116" s="46" t="str">
        <x:v>contract amount</x:v>
      </x:c>
      <x:c r="D116" s="46" t="str"/>
      <x:c r="E116" s="46" t="str">
        <x:v>USD 50,000</x:v>
      </x:c>
      <x:c r="F116" s="46" t="str"/>
      <x:c r="G116" s="46" t="str">
        <x:v>L2024-00052-1/입찰관련서류/Section 2 - Bid Data Sheet (BDS)_└╘┬√░°░φ┐δ ├╓┴╛.docx</x:v>
      </x:c>
      <x:c r="H116" s="43" t="str">
        <x:v>표 9 행 4</x:v>
      </x:c>
      <x:c r="I116" s="46" t="str">
        <x:v>Track Records | Design | Accumulated contract amount of similar buildings design completed not less than USD50,000 within the last 5 years from the announcement date of tender | 3</x:v>
      </x:c>
      <x:c r="J116" s="43" t="str">
        <x:v>자동추출·검토필요</x:v>
      </x:c>
    </x:row>
    <x:row r="117">
      <x:c r="A117" s="43" t="str">
        <x:v>L2024-00052-1</x:v>
      </x:c>
      <x:c r="B117" s="43" t="str">
        <x:v>공사비</x:v>
      </x:c>
      <x:c r="C117" s="46" t="str">
        <x:v>contract amount</x:v>
      </x:c>
      <x:c r="D117" s="46" t="str"/>
      <x:c r="E117" s="46" t="str">
        <x:v>USD 30,000</x:v>
      </x:c>
      <x:c r="F117" s="46" t="str"/>
      <x:c r="G117" s="46" t="str">
        <x:v>L2024-00052-1/입찰관련서류/Section 2 - Bid Data Sheet (BDS)_└╘┬√░°░φ┐δ ├╓┴╛.docx</x:v>
      </x:c>
      <x:c r="H117" s="43" t="str">
        <x:v>표 9 행 5</x:v>
      </x:c>
      <x:c r="I117" s="46" t="str">
        <x:v>Track Records | Construction Supervision | Accumulated contract amount of similar buildings CS completed not less than USD30,000 within the last 5 years from the announcement date of tender | 2</x:v>
      </x:c>
      <x:c r="J117" s="43" t="str">
        <x:v>자동추출·검토필요</x:v>
      </x:c>
    </x:row>
    <x:row r="118">
      <x:c r="A118" s="43" t="str">
        <x:v>L2024-00052-1</x:v>
      </x:c>
      <x:c r="B118" s="43" t="str">
        <x:v>공사비</x:v>
      </x:c>
      <x:c r="C118" s="46" t="str">
        <x:v>contract price</x:v>
      </x:c>
      <x:c r="D118" s="46" t="str"/>
      <x:c r="E118" s="46" t="str">
        <x:v>$ 000,000 | $ 000,000 | $ 000,000 | $ 000,000 | $ 000,000 | $ 000,000 | $ 000,000 | $ 000,000</x:v>
      </x:c>
      <x:c r="F118" s="46" t="str"/>
      <x:c r="G118" s="46" t="str">
        <x:v>L2024-00052-1/입찰관련서류/Section 3 - Bidding Forms_╝÷┴ñ_R3.docx</x:v>
      </x:c>
      <x:c r="H118" s="43" t="str">
        <x:v>표 4 행 8</x:v>
      </x:c>
      <x:c r="I118" s="46" t="str">
        <x:v>3) Total Contract Price | 3) Total Contract Price | [numbers] U$000,000 [words] _________________________ | [numbers] U$000,000 [words] _________________________ | [numbers] U$000,000 [words] _________________________ | [numbers] U$000,000 [words] _________________________ | [numbers] U$000,000 [words] _________________________ | [numbers] U$000,000 [words] _________________________ | [numbers] U$000,000 [words] _________________________ | [numbers] U$000,000 [words] _________________________</x:v>
      </x:c>
      <x:c r="J118" s="43" t="str">
        <x:v>자동추출·검토필요</x:v>
      </x:c>
    </x:row>
    <x:row r="119">
      <x:c r="A119" s="43" t="str">
        <x:v>L2024-00052-1</x:v>
      </x:c>
      <x:c r="B119" s="43" t="str">
        <x:v>공사비</x:v>
      </x:c>
      <x:c r="C119" s="46" t="str">
        <x:v>contract price</x:v>
      </x:c>
      <x:c r="D119" s="46" t="str"/>
      <x:c r="E119" s="46" t="str">
        <x:v>USD 000,000</x:v>
      </x:c>
      <x:c r="F119" s="46" t="str"/>
      <x:c r="G119" s="46" t="str">
        <x:v>L2024-00052-1/입찰관련서류/Section 9 - Contract Forms_░Φ╛α╝¡(┐╡╣«)_Final_R2.docx</x:v>
      </x:c>
      <x:c r="H119" s="43" t="str">
        <x:v>문단 35</x:v>
      </x:c>
      <x:c r="I119" s="46" t="str">
        <x:v>For the Total Contract Price of in word U.S. Dollars (USD 000,000)</x:v>
      </x:c>
      <x:c r="J119" s="43" t="str">
        <x:v>자동추출·검토필요</x:v>
      </x:c>
    </x:row>
    <x:row r="120">
      <x:c r="A120" s="43" t="str">
        <x:v>L2024-00050-1</x:v>
      </x:c>
      <x:c r="B120" s="43" t="str">
        <x:v>공사비</x:v>
      </x:c>
      <x:c r="C120" s="46" t="str">
        <x:v>contract price</x:v>
      </x:c>
      <x:c r="D120" s="46" t="str"/>
      <x:c r="E120" s="46" t="str">
        <x:v>USD 1,300,000</x:v>
      </x:c>
      <x:c r="F120" s="46" t="str"/>
      <x:c r="G120" s="46" t="str">
        <x:v>L2024-00050-1/Part 3(계약서 및 기타 자료)/Section 8. Special Conditions of Contract.docx</x:v>
      </x:c>
      <x:c r="H120" s="43" t="str">
        <x:v>문단 328</x:v>
      </x:c>
      <x:c r="I120" s="46" t="str">
        <x:v>The Contract Price is the lump sum price of [Insert Contract Price in figures and words (e.g. USD 1,300,000 (one million three hundred thousand US Dollars)].</x:v>
      </x:c>
      <x:c r="J120" s="43" t="str">
        <x:v>자동추출·검토필요</x:v>
      </x:c>
    </x:row>
    <x:row r="121">
      <x:c r="A121" s="43" t="str">
        <x:v>L2024-00050-1</x:v>
      </x:c>
      <x:c r="B121" s="43" t="str">
        <x:v>공사비</x:v>
      </x:c>
      <x:c r="C121" s="46" t="str">
        <x:v>contract price</x:v>
      </x:c>
      <x:c r="D121" s="46" t="str"/>
      <x:c r="E121" s="46" t="str">
        <x:v>UGX 500 Million | UGX 25 Million</x:v>
      </x:c>
      <x:c r="F121" s="46" t="str">
        <x:v>5% | 5%</x:v>
      </x:c>
      <x:c r="G121" s="46" t="str">
        <x:v>L2024-00050-1/우간다 조달청 규정/(PPDA ║╕┴⌡▒╘┴ñ) GUIDELINE-3-OF-2024-ON-BID-AND-PERFORMANCE-SECURITIES.pdf</x:v>
      </x:c>
      <x:c r="H121" s="43" t="str">
        <x:v>페이지 3</x:v>
      </x:c>
      <x:c r="I121" s="46" t="str">
        <x:v>The Public Procurement and Disposal ofPublic Assets Guidelines,2024 The format of the bid security in form of a bid bond is provided in the standard bidding documents issued to procuring and disposing entities. vt. Where an Entity finds it necessary to extend the bid security (bid bond), such extension shall be undertaken by use of a bid securing declaration. The format of the bid securing declaration is provided in the standard bidding documents issued to procuring and disposing entities. 1.3 Bid or Proposal Securing Declaration A bid or Proposal Securing Declaration shall be required for procurement of supplies, works and non-+onsultancy services under the restricted domestic, restricted international, quotation and direct methods. A proposal securing declaration shall be required for procurement of consultancy services under all procurement bidding methods. iii. Notwithstanding provisions in .1 (i) and .2(i) above, a bid securing 1 '1 declaration shall be required for procurements that are reserved for national providers under the open domestic bidding method. The format of the bid securing declaration is provided in the standard bidding documents issued to procuring and disposi</x:v>
      </x:c>
      <x:c r="J121" s="43" t="str">
        <x:v>자동추출·검토필요</x:v>
      </x:c>
    </x:row>
    <x:row r="122">
      <x:c r="A122" s="43" t="str">
        <x:v>L2024-00049-2</x:v>
      </x:c>
      <x:c r="B122" s="43" t="str">
        <x:v>공사비</x:v>
      </x:c>
      <x:c r="C122" s="46" t="str">
        <x:v>contract amount</x:v>
      </x:c>
      <x:c r="D122" s="46" t="str"/>
      <x:c r="E122" s="46" t="str">
        <x:v>USD 965,000.00 | USD 800,000.00</x:v>
      </x:c>
      <x:c r="F122" s="46" t="str">
        <x:v>75% | 65% | 55% | 45% | 30% | 30%</x:v>
      </x:c>
      <x:c r="G122" s="46" t="str">
        <x:v>L2024-00049-2/3. Bidding Document_ITCA (Construction)/Section 2 Bid data sheet_ITCA Construction.docx</x:v>
      </x:c>
      <x:c r="H122" s="43" t="str">
        <x:v>표 5 행 2</x:v>
      </x:c>
      <x:c r="I122" s="46" t="str">
        <x:v>Records of performance of the similar projects as the project concerned in the past ten years (2014-2023) | (Contract amount of the largest performance of the similar projects in the past ten years ÷ Evaluation Base Price) × 100 * scored on a percentage basis and given the corresponding Grade A: above 75%: 15.0 B: above 65%: 13.7 C: above 55%: 12.4 D: above 45%: 11.0 E: above 30%: 9.7 F: under 30%: 8.2 | Evaluation Price Criteria: USD 965,000.00 Each Bidder must have completed at least one similar building construction project of not less than USD 800,000.00</x:v>
      </x:c>
      <x:c r="J122" s="43" t="str">
        <x:v>자동추출·검토필요</x:v>
      </x:c>
    </x:row>
    <x:row r="123">
      <x:c r="A123" s="43" t="str">
        <x:v>L2024-00049-1</x:v>
      </x:c>
      <x:c r="B123" s="43" t="str">
        <x:v>공사비</x:v>
      </x:c>
      <x:c r="C123" s="46" t="str">
        <x:v>contract amount</x:v>
      </x:c>
      <x:c r="D123" s="46" t="str"/>
      <x:c r="E123" s="46" t="str">
        <x:v>USD 965,000.00 | USD 800,000.00</x:v>
      </x:c>
      <x:c r="F123" s="46" t="str">
        <x:v>75% | 65% | 55% | 45% | 30% | 30%</x:v>
      </x:c>
      <x:c r="G123" s="46" t="str">
        <x:v>L2024-00049-1/Bidding Document_ITCA(Construction)_Final/Section 2 Bid data sheet_ITCA Construction_(202409).docx</x:v>
      </x:c>
      <x:c r="H123" s="43" t="str">
        <x:v>표 5 행 2</x:v>
      </x:c>
      <x:c r="I123" s="46" t="str">
        <x:v>Records of performance of the similar projects as the project concerned in the past ten years (2014-2023) | (Contract amount of the largest performance of the similar projects in the past ten years ÷ Evaluation Base Price) × 100 * scored on a percentage basis and given the corresponding Grade A: above 75%: 15.0 B: above 65%: 13.7 C: above 55%: 12.4 D: above 45%: 11.0 E: above 30%: 9.7 F: under 30%: 8.2 | Evaluation Price Criteria: USD 965,000.00 Each Bidder must have completed at least one similar building construction project of not less than USD 800,000.00</x:v>
      </x:c>
      <x:c r="J123" s="43" t="str">
        <x:v>자동추출·검토필요</x:v>
      </x:c>
    </x:row>
    <x:row r="124">
      <x:c r="A124" s="43" t="str">
        <x:v>L2024-00042-1</x:v>
      </x:c>
      <x:c r="B124" s="43" t="str">
        <x:v>공사비</x:v>
      </x:c>
      <x:c r="C124" s="46" t="str">
        <x:v>contract amount</x:v>
      </x:c>
      <x:c r="D124" s="46" t="str"/>
      <x:c r="E124" s="46" t="str">
        <x:v>USD 9,500,000 | USD 9,500,000, | USD 100,000,000, | USD 110,000,000, | USD 100,000,000 | USD 110,000,000 | USD 53,500,000</x:v>
      </x:c>
      <x:c r="F124" s="46" t="str">
        <x:v>30% | 70% | 50% | 50% | 30% | 50% | 70% | 50%</x:v>
      </x:c>
      <x:c r="G124" s="46" t="str">
        <x:v>L2024-00042-1/Section 2_Bid Data Sheet.pdf</x:v>
      </x:c>
      <x:c r="H124" s="43" t="str">
        <x:v>페이지 18</x:v>
      </x:c>
      <x:c r="I124" s="46" t="str">
        <x:v>2) The performance certificate must be submitted in English. Other languages must be translated into English and notarized for submission 3) If submitting a copy instead of the original document, it must be stamped ‘same as original’ 4) The term ‘similar projects’ refers to completed road construction projects with the same or above of USD 9,500,000 in the amount in last ten years from the Bid announcement. This must be clearly stated in the evidential/supporting documents. Subcontracting experiences are not considered. 5) Amount and number in evaluation process, the share ratio of past experience and current bidding are considered. In case, share amount of past experience is less than USD 9,500,000, the project is not considered as similar project. The evaluation method for joint venture will aggregate the performance of each member by multiplying it by their respective shares *Example of evaluation - Company ‘A’ past experience: contract amount USD 100,000,000, participated ration 30% - Company ‘B’ past experience: contract amount USD 110,000,000, participated ration 70% - When JV ratio in the current bid, Company ‘A’ having 50% and Company ‘B’ having 50% - Evaluated Amount = USD</x:v>
      </x:c>
      <x:c r="J124" s="43" t="str">
        <x:v>자동추출·검토필요</x:v>
      </x:c>
    </x:row>
    <x:row r="125">
      <x:c r="A125" s="43" t="str">
        <x:v>L2024-00042-1</x:v>
      </x:c>
      <x:c r="B125" s="43" t="str">
        <x:v>공사비</x:v>
      </x:c>
      <x:c r="C125" s="46" t="str">
        <x:v>contract price</x:v>
      </x:c>
      <x:c r="D125" s="46" t="str"/>
      <x:c r="E125" s="46" t="str">
        <x:v>12.1 US$</x:v>
      </x:c>
      <x:c r="F125" s="46" t="str">
        <x:v>0.05%</x:v>
      </x:c>
      <x:c r="G125" s="46" t="str">
        <x:v>L2024-00042-1/Section 8_Special Conditions of Contract.pdf</x:v>
      </x:c>
      <x:c r="H125" s="43" t="str">
        <x:v>페이지 3</x:v>
      </x:c>
      <x:c r="I125" s="46" t="str">
        <x:v>[Annex 1] Detailed Terms and Conditions Article Detailed Terms and Conditions Article 1.1 / Article 7.1 Within 30 days from the Contract Signing Commencement Date Article 1.1 / Article 7.2 24 months from the Commencement Date Completion Deadline Article 1.1 Within 25 months from the Contract Signing Contract Period Article 1.1 / Article 12.1 US$ 0,000,000 including all taxes Contract Price Article 1.1 24 months from Issuance of the Taking-over Certificate Defect Notification Period Article 1.1 Bolikhamxay and Khammouan Province, Lao PDR Site or Construction Site Article 1.3 (b) For the Employer Construction Site Copy to: Manager Title: Fax no.: Phone no.: e-mail: For the Contractor Copy to: Title: Fax no.: Phone no.: e-mail: Article 1.11 (f) Shall not be adopted (Lump Sum Contract) Article 2.1 (a) No later than Commencement Date Article 4.1 (c) Such work includes all activities to be performed by the Contractor for the purpose of Works Article 4.3 (g) The language is English Article 6.5 (b) The time is 12 hours Article 7.7 (c) 0.05%/day of the Contract Price 3</x:v>
      </x:c>
      <x:c r="J125" s="43" t="str">
        <x:v>자동추출·검토필요</x:v>
      </x:c>
    </x:row>
    <x:row r="126">
      <x:c r="A126" s="43" t="str">
        <x:v>L2024-00042-1</x:v>
      </x:c>
      <x:c r="B126" s="43" t="str">
        <x:v>공사비</x:v>
      </x:c>
      <x:c r="C126" s="46" t="str">
        <x:v>contract price</x:v>
      </x:c>
      <x:c r="D126" s="46" t="str"/>
      <x:c r="E126" s="46" t="str">
        <x:v>USD 1,300,000</x:v>
      </x:c>
      <x:c r="F126" s="46" t="str"/>
      <x:c r="G126" s="46" t="str">
        <x:v>L2024-00042-1/Section 8_Special Conditions of Contract.pdf</x:v>
      </x:c>
      <x:c r="H126" s="43" t="str">
        <x:v>페이지 19</x:v>
      </x:c>
      <x:c r="I126" s="46" t="str">
        <x:v>[Annex 6] Details of Contract Price [This Annex should provide details of any provisional sum based on the total Contract Price. The unit price and rates set out in this Annex will form the basis of any adjustments to the Contract Price. To the extent incentives will be payable for early completion of the Construction, details of such incentives should also be included here.] 1. Contract Price The Contract Price is the lump sum price of [Insert Contract Price in figures and words (e.g. USD 1,300,000 (one million three hundred thousand US Dollars)]. 2. Provisional Sum Items The Provisional Sum items are set out in section [insert] of [insert name of relevant document]. Each Provisional Sum shall only be used, in whole or in part, and the Contractor will only be entitled to payment for a Provisional Sum, in accordance with Article 11.7 of the Contract and the Contract Price shall be adjusted accordingly. 3. Adjustments for Changes in Cost [Unless the Laws of the Recipient Country mandatorily require the adjustment of the Contract Price upon the occurrence of price fluctuations, the right to adjust the Contract Price for price fluctuations should be excluded. Consider using one of the</x:v>
      </x:c>
      <x:c r="J126" s="43" t="str">
        <x:v>자동추출·검토필요</x:v>
      </x:c>
    </x:row>
    <x:row r="127">
      <x:c r="A127" s="43" t="str">
        <x:v>L2024-00039-1</x:v>
      </x:c>
      <x:c r="B127" s="43" t="str">
        <x:v>공사비</x:v>
      </x:c>
      <x:c r="C127" s="46" t="str">
        <x:v>contract price</x:v>
      </x:c>
      <x:c r="D127" s="46" t="str"/>
      <x:c r="E127" s="46" t="str">
        <x:v>USD 1,300,000</x:v>
      </x:c>
      <x:c r="F127" s="46" t="str"/>
      <x:c r="G127" s="46" t="str">
        <x:v>L2024-00039-1/붙임3. Bidding Documents_20240702/Section 8 - Special Conditions of Contract_20240503.docx</x:v>
      </x:c>
      <x:c r="H127" s="43" t="str">
        <x:v>문단 365</x:v>
      </x:c>
      <x:c r="I127" s="46" t="str">
        <x:v>The Contract Price is the lump sum price of [Insert Contract Price in figures and words (e.g. USD 1,300,000 (one million three hundred thousand US Dollars)].</x:v>
      </x:c>
      <x:c r="J127" s="43" t="str">
        <x:v>자동추출·검토필요</x:v>
      </x:c>
    </x:row>
    <x:row r="128">
      <x:c r="A128" s="43" t="str">
        <x:v>L2024-00039-1</x:v>
      </x:c>
      <x:c r="B128" s="43" t="str">
        <x:v>공사비</x:v>
      </x:c>
      <x:c r="C128" s="46" t="str">
        <x:v>contract price</x:v>
      </x:c>
      <x:c r="D128" s="46" t="str"/>
      <x:c r="E128" s="46" t="str">
        <x:v>USD 1,300,000</x:v>
      </x:c>
      <x:c r="F128" s="46" t="str"/>
      <x:c r="G128" s="46" t="str">
        <x:v>L2024-00039-1/붙임3. 입찰서류 및 계약서류(안)_재공고(20240701)/Section 8 - Special Conditions of Contract_20240503.docx</x:v>
      </x:c>
      <x:c r="H128" s="43" t="str">
        <x:v>문단 365</x:v>
      </x:c>
      <x:c r="I128" s="46" t="str">
        <x:v>The Contract Price is the lump sum price of [Insert Contract Price in figures and words (e.g. USD 1,300,000 (one million three hundred thousand US Dollars)].</x:v>
      </x:c>
      <x:c r="J128" s="43" t="str">
        <x:v>자동추출·검토필요</x:v>
      </x:c>
    </x:row>
    <x:row r="129">
      <x:c r="A129" s="43" t="str">
        <x:v>L2024-00024-1</x:v>
      </x:c>
      <x:c r="B129" s="43" t="str">
        <x:v>공사비</x:v>
      </x:c>
      <x:c r="C129" s="46" t="str">
        <x:v>boq</x:v>
      </x:c>
      <x:c r="D129" s="46" t="str"/>
      <x:c r="E129" s="46" t="str">
        <x:v>USD 65,000 | USD 52,000 | USD 13,000</x:v>
      </x:c>
      <x:c r="F129" s="46" t="str"/>
      <x:c r="G129" s="46" t="str">
        <x:v>L2024-00024-1/★Section 2 - Bid Data Sheet (BDS).pdf</x:v>
      </x:c>
      <x:c r="H129" s="43" t="str">
        <x:v>페이지 5</x:v>
      </x:c>
      <x:c r="I129" s="46" t="str">
        <x:v>② Basic Drawing (Architecture, Electrical, mechanical, Civil, Communication, Fire Fighting &amp; etc) ③ Drawing for Construction (Architecture, Electrical, mechanical, Civil, Communication, Fire Fighting &amp; etc) ④ Structure , Mechanical &amp; Electrical calculation Sheet ⑤ Specification ⑥ Priced BOQ ⑦ Prospective Drawing ⑧ Documents for building permit from the authority Supervision of the construction work ⑨ Support for selecting the construction company: Bidding documents, etc. ⑩ Construction supervisor on-site (architecture and related fields) placed 1 or more and 2 or more not on-site in the mechanical and electrical field (obligation to report weekly and monthly) ⑪ On-site supervisors must submit daily supervision reports, weekly and monthly reports, and submit technical review opinions related to the field  Design period: 120 days from the contract date (Including public holidays) 1) Basic Drawing 30 days (including the review) : B/D review and Negotiation completed with PMC : 10day ․ Duration 2) Construction Drawing 50 days (including the review) : C/D review and Negotiation completed with PMC : 10day 3)Government construction permit and final delivery : 40 day.  Construction super</x:v>
      </x:c>
      <x:c r="J129" s="43" t="str">
        <x:v>자동추출·검토필요</x:v>
      </x:c>
    </x:row>
    <x:row r="130">
      <x:c r="A130" s="43" t="str">
        <x:v>L2024-00021-1</x:v>
      </x:c>
      <x:c r="B130" s="43" t="str">
        <x:v>공사비</x:v>
      </x:c>
      <x:c r="C130" s="46" t="str">
        <x:v>contract price</x:v>
      </x:c>
      <x:c r="D130" s="46" t="str"/>
      <x:c r="E130" s="46" t="str">
        <x:v>MNT 95,607,360 | MNT 38,443,360 | MNT 57,164,000</x:v>
      </x:c>
      <x:c r="F130" s="46" t="str"/>
      <x:c r="G130" s="46" t="str">
        <x:v>L2024-00021-1/첨부2-1#1,2_Contract_2024 2.21.doc</x:v>
      </x:c>
      <x:c r="H130" s="43" t="str">
        <x:v>문단 32</x:v>
      </x:c>
      <x:c r="I130" s="46" t="str">
        <x:v>The maximum amount payable by the Employer to the Contractor for services provided in accordance with the Annex shall be MNT95,607,360(Ninety five million six hundred seven thousand three hundred sixty), these are MNT38,443,360(Thirty eight million four hundred fourty three thousand three hundred sixty) for package-1, and MNT57,164,000(Fifty seven million one hundred sixty four thousand) for package-2. This includes all costs and profits excluding Contractor’s VAT, along with any applicable taxes and fees. The contract price does not incorporate VAT.</x:v>
      </x:c>
      <x:c r="J130" s="43" t="str">
        <x:v>자동추출·검토필요</x:v>
      </x:c>
    </x:row>
    <x:row r="131">
      <x:c r="A131" s="43" t="str">
        <x:v>L2024-00021-1</x:v>
      </x:c>
      <x:c r="B131" s="43" t="str">
        <x:v>공사비</x:v>
      </x:c>
      <x:c r="C131" s="46" t="str">
        <x:v>contract price</x:v>
      </x:c>
      <x:c r="D131" s="46" t="str"/>
      <x:c r="E131" s="46" t="str">
        <x:v>MNT 108,000,000 | MNT 59,500,000 | MNT 48,500,000</x:v>
      </x:c>
      <x:c r="F131" s="46" t="str"/>
      <x:c r="G131" s="46" t="str">
        <x:v>L2024-00021-1/첨부2-2#3,4_Contract_2024 2.21.doc</x:v>
      </x:c>
      <x:c r="H131" s="43" t="str">
        <x:v>문단 32</x:v>
      </x:c>
      <x:c r="I131" s="46" t="str">
        <x:v>The maximum amount payable by the Employer to the Contractor for services provided in accordance with the Annex shall be MNT108,000,000(One hundred eight million), these are MNT59,500,000(Fifty nine million five hundred thousand) for package-3, and MNT48,500,000(Fourty eight million five hundred thousand) for package-4. This includes all costs and profits excluding Contractor’s VAT, along with any applicable taxes and fees. The contract price does not incorporate VAT.</x:v>
      </x:c>
      <x:c r="J131" s="43" t="str">
        <x:v>자동추출·검토필요</x:v>
      </x:c>
    </x:row>
    <x:row r="132">
      <x:c r="A132" s="43" t="str">
        <x:v>L2024-00018-1</x:v>
      </x:c>
      <x:c r="B132" s="43" t="str">
        <x:v>공사비</x:v>
      </x:c>
      <x:c r="C132" s="46" t="str">
        <x:v>contract amount</x:v>
      </x:c>
      <x:c r="D132" s="46" t="str"/>
      <x:c r="E132" s="46" t="str">
        <x:v>6. Pen</x:v>
      </x:c>
      <x:c r="F132" s="46" t="str"/>
      <x:c r="G132" s="46" t="str">
        <x:v>L2024-00018-1/붙임2. 현지 감리업체 선정 입찰 계획서 영문 및 붙임문서/Attachments/Attachment 1. KOICA Detailed Enforcement Rules of the Regulations for Procurement and Contract in Grant Aid Projects_20190503.pdf</x:v>
      </x:c>
      <x:c r="H132" s="43" t="str">
        <x:v>페이지 44</x:v>
      </x:c>
      <x:c r="I132" s="46" t="str">
        <x:v>Article 48 (Preparing and Signing Contracts) (1) When signing a contract, the head of the procurement department shall prepare a contract clearly stating the following items. However, in cases falling under Article 49 of the Enforcement Decree of the Act on Contracts to Which the State is a Party, the contract need not be prepared: 1. Purpose of the contract; 2. Contract amount; 3. Implementation period; 4. Contract bond; 5. Risk burden; 6. Penalty for delay; 7. Other necessary matters. (2) When a contract is drafted pursuant to Paragraph (1), the contract shall be finalized by the head of the procurement department and the counterparty shall write his/her/its name, imprint seal, or sign the contract. (3) Where signing a contract with a foreigner, if other special grounds exist, the signature of the head of the procurement department may be in lieu thereof. (4) When the head of the procurement department determines the counterparty, he/she shall sign a contract based upon each standard contract within 10 days of the date of the successful tender or contract notification. (5) The head of the procurement department may sign a contract by specifying the special contract terms necessar</x:v>
      </x:c>
      <x:c r="J132" s="43" t="str">
        <x:v>자동추출·검토필요</x:v>
      </x:c>
    </x:row>
    <x:row r="133">
      <x:c r="A133" s="43" t="str">
        <x:v>L2024-00018-1</x:v>
      </x:c>
      <x:c r="B133" s="43" t="str">
        <x:v>공사비</x:v>
      </x:c>
      <x:c r="C133" s="46" t="str">
        <x:v>contract amount</x:v>
      </x:c>
      <x:c r="D133" s="46" t="str"/>
      <x:c r="E133" s="46" t="str">
        <x:v>KRW 50 million</x:v>
      </x:c>
      <x:c r="F133" s="46" t="str"/>
      <x:c r="G133" s="46" t="str">
        <x:v>L2024-00018-1/붙임2. 현지 감리업체 선정 입찰 계획서 영문 및 붙임문서/Attachments/Attachment 1. KOICA Detailed Enforcement Rules of the Regulations for Procurement and Contract in Grant Aid Projects_20190503.pdf</x:v>
      </x:c>
      <x:c r="H133" s="43" t="str">
        <x:v>페이지 46</x:v>
      </x:c>
      <x:c r="I133" s="46" t="str">
        <x:v>bond shall be exempted in any of the following circumstances. In such cases, the Payment Guarantee Confirmation Memorandum of Contract Bond (Form 14) shall be submitted when a ground arises for the contract bond to escheat: &lt;Amended on Jun. 3, 2009, Feb. 18, 2016&gt; 1. When a contract is signed with a person falling under Article 26 (2) 1 or 4 and 6; &lt;Amended on Oct. 8, 2008, Jul. 20, 2017&gt; 2. Where signing a contract with a contract amount of up to KRW 50 million; &lt;Amended on Jul. 20, 2017&gt; 3. Where the collection of contract bonds is not appropriate considering the customs effecting the contract that are generally recognized as fair and reasonable. 4. When purchasing parts of foreign-funded facilities, machinery, and equipment that have already been introduced, and it is impracticable to purchase the parts unless the supplier is involved. &lt;Newly Inserted on Jul. 20, 2017&gt; (3) If the counterparty requests that the contract bond paid in securities or cash pursuant to Article 192 of the Enforcement Decree of the Financial Investment Services and Capital Markets Act is in lieu of a certificate of guaranty stipulated in Article 37 (2) 1 to 5 of the Enforcement Decree of the Act on Contr</x:v>
      </x:c>
      <x:c r="J133" s="43" t="str">
        <x:v>자동추출·검토필요</x:v>
      </x:c>
    </x:row>
    <x:row r="134">
      <x:c r="A134" s="43" t="str">
        <x:v>L2024-00018-1</x:v>
      </x:c>
      <x:c r="B134" s="43" t="str">
        <x:v>공사비</x:v>
      </x:c>
      <x:c r="C134" s="46" t="str">
        <x:v>contract amount</x:v>
      </x:c>
      <x:c r="D134" s="46" t="str"/>
      <x:c r="E134" s="46" t="str">
        <x:v>KRW 30 million</x:v>
      </x:c>
      <x:c r="F134" s="46" t="str"/>
      <x:c r="G134" s="46" t="str">
        <x:v>L2024-00018-1/붙임2. 현지 감리업체 선정 입찰 계획서 영문 및 붙임문서/Attachments/Attachment 1. KOICA Detailed Enforcement Rules of the Regulations for Procurement and Contract in Grant Aid Projects_20190503.pdf</x:v>
      </x:c>
      <x:c r="H134" s="43" t="str">
        <x:v>페이지 48</x:v>
      </x:c>
      <x:c r="I134" s="46" t="str">
        <x:v>(1) Where possible to omit a contract pursuant to Article 49 of the Enforcement Decree of the Act on Contracts to Which the State is a Party shall be as follows: &lt;Amended on Jul. 20, 2017&gt; 1. Where signing a contract with a contract amount not exceeding KRW 30 million; &lt;Amended on Jul. 20, 2017&gt; 2. Where signing a contract with the state or a local government; &lt;Amended on Jul. 20, 2017&gt; 3. Deleted. &lt;Jul. 20, 2017&gt; (2) Where omitting a contract, documents that can evidence establishment of the contract, such as invoices, memorandums, agreements, and acceptance, shall be submitted by the counterparty and retained. Article 55 (Indicating Donation Text and Shipping Mark) (1) The heads of the procurement and business department shall have the contractor of supplying goods affix a donation phrase on commodities and a shipping mark and mark “warning”, “danger”, or “safety” on the packaging box. &lt;Amended on Feb. 18, 2016&gt; (2) The donation phrase and shipping mark shall be as prescribed in Form 16. Article 56 (Inspections) (1) Pursuant to Article 35 of the Regulations and Article 14 of the Act on Contracts to Which the State is a Party, the head of the procurement department and the busines</x:v>
      </x:c>
      <x:c r="J134" s="43" t="str">
        <x:v>자동추출·검토필요</x:v>
      </x:c>
    </x:row>
    <x:row r="135">
      <x:c r="A135" s="43" t="str">
        <x:v>L2024-00018-1</x:v>
      </x:c>
      <x:c r="B135" s="43" t="str">
        <x:v>공사비</x:v>
      </x:c>
      <x:c r="C135" s="46" t="str">
        <x:v>contract amount</x:v>
      </x:c>
      <x:c r="D135" s="46" t="str"/>
      <x:c r="E135" s="46" t="str">
        <x:v>KRW 420 billion</x:v>
      </x:c>
      <x:c r="F135" s="46" t="str"/>
      <x:c r="G135" s="46" t="str">
        <x:v>L2024-00018-1/붙임2. 현지 감리업체 선정 입찰 계획서 영문 및 붙임문서/Attachments/Attachment 1. KOICA Detailed Enforcement Rules of the Regulations for Procurement and Contract in Grant Aid Projects_20190503.pdf</x:v>
      </x:c>
      <x:c r="H135" s="43" t="str">
        <x:v>페이지 61</x:v>
      </x:c>
      <x:c r="I135"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135" s="43" t="str">
        <x:v>자동추출·검토필요</x:v>
      </x:c>
    </x:row>
    <x:row r="136">
      <x:c r="A136" s="43" t="str">
        <x:v>L2024-00018-1</x:v>
      </x:c>
      <x:c r="B136" s="43" t="str">
        <x:v>공사비</x:v>
      </x:c>
      <x:c r="C136" s="46" t="str">
        <x:v>contract amount</x:v>
      </x:c>
      <x:c r="D136" s="46" t="str"/>
      <x:c r="E136" s="46" t="str">
        <x:v>KRW 30 million</x:v>
      </x:c>
      <x:c r="F136" s="46" t="str"/>
      <x:c r="G136" s="46" t="str">
        <x:v>L2024-00018-1/붙임2. 현지 감리업체 선정 입찰 계획서 영문 및 붙임문서/Attachments/Attachment 3. KOICA Regulations for Procurement and Contract in Grant Aid Projects_20190520.pdf</x:v>
      </x:c>
      <x:c r="H136" s="43" t="str">
        <x:v>페이지 26</x:v>
      </x:c>
      <x:c r="I136" s="46" t="str">
        <x:v>not exceed KRW 30 million. &lt;Amended on May 20, 2019&gt; (2) Warranty bond shall be paid at a rate of between 2/100 and 10/100 of the contract amount to guarantee repair of defects and the bond shall be kept for the warranty period under the provisions of Paragraph (1). Article 31-2 (Liquidated Damages) (1) When signing contracts for construction works and services that require liquidated damages, it is mandatory to purchase indemnity insurance and join a mutual aid association. &lt;Amended on Dec. 30, 2016&gt; (2) Details related to the calculation of insurance costs shall be determined separately. &lt;Amended on Dec. 30, 2016&gt; [This Article Newly Inserted on Nov. 2, 2015] Article 32 (Payment and Settlement of Service Cost) (1) Technical service fees shall be paid in installments or lump-sum according to the terms and conditions of the contract and the counterparty's request. &lt;Amended on Nov. 2, 2015, Dec. 30, 2016&gt; (2) The counterparty shall return the balance after settlement of the service fee is confirmed and the details shall be determined separately. &lt;Amended on Nov. 2, 2015, Dec. 30, 2016&gt; Article 33 (Performing Integrity Agreements) (1) KOICA shall require a tenderer or counterparty to</x:v>
      </x:c>
      <x:c r="J136" s="43" t="str">
        <x:v>자동추출·검토필요</x:v>
      </x:c>
    </x:row>
    <x:row r="137">
      <x:c r="A137" s="43" t="str">
        <x:v>L2024-00017-1</x:v>
      </x:c>
      <x:c r="B137" s="43" t="str">
        <x:v>공사비</x:v>
      </x:c>
      <x:c r="C137" s="46" t="str">
        <x:v>contract amount</x:v>
      </x:c>
      <x:c r="D137" s="46" t="str"/>
      <x:c r="E137" s="46" t="str">
        <x:v>6. Pen</x:v>
      </x:c>
      <x:c r="F137" s="46" t="str"/>
      <x:c r="G137" s="46" t="str">
        <x:v>L2024-00017-1/붙임2. 파라과이 ICT 혁신센터 시공사 선정 입찰계획서(영문) 및 관련 양식/Attachments/Attachment 1. KOICA Detailed Enforcement Rules of the Regulations for Procurement and Contract in Grant Aid Projects.pdf</x:v>
      </x:c>
      <x:c r="H137" s="43" t="str">
        <x:v>페이지 44</x:v>
      </x:c>
      <x:c r="I137" s="46" t="str">
        <x:v>Article 48 (Preparing and Signing Contracts) (1) When signing a contract, the head of the procurement department shall prepare a contract clearly stating the following items. However, in cases falling under Article 49 of the Enforcement Decree of the Act on Contracts to Which the State is a Party, the contract need not be prepared: 1. Purpose of the contract; 2. Contract amount; 3. Implementation period; 4. Contract bond; 5. Risk burden; 6. Penalty for delay; 7. Other necessary matters. (2) When a contract is drafted pursuant to Paragraph (1), the contract shall be finalized by the head of the procurement department and the counterparty shall write his/her/its name, imprint seal, or sign the contract. (3) Where signing a contract with a foreigner, if other special grounds exist, the signature of the head of the procurement department may be in lieu thereof. (4) When the head of the procurement department determines the counterparty, he/she shall sign a contract based upon each standard contract within 10 days of the date of the successful tender or contract notification. (5) The head of the procurement department may sign a contract by specifying the special contract terms necessar</x:v>
      </x:c>
      <x:c r="J137" s="43" t="str">
        <x:v>자동추출·검토필요</x:v>
      </x:c>
    </x:row>
    <x:row r="138">
      <x:c r="A138" s="43" t="str">
        <x:v>L2024-00017-1</x:v>
      </x:c>
      <x:c r="B138" s="43" t="str">
        <x:v>공사비</x:v>
      </x:c>
      <x:c r="C138" s="46" t="str">
        <x:v>contract amount</x:v>
      </x:c>
      <x:c r="D138" s="46" t="str"/>
      <x:c r="E138" s="46" t="str">
        <x:v>KRW 50 million</x:v>
      </x:c>
      <x:c r="F138" s="46" t="str"/>
      <x:c r="G138" s="46" t="str">
        <x:v>L2024-00017-1/붙임2. 파라과이 ICT 혁신센터 시공사 선정 입찰계획서(영문) 및 관련 양식/Attachments/Attachment 1. KOICA Detailed Enforcement Rules of the Regulations for Procurement and Contract in Grant Aid Projects.pdf</x:v>
      </x:c>
      <x:c r="H138" s="43" t="str">
        <x:v>페이지 46</x:v>
      </x:c>
      <x:c r="I138" s="46" t="str">
        <x:v>bond shall be exempted in any of the following circumstances. In such cases, the Payment Guarantee Confirmation Memorandum of Contract Bond (Form 14) shall be submitted when a ground arises for the contract bond to escheat: &lt;Amended on Jun. 3, 2009, Feb. 18, 2016&gt; 1. When a contract is signed with a person falling under Article 26 (2) 1 or 4 and 6; &lt;Amended on Oct. 8, 2008, Jul. 20, 2017&gt; 2. Where signing a contract with a contract amount of up to KRW 50 million; &lt;Amended on Jul. 20, 2017&gt; 3. Where the collection of contract bonds is not appropriate considering the customs effecting the contract that are generally recognized as fair and reasonable. 4. When purchasing parts of foreign-funded facilities, machinery, and equipment that have already been introduced, and it is impracticable to purchase the parts unless the supplier is involved. &lt;Newly Inserted on Jul. 20, 2017&gt; (3) If the counterparty requests that the contract bond paid in securities or cash pursuant to Article 192 of the Enforcement Decree of the Financial Investment Services and Capital Markets Act is in lieu of a certificate of guaranty stipulated in Article 37 (2) 1 to 5 of the Enforcement Decree of the Act on Contr</x:v>
      </x:c>
      <x:c r="J138" s="43" t="str">
        <x:v>자동추출·검토필요</x:v>
      </x:c>
    </x:row>
    <x:row r="139">
      <x:c r="A139" s="43" t="str">
        <x:v>L2024-00017-1</x:v>
      </x:c>
      <x:c r="B139" s="43" t="str">
        <x:v>공사비</x:v>
      </x:c>
      <x:c r="C139" s="46" t="str">
        <x:v>contract amount</x:v>
      </x:c>
      <x:c r="D139" s="46" t="str"/>
      <x:c r="E139" s="46" t="str">
        <x:v>KRW 30 million</x:v>
      </x:c>
      <x:c r="F139" s="46" t="str"/>
      <x:c r="G139" s="46" t="str">
        <x:v>L2024-00017-1/붙임2. 파라과이 ICT 혁신센터 시공사 선정 입찰계획서(영문) 및 관련 양식/Attachments/Attachment 1. KOICA Detailed Enforcement Rules of the Regulations for Procurement and Contract in Grant Aid Projects.pdf</x:v>
      </x:c>
      <x:c r="H139" s="43" t="str">
        <x:v>페이지 48</x:v>
      </x:c>
      <x:c r="I139" s="46" t="str">
        <x:v>(1) Where possible to omit a contract pursuant to Article 49 of the Enforcement Decree of the Act on Contracts to Which the State is a Party shall be as follows: &lt;Amended on Jul. 20, 2017&gt; 1. Where signing a contract with a contract amount not exceeding KRW 30 million; &lt;Amended on Jul. 20, 2017&gt; 2. Where signing a contract with the state or a local government; &lt;Amended on Jul. 20, 2017&gt; 3. Deleted. &lt;Jul. 20, 2017&gt; (2) Where omitting a contract, documents that can evidence establishment of the contract, such as invoices, memorandums, agreements, and acceptance, shall be submitted by the counterparty and retained. Article 55 (Indicating Donation Text and Shipping Mark) (1) The heads of the procurement and business department shall have the contractor of supplying goods affix a donation phrase on commodities and a shipping mark and mark “warning”, “danger”, or “safety” on the packaging box. &lt;Amended on Feb. 18, 2016&gt; (2) The donation phrase and shipping mark shall be as prescribed in Form 16. Article 56 (Inspections) (1) Pursuant to Article 35 of the Regulations and Article 14 of the Act on Contracts to Which the State is a Party, the head of the procurement department and the busines</x:v>
      </x:c>
      <x:c r="J139" s="43" t="str">
        <x:v>자동추출·검토필요</x:v>
      </x:c>
    </x:row>
    <x:row r="140">
      <x:c r="A140" s="43" t="str">
        <x:v>L2024-00017-1</x:v>
      </x:c>
      <x:c r="B140" s="43" t="str">
        <x:v>공사비</x:v>
      </x:c>
      <x:c r="C140" s="46" t="str">
        <x:v>contract amount</x:v>
      </x:c>
      <x:c r="D140" s="46" t="str"/>
      <x:c r="E140" s="46" t="str">
        <x:v>KRW 420 billion</x:v>
      </x:c>
      <x:c r="F140" s="46" t="str"/>
      <x:c r="G140" s="46" t="str">
        <x:v>L2024-00017-1/붙임2. 파라과이 ICT 혁신센터 시공사 선정 입찰계획서(영문) 및 관련 양식/Attachments/Attachment 1. KOICA Detailed Enforcement Rules of the Regulations for Procurement and Contract in Grant Aid Projects.pdf</x:v>
      </x:c>
      <x:c r="H140" s="43" t="str">
        <x:v>페이지 61</x:v>
      </x:c>
      <x:c r="I140"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140" s="43" t="str">
        <x:v>자동추출·검토필요</x:v>
      </x:c>
    </x:row>
    <x:row r="141">
      <x:c r="A141" s="43" t="str">
        <x:v>L2024-00017-1</x:v>
      </x:c>
      <x:c r="B141" s="43" t="str">
        <x:v>공사비</x:v>
      </x:c>
      <x:c r="C141" s="46" t="str">
        <x:v>contract amount</x:v>
      </x:c>
      <x:c r="D141" s="46" t="str"/>
      <x:c r="E141" s="46" t="str">
        <x:v>KRW 30 million</x:v>
      </x:c>
      <x:c r="F141" s="46" t="str"/>
      <x:c r="G141" s="46" t="str">
        <x:v>L2024-00017-1/붙임2. 파라과이 ICT 혁신센터 시공사 선정 입찰계획서(영문) 및 관련 양식/Attachments/Attachment 3. KOICA Regulations for Procurement and Contract in Grant Aid Projects.pdf</x:v>
      </x:c>
      <x:c r="H141" s="43" t="str">
        <x:v>페이지 26</x:v>
      </x:c>
      <x:c r="I141" s="46" t="str">
        <x:v>not exceed KRW 30 million. &lt;Amended on May 20, 2019&gt; (2) Warranty bond shall be paid at a rate of between 2/100 and 10/100 of the contract amount to guarantee repair of defects and the bond shall be kept for the warranty period under the provisions of Paragraph (1). Article 31-2 (Liquidated Damages) (1) When signing contracts for construction works and services that require liquidated damages, it is mandatory to purchase indemnity insurance and join a mutual aid association. &lt;Amended on Dec. 30, 2016&gt; (2) Details related to the calculation of insurance costs shall be determined separately. &lt;Amended on Dec. 30, 2016&gt; [This Article Newly Inserted on Nov. 2, 2015] Article 32 (Payment and Settlement of Service Cost) (1) Technical service fees shall be paid in installments or lump-sum according to the terms and conditions of the contract and the counterparty's request. &lt;Amended on Nov. 2, 2015, Dec. 30, 2016&gt; (2) The counterparty shall return the balance after settlement of the service fee is confirmed and the details shall be determined separately. &lt;Amended on Nov. 2, 2015, Dec. 30, 2016&gt; Article 33 (Performing Integrity Agreements) (1) KOICA shall require a tenderer or counterparty to</x:v>
      </x:c>
      <x:c r="J141" s="43" t="str">
        <x:v>자동추출·검토필요</x:v>
      </x:c>
    </x:row>
    <x:row r="142">
      <x:c r="A142" s="43" t="str">
        <x:v>L2023-00075-1</x:v>
      </x:c>
      <x:c r="B142" s="43" t="str">
        <x:v>공사비</x:v>
      </x:c>
      <x:c r="C142" s="46" t="str">
        <x:v>contract amount</x:v>
      </x:c>
      <x:c r="D142" s="46" t="str"/>
      <x:c r="E142" s="46" t="str">
        <x:v>0,000,000,000 MNT</x:v>
      </x:c>
      <x:c r="F142" s="46" t="str"/>
      <x:c r="G142" s="46" t="str">
        <x:v>L2023-00075-1/첨부1 RTCC 시공 3자계약서 (2023.12.18)_Rev1.docx</x:v>
      </x:c>
      <x:c r="H142" s="43" t="str">
        <x:v>문단 10</x:v>
      </x:c>
      <x:c r="I142" s="46" t="str">
        <x:v>2. The Employer hereby agrees to accept the bid forwarded by the Contractor to carry out of “New building construction for the Railway Traffic Control Center” (hereinafter referred to as the “Work”) for a cost in the amount of 0,000,000,000 MNT (hereinafter referred to as the “Contract Amount”). The Contract cost shall constitute the total financing including safety management cost.</x:v>
      </x:c>
      <x:c r="J142" s="43" t="str">
        <x:v>자동추출·검토필요</x:v>
      </x:c>
    </x:row>
    <x:row r="143">
      <x:c r="A143" s="43" t="str">
        <x:v>L2023-00075-1</x:v>
      </x:c>
      <x:c r="B143" s="43" t="str">
        <x:v>공사비</x:v>
      </x:c>
      <x:c r="C143" s="46" t="str">
        <x:v>contract amount</x:v>
      </x:c>
      <x:c r="D143" s="46" t="str"/>
      <x:c r="E143" s="46" t="str">
        <x:v>0,000,000,000 MNT</x:v>
      </x:c>
      <x:c r="F143" s="46" t="str"/>
      <x:c r="G143" s="46" t="str">
        <x:v>L2023-00075-1/첨부1 RTCC 시공 3자계약서 (2023.12.18)_Rev1.docx</x:v>
      </x:c>
      <x:c r="H143" s="43" t="str">
        <x:v>문단 12</x:v>
      </x:c>
      <x:c r="I143" s="46" t="str">
        <x:v>3. The total Contract Amount is 0,000,000,000 MNT exclude the VAT. The contract amount will be transferred to OOOOOO Bank account number OOOOOOOOO of the contractor ‘OOOOOOOO’ LLC.</x:v>
      </x:c>
      <x:c r="J143" s="43" t="str">
        <x:v>자동추출·검토필요</x:v>
      </x:c>
    </x:row>
    <x:row r="144">
      <x:c r="A144" s="43" t="str">
        <x:v>L2023-00071-1</x:v>
      </x:c>
      <x:c r="B144" s="43" t="str">
        <x:v>공사비</x:v>
      </x:c>
      <x:c r="C144" s="46" t="str">
        <x:v>contract amount</x:v>
      </x:c>
      <x:c r="D144" s="46" t="str"/>
      <x:c r="E144" s="46" t="str">
        <x:v>USD 80,000</x:v>
      </x:c>
      <x:c r="F144" s="46" t="str"/>
      <x:c r="G144" s="46" t="str">
        <x:v>L2023-00071-1/붙임 2. Bid Announcement_입찰공고문(영문)_Final.docx</x:v>
      </x:c>
      <x:c r="H144" s="43" t="str">
        <x:v>문단 46</x:v>
      </x:c>
      <x:c r="I144" s="46" t="str">
        <x:v>More than USD80,000 contract amount of one (1) completed similar project in terms of Design or Construction Supervision, which has been successfully completed during previous 5 years (19 Dec, 2018 ~ 20 Dec, 2023)</x:v>
      </x:c>
      <x:c r="J144" s="43" t="str">
        <x:v>자동추출·검토필요</x:v>
      </x:c>
    </x:row>
    <x:row r="145">
      <x:c r="A145" s="43" t="str">
        <x:v>L2023-00071-1</x:v>
      </x:c>
      <x:c r="B145" s="43" t="str">
        <x:v>공사비</x:v>
      </x:c>
      <x:c r="C145" s="46" t="str">
        <x:v>contract amount</x:v>
      </x:c>
      <x:c r="D145" s="46" t="str"/>
      <x:c r="E145" s="46" t="str">
        <x:v>USD 80,000</x:v>
      </x:c>
      <x:c r="F145" s="46" t="str"/>
      <x:c r="G145" s="46" t="str">
        <x:v>L2023-00071-1/붙임 3. 기타 입찰서류/(║┘└╙2) Invitation to Bid_├╩├╗└σ(┐╡╣«)_final.docx</x:v>
      </x:c>
      <x:c r="H145" s="43" t="str">
        <x:v>문단 94</x:v>
      </x:c>
      <x:c r="I145" s="46" t="str">
        <x:v>More than USD80,000 contract amount of one (1) completed similar project in terms of Design or Construction Supervision, respectively, which has been successfully completed during previous 5 years (28 Nov, 2018 ~ 27 Nov, 2023)</x:v>
      </x:c>
      <x:c r="J145" s="43" t="str">
        <x:v>자동추출·검토필요</x:v>
      </x:c>
    </x:row>
    <x:row r="146">
      <x:c r="A146" s="43" t="str">
        <x:v>L2023-00071-1</x:v>
      </x:c>
      <x:c r="B146" s="43" t="str">
        <x:v>공사비</x:v>
      </x:c>
      <x:c r="C146" s="46" t="str">
        <x:v>contract amount</x:v>
      </x:c>
      <x:c r="D146" s="46" t="str"/>
      <x:c r="E146" s="46" t="str">
        <x:v>USD 80,000</x:v>
      </x:c>
      <x:c r="F146" s="46" t="str"/>
      <x:c r="G146" s="46" t="str">
        <x:v>L2023-00071-1/붙임 3. 기타 입찰서류/[Section 2] Request for Proposal(RFP)_┴ª╛╚┐Σ├╗╝¡(┐╡╣«)_Finalv2.docx</x:v>
      </x:c>
      <x:c r="H146" s="43" t="str">
        <x:v>문단 111</x:v>
      </x:c>
      <x:c r="I146" s="46" t="str">
        <x:v>More than USD80,000 contract amount of one (1) completed similar project in terms of Design or Construction Supervision, which has been successfully completed during previous 5 years (19 Dec, 2018 ~ 20 Dec, 2023)</x:v>
      </x:c>
      <x:c r="J146" s="43" t="str">
        <x:v>자동추출·검토필요</x:v>
      </x:c>
    </x:row>
    <x:row r="147">
      <x:c r="A147" s="43" t="str">
        <x:v>L2023-00071-1</x:v>
      </x:c>
      <x:c r="B147" s="43" t="str">
        <x:v>공사비</x:v>
      </x:c>
      <x:c r="C147" s="46" t="str">
        <x:v>contract price</x:v>
      </x:c>
      <x:c r="D147" s="46" t="str"/>
      <x:c r="E147" s="46" t="str">
        <x:v>USD 000,000</x:v>
      </x:c>
      <x:c r="F147" s="46" t="str"/>
      <x:c r="G147" s="46" t="str">
        <x:v>L2023-00071-1/붙임 3. 기타 입찰서류/[Section 7] Contract Agreement_░Φ╛α╝¡(┐╡╣«)_Final.docx</x:v>
      </x:c>
      <x:c r="H147" s="43" t="str">
        <x:v>문단 64</x:v>
      </x:c>
      <x:c r="I147" s="46" t="str">
        <x:v>For the Total Contract Price of in word U.S. Dollars (USD 000,000)</x:v>
      </x:c>
      <x:c r="J147" s="43" t="str">
        <x:v>자동추출·검토필요</x:v>
      </x:c>
    </x:row>
    <x:row r="148">
      <x:c r="A148" s="43" t="str">
        <x:v>L2023-00070-2</x:v>
      </x:c>
      <x:c r="B148" s="43" t="str">
        <x:v>공사비</x:v>
      </x:c>
      <x:c r="C148" s="46" t="str">
        <x:v>contract amount</x:v>
      </x:c>
      <x:c r="D148" s="46" t="str"/>
      <x:c r="E148" s="46" t="str">
        <x:v>6. Pen</x:v>
      </x:c>
      <x:c r="F148" s="46" t="str"/>
      <x:c r="G148" s="46" t="str">
        <x:v>L2023-00070-2/붙임4. (관련규정) KOICA Regulations/1. Detailed Enforcement Rules of the Regulations for Procurement and Contract in Grant Aid Projects.pdf</x:v>
      </x:c>
      <x:c r="H148" s="43" t="str">
        <x:v>페이지 44</x:v>
      </x:c>
      <x:c r="I148" s="46" t="str">
        <x:v>Article 48 (Preparing and Signing Contracts) (1) When signing a contract, the head of the procurement department shall prepare a contract clearly stating the following items. However, in cases falling under Article 49 of the Enforcement Decree of the Act on Contracts to Which the State is a Party, the contract need not be prepared: 1. Purpose of the contract; 2. Contract amount; 3. Implementation period; 4. Contract bond; 5. Risk burden; 6. Penalty for delay; 7. Other necessary matters. (2) When a contract is drafted pursuant to Paragraph (1), the contract shall be finalized by the head of the procurement department and the counterparty shall write his/her/its name, imprint seal, or sign the contract. (3) Where signing a contract with a foreigner, if other special grounds exist, the signature of the head of the procurement department may be in lieu thereof. (4) When the head of the procurement department determines the counterparty, he/she shall sign a contract based upon each standard contract within 10 days of the date of the successful tender or contract notification. (5) The head of the procurement department may sign a contract by specifying the special contract terms necessar</x:v>
      </x:c>
      <x:c r="J148" s="43" t="str">
        <x:v>자동추출·검토필요</x:v>
      </x:c>
    </x:row>
    <x:row r="149">
      <x:c r="A149" s="43" t="str">
        <x:v>L2023-00070-2</x:v>
      </x:c>
      <x:c r="B149" s="43" t="str">
        <x:v>공사비</x:v>
      </x:c>
      <x:c r="C149" s="46" t="str">
        <x:v>contract amount</x:v>
      </x:c>
      <x:c r="D149" s="46" t="str"/>
      <x:c r="E149" s="46" t="str">
        <x:v>KRW 50 million</x:v>
      </x:c>
      <x:c r="F149" s="46" t="str"/>
      <x:c r="G149" s="46" t="str">
        <x:v>L2023-00070-2/붙임4. (관련규정) KOICA Regulations/1. Detailed Enforcement Rules of the Regulations for Procurement and Contract in Grant Aid Projects.pdf</x:v>
      </x:c>
      <x:c r="H149" s="43" t="str">
        <x:v>페이지 46</x:v>
      </x:c>
      <x:c r="I149" s="46" t="str">
        <x:v>bond shall be exempted in any of the following circumstances. In such cases, the Payment Guarantee Confirmation Memorandum of Contract Bond (Form 14) shall be submitted when a ground arises for the contract bond to escheat: &lt;Amended on Jun. 3, 2009, Feb. 18, 2016&gt; 1. When a contract is signed with a person falling under Article 26 (2) 1 or 4 and 6; &lt;Amended on Oct. 8, 2008, Jul. 20, 2017&gt; 2. Where signing a contract with a contract amount of up to KRW 50 million; &lt;Amended on Jul. 20, 2017&gt; 3. Where the collection of contract bonds is not appropriate considering the customs effecting the contract that are generally recognized as fair and reasonable. 4. When purchasing parts of foreign-funded facilities, machinery, and equipment that have already been introduced, and it is impracticable to purchase the parts unless the supplier is involved. &lt;Newly Inserted on Jul. 20, 2017&gt; (3) If the counterparty requests that the contract bond paid in securities or cash pursuant to Article 192 of the Enforcement Decree of the Financial Investment Services and Capital Markets Act is in lieu of a certificate of guaranty stipulated in Article 37 (2) 1 to 5 of the Enforcement Decree of the Act on Contr</x:v>
      </x:c>
      <x:c r="J149" s="43" t="str">
        <x:v>자동추출·검토필요</x:v>
      </x:c>
    </x:row>
    <x:row r="150">
      <x:c r="A150" s="43" t="str">
        <x:v>L2023-00070-2</x:v>
      </x:c>
      <x:c r="B150" s="43" t="str">
        <x:v>공사비</x:v>
      </x:c>
      <x:c r="C150" s="46" t="str">
        <x:v>contract amount</x:v>
      </x:c>
      <x:c r="D150" s="46" t="str"/>
      <x:c r="E150" s="46" t="str">
        <x:v>KRW 30 million</x:v>
      </x:c>
      <x:c r="F150" s="46" t="str"/>
      <x:c r="G150" s="46" t="str">
        <x:v>L2023-00070-2/붙임4. (관련규정) KOICA Regulations/1. Detailed Enforcement Rules of the Regulations for Procurement and Contract in Grant Aid Projects.pdf</x:v>
      </x:c>
      <x:c r="H150" s="43" t="str">
        <x:v>페이지 48</x:v>
      </x:c>
      <x:c r="I150" s="46" t="str">
        <x:v>(1) Where possible to omit a contract pursuant to Article 49 of the Enforcement Decree of the Act on Contracts to Which the State is a Party shall be as follows: &lt;Amended on Jul. 20, 2017&gt; 1. Where signing a contract with a contract amount not exceeding KRW 30 million; &lt;Amended on Jul. 20, 2017&gt; 2. Where signing a contract with the state or a local government; &lt;Amended on Jul. 20, 2017&gt; 3. Deleted. &lt;Jul. 20, 2017&gt; (2) Where omitting a contract, documents that can evidence establishment of the contract, such as invoices, memorandums, agreements, and acceptance, shall be submitted by the counterparty and retained. Article 55 (Indicating Donation Text and Shipping Mark) (1) The heads of the procurement and business department shall have the contractor of supplying goods affix a donation phrase on commodities and a shipping mark and mark “warning”, “danger”, or “safety” on the packaging box. &lt;Amended on Feb. 18, 2016&gt; (2) The donation phrase and shipping mark shall be as prescribed in Form 16. Article 56 (Inspections) (1) Pursuant to Article 35 of the Regulations and Article 14 of the Act on Contracts to Which the State is a Party, the head of the procurement department and the busines</x:v>
      </x:c>
      <x:c r="J150" s="43" t="str">
        <x:v>자동추출·검토필요</x:v>
      </x:c>
    </x:row>
    <x:row r="151">
      <x:c r="A151" s="43" t="str">
        <x:v>L2023-00070-2</x:v>
      </x:c>
      <x:c r="B151" s="43" t="str">
        <x:v>공사비</x:v>
      </x:c>
      <x:c r="C151" s="46" t="str">
        <x:v>contract amount</x:v>
      </x:c>
      <x:c r="D151" s="46" t="str"/>
      <x:c r="E151" s="46" t="str">
        <x:v>KRW 420 billion</x:v>
      </x:c>
      <x:c r="F151" s="46" t="str"/>
      <x:c r="G151" s="46" t="str">
        <x:v>L2023-00070-2/붙임4. (관련규정) KOICA Regulations/1. Detailed Enforcement Rules of the Regulations for Procurement and Contract in Grant Aid Projects.pdf</x:v>
      </x:c>
      <x:c r="H151" s="43" t="str">
        <x:v>페이지 61</x:v>
      </x:c>
      <x:c r="I151"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151" s="43" t="str">
        <x:v>자동추출·검토필요</x:v>
      </x:c>
    </x:row>
    <x:row r="152">
      <x:c r="A152" s="43" t="str">
        <x:v>L2023-00070-2</x:v>
      </x:c>
      <x:c r="B152" s="43" t="str">
        <x:v>공사비</x:v>
      </x:c>
      <x:c r="C152" s="46" t="str">
        <x:v>contract amount</x:v>
      </x:c>
      <x:c r="D152" s="46" t="str"/>
      <x:c r="E152" s="46" t="str">
        <x:v>KRW 2 billion</x:v>
      </x:c>
      <x:c r="F152" s="46" t="str"/>
      <x:c r="G152" s="46" t="str">
        <x:v>L2023-00070-2/붙임4. (관련규정) KOICA Regulations/2. Guidelines for Technical Evaluation.pdf</x:v>
      </x:c>
      <x:c r="H152" s="43" t="str">
        <x:v>페이지 33</x:v>
      </x:c>
      <x:c r="I152"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52" s="43" t="str">
        <x:v>자동추출·검토필요</x:v>
      </x:c>
    </x:row>
    <x:row r="153">
      <x:c r="A153" s="43" t="str">
        <x:v>L2023-00070-2</x:v>
      </x:c>
      <x:c r="B153" s="43" t="str">
        <x:v>공사비</x:v>
      </x:c>
      <x:c r="C153" s="46" t="str">
        <x:v>contract amount</x:v>
      </x:c>
      <x:c r="D153" s="46" t="str"/>
      <x:c r="E153" s="46" t="str">
        <x:v>1 KRW | 2 KRW | 1 KRW | 2 KRW</x:v>
      </x:c>
      <x:c r="F153" s="46" t="str">
        <x:v>50%</x:v>
      </x:c>
      <x:c r="G153" s="46" t="str">
        <x:v>L2023-00070-2/붙임4. (관련규정) KOICA Regulations/2. Guidelines for Technical Evaluation.pdf</x:v>
      </x:c>
      <x:c r="H153" s="43" t="str">
        <x:v>페이지 63</x:v>
      </x:c>
      <x:c r="I153" s="46" t="str">
        <x:v>[Form 6-2] Software Project Subcontracting Plan (when signing a contract) &lt;Newly Inserted on Apr. 8, 2021&gt; Software Project Subcontracting Plan (when signing a contract) Project Name Contract Amount (C) KRW Period mm/dd/yy ∼ mm/dd/yy Contractor Business Name Representative (Representative of Corporate contracting Registration Location consortium) Number Plan to be subcontracted Ratio of Estimated Planned Subcontractor Subcontract Contract Subcontracting No. Contractor Subcontracting Name Name Period Amount to Amount (A) Contract Amount . . . ∼ . . 1 KRW % . . . . ∼ . . 2 KRW % . . . . ∼ . . Total KRW % . Plan to purchase goods directly Category Estimated Name of Manufacturer Proposed No. (HW, Facility, Quantity Purchase Goods (Developer) Purchase Date Commercial SW) Amount (B) 1 KRW 2 KRW Total KRW - If the contractor is a contracting consortium, specify the plan for subcontracting of the consortium members (including the representative). - Simple purchase of goods, installation services, new technology, or specialized technology included in subcontracting - Direct goods purchase plans are limited to items purchased directly by the contractor (contract partner) - Grounds for except</x:v>
      </x:c>
      <x:c r="J153" s="43" t="str">
        <x:v>자동추출·검토필요</x:v>
      </x:c>
    </x:row>
    <x:row r="154">
      <x:c r="A154" s="43" t="str">
        <x:v>L2023-00070-2</x:v>
      </x:c>
      <x:c r="B154" s="43" t="str">
        <x:v>공사비</x:v>
      </x:c>
      <x:c r="C154" s="46" t="str">
        <x:v>contract amount</x:v>
      </x:c>
      <x:c r="D154" s="46" t="str"/>
      <x:c r="E154" s="46" t="str">
        <x:v>KRW 30 million</x:v>
      </x:c>
      <x:c r="F154" s="46" t="str"/>
      <x:c r="G154" s="46" t="str">
        <x:v>L2023-00070-2/붙임4. (관련규정) KOICA Regulations/4. Regulations for Procurement and Contract in Grant Aid Projects.pdf</x:v>
      </x:c>
      <x:c r="H154" s="43" t="str">
        <x:v>페이지 26</x:v>
      </x:c>
      <x:c r="I154" s="46" t="str">
        <x:v>not exceed KRW 30 million. &lt;Amended on May 20, 2019&gt; (2) Warranty bond shall be paid at a rate of between 2/100 and 10/100 of the contract amount to guarantee repair of defects and the bond shall be kept for the warranty period under the provisions of Paragraph (1). Article 31-2 (Liquidated Damages) (1) When signing contracts for construction works and services that require liquidated damages, it is mandatory to purchase indemnity insurance and join a mutual aid association. &lt;Amended on Dec. 30, 2016&gt; (2) Details related to the calculation of insurance costs shall be determined separately. &lt;Amended on Dec. 30, 2016&gt; [This Article Newly Inserted on Nov. 2, 2015] Article 32 (Payment and Settlement of Service Cost) (1) Technical service fees shall be paid in installments or lump-sum according to the terms and conditions of the contract and the counterparty's request. &lt;Amended on Nov. 2, 2015, Dec. 30, 2016&gt; (2) The counterparty shall return the balance after settlement of the service fee is confirmed and the details shall be determined separately. &lt;Amended on Nov. 2, 2015, Dec. 30, 2016&gt; Article 33 (Performing Integrity Agreements) (1) KOICA shall require a tenderer or counterparty to</x:v>
      </x:c>
      <x:c r="J154" s="43" t="str">
        <x:v>자동추출·검토필요</x:v>
      </x:c>
    </x:row>
    <x:row r="155">
      <x:c r="A155" s="43" t="str">
        <x:v>L2023-00070-1</x:v>
      </x:c>
      <x:c r="B155" s="43" t="str">
        <x:v>공사비</x:v>
      </x:c>
      <x:c r="C155" s="46" t="str">
        <x:v>contract amount</x:v>
      </x:c>
      <x:c r="D155" s="46" t="str"/>
      <x:c r="E155" s="46" t="str">
        <x:v>6. Pen</x:v>
      </x:c>
      <x:c r="F155" s="46" t="str"/>
      <x:c r="G155" s="46" t="str">
        <x:v>L2023-00070-1/3. (관련규정) KOICA Regulations/1. Detailed Enforcement Rules of the Regulations for Procurement and Contract in Grant Aid Projects.pdf</x:v>
      </x:c>
      <x:c r="H155" s="43" t="str">
        <x:v>페이지 44</x:v>
      </x:c>
      <x:c r="I155" s="46" t="str">
        <x:v>Article 48 (Preparing and Signing Contracts) (1) When signing a contract, the head of the procurement department shall prepare a contract clearly stating the following items. However, in cases falling under Article 49 of the Enforcement Decree of the Act on Contracts to Which the State is a Party, the contract need not be prepared: 1. Purpose of the contract; 2. Contract amount; 3. Implementation period; 4. Contract bond; 5. Risk burden; 6. Penalty for delay; 7. Other necessary matters. (2) When a contract is drafted pursuant to Paragraph (1), the contract shall be finalized by the head of the procurement department and the counterparty shall write his/her/its name, imprint seal, or sign the contract. (3) Where signing a contract with a foreigner, if other special grounds exist, the signature of the head of the procurement department may be in lieu thereof. (4) When the head of the procurement department determines the counterparty, he/she shall sign a contract based upon each standard contract within 10 days of the date of the successful tender or contract notification. (5) The head of the procurement department may sign a contract by specifying the special contract terms necessar</x:v>
      </x:c>
      <x:c r="J155" s="43" t="str">
        <x:v>자동추출·검토필요</x:v>
      </x:c>
    </x:row>
    <x:row r="156">
      <x:c r="A156" s="43" t="str">
        <x:v>L2023-00070-1</x:v>
      </x:c>
      <x:c r="B156" s="43" t="str">
        <x:v>공사비</x:v>
      </x:c>
      <x:c r="C156" s="46" t="str">
        <x:v>contract amount</x:v>
      </x:c>
      <x:c r="D156" s="46" t="str"/>
      <x:c r="E156" s="46" t="str">
        <x:v>KRW 50 million</x:v>
      </x:c>
      <x:c r="F156" s="46" t="str"/>
      <x:c r="G156" s="46" t="str">
        <x:v>L2023-00070-1/3. (관련규정) KOICA Regulations/1. Detailed Enforcement Rules of the Regulations for Procurement and Contract in Grant Aid Projects.pdf</x:v>
      </x:c>
      <x:c r="H156" s="43" t="str">
        <x:v>페이지 46</x:v>
      </x:c>
      <x:c r="I156" s="46" t="str">
        <x:v>bond shall be exempted in any of the following circumstances. In such cases, the Payment Guarantee Confirmation Memorandum of Contract Bond (Form 14) shall be submitted when a ground arises for the contract bond to escheat: &lt;Amended on Jun. 3, 2009, Feb. 18, 2016&gt; 1. When a contract is signed with a person falling under Article 26 (2) 1 or 4 and 6; &lt;Amended on Oct. 8, 2008, Jul. 20, 2017&gt; 2. Where signing a contract with a contract amount of up to KRW 50 million; &lt;Amended on Jul. 20, 2017&gt; 3. Where the collection of contract bonds is not appropriate considering the customs effecting the contract that are generally recognized as fair and reasonable. 4. When purchasing parts of foreign-funded facilities, machinery, and equipment that have already been introduced, and it is impracticable to purchase the parts unless the supplier is involved. &lt;Newly Inserted on Jul. 20, 2017&gt; (3) If the counterparty requests that the contract bond paid in securities or cash pursuant to Article 192 of the Enforcement Decree of the Financial Investment Services and Capital Markets Act is in lieu of a certificate of guaranty stipulated in Article 37 (2) 1 to 5 of the Enforcement Decree of the Act on Contr</x:v>
      </x:c>
      <x:c r="J156" s="43" t="str">
        <x:v>자동추출·검토필요</x:v>
      </x:c>
    </x:row>
    <x:row r="157">
      <x:c r="A157" s="43" t="str">
        <x:v>L2023-00070-1</x:v>
      </x:c>
      <x:c r="B157" s="43" t="str">
        <x:v>공사비</x:v>
      </x:c>
      <x:c r="C157" s="46" t="str">
        <x:v>contract amount</x:v>
      </x:c>
      <x:c r="D157" s="46" t="str"/>
      <x:c r="E157" s="46" t="str">
        <x:v>KRW 30 million</x:v>
      </x:c>
      <x:c r="F157" s="46" t="str"/>
      <x:c r="G157" s="46" t="str">
        <x:v>L2023-00070-1/3. (관련규정) KOICA Regulations/1. Detailed Enforcement Rules of the Regulations for Procurement and Contract in Grant Aid Projects.pdf</x:v>
      </x:c>
      <x:c r="H157" s="43" t="str">
        <x:v>페이지 48</x:v>
      </x:c>
      <x:c r="I157" s="46" t="str">
        <x:v>(1) Where possible to omit a contract pursuant to Article 49 of the Enforcement Decree of the Act on Contracts to Which the State is a Party shall be as follows: &lt;Amended on Jul. 20, 2017&gt; 1. Where signing a contract with a contract amount not exceeding KRW 30 million; &lt;Amended on Jul. 20, 2017&gt; 2. Where signing a contract with the state or a local government; &lt;Amended on Jul. 20, 2017&gt; 3. Deleted. &lt;Jul. 20, 2017&gt; (2) Where omitting a contract, documents that can evidence establishment of the contract, such as invoices, memorandums, agreements, and acceptance, shall be submitted by the counterparty and retained. Article 55 (Indicating Donation Text and Shipping Mark) (1) The heads of the procurement and business department shall have the contractor of supplying goods affix a donation phrase on commodities and a shipping mark and mark “warning”, “danger”, or “safety” on the packaging box. &lt;Amended on Feb. 18, 2016&gt; (2) The donation phrase and shipping mark shall be as prescribed in Form 16. Article 56 (Inspections) (1) Pursuant to Article 35 of the Regulations and Article 14 of the Act on Contracts to Which the State is a Party, the head of the procurement department and the busines</x:v>
      </x:c>
      <x:c r="J157" s="43" t="str">
        <x:v>자동추출·검토필요</x:v>
      </x:c>
    </x:row>
    <x:row r="158">
      <x:c r="A158" s="43" t="str">
        <x:v>L2023-00070-1</x:v>
      </x:c>
      <x:c r="B158" s="43" t="str">
        <x:v>공사비</x:v>
      </x:c>
      <x:c r="C158" s="46" t="str">
        <x:v>contract amount</x:v>
      </x:c>
      <x:c r="D158" s="46" t="str"/>
      <x:c r="E158" s="46" t="str">
        <x:v>KRW 420 billion</x:v>
      </x:c>
      <x:c r="F158" s="46" t="str"/>
      <x:c r="G158" s="46" t="str">
        <x:v>L2023-00070-1/3. (관련규정) KOICA Regulations/1. Detailed Enforcement Rules of the Regulations for Procurement and Contract in Grant Aid Projects.pdf</x:v>
      </x:c>
      <x:c r="H158" s="43" t="str">
        <x:v>페이지 61</x:v>
      </x:c>
      <x:c r="I158"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158" s="43" t="str">
        <x:v>자동추출·검토필요</x:v>
      </x:c>
    </x:row>
    <x:row r="159">
      <x:c r="A159" s="43" t="str">
        <x:v>L2023-00070-1</x:v>
      </x:c>
      <x:c r="B159" s="43" t="str">
        <x:v>공사비</x:v>
      </x:c>
      <x:c r="C159" s="46" t="str">
        <x:v>contract amount</x:v>
      </x:c>
      <x:c r="D159" s="46" t="str"/>
      <x:c r="E159" s="46" t="str">
        <x:v>KRW 2 billion</x:v>
      </x:c>
      <x:c r="F159" s="46" t="str"/>
      <x:c r="G159" s="46" t="str">
        <x:v>L2023-00070-1/3. (관련규정) KOICA Regulations/2. Guidelines for Technical Evaluation.pdf</x:v>
      </x:c>
      <x:c r="H159" s="43" t="str">
        <x:v>페이지 33</x:v>
      </x:c>
      <x:c r="I159"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59" s="43" t="str">
        <x:v>자동추출·검토필요</x:v>
      </x:c>
    </x:row>
    <x:row r="160">
      <x:c r="A160" s="43" t="str">
        <x:v>L2023-00070-1</x:v>
      </x:c>
      <x:c r="B160" s="43" t="str">
        <x:v>공사비</x:v>
      </x:c>
      <x:c r="C160" s="46" t="str">
        <x:v>contract amount</x:v>
      </x:c>
      <x:c r="D160" s="46" t="str"/>
      <x:c r="E160" s="46" t="str">
        <x:v>1 KRW | 2 KRW | 1 KRW | 2 KRW</x:v>
      </x:c>
      <x:c r="F160" s="46" t="str">
        <x:v>50%</x:v>
      </x:c>
      <x:c r="G160" s="46" t="str">
        <x:v>L2023-00070-1/3. (관련규정) KOICA Regulations/2. Guidelines for Technical Evaluation.pdf</x:v>
      </x:c>
      <x:c r="H160" s="43" t="str">
        <x:v>페이지 63</x:v>
      </x:c>
      <x:c r="I160" s="46" t="str">
        <x:v>[Form 6-2] Software Project Subcontracting Plan (when signing a contract) &lt;Newly Inserted on Apr. 8, 2021&gt; Software Project Subcontracting Plan (when signing a contract) Project Name Contract Amount (C) KRW Period mm/dd/yy ∼ mm/dd/yy Contractor Business Name Representative (Representative of Corporate contracting Registration Location consortium) Number Plan to be subcontracted Ratio of Estimated Planned Subcontractor Subcontract Contract Subcontracting No. Contractor Subcontracting Name Name Period Amount to Amount (A) Contract Amount . . . ∼ . . 1 KRW % . . . . ∼ . . 2 KRW % . . . . ∼ . . Total KRW % . Plan to purchase goods directly Category Estimated Name of Manufacturer Proposed No. (HW, Facility, Quantity Purchase Goods (Developer) Purchase Date Commercial SW) Amount (B) 1 KRW 2 KRW Total KRW - If the contractor is a contracting consortium, specify the plan for subcontracting of the consortium members (including the representative). - Simple purchase of goods, installation services, new technology, or specialized technology included in subcontracting - Direct goods purchase plans are limited to items purchased directly by the contractor (contract partner) - Grounds for except</x:v>
      </x:c>
      <x:c r="J160" s="43" t="str">
        <x:v>자동추출·검토필요</x:v>
      </x:c>
    </x:row>
    <x:row r="161">
      <x:c r="A161" s="43" t="str">
        <x:v>L2023-00070-1</x:v>
      </x:c>
      <x:c r="B161" s="43" t="str">
        <x:v>공사비</x:v>
      </x:c>
      <x:c r="C161" s="46" t="str">
        <x:v>contract amount</x:v>
      </x:c>
      <x:c r="D161" s="46" t="str"/>
      <x:c r="E161" s="46" t="str">
        <x:v>KRW 30 million</x:v>
      </x:c>
      <x:c r="F161" s="46" t="str"/>
      <x:c r="G161" s="46" t="str">
        <x:v>L2023-00070-1/3. (관련규정) KOICA Regulations/4. Regulations for Procurement and Contract in Grant Aid Projects.pdf</x:v>
      </x:c>
      <x:c r="H161" s="43" t="str">
        <x:v>페이지 26</x:v>
      </x:c>
      <x:c r="I161" s="46" t="str">
        <x:v>not exceed KRW 30 million. &lt;Amended on May 20, 2019&gt; (2) Warranty bond shall be paid at a rate of between 2/100 and 10/100 of the contract amount to guarantee repair of defects and the bond shall be kept for the warranty period under the provisions of Paragraph (1). Article 31-2 (Liquidated Damages) (1) When signing contracts for construction works and services that require liquidated damages, it is mandatory to purchase indemnity insurance and join a mutual aid association. &lt;Amended on Dec. 30, 2016&gt; (2) Details related to the calculation of insurance costs shall be determined separately. &lt;Amended on Dec. 30, 2016&gt; [This Article Newly Inserted on Nov. 2, 2015] Article 32 (Payment and Settlement of Service Cost) (1) Technical service fees shall be paid in installments or lump-sum according to the terms and conditions of the contract and the counterparty's request. &lt;Amended on Nov. 2, 2015, Dec. 30, 2016&gt; (2) The counterparty shall return the balance after settlement of the service fee is confirmed and the details shall be determined separately. &lt;Amended on Nov. 2, 2015, Dec. 30, 2016&gt; Article 33 (Performing Integrity Agreements) (1) KOICA shall require a tenderer or counterparty to</x:v>
      </x:c>
      <x:c r="J161" s="43" t="str">
        <x:v>자동추출·검토필요</x:v>
      </x:c>
    </x:row>
    <x:row r="162">
      <x:c r="A162" s="43" t="str">
        <x:v>L2023-00068-1</x:v>
      </x:c>
      <x:c r="B162" s="43" t="str">
        <x:v>공사비</x:v>
      </x:c>
      <x:c r="C162" s="46" t="str">
        <x:v>contract amount</x:v>
      </x:c>
      <x:c r="D162" s="46" t="str"/>
      <x:c r="E162" s="46" t="str">
        <x:v>6. Pen</x:v>
      </x:c>
      <x:c r="F162" s="46" t="str"/>
      <x:c r="G162" s="46" t="str">
        <x:v>L2023-00068-1/(Additional Attachments) KOICA Regulations and Guidelines for Procurement/Detailed Enforcement Rules of the Regulations for Procurement and Contract in Grant Aid Projects(대외무상협력사업에 관한 조달 및 계약규정 시행세칙)_20190503.pdf</x:v>
      </x:c>
      <x:c r="H162" s="43" t="str">
        <x:v>페이지 44</x:v>
      </x:c>
      <x:c r="I162" s="46" t="str">
        <x:v>Article 48 (Preparing and Signing Contracts) (1) When signing a contract, the head of the procurement department shall prepare a contract clearly stating the following items. However, in cases falling under Article 49 of the Enforcement Decree of the Act on Contracts to Which the State is a Party, the contract need not be prepared: 1. Purpose of the contract; 2. Contract amount; 3. Implementation period; 4. Contract bond; 5. Risk burden; 6. Penalty for delay; 7. Other necessary matters. (2) When a contract is drafted pursuant to Paragraph (1), the contract shall be finalized by the head of the procurement department and the counterparty shall write his/her/its name, imprint seal, or sign the contract. (3) Where signing a contract with a foreigner, if other special grounds exist, the signature of the head of the procurement department may be in lieu thereof. (4) When the head of the procurement department determines the counterparty, he/she shall sign a contract based upon each standard contract within 10 days of the date of the successful tender or contract notification. (5) The head of the procurement department may sign a contract by specifying the special contract terms necessar</x:v>
      </x:c>
      <x:c r="J162" s="43" t="str">
        <x:v>자동추출·검토필요</x:v>
      </x:c>
    </x:row>
    <x:row r="163">
      <x:c r="A163" s="43" t="str">
        <x:v>L2023-00068-1</x:v>
      </x:c>
      <x:c r="B163" s="43" t="str">
        <x:v>공사비</x:v>
      </x:c>
      <x:c r="C163" s="46" t="str">
        <x:v>contract amount</x:v>
      </x:c>
      <x:c r="D163" s="46" t="str"/>
      <x:c r="E163" s="46" t="str">
        <x:v>KRW 50 million</x:v>
      </x:c>
      <x:c r="F163" s="46" t="str"/>
      <x:c r="G163" s="46" t="str">
        <x:v>L2023-00068-1/(Additional Attachments) KOICA Regulations and Guidelines for Procurement/Detailed Enforcement Rules of the Regulations for Procurement and Contract in Grant Aid Projects(대외무상협력사업에 관한 조달 및 계약규정 시행세칙)_20190503.pdf</x:v>
      </x:c>
      <x:c r="H163" s="43" t="str">
        <x:v>페이지 46</x:v>
      </x:c>
      <x:c r="I163" s="46" t="str">
        <x:v>bond shall be exempted in any of the following circumstances. In such cases, the Payment Guarantee Confirmation Memorandum of Contract Bond (Form 14) shall be submitted when a ground arises for the contract bond to escheat: &lt;Amended on Jun. 3, 2009, Feb. 18, 2016&gt; 1. When a contract is signed with a person falling under Article 26 (2) 1 or 4 and 6; &lt;Amended on Oct. 8, 2008, Jul. 20, 2017&gt; 2. Where signing a contract with a contract amount of up to KRW 50 million; &lt;Amended on Jul. 20, 2017&gt; 3. Where the collection of contract bonds is not appropriate considering the customs effecting the contract that are generally recognized as fair and reasonable. 4. When purchasing parts of foreign-funded facilities, machinery, and equipment that have already been introduced, and it is impracticable to purchase the parts unless the supplier is involved. &lt;Newly Inserted on Jul. 20, 2017&gt; (3) If the counterparty requests that the contract bond paid in securities or cash pursuant to Article 192 of the Enforcement Decree of the Financial Investment Services and Capital Markets Act is in lieu of a certificate of guaranty stipulated in Article 37 (2) 1 to 5 of the Enforcement Decree of the Act on Contr</x:v>
      </x:c>
      <x:c r="J163" s="43" t="str">
        <x:v>자동추출·검토필요</x:v>
      </x:c>
    </x:row>
    <x:row r="164">
      <x:c r="A164" s="43" t="str">
        <x:v>L2023-00068-1</x:v>
      </x:c>
      <x:c r="B164" s="43" t="str">
        <x:v>공사비</x:v>
      </x:c>
      <x:c r="C164" s="46" t="str">
        <x:v>contract amount</x:v>
      </x:c>
      <x:c r="D164" s="46" t="str"/>
      <x:c r="E164" s="46" t="str">
        <x:v>KRW 30 million</x:v>
      </x:c>
      <x:c r="F164" s="46" t="str"/>
      <x:c r="G164" s="46" t="str">
        <x:v>L2023-00068-1/(Additional Attachments) KOICA Regulations and Guidelines for Procurement/Detailed Enforcement Rules of the Regulations for Procurement and Contract in Grant Aid Projects(대외무상협력사업에 관한 조달 및 계약규정 시행세칙)_20190503.pdf</x:v>
      </x:c>
      <x:c r="H164" s="43" t="str">
        <x:v>페이지 48</x:v>
      </x:c>
      <x:c r="I164" s="46" t="str">
        <x:v>(1) Where possible to omit a contract pursuant to Article 49 of the Enforcement Decree of the Act on Contracts to Which the State is a Party shall be as follows: &lt;Amended on Jul. 20, 2017&gt; 1. Where signing a contract with a contract amount not exceeding KRW 30 million; &lt;Amended on Jul. 20, 2017&gt; 2. Where signing a contract with the state or a local government; &lt;Amended on Jul. 20, 2017&gt; 3. Deleted. &lt;Jul. 20, 2017&gt; (2) Where omitting a contract, documents that can evidence establishment of the contract, such as invoices, memorandums, agreements, and acceptance, shall be submitted by the counterparty and retained. Article 55 (Indicating Donation Text and Shipping Mark) (1) The heads of the procurement and business department shall have the contractor of supplying goods affix a donation phrase on commodities and a shipping mark and mark “warning”, “danger”, or “safety” on the packaging box. &lt;Amended on Feb. 18, 2016&gt; (2) The donation phrase and shipping mark shall be as prescribed in Form 16. Article 56 (Inspections) (1) Pursuant to Article 35 of the Regulations and Article 14 of the Act on Contracts to Which the State is a Party, the head of the procurement department and the busines</x:v>
      </x:c>
      <x:c r="J164" s="43" t="str">
        <x:v>자동추출·검토필요</x:v>
      </x:c>
    </x:row>
    <x:row r="165">
      <x:c r="A165" s="43" t="str">
        <x:v>L2023-00068-1</x:v>
      </x:c>
      <x:c r="B165" s="43" t="str">
        <x:v>공사비</x:v>
      </x:c>
      <x:c r="C165" s="46" t="str">
        <x:v>contract amount</x:v>
      </x:c>
      <x:c r="D165" s="46" t="str"/>
      <x:c r="E165" s="46" t="str">
        <x:v>KRW 420 billion</x:v>
      </x:c>
      <x:c r="F165" s="46" t="str"/>
      <x:c r="G165" s="46" t="str">
        <x:v>L2023-00068-1/(Additional Attachments) KOICA Regulations and Guidelines for Procurement/Detailed Enforcement Rules of the Regulations for Procurement and Contract in Grant Aid Projects(대외무상협력사업에 관한 조달 및 계약규정 시행세칙)_20190503.pdf</x:v>
      </x:c>
      <x:c r="H165" s="43" t="str">
        <x:v>페이지 61</x:v>
      </x:c>
      <x:c r="I165"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165" s="43" t="str">
        <x:v>자동추출·검토필요</x:v>
      </x:c>
    </x:row>
    <x:row r="166">
      <x:c r="A166" s="43" t="str">
        <x:v>L2023-00068-1</x:v>
      </x:c>
      <x:c r="B166" s="43" t="str">
        <x:v>공사비</x:v>
      </x:c>
      <x:c r="C166" s="46" t="str">
        <x:v>contract amount</x:v>
      </x:c>
      <x:c r="D166" s="46" t="str"/>
      <x:c r="E166" s="46" t="str">
        <x:v>KRW 2 billion</x:v>
      </x:c>
      <x:c r="F166" s="46" t="str"/>
      <x:c r="G166" s="46" t="str">
        <x:v>L2023-00068-1/(Additional Attachments) KOICA Regulations and Guidelines for Procurement/Guidelines for Technical Evaluation(기술평가지침)_20210408.pdf</x:v>
      </x:c>
      <x:c r="H166" s="43" t="str">
        <x:v>페이지 33</x:v>
      </x:c>
      <x:c r="I166"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66" s="43" t="str">
        <x:v>자동추출·검토필요</x:v>
      </x:c>
    </x:row>
    <x:row r="167">
      <x:c r="A167" s="43" t="str">
        <x:v>L2023-00068-1</x:v>
      </x:c>
      <x:c r="B167" s="43" t="str">
        <x:v>공사비</x:v>
      </x:c>
      <x:c r="C167" s="46" t="str">
        <x:v>contract amount</x:v>
      </x:c>
      <x:c r="D167" s="46" t="str"/>
      <x:c r="E167" s="46" t="str">
        <x:v>1 KRW | 2 KRW | 1 KRW | 2 KRW</x:v>
      </x:c>
      <x:c r="F167" s="46" t="str">
        <x:v>50%</x:v>
      </x:c>
      <x:c r="G167" s="46" t="str">
        <x:v>L2023-00068-1/(Additional Attachments) KOICA Regulations and Guidelines for Procurement/Guidelines for Technical Evaluation(기술평가지침)_20210408.pdf</x:v>
      </x:c>
      <x:c r="H167" s="43" t="str">
        <x:v>페이지 63</x:v>
      </x:c>
      <x:c r="I167" s="46" t="str">
        <x:v>[Form 6-2] Software Project Subcontracting Plan (when signing a contract) &lt;Newly Inserted on Apr. 8, 2021&gt; Software Project Subcontracting Plan (when signing a contract) Project Name Contract Amount (C) KRW Period mm/dd/yy ∼ mm/dd/yy Contractor Business Name Representative (Representative of Corporate contracting Registration Location consortium) Number Plan to be subcontracted Ratio of Estimated Planned Subcontractor Subcontract Contract Subcontracting No. Contractor Subcontracting Name Name Period Amount to Amount (A) Contract Amount . . . ∼ . . 1 KRW % . . . . ∼ . . 2 KRW % . . . . ∼ . . Total KRW % . Plan to purchase goods directly Category Estimated Name of Manufacturer Proposed No. (HW, Facility, Quantity Purchase Goods (Developer) Purchase Date Commercial SW) Amount (B) 1 KRW 2 KRW Total KRW - If the contractor is a contracting consortium, specify the plan for subcontracting of the consortium members (including the representative). - Simple purchase of goods, installation services, new technology, or specialized technology included in subcontracting - Direct goods purchase plans are limited to items purchased directly by the contractor (contract partner) - Grounds for except</x:v>
      </x:c>
      <x:c r="J167" s="43" t="str">
        <x:v>자동추출·검토필요</x:v>
      </x:c>
    </x:row>
    <x:row r="168">
      <x:c r="A168" s="43" t="str">
        <x:v>L2023-00068-1</x:v>
      </x:c>
      <x:c r="B168" s="43" t="str">
        <x:v>공사비</x:v>
      </x:c>
      <x:c r="C168" s="46" t="str">
        <x:v>contract amount</x:v>
      </x:c>
      <x:c r="D168" s="46" t="str"/>
      <x:c r="E168" s="46" t="str">
        <x:v>KRW 30 million</x:v>
      </x:c>
      <x:c r="F168" s="46" t="str"/>
      <x:c r="G168" s="46" t="str">
        <x:v>L2023-00068-1/(Additional Attachments) KOICA Regulations and Guidelines for Procurement/Regulations for Procurement and Contract in Grant Aid Projects(대외무상협력사업에 관한 조달 및 계약규정)_20190520.pdf</x:v>
      </x:c>
      <x:c r="H168" s="43" t="str">
        <x:v>페이지 26</x:v>
      </x:c>
      <x:c r="I168" s="46" t="str">
        <x:v>not exceed KRW 30 million. &lt;Amended on May 20, 2019&gt; (2) Warranty bond shall be paid at a rate of between 2/100 and 10/100 of the contract amount to guarantee repair of defects and the bond shall be kept for the warranty period under the provisions of Paragraph (1). Article 31-2 (Liquidated Damages) (1) When signing contracts for construction works and services that require liquidated damages, it is mandatory to purchase indemnity insurance and join a mutual aid association. &lt;Amended on Dec. 30, 2016&gt; (2) Details related to the calculation of insurance costs shall be determined separately. &lt;Amended on Dec. 30, 2016&gt; [This Article Newly Inserted on Nov. 2, 2015] Article 32 (Payment and Settlement of Service Cost) (1) Technical service fees shall be paid in installments or lump-sum according to the terms and conditions of the contract and the counterparty's request. &lt;Amended on Nov. 2, 2015, Dec. 30, 2016&gt; (2) The counterparty shall return the balance after settlement of the service fee is confirmed and the details shall be determined separately. &lt;Amended on Nov. 2, 2015, Dec. 30, 2016&gt; Article 33 (Performing Integrity Agreements) (1) KOICA shall require a tenderer or counterparty to</x:v>
      </x:c>
      <x:c r="J168" s="43" t="str">
        <x:v>자동추출·검토필요</x:v>
      </x:c>
    </x:row>
    <x:row r="169">
      <x:c r="A169" s="43" t="str">
        <x:v>L2023-00067-1</x:v>
      </x:c>
      <x:c r="B169" s="43" t="str">
        <x:v>공사비</x:v>
      </x:c>
      <x:c r="C169" s="46" t="str">
        <x:v>construction cost</x:v>
      </x:c>
      <x:c r="D169" s="46" t="str"/>
      <x:c r="E169" s="46" t="str">
        <x:v>USD 273,777.11 | USD 273,777.11</x:v>
      </x:c>
      <x:c r="F169" s="46" t="str">
        <x:v>5% | 0.5 % | 2.5% | 5% | 0.5 % | 2.5%</x:v>
      </x:c>
      <x:c r="G169" s="46" t="str">
        <x:v>L2023-00067-1/ENG Version/ENG Version/-ENG_Section 2 Bid Data Sheet.docx</x:v>
      </x:c>
      <x:c r="H169" s="43" t="str">
        <x:v>표 3 행 14</x:v>
      </x:c>
      <x:c r="I169" s="46" t="str">
        <x:v>- Base Price | USD 273,777.11 (Be exclusive of VAT and other applicable indirect taxes) The two(2) items below shall be added in the contract bid price which shall not be paid without Employer’s approval. The balance of the below costs shall be returned on the completion of works. * Reserve for unforeseen work and expenses (5%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USD 273,777.11 (Be exclusive of VAT and other applicable indirect taxes) The two(2) items below shall be added in the contract bid price which shall not be paid without Employer’s approval. The balance of the below costs shall be returned on the completion of works. * Reserve for unforeseen work and expenses (5% of the construction cost) *The safety management cost (0.5 % of the construction cost) ※Special Requirements for the Estimated Price; The Bidders’ Price Proposal should not ex</x:v>
      </x:c>
      <x:c r="J169" s="43" t="str">
        <x:v>자동추출·검토필요</x:v>
      </x:c>
    </x:row>
    <x:row r="170">
      <x:c r="A170" s="43" t="str">
        <x:v>L2023-00065-1</x:v>
      </x:c>
      <x:c r="B170" s="43" t="str">
        <x:v>공사비</x:v>
      </x:c>
      <x:c r="C170" s="46" t="str">
        <x:v>contract price</x:v>
      </x:c>
      <x:c r="D170" s="46" t="str"/>
      <x:c r="E170" s="46" t="str">
        <x:v>USD 000,000</x:v>
      </x:c>
      <x:c r="F170" s="46" t="str"/>
      <x:c r="G170" s="46" t="str">
        <x:v>L2023-00065-1/(attached) Pre_school_Education_Complex_Constsruction_Supervision_Contractor/Section 9 – Contract Form(Cover Sheet).docx</x:v>
      </x:c>
      <x:c r="H170" s="43" t="str">
        <x:v>문단 63</x:v>
      </x:c>
      <x:c r="I170" s="46" t="str">
        <x:v>For the Contract Price of U.S. Dollars (USD 000,000)</x:v>
      </x:c>
      <x:c r="J170" s="43" t="str">
        <x:v>자동추출·검토필요</x:v>
      </x:c>
    </x:row>
    <x:row r="171">
      <x:c r="A171" s="43" t="str">
        <x:v>L2023-00061-1</x:v>
      </x:c>
      <x:c r="B171" s="43" t="str">
        <x:v>공사비</x:v>
      </x:c>
      <x:c r="C171" s="46" t="str">
        <x:v>contract price</x:v>
      </x:c>
      <x:c r="D171" s="46" t="str"/>
      <x:c r="E171" s="46" t="str">
        <x:v>USD 180,000 | USD 110,000 | USD 70,000</x:v>
      </x:c>
      <x:c r="F171" s="46" t="str"/>
      <x:c r="G171" s="46" t="str">
        <x:v>L2023-00061-1/붙임 2. 입찰 공고문/1. Invitation for Bid_2023.9..docx</x:v>
      </x:c>
      <x:c r="H171" s="43" t="str">
        <x:v>표 2 행 5</x:v>
      </x:c>
      <x:c r="I171" s="46" t="str">
        <x:v>Price | Maximum Bidding Price: USD 180,000 (VAT exclusive) Design : USD 110,000 Construction Supervision USD 70,000 *Any kind of claim for compensation due to the fluctuation by inflation shall not be allowed. With regard to VAT, KOICA has no authority or responsibility for any tax, including VAT, incurred on this bid and contract. The consultant is responsible for reporting to taxation authority and implementing proper procedures in case of tax exemption is available. **Bid and contract shall be processed in US dollars. Any kind of request for increase in contract price due to inflation or fluctuation of exchange rate shall not be allowed. ***In accordance with Article 11, Paragraph 1 in the Regulation for Procurement and Contract in Grant Aid Projects, the estimated price shall not be prepared, and the Maximum Bidding Price shall be regarded as the estimated price.</x:v>
      </x:c>
      <x:c r="J171" s="43" t="str">
        <x:v>자동추출·검토필요</x:v>
      </x:c>
    </x:row>
    <x:row r="172">
      <x:c r="A172" s="43" t="str">
        <x:v>L2023-00060-1</x:v>
      </x:c>
      <x:c r="B172" s="43" t="str">
        <x:v>공사비</x:v>
      </x:c>
      <x:c r="C172" s="46" t="str">
        <x:v>contract price</x:v>
      </x:c>
      <x:c r="D172" s="46" t="str"/>
      <x:c r="E172" s="46" t="str">
        <x:v>USD 1,300,000</x:v>
      </x:c>
      <x:c r="F172" s="46" t="str"/>
      <x:c r="G172" s="46" t="str">
        <x:v>L2023-00060-1/붙임 1. 입찰공고문 및 서류_영문/Section 8 - Specail Conditions of Contract_eng.docx</x:v>
      </x:c>
      <x:c r="H172" s="43" t="str">
        <x:v>문단 365</x:v>
      </x:c>
      <x:c r="I172" s="46" t="str">
        <x:v>The Contract Price is the lump sum price of [Insert Contract Price in figures and words (e.g. USD 1,300,000 (one million three hundred thousand US Dollars)].</x:v>
      </x:c>
      <x:c r="J172" s="43" t="str">
        <x:v>자동추출·검토필요</x:v>
      </x:c>
    </x:row>
    <x:row r="173">
      <x:c r="A173" s="43" t="str">
        <x:v>L2023-00058-1</x:v>
      </x:c>
      <x:c r="B173" s="43" t="str">
        <x:v>공사비</x:v>
      </x:c>
      <x:c r="C173" s="46" t="str">
        <x:v>contract price</x:v>
      </x:c>
      <x:c r="D173" s="46" t="str"/>
      <x:c r="E173" s="46" t="str">
        <x:v>USD 1,300,000</x:v>
      </x:c>
      <x:c r="F173" s="46" t="str"/>
      <x:c r="G173" s="46" t="str">
        <x:v>L2023-00058-1/Section 8 - Special Conditions of Contract.pdf</x:v>
      </x:c>
      <x:c r="H173" s="43" t="str">
        <x:v>페이지 20</x:v>
      </x:c>
      <x:c r="I173" s="46" t="str">
        <x:v>[Annex 6] Details of Contract Price [This Annex should provide details of any provisional sum based on the total Contract Price. The unit price and rates set out in this Annex will form the basis of any adjustments to the Contract Price. To the extent incentives will be payable for early completion of the Construction, details of such incentives should also be included here.] 1. Contract Price The Contract Price is the lump sum price of [Insert Contract Price in figures and words (e.g. USD 1,300,000 (one million three hundred thousand US Dollars)]. 2. Provisional Sum Items The Provisional Sum items are set out in section [insert] of [insert name of relevant document]. Each Provisional Sum shall only be used, in whole or in part, and the Contractor will only be entitled to payment for a Provisional Sum, in accordance with Article 11.7 of the Contract and the Contract Price shall be adjusted accordingly. 3. Adjustments for Changes in Cost [Unless the Laws of the Recipient Country mandatorily require the adjustment of the Contract Price upon the occurrence of price fluctuations, the right to adjust the Contract Price for price fluctuations should be excluded. Consider using one of the</x:v>
      </x:c>
      <x:c r="J173" s="43" t="str">
        <x:v>자동추출·검토필요</x:v>
      </x:c>
    </x:row>
    <x:row r="174">
      <x:c r="A174" s="43" t="str">
        <x:v>L2023-00053-1</x:v>
      </x:c>
      <x:c r="B174" s="43" t="str">
        <x:v>공사비</x:v>
      </x:c>
      <x:c r="C174" s="46" t="str">
        <x:v>contract price</x:v>
      </x:c>
      <x:c r="D174" s="46" t="str"/>
      <x:c r="E174" s="46" t="str">
        <x:v>USD 5,230,806</x:v>
      </x:c>
      <x:c r="F174" s="46" t="str">
        <x:v>2.5%</x:v>
      </x:c>
      <x:c r="G174" s="46" t="str">
        <x:v>L2023-00053-1/Urgench VTC Bid Attachment Documents/Urgench VTC Bid Attachment Documents/Invitation_for_Bids_Bid_Announcement.docx</x:v>
      </x:c>
      <x:c r="H174" s="43" t="str">
        <x:v>표 1 행 9</x:v>
      </x:c>
      <x:c r="I174" s="46" t="str">
        <x:v>• Base Price Practice | Base Price: USD 5,230,806 (excluding Value Added Tax and Customs Duty) *The safety management cost will be included in the contract price, which shall be zero point five (0.5) % of project cost that cannot be consumed for other purposes but safety management. the balance of the safety management cost shall be returned on the completion of works.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x:v>
      </x:c>
      <x:c r="J174" s="43" t="str">
        <x:v>자동추출·검토필요</x:v>
      </x:c>
    </x:row>
    <x:row r="175">
      <x:c r="A175" s="43" t="str">
        <x:v>L2023-00038-1</x:v>
      </x:c>
      <x:c r="B175" s="43" t="str">
        <x:v>공사비</x:v>
      </x:c>
      <x:c r="C175" s="46" t="str">
        <x:v>공사비</x:v>
      </x:c>
      <x:c r="D175" s="46" t="str"/>
      <x:c r="E175" s="46" t="str">
        <x:v>USD 5,627,206</x:v>
      </x:c>
      <x:c r="F175" s="46" t="str"/>
      <x:c r="G175" s="46" t="str">
        <x:v>L2023-00038-1/1. 입찰계획서(피지국립재활센터 건립사업 설계 및 감리 용역)-김우영-230713.hwp</x:v>
      </x:c>
      <x:c r="H175" s="43" t="str">
        <x:v>문단 70</x:v>
      </x:c>
      <x:c r="I175" s="46" t="str">
        <x:v>ㅇ 공사비 예산: USD 5,627,206</x:v>
      </x:c>
      <x:c r="J175" s="43" t="str">
        <x:v>자동추출·검토필요</x:v>
      </x:c>
    </x:row>
    <x:row r="176">
      <x:c r="A176" s="43" t="str">
        <x:v>L2023-00038-1</x:v>
      </x:c>
      <x:c r="B176" s="43" t="str">
        <x:v>공사비</x:v>
      </x:c>
      <x:c r="C176" s="46" t="str">
        <x:v>contract amount</x:v>
      </x:c>
      <x:c r="D176" s="46" t="str"/>
      <x:c r="E176" s="46" t="str">
        <x:v>USD 50,000 | USD 50,000</x:v>
      </x:c>
      <x:c r="F176" s="46" t="str"/>
      <x:c r="G176" s="46" t="str">
        <x:v>L2023-00038-1/2. 현지입찰 첨부문서 묶음/Attachment_2._Form_of_Technical_Proporsal.doc</x:v>
      </x:c>
      <x:c r="H176" s="43" t="str">
        <x:v>문단 29</x:v>
      </x:c>
      <x:c r="I176" s="46" t="str">
        <x:v>3. Nos. of Architectural Design Project or Design &amp; CS Project in total amount more than USD 50,000 completed within last five (5) fiscal years (FY August. 2017 to FY July. 2022) Bidders should provide the information of Architectural Design Project or Design &amp; CS Project in total amount more than USD 50,000 completed within last five (5) fiscal years (FY August. 2017 to FY July. 2022) ** Those records should be accompanied and supported with the official completion certificate provided from the employer of the project. The project without completion certificate will be excluded from the evaluation. 1 Name of Project*: Contract Amount: FJD( ) x 환율 ???? = USD ( ) Location: 2 Name of Project*: Contract Amount: FJD( ) x 환율 ???? = USD ( ) Location: 3 Name of Project*: Contract Amount: FJD( ) x 환율 ???? = USD ( ) Location: 4 Name of Project*: Contract Amount: FJD( ) x 환율 ???? = USD ( ) Location: 5 Name of Project*: Contract Amount: FJD( ) x 환율 ???? = USD ( ) Location: 6 Name of Project*: Contract Amount: FJD( ) x 환율 ???? = USD ( ) Location: 7 Name of Project*: Contract Amount: FJD( ) x 환율 ???? = USD ( ) Location: 8 Name of Project*: Contract Amount: FJD( ) x 환율 ???? = USD ( ) Location: *</x:v>
      </x:c>
      <x:c r="J176" s="43" t="str">
        <x:v>자동추출·검토필요</x:v>
      </x:c>
    </x:row>
    <x:row r="177">
      <x:c r="A177" s="43" t="str">
        <x:v>L2023-00036-1</x:v>
      </x:c>
      <x:c r="B177" s="43" t="str">
        <x:v>공사비</x:v>
      </x:c>
      <x:c r="C177" s="46" t="str">
        <x:v>contract price</x:v>
      </x:c>
      <x:c r="D177" s="46" t="str"/>
      <x:c r="E177" s="46" t="str">
        <x:v>USD 5,230,806</x:v>
      </x:c>
      <x:c r="F177" s="46" t="str">
        <x:v>2.5%</x:v>
      </x:c>
      <x:c r="G177" s="46" t="str">
        <x:v>L2023-00036-1/붙임3_입찰관련서류_검토완_0717/Invitation_for_Bids_Bid_Announcement1.docx</x:v>
      </x:c>
      <x:c r="H177" s="43" t="str">
        <x:v>표 1 행 9</x:v>
      </x:c>
      <x:c r="I177" s="46" t="str">
        <x:v>• Base Price Practice | Base Price: USD 5,230,806 (excluding Value Added Tax and Customs Duty) *The safety management cost will be included in the contract price, which shall be zero point five (0.5) % of project cost that cannot be consumed for other purposes but safety management. the balance of the safety management cost shall be returned on the completion of works.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x:v>
      </x:c>
      <x:c r="J177" s="43" t="str">
        <x:v>자동추출·검토필요</x:v>
      </x:c>
    </x:row>
    <x:row r="178">
      <x:c r="A178" s="43" t="str">
        <x:v>L2023-00035-1</x:v>
      </x:c>
      <x:c r="B178" s="43" t="str">
        <x:v>공사비</x:v>
      </x:c>
      <x:c r="C178" s="46" t="str">
        <x:v>construction cost</x:v>
      </x:c>
      <x:c r="D178" s="46" t="str"/>
      <x:c r="E178" s="46" t="str">
        <x:v>USD 384 569 | USD 384 569</x:v>
      </x:c>
      <x:c r="F178" s="46" t="str">
        <x:v>3% | 0.5 % | 2.5% | 3% | 0.5 % | 2.5%</x:v>
      </x:c>
      <x:c r="G178" s="46" t="str">
        <x:v>L2023-00035-1/DOC/OPSC_eng/ENG_Section 2 - Bid Data Sheet (BDS)_Kyrgyzstan_OPSC_22 JUNE_CM reviewed.docx</x:v>
      </x:c>
      <x:c r="H178" s="43" t="str">
        <x:v>표 3 행 15</x:v>
      </x:c>
      <x:c r="I178" s="46" t="str">
        <x:v>․ Bid Price Practice | Base Price: USD 384 569 (inclusive all costs below, except VAT) Base price is based on GOSSTROY’s RIK estimates The two(2) items below shall be added in the contract bid price which shall not be paid without Employer’s approval. The balance of the below costs shall be returned on the completion of works. * Reserve for unforeseen work and expenses (3%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Base Price: USD 384 569 (inclusive all costs below, except VAT) Base price is based on GOSSTROY’s RIK estimates The two(2) items below shall be added in the contract bid price which shall not be paid without Employer’s approval. The balance of the below costs shall be returned on the completion of works. * Reserve for unforeseen work and expenses (3% of the construction cost) *The safety management cost (0.5 % of the construction cost) Spe</x:v>
      </x:c>
      <x:c r="J178" s="43" t="str">
        <x:v>자동추출·검토필요</x:v>
      </x:c>
    </x:row>
    <x:row r="179">
      <x:c r="A179" s="43" t="str">
        <x:v>L2023-00035-1</x:v>
      </x:c>
      <x:c r="B179" s="43" t="str">
        <x:v>공사비</x:v>
      </x:c>
      <x:c r="C179" s="46" t="str">
        <x:v>contract price</x:v>
      </x:c>
      <x:c r="D179" s="46" t="str"/>
      <x:c r="E179" s="46" t="str">
        <x:v>USD 135,628</x:v>
      </x:c>
      <x:c r="F179" s="46" t="str"/>
      <x:c r="G179" s="46" t="str">
        <x:v>L2023-00035-1/DOC/OPSC_eng/ENG_Section 2 - Bid Data Sheet (BDS)_Kyrgyzstan_OPSC_22 JUNE_CM reviewed.docx</x:v>
      </x:c>
      <x:c r="H179" s="43" t="str">
        <x:v>표 5 행 8</x:v>
      </x:c>
      <x:c r="I179" s="46" t="str">
        <x:v>⑦ materials of qualification evaluation (in the prescribed form) ●Performance record for construction contract completion -Completion Certification &amp; copy of the contract -building construction works only over the past 3 years (June 2020. ~ June 2023) as of the bid announcement date, each contract price should be USD 135,628 at the minimum. ●Proposed site manager’s information &amp; certificates -Certification of his/her professional experience -Copy of valid engineer’s registration certificate -CV -Copy of national identity card ● Balance sheets (balance sheet to verify debt ratio, and liquidity ratio) over the past 3 fiscal years (2020 ~ 2022) ※ Evaluation and Qualification Criteria duly completed and signed and in accordance with Annex 1</x:v>
      </x:c>
      <x:c r="J179" s="43" t="str">
        <x:v>자동추출·검토필요</x:v>
      </x:c>
    </x:row>
    <x:row r="180">
      <x:c r="A180" s="43" t="str">
        <x:v>L2023-00035-1</x:v>
      </x:c>
      <x:c r="B180" s="43" t="str">
        <x:v>공사비</x:v>
      </x:c>
      <x:c r="C180" s="46" t="str">
        <x:v>contract price</x:v>
      </x:c>
      <x:c r="D180" s="46" t="str"/>
      <x:c r="E180" s="46" t="str">
        <x:v>USD 192,285 | USD 96,075</x:v>
      </x:c>
      <x:c r="F180" s="46" t="str"/>
      <x:c r="G180" s="46" t="str">
        <x:v>L2023-00035-1/DOC/OPSC_eng/ENG_Section 2 - Bid Data Sheet (BDS)_Kyrgyzstan_OPSC_22 JUNE_CM reviewed.docx</x:v>
      </x:c>
      <x:c r="H180" s="43" t="str">
        <x:v>표 7 행 2</x:v>
      </x:c>
      <x:c r="I180" s="46" t="str">
        <x:v>Performance (10points) | Performance certificate over the past 5 years (July 2018. ~ July 2023) - completed project only * The maximum point 8 * Points = Performance factor x 8 * Performance factor = performance record of recent 3 years ÷ (USD 192,285) | -Performance of building construction works only and each contract price should be USD 96,075 at the minimum.</x:v>
      </x:c>
      <x:c r="J180" s="43" t="str">
        <x:v>자동추출·검토필요</x:v>
      </x:c>
    </x:row>
    <x:row r="181">
      <x:c r="A181" s="43" t="str">
        <x:v>L2023-00032-1</x:v>
      </x:c>
      <x:c r="B181" s="43" t="str">
        <x:v>공사비</x:v>
      </x:c>
      <x:c r="C181" s="46" t="str">
        <x:v>contract price</x:v>
      </x:c>
      <x:c r="D181" s="46" t="str"/>
      <x:c r="E181" s="46" t="str">
        <x:v>USD 1,300,000</x:v>
      </x:c>
      <x:c r="F181" s="46" t="str"/>
      <x:c r="G181" s="46" t="str">
        <x:v>L2023-00032-1/2. 입찰서류(영문)/Section 8 - Specail Conditions of Contract.docx</x:v>
      </x:c>
      <x:c r="H181" s="43" t="str">
        <x:v>문단 365</x:v>
      </x:c>
      <x:c r="I181" s="46" t="str">
        <x:v>The Contract Price is the lump sum price of [Insert Contract Price in figures and words (e.g. USD 1,300,000 (one million three hundred thousand US Dollars)].</x:v>
      </x:c>
      <x:c r="J181" s="43" t="str">
        <x:v>자동추출·검토필요</x:v>
      </x:c>
    </x:row>
    <x:row r="182">
      <x:c r="A182" s="43" t="str">
        <x:v>L2023-00027-1</x:v>
      </x:c>
      <x:c r="B182" s="43" t="str">
        <x:v>공사비</x:v>
      </x:c>
      <x:c r="C182" s="46" t="str">
        <x:v>contract price</x:v>
      </x:c>
      <x:c r="D182" s="46" t="str"/>
      <x:c r="E182" s="46" t="str">
        <x:v>USD 1,300,000</x:v>
      </x:c>
      <x:c r="F182" s="46" t="str"/>
      <x:c r="G182" s="46" t="str">
        <x:v>L2023-00027-1/입찰서류 일체(영서)/Section 8 - Special Conditions of Contract.pdf</x:v>
      </x:c>
      <x:c r="H182" s="43" t="str">
        <x:v>페이지 20</x:v>
      </x:c>
      <x:c r="I182" s="46" t="str">
        <x:v>[Annex 6] Details of Contract Price [This Annex should provide details of any provisional sum based on the total Contract Price. The unit price and rates set out in this Annex will form the basis of any adjustments to the Contract Price. To the extent incentives will be payable for early completion of the Construction, details of such incentives should also be included here.] 1. Contract Price The Contract Price is the lump sum price of [Insert Contract Price in figures and words (e.g. USD 1,300,000 (one million three hundred thousand US Dollars)]. 2. Provisional Sum Items The Provisional Sum items are set out in section [insert] of [insert name of relevant document]. Each Provisional Sum shall only be used, in whole or in part, and the Contractor will only be entitled to payment for a Provisional Sum, in accordance with Article 11.7 of the Contract and the Contract Price shall be adjusted accordingly. 3. Adjustments for Changes in Cost [Unless the Laws of the Recipient Country mandatorily require the adjustment of the Contract Price upon the occurrence of price fluctuations, the right to adjust the Contract Price for price fluctuations should be excluded. Consider using one of the</x:v>
      </x:c>
      <x:c r="J182" s="43" t="str">
        <x:v>자동추출·검토필요</x:v>
      </x:c>
    </x:row>
    <x:row r="183">
      <x:c r="A183" s="43" t="str">
        <x:v>L2023-00024-1</x:v>
      </x:c>
      <x:c r="B183" s="43" t="str">
        <x:v>공사비</x:v>
      </x:c>
      <x:c r="C183" s="46" t="str">
        <x:v>contract price</x:v>
      </x:c>
      <x:c r="D183" s="46" t="str"/>
      <x:c r="E183" s="46" t="str">
        <x:v>USD 135,628</x:v>
      </x:c>
      <x:c r="F183" s="46" t="str">
        <x:v>209.68%</x:v>
      </x:c>
      <x:c r="G183" s="46" t="str">
        <x:v>L2023-00024-1/(붙임2) 입찰공고문_ENG_DOC_30 March/(║┘└╙2) └╘┬√░°░φ╣«_ENG_DOC_30 March/ENG_Section 3 - Bidding Forms_Kyrgyz_30 March.doc</x:v>
      </x:c>
      <x:c r="H183" s="43" t="str">
        <x:v>문단 18</x:v>
      </x:c>
      <x:c r="I183" s="46" t="str">
        <x:v>Registration Certificate or Business Permit Tax Payment Certificate(2022) The balance sheet over the past 3 years (The average debt ratio over the past 3 years(2020~2022) shall not be more than 209.68%) Contractor’s License for the construction of buildings (level 2 or higher) Article of Incorporation Single Completed Construction Contact Certificate (The Contract price shall be USD 135,628 (or KGS 11,857,000) at the minimum) Power of Attorney: Authorization Letter to represent the bidder documents evidencing the authenticity of the applicant’s signature and seal power of attorney</x:v>
      </x:c>
      <x:c r="J183" s="43" t="str">
        <x:v>자동추출·검토필요</x:v>
      </x:c>
    </x:row>
    <x:row r="184">
      <x:c r="A184" s="43" t="str">
        <x:v>L2023-00022-1</x:v>
      </x:c>
      <x:c r="B184" s="43" t="str">
        <x:v>공사비</x:v>
      </x:c>
      <x:c r="C184" s="46" t="str">
        <x:v>contract price</x:v>
      </x:c>
      <x:c r="D184" s="46" t="str"/>
      <x:c r="E184" s="46" t="str">
        <x:v>USD 1,300,000</x:v>
      </x:c>
      <x:c r="F184" s="46" t="str"/>
      <x:c r="G184" s="46" t="str">
        <x:v>L2023-00022-1/2. Section 1,7,8,9 (3)/Section 8 - Specail Conditions of Contract.docx</x:v>
      </x:c>
      <x:c r="H184" s="43" t="str">
        <x:v>문단 365</x:v>
      </x:c>
      <x:c r="I184" s="46" t="str">
        <x:v>The Contract Price is the lump sum price of [Insert Contract Price in figures and words (e.g. USD 1,300,000 (one million three hundred thousand US Dollars)].</x:v>
      </x:c>
      <x:c r="J184" s="43" t="str">
        <x:v>자동추출·검토필요</x:v>
      </x:c>
    </x:row>
    <x:row r="185">
      <x:c r="A185" s="43" t="str">
        <x:v>L2023-00022-1</x:v>
      </x:c>
      <x:c r="B185" s="43" t="str">
        <x:v>공사비</x:v>
      </x:c>
      <x:c r="C185" s="46" t="str">
        <x:v>공사비</x:v>
      </x:c>
      <x:c r="D185" s="46" t="str"/>
      <x:c r="E185" s="46" t="str">
        <x:v>원 1.2</x:v>
      </x:c>
      <x:c r="F185" s="46" t="str"/>
      <x:c r="G185" s="46" t="str">
        <x:v>L2023-00022-1/3. KOICA Safty Mangement Manual (1)/KOICA_░╟╝│░°╗τ ╛╚└ⁿ░ⁿ╕«╛≈╣½ ╕┼┤║╛≤(▒╣╣«).pdf</x:v>
      </x:c>
      <x:c r="H185" s="43" t="str">
        <x:v>페이지 27</x:v>
      </x:c>
      <x:c r="I185" s="46" t="str">
        <x:v>제4장 시공자의 안전관리업무 건설안전에 대한 시공자의 의사결정은 건설공사에 직접적으로 영향을 미 친다. 공사일정, 공사비, 품질 등 다른 공사목표가 침해되지 않는 범위에서 작업자 및 공사목적물의 안전에 관한 시공자의 적극적인 고려가 있다면, 안 전사고는 예방 또는 저감될 수 있다. 따라서 KOICA 및 건설사업관리기술 자는 안전사고의 예방을 위해 시공자로 하여금 본 매뉴얼에 제시된 안전관 리업무를 수행토록 해야 한다. 1. 공사발주 및 착공 이전 1.1 건설현장 안전관리 관계자의 업무분담 1.1.1 건설공사 현장 안전관리에 대한 1차적인 책임이 시공자에게 있으 므로, 시공자는 다음 각 호의 건설현장 안전관리 관계자의 안전 관리업무가 제대로 이행되는 지를 총괄하여야 한다. (1) 해당 건설공사의 시공 및 안전에 관한 업무를 총괄하여 관리 하는 안전총괄책임자 (2) 토목, 건축, 전기, 기계, 설비 등 건설공사의 각 분야별 시공 및 안전관리를 지휘하고 담당하는 분야별 안전관리담당자 (3) 수급인과 하수급인으로 구성된 협의체의 구성원 1.2 안전관리계획서 작성을 위한 정보 확인 1.2.1 시공자는 용지조건의 특수성과 설계에서 잔여된 위험요소를 고려 한 안전관리계획서를 작성하기 위해 다음 각 호의 정보를 확인하 여야 한다. (1) 현장 근처의 철길이나 혼잡한 인접도로 등과 같은 현장 접근 에 관한 사항 (2) 지하 매설물과 지하수 흐름에 관한 사항 (3) 붕괴를 유발할 수 있는 인접건물, 구조물 및 식수현황에 관 －22－</x:v>
      </x:c>
      <x:c r="J185" s="43" t="str">
        <x:v>자동추출·검토필요</x:v>
      </x:c>
    </x:row>
    <x:row r="186">
      <x:c r="A186" s="43" t="str">
        <x:v>L2023-00022-1</x:v>
      </x:c>
      <x:c r="B186" s="43" t="str">
        <x:v>공사비</x:v>
      </x:c>
      <x:c r="C186" s="46" t="str">
        <x:v>공사비</x:v>
      </x:c>
      <x:c r="D186" s="46" t="str"/>
      <x:c r="E186" s="46" t="str">
        <x:v>원 1.2</x:v>
      </x:c>
      <x:c r="F186" s="46" t="str"/>
      <x:c r="G186" s="46" t="str">
        <x:v>L2023-00022-1/3. KOICA Safty Mangement Manual (1)/KOICA_░╟╝│░°╗τ ╛╚└ⁿ░ⁿ╕«╛≈╣½ ╕┼┤║╛≤(▒╣╣«).pdf</x:v>
      </x:c>
      <x:c r="H186" s="43" t="str">
        <x:v>페이지 36</x:v>
      </x:c>
      <x:c r="I186" s="46" t="str">
        <x:v>제5장 건설사업관리기술자의 안전관리업무 이 매뉴얼에서 건설사업관리기술자는「건설기술 진흥법」제26조에 따른 건설사업관리용역업자에 소속되어 건설사업관리 업무를 수행하는 자를 말 한다. 건설사업관리기술자는 건설현장에서 KOICA 대리인으로서의 기능을 담당 한다. 건설안전에 대한 시공자의 의사결정이 공사일정, 공사비, 품질 등 다 른 공사목표가 침해되지 않는 범위에서 적극적으로 이루어졌는지의 여부를 검토하는 것이 주요 업무가 된다. 이와 같은 건설사업관리기술자의 업무를 통해서 안전사고를 예방 또는 저감할 수 있다. 따라서 KOICA는 안전사고의 예방을 위해 건설사업관리기술자로 하여금 본 매뉴얼에서 제시된 안전관리업무를 수행토록 해야 한다. 1. 공사착공 이전 1.1 건설현장 안전관리 관계자의 업무분담 적정성 검토 1.1.1 건설사업관리기술자는 다음 각 호의 건설현장 안전관리 관계자를 대상으로 시공자가 구성한 안전관리조직의 편성 및 안전관리업무 가 법상 구비조건을 충족하고 있는지를 검토하여야 한다. (1) 해당 건설공사의 시공 및 안전에 관한 업무를 총괄하여 관리 하는 안전총괄책임자 (2) 토목, 건축, 전기, 기계, 설비 등 건설공사의 각 분야별 시공 및 안전관리를 지휘하고 담당하는 분야별 안전관리담당자 (3) 수급인과 하수급인으로 구성된 협의체의 구성원 1.2 건설공사의 안전관리계획서 검토 및 확인 1.2.1 건설사업관리기술자는 시공자가 「건설기술 진흥법 시행령」제98 －31－</x:v>
      </x:c>
      <x:c r="J186" s="43" t="str">
        <x:v>자동추출·검토필요</x:v>
      </x:c>
    </x:row>
    <x:row r="187">
      <x:c r="A187" s="43" t="str">
        <x:v>L2023-00022-1</x:v>
      </x:c>
      <x:c r="B187" s="43" t="str">
        <x:v>공사비</x:v>
      </x:c>
      <x:c r="C187" s="46" t="str">
        <x:v>contract amount</x:v>
      </x:c>
      <x:c r="D187" s="46" t="str"/>
      <x:c r="E187" s="46" t="str">
        <x:v>6. Pen</x:v>
      </x:c>
      <x:c r="F187" s="46" t="str"/>
      <x:c r="G187" s="46" t="str">
        <x:v>L2023-00022-1/4. KOICA Regulations and Guidelines (2)/Detailed Enforcement Rules of the Regulations for Procurement and Contract in Grant Aid Projects(┤δ┐▄╣½╗≤╟∙╖┬╗τ╛≈┐í ░ⁿ╟╤ ┴╢┤▐ ╣╫ ░Φ╛α▒╘┴ñ ╜├╟α╝╝─ó)_20190503.pdf</x:v>
      </x:c>
      <x:c r="H187" s="43" t="str">
        <x:v>페이지 44</x:v>
      </x:c>
      <x:c r="I187" s="46" t="str">
        <x:v>Article 48 (Preparing and Signing Contracts) (1) When signing a contract, the head of the procurement department shall prepare a contract clearly stating the following items. However, in cases falling under Article 49 of the Enforcement Decree of the Act on Contracts to Which the State is a Party, the contract need not be prepared: 1. Purpose of the contract; 2. Contract amount; 3. Implementation period; 4. Contract bond; 5. Risk burden; 6. Penalty for delay; 7. Other necessary matters. (2) When a contract is drafted pursuant to Paragraph (1), the contract shall be finalized by the head of the procurement department and the counterparty shall write his/her/its name, imprint seal, or sign the contract. (3) Where signing a contract with a foreigner, if other special grounds exist, the signature of the head of the procurement department may be in lieu thereof. (4) When the head of the procurement department determines the counterparty, he/she shall sign a contract based upon each standard contract within 10 days of the date of the successful tender or contract notification. (5) The head of the procurement department may sign a contract by specifying the special contract terms necessar</x:v>
      </x:c>
      <x:c r="J187" s="43" t="str">
        <x:v>자동추출·검토필요</x:v>
      </x:c>
    </x:row>
    <x:row r="188">
      <x:c r="A188" s="43" t="str">
        <x:v>L2023-00022-1</x:v>
      </x:c>
      <x:c r="B188" s="43" t="str">
        <x:v>공사비</x:v>
      </x:c>
      <x:c r="C188" s="46" t="str">
        <x:v>contract amount</x:v>
      </x:c>
      <x:c r="D188" s="46" t="str"/>
      <x:c r="E188" s="46" t="str">
        <x:v>KRW 50 million</x:v>
      </x:c>
      <x:c r="F188" s="46" t="str"/>
      <x:c r="G188" s="46" t="str">
        <x:v>L2023-00022-1/4. KOICA Regulations and Guidelines (2)/Detailed Enforcement Rules of the Regulations for Procurement and Contract in Grant Aid Projects(┤δ┐▄╣½╗≤╟∙╖┬╗τ╛≈┐í ░ⁿ╟╤ ┴╢┤▐ ╣╫ ░Φ╛α▒╘┴ñ ╜├╟α╝╝─ó)_20190503.pdf</x:v>
      </x:c>
      <x:c r="H188" s="43" t="str">
        <x:v>페이지 46</x:v>
      </x:c>
      <x:c r="I188" s="46" t="str">
        <x:v>bond shall be exempted in any of the following circumstances. In such cases, the Payment Guarantee Confirmation Memorandum of Contract Bond (Form 14) shall be submitted when a ground arises for the contract bond to escheat: &lt;Amended on Jun. 3, 2009, Feb. 18, 2016&gt; 1. When a contract is signed with a person falling under Article 26 (2) 1 or 4 and 6; &lt;Amended on Oct. 8, 2008, Jul. 20, 2017&gt; 2. Where signing a contract with a contract amount of up to KRW 50 million; &lt;Amended on Jul. 20, 2017&gt; 3. Where the collection of contract bonds is not appropriate considering the customs effecting the contract that are generally recognized as fair and reasonable. 4. When purchasing parts of foreign-funded facilities, machinery, and equipment that have already been introduced, and it is impracticable to purchase the parts unless the supplier is involved. &lt;Newly Inserted on Jul. 20, 2017&gt; (3) If the counterparty requests that the contract bond paid in securities or cash pursuant to Article 192 of the Enforcement Decree of the Financial Investment Services and Capital Markets Act is in lieu of a certificate of guaranty stipulated in Article 37 (2) 1 to 5 of the Enforcement Decree of the Act on Contr</x:v>
      </x:c>
      <x:c r="J188" s="43" t="str">
        <x:v>자동추출·검토필요</x:v>
      </x:c>
    </x:row>
    <x:row r="189">
      <x:c r="A189" s="43" t="str">
        <x:v>L2023-00022-1</x:v>
      </x:c>
      <x:c r="B189" s="43" t="str">
        <x:v>공사비</x:v>
      </x:c>
      <x:c r="C189" s="46" t="str">
        <x:v>contract amount</x:v>
      </x:c>
      <x:c r="D189" s="46" t="str"/>
      <x:c r="E189" s="46" t="str">
        <x:v>KRW 30 million</x:v>
      </x:c>
      <x:c r="F189" s="46" t="str"/>
      <x:c r="G189" s="46" t="str">
        <x:v>L2023-00022-1/4. KOICA Regulations and Guidelines (2)/Detailed Enforcement Rules of the Regulations for Procurement and Contract in Grant Aid Projects(┤δ┐▄╣½╗≤╟∙╖┬╗τ╛≈┐í ░ⁿ╟╤ ┴╢┤▐ ╣╫ ░Φ╛α▒╘┴ñ ╜├╟α╝╝─ó)_20190503.pdf</x:v>
      </x:c>
      <x:c r="H189" s="43" t="str">
        <x:v>페이지 48</x:v>
      </x:c>
      <x:c r="I189" s="46" t="str">
        <x:v>(1) Where possible to omit a contract pursuant to Article 49 of the Enforcement Decree of the Act on Contracts to Which the State is a Party shall be as follows: &lt;Amended on Jul. 20, 2017&gt; 1. Where signing a contract with a contract amount not exceeding KRW 30 million; &lt;Amended on Jul. 20, 2017&gt; 2. Where signing a contract with the state or a local government; &lt;Amended on Jul. 20, 2017&gt; 3. Deleted. &lt;Jul. 20, 2017&gt; (2) Where omitting a contract, documents that can evidence establishment of the contract, such as invoices, memorandums, agreements, and acceptance, shall be submitted by the counterparty and retained. Article 55 (Indicating Donation Text and Shipping Mark) (1) The heads of the procurement and business department shall have the contractor of supplying goods affix a donation phrase on commodities and a shipping mark and mark “warning”, “danger”, or “safety” on the packaging box. &lt;Amended on Feb. 18, 2016&gt; (2) The donation phrase and shipping mark shall be as prescribed in Form 16. Article 56 (Inspections) (1) Pursuant to Article 35 of the Regulations and Article 14 of the Act on Contracts to Which the State is a Party, the head of the procurement department and the busines</x:v>
      </x:c>
      <x:c r="J189" s="43" t="str">
        <x:v>자동추출·검토필요</x:v>
      </x:c>
    </x:row>
    <x:row r="190">
      <x:c r="A190" s="43" t="str">
        <x:v>L2023-00022-1</x:v>
      </x:c>
      <x:c r="B190" s="43" t="str">
        <x:v>공사비</x:v>
      </x:c>
      <x:c r="C190" s="46" t="str">
        <x:v>contract amount</x:v>
      </x:c>
      <x:c r="D190" s="46" t="str"/>
      <x:c r="E190" s="46" t="str">
        <x:v>KRW 420 billion</x:v>
      </x:c>
      <x:c r="F190" s="46" t="str"/>
      <x:c r="G190" s="46" t="str">
        <x:v>L2023-00022-1/4. KOICA Regulations and Guidelines (2)/Detailed Enforcement Rules of the Regulations for Procurement and Contract in Grant Aid Projects(┤δ┐▄╣½╗≤╟∙╖┬╗τ╛≈┐í ░ⁿ╟╤ ┴╢┤▐ ╣╫ ░Φ╛α▒╘┴ñ ╜├╟α╝╝─ó)_20190503.pdf</x:v>
      </x:c>
      <x:c r="H190" s="43" t="str">
        <x:v>페이지 61</x:v>
      </x:c>
      <x:c r="I190"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190" s="43" t="str">
        <x:v>자동추출·검토필요</x:v>
      </x:c>
    </x:row>
    <x:row r="191">
      <x:c r="A191" s="43" t="str">
        <x:v>L2023-00022-1</x:v>
      </x:c>
      <x:c r="B191" s="43" t="str">
        <x:v>공사비</x:v>
      </x:c>
      <x:c r="C191" s="46" t="str">
        <x:v>contract amount</x:v>
      </x:c>
      <x:c r="D191" s="46" t="str"/>
      <x:c r="E191" s="46" t="str">
        <x:v>KRW 2 billion</x:v>
      </x:c>
      <x:c r="F191" s="46" t="str"/>
      <x:c r="G191" s="46" t="str">
        <x:v>L2023-00022-1/4. KOICA Regulations and Guidelines (2)/Guidelines for Technical Evaluation(▒Γ╝·╞≥░í┴÷─º)_20210408.pdf</x:v>
      </x:c>
      <x:c r="H191" s="43" t="str">
        <x:v>페이지 33</x:v>
      </x:c>
      <x:c r="I191"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91" s="43" t="str">
        <x:v>자동추출·검토필요</x:v>
      </x:c>
    </x:row>
    <x:row r="192">
      <x:c r="A192" s="43" t="str">
        <x:v>L2023-00022-1</x:v>
      </x:c>
      <x:c r="B192" s="43" t="str">
        <x:v>공사비</x:v>
      </x:c>
      <x:c r="C192" s="46" t="str">
        <x:v>contract amount</x:v>
      </x:c>
      <x:c r="D192" s="46" t="str"/>
      <x:c r="E192" s="46" t="str">
        <x:v>1 KRW | 2 KRW | 1 KRW | 2 KRW</x:v>
      </x:c>
      <x:c r="F192" s="46" t="str">
        <x:v>50%</x:v>
      </x:c>
      <x:c r="G192" s="46" t="str">
        <x:v>L2023-00022-1/4. KOICA Regulations and Guidelines (2)/Guidelines for Technical Evaluation(▒Γ╝·╞≥░í┴÷─º)_20210408.pdf</x:v>
      </x:c>
      <x:c r="H192" s="43" t="str">
        <x:v>페이지 63</x:v>
      </x:c>
      <x:c r="I192" s="46" t="str">
        <x:v>[Form 6-2] Software Project Subcontracting Plan (when signing a contract) &lt;Newly Inserted on Apr. 8, 2021&gt; Software Project Subcontracting Plan (when signing a contract) Project Name Contract Amount (C) KRW Period mm/dd/yy ∼ mm/dd/yy Contractor Business Name Representative (Representative of Corporate contracting Registration Location consortium) Number Plan to be subcontracted Ratio of Estimated Planned Subcontractor Subcontract Contract Subcontracting No. Contractor Subcontracting Name Name Period Amount to Amount (A) Contract Amount . . . ∼ . . 1 KRW % . . . . ∼ . . 2 KRW % . . . . ∼ . . Total KRW % . Plan to purchase goods directly Category Estimated Name of Manufacturer Proposed No. (HW, Facility, Quantity Purchase Goods (Developer) Purchase Date Commercial SW) Amount (B) 1 KRW 2 KRW Total KRW - If the contractor is a contracting consortium, specify the plan for subcontracting of the consortium members (including the representative). - Simple purchase of goods, installation services, new technology, or specialized technology included in subcontracting - Direct goods purchase plans are limited to items purchased directly by the contractor (contract partner) - Grounds for except</x:v>
      </x:c>
      <x:c r="J192" s="43" t="str">
        <x:v>자동추출·검토필요</x:v>
      </x:c>
    </x:row>
    <x:row r="193">
      <x:c r="A193" s="43" t="str">
        <x:v>L2023-00022-1</x:v>
      </x:c>
      <x:c r="B193" s="43" t="str">
        <x:v>공사비</x:v>
      </x:c>
      <x:c r="C193" s="46" t="str">
        <x:v>contract amount</x:v>
      </x:c>
      <x:c r="D193" s="46" t="str"/>
      <x:c r="E193" s="46" t="str">
        <x:v>KRW 30 million</x:v>
      </x:c>
      <x:c r="F193" s="46" t="str"/>
      <x:c r="G193" s="46" t="str">
        <x:v>L2023-00022-1/4. KOICA Regulations and Guidelines (2)/Regulations for Procurement and Contract in Grant Aid Projects(┤δ┐▄╣½╗≤╟∙╖┬╗τ╛≈┐í ░ⁿ╟╤ ┴╢┤▐ ╣╫ ░Φ╛α▒╘┴ñ)_20190520.pdf</x:v>
      </x:c>
      <x:c r="H193" s="43" t="str">
        <x:v>페이지 26</x:v>
      </x:c>
      <x:c r="I193" s="46" t="str">
        <x:v>not exceed KRW 30 million. &lt;Amended on May 20, 2019&gt; (2) Warranty bond shall be paid at a rate of between 2/100 and 10/100 of the contract amount to guarantee repair of defects and the bond shall be kept for the warranty period under the provisions of Paragraph (1). Article 31-2 (Liquidated Damages) (1) When signing contracts for construction works and services that require liquidated damages, it is mandatory to purchase indemnity insurance and join a mutual aid association. &lt;Amended on Dec. 30, 2016&gt; (2) Details related to the calculation of insurance costs shall be determined separately. &lt;Amended on Dec. 30, 2016&gt; [This Article Newly Inserted on Nov. 2, 2015] Article 32 (Payment and Settlement of Service Cost) (1) Technical service fees shall be paid in installments or lump-sum according to the terms and conditions of the contract and the counterparty's request. &lt;Amended on Nov. 2, 2015, Dec. 30, 2016&gt; (2) The counterparty shall return the balance after settlement of the service fee is confirmed and the details shall be determined separately. &lt;Amended on Nov. 2, 2015, Dec. 30, 2016&gt; Article 33 (Performing Integrity Agreements) (1) KOICA shall require a tenderer or counterparty to</x:v>
      </x:c>
      <x:c r="J193" s="43" t="str">
        <x:v>자동추출·검토필요</x:v>
      </x:c>
    </x:row>
    <x:row r="194">
      <x:c r="A194" s="43" t="str">
        <x:v>L2023-00021-1</x:v>
      </x:c>
      <x:c r="B194" s="43" t="str">
        <x:v>공사비</x:v>
      </x:c>
      <x:c r="C194" s="46" t="str">
        <x:v>공사비</x:v>
      </x:c>
      <x:c r="D194" s="46" t="str"/>
      <x:c r="E194" s="46" t="str">
        <x:v>$ 1,100</x:v>
      </x:c>
      <x:c r="F194" s="46" t="str">
        <x:v>8%</x:v>
      </x:c>
      <x:c r="G194" s="46" t="str">
        <x:v>L2023-00021-1/붙임1. 파라과이 멀티미디어 센터 설계용역 입찰설명서(국문본)_최종_230130_기평팀.hwp</x:v>
      </x:c>
      <x:c r="H194" s="43" t="str">
        <x:v>문단 567</x:v>
      </x:c>
      <x:c r="I194" s="46" t="str">
        <x:v>사무소 협의에 따라, 건축 공사비 단가 $1,100/M2 적용 및 설계비 8% 적용</x:v>
      </x:c>
      <x:c r="J194" s="43" t="str">
        <x:v>자동추출·검토필요</x:v>
      </x:c>
    </x:row>
    <x:row r="195">
      <x:c r="A195" s="43" t="str">
        <x:v>L2023-00019-1</x:v>
      </x:c>
      <x:c r="B195" s="43" t="str">
        <x:v>공사비</x:v>
      </x:c>
      <x:c r="C195" s="46" t="str">
        <x:v>contract price</x:v>
      </x:c>
      <x:c r="D195" s="46" t="str"/>
      <x:c r="E195" s="46" t="str">
        <x:v>USD 1,300,000</x:v>
      </x:c>
      <x:c r="F195" s="46" t="str"/>
      <x:c r="G195" s="46" t="str">
        <x:v>L2023-00019-1/2. Section 1,7,8,9 (2)/Section 8 - Specail Conditions of Contract.docx</x:v>
      </x:c>
      <x:c r="H195" s="43" t="str">
        <x:v>문단 365</x:v>
      </x:c>
      <x:c r="I195" s="46" t="str">
        <x:v>The Contract Price is the lump sum price of [Insert Contract Price in figures and words (e.g. USD 1,300,000 (one million three hundred thousand US Dollars)].</x:v>
      </x:c>
      <x:c r="J195" s="43" t="str">
        <x:v>자동추출·검토필요</x:v>
      </x:c>
    </x:row>
    <x:row r="196">
      <x:c r="A196" s="43" t="str">
        <x:v>L2023-00019-1</x:v>
      </x:c>
      <x:c r="B196" s="43" t="str">
        <x:v>공사비</x:v>
      </x:c>
      <x:c r="C196" s="46" t="str">
        <x:v>공사비</x:v>
      </x:c>
      <x:c r="D196" s="46" t="str"/>
      <x:c r="E196" s="46" t="str">
        <x:v>원 1.2</x:v>
      </x:c>
      <x:c r="F196" s="46" t="str"/>
      <x:c r="G196" s="46" t="str">
        <x:v>L2023-00019-1/3. KOICA Safty Mangement Manual/KOICA_░╟╝│░°╗τ ╛╚└ⁿ░ⁿ╕«╛≈╣½ ╕┼┤║╛≤(▒╣╣«).pdf</x:v>
      </x:c>
      <x:c r="H196" s="43" t="str">
        <x:v>페이지 27</x:v>
      </x:c>
      <x:c r="I196" s="46" t="str">
        <x:v>제4장 시공자의 안전관리업무 건설안전에 대한 시공자의 의사결정은 건설공사에 직접적으로 영향을 미 친다. 공사일정, 공사비, 품질 등 다른 공사목표가 침해되지 않는 범위에서 작업자 및 공사목적물의 안전에 관한 시공자의 적극적인 고려가 있다면, 안 전사고는 예방 또는 저감될 수 있다. 따라서 KOICA 및 건설사업관리기술 자는 안전사고의 예방을 위해 시공자로 하여금 본 매뉴얼에 제시된 안전관 리업무를 수행토록 해야 한다. 1. 공사발주 및 착공 이전 1.1 건설현장 안전관리 관계자의 업무분담 1.1.1 건설공사 현장 안전관리에 대한 1차적인 책임이 시공자에게 있으 므로, 시공자는 다음 각 호의 건설현장 안전관리 관계자의 안전 관리업무가 제대로 이행되는 지를 총괄하여야 한다. (1) 해당 건설공사의 시공 및 안전에 관한 업무를 총괄하여 관리 하는 안전총괄책임자 (2) 토목, 건축, 전기, 기계, 설비 등 건설공사의 각 분야별 시공 및 안전관리를 지휘하고 담당하는 분야별 안전관리담당자 (3) 수급인과 하수급인으로 구성된 협의체의 구성원 1.2 안전관리계획서 작성을 위한 정보 확인 1.2.1 시공자는 용지조건의 특수성과 설계에서 잔여된 위험요소를 고려 한 안전관리계획서를 작성하기 위해 다음 각 호의 정보를 확인하 여야 한다. (1) 현장 근처의 철길이나 혼잡한 인접도로 등과 같은 현장 접근 에 관한 사항 (2) 지하 매설물과 지하수 흐름에 관한 사항 (3) 붕괴를 유발할 수 있는 인접건물, 구조물 및 식수현황에 관 －22－</x:v>
      </x:c>
      <x:c r="J196" s="43" t="str">
        <x:v>자동추출·검토필요</x:v>
      </x:c>
    </x:row>
    <x:row r="197">
      <x:c r="A197" s="43" t="str">
        <x:v>L2023-00019-1</x:v>
      </x:c>
      <x:c r="B197" s="43" t="str">
        <x:v>공사비</x:v>
      </x:c>
      <x:c r="C197" s="46" t="str">
        <x:v>공사비</x:v>
      </x:c>
      <x:c r="D197" s="46" t="str"/>
      <x:c r="E197" s="46" t="str">
        <x:v>원 1.2</x:v>
      </x:c>
      <x:c r="F197" s="46" t="str"/>
      <x:c r="G197" s="46" t="str">
        <x:v>L2023-00019-1/3. KOICA Safty Mangement Manual/KOICA_░╟╝│░°╗τ ╛╚└ⁿ░ⁿ╕«╛≈╣½ ╕┼┤║╛≤(▒╣╣«).pdf</x:v>
      </x:c>
      <x:c r="H197" s="43" t="str">
        <x:v>페이지 36</x:v>
      </x:c>
      <x:c r="I197" s="46" t="str">
        <x:v>제5장 건설사업관리기술자의 안전관리업무 이 매뉴얼에서 건설사업관리기술자는「건설기술 진흥법」제26조에 따른 건설사업관리용역업자에 소속되어 건설사업관리 업무를 수행하는 자를 말 한다. 건설사업관리기술자는 건설현장에서 KOICA 대리인으로서의 기능을 담당 한다. 건설안전에 대한 시공자의 의사결정이 공사일정, 공사비, 품질 등 다 른 공사목표가 침해되지 않는 범위에서 적극적으로 이루어졌는지의 여부를 검토하는 것이 주요 업무가 된다. 이와 같은 건설사업관리기술자의 업무를 통해서 안전사고를 예방 또는 저감할 수 있다. 따라서 KOICA는 안전사고의 예방을 위해 건설사업관리기술자로 하여금 본 매뉴얼에서 제시된 안전관리업무를 수행토록 해야 한다. 1. 공사착공 이전 1.1 건설현장 안전관리 관계자의 업무분담 적정성 검토 1.1.1 건설사업관리기술자는 다음 각 호의 건설현장 안전관리 관계자를 대상으로 시공자가 구성한 안전관리조직의 편성 및 안전관리업무 가 법상 구비조건을 충족하고 있는지를 검토하여야 한다. (1) 해당 건설공사의 시공 및 안전에 관한 업무를 총괄하여 관리 하는 안전총괄책임자 (2) 토목, 건축, 전기, 기계, 설비 등 건설공사의 각 분야별 시공 및 안전관리를 지휘하고 담당하는 분야별 안전관리담당자 (3) 수급인과 하수급인으로 구성된 협의체의 구성원 1.2 건설공사의 안전관리계획서 검토 및 확인 1.2.1 건설사업관리기술자는 시공자가 「건설기술 진흥법 시행령」제98 －31－</x:v>
      </x:c>
      <x:c r="J197" s="43" t="str">
        <x:v>자동추출·검토필요</x:v>
      </x:c>
    </x:row>
    <x:row r="198">
      <x:c r="A198" s="43" t="str">
        <x:v>L2023-00019-1</x:v>
      </x:c>
      <x:c r="B198" s="43" t="str">
        <x:v>공사비</x:v>
      </x:c>
      <x:c r="C198" s="46" t="str">
        <x:v>contract amount</x:v>
      </x:c>
      <x:c r="D198" s="46" t="str"/>
      <x:c r="E198" s="46" t="str">
        <x:v>6. Pen</x:v>
      </x:c>
      <x:c r="F198" s="46" t="str"/>
      <x:c r="G198" s="46" t="str">
        <x:v>L2023-00019-1/4. KOICA Regulations and Guidelines (1)/Detailed Enforcement Rules of the Regulations for Procurement and Contract in Grant Aid Projects(┤δ┐▄╣½╗≤╟∙╖┬╗τ╛≈┐í ░ⁿ╟╤ ┴╢┤▐ ╣╫ ░Φ╛α▒╘┴ñ ╜├╟α╝╝─ó)_20190503.pdf</x:v>
      </x:c>
      <x:c r="H198" s="43" t="str">
        <x:v>페이지 44</x:v>
      </x:c>
      <x:c r="I198" s="46" t="str">
        <x:v>Article 48 (Preparing and Signing Contracts) (1) When signing a contract, the head of the procurement department shall prepare a contract clearly stating the following items. However, in cases falling under Article 49 of the Enforcement Decree of the Act on Contracts to Which the State is a Party, the contract need not be prepared: 1. Purpose of the contract; 2. Contract amount; 3. Implementation period; 4. Contract bond; 5. Risk burden; 6. Penalty for delay; 7. Other necessary matters. (2) When a contract is drafted pursuant to Paragraph (1), the contract shall be finalized by the head of the procurement department and the counterparty shall write his/her/its name, imprint seal, or sign the contract. (3) Where signing a contract with a foreigner, if other special grounds exist, the signature of the head of the procurement department may be in lieu thereof. (4) When the head of the procurement department determines the counterparty, he/she shall sign a contract based upon each standard contract within 10 days of the date of the successful tender or contract notification. (5) The head of the procurement department may sign a contract by specifying the special contract terms necessar</x:v>
      </x:c>
      <x:c r="J198" s="43" t="str">
        <x:v>자동추출·검토필요</x:v>
      </x:c>
    </x:row>
    <x:row r="199">
      <x:c r="A199" s="43" t="str">
        <x:v>L2023-00019-1</x:v>
      </x:c>
      <x:c r="B199" s="43" t="str">
        <x:v>공사비</x:v>
      </x:c>
      <x:c r="C199" s="46" t="str">
        <x:v>contract amount</x:v>
      </x:c>
      <x:c r="D199" s="46" t="str"/>
      <x:c r="E199" s="46" t="str">
        <x:v>KRW 50 million</x:v>
      </x:c>
      <x:c r="F199" s="46" t="str"/>
      <x:c r="G199" s="46" t="str">
        <x:v>L2023-00019-1/4. KOICA Regulations and Guidelines (1)/Detailed Enforcement Rules of the Regulations for Procurement and Contract in Grant Aid Projects(┤δ┐▄╣½╗≤╟∙╖┬╗τ╛≈┐í ░ⁿ╟╤ ┴╢┤▐ ╣╫ ░Φ╛α▒╘┴ñ ╜├╟α╝╝─ó)_20190503.pdf</x:v>
      </x:c>
      <x:c r="H199" s="43" t="str">
        <x:v>페이지 46</x:v>
      </x:c>
      <x:c r="I199" s="46" t="str">
        <x:v>bond shall be exempted in any of the following circumstances. In such cases, the Payment Guarantee Confirmation Memorandum of Contract Bond (Form 14) shall be submitted when a ground arises for the contract bond to escheat: &lt;Amended on Jun. 3, 2009, Feb. 18, 2016&gt; 1. When a contract is signed with a person falling under Article 26 (2) 1 or 4 and 6; &lt;Amended on Oct. 8, 2008, Jul. 20, 2017&gt; 2. Where signing a contract with a contract amount of up to KRW 50 million; &lt;Amended on Jul. 20, 2017&gt; 3. Where the collection of contract bonds is not appropriate considering the customs effecting the contract that are generally recognized as fair and reasonable. 4. When purchasing parts of foreign-funded facilities, machinery, and equipment that have already been introduced, and it is impracticable to purchase the parts unless the supplier is involved. &lt;Newly Inserted on Jul. 20, 2017&gt; (3) If the counterparty requests that the contract bond paid in securities or cash pursuant to Article 192 of the Enforcement Decree of the Financial Investment Services and Capital Markets Act is in lieu of a certificate of guaranty stipulated in Article 37 (2) 1 to 5 of the Enforcement Decree of the Act on Contr</x:v>
      </x:c>
      <x:c r="J199" s="43" t="str">
        <x:v>자동추출·검토필요</x:v>
      </x:c>
    </x:row>
    <x:row r="200">
      <x:c r="A200" s="43" t="str">
        <x:v>L2023-00019-1</x:v>
      </x:c>
      <x:c r="B200" s="43" t="str">
        <x:v>공사비</x:v>
      </x:c>
      <x:c r="C200" s="46" t="str">
        <x:v>contract amount</x:v>
      </x:c>
      <x:c r="D200" s="46" t="str"/>
      <x:c r="E200" s="46" t="str">
        <x:v>KRW 30 million</x:v>
      </x:c>
      <x:c r="F200" s="46" t="str"/>
      <x:c r="G200" s="46" t="str">
        <x:v>L2023-00019-1/4. KOICA Regulations and Guidelines (1)/Detailed Enforcement Rules of the Regulations for Procurement and Contract in Grant Aid Projects(┤δ┐▄╣½╗≤╟∙╖┬╗τ╛≈┐í ░ⁿ╟╤ ┴╢┤▐ ╣╫ ░Φ╛α▒╘┴ñ ╜├╟α╝╝─ó)_20190503.pdf</x:v>
      </x:c>
      <x:c r="H200" s="43" t="str">
        <x:v>페이지 48</x:v>
      </x:c>
      <x:c r="I200" s="46" t="str">
        <x:v>(1) Where possible to omit a contract pursuant to Article 49 of the Enforcement Decree of the Act on Contracts to Which the State is a Party shall be as follows: &lt;Amended on Jul. 20, 2017&gt; 1. Where signing a contract with a contract amount not exceeding KRW 30 million; &lt;Amended on Jul. 20, 2017&gt; 2. Where signing a contract with the state or a local government; &lt;Amended on Jul. 20, 2017&gt; 3. Deleted. &lt;Jul. 20, 2017&gt; (2) Where omitting a contract, documents that can evidence establishment of the contract, such as invoices, memorandums, agreements, and acceptance, shall be submitted by the counterparty and retained. Article 55 (Indicating Donation Text and Shipping Mark) (1) The heads of the procurement and business department shall have the contractor of supplying goods affix a donation phrase on commodities and a shipping mark and mark “warning”, “danger”, or “safety” on the packaging box. &lt;Amended on Feb. 18, 2016&gt; (2) The donation phrase and shipping mark shall be as prescribed in Form 16. Article 56 (Inspections) (1) Pursuant to Article 35 of the Regulations and Article 14 of the Act on Contracts to Which the State is a Party, the head of the procurement department and the busines</x:v>
      </x:c>
      <x:c r="J200" s="43" t="str">
        <x:v>자동추출·검토필요</x:v>
      </x:c>
    </x:row>
    <x:row r="201">
      <x:c r="A201" s="43" t="str">
        <x:v>L2023-00019-1</x:v>
      </x:c>
      <x:c r="B201" s="43" t="str">
        <x:v>공사비</x:v>
      </x:c>
      <x:c r="C201" s="46" t="str">
        <x:v>contract amount</x:v>
      </x:c>
      <x:c r="D201" s="46" t="str"/>
      <x:c r="E201" s="46" t="str">
        <x:v>KRW 420 billion</x:v>
      </x:c>
      <x:c r="F201" s="46" t="str"/>
      <x:c r="G201" s="46" t="str">
        <x:v>L2023-00019-1/4. KOICA Regulations and Guidelines (1)/Detailed Enforcement Rules of the Regulations for Procurement and Contract in Grant Aid Projects(┤δ┐▄╣½╗≤╟∙╖┬╗τ╛≈┐í ░ⁿ╟╤ ┴╢┤▐ ╣╫ ░Φ╛α▒╘┴ñ ╜├╟α╝╝─ó)_20190503.pdf</x:v>
      </x:c>
      <x:c r="H201" s="43" t="str">
        <x:v>페이지 61</x:v>
      </x:c>
      <x:c r="I201"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201" s="43" t="str">
        <x:v>자동추출·검토필요</x:v>
      </x:c>
    </x:row>
    <x:row r="202">
      <x:c r="A202" s="43" t="str">
        <x:v>L2023-00019-1</x:v>
      </x:c>
      <x:c r="B202" s="43" t="str">
        <x:v>공사비</x:v>
      </x:c>
      <x:c r="C202" s="46" t="str">
        <x:v>contract amount</x:v>
      </x:c>
      <x:c r="D202" s="46" t="str"/>
      <x:c r="E202" s="46" t="str">
        <x:v>KRW 2 billion</x:v>
      </x:c>
      <x:c r="F202" s="46" t="str"/>
      <x:c r="G202" s="46" t="str">
        <x:v>L2023-00019-1/4. KOICA Regulations and Guidelines (1)/Guidelines for Technical Evaluation(▒Γ╝·╞≥░í┴÷─º)_20210408.pdf</x:v>
      </x:c>
      <x:c r="H202" s="43" t="str">
        <x:v>페이지 33</x:v>
      </x:c>
      <x:c r="I202"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202" s="43" t="str">
        <x:v>자동추출·검토필요</x:v>
      </x:c>
    </x:row>
    <x:row r="203">
      <x:c r="A203" s="43" t="str">
        <x:v>L2023-00019-1</x:v>
      </x:c>
      <x:c r="B203" s="43" t="str">
        <x:v>공사비</x:v>
      </x:c>
      <x:c r="C203" s="46" t="str">
        <x:v>contract amount</x:v>
      </x:c>
      <x:c r="D203" s="46" t="str"/>
      <x:c r="E203" s="46" t="str">
        <x:v>1 KRW | 2 KRW | 1 KRW | 2 KRW</x:v>
      </x:c>
      <x:c r="F203" s="46" t="str">
        <x:v>50%</x:v>
      </x:c>
      <x:c r="G203" s="46" t="str">
        <x:v>L2023-00019-1/4. KOICA Regulations and Guidelines (1)/Guidelines for Technical Evaluation(▒Γ╝·╞≥░í┴÷─º)_20210408.pdf</x:v>
      </x:c>
      <x:c r="H203" s="43" t="str">
        <x:v>페이지 63</x:v>
      </x:c>
      <x:c r="I203" s="46" t="str">
        <x:v>[Form 6-2] Software Project Subcontracting Plan (when signing a contract) &lt;Newly Inserted on Apr. 8, 2021&gt; Software Project Subcontracting Plan (when signing a contract) Project Name Contract Amount (C) KRW Period mm/dd/yy ∼ mm/dd/yy Contractor Business Name Representative (Representative of Corporate contracting Registration Location consortium) Number Plan to be subcontracted Ratio of Estimated Planned Subcontractor Subcontract Contract Subcontracting No. Contractor Subcontracting Name Name Period Amount to Amount (A) Contract Amount . . . ∼ . . 1 KRW % . . . . ∼ . . 2 KRW % . . . . ∼ . . Total KRW % . Plan to purchase goods directly Category Estimated Name of Manufacturer Proposed No. (HW, Facility, Quantity Purchase Goods (Developer) Purchase Date Commercial SW) Amount (B) 1 KRW 2 KRW Total KRW - If the contractor is a contracting consortium, specify the plan for subcontracting of the consortium members (including the representative). - Simple purchase of goods, installation services, new technology, or specialized technology included in subcontracting - Direct goods purchase plans are limited to items purchased directly by the contractor (contract partner) - Grounds for except</x:v>
      </x:c>
      <x:c r="J203" s="43" t="str">
        <x:v>자동추출·검토필요</x:v>
      </x:c>
    </x:row>
    <x:row r="204">
      <x:c r="A204" s="43" t="str">
        <x:v>L2023-00019-1</x:v>
      </x:c>
      <x:c r="B204" s="43" t="str">
        <x:v>공사비</x:v>
      </x:c>
      <x:c r="C204" s="46" t="str">
        <x:v>contract amount</x:v>
      </x:c>
      <x:c r="D204" s="46" t="str"/>
      <x:c r="E204" s="46" t="str">
        <x:v>KRW 30 million</x:v>
      </x:c>
      <x:c r="F204" s="46" t="str"/>
      <x:c r="G204" s="46" t="str">
        <x:v>L2023-00019-1/4. KOICA Regulations and Guidelines (1)/Regulations for Procurement and Contract in Grant Aid Projects(┤δ┐▄╣½╗≤╟∙╖┬╗τ╛≈┐í ░ⁿ╟╤ ┴╢┤▐ ╣╫ ░Φ╛α▒╘┴ñ)_20190520.pdf</x:v>
      </x:c>
      <x:c r="H204" s="43" t="str">
        <x:v>페이지 26</x:v>
      </x:c>
      <x:c r="I204" s="46" t="str">
        <x:v>not exceed KRW 30 million. &lt;Amended on May 20, 2019&gt; (2) Warranty bond shall be paid at a rate of between 2/100 and 10/100 of the contract amount to guarantee repair of defects and the bond shall be kept for the warranty period under the provisions of Paragraph (1). Article 31-2 (Liquidated Damages) (1) When signing contracts for construction works and services that require liquidated damages, it is mandatory to purchase indemnity insurance and join a mutual aid association. &lt;Amended on Dec. 30, 2016&gt; (2) Details related to the calculation of insurance costs shall be determined separately. &lt;Amended on Dec. 30, 2016&gt; [This Article Newly Inserted on Nov. 2, 2015] Article 32 (Payment and Settlement of Service Cost) (1) Technical service fees shall be paid in installments or lump-sum according to the terms and conditions of the contract and the counterparty's request. &lt;Amended on Nov. 2, 2015, Dec. 30, 2016&gt; (2) The counterparty shall return the balance after settlement of the service fee is confirmed and the details shall be determined separately. &lt;Amended on Nov. 2, 2015, Dec. 30, 2016&gt; Article 33 (Performing Integrity Agreements) (1) KOICA shall require a tenderer or counterparty to</x:v>
      </x:c>
      <x:c r="J204" s="43" t="str">
        <x:v>자동추출·검토필요</x:v>
      </x:c>
    </x:row>
    <x:row r="205">
      <x:c r="A205" s="43" t="str">
        <x:v>L2023-00012-1</x:v>
      </x:c>
      <x:c r="B205" s="43" t="str">
        <x:v>공사비</x:v>
      </x:c>
      <x:c r="C205" s="46" t="str">
        <x:v>contract price</x:v>
      </x:c>
      <x:c r="D205" s="46" t="str"/>
      <x:c r="E205" s="46" t="str">
        <x:v>USD 1,300,000</x:v>
      </x:c>
      <x:c r="F205" s="46" t="str"/>
      <x:c r="G205" s="46" t="str">
        <x:v>L2023-00012-1/붙임 3. 부속서류 일체/Section 8 - Specail Conditions of Contract.docx</x:v>
      </x:c>
      <x:c r="H205" s="43" t="str">
        <x:v>문단 365</x:v>
      </x:c>
      <x:c r="I205" s="46" t="str">
        <x:v>The Contract Price is the lump sum price of [Insert Contract Price in figures and words (e.g. USD 1,300,000 (one million three hundred thousand US Dollars)].</x:v>
      </x:c>
      <x:c r="J205" s="43" t="str">
        <x:v>자동추출·검토필요</x:v>
      </x:c>
    </x:row>
    <x:row r="206">
      <x:c r="A206" s="43" t="str">
        <x:v>L2023-00009-1</x:v>
      </x:c>
      <x:c r="B206" s="43" t="str">
        <x:v>공사비</x:v>
      </x:c>
      <x:c r="C206" s="46" t="str">
        <x:v>contract price</x:v>
      </x:c>
      <x:c r="D206" s="46" t="str"/>
      <x:c r="E206" s="46" t="str">
        <x:v>USD 1,300,000</x:v>
      </x:c>
      <x:c r="F206" s="46" t="str"/>
      <x:c r="G206" s="46" t="str">
        <x:v>L2023-00009-1/2. 입찰서류(영문)/Part 3(░Φ╛α╝¡ ╣╫ ▒Γ┼╕ └┌╖ß)/Section 8 - Specail Conditions of Contract.docx</x:v>
      </x:c>
      <x:c r="H206" s="43" t="str">
        <x:v>문단 330</x:v>
      </x:c>
      <x:c r="I206" s="46" t="str">
        <x:v>The Contract Price is the lump sum price of [Insert Contract Price in figures and words (e.g. USD 1,300,000 (one million three hundred thousand US Dollars)].</x:v>
      </x:c>
      <x:c r="J206" s="43" t="str">
        <x:v>자동추출·검토필요</x:v>
      </x:c>
    </x:row>
    <x:row r="207">
      <x:c r="A207" s="43" t="str">
        <x:v>L2023-00007-1</x:v>
      </x:c>
      <x:c r="B207" s="43" t="str">
        <x:v>공사비</x:v>
      </x:c>
      <x:c r="C207" s="46" t="str">
        <x:v>contract price</x:v>
      </x:c>
      <x:c r="D207" s="46" t="str"/>
      <x:c r="E207" s="46" t="str">
        <x:v>USD 5,230,806</x:v>
      </x:c>
      <x:c r="F207" s="46" t="str">
        <x:v>2.5%</x:v>
      </x:c>
      <x:c r="G207" s="46" t="str">
        <x:v>L2023-00007-1/붙임2_우르겐치_시공_입찰공고_첨부서류_모음_수정/Invitation_for_Bids_Bid_Announcement1.docx</x:v>
      </x:c>
      <x:c r="H207" s="43" t="str">
        <x:v>표 1 행 9</x:v>
      </x:c>
      <x:c r="I207" s="46" t="str">
        <x:v>• Base Price Practice | Base Price: USD 5,230,806 (excluding Value Added Tax and Customs Duty ) *The safety management cost will be included in the contract price, which shall be point five (0.25) % of project cost that cannot be consumed for other purposes but safety management. the balance of the safety management cost shall be returned on the completion of works.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x:v>
      </x:c>
      <x:c r="J207" s="43" t="str">
        <x:v>자동추출·검토필요</x:v>
      </x:c>
    </x:row>
    <x:row r="208">
      <x:c r="A208" s="43" t="str">
        <x:v>L2023-00006-1</x:v>
      </x:c>
      <x:c r="B208" s="43" t="str">
        <x:v>공사비</x:v>
      </x:c>
      <x:c r="C208" s="46" t="str">
        <x:v>contract price</x:v>
      </x:c>
      <x:c r="D208" s="46" t="str"/>
      <x:c r="E208" s="46" t="str">
        <x:v>USD 1,300,000</x:v>
      </x:c>
      <x:c r="F208" s="46" t="str"/>
      <x:c r="G208" s="46" t="str">
        <x:v>L2023-00006-1/2. Section 1,7,8,9/Section 8 - Specail Conditions of Contract.docx</x:v>
      </x:c>
      <x:c r="H208" s="43" t="str">
        <x:v>문단 365</x:v>
      </x:c>
      <x:c r="I208" s="46" t="str">
        <x:v>The Contract Price is the lump sum price of [Insert Contract Price in figures and words (e.g. USD 1,300,000 (one million three hundred thousand US Dollars)].</x:v>
      </x:c>
      <x:c r="J208" s="43" t="str">
        <x:v>자동추출·검토필요</x:v>
      </x:c>
    </x:row>
    <x:row r="209">
      <x:c r="A209" s="43" t="str">
        <x:v>L2023-00006-1</x:v>
      </x:c>
      <x:c r="B209" s="43" t="str">
        <x:v>공사비</x:v>
      </x:c>
      <x:c r="C209" s="46" t="str">
        <x:v>공사비</x:v>
      </x:c>
      <x:c r="D209" s="46" t="str"/>
      <x:c r="E209" s="46" t="str">
        <x:v>원 1.2</x:v>
      </x:c>
      <x:c r="F209" s="46" t="str"/>
      <x:c r="G209" s="46" t="str">
        <x:v>L2023-00006-1/3. KOICA Safty Management Manual/KOICA_░╟╝│░°╗τ ╛╚└ⁿ░ⁿ╕«╛≈╣½ ╕┼┤║╛≤(▒╣╣«).pdf</x:v>
      </x:c>
      <x:c r="H209" s="43" t="str">
        <x:v>페이지 27</x:v>
      </x:c>
      <x:c r="I209" s="46" t="str">
        <x:v>제4장 시공자의 안전관리업무 건설안전에 대한 시공자의 의사결정은 건설공사에 직접적으로 영향을 미 친다. 공사일정, 공사비, 품질 등 다른 공사목표가 침해되지 않는 범위에서 작업자 및 공사목적물의 안전에 관한 시공자의 적극적인 고려가 있다면, 안 전사고는 예방 또는 저감될 수 있다. 따라서 KOICA 및 건설사업관리기술 자는 안전사고의 예방을 위해 시공자로 하여금 본 매뉴얼에 제시된 안전관 리업무를 수행토록 해야 한다. 1. 공사발주 및 착공 이전 1.1 건설현장 안전관리 관계자의 업무분담 1.1.1 건설공사 현장 안전관리에 대한 1차적인 책임이 시공자에게 있으 므로, 시공자는 다음 각 호의 건설현장 안전관리 관계자의 안전 관리업무가 제대로 이행되는 지를 총괄하여야 한다. (1) 해당 건설공사의 시공 및 안전에 관한 업무를 총괄하여 관리 하는 안전총괄책임자 (2) 토목, 건축, 전기, 기계, 설비 등 건설공사의 각 분야별 시공 및 안전관리를 지휘하고 담당하는 분야별 안전관리담당자 (3) 수급인과 하수급인으로 구성된 협의체의 구성원 1.2 안전관리계획서 작성을 위한 정보 확인 1.2.1 시공자는 용지조건의 특수성과 설계에서 잔여된 위험요소를 고려 한 안전관리계획서를 작성하기 위해 다음 각 호의 정보를 확인하 여야 한다. (1) 현장 근처의 철길이나 혼잡한 인접도로 등과 같은 현장 접근 에 관한 사항 (2) 지하 매설물과 지하수 흐름에 관한 사항 (3) 붕괴를 유발할 수 있는 인접건물, 구조물 및 식수현황에 관 －22－</x:v>
      </x:c>
      <x:c r="J209" s="43" t="str">
        <x:v>자동추출·검토필요</x:v>
      </x:c>
    </x:row>
    <x:row r="210">
      <x:c r="A210" s="43" t="str">
        <x:v>L2023-00006-1</x:v>
      </x:c>
      <x:c r="B210" s="43" t="str">
        <x:v>공사비</x:v>
      </x:c>
      <x:c r="C210" s="46" t="str">
        <x:v>공사비</x:v>
      </x:c>
      <x:c r="D210" s="46" t="str"/>
      <x:c r="E210" s="46" t="str">
        <x:v>원 1.2</x:v>
      </x:c>
      <x:c r="F210" s="46" t="str"/>
      <x:c r="G210" s="46" t="str">
        <x:v>L2023-00006-1/3. KOICA Safty Management Manual/KOICA_░╟╝│░°╗τ ╛╚└ⁿ░ⁿ╕«╛≈╣½ ╕┼┤║╛≤(▒╣╣«).pdf</x:v>
      </x:c>
      <x:c r="H210" s="43" t="str">
        <x:v>페이지 36</x:v>
      </x:c>
      <x:c r="I210" s="46" t="str">
        <x:v>제5장 건설사업관리기술자의 안전관리업무 이 매뉴얼에서 건설사업관리기술자는「건설기술 진흥법」제26조에 따른 건설사업관리용역업자에 소속되어 건설사업관리 업무를 수행하는 자를 말 한다. 건설사업관리기술자는 건설현장에서 KOICA 대리인으로서의 기능을 담당 한다. 건설안전에 대한 시공자의 의사결정이 공사일정, 공사비, 품질 등 다 른 공사목표가 침해되지 않는 범위에서 적극적으로 이루어졌는지의 여부를 검토하는 것이 주요 업무가 된다. 이와 같은 건설사업관리기술자의 업무를 통해서 안전사고를 예방 또는 저감할 수 있다. 따라서 KOICA는 안전사고의 예방을 위해 건설사업관리기술자로 하여금 본 매뉴얼에서 제시된 안전관리업무를 수행토록 해야 한다. 1. 공사착공 이전 1.1 건설현장 안전관리 관계자의 업무분담 적정성 검토 1.1.1 건설사업관리기술자는 다음 각 호의 건설현장 안전관리 관계자를 대상으로 시공자가 구성한 안전관리조직의 편성 및 안전관리업무 가 법상 구비조건을 충족하고 있는지를 검토하여야 한다. (1) 해당 건설공사의 시공 및 안전에 관한 업무를 총괄하여 관리 하는 안전총괄책임자 (2) 토목, 건축, 전기, 기계, 설비 등 건설공사의 각 분야별 시공 및 안전관리를 지휘하고 담당하는 분야별 안전관리담당자 (3) 수급인과 하수급인으로 구성된 협의체의 구성원 1.2 건설공사의 안전관리계획서 검토 및 확인 1.2.1 건설사업관리기술자는 시공자가 「건설기술 진흥법 시행령」제98 －31－</x:v>
      </x:c>
      <x:c r="J210" s="43" t="str">
        <x:v>자동추출·검토필요</x:v>
      </x:c>
    </x:row>
    <x:row r="211">
      <x:c r="A211" s="43" t="str">
        <x:v>L2023-00006-1</x:v>
      </x:c>
      <x:c r="B211" s="43" t="str">
        <x:v>공사비</x:v>
      </x:c>
      <x:c r="C211" s="46" t="str">
        <x:v>contract amount</x:v>
      </x:c>
      <x:c r="D211" s="46" t="str"/>
      <x:c r="E211" s="46" t="str">
        <x:v>6. Pen</x:v>
      </x:c>
      <x:c r="F211" s="46" t="str"/>
      <x:c r="G211" s="46" t="str">
        <x:v>L2023-00006-1/4. KOICA Regulations and Guidelines/Detailed Enforcement Rules of the Regulations for Procurement and Contract in Grant Aid Projects(┤δ┐▄╣½╗≤╟∙╖┬╗τ╛≈┐í ░ⁿ╟╤ ┴╢┤▐ ╣╫ ░Φ╛α▒╘┴ñ ╜├╟α╝╝─ó)_20190503.pdf</x:v>
      </x:c>
      <x:c r="H211" s="43" t="str">
        <x:v>페이지 44</x:v>
      </x:c>
      <x:c r="I211" s="46" t="str">
        <x:v>Article 48 (Preparing and Signing Contracts) (1) When signing a contract, the head of the procurement department shall prepare a contract clearly stating the following items. However, in cases falling under Article 49 of the Enforcement Decree of the Act on Contracts to Which the State is a Party, the contract need not be prepared: 1. Purpose of the contract; 2. Contract amount; 3. Implementation period; 4. Contract bond; 5. Risk burden; 6. Penalty for delay; 7. Other necessary matters. (2) When a contract is drafted pursuant to Paragraph (1), the contract shall be finalized by the head of the procurement department and the counterparty shall write his/her/its name, imprint seal, or sign the contract. (3) Where signing a contract with a foreigner, if other special grounds exist, the signature of the head of the procurement department may be in lieu thereof. (4) When the head of the procurement department determines the counterparty, he/she shall sign a contract based upon each standard contract within 10 days of the date of the successful tender or contract notification. (5) The head of the procurement department may sign a contract by specifying the special contract terms necessar</x:v>
      </x:c>
      <x:c r="J211" s="43" t="str">
        <x:v>자동추출·검토필요</x:v>
      </x:c>
    </x:row>
    <x:row r="212">
      <x:c r="A212" s="43" t="str">
        <x:v>L2023-00006-1</x:v>
      </x:c>
      <x:c r="B212" s="43" t="str">
        <x:v>공사비</x:v>
      </x:c>
      <x:c r="C212" s="46" t="str">
        <x:v>contract amount</x:v>
      </x:c>
      <x:c r="D212" s="46" t="str"/>
      <x:c r="E212" s="46" t="str">
        <x:v>KRW 50 million</x:v>
      </x:c>
      <x:c r="F212" s="46" t="str"/>
      <x:c r="G212" s="46" t="str">
        <x:v>L2023-00006-1/4. KOICA Regulations and Guidelines/Detailed Enforcement Rules of the Regulations for Procurement and Contract in Grant Aid Projects(┤δ┐▄╣½╗≤╟∙╖┬╗τ╛≈┐í ░ⁿ╟╤ ┴╢┤▐ ╣╫ ░Φ╛α▒╘┴ñ ╜├╟α╝╝─ó)_20190503.pdf</x:v>
      </x:c>
      <x:c r="H212" s="43" t="str">
        <x:v>페이지 46</x:v>
      </x:c>
      <x:c r="I212" s="46" t="str">
        <x:v>bond shall be exempted in any of the following circumstances. In such cases, the Payment Guarantee Confirmation Memorandum of Contract Bond (Form 14) shall be submitted when a ground arises for the contract bond to escheat: &lt;Amended on Jun. 3, 2009, Feb. 18, 2016&gt; 1. When a contract is signed with a person falling under Article 26 (2) 1 or 4 and 6; &lt;Amended on Oct. 8, 2008, Jul. 20, 2017&gt; 2. Where signing a contract with a contract amount of up to KRW 50 million; &lt;Amended on Jul. 20, 2017&gt; 3. Where the collection of contract bonds is not appropriate considering the customs effecting the contract that are generally recognized as fair and reasonable. 4. When purchasing parts of foreign-funded facilities, machinery, and equipment that have already been introduced, and it is impracticable to purchase the parts unless the supplier is involved. &lt;Newly Inserted on Jul. 20, 2017&gt; (3) If the counterparty requests that the contract bond paid in securities or cash pursuant to Article 192 of the Enforcement Decree of the Financial Investment Services and Capital Markets Act is in lieu of a certificate of guaranty stipulated in Article 37 (2) 1 to 5 of the Enforcement Decree of the Act on Contr</x:v>
      </x:c>
      <x:c r="J212" s="43" t="str">
        <x:v>자동추출·검토필요</x:v>
      </x:c>
    </x:row>
    <x:row r="213">
      <x:c r="A213" s="43" t="str">
        <x:v>L2023-00006-1</x:v>
      </x:c>
      <x:c r="B213" s="43" t="str">
        <x:v>공사비</x:v>
      </x:c>
      <x:c r="C213" s="46" t="str">
        <x:v>contract amount</x:v>
      </x:c>
      <x:c r="D213" s="46" t="str"/>
      <x:c r="E213" s="46" t="str">
        <x:v>KRW 30 million</x:v>
      </x:c>
      <x:c r="F213" s="46" t="str"/>
      <x:c r="G213" s="46" t="str">
        <x:v>L2023-00006-1/4. KOICA Regulations and Guidelines/Detailed Enforcement Rules of the Regulations for Procurement and Contract in Grant Aid Projects(┤δ┐▄╣½╗≤╟∙╖┬╗τ╛≈┐í ░ⁿ╟╤ ┴╢┤▐ ╣╫ ░Φ╛α▒╘┴ñ ╜├╟α╝╝─ó)_20190503.pdf</x:v>
      </x:c>
      <x:c r="H213" s="43" t="str">
        <x:v>페이지 48</x:v>
      </x:c>
      <x:c r="I213" s="46" t="str">
        <x:v>(1) Where possible to omit a contract pursuant to Article 49 of the Enforcement Decree of the Act on Contracts to Which the State is a Party shall be as follows: &lt;Amended on Jul. 20, 2017&gt; 1. Where signing a contract with a contract amount not exceeding KRW 30 million; &lt;Amended on Jul. 20, 2017&gt; 2. Where signing a contract with the state or a local government; &lt;Amended on Jul. 20, 2017&gt; 3. Deleted. &lt;Jul. 20, 2017&gt; (2) Where omitting a contract, documents that can evidence establishment of the contract, such as invoices, memorandums, agreements, and acceptance, shall be submitted by the counterparty and retained. Article 55 (Indicating Donation Text and Shipping Mark) (1) The heads of the procurement and business department shall have the contractor of supplying goods affix a donation phrase on commodities and a shipping mark and mark “warning”, “danger”, or “safety” on the packaging box. &lt;Amended on Feb. 18, 2016&gt; (2) The donation phrase and shipping mark shall be as prescribed in Form 16. Article 56 (Inspections) (1) Pursuant to Article 35 of the Regulations and Article 14 of the Act on Contracts to Which the State is a Party, the head of the procurement department and the busines</x:v>
      </x:c>
      <x:c r="J213" s="43" t="str">
        <x:v>자동추출·검토필요</x:v>
      </x:c>
    </x:row>
    <x:row r="214">
      <x:c r="A214" s="43" t="str">
        <x:v>L2023-00006-1</x:v>
      </x:c>
      <x:c r="B214" s="43" t="str">
        <x:v>공사비</x:v>
      </x:c>
      <x:c r="C214" s="46" t="str">
        <x:v>contract amount</x:v>
      </x:c>
      <x:c r="D214" s="46" t="str"/>
      <x:c r="E214" s="46" t="str">
        <x:v>KRW 420 billion</x:v>
      </x:c>
      <x:c r="F214" s="46" t="str"/>
      <x:c r="G214" s="46" t="str">
        <x:v>L2023-00006-1/4. KOICA Regulations and Guidelines/Detailed Enforcement Rules of the Regulations for Procurement and Contract in Grant Aid Projects(┤δ┐▄╣½╗≤╟∙╖┬╗τ╛≈┐í ░ⁿ╟╤ ┴╢┤▐ ╣╫ ░Φ╛α▒╘┴ñ ╜├╟α╝╝─ó)_20190503.pdf</x:v>
      </x:c>
      <x:c r="H214" s="43" t="str">
        <x:v>페이지 61</x:v>
      </x:c>
      <x:c r="I214"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214" s="43" t="str">
        <x:v>자동추출·검토필요</x:v>
      </x:c>
    </x:row>
    <x:row r="215">
      <x:c r="A215" s="43" t="str">
        <x:v>L2023-00006-1</x:v>
      </x:c>
      <x:c r="B215" s="43" t="str">
        <x:v>공사비</x:v>
      </x:c>
      <x:c r="C215" s="46" t="str">
        <x:v>contract amount</x:v>
      </x:c>
      <x:c r="D215" s="46" t="str"/>
      <x:c r="E215" s="46" t="str">
        <x:v>KRW 2 billion</x:v>
      </x:c>
      <x:c r="F215" s="46" t="str"/>
      <x:c r="G215" s="46" t="str">
        <x:v>L2023-00006-1/4. KOICA Regulations and Guidelines/Guidelines for Technical Evaluation(▒Γ╝·╞≥░í┴÷─º)_20210408.pdf</x:v>
      </x:c>
      <x:c r="H215" s="43" t="str">
        <x:v>페이지 33</x:v>
      </x:c>
      <x:c r="I215"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215" s="43" t="str">
        <x:v>자동추출·검토필요</x:v>
      </x:c>
    </x:row>
    <x:row r="216">
      <x:c r="A216" s="43" t="str">
        <x:v>L2023-00006-1</x:v>
      </x:c>
      <x:c r="B216" s="43" t="str">
        <x:v>공사비</x:v>
      </x:c>
      <x:c r="C216" s="46" t="str">
        <x:v>contract amount</x:v>
      </x:c>
      <x:c r="D216" s="46" t="str"/>
      <x:c r="E216" s="46" t="str">
        <x:v>1 KRW | 2 KRW | 1 KRW | 2 KRW</x:v>
      </x:c>
      <x:c r="F216" s="46" t="str">
        <x:v>50%</x:v>
      </x:c>
      <x:c r="G216" s="46" t="str">
        <x:v>L2023-00006-1/4. KOICA Regulations and Guidelines/Guidelines for Technical Evaluation(▒Γ╝·╞≥░í┴÷─º)_20210408.pdf</x:v>
      </x:c>
      <x:c r="H216" s="43" t="str">
        <x:v>페이지 63</x:v>
      </x:c>
      <x:c r="I216" s="46" t="str">
        <x:v>[Form 6-2] Software Project Subcontracting Plan (when signing a contract) &lt;Newly Inserted on Apr. 8, 2021&gt; Software Project Subcontracting Plan (when signing a contract) Project Name Contract Amount (C) KRW Period mm/dd/yy ∼ mm/dd/yy Contractor Business Name Representative (Representative of Corporate contracting Registration Location consortium) Number Plan to be subcontracted Ratio of Estimated Planned Subcontractor Subcontract Contract Subcontracting No. Contractor Subcontracting Name Name Period Amount to Amount (A) Contract Amount . . . ∼ . . 1 KRW % . . . . ∼ . . 2 KRW % . . . . ∼ . . Total KRW % . Plan to purchase goods directly Category Estimated Name of Manufacturer Proposed No. (HW, Facility, Quantity Purchase Goods (Developer) Purchase Date Commercial SW) Amount (B) 1 KRW 2 KRW Total KRW - If the contractor is a contracting consortium, specify the plan for subcontracting of the consortium members (including the representative). - Simple purchase of goods, installation services, new technology, or specialized technology included in subcontracting - Direct goods purchase plans are limited to items purchased directly by the contractor (contract partner) - Grounds for except</x:v>
      </x:c>
      <x:c r="J216" s="43" t="str">
        <x:v>자동추출·검토필요</x:v>
      </x:c>
    </x:row>
    <x:row r="217">
      <x:c r="A217" s="43" t="str">
        <x:v>L2023-00006-1</x:v>
      </x:c>
      <x:c r="B217" s="43" t="str">
        <x:v>공사비</x:v>
      </x:c>
      <x:c r="C217" s="46" t="str">
        <x:v>contract amount</x:v>
      </x:c>
      <x:c r="D217" s="46" t="str"/>
      <x:c r="E217" s="46" t="str">
        <x:v>KRW 30 million</x:v>
      </x:c>
      <x:c r="F217" s="46" t="str"/>
      <x:c r="G217" s="46" t="str">
        <x:v>L2023-00006-1/4. KOICA Regulations and Guidelines/Regulations for Procurement and Contract in Grant Aid Projects(┤δ┐▄╣½╗≤╟∙╖┬╗τ╛≈┐í ░ⁿ╟╤ ┴╢┤▐ ╣╫ ░Φ╛α▒╘┴ñ)_20190520.pdf</x:v>
      </x:c>
      <x:c r="H217" s="43" t="str">
        <x:v>페이지 26</x:v>
      </x:c>
      <x:c r="I217" s="46" t="str">
        <x:v>not exceed KRW 30 million. &lt;Amended on May 20, 2019&gt; (2) Warranty bond shall be paid at a rate of between 2/100 and 10/100 of the contract amount to guarantee repair of defects and the bond shall be kept for the warranty period under the provisions of Paragraph (1). Article 31-2 (Liquidated Damages) (1) When signing contracts for construction works and services that require liquidated damages, it is mandatory to purchase indemnity insurance and join a mutual aid association. &lt;Amended on Dec. 30, 2016&gt; (2) Details related to the calculation of insurance costs shall be determined separately. &lt;Amended on Dec. 30, 2016&gt; [This Article Newly Inserted on Nov. 2, 2015] Article 32 (Payment and Settlement of Service Cost) (1) Technical service fees shall be paid in installments or lump-sum according to the terms and conditions of the contract and the counterparty's request. &lt;Amended on Nov. 2, 2015, Dec. 30, 2016&gt; (2) The counterparty shall return the balance after settlement of the service fee is confirmed and the details shall be determined separately. &lt;Amended on Nov. 2, 2015, Dec. 30, 2016&gt; Article 33 (Performing Integrity Agreements) (1) KOICA shall require a tenderer or counterparty to</x:v>
      </x:c>
      <x:c r="J217" s="43" t="str">
        <x:v>자동추출·검토필요</x:v>
      </x:c>
    </x:row>
    <x:row r="218">
      <x:c r="A218" s="43" t="str">
        <x:v>L2023-00004-1</x:v>
      </x:c>
      <x:c r="B218" s="43" t="str">
        <x:v>공사비</x:v>
      </x:c>
      <x:c r="C218" s="46" t="str">
        <x:v>contract amount</x:v>
      </x:c>
      <x:c r="D218" s="46" t="str"/>
      <x:c r="E218" s="46" t="str">
        <x:v>USD 100,000</x:v>
      </x:c>
      <x:c r="F218" s="46" t="str"/>
      <x:c r="G218" s="46" t="str">
        <x:v>L2023-00004-1/붙임 2. 입찰 서류/01_Part1(└╘┬√ └²┬≈)/Section_03_BDF_Bidding Form.docx</x:v>
      </x:c>
      <x:c r="H218" s="43" t="str">
        <x:v>문단 132</x:v>
      </x:c>
      <x:c r="I218" s="46" t="str">
        <x:v>Of Education Institution Relevant Construction Projects over the recent 10 years with a contract amount of USD 100,000 or more (based on the exchange rate notified by the Central Bank at the time)</x:v>
      </x:c>
      <x:c r="J218" s="43" t="str">
        <x:v>자동추출·검토필요</x:v>
      </x:c>
    </x:row>
    <x:row r="219">
      <x:c r="A219" s="43" t="str">
        <x:v>L2023-00004-1</x:v>
      </x:c>
      <x:c r="B219" s="43" t="str">
        <x:v>공사비</x:v>
      </x:c>
      <x:c r="C219" s="46" t="str">
        <x:v>contract price</x:v>
      </x:c>
      <x:c r="D219" s="46" t="str"/>
      <x:c r="E219" s="46" t="str">
        <x:v>USD 1,300,000</x:v>
      </x:c>
      <x:c r="F219" s="46" t="str"/>
      <x:c r="G219" s="46" t="str">
        <x:v>L2023-00004-1/붙임 2. 입찰 서류/03_Part3(░Φ╛α╝¡ ╣╫ ▒Γ┼╕ └┌╖ß)/Section_12_Other Form/Section_12_Other Form.docx</x:v>
      </x:c>
      <x:c r="H219" s="43" t="str">
        <x:v>문단 273</x:v>
      </x:c>
      <x:c r="I219" s="46" t="str">
        <x:v>The Contract Price is the lump sum price of [Insert Contract Price in figures and words (e.g. USD 1,300,000 (one million three hundred thousand US Dollars)].</x:v>
      </x:c>
      <x:c r="J219" s="43" t="str">
        <x:v>자동추출·검토필요</x:v>
      </x:c>
    </x:row>
    <x:row r="220">
      <x:c r="A220" s="43" t="str">
        <x:v>L2023-00003-1</x:v>
      </x:c>
      <x:c r="B220" s="43" t="str">
        <x:v>공사비</x:v>
      </x:c>
      <x:c r="C220" s="46" t="str">
        <x:v>contract price</x:v>
      </x:c>
      <x:c r="D220" s="46" t="str"/>
      <x:c r="E220" s="46" t="str">
        <x:v>USD 1,300,000</x:v>
      </x:c>
      <x:c r="F220" s="46" t="str"/>
      <x:c r="G220" s="46" t="str">
        <x:v>L2023-00003-1/Bid Document(ESMV II)_separately attached/Bid Document(ESMV II)_separately attached/Part 3 Conditions of Contract and Contract Forms/Section 8. Special Conditions of Contract.docx</x:v>
      </x:c>
      <x:c r="H220" s="43" t="str">
        <x:v>문단 330</x:v>
      </x:c>
      <x:c r="I220" s="46" t="str">
        <x:v>The Contract Price is the lump sum price of [Insert Contract Price in figures and words (e.g. USD 1,300,000 (one million three hundred thousand US Dollars)].</x:v>
      </x:c>
      <x:c r="J220" s="43" t="str">
        <x:v>자동추출·검토필요</x:v>
      </x:c>
    </x:row>
    <x:row r="221">
      <x:c r="A221" s="43" t="str">
        <x:v>L2022-00068-1</x:v>
      </x:c>
      <x:c r="B221" s="43" t="str">
        <x:v>공사비</x:v>
      </x:c>
      <x:c r="C221" s="46" t="str">
        <x:v>contract amount</x:v>
      </x:c>
      <x:c r="D221" s="46" t="str"/>
      <x:c r="E221" s="46" t="str">
        <x:v>USD 100,000</x:v>
      </x:c>
      <x:c r="F221" s="46" t="str"/>
      <x:c r="G221" s="46" t="str">
        <x:v>L2022-00068-1/붙임 2. 입찰 관련 서류/01_Part1(└╘┬√ └²┬≈)/Section_03_BDF_Bidding Form.docx</x:v>
      </x:c>
      <x:c r="H221" s="43" t="str">
        <x:v>문단 132</x:v>
      </x:c>
      <x:c r="I221" s="46" t="str">
        <x:v>Of Education Institution Relevant Construction Projects over the recent 10 years with a contract amount of USD 100,000 or more (based on the exchange rate notified by the Central Bank at the time)</x:v>
      </x:c>
      <x:c r="J221" s="43" t="str">
        <x:v>자동추출·검토필요</x:v>
      </x:c>
    </x:row>
    <x:row r="222">
      <x:c r="A222" s="43" t="str">
        <x:v>L2022-00068-1</x:v>
      </x:c>
      <x:c r="B222" s="43" t="str">
        <x:v>공사비</x:v>
      </x:c>
      <x:c r="C222" s="46" t="str">
        <x:v>contract price</x:v>
      </x:c>
      <x:c r="D222" s="46" t="str"/>
      <x:c r="E222" s="46" t="str">
        <x:v>USD 1,300,000</x:v>
      </x:c>
      <x:c r="F222" s="46" t="str"/>
      <x:c r="G222" s="46" t="str">
        <x:v>L2022-00068-1/붙임 2. 입찰 관련 서류/03_Part3(░Φ╛α╝¡ ╣╫ ▒Γ┼╕ └┌╖ß)/Section_12_Other Form/Section_12_Other Form.docx</x:v>
      </x:c>
      <x:c r="H222" s="43" t="str">
        <x:v>문단 273</x:v>
      </x:c>
      <x:c r="I222" s="46" t="str">
        <x:v>The Contract Price is the lump sum price of [Insert Contract Price in figures and words (e.g. USD 1,300,000 (one million three hundred thousand US Dollars)].</x:v>
      </x:c>
      <x:c r="J222" s="43" t="str">
        <x:v>자동추출·검토필요</x:v>
      </x:c>
    </x:row>
    <x:row r="223">
      <x:c r="A223" s="43" t="str">
        <x:v>L2022-00055-1</x:v>
      </x:c>
      <x:c r="B223" s="43" t="str">
        <x:v>공사비</x:v>
      </x:c>
      <x:c r="C223" s="46" t="str">
        <x:v>contract price</x:v>
      </x:c>
      <x:c r="D223" s="46" t="str"/>
      <x:c r="E223" s="46" t="str">
        <x:v>US$ 130,000</x:v>
      </x:c>
      <x:c r="F223" s="46" t="str"/>
      <x:c r="G223" s="46" t="str">
        <x:v>L2022-00055-1/[ENG]_Bidding_DOCs_HDES/[ENG]_21092022_bidding notice_HDES.docx</x:v>
      </x:c>
      <x:c r="H223" s="43" t="str">
        <x:v>문단 38</x:v>
      </x:c>
      <x:c r="I223" s="46" t="str">
        <x:v>Single Completed Construction Contact Certificate (The Contract price shall be US$130,000 at the minimum)</x:v>
      </x:c>
      <x:c r="J223" s="43" t="str">
        <x:v>자동추출·검토필요</x:v>
      </x:c>
    </x:row>
    <x:row r="224">
      <x:c r="A224" s="43" t="str">
        <x:v>L2022-00055-1</x:v>
      </x:c>
      <x:c r="B224" s="43" t="str">
        <x:v>공사비</x:v>
      </x:c>
      <x:c r="C224" s="46" t="str">
        <x:v>contract price</x:v>
      </x:c>
      <x:c r="D224" s="46" t="str"/>
      <x:c r="E224" s="46" t="str">
        <x:v>US$ 130,000 | US$ 130,000 | US$ 130,000 | US$ 130,000 | US$ 130,000 | US$ 130,000</x:v>
      </x:c>
      <x:c r="F224" s="46" t="str">
        <x:v>209.68% | 209.68% | 209.68% | 209.68% | 209.68% | 209.68%</x:v>
      </x:c>
      <x:c r="G224" s="46" t="str">
        <x:v>L2022-00055-1/[ENG]_Bidding_DOCs_HDES/[ENG]_21092022_bidding notice_HDES.docx</x:v>
      </x:c>
      <x:c r="H224" s="43" t="str">
        <x:v>표 5 행 14</x:v>
      </x:c>
      <x:c r="I224" s="46" t="str">
        <x:v>Required Documents | Required Documents | -Registration Certificate -Business Permit -Tax Payment Certificate(2021) -The balance sheet over the past 3 years (The average debt ratio over the past 3 years(2019~2021) shall not be more than 209.68%) -Contractor’s License for the construction of buildings (level 2 or higher) -Article of Incorporation -Single Completed Construction Contact Certificate (The Contract price shall be US$130,000 at the minimum) -Power of Attorney: Authorization Letter to represent the bidder -Certificate of seal impression (Seal &amp; signature) | -Registration Certificate -Business Permit -Tax Payment Certificate(2021) -The balance sheet over the past 3 years (The average debt ratio over the past 3 years(2019~2021) shall not be more than 209.68%) -Contractor’s License for the construction of buildings (level 2 or higher) -Article of Incorporation -Single Completed Construction Contact Certificate (The Contract price shall be US$130,000 at the minimum) -Power of Attorney: Authorization Letter to represent the bidder -Certificate of seal impression (Seal &amp; signature) | -Registration Certificate -Business Permit -Tax Payment Certificate(2021) -The balance sheet ove</x:v>
      </x:c>
      <x:c r="J224" s="43" t="str">
        <x:v>자동추출·검토필요</x:v>
      </x:c>
    </x:row>
    <x:row r="225">
      <x:c r="A225" s="43" t="str">
        <x:v>L2022-00055-1</x:v>
      </x:c>
      <x:c r="B225" s="43" t="str">
        <x:v>공사비</x:v>
      </x:c>
      <x:c r="C225" s="46" t="str">
        <x:v>contract amount</x:v>
      </x:c>
      <x:c r="D225" s="46" t="str"/>
      <x:c r="E225" s="46" t="str">
        <x:v>USD 100, 000 .</x:v>
      </x:c>
      <x:c r="F225" s="46" t="str"/>
      <x:c r="G225" s="46" t="str">
        <x:v>L2022-00055-1/[ENG]_Bidding_DOCs_HDES/[ENG]_21092022_Part I. Bidding Procedures (Section1,2,3)_HDES.docx</x:v>
      </x:c>
      <x:c r="H225" s="43" t="str">
        <x:v>문단 453</x:v>
      </x:c>
      <x:c r="I225" s="46" t="str">
        <x:v>Each contract amount shall be not less than USD 100, 000 .</x:v>
      </x:c>
      <x:c r="J225" s="43" t="str">
        <x:v>자동추출·검토필요</x:v>
      </x:c>
    </x:row>
    <x:row r="226">
      <x:c r="A226" s="43" t="str">
        <x:v>L2022-00046-1</x:v>
      </x:c>
      <x:c r="B226" s="43" t="str">
        <x:v>공사비</x:v>
      </x:c>
      <x:c r="C226" s="46" t="str">
        <x:v>contract amount</x:v>
      </x:c>
      <x:c r="D226" s="46" t="str"/>
      <x:c r="E226" s="46" t="str">
        <x:v>USD 1,000,000 | USD 3,000,000</x:v>
      </x:c>
      <x:c r="F226" s="46" t="str">
        <x:v>75%</x:v>
      </x:c>
      <x:c r="G226" s="46" t="str">
        <x:v>L2022-00046-1/(붙임2) 입찰안내서(영문)_최종/Section I_Bidding Guideline for Procurement of Contractor.docx</x:v>
      </x:c>
      <x:c r="H226" s="43" t="str">
        <x:v>표 3 행 2</x:v>
      </x:c>
      <x:c r="I226" s="46" t="str">
        <x:v>Construction Experience for the last 5 years (15 Points) | Experience in construction for a single building with a value of at least USD 1,000,000 that has been successfully completed within the last 5 years. Sum of the total contract amount. (Base Evaluation Grade (E.G.): USD 3,000,000) | 75% ≤ | EG | | 15.0</x:v>
      </x:c>
      <x:c r="J226" s="43" t="str">
        <x:v>자동추출·검토필요</x:v>
      </x:c>
    </x:row>
    <x:row r="227">
      <x:c r="A227" s="43" t="str">
        <x:v>L2022-00046-1</x:v>
      </x:c>
      <x:c r="B227" s="43" t="str">
        <x:v>공사비</x:v>
      </x:c>
      <x:c r="C227" s="46" t="str">
        <x:v>contract amount</x:v>
      </x:c>
      <x:c r="D227" s="46" t="str"/>
      <x:c r="E227" s="46" t="str">
        <x:v>USD 1,000,000 | USD 3,000,000</x:v>
      </x:c>
      <x:c r="F227" s="46" t="str">
        <x:v>65% | 75%</x:v>
      </x:c>
      <x:c r="G227" s="46" t="str">
        <x:v>L2022-00046-1/(붙임2) 입찰안내서(영문)_최종/Section I_Bidding Guideline for Procurement of Contractor.docx</x:v>
      </x:c>
      <x:c r="H227" s="43" t="str">
        <x:v>표 3 행 3</x:v>
      </x:c>
      <x:c r="I227" s="46" t="str">
        <x:v>Construction Experience for the last 5 years (15 Points) | Experience in construction for a single building with a value of at least USD 1,000,000 that has been successfully completed within the last 5 years. Sum of the total contract amount. (Base Evaluation Grade (E.G.): USD 3,000,000) | 65% ≤ | EG | &lt; 75% | 13.7</x:v>
      </x:c>
      <x:c r="J227" s="43" t="str">
        <x:v>자동추출·검토필요</x:v>
      </x:c>
    </x:row>
    <x:row r="228">
      <x:c r="A228" s="43" t="str">
        <x:v>L2022-00046-1</x:v>
      </x:c>
      <x:c r="B228" s="43" t="str">
        <x:v>공사비</x:v>
      </x:c>
      <x:c r="C228" s="46" t="str">
        <x:v>contract amount</x:v>
      </x:c>
      <x:c r="D228" s="46" t="str"/>
      <x:c r="E228" s="46" t="str">
        <x:v>USD 1,000,000 | USD 3,000,000</x:v>
      </x:c>
      <x:c r="F228" s="46" t="str">
        <x:v>55% | 65%</x:v>
      </x:c>
      <x:c r="G228" s="46" t="str">
        <x:v>L2022-00046-1/(붙임2) 입찰안내서(영문)_최종/Section I_Bidding Guideline for Procurement of Contractor.docx</x:v>
      </x:c>
      <x:c r="H228" s="43" t="str">
        <x:v>표 3 행 4</x:v>
      </x:c>
      <x:c r="I228" s="46" t="str">
        <x:v>Construction Experience for the last 5 years (15 Points) | Experience in construction for a single building with a value of at least USD 1,000,000 that has been successfully completed within the last 5 years. Sum of the total contract amount. (Base Evaluation Grade (E.G.): USD 3,000,000) | 55% ≤ | EG | &lt; 65% | 12.4</x:v>
      </x:c>
      <x:c r="J228" s="43" t="str">
        <x:v>자동추출·검토필요</x:v>
      </x:c>
    </x:row>
    <x:row r="229">
      <x:c r="A229" s="43" t="str">
        <x:v>L2022-00046-1</x:v>
      </x:c>
      <x:c r="B229" s="43" t="str">
        <x:v>공사비</x:v>
      </x:c>
      <x:c r="C229" s="46" t="str">
        <x:v>contract amount</x:v>
      </x:c>
      <x:c r="D229" s="46" t="str"/>
      <x:c r="E229" s="46" t="str">
        <x:v>USD 1,000,000 | USD 3,000,000</x:v>
      </x:c>
      <x:c r="F229" s="46" t="str">
        <x:v>45% | 55%</x:v>
      </x:c>
      <x:c r="G229" s="46" t="str">
        <x:v>L2022-00046-1/(붙임2) 입찰안내서(영문)_최종/Section I_Bidding Guideline for Procurement of Contractor.docx</x:v>
      </x:c>
      <x:c r="H229" s="43" t="str">
        <x:v>표 3 행 5</x:v>
      </x:c>
      <x:c r="I229" s="46" t="str">
        <x:v>Construction Experience for the last 5 years (15 Points) | Experience in construction for a single building with a value of at least USD 1,000,000 that has been successfully completed within the last 5 years. Sum of the total contract amount. (Base Evaluation Grade (E.G.): USD 3,000,000) | 45% ≤ | EG | &lt; 55% | 11.0</x:v>
      </x:c>
      <x:c r="J229" s="43" t="str">
        <x:v>자동추출·검토필요</x:v>
      </x:c>
    </x:row>
    <x:row r="230">
      <x:c r="A230" s="43" t="str">
        <x:v>L2022-00046-1</x:v>
      </x:c>
      <x:c r="B230" s="43" t="str">
        <x:v>공사비</x:v>
      </x:c>
      <x:c r="C230" s="46" t="str">
        <x:v>contract amount</x:v>
      </x:c>
      <x:c r="D230" s="46" t="str"/>
      <x:c r="E230" s="46" t="str">
        <x:v>USD 1,000,000 | USD 3,000,000</x:v>
      </x:c>
      <x:c r="F230" s="46" t="str">
        <x:v>35% | 45%</x:v>
      </x:c>
      <x:c r="G230" s="46" t="str">
        <x:v>L2022-00046-1/(붙임2) 입찰안내서(영문)_최종/Section I_Bidding Guideline for Procurement of Contractor.docx</x:v>
      </x:c>
      <x:c r="H230" s="43" t="str">
        <x:v>표 3 행 6</x:v>
      </x:c>
      <x:c r="I230" s="46" t="str">
        <x:v>Construction Experience for the last 5 years (15 Points) | Experience in construction for a single building with a value of at least USD 1,000,000 that has been successfully completed within the last 5 years. Sum of the total contract amount. (Base Evaluation Grade (E.G.): USD 3,000,000) | 35% ≤ | EG | &lt; 45% | 9.7</x:v>
      </x:c>
      <x:c r="J230" s="43" t="str">
        <x:v>자동추출·검토필요</x:v>
      </x:c>
    </x:row>
    <x:row r="231">
      <x:c r="A231" s="43" t="str">
        <x:v>L2022-00046-1</x:v>
      </x:c>
      <x:c r="B231" s="43" t="str">
        <x:v>공사비</x:v>
      </x:c>
      <x:c r="C231" s="46" t="str">
        <x:v>contract amount</x:v>
      </x:c>
      <x:c r="D231" s="46" t="str"/>
      <x:c r="E231" s="46" t="str">
        <x:v>USD 1,000,000 | USD 3,000,000</x:v>
      </x:c>
      <x:c r="F231" s="46" t="str">
        <x:v>35%</x:v>
      </x:c>
      <x:c r="G231" s="46" t="str">
        <x:v>L2022-00046-1/(붙임2) 입찰안내서(영문)_최종/Section I_Bidding Guideline for Procurement of Contractor.docx</x:v>
      </x:c>
      <x:c r="H231" s="43" t="str">
        <x:v>표 3 행 7</x:v>
      </x:c>
      <x:c r="I231" s="46" t="str">
        <x:v>Construction Experience for the last 5 years (15 Points) | Experience in construction for a single building with a value of at least USD 1,000,000 that has been successfully completed within the last 5 years. Sum of the total contract amount. (Base Evaluation Grade (E.G.): USD 3,000,000) | | EG | &lt; 35% | 8.2</x:v>
      </x:c>
      <x:c r="J231" s="43" t="str">
        <x:v>자동추출·검토필요</x:v>
      </x:c>
    </x:row>
    <x:row r="232">
      <x:c r="A232" s="43" t="str">
        <x:v>L2022-00046-1</x:v>
      </x:c>
      <x:c r="B232" s="43" t="str">
        <x:v>공사비</x:v>
      </x:c>
      <x:c r="C232" s="46" t="str">
        <x:v>contract price</x:v>
      </x:c>
      <x:c r="D232" s="46" t="str"/>
      <x:c r="E232" s="46" t="str">
        <x:v>USD 1,300,000</x:v>
      </x:c>
      <x:c r="F232" s="46" t="str"/>
      <x:c r="G232" s="46" t="str">
        <x:v>L2022-00046-1/(붙임2) 입찰안내서(영문)_최종/Section V_Standard Forms of Contract.docx</x:v>
      </x:c>
      <x:c r="H232" s="43" t="str">
        <x:v>문단 549</x:v>
      </x:c>
      <x:c r="I232" s="46" t="str">
        <x:v>The Contract Price is the lump sum price of [Insert Contract Price in figures and words (e.g. USD 1,300,000 (one million three hundred thousand US Dollars)].</x:v>
      </x:c>
      <x:c r="J232" s="43" t="str">
        <x:v>자동추출·검토필요</x:v>
      </x:c>
    </x:row>
    <x:row r="233">
      <x:c r="A233" s="43" t="str">
        <x:v>L2022-00034-1</x:v>
      </x:c>
      <x:c r="B233" s="43" t="str">
        <x:v>공사비</x:v>
      </x:c>
      <x:c r="C233" s="46" t="str">
        <x:v>contract amount</x:v>
      </x:c>
      <x:c r="D233" s="46" t="str"/>
      <x:c r="E233" s="46" t="str">
        <x:v>PKR 200,000,000</x:v>
      </x:c>
      <x:c r="F233" s="46" t="str"/>
      <x:c r="G233" s="46" t="str">
        <x:v>L2022-00034-1/2. 영양교육센터 설립사업 입찰관련 서류/Chapter 1. Invitation for Pre-Qualification.docx</x:v>
      </x:c>
      <x:c r="H233" s="43" t="str">
        <x:v>표 3 행 5</x:v>
      </x:c>
      <x:c r="I233" s="46" t="str">
        <x:v>Past Performance | The Applicant(s) who has completed one or more architectural (building) construction work in each contract amount of PKR 200,000,000 above over the last five(5) fiscal years (FY July 2017 ~ FY June 2022) | Pass or Fail</x:v>
      </x:c>
      <x:c r="J233" s="43" t="str">
        <x:v>자동추출·검토필요</x:v>
      </x:c>
    </x:row>
    <x:row r="234">
      <x:c r="A234" s="43" t="str">
        <x:v>L2022-00034-1</x:v>
      </x:c>
      <x:c r="B234" s="43" t="str">
        <x:v>공사비</x:v>
      </x:c>
      <x:c r="C234" s="46" t="str">
        <x:v>contract price</x:v>
      </x:c>
      <x:c r="D234" s="46" t="str"/>
      <x:c r="E234" s="46" t="str">
        <x:v>USD 1,300,000</x:v>
      </x:c>
      <x:c r="F234" s="46" t="str"/>
      <x:c r="G234" s="46" t="str">
        <x:v>L2022-00034-1/2. 영양교육센터 설립사업 입찰관련 서류/Chapter 5. Conditions of Contract (GCC, SCC).docx</x:v>
      </x:c>
      <x:c r="H234" s="43" t="str">
        <x:v>문단 561</x:v>
      </x:c>
      <x:c r="I234" s="46" t="str">
        <x:v>The Contract Price is the lump sum price of [Insert Contract Price in figures and words (e.g. USD 1,300,000 (one million three hundred thousand US Dollars)].</x:v>
      </x:c>
      <x:c r="J234" s="43" t="str">
        <x:v>자동추출·검토필요</x:v>
      </x:c>
    </x:row>
    <x:row r="235">
      <x:c r="A235" s="43" t="str">
        <x:v>L2022-00032-1</x:v>
      </x:c>
      <x:c r="B235" s="43" t="str">
        <x:v>공사비</x:v>
      </x:c>
      <x:c r="C235" s="46" t="str">
        <x:v>contract amount</x:v>
      </x:c>
      <x:c r="D235" s="46" t="str"/>
      <x:c r="E235" s="46" t="str">
        <x:v>USD 1,000,000 | USD 3,000,000</x:v>
      </x:c>
      <x:c r="F235" s="46" t="str">
        <x:v>75%</x:v>
      </x:c>
      <x:c r="G235" s="46" t="str">
        <x:v>L2022-00032-1/(붙임2) 입찰안내서(영문)_최종/Section I_Bidding Guideline for Procurement of Contractor.docx</x:v>
      </x:c>
      <x:c r="H235" s="43" t="str">
        <x:v>표 3 행 2</x:v>
      </x:c>
      <x:c r="I235" s="46" t="str">
        <x:v>Construction Experience for the last 5 years (15 Points) | Experience in construction for a single building with a value of at least USD 1,000,000 that has been successfully completed within the last 5 years. Sum of the total contract amount. (Base Evaluation Grade (E.G.): USD 3,000,000) | 75% ≤ | EG | | 15.0</x:v>
      </x:c>
      <x:c r="J235" s="43" t="str">
        <x:v>자동추출·검토필요</x:v>
      </x:c>
    </x:row>
    <x:row r="236">
      <x:c r="A236" s="43" t="str">
        <x:v>L2022-00032-1</x:v>
      </x:c>
      <x:c r="B236" s="43" t="str">
        <x:v>공사비</x:v>
      </x:c>
      <x:c r="C236" s="46" t="str">
        <x:v>contract amount</x:v>
      </x:c>
      <x:c r="D236" s="46" t="str"/>
      <x:c r="E236" s="46" t="str">
        <x:v>USD 1,000,000 | USD 3,000,000</x:v>
      </x:c>
      <x:c r="F236" s="46" t="str">
        <x:v>65% | 75%</x:v>
      </x:c>
      <x:c r="G236" s="46" t="str">
        <x:v>L2022-00032-1/(붙임2) 입찰안내서(영문)_최종/Section I_Bidding Guideline for Procurement of Contractor.docx</x:v>
      </x:c>
      <x:c r="H236" s="43" t="str">
        <x:v>표 3 행 3</x:v>
      </x:c>
      <x:c r="I236" s="46" t="str">
        <x:v>Construction Experience for the last 5 years (15 Points) | Experience in construction for a single building with a value of at least USD 1,000,000 that has been successfully completed within the last 5 years. Sum of the total contract amount. (Base Evaluation Grade (E.G.): USD 3,000,000) | 65% ≤ | EG | &lt; 75% | 13.7</x:v>
      </x:c>
      <x:c r="J236" s="43" t="str">
        <x:v>자동추출·검토필요</x:v>
      </x:c>
    </x:row>
    <x:row r="237">
      <x:c r="A237" s="43" t="str">
        <x:v>L2022-00032-1</x:v>
      </x:c>
      <x:c r="B237" s="43" t="str">
        <x:v>공사비</x:v>
      </x:c>
      <x:c r="C237" s="46" t="str">
        <x:v>contract amount</x:v>
      </x:c>
      <x:c r="D237" s="46" t="str"/>
      <x:c r="E237" s="46" t="str">
        <x:v>USD 1,000,000 | USD 3,000,000</x:v>
      </x:c>
      <x:c r="F237" s="46" t="str">
        <x:v>55% | 65%</x:v>
      </x:c>
      <x:c r="G237" s="46" t="str">
        <x:v>L2022-00032-1/(붙임2) 입찰안내서(영문)_최종/Section I_Bidding Guideline for Procurement of Contractor.docx</x:v>
      </x:c>
      <x:c r="H237" s="43" t="str">
        <x:v>표 3 행 4</x:v>
      </x:c>
      <x:c r="I237" s="46" t="str">
        <x:v>Construction Experience for the last 5 years (15 Points) | Experience in construction for a single building with a value of at least USD 1,000,000 that has been successfully completed within the last 5 years. Sum of the total contract amount. (Base Evaluation Grade (E.G.): USD 3,000,000) | 55% ≤ | EG | &lt; 65% | 12.4</x:v>
      </x:c>
      <x:c r="J237" s="43" t="str">
        <x:v>자동추출·검토필요</x:v>
      </x:c>
    </x:row>
    <x:row r="238">
      <x:c r="A238" s="43" t="str">
        <x:v>L2022-00032-1</x:v>
      </x:c>
      <x:c r="B238" s="43" t="str">
        <x:v>공사비</x:v>
      </x:c>
      <x:c r="C238" s="46" t="str">
        <x:v>contract amount</x:v>
      </x:c>
      <x:c r="D238" s="46" t="str"/>
      <x:c r="E238" s="46" t="str">
        <x:v>USD 1,000,000 | USD 3,000,000</x:v>
      </x:c>
      <x:c r="F238" s="46" t="str">
        <x:v>45% | 55%</x:v>
      </x:c>
      <x:c r="G238" s="46" t="str">
        <x:v>L2022-00032-1/(붙임2) 입찰안내서(영문)_최종/Section I_Bidding Guideline for Procurement of Contractor.docx</x:v>
      </x:c>
      <x:c r="H238" s="43" t="str">
        <x:v>표 3 행 5</x:v>
      </x:c>
      <x:c r="I238" s="46" t="str">
        <x:v>Construction Experience for the last 5 years (15 Points) | Experience in construction for a single building with a value of at least USD 1,000,000 that has been successfully completed within the last 5 years. Sum of the total contract amount. (Base Evaluation Grade (E.G.): USD 3,000,000) | 45% ≤ | EG | &lt; 55% | 11.0</x:v>
      </x:c>
      <x:c r="J238" s="43" t="str">
        <x:v>자동추출·검토필요</x:v>
      </x:c>
    </x:row>
    <x:row r="239">
      <x:c r="A239" s="43" t="str">
        <x:v>L2022-00032-1</x:v>
      </x:c>
      <x:c r="B239" s="43" t="str">
        <x:v>공사비</x:v>
      </x:c>
      <x:c r="C239" s="46" t="str">
        <x:v>contract amount</x:v>
      </x:c>
      <x:c r="D239" s="46" t="str"/>
      <x:c r="E239" s="46" t="str">
        <x:v>USD 1,000,000 | USD 3,000,000</x:v>
      </x:c>
      <x:c r="F239" s="46" t="str">
        <x:v>35% | 45%</x:v>
      </x:c>
      <x:c r="G239" s="46" t="str">
        <x:v>L2022-00032-1/(붙임2) 입찰안내서(영문)_최종/Section I_Bidding Guideline for Procurement of Contractor.docx</x:v>
      </x:c>
      <x:c r="H239" s="43" t="str">
        <x:v>표 3 행 6</x:v>
      </x:c>
      <x:c r="I239" s="46" t="str">
        <x:v>Construction Experience for the last 5 years (15 Points) | Experience in construction for a single building with a value of at least USD 1,000,000 that has been successfully completed within the last 5 years. Sum of the total contract amount. (Base Evaluation Grade (E.G.): USD 3,000,000) | 35% ≤ | EG | &lt; 45% | 9.7</x:v>
      </x:c>
      <x:c r="J239" s="43" t="str">
        <x:v>자동추출·검토필요</x:v>
      </x:c>
    </x:row>
    <x:row r="240">
      <x:c r="A240" s="43" t="str">
        <x:v>L2022-00032-1</x:v>
      </x:c>
      <x:c r="B240" s="43" t="str">
        <x:v>공사비</x:v>
      </x:c>
      <x:c r="C240" s="46" t="str">
        <x:v>contract amount</x:v>
      </x:c>
      <x:c r="D240" s="46" t="str"/>
      <x:c r="E240" s="46" t="str">
        <x:v>USD 1,000,000 | USD 3,000,000</x:v>
      </x:c>
      <x:c r="F240" s="46" t="str">
        <x:v>35%</x:v>
      </x:c>
      <x:c r="G240" s="46" t="str">
        <x:v>L2022-00032-1/(붙임2) 입찰안내서(영문)_최종/Section I_Bidding Guideline for Procurement of Contractor.docx</x:v>
      </x:c>
      <x:c r="H240" s="43" t="str">
        <x:v>표 3 행 7</x:v>
      </x:c>
      <x:c r="I240" s="46" t="str">
        <x:v>Construction Experience for the last 5 years (15 Points) | Experience in construction for a single building with a value of at least USD 1,000,000 that has been successfully completed within the last 5 years. Sum of the total contract amount. (Base Evaluation Grade (E.G.): USD 3,000,000) | | EG | &lt; 35% | 8.2</x:v>
      </x:c>
      <x:c r="J240" s="43" t="str">
        <x:v>자동추출·검토필요</x:v>
      </x:c>
    </x:row>
    <x:row r="241">
      <x:c r="A241" s="43" t="str">
        <x:v>L2022-00032-1</x:v>
      </x:c>
      <x:c r="B241" s="43" t="str">
        <x:v>공사비</x:v>
      </x:c>
      <x:c r="C241" s="46" t="str">
        <x:v>contract price</x:v>
      </x:c>
      <x:c r="D241" s="46" t="str"/>
      <x:c r="E241" s="46" t="str">
        <x:v>USD 1,300,000</x:v>
      </x:c>
      <x:c r="F241" s="46" t="str"/>
      <x:c r="G241" s="46" t="str">
        <x:v>L2022-00032-1/(붙임2) 입찰안내서(영문)_최종/Section V_Standard Forms of Contract.docx</x:v>
      </x:c>
      <x:c r="H241" s="43" t="str">
        <x:v>문단 549</x:v>
      </x:c>
      <x:c r="I241" s="46" t="str">
        <x:v>The Contract Price is the lump sum price of [Insert Contract Price in figures and words (e.g. USD 1,300,000 (one million three hundred thousand US Dollars)].</x:v>
      </x:c>
      <x:c r="J241" s="43" t="str">
        <x:v>자동추출·검토필요</x:v>
      </x:c>
    </x:row>
    <x:row r="242">
      <x:c r="A242" s="43" t="str">
        <x:v>L2022-00027-1</x:v>
      </x:c>
      <x:c r="B242" s="43" t="str">
        <x:v>공사비</x:v>
      </x:c>
      <x:c r="C242" s="46" t="str">
        <x:v>construction cost</x:v>
      </x:c>
      <x:c r="D242" s="46" t="str">
        <x:v>3,100 ㎡ | 1,950 ㎡</x:v>
      </x:c>
      <x:c r="E242" s="46" t="str">
        <x:v>USD 2,670,000.</x:v>
      </x:c>
      <x:c r="F242" s="46" t="str">
        <x:v>6%</x:v>
      </x:c>
      <x:c r="G242" s="46" t="str">
        <x:v>L2022-00027-1/2. 입찰서류(영문)_키토혁신센터 설계_220531/1. Ecuador Bidding Guideline 20220531.docx</x:v>
      </x:c>
      <x:c r="H242" s="43" t="str">
        <x:v>문단 57</x:v>
      </x:c>
      <x:c r="I242" s="46" t="str">
        <x:v>* Reference to Junglim CM 2135-66 (Apr. 26, 2022 / Report on Adjusting the Volume of Construction Project for QIC, Ecuador). Based on GFA of 3,100㎡ and exterior wall area of 1,950㎡, design fee is set at 6% of the estimated construction cost of USD2,670,000.</x:v>
      </x:c>
      <x:c r="J242" s="43" t="str">
        <x:v>자동추출·검토필요</x:v>
      </x:c>
    </x:row>
    <x:row r="243">
      <x:c r="A243" s="43" t="str">
        <x:v>L2022-00019-1</x:v>
      </x:c>
      <x:c r="B243" s="43" t="str">
        <x:v>공사비</x:v>
      </x:c>
      <x:c r="C243" s="46" t="str">
        <x:v>contract price</x:v>
      </x:c>
      <x:c r="D243" s="46" t="str"/>
      <x:c r="E243" s="46" t="str">
        <x:v>USD 1,411,000</x:v>
      </x:c>
      <x:c r="F243" s="46" t="str"/>
      <x:c r="G243" s="46" t="str">
        <x:v>L2022-00019-1/05. Bidding Documents (220523).docx</x:v>
      </x:c>
      <x:c r="H243" s="43" t="str">
        <x:v>표 5 행 2</x:v>
      </x:c>
      <x:c r="I243" s="46" t="str">
        <x:v>1. Relevant Project Experiences over the last 5 years (12points) | 1) All of Bidders should submit relevant project experiences over the last 5 years 2) Only construction works that have been completed within the last 5 years and signed by the client are recognized as Project Experience 3) Scored on a percentage basis and given the corresponding Grade and Points: | TRI (Track Record Index) = Each bidder’s Total approved Project Contract Price ÷ Estimated Budget (USD1,411,000) All of Domestic and Overseas Projects Can be included in Project Experience.</x:v>
      </x:c>
      <x:c r="J243" s="43" t="str">
        <x:v>자동추출·검토필요</x:v>
      </x:c>
    </x:row>
    <x:row r="244">
      <x:c r="A244" s="43" t="str">
        <x:v>L2022-00019-1</x:v>
      </x:c>
      <x:c r="B244" s="43" t="str">
        <x:v>공사비</x:v>
      </x:c>
      <x:c r="C244" s="46" t="str">
        <x:v>construction cost</x:v>
      </x:c>
      <x:c r="D244" s="46" t="str"/>
      <x:c r="E244" s="46" t="str">
        <x:v>000.00 USD</x:v>
      </x:c>
      <x:c r="F244" s="46" t="str"/>
      <x:c r="G244" s="46" t="str">
        <x:v>L2022-00019-1/05. Bidding Documents (220523).docx</x:v>
      </x:c>
      <x:c r="H244" s="43" t="str">
        <x:v>표 15 행 9</x:v>
      </x:c>
      <x:c r="I244" s="46" t="str">
        <x:v>B. Total Construction Cost (A+ A-1) | 000.00 USD</x:v>
      </x:c>
      <x:c r="J244" s="43" t="str">
        <x:v>자동추출·검토필요</x:v>
      </x:c>
    </x:row>
    <x:row r="245">
      <x:c r="A245" s="43" t="str">
        <x:v>L2022-00019-1</x:v>
      </x:c>
      <x:c r="B245" s="43" t="str">
        <x:v>공사비</x:v>
      </x:c>
      <x:c r="C245" s="46" t="str">
        <x:v>construction cost</x:v>
      </x:c>
      <x:c r="D245" s="46" t="str"/>
      <x:c r="E245" s="46" t="str">
        <x:v>000.00 USD</x:v>
      </x:c>
      <x:c r="F245" s="46" t="str"/>
      <x:c r="G245" s="46" t="str">
        <x:v>L2022-00019-1/05. Bidding Documents (220523).docx</x:v>
      </x:c>
      <x:c r="H245" s="43" t="str">
        <x:v>표 15 행 11</x:v>
      </x:c>
      <x:c r="I245" s="46" t="str">
        <x:v>1. Proposed Construction Cost for RMNCH (B+ B-1) | 000.00 USD</x:v>
      </x:c>
      <x:c r="J245" s="43" t="str">
        <x:v>자동추출·검토필요</x:v>
      </x:c>
    </x:row>
    <x:row r="246">
      <x:c r="A246" s="43" t="str">
        <x:v>L2022-00019-1</x:v>
      </x:c>
      <x:c r="B246" s="43" t="str">
        <x:v>공사비</x:v>
      </x:c>
      <x:c r="C246" s="46" t="str">
        <x:v>construction cost</x:v>
      </x:c>
      <x:c r="D246" s="46" t="str"/>
      <x:c r="E246" s="46" t="str">
        <x:v>000.00 USD</x:v>
      </x:c>
      <x:c r="F246" s="46" t="str"/>
      <x:c r="G246" s="46" t="str">
        <x:v>L2022-00019-1/05. Bidding Documents (220523).docx</x:v>
      </x:c>
      <x:c r="H246" s="43" t="str">
        <x:v>표 16 행 9</x:v>
      </x:c>
      <x:c r="I246" s="46" t="str">
        <x:v>B. Total Construction Cost(A+ A-1) | B. Total Construction Cost(A+ A-1) | 000.00 USD</x:v>
      </x:c>
      <x:c r="J246" s="43" t="str">
        <x:v>자동추출·검토필요</x:v>
      </x:c>
    </x:row>
    <x:row r="247">
      <x:c r="A247" s="43" t="str">
        <x:v>L2022-00019-1</x:v>
      </x:c>
      <x:c r="B247" s="43" t="str">
        <x:v>공사비</x:v>
      </x:c>
      <x:c r="C247" s="46" t="str">
        <x:v>construction cost</x:v>
      </x:c>
      <x:c r="D247" s="46" t="str"/>
      <x:c r="E247" s="46" t="str">
        <x:v>000.00 USD</x:v>
      </x:c>
      <x:c r="F247" s="46" t="str"/>
      <x:c r="G247" s="46" t="str">
        <x:v>L2022-00019-1/05. Bidding Documents (220523).docx</x:v>
      </x:c>
      <x:c r="H247" s="43" t="str">
        <x:v>표 16 행 11</x:v>
      </x:c>
      <x:c r="I247" s="46" t="str">
        <x:v>2. Proposed Construction Cost for EVAW (B+ B-1) | 2. Proposed Construction Cost for EVAW (B+ B-1) | 000.00 USD</x:v>
      </x:c>
      <x:c r="J247" s="43" t="str">
        <x:v>자동추출·검토필요</x:v>
      </x:c>
    </x:row>
    <x:row r="248">
      <x:c r="A248" s="43" t="str">
        <x:v>L2022-00019-1</x:v>
      </x:c>
      <x:c r="B248" s="43" t="str">
        <x:v>공사비</x:v>
      </x:c>
      <x:c r="C248" s="46" t="str">
        <x:v>construction cost</x:v>
      </x:c>
      <x:c r="D248" s="46" t="str"/>
      <x:c r="E248" s="46" t="str">
        <x:v>000.00 USD | 000.00 USD</x:v>
      </x:c>
      <x:c r="F248" s="46" t="str"/>
      <x:c r="G248" s="46" t="str">
        <x:v>L2022-00019-1/05. Bidding Documents (220523).docx</x:v>
      </x:c>
      <x:c r="H248" s="43" t="str">
        <x:v>표 16 행 13</x:v>
      </x:c>
      <x:c r="I248" s="46" t="str">
        <x:v>Proposed Total Construction Cost for RMNCH + EVAW (1+2) | 000.00 USD | 000.00 USD</x:v>
      </x:c>
      <x:c r="J248" s="43" t="str">
        <x:v>자동추출·검토필요</x:v>
      </x:c>
    </x:row>
    <x:row r="249">
      <x:c r="A249" s="43" t="str">
        <x:v>L2022-00015-1</x:v>
      </x:c>
      <x:c r="B249" s="43" t="str">
        <x:v>공사비</x:v>
      </x:c>
      <x:c r="C249" s="46" t="str">
        <x:v>contract price</x:v>
      </x:c>
      <x:c r="D249" s="46" t="str"/>
      <x:c r="E249" s="46" t="str">
        <x:v>USD 1,801,800</x:v>
      </x:c>
      <x:c r="F249" s="46" t="str"/>
      <x:c r="G249" s="46" t="str">
        <x:v>L2022-00015-1/01 필리핀 농기계 현대화 사업 센터 신축 ITB Rev02_20220513_edited.doc</x:v>
      </x:c>
      <x:c r="H249" s="43" t="str">
        <x:v>문단 3</x:v>
      </x:c>
      <x:c r="I249" s="46" t="str">
        <x:v>1) Employer: KOICA Philippines Office 2) Bid Type: International Open Competitive Bidding (Fixed Lump Sum Price Contract) 3) Selection of the Successful Bidder: Qualified Lowest Price 4) Technical Specifications of Construction: Philippine Standard 5) Eligibility to Bid: A bidder shall meet all items below in order to be eligible to bid. ① As of the date of the announcement of the bid, a company that has been legally established in accordance with the laws and regulations of the country of establishment, regardless of nationality, and can perform construction business in Philippines with a related license from Philippine government. Documents to be submitted at registration to participate in the bidding: - Enterprise Registration License (Issued by the country of establishment and the Philippine Government) - Construction License (Issued by the country of establishment) - Tax payment Certificate (Issued by the country of establishment) - PCAB General Building Registration Certification (GB-1) ② Consortium with another company is not allowed. 6) Contract Currency: USD 7) Time Schedule of Bid Event Schedule Remark Bid Announcement 2022.05.18. ~ 05.20 Local Newspaper, KOICA website (n</x:v>
      </x:c>
      <x:c r="J249" s="43" t="str">
        <x:v>자동추출·검토필요</x:v>
      </x:c>
    </x:row>
    <x:row r="250">
      <x:c r="A250" s="43" t="str">
        <x:v>L2022-00006-1</x:v>
      </x:c>
      <x:c r="B250" s="43" t="str">
        <x:v>공사비</x:v>
      </x:c>
      <x:c r="C250" s="46" t="str">
        <x:v>contract amount</x:v>
      </x:c>
      <x:c r="D250" s="46" t="str">
        <x:v>1,500 m2</x:v>
      </x:c>
      <x:c r="E250" s="46" t="str">
        <x:v>200,000 USD</x:v>
      </x:c>
      <x:c r="F250" s="46" t="str"/>
      <x:c r="G250" s="46" t="str">
        <x:v>L2022-00006-1/붙임 1. 네팔경찰 역량강화를 위한 사이버안전국 설립사업 -국문본(조달실 반영분).hwp</x:v>
      </x:c>
      <x:c r="H250" s="43" t="str">
        <x:v>문단 638</x:v>
      </x:c>
      <x:c r="I250" s="46" t="str">
        <x:v>2. Qualification Criteria in similar experience in school building, Office Building, IT Building, Hospital, Bank, Shopping Mall, Hotel, R&amp;DCenter for the last 3 years. The gross floor area(GFA) of the completed and ongoing projects shall be more than two(2) projects with 1,500m2 for each of the above mentioned buildings and total contract amount for the design and supervision services is more than 200,000USD for the last 3years.</x:v>
      </x:c>
      <x:c r="J250" s="43" t="str">
        <x:v>자동추출·검토필요</x:v>
      </x:c>
    </x:row>
    <x:row r="251">
      <x:c r="A251" s="43" t="str">
        <x:v>L2022-00006-1</x:v>
      </x:c>
      <x:c r="B251" s="43" t="str">
        <x:v>공사비</x:v>
      </x:c>
      <x:c r="C251" s="46" t="str">
        <x:v>contract price</x:v>
      </x:c>
      <x:c r="D251" s="46" t="str">
        <x:v>1,500 m2</x:v>
      </x:c>
      <x:c r="E251" s="46" t="str">
        <x:v>USD 200,000.</x:v>
      </x:c>
      <x:c r="F251" s="46" t="str"/>
      <x:c r="G251" s="46" t="str">
        <x:v>L2022-00006-1/붙임 3. 입찰계획안 -영문본.docx</x:v>
      </x:c>
      <x:c r="H251" s="43" t="str">
        <x:v>문단 96</x:v>
      </x:c>
      <x:c r="I251" s="46" t="str">
        <x:v>Qualification criteria for similar performance track record of completed and ongoing projects in School, Office, IT, Bank, Hospital, Hotel and R&amp;D Center shall be not less than 1,500m2 of gross floor area(GFA) per each building with total contract price of 3 years for both design and supervision service only USD 200,000.</x:v>
      </x:c>
      <x:c r="J251" s="43" t="str">
        <x:v>자동추출·검토필요</x:v>
      </x:c>
    </x:row>
    <x:row r="252">
      <x:c r="A252" s="43" t="str">
        <x:v>L2022-00006-1</x:v>
      </x:c>
      <x:c r="B252" s="43" t="str">
        <x:v>공사비</x:v>
      </x:c>
      <x:c r="C252" s="46" t="str">
        <x:v>contract amount</x:v>
      </x:c>
      <x:c r="D252" s="46" t="str">
        <x:v>1,500 M2</x:v>
      </x:c>
      <x:c r="E252" s="46" t="str">
        <x:v>200,000 USD</x:v>
      </x:c>
      <x:c r="F252" s="46" t="str"/>
      <x:c r="G252" s="46" t="str">
        <x:v>L2022-00006-1/붙임 3. 입찰계획안 -영문본.docx</x:v>
      </x:c>
      <x:c r="H252" s="43" t="str">
        <x:v>문단 210</x:v>
      </x:c>
      <x:c r="I252" s="46" t="str">
        <x:v>2.Qualification Criteria on similar experience in school building, Office Building, IT Building, Hospital, Bank, Shopping mall, Hotel, R&amp;D Center during the last 3 years. The gross floor area(GFA) of the completed and ongoing projects shall be more than two(2)projects with 1,500 M2 for each of the above mentioned buildings and total contract amount for the design and supervision services id more than 200,000USD for the last 3years.</x:v>
      </x:c>
      <x:c r="J252" s="43" t="str">
        <x:v>자동추출·검토필요</x:v>
      </x:c>
    </x:row>
    <x:row r="253">
      <x:c r="A253" s="43" t="str">
        <x:v>L2022-00003-1</x:v>
      </x:c>
      <x:c r="B253" s="43" t="str">
        <x:v>공사비</x:v>
      </x:c>
      <x:c r="C253" s="46" t="str">
        <x:v>contract price</x:v>
      </x:c>
      <x:c r="D253" s="46" t="str"/>
      <x:c r="E253" s="46" t="str">
        <x:v>USD 000,000</x:v>
      </x:c>
      <x:c r="F253" s="46" t="str"/>
      <x:c r="G253" s="46" t="str">
        <x:v>L2022-00003-1/KOICA URGENCH BID DOCUMENTS-FINAL(FINAL)/Form 4.. Contract Agreement for Design and Construction Supervision).docx</x:v>
      </x:c>
      <x:c r="H253" s="43" t="str">
        <x:v>문단 69</x:v>
      </x:c>
      <x:c r="I253" s="46" t="str">
        <x:v>For the Contract Price of U.S. Dollars (USD 000,000)</x:v>
      </x:c>
      <x:c r="J253" s="43" t="str">
        <x:v>자동추출·검토필요</x:v>
      </x:c>
    </x:row>
    <x:row r="254">
      <x:c r="A254" s="43" t="str">
        <x:v>L2022-00003-1</x:v>
      </x:c>
      <x:c r="B254" s="43" t="str">
        <x:v>공사비</x:v>
      </x:c>
      <x:c r="C254" s="46" t="str">
        <x:v>contract amount</x:v>
      </x:c>
      <x:c r="D254" s="46" t="str">
        <x:v>3,000 M2</x:v>
      </x:c>
      <x:c r="E254" s="46" t="str">
        <x:v>14,754 USD | 10,080 USD | USD 14,754 | USD 10,080</x:v>
      </x:c>
      <x:c r="F254" s="46" t="str"/>
      <x:c r="G254" s="46" t="str">
        <x:v>L2022-00003-1/KOICA URGENCH BID DOCUMENTS-FINAL(FINAL)/Form 5. Form of Technical Proposal.doc</x:v>
      </x:c>
      <x:c r="H254" s="43" t="str">
        <x:v>문단 11</x:v>
      </x:c>
      <x:c r="I254" s="46" t="str">
        <x:v>Experience in Similar Projects completed in the Last 5 years Similar projects refer to the performance of more than 14,754 USD in design and 10,080 USD In construction supervision Contract of educational research facilities, school buildings, or business facilities. Bidders should provide the names of suitably service experience to meet the requirements specified in Evaluation and Qualification Criteria. The data on their experience should be supplied using the Form below for each candidate. Similar Performances: Recent 5 years. Similar performances shall be shall be total floor area of 3,000M2 or above for one of Vocational Training Center, University, Office Building, IT Building, Hospital, Bank, Shopping Mall, Movie Theater, Auditorium, Convention Center, and accumulated contract amount of design USD 14,754 or above and accumulated construction supervision contract amount of USD 10,080 for last 5 years project in above mentioned.</x:v>
      </x:c>
      <x:c r="J254" s="43" t="str">
        <x:v>자동추출·검토필요</x:v>
      </x:c>
    </x:row>
    <x:row r="255">
      <x:c r="A255" s="43" t="str">
        <x:v>L2022-00003-1</x:v>
      </x:c>
      <x:c r="B255" s="43" t="str">
        <x:v>공사비</x:v>
      </x:c>
      <x:c r="C255" s="46" t="str">
        <x:v>contract price</x:v>
      </x:c>
      <x:c r="D255" s="46" t="str"/>
      <x:c r="E255" s="46" t="str">
        <x:v>$ 000,000.00 | $ 000,000 | $ 000,000 | $ 000,000</x:v>
      </x:c>
      <x:c r="F255" s="46" t="str"/>
      <x:c r="G255" s="46" t="str">
        <x:v>L2022-00003-1/KOICA URGENCH BID DOCUMENTS-FINAL(FINAL)/Form 6. Form of Price Proposal.doc</x:v>
      </x:c>
      <x:c r="H255" s="43" t="str">
        <x:v>문단 11</x:v>
      </x:c>
      <x:c r="I255" s="46" t="str">
        <x:v>Authorized Signature: Name and Title of Signatory: Duly authorized to sign bid for and on behalf of: Address: Form of BID Invitation No. KOICA-P-UZB-2022-1 Date of Bid MM, DD, 2022 Bid Total Amount [numbers] U$ 000,000.00 [words] Contract Period 1. Design: 6 months 2. Construction Supervision: 25 months 3. Bidding Support for selecting the Contractors: 2 months Total 33 months 1) Price for Design Stage [numbers] U$ 000,000 [words] _________________________ Design Contract Period 6 months + Bidding Support Period: 2 months 2) Price for Construction Supervision Stage [numbers] U$ 000,000 [words] _________________________ ( ________ U$/Months X 25 Months = ______________ U$) CS Contract Period 25 months 3) Total Contract Price [numbers] U$000,000 [words] _________________________ Details of the Bidder Section Name of Firm Address Chief Executive Bidding Agent Name Taxpayer ID No.</x:v>
      </x:c>
      <x:c r="J255" s="43" t="str">
        <x:v>자동추출·검토필요</x:v>
      </x:c>
    </x:row>
    <x:row r="256">
      <x:c r="A256" s="43" t="str">
        <x:v>L2021-00045-1</x:v>
      </x:c>
      <x:c r="B256" s="43" t="str">
        <x:v>공사비</x:v>
      </x:c>
      <x:c r="C256" s="46" t="str">
        <x:v>contract amount</x:v>
      </x:c>
      <x:c r="D256" s="46" t="str"/>
      <x:c r="E256" s="46" t="str">
        <x:v>USD 800,000 | USD 2,400,000</x:v>
      </x:c>
      <x:c r="F256" s="46" t="str">
        <x:v>75%</x:v>
      </x:c>
      <x:c r="G256" s="46" t="str">
        <x:v>L2021-00045-1/0 Bidding Guideline for Construction_ATC.docx</x:v>
      </x:c>
      <x:c r="H256" s="43" t="str">
        <x:v>표 6 행 2</x:v>
      </x:c>
      <x:c r="I256" s="46" t="str">
        <x:v>Project Experience for last 10 years (15 Points) | Experience in construction of Similar Projects for a Single Building (Reinforced Concrete Structure + at least Two Floors) with a value of at least USD 800,000 that have been successfully completed in Paraguay within last 10 years. Sum of the total contract amount. (Base Evaluation Grade (E.G.): USD 2,400,000) | A : Greater than or equal to 75% | 15.0 |</x:v>
      </x:c>
      <x:c r="J256" s="43" t="str">
        <x:v>자동추출·검토필요</x:v>
      </x:c>
    </x:row>
    <x:row r="257">
      <x:c r="A257" s="43" t="str">
        <x:v>L2021-00045-1</x:v>
      </x:c>
      <x:c r="B257" s="43" t="str">
        <x:v>공사비</x:v>
      </x:c>
      <x:c r="C257" s="46" t="str">
        <x:v>contract amount</x:v>
      </x:c>
      <x:c r="D257" s="46" t="str"/>
      <x:c r="E257" s="46" t="str">
        <x:v>USD 800,000 | USD 2,400,000</x:v>
      </x:c>
      <x:c r="F257" s="46" t="str">
        <x:v>65% | 75%</x:v>
      </x:c>
      <x:c r="G257" s="46" t="str">
        <x:v>L2021-00045-1/0 Bidding Guideline for Construction_ATC.docx</x:v>
      </x:c>
      <x:c r="H257" s="43" t="str">
        <x:v>표 6 행 3</x:v>
      </x:c>
      <x:c r="I257" s="46" t="str">
        <x:v>Project Experience for last 10 years (15 Points) | Experience in construction of Similar Projects for a Single Building (Reinforced Concrete Structure + at least Two Floors) with a value of at least USD 800,000 that have been successfully completed in Paraguay within last 10 years. Sum of the total contract amount. (Base Evaluation Grade (E.G.): USD 2,400,000) | B : 65%≤ E.G. &lt;75% | 13.7 |</x:v>
      </x:c>
      <x:c r="J257" s="43" t="str">
        <x:v>자동추출·검토필요</x:v>
      </x:c>
    </x:row>
    <x:row r="258">
      <x:c r="A258" s="43" t="str">
        <x:v>L2021-00045-1</x:v>
      </x:c>
      <x:c r="B258" s="43" t="str">
        <x:v>공사비</x:v>
      </x:c>
      <x:c r="C258" s="46" t="str">
        <x:v>contract amount</x:v>
      </x:c>
      <x:c r="D258" s="46" t="str"/>
      <x:c r="E258" s="46" t="str">
        <x:v>USD 800,000 | USD 2,400,000</x:v>
      </x:c>
      <x:c r="F258" s="46" t="str">
        <x:v>55% | 65%</x:v>
      </x:c>
      <x:c r="G258" s="46" t="str">
        <x:v>L2021-00045-1/0 Bidding Guideline for Construction_ATC.docx</x:v>
      </x:c>
      <x:c r="H258" s="43" t="str">
        <x:v>표 6 행 4</x:v>
      </x:c>
      <x:c r="I258" s="46" t="str">
        <x:v>Project Experience for last 10 years (15 Points) | Experience in construction of Similar Projects for a Single Building (Reinforced Concrete Structure + at least Two Floors) with a value of at least USD 800,000 that have been successfully completed in Paraguay within last 10 years. Sum of the total contract amount. (Base Evaluation Grade (E.G.): USD 2,400,000) | C : 55%≤ E.G. &lt;65% | 12.4 |</x:v>
      </x:c>
      <x:c r="J258" s="43" t="str">
        <x:v>자동추출·검토필요</x:v>
      </x:c>
    </x:row>
    <x:row r="259">
      <x:c r="A259" s="43" t="str">
        <x:v>L2021-00045-1</x:v>
      </x:c>
      <x:c r="B259" s="43" t="str">
        <x:v>공사비</x:v>
      </x:c>
      <x:c r="C259" s="46" t="str">
        <x:v>contract amount</x:v>
      </x:c>
      <x:c r="D259" s="46" t="str"/>
      <x:c r="E259" s="46" t="str">
        <x:v>USD 800,000 | USD 2,400,000</x:v>
      </x:c>
      <x:c r="F259" s="46" t="str">
        <x:v>45% | 55%</x:v>
      </x:c>
      <x:c r="G259" s="46" t="str">
        <x:v>L2021-00045-1/0 Bidding Guideline for Construction_ATC.docx</x:v>
      </x:c>
      <x:c r="H259" s="43" t="str">
        <x:v>표 6 행 5</x:v>
      </x:c>
      <x:c r="I259" s="46" t="str">
        <x:v>Project Experience for last 10 years (15 Points) | Experience in construction of Similar Projects for a Single Building (Reinforced Concrete Structure + at least Two Floors) with a value of at least USD 800,000 that have been successfully completed in Paraguay within last 10 years. Sum of the total contract amount. (Base Evaluation Grade (E.G.): USD 2,400,000) | D : 45%≤ E.G. &lt;55% | 11.0 |</x:v>
      </x:c>
      <x:c r="J259" s="43" t="str">
        <x:v>자동추출·검토필요</x:v>
      </x:c>
    </x:row>
    <x:row r="260">
      <x:c r="A260" s="43" t="str">
        <x:v>L2021-00045-1</x:v>
      </x:c>
      <x:c r="B260" s="43" t="str">
        <x:v>공사비</x:v>
      </x:c>
      <x:c r="C260" s="46" t="str">
        <x:v>contract amount</x:v>
      </x:c>
      <x:c r="D260" s="46" t="str"/>
      <x:c r="E260" s="46" t="str">
        <x:v>USD 800,000 | USD 2,400,000</x:v>
      </x:c>
      <x:c r="F260" s="46" t="str">
        <x:v>35% | 45%</x:v>
      </x:c>
      <x:c r="G260" s="46" t="str">
        <x:v>L2021-00045-1/0 Bidding Guideline for Construction_ATC.docx</x:v>
      </x:c>
      <x:c r="H260" s="43" t="str">
        <x:v>표 6 행 6</x:v>
      </x:c>
      <x:c r="I260" s="46" t="str">
        <x:v>Project Experience for last 10 years (15 Points) | Experience in construction of Similar Projects for a Single Building (Reinforced Concrete Structure + at least Two Floors) with a value of at least USD 800,000 that have been successfully completed in Paraguay within last 10 years. Sum of the total contract amount. (Base Evaluation Grade (E.G.): USD 2,400,000) | E : 35%≤ E.G. &lt;45% | 9.7 |</x:v>
      </x:c>
      <x:c r="J260" s="43" t="str">
        <x:v>자동추출·검토필요</x:v>
      </x:c>
    </x:row>
    <x:row r="261">
      <x:c r="A261" s="43" t="str">
        <x:v>L2021-00045-1</x:v>
      </x:c>
      <x:c r="B261" s="43" t="str">
        <x:v>공사비</x:v>
      </x:c>
      <x:c r="C261" s="46" t="str">
        <x:v>contract amount</x:v>
      </x:c>
      <x:c r="D261" s="46" t="str"/>
      <x:c r="E261" s="46" t="str">
        <x:v>USD 800,000 | USD 2,400,000</x:v>
      </x:c>
      <x:c r="F261" s="46" t="str">
        <x:v>35%</x:v>
      </x:c>
      <x:c r="G261" s="46" t="str">
        <x:v>L2021-00045-1/0 Bidding Guideline for Construction_ATC.docx</x:v>
      </x:c>
      <x:c r="H261" s="43" t="str">
        <x:v>표 6 행 7</x:v>
      </x:c>
      <x:c r="I261" s="46" t="str">
        <x:v>Project Experience for last 10 years (15 Points) | Experience in construction of Similar Projects for a Single Building (Reinforced Concrete Structure + at least Two Floors) with a value of at least USD 800,000 that have been successfully completed in Paraguay within last 10 years. Sum of the total contract amount. (Base Evaluation Grade (E.G.): USD 2,400,000) | F : Below 35% | 8.2 |</x:v>
      </x:c>
      <x:c r="J261" s="43" t="str">
        <x:v>자동추출·검토필요</x:v>
      </x:c>
    </x:row>
    <x:row r="262">
      <x:c r="A262" s="43" t="str">
        <x:v>L2021-00037-1</x:v>
      </x:c>
      <x:c r="B262" s="43" t="str">
        <x:v>공사비</x:v>
      </x:c>
      <x:c r="C262" s="46" t="str">
        <x:v>contract price, bill of quantities</x:v>
      </x:c>
      <x:c r="D262" s="46" t="str"/>
      <x:c r="E262" s="46" t="str">
        <x:v>500,000 USD</x:v>
      </x:c>
      <x:c r="F262" s="46" t="str"/>
      <x:c r="G262" s="46" t="str">
        <x:v>L2021-00037-1/1. RFP_(21.11.04_Maternal &amp; Child Health).pdf</x:v>
      </x:c>
      <x:c r="H262" s="43" t="str">
        <x:v>페이지 6</x:v>
      </x:c>
      <x:c r="I262" s="46" t="str">
        <x:v>2. Key Summary of Bidding Information 2.1. Bidding Mode: International General Open Competitive Tender. 1) Single Stage Tender based on the Bidding documents and design information provided by Employer 2) Tender Evaluation will be executed in accordance with the guideline described in the attached BIDDING DOCUMENT 2.2. Eligible Bidders 1) Bid participate: Bidders who are fulfilled the all conditions specified below will be eligible to bid participate a. As of the deadline for submitting bids, it is a company that completes registration in Cambodia, a local subsidiary, and submits related evidence documents with companies that can carry out construction project b. A company that has performed more than one Medical facility or public health center building in Ratanakiri province or Mondulkiri province over the last 5 years (2016 ~ 2020) c. A company with ODA (Official Development Assistance) of KOREA performance of more than 500,000 USD in a single building over the last 5 years (2016 ~ 2020)  Medical facility : hospital, clinic center etc. 2.3. Scope of Bidding Item Contents  Temporary supply of water and electricity necessary for the construction works (If Government provide, it </x:v>
      </x:c>
      <x:c r="J262" s="43" t="str">
        <x:v>자동추출·검토필요</x:v>
      </x:c>
    </x:row>
    <x:row r="263">
      <x:c r="A263" s="43" t="str">
        <x:v>L2021-00036-1</x:v>
      </x:c>
      <x:c r="B263" s="43" t="str">
        <x:v>공사비</x:v>
      </x:c>
      <x:c r="C263" s="46" t="str">
        <x:v>contract price</x:v>
      </x:c>
      <x:c r="D263" s="46" t="str"/>
      <x:c r="E263" s="46" t="str">
        <x:v>USD 3.2 | USD 0.0125 | 300,000 USD | 200,000 USD | 10,000 USD</x:v>
      </x:c>
      <x:c r="F263" s="46" t="str">
        <x:v>0.0125% | 30%</x:v>
      </x:c>
      <x:c r="G263" s="46" t="str">
        <x:v>L2021-00036-1/[붙임] 입찰 서류_11.1.docx</x:v>
      </x:c>
      <x:c r="H263" s="43" t="str">
        <x:v>표 27 행 1</x:v>
      </x:c>
      <x:c r="I263" s="46" t="str">
        <x:v>| General The Purpose of special conditions of contract (SCC) is to supplement GCC with the specific provisions in GCC referred to and amended accordingly. The SCC provisions shall prevail over those in GCC and constitute a part of this Agreement. The financing institution is: Korea International Cooperation Agency (KOICA) The Client is: Korea International Cooperation Agency (KOICA) 15, Razzakov str., Bioshkek, 720040, Kyrgyz Republic The Project Manager is the representative of the Client . The project Manager for this project is Deputy Country Director of KOICA The Start Date shall be December 1, 2021 The language of the contract is English The minimum insurance amounts and deductibles shall be: for loss or damage to property (except the Works, Plant, Materials, and Equipment) in connection with Contract : in accordance to applicable laws for personal injury or death: in accordance to applicable laws of the Contractor’s employees: : in accordance to applicable laws of other people: : in accordance to applicable laws. Arbitration will take place in accordance with the Kyrgyz Law 2. Contract Period 2.1 The Contract Period : From Contract Date to November 31, 2022 (12 months) 2.2. </x:v>
      </x:c>
      <x:c r="J263" s="43" t="str">
        <x:v>자동추출·검토필요</x:v>
      </x:c>
    </x:row>
    <x:row r="264">
      <x:c r="A264" s="43" t="str">
        <x:v>L2021-00031-1</x:v>
      </x:c>
      <x:c r="B264" s="43" t="str">
        <x:v>공사비</x:v>
      </x:c>
      <x:c r="C264" s="46" t="str">
        <x:v>contract amount</x:v>
      </x:c>
      <x:c r="D264" s="46" t="str"/>
      <x:c r="E264" s="46" t="str">
        <x:v>PKR 100,000,000</x:v>
      </x:c>
      <x:c r="F264" s="46" t="str"/>
      <x:c r="G264" s="46" t="str">
        <x:v>L2021-00031-1/2. Chapters/Chapter 1. Invitation for Pre-Qualification_1020.docx</x:v>
      </x:c>
      <x:c r="H264" s="43" t="str">
        <x:v>표 3 행 5</x:v>
      </x:c>
      <x:c r="I264" s="46" t="str">
        <x:v>Past Performance | The Applicant(s) who has performed one or more architectural construction work in each contract amount of PKR 100,000,000 or above over the last five (5) fiscal years (FY July 2016 ~ FY June 2021) | Pass or Fail</x:v>
      </x:c>
      <x:c r="J264" s="43" t="str">
        <x:v>자동추출·검토필요</x:v>
      </x:c>
    </x:row>
    <x:row r="265">
      <x:c r="A265" s="43" t="str">
        <x:v>L2021-00031-1</x:v>
      </x:c>
      <x:c r="B265" s="43" t="str">
        <x:v>공사비</x:v>
      </x:c>
      <x:c r="C265" s="46" t="str">
        <x:v>contract price</x:v>
      </x:c>
      <x:c r="D265" s="46" t="str"/>
      <x:c r="E265" s="46" t="str">
        <x:v>PKR 100,000,000 | PKR 100,000,000 | PKR 100,000,000 | PKR 100,000,000 | PKR 100,000,000 | PKR 100,000,000</x:v>
      </x:c>
      <x:c r="F265" s="46" t="str"/>
      <x:c r="G265" s="46" t="str">
        <x:v>L2021-00031-1/3. Attachments/Attachment 1. Pre-Qualification Application Form_1020.docx</x:v>
      </x:c>
      <x:c r="H265" s="43" t="str">
        <x:v>표 4 행 1</x:v>
      </x:c>
      <x:c r="I265" s="46" t="str">
        <x:v>Completion Record of Architectural Work over the Last Five (5) Fiscal Years (FY July 2016 ~ FY June 2021) * Project which the Contract Price is PKR 100,000,000 or above ONLY | Completion Record of Architectural Work over the Last Five (5) Fiscal Years (FY July 2016 ~ FY June 2021) * Project which the Contract Price is PKR 100,000,000 or above ONLY | Completion Record of Architectural Work over the Last Five (5) Fiscal Years (FY July 2016 ~ FY June 2021) * Project which the Contract Price is PKR 100,000,000 or above ONLY | Completion Record of Architectural Work over the Last Five (5) Fiscal Years (FY July 2016 ~ FY June 2021) * Project which the Contract Price is PKR 100,000,000 or above ONLY | Completion Record of Architectural Work over the Last Five (5) Fiscal Years (FY July 2016 ~ FY June 2021) * Project which the Contract Price is PKR 100,000,000 or above ONLY | Completion Record of Architectural Work over the Last Five (5) Fiscal Years (FY July 2016 ~ FY June 2021) * Project which the Contract Price is PKR 100,000,000 or above ONLY</x:v>
      </x:c>
      <x:c r="J265" s="43" t="str">
        <x:v>자동추출·검토필요</x:v>
      </x:c>
    </x:row>
    <x:row r="266">
      <x:c r="A266" s="43" t="str">
        <x:v>L2021-00030-1</x:v>
      </x:c>
      <x:c r="B266" s="43" t="str">
        <x:v>공사비</x:v>
      </x:c>
      <x:c r="C266" s="46" t="str">
        <x:v>contract amount</x:v>
      </x:c>
      <x:c r="D266" s="46" t="str"/>
      <x:c r="E266" s="46" t="str">
        <x:v>USD 300,000 | USD 900,000</x:v>
      </x:c>
      <x:c r="F266" s="46" t="str">
        <x:v>75%</x:v>
      </x:c>
      <x:c r="G266" s="46" t="str">
        <x:v>L2021-00030-1/0 Bidding Guideline for Construction Contractor_Hangar.docx</x:v>
      </x:c>
      <x:c r="H266" s="43" t="str">
        <x:v>표 6 행 2</x:v>
      </x:c>
      <x:c r="I266" s="46" t="str">
        <x:v>Project Experience for last 12 years (15 Points) | Experience in construction of Hangar and/or similar projects with a value of at least USD 300,000 for last 12 years. Sum of the total contract amount. (Base Evaluation Grade (E.G.): USD 900,000) | A : Greater than or equal to 75% | 15.0 |</x:v>
      </x:c>
      <x:c r="J266" s="43" t="str">
        <x:v>자동추출·검토필요</x:v>
      </x:c>
    </x:row>
    <x:row r="267">
      <x:c r="A267" s="43" t="str">
        <x:v>L2021-00030-1</x:v>
      </x:c>
      <x:c r="B267" s="43" t="str">
        <x:v>공사비</x:v>
      </x:c>
      <x:c r="C267" s="46" t="str">
        <x:v>contract amount</x:v>
      </x:c>
      <x:c r="D267" s="46" t="str"/>
      <x:c r="E267" s="46" t="str">
        <x:v>USD 300,000 | USD 900,000</x:v>
      </x:c>
      <x:c r="F267" s="46" t="str">
        <x:v>65% | 75%</x:v>
      </x:c>
      <x:c r="G267" s="46" t="str">
        <x:v>L2021-00030-1/0 Bidding Guideline for Construction Contractor_Hangar.docx</x:v>
      </x:c>
      <x:c r="H267" s="43" t="str">
        <x:v>표 6 행 3</x:v>
      </x:c>
      <x:c r="I267" s="46" t="str">
        <x:v>Project Experience for last 12 years (15 Points) | Experience in construction of Hangar and/or similar projects with a value of at least USD 300,000 for last 12 years. Sum of the total contract amount. (Base Evaluation Grade (E.G.): USD 900,000) | B : 65%≤ E.G. &lt;75% | 13.7 |</x:v>
      </x:c>
      <x:c r="J267" s="43" t="str">
        <x:v>자동추출·검토필요</x:v>
      </x:c>
    </x:row>
    <x:row r="268">
      <x:c r="A268" s="43" t="str">
        <x:v>L2021-00030-1</x:v>
      </x:c>
      <x:c r="B268" s="43" t="str">
        <x:v>공사비</x:v>
      </x:c>
      <x:c r="C268" s="46" t="str">
        <x:v>contract amount</x:v>
      </x:c>
      <x:c r="D268" s="46" t="str"/>
      <x:c r="E268" s="46" t="str">
        <x:v>USD 300,000 | USD 900,000</x:v>
      </x:c>
      <x:c r="F268" s="46" t="str">
        <x:v>55% | 65%</x:v>
      </x:c>
      <x:c r="G268" s="46" t="str">
        <x:v>L2021-00030-1/0 Bidding Guideline for Construction Contractor_Hangar.docx</x:v>
      </x:c>
      <x:c r="H268" s="43" t="str">
        <x:v>표 6 행 4</x:v>
      </x:c>
      <x:c r="I268" s="46" t="str">
        <x:v>Project Experience for last 12 years (15 Points) | Experience in construction of Hangar and/or similar projects with a value of at least USD 300,000 for last 12 years. Sum of the total contract amount. (Base Evaluation Grade (E.G.): USD 900,000) | C : 55%≤ E.G. &lt;65% | 12.4 |</x:v>
      </x:c>
      <x:c r="J268" s="43" t="str">
        <x:v>자동추출·검토필요</x:v>
      </x:c>
    </x:row>
    <x:row r="269">
      <x:c r="A269" s="43" t="str">
        <x:v>L2021-00030-1</x:v>
      </x:c>
      <x:c r="B269" s="43" t="str">
        <x:v>공사비</x:v>
      </x:c>
      <x:c r="C269" s="46" t="str">
        <x:v>contract amount</x:v>
      </x:c>
      <x:c r="D269" s="46" t="str"/>
      <x:c r="E269" s="46" t="str">
        <x:v>USD 300,000 | USD 900,000</x:v>
      </x:c>
      <x:c r="F269" s="46" t="str">
        <x:v>45% | 55%</x:v>
      </x:c>
      <x:c r="G269" s="46" t="str">
        <x:v>L2021-00030-1/0 Bidding Guideline for Construction Contractor_Hangar.docx</x:v>
      </x:c>
      <x:c r="H269" s="43" t="str">
        <x:v>표 6 행 5</x:v>
      </x:c>
      <x:c r="I269" s="46" t="str">
        <x:v>Project Experience for last 12 years (15 Points) | Experience in construction of Hangar and/or similar projects with a value of at least USD 300,000 for last 12 years. Sum of the total contract amount. (Base Evaluation Grade (E.G.): USD 900,000) | D : 45%≤ E.G. &lt;55% | 11.0 |</x:v>
      </x:c>
      <x:c r="J269" s="43" t="str">
        <x:v>자동추출·검토필요</x:v>
      </x:c>
    </x:row>
    <x:row r="270">
      <x:c r="A270" s="43" t="str">
        <x:v>L2021-00030-1</x:v>
      </x:c>
      <x:c r="B270" s="43" t="str">
        <x:v>공사비</x:v>
      </x:c>
      <x:c r="C270" s="46" t="str">
        <x:v>contract amount</x:v>
      </x:c>
      <x:c r="D270" s="46" t="str"/>
      <x:c r="E270" s="46" t="str">
        <x:v>USD 300,000 | USD 900,000</x:v>
      </x:c>
      <x:c r="F270" s="46" t="str">
        <x:v>35% | 45%</x:v>
      </x:c>
      <x:c r="G270" s="46" t="str">
        <x:v>L2021-00030-1/0 Bidding Guideline for Construction Contractor_Hangar.docx</x:v>
      </x:c>
      <x:c r="H270" s="43" t="str">
        <x:v>표 6 행 6</x:v>
      </x:c>
      <x:c r="I270" s="46" t="str">
        <x:v>Project Experience for last 12 years (15 Points) | Experience in construction of Hangar and/or similar projects with a value of at least USD 300,000 for last 12 years. Sum of the total contract amount. (Base Evaluation Grade (E.G.): USD 900,000) | E : 35%≤ E.G. &lt;45% | 9.7 |</x:v>
      </x:c>
      <x:c r="J270" s="43" t="str">
        <x:v>자동추출·검토필요</x:v>
      </x:c>
    </x:row>
    <x:row r="271">
      <x:c r="A271" s="43" t="str">
        <x:v>L2021-00030-1</x:v>
      </x:c>
      <x:c r="B271" s="43" t="str">
        <x:v>공사비</x:v>
      </x:c>
      <x:c r="C271" s="46" t="str">
        <x:v>contract amount</x:v>
      </x:c>
      <x:c r="D271" s="46" t="str"/>
      <x:c r="E271" s="46" t="str">
        <x:v>USD 300,000 | USD 900,000</x:v>
      </x:c>
      <x:c r="F271" s="46" t="str">
        <x:v>35%</x:v>
      </x:c>
      <x:c r="G271" s="46" t="str">
        <x:v>L2021-00030-1/0 Bidding Guideline for Construction Contractor_Hangar.docx</x:v>
      </x:c>
      <x:c r="H271" s="43" t="str">
        <x:v>표 6 행 7</x:v>
      </x:c>
      <x:c r="I271" s="46" t="str">
        <x:v>Project Experience for last 12 years (15 Points) | Experience in construction of Hangar and/or similar projects with a value of at least USD 300,000 for last 12 years. Sum of the total contract amount. (Base Evaluation Grade (E.G.): USD 900,000) | F : Below 35% | 8.2 |</x:v>
      </x:c>
      <x:c r="J271" s="43" t="str">
        <x:v>자동추출·검토필요</x:v>
      </x:c>
    </x:row>
    <x:row r="272">
      <x:c r="A272" s="43" t="str">
        <x:v>L2021-00029-1</x:v>
      </x:c>
      <x:c r="B272" s="43" t="str">
        <x:v>공사비</x:v>
      </x:c>
      <x:c r="C272" s="46" t="str">
        <x:v>boq</x:v>
      </x:c>
      <x:c r="D272" s="46" t="str">
        <x:v>948.45 m2 | 566.9 m2 | 381.55 m2 | 1,120.30 m2</x:v>
      </x:c>
      <x:c r="E272" s="46" t="str">
        <x:v>USD 929,600</x:v>
      </x:c>
      <x:c r="F272" s="46" t="str"/>
      <x:c r="G272" s="46" t="str">
        <x:v>L2021-00029-1/네팔 ORC시공업체선정 영문 RFP.pdf</x:v>
      </x:c>
      <x:c r="H272" s="43" t="str">
        <x:v>페이지 3</x:v>
      </x:c>
      <x:c r="I272" s="46" t="str">
        <x:v>1.SUMMARY OF PROJECT: 1.1 Project Summary The Construction of Outreach Center(ORC) for Empowering Bid Title Rural Communities in Nepal through an integrated approach to Health and income Growth Summary of Construction Site Area 948.45m2 (Puttar -566.9m2/Hindi -381.55m2) Total Gross Floor Area 1,120.30m2 Floors 1~2 Floors Structure Reinforced Concrete (RC) Tanahun District in Province-4/Bhotekoshi Rural Municipality Location Ward 4(2places) Duration 16 months and 14months from contract signing date Construction Budget USD 929,600(VAT excluded) Type of Contract Fixed Lump Sum contract with Priced BOQ 1.2 Scope of Works: 1.2.1 The construction of ORC building as shown on the design documents such as Structural works, Architectural works, Plumbing, Sanitary and Mechanical works including Ventilation and Heating system, Electrical works, Communication works including telephone and internet, External works and others. (Drawing, Engineering calculation, Specifications, Bill of Quantity, Geotechnical investigation report). 1.2.2 External works; a) All the civil works including site leveling, site clearing, paving and others; b) Landscape and signboards, apron drain, Ramps etc. c) Outdoor f</x:v>
      </x:c>
      <x:c r="J272" s="43" t="str">
        <x:v>자동추출·검토필요</x:v>
      </x:c>
    </x:row>
    <x:row r="273">
      <x:c r="A273" s="43" t="str">
        <x:v>L2021-00018-1</x:v>
      </x:c>
      <x:c r="B273" s="43" t="str">
        <x:v>공사비</x:v>
      </x:c>
      <x:c r="C273" s="46" t="str">
        <x:v>contract price</x:v>
      </x:c>
      <x:c r="D273" s="46" t="str"/>
      <x:c r="E273" s="46" t="str">
        <x:v>USD 30,000,</x:v>
      </x:c>
      <x:c r="F273" s="46" t="str">
        <x:v>25% | 20%</x:v>
      </x:c>
      <x:c r="G273" s="46" t="str">
        <x:v>L2021-00018-1/1. RFP 023 2020 - Tender Document and Annexes_ ANCCESS PROJECT.pdf</x:v>
      </x:c>
      <x:c r="H273" s="43" t="str">
        <x:v>페이지 18</x:v>
      </x:c>
      <x:c r="I273" s="46" t="str">
        <x:v>not be obliged to award the contract to the lowest priced offer. 36. Award Criteria Prior to expiration of the proposal validity, UNDP shall award the contract to the qualified Bidder based on the award criteria indicated in the BDS. 37. Debriefing In the event that a Bidder is unsuccessful, the Bidder may request a debriefing from UNDP. The purpose of the debriefing is to discuss the strengths and weaknesses of the Bidder’s submission, in order to assist the Bidder in improving its future proposals for UNDP procurement opportunities. The content of other proposals and how they compare to the Bidder’s submission shall not be discussed. 38. Right to Vary At the time of award of Contract, UNDP reserves the right to vary the Requirements at the quantity of services and/or goods, by up to a maximum twenty-five per Time of Award cent (25%) of the total offer, without any change in the unit price or other terms and conditions. 39. Contract Signature Within fifteen (15) days from the date of receipt of the Contract, the successful Bidder shall sign and date the Contract and return it to UNDP. Failure to do so may constitute sufficient grounds for the annulment of the award, and forfeiture</x:v>
      </x:c>
      <x:c r="J273" s="43" t="str">
        <x:v>자동추출·검토필요</x:v>
      </x:c>
    </x:row>
    <x:row r="274">
      <x:c r="A274" s="43" t="str">
        <x:v>L2021-00018-1</x:v>
      </x:c>
      <x:c r="B274" s="43" t="str">
        <x:v>공사비</x:v>
      </x:c>
      <x:c r="C274" s="46" t="str">
        <x:v>contract amount</x:v>
      </x:c>
      <x:c r="D274" s="46" t="str"/>
      <x:c r="E274" s="46" t="str">
        <x:v>USD 30,000</x:v>
      </x:c>
      <x:c r="F274" s="46" t="str">
        <x:v>20% | 20%</x:v>
      </x:c>
      <x:c r="G274" s="46" t="str">
        <x:v>L2021-00018-1/1. RFP 023 2020 - Tender Document and Annexes_ ANCCESS PROJECT.pdf</x:v>
      </x:c>
      <x:c r="H274" s="43" t="str">
        <x:v>페이지 53</x:v>
      </x:c>
      <x:c r="I274" s="46" t="str">
        <x:v>IV. DELIVERABLES SCHEDULE The overall implementation of work in all Lots in 23 target locations that include (1) Detailed Engineering Design, (2) Procurement, Construction and commissioning, and (3) Training programme is expected to be completed within 8 months from the Contract signing date, while the provision of after sale service and warranty should be completed in two years from the COD of solar PV power plant (Table 3). The expected duration of the Contract is 32 months. Table 3 Deliverable schedule Deliverables/Outputs Deliverable Schedule 1. Detailed engineering design (DED) of the centralized off-grid solar PV Within 1.5 months from contract power plant system, distribution lines and household connection in signing date selected Lot in ACCESS project target locations (Table 2) approved by UNDP for construction, including social and environmental risk assessment and mitigation measures. 2. Timely procurement, mobilization, construction, commissioning and Within 6.5 months from UNDP’s well performing centralized off-grid solar PV power plant system in approval date of DED selected Lot in the ACCESS project target locations (Table 2), in compliance with social and environment</x:v>
      </x:c>
      <x:c r="J274" s="43" t="str">
        <x:v>자동추출·검토필요</x:v>
      </x:c>
    </x:row>
    <x:row r="275">
      <x:c r="A275" s="43" t="str">
        <x:v>L2021-00018-1</x:v>
      </x:c>
      <x:c r="B275" s="43" t="str">
        <x:v>공사비</x:v>
      </x:c>
      <x:c r="C275" s="46" t="str">
        <x:v>contract amount</x:v>
      </x:c>
      <x:c r="D275" s="46" t="str"/>
      <x:c r="E275" s="46" t="str">
        <x:v>USD 30,000</x:v>
      </x:c>
      <x:c r="F275" s="46" t="str">
        <x:v>10% | 20% | 60% | 50% | 30% | 100% | 5% | 7.5%</x:v>
      </x:c>
      <x:c r="G275" s="46" t="str">
        <x:v>L2021-00018-1/1. RFP 023 2020 - Tender Document and Annexes_ ANCCESS PROJECT.pdf</x:v>
      </x:c>
      <x:c r="H275" s="43" t="str">
        <x:v>페이지 54</x:v>
      </x:c>
      <x:c r="I275" s="46" t="str">
        <x:v>Guarantee in the full amount of the advance  Detailed Engineering Design and approval for low voltage payment. distribution lines by UNDP  Detailed Engineering Design and approval for household &amp; public infrastructure by UNDP  Detailed Engineering Design and approval for civil construction design by UNDP  Report on social-environmental assessment and risk management plan, and Statement Letter for Environmental Management (Surat Pernyataan Pengelolaan Lingkungan/SPPL) signed by Contractor.  Report on mobilization plan and approval by UNDP. 2nd Payment: 10% of contract upon placement order of components, mobilization of personnel and preparation of civil work. 3rd Payment : 20% upon completion of 60% construction work and evidence of 50% delivery of solar-PV equipment to site/storage. 4th Payment: 30% of contract amount upon completion of 100% construction work, commissioning and issuance of Operational Adequacy Letter (Surat Laik Operasi) 5th Payment:  5% of contract amount upon acceptance of operation and maintenance manual, and completion of training programme;  7.5% of contract amount upon aceptance of manufacturer’s warranty claim procedures and signed first year all-incl</x:v>
      </x:c>
      <x:c r="J275" s="43" t="str">
        <x:v>자동추출·검토필요</x:v>
      </x:c>
    </x:row>
    <x:row r="276">
      <x:c r="A276" s="43" t="str">
        <x:v>L2021-00017-1</x:v>
      </x:c>
      <x:c r="B276" s="43" t="str">
        <x:v>공사비</x:v>
      </x:c>
      <x:c r="C276" s="46" t="str">
        <x:v>boq</x:v>
      </x:c>
      <x:c r="D276" s="46" t="str"/>
      <x:c r="E276" s="46" t="str">
        <x:v>pen 1</x:v>
      </x:c>
      <x:c r="F276" s="46" t="str"/>
      <x:c r="G276" s="46" t="str">
        <x:v>L2021-00017-1/Bidding Documents for Distribution AAUR PCRWR_0517/Chapter 7. Scope of Works_0501.pdf</x:v>
      </x:c>
      <x:c r="H276" s="43" t="str">
        <x:v>페이지 9</x:v>
      </x:c>
      <x:c r="I276" s="46" t="str">
        <x:v>The Scope of Works for PCRWR 1.This sheet shows the scope of work and guideline of the each work only. Notes. 2.The Quantity of the each work is shown on the Bid BOQ 3.Each work’s detail shop drawing, method of work would be determined on the stage of submittal. item No. Works Unit Quantity Description Ref. Dwg Ref. Photo Remark Architectural A-15,A-16,A-17,A-18, Sealant work on the Aluminum Wall Cladding. The joint between the Aluminum cladding sheets shall be filled with back-up rod and poly 1) Sealant and Back-up rod shall be installed on the open 1 Rft 6,500 urethane sealant. The edge of Al. cladding sheet shall be grooved to fill the back-up rod and A-15,A-16,A-17,A-18, joint of Aluminum Cladding sheet. filling the sealant. A-15,A-16,A-17,A-18, A-15,A-16 1) Sealant shall be filled on the perimeter between the structural wall and curtain wall frame inside and outside of the building. 2) Sealant shall be filled on the perimeter between glass and aluminum profile bar inside and outside of curtain wall. 2 Sealant work on the Aluminum Glazing Curtain Wall Rft 2,343 3)Sealant shall be filled on the perimeter between AL-Cladding and AL-Curtain wall ,inside and outside of building. 4)</x:v>
      </x:c>
      <x:c r="J276" s="43" t="str">
        <x:v>자동추출·검토필요</x:v>
      </x:c>
    </x:row>
    <x:row r="277">
      <x:c r="A277" s="43" t="str">
        <x:v>L2021-00016-1</x:v>
      </x:c>
      <x:c r="B277" s="43" t="str">
        <x:v>공사비</x:v>
      </x:c>
      <x:c r="C277" s="46" t="str">
        <x:v>contract price, boq</x:v>
      </x:c>
      <x:c r="D277" s="46" t="str">
        <x:v>1,325.32 m2</x:v>
      </x:c>
      <x:c r="E277" s="46" t="str">
        <x:v>USD 1,022,588</x:v>
      </x:c>
      <x:c r="F277" s="46" t="str">
        <x:v>2.5%</x:v>
      </x:c>
      <x:c r="G277" s="46" t="str">
        <x:v>L2021-00016-1/캄보디아 동북부 소외지역 모자보건 프로그램 시공업체 선정 입찰 공고문.pdf</x:v>
      </x:c>
      <x:c r="H277" s="43" t="str">
        <x:v>페이지 1</x:v>
      </x:c>
      <x:c r="I277" s="46" t="str">
        <x:v>NOTICE OF TENDER For Construction Work Date: 11th May, 2021 1. The Korea International Cooperation Agency (KOICA) 3. Price proposal shall be equal or less than the ‘Estimat- Cambodia Office invites prospective bidders for the Con- ed Price’ and equal or more than the ‘Minimum Price’. struction of “Project for Strengthening Maternal and Any bid exceeding the above limitation may result in Child Health in North-Eastern Region, Cambodia”. rejection of its bid. 2. The Project is to be constructed with the grant aid of the - ‘Estimated Price’ will be announced at the Bid Opening Government of Republic of Korea by a random draw and ‘Minimum Price’ will be deter- mined based on the announced ‘Estimated Price’. Brief of Bidding - Details of Selection of the Successful Bidder, Eligibil- - Bid Title: Project for Strengthening Maternal and ity Evaluation, Determination of ‘Estimated Price’ and Child Health in North-Eastern Region, Cambodia. ‘Minimum Price’ will be explained during the Pre-Bid - Contract Duration: 13 months from the effective(con- Meeting. tract) date 4. Price proposal by bidders and final contract price shall - Estimated Budget: Approx. USD 1,022,588 (VAT ex- be exclusive of </x:v>
      </x:c>
      <x:c r="J277" s="43" t="str">
        <x:v>자동추출·검토필요</x:v>
      </x:c>
    </x:row>
    <x:row r="278">
      <x:c r="A278" s="43" t="str">
        <x:v>L2021-00014-1</x:v>
      </x:c>
      <x:c r="B278" s="43" t="str">
        <x:v>공사비</x:v>
      </x:c>
      <x:c r="C278" s="46" t="str">
        <x:v>contract price</x:v>
      </x:c>
      <x:c r="D278" s="46" t="str"/>
      <x:c r="E278" s="46" t="str">
        <x:v>US$ 300,250</x:v>
      </x:c>
      <x:c r="F278" s="46" t="str"/>
      <x:c r="G278" s="46" t="str">
        <x:v>L2021-00014-1/붙임2. 입찰부속서류_03.30/02_Chapter 2. Contract for Construction.docx</x:v>
      </x:c>
      <x:c r="H278" s="43" t="str">
        <x:v>문단 68</x:v>
      </x:c>
      <x:c r="I278" s="46" t="str">
        <x:v>For the Contract Price of Three hundredThousand Two hundred Fifty US Dollars (US$ 300,250)</x:v>
      </x:c>
      <x:c r="J278" s="43" t="str">
        <x:v>자동추출·검토필요</x:v>
      </x:c>
    </x:row>
    <x:row r="279">
      <x:c r="A279" s="43" t="str">
        <x:v>L2021-00013-1</x:v>
      </x:c>
      <x:c r="B279" s="43" t="str">
        <x:v>공사비</x:v>
      </x:c>
      <x:c r="C279" s="46" t="str">
        <x:v>contract amount</x:v>
      </x:c>
      <x:c r="D279" s="46" t="str">
        <x:v>3,000 m2</x:v>
      </x:c>
      <x:c r="E279" s="46" t="str">
        <x:v>USD 270,000</x:v>
      </x:c>
      <x:c r="F279" s="46" t="str"/>
      <x:c r="G279" s="46" t="str">
        <x:v>L2021-00013-1/첨부2. 설계 및 감리사 선정 영문 RFP(1).docx</x:v>
      </x:c>
      <x:c r="H279" s="43" t="str">
        <x:v>문단 94</x:v>
      </x:c>
      <x:c r="I279" s="46" t="str">
        <x:v>Similar performance track record of completed in University, Office, IT building, Bank, Hospital ,Shopping mall, Convention Center, Auditorium and School shall be not less than 3,000m2 of total gross floor per each building and accumulated contract amount for both Design and Construction Supervision shall be more than USD 270,000 or above during the last 3 years.</x:v>
      </x:c>
      <x:c r="J279" s="43" t="str">
        <x:v>자동추출·검토필요</x:v>
      </x:c>
    </x:row>
    <x:row r="280">
      <x:c r="A280" s="43" t="str">
        <x:v>L2021-00012-1</x:v>
      </x:c>
      <x:c r="B280" s="43" t="str">
        <x:v>공사비</x:v>
      </x:c>
      <x:c r="C280" s="46" t="str">
        <x:v>contract amount</x:v>
      </x:c>
      <x:c r="D280" s="46" t="str"/>
      <x:c r="E280" s="46" t="str">
        <x:v>PKR 32,400,000 1</x:v>
      </x:c>
      <x:c r="F280" s="46" t="str"/>
      <x:c r="G280" s="46" t="str">
        <x:v>L2021-00012-1/Bid Documents for Distribution_PKNC final/Attachment 3. Form of Technical Proposal_0429.doc</x:v>
      </x:c>
      <x:c r="H280" s="43" t="str">
        <x:v>문단 12</x:v>
      </x:c>
      <x:c r="I280" s="46" t="str">
        <x:v>2. Project Performance (6 points) 2.1. Project of Design and Construction Supervision completed over the last three (3) fiscal years (FY July 2017 ~ FY June 2020) ■ Ratio of the sum of the actual amount of the completed similar projects in Design and Construction Supervision within last three (3) fiscal years (FY July 2017 ~ FY June 2020), along with each completion certificate to PKR 32,400,000 1 Name of Project: Project Employer: Contract Amount: PKR Location: 2 Name of Project: Project Employer: Contract Amount: PKR Location: 3 Name of Project: Project Employer: Contract Amount: PKR Location: 4 Name of Project: Project Employer: Contract Amount: PKR Location: 5 Name of Project: Project Employer: Contract Amount: PKR Location: 6 Name of Project: Project Employer: Contract Amount: PKR Location: ■ In case of the government or public project, the project performance should be accompanied with the official completion certificate provided by the project owner (or the project employer). The project performance without completion certificates will be excluded from the evaluation. ■ In case of the private project, the project performance should be accompanied with the contract of the pro</x:v>
      </x:c>
      <x:c r="J280" s="43" t="str">
        <x:v>자동추출·검토필요</x:v>
      </x:c>
    </x:row>
    <x:row r="281">
      <x:c r="A281" s="43" t="str">
        <x:v>L2021-00004-1</x:v>
      </x:c>
      <x:c r="B281" s="43" t="str">
        <x:v>공사비</x:v>
      </x:c>
      <x:c r="C281" s="46" t="str">
        <x:v>boq</x:v>
      </x:c>
      <x:c r="D281" s="46" t="str">
        <x:v>769 M2 | 279 m2</x:v>
      </x:c>
      <x:c r="E281" s="46" t="str">
        <x:v>USD 125,000</x:v>
      </x:c>
      <x:c r="F281" s="46" t="str">
        <x:v>60%</x:v>
      </x:c>
      <x:c r="G281" s="46" t="str">
        <x:v>L2021-00004-1/1. 설계 및 감리사 선정 영문 RFP.pdf</x:v>
      </x:c>
      <x:c r="H281" s="43" t="str">
        <x:v>페이지 2</x:v>
      </x:c>
      <x:c r="I281" s="46" t="str">
        <x:v>1. BID SUMMARY 1. SYNOPSIS Design and Construction Supervision Services of Outreach Center for BIDDING TITLE Empowering Rural Communities in Nepal through an integrated approach to Health and Income Growth Putter/Tanahun District in Province -4 and Hindi / Bhotekoshi Rural LOCATION Municipality Ward 4 (2 Places) - Putter ORC (Total Floor Area : 769M2/2 story) WORK SCALE - Hindi ORC (Total Floor Area : 279 m2/2 story) STRUCTURE Reinforced Concrete(RC) Structure 2. BIDDING TITLE : DESIGN AND CONSTRUCTION SUPERVISION SERVICES 2.1 DESIGN SERVICE 1) Architectural (including signage), Structural, Civil, Electrical, Mechanical, Sanitary, Water Supply, Communication, Firefighting and External works. 2) Survey, Drawing, Specification, BOQ, Calculation for Structure, Mechanical, Electrical and Sanitary and others, Construction Documentations and Bid Documents for the selection of Contractor. 2.2. CONSTRUCTION SUPERVISION SERVICE 2.2.1 Construction Supervision services on Site 2.3. - PROJECT BUDGET [ESTIMATED AMOUNT] : USD 125,000 (Exclude VAT) Note : The respective bid price for the Design or for the Supervision shall not exceed 60% of the total budget for bid announced by KOICA. 2.4 .CONTRA</x:v>
      </x:c>
      <x:c r="J281" s="43" t="str">
        <x:v>자동추출·검토필요</x:v>
      </x:c>
    </x:row>
    <x:row r="282">
      <x:c r="A282" s="43" t="str">
        <x:v>L2021-00004-1</x:v>
      </x:c>
      <x:c r="B282" s="43" t="str">
        <x:v>공사비</x:v>
      </x:c>
      <x:c r="C282" s="46" t="str">
        <x:v>contract price</x:v>
      </x:c>
      <x:c r="D282" s="46" t="str"/>
      <x:c r="E282" s="46" t="str">
        <x:v>USD 125,000</x:v>
      </x:c>
      <x:c r="F282" s="46" t="str">
        <x:v>20% | 15% | 30% | 30% | 40% | 3% | 30% | 85%</x:v>
      </x:c>
      <x:c r="G282" s="46" t="str">
        <x:v>L2021-00004-1/1. 설계 및 감리사 선정 영문 RFP.pdf</x:v>
      </x:c>
      <x:c r="H282" s="43" t="str">
        <x:v>페이지 5</x:v>
      </x:c>
      <x:c r="I282" s="46" t="str">
        <x:v>1) Duration for Design is 6 months from the Contract Date. 2) Related Authorities consent is necessary to get within the above duration. 6. SUMMARY OF CONTRACT CONDITIONS DESCRIPTION CONDITION REMARKS TYPE OF CONTRACT Fixed Lump sum PROJECT BUDGET USD 125,000 DESIGN+SUPERVISION /VAT Excluded BID SECURITY NONE Bank Guarantee ADVANCE PAYMENT 20% (Separately –Design/Supervision) ADVANCE PAYMENT BOND Bank Guarantee PERFORMANCE BOND 15% 1) Preliminary Design Phase 30% DESIGN 2) Final Design Phase 30% INTERIM PAYMENT Method 3) BID Document Phase 40% CONSTRUCTION Bimonthly (2Months) SUPERVISION ESCALATION NONE DEFECT LIABILITY BOND 3% Period : 2 Years +60 days 1.25/ 1,000 per day/ LIQUIDATE DAMAGES Max 30% of Contract Price 7. REFUND OF VAT Nepal Government will refund to the consultant, KOICA will make a process for refund of VAT from Nepal Government according to regulations. 8. SELECTION OF SUCCESSFUL BIDDER 1) Eligible bidders are selected by conducting a TECHNICAL PROPOSAL EVALUATION, a bidder who obtains over 85points out of 100 point of technical score is qualified. any technical proposal failing under 85% points will be disqualified and their PRICE PROPOSAL will be disregarded. 2)</x:v>
      </x:c>
      <x:c r="J282" s="43" t="str">
        <x:v>자동추출·검토필요</x:v>
      </x:c>
    </x:row>
    <x:row r="283">
      <x:c r="A283" s="43" t="str">
        <x:v>L2021-00004-1</x:v>
      </x:c>
      <x:c r="B283" s="43" t="str">
        <x:v>공사비</x:v>
      </x:c>
      <x:c r="C283" s="46" t="str">
        <x:v>contract price</x:v>
      </x:c>
      <x:c r="D283" s="46" t="str">
        <x:v>1,500 m2</x:v>
      </x:c>
      <x:c r="E283" s="46" t="str">
        <x:v>USD 125,000 | USD 120,000 | USD 100,000</x:v>
      </x:c>
      <x:c r="F283" s="46" t="str">
        <x:v>100% | 130% | 160% | 190% | 190% | 100% | 90% | 80%</x:v>
      </x:c>
      <x:c r="G283" s="46" t="str">
        <x:v>L2021-00004-1/1. 설계 및 감리사 선정 영문 RFP.pdf</x:v>
      </x:c>
      <x:c r="H283" s="43" t="str">
        <x:v>페이지 6</x:v>
      </x:c>
      <x:c r="I283" s="46" t="str">
        <x:v>whose proposal will receive the highest combined score but not exceed the budget will be the successful bidder. 3) The Composition of evaluation elements : Technical Proposal 90point + Price Proposal 10point. 4) In case of same score of total combined score, preferential negotiation will be granted to the bidder whose technical evaluation score is superior to others. if technical evaluation scores are equal, priority will be the one who gains the highest score in the highest mark distribution among detailed quantitative evaluation for technical. 9. EVALUATION 9.1 PRICE PROPOSAL (10 point) 9.2 TECHNICAL PROPOSAL (90 point) 9.2.1 QUANTITATIVE EVALUATION FOR FINANCIAL [10 POINTS] Screening sections Evaluation elements Maximum Rating Score score Less than 100% 3.0 1. Recent Debt Ratio - Ratio between A/B of each Less than 130% 2.8 [Total Debts(A)/Total 3.0 bidder against the average ratio Less than 160% 2.6 Assets(B)] of the participating bidders Less than 190% 2.4 2018/2019/2020(Local FY) More than 190% 2.2 2. Recent Liquidity Ratio - 100% or more 3.0 [LiquidIty % Ratio between A/B of each 90% or more 2.8 Assets(A)/Liquidity bidder against the average ratio 3.0 80% or more 2.6 Liabili</x:v>
      </x:c>
      <x:c r="J283" s="43" t="str">
        <x:v>자동추출·검토필요</x:v>
      </x:c>
    </x:row>
    <x:row r="284">
      <x:c r="A284" s="43" t="str">
        <x:v>L2021-00004-1</x:v>
      </x:c>
      <x:c r="B284" s="43" t="str">
        <x:v>공사비</x:v>
      </x:c>
      <x:c r="C284" s="46" t="str">
        <x:v>contract price</x:v>
      </x:c>
      <x:c r="D284" s="46" t="str"/>
      <x:c r="E284" s="46" t="str">
        <x:v>USD 000,000</x:v>
      </x:c>
      <x:c r="F284" s="46" t="str"/>
      <x:c r="G284" s="46" t="str">
        <x:v>L2021-00004-1/3. 입찰서류 세트/01_Chapter 1. Contract of Consultant Services .docx</x:v>
      </x:c>
      <x:c r="H284" s="43" t="str">
        <x:v>문단 38</x:v>
      </x:c>
      <x:c r="I284" s="46" t="str">
        <x:v>For the Total Contract Price of in word U.S. Dollars (USD 000,000)</x:v>
      </x:c>
      <x:c r="J284" s="43" t="str">
        <x:v>자동추출·검토필요</x:v>
      </x:c>
    </x:row>
    <x:row r="285">
      <x:c r="A285" s="43" t="str">
        <x:v>L2021-00004-1</x:v>
      </x:c>
      <x:c r="B285" s="43" t="str">
        <x:v>공사비</x:v>
      </x:c>
      <x:c r="C285" s="46" t="str">
        <x:v>construction cost</x:v>
      </x:c>
      <x:c r="D285" s="46" t="str"/>
      <x:c r="E285" s="46" t="str">
        <x:v>USD 936,074</x:v>
      </x:c>
      <x:c r="F285" s="46" t="str"/>
      <x:c r="G285" s="46" t="str">
        <x:v>L2021-00004-1/3. 입찰서류 세트/Addendum No.2_Term of Reference for Design &amp; CS.doc</x:v>
      </x:c>
      <x:c r="H285" s="43" t="str">
        <x:v>문단 23</x:v>
      </x:c>
      <x:c r="I285" s="46" t="str">
        <x:v>To ensure that the cost of construction contract is controlled without exceeding the allocated budget; (Estimated construction Cost USD 936,074)</x:v>
      </x:c>
      <x:c r="J285" s="43" t="str">
        <x:v>자동추출·검토필요</x:v>
      </x:c>
    </x:row>
    <x:row r="286">
      <x:c r="A286" s="43" t="str">
        <x:v>L2025-00097-1</x:v>
      </x:c>
      <x:c r="B286" s="43" t="str">
        <x:v>설계비</x:v>
      </x:c>
      <x:c r="C286" s="46" t="str">
        <x:v>design fee</x:v>
      </x:c>
      <x:c r="D286" s="46" t="str"/>
      <x:c r="E286" s="46" t="str">
        <x:v>USD 110,763 | USD 99,600, | USD 11,163 | USD 110,763 | USD 99,600, | USD 11,163</x:v>
      </x:c>
      <x:c r="F286" s="46" t="str">
        <x:v>90% | 10% | 90% | 10%</x:v>
      </x:c>
      <x:c r="G286" s="46" t="str">
        <x:v>L2025-00097-1/붙임1. 공고내역 (KG-2025-10)/ENG - final/Section 2 - Bid Data Sheet (BDS).docx</x:v>
      </x:c>
      <x:c r="H286" s="43" t="str">
        <x:v>표 5 행 5</x:v>
      </x:c>
      <x:c r="I286" s="46" t="str">
        <x:v>․ Bid Limit | USD 110,763 (Excluding value-added taxes and other fees) - Design(Approx.90%): USD99,600, - Author’s Supervision(Approx.10%): USD11,163 ※During bidding and contract signing, the design fee and author’s supervision fee shall be specified separately. | USD 110,763 (Excluding value-added taxes and other fees) - Design(Approx.90%): USD99,600, - Author’s Supervision(Approx.10%): USD11,163 ※During bidding and contract signing, the design fee and author’s supervision fee shall be specified separately.</x:v>
      </x:c>
      <x:c r="J286" s="43" t="str">
        <x:v>자동추출·검토필요</x:v>
      </x:c>
    </x:row>
    <x:row r="287">
      <x:c r="A287" s="43" t="str">
        <x:v>L2025-00094-1</x:v>
      </x:c>
      <x:c r="B287" s="43" t="str">
        <x:v>설계비</x:v>
      </x:c>
      <x:c r="C287" s="46" t="str">
        <x:v>design fee</x:v>
      </x:c>
      <x:c r="D287" s="46" t="str"/>
      <x:c r="E287" s="46" t="str">
        <x:v>USD 153,695 | USD 153,695</x:v>
      </x:c>
      <x:c r="F287" s="46" t="str"/>
      <x:c r="G287" s="46" t="str">
        <x:v>L2025-00094-1/ReBidding Documents (Guimaras_Design) 1022v2/ReBidding Documents (Guimaras_Design) 1022/Section 2 - Bid Data Sheet (BDS)_20251020v5.docx</x:v>
      </x:c>
      <x:c r="H287" s="43" t="str">
        <x:v>표 4 행 5</x:v>
      </x:c>
      <x:c r="I287" s="46" t="str">
        <x:v>∙ Bid Limit | Design Fee: USD153,695 (Including value-added taxes and other applicable fees, permit fees from relevant authorities) | Design Fee: USD153,695 (Including value-added taxes and other applicable fees, permit fees from relevant authorities)</x:v>
      </x:c>
      <x:c r="J287" s="43" t="str">
        <x:v>자동추출·검토필요</x:v>
      </x:c>
    </x:row>
    <x:row r="288">
      <x:c r="A288" s="43" t="str">
        <x:v>L2025-00075-1</x:v>
      </x:c>
      <x:c r="B288" s="43" t="str">
        <x:v>설계비</x:v>
      </x:c>
      <x:c r="C288" s="46" t="str">
        <x:v>design fee</x:v>
      </x:c>
      <x:c r="D288" s="46" t="str"/>
      <x:c r="E288" s="46" t="str">
        <x:v>USD 153,695 | USD 153,695</x:v>
      </x:c>
      <x:c r="F288" s="46" t="str"/>
      <x:c r="G288" s="46" t="str">
        <x:v>L2025-00075-1/Section 2 - Bid Data Sheet (BDS)_20250913_fin.docx</x:v>
      </x:c>
      <x:c r="H288" s="43" t="str">
        <x:v>표 4 행 5</x:v>
      </x:c>
      <x:c r="I288" s="46" t="str">
        <x:v>∙ Bid Limit | Design Fee: USD153,695 (Including value-added tax and other applicable fees, permit fees from relevant authorities) | Design Fee: USD153,695 (Including value-added tax and other applicable fees, permit fees from relevant authorities)</x:v>
      </x:c>
      <x:c r="J288" s="43" t="str">
        <x:v>자동추출·검토필요</x:v>
      </x:c>
    </x:row>
    <x:row r="289">
      <x:c r="A289" s="43" t="str">
        <x:v>L2025-00075-1</x:v>
      </x:c>
      <x:c r="B289" s="43" t="str">
        <x:v>설계비</x:v>
      </x:c>
      <x:c r="C289" s="46" t="str">
        <x:v>design fee</x:v>
      </x:c>
      <x:c r="D289" s="46" t="str"/>
      <x:c r="E289" s="46" t="str">
        <x:v>USD 153,695</x:v>
      </x:c>
      <x:c r="F289" s="46" t="str"/>
      <x:c r="G289" s="46" t="str">
        <x:v>L2025-00075-1/Summary of Bidding_Invitation to Bid_250913.docx</x:v>
      </x:c>
      <x:c r="H289" s="43" t="str">
        <x:v>표 2 행 4</x:v>
      </x:c>
      <x:c r="I289" s="46" t="str">
        <x:v>․ Project Budget | ▪ Design Fee : USD 153,695 (Including value-added taxes, other fees and permit from Authorities)</x:v>
      </x:c>
      <x:c r="J289" s="43" t="str">
        <x:v>자동추출·검토필요</x:v>
      </x:c>
    </x:row>
    <x:row r="290">
      <x:c r="A290" s="43" t="str">
        <x:v>L2025-00049-2</x:v>
      </x:c>
      <x:c r="B290" s="43" t="str">
        <x:v>설계비</x:v>
      </x:c>
      <x:c r="C290" s="46" t="str">
        <x:v>design fee</x:v>
      </x:c>
      <x:c r="D290" s="46" t="str"/>
      <x:c r="E290" s="46" t="str">
        <x:v>USD 148,913 | USD 134,022 | USD 14,891</x:v>
      </x:c>
      <x:c r="F290" s="46" t="str">
        <x:v>90% | 10%</x:v>
      </x:c>
      <x:c r="G290" s="46" t="str">
        <x:v>L2025-00049-2/Bid_Announcement_extension_Ukraine_Notification_Purpose_250804.docx</x:v>
      </x:c>
      <x:c r="H290" s="43" t="str">
        <x:v>표 1 행 7</x:v>
      </x:c>
      <x:c r="I290" s="46" t="str">
        <x:v>Bid Limit | USD 148,913 (Exclusive of VAT) ※The amount includes both design (90%, USD 134,022) and author’s supervision (10%, USD 14,891) fees, Exclusive of VAT. ※During bidding and contract signing, the design fee and author supervision fee shall be specified separately. ※This project is under the registration of International Technical Assistance (ITA), which is obliged to be implemented on a basis of VAT exemption format, hence all bidders should submit the bid proposals excluding VAT</x:v>
      </x:c>
      <x:c r="J290" s="43" t="str">
        <x:v>자동추출·검토필요</x:v>
      </x:c>
    </x:row>
    <x:row r="291">
      <x:c r="A291" s="43" t="str">
        <x:v>L2025-00049-1</x:v>
      </x:c>
      <x:c r="B291" s="43" t="str">
        <x:v>설계비</x:v>
      </x:c>
      <x:c r="C291" s="46" t="str">
        <x:v>design fee</x:v>
      </x:c>
      <x:c r="D291" s="46" t="str"/>
      <x:c r="E291" s="46" t="str">
        <x:v>USD 148,913 | USD 134,022 | USD 14,891</x:v>
      </x:c>
      <x:c r="F291" s="46" t="str">
        <x:v>90% | 10%</x:v>
      </x:c>
      <x:c r="G291" s="46" t="str">
        <x:v>L2025-00049-1/붙임2. Bid_Announcement_Ukraine_Notification Purpose_250626 ★.docx</x:v>
      </x:c>
      <x:c r="H291" s="43" t="str">
        <x:v>표 1 행 7</x:v>
      </x:c>
      <x:c r="I291" s="46" t="str">
        <x:v>Bid Limit | USD 148,913 (Exclusive of VAT) ※The amount includes both design (90%, USD 134,022) and author’s supervision (10%, USD 14,891) fees, Exclusive of VAT. ※During bidding and contract signing, the design fee and author supervision fee shall be specified separately. ※This project is under the registration of International Technical Assistance (ITA), which is obliged to be implemented on a basis of VAT exemption format, hence all bidders should submit the bid proposals excluding VAT</x:v>
      </x:c>
      <x:c r="J291" s="43" t="str">
        <x:v>자동추출·검토필요</x:v>
      </x:c>
    </x:row>
    <x:row r="292">
      <x:c r="A292" s="43" t="str">
        <x:v>L2025-00045-2</x:v>
      </x:c>
      <x:c r="B292" s="43" t="str">
        <x:v>설계비</x:v>
      </x:c>
      <x:c r="C292" s="46" t="str">
        <x:v>설계비</x:v>
      </x:c>
      <x:c r="D292" s="46" t="str"/>
      <x:c r="E292" s="46" t="str">
        <x:v>USD 205,500 | USD 205,500</x:v>
      </x:c>
      <x:c r="F292" s="46" t="str"/>
      <x:c r="G292" s="46" t="str">
        <x:v>L2025-00045-2/붙임1. 이라크 난민선도학교 설계및시공감리업체선정 현지입찰추진계획안.hwp</x:v>
      </x:c>
      <x:c r="H292" s="43" t="str">
        <x:v>문단 119</x:v>
      </x:c>
      <x:c r="I292" s="46" t="str">
        <x:v>*설계비 USD 205,500 및 시공감리비 USD 205,500 합계</x:v>
      </x:c>
      <x:c r="J292" s="43" t="str">
        <x:v>자동추출·검토필요</x:v>
      </x:c>
    </x:row>
    <x:row r="293">
      <x:c r="A293" s="43" t="str">
        <x:v>L2025-00045-2</x:v>
      </x:c>
      <x:c r="B293" s="43" t="str">
        <x:v>설계비</x:v>
      </x:c>
      <x:c r="C293" s="46" t="str">
        <x:v>design fee</x:v>
      </x:c>
      <x:c r="D293" s="46" t="str"/>
      <x:c r="E293" s="46" t="str">
        <x:v>USD 411,000 | USD 205,50 | USD 205,500, | USD 411,000 | USD 205,50 | USD 205,500,</x:v>
      </x:c>
      <x:c r="F293" s="46" t="str"/>
      <x:c r="G293" s="46" t="str">
        <x:v>L2025-00045-2/붙임3. 영문 입찰서류(양식 등 포함)/Section 2 - Bid Data Sheet (BDS)_v2_250827(└╧┴ñ╝÷┴ñ).docx</x:v>
      </x:c>
      <x:c r="H293" s="43" t="str">
        <x:v>표 5 행 5</x:v>
      </x:c>
      <x:c r="I293" s="46" t="str">
        <x:v>․ Bid Limit | USD 411,000 (Design USD 205,50 +Supervision USD 205,500, Excluding value-added taxes and other fees) ※Bidders must separately indicate the design fee and the supervision fee. | USD 411,000 (Design USD 205,50 +Supervision USD 205,500, Excluding value-added taxes and other fees) ※Bidders must separately indicate the design fee and the supervision fee.</x:v>
      </x:c>
      <x:c r="J293" s="43" t="str">
        <x:v>자동추출·검토필요</x:v>
      </x:c>
    </x:row>
    <x:row r="294">
      <x:c r="A294" s="43" t="str">
        <x:v>L2025-00045-1</x:v>
      </x:c>
      <x:c r="B294" s="43" t="str">
        <x:v>설계비</x:v>
      </x:c>
      <x:c r="C294" s="46" t="str">
        <x:v>설계비</x:v>
      </x:c>
      <x:c r="D294" s="46" t="str"/>
      <x:c r="E294" s="46" t="str">
        <x:v>USD 205,500 | USD 205,500</x:v>
      </x:c>
      <x:c r="F294" s="46" t="str"/>
      <x:c r="G294" s="46" t="str">
        <x:v>L2025-00045-1/붙임1. 이라크 난민선도학교 설계및시공감리업체선정 현지입찰추진계획안(.hwp</x:v>
      </x:c>
      <x:c r="H294" s="43" t="str">
        <x:v>문단 119</x:v>
      </x:c>
      <x:c r="I294" s="46" t="str">
        <x:v>*설계비 USD 205,500 및 시공감리비 USD 205,500 합계</x:v>
      </x:c>
      <x:c r="J294" s="43" t="str">
        <x:v>자동추출·검토필요</x:v>
      </x:c>
    </x:row>
    <x:row r="295">
      <x:c r="A295" s="43" t="str">
        <x:v>L2025-00045-1</x:v>
      </x:c>
      <x:c r="B295" s="43" t="str">
        <x:v>설계비</x:v>
      </x:c>
      <x:c r="C295" s="46" t="str">
        <x:v>design fee</x:v>
      </x:c>
      <x:c r="D295" s="46" t="str"/>
      <x:c r="E295" s="46" t="str">
        <x:v>USD 411,000 | USD 205,500 | USD 205,500, | USD 411,000 | USD 205,500 | USD 205,500,</x:v>
      </x:c>
      <x:c r="F295" s="46" t="str"/>
      <x:c r="G295" s="46" t="str">
        <x:v>L2025-00045-1/붙임3. 입찰서류(영문) 일체/Section 2 - Bid Data Sheet (BDS).docx</x:v>
      </x:c>
      <x:c r="H295" s="43" t="str">
        <x:v>표 5 행 5</x:v>
      </x:c>
      <x:c r="I295" s="46" t="str">
        <x:v>․ Bid Limit | USD 411,000 (Design USD 205,500 +Supervision USD 205,500, Excluding value-added taxes and other fees) ※Bidders must separately indicate the design fee and the supervision fee. | USD 411,000 (Design USD 205,500 +Supervision USD 205,500, Excluding value-added taxes and other fees) ※Bidders must separately indicate the design fee and the supervision fee.</x:v>
      </x:c>
      <x:c r="J295" s="43" t="str">
        <x:v>자동추출·검토필요</x:v>
      </x:c>
    </x:row>
    <x:row r="296">
      <x:c r="A296" s="43" t="str">
        <x:v>L2024-00052-1</x:v>
      </x:c>
      <x:c r="B296" s="43" t="str">
        <x:v>설계비</x:v>
      </x:c>
      <x:c r="C296" s="46" t="str">
        <x:v>design fee</x:v>
      </x:c>
      <x:c r="D296" s="46" t="str"/>
      <x:c r="E296" s="46" t="str">
        <x:v>USD 200,000 | USD 150,000 | USD 50,000 | USD 200,000 | USD 150,000 | USD 50,000</x:v>
      </x:c>
      <x:c r="F296" s="46" t="str"/>
      <x:c r="G296" s="46" t="str">
        <x:v>L2024-00052-1/입찰관련서류/Section 2 - Bid Data Sheet (BDS)_└╘┬√░°░φ┐δ ├╓┴╛.docx</x:v>
      </x:c>
      <x:c r="H296" s="43" t="str">
        <x:v>표 5 행 5</x:v>
      </x:c>
      <x:c r="I296" s="46" t="str">
        <x:v>․ Bid Limit | USD 200,000 (Excluding of value-added taxes and other fees) 1) Design Fee : USD150,000(Including permit from Authorities) 2) CS Fee : USD50,000 | USD 200,000 (Excluding of value-added taxes and other fees) 1) Design Fee : USD150,000(Including permit from Authorities) 2) CS Fee : USD50,000</x:v>
      </x:c>
      <x:c r="J296" s="43" t="str">
        <x:v>자동추출·검토필요</x:v>
      </x:c>
    </x:row>
    <x:row r="297">
      <x:c r="A297" s="43" t="str">
        <x:v>L2024-00041-1</x:v>
      </x:c>
      <x:c r="B297" s="43" t="str">
        <x:v>설계비</x:v>
      </x:c>
      <x:c r="C297" s="46" t="str">
        <x:v>설계비</x:v>
      </x:c>
      <x:c r="D297" s="46" t="str"/>
      <x:c r="E297" s="46" t="str">
        <x:v>$ 149,940, | $ 16,660</x:v>
      </x:c>
      <x:c r="F297" s="46" t="str">
        <x:v>90% | 10%</x:v>
      </x:c>
      <x:c r="G297" s="46" t="str">
        <x:v>L2024-00041-1/붙임_키르기스_가축품종개량_설계업체선정_현지입찰추진계획안_BDS_v11_0805.hwp</x:v>
      </x:c>
      <x:c r="H297" s="43" t="str">
        <x:v>문단 122</x:v>
      </x:c>
      <x:c r="I297" s="46" t="str">
        <x:v>*설계비(90%) $149,940, 저작권감리비(10%)†普  $16,660 &lt;부가세 불포함&gt;</x:v>
      </x:c>
      <x:c r="J297" s="43" t="str">
        <x:v>자동추출·검토필요</x:v>
      </x:c>
    </x:row>
    <x:row r="298">
      <x:c r="A298" s="43" t="str">
        <x:v>L2023-00021-1</x:v>
      </x:c>
      <x:c r="B298" s="43" t="str">
        <x:v>설계비</x:v>
      </x:c>
      <x:c r="C298" s="46" t="str">
        <x:v>설계비</x:v>
      </x:c>
      <x:c r="D298" s="46" t="str"/>
      <x:c r="E298" s="46" t="str">
        <x:v>$ 1,100</x:v>
      </x:c>
      <x:c r="F298" s="46" t="str">
        <x:v>8%</x:v>
      </x:c>
      <x:c r="G298" s="46" t="str">
        <x:v>L2023-00021-1/붙임1. 파라과이 멀티미디어 센터 설계용역 입찰설명서(국문본)_최종_230130_기평팀.hwp</x:v>
      </x:c>
      <x:c r="H298" s="43" t="str">
        <x:v>문단 567</x:v>
      </x:c>
      <x:c r="I298" s="46" t="str">
        <x:v>사무소 협의에 따라, 건축 공사비 단가 $1,100/M2 적용 및 설계비 8% 적용</x:v>
      </x:c>
      <x:c r="J298" s="43" t="str">
        <x:v>자동추출·검토필요</x:v>
      </x:c>
    </x:row>
    <x:row r="299">
      <x:c r="A299" s="43" t="str">
        <x:v>L2022-00027-1</x:v>
      </x:c>
      <x:c r="B299" s="43" t="str">
        <x:v>설계비</x:v>
      </x:c>
      <x:c r="C299" s="46" t="str">
        <x:v>design fee</x:v>
      </x:c>
      <x:c r="D299" s="46" t="str">
        <x:v>3,100 ㎡ | 1,950 ㎡</x:v>
      </x:c>
      <x:c r="E299" s="46" t="str">
        <x:v>USD 2,670,000.</x:v>
      </x:c>
      <x:c r="F299" s="46" t="str">
        <x:v>6%</x:v>
      </x:c>
      <x:c r="G299" s="46" t="str">
        <x:v>L2022-00027-1/2. 입찰서류(영문)_키토혁신센터 설계_220531/1. Ecuador Bidding Guideline 20220531.docx</x:v>
      </x:c>
      <x:c r="H299" s="43" t="str">
        <x:v>문단 57</x:v>
      </x:c>
      <x:c r="I299" s="46" t="str">
        <x:v>* Reference to Junglim CM 2135-66 (Apr. 26, 2022 / Report on Adjusting the Volume of Construction Project for QIC, Ecuador). Based on GFA of 3,100㎡ and exterior wall area of 1,950㎡, design fee is set at 6% of the estimated construction cost of USD2,670,000.</x:v>
      </x:c>
      <x:c r="J299" s="43" t="str">
        <x:v>자동추출·검토필요</x:v>
      </x:c>
    </x:row>
    <x:row r="300">
      <x:c r="A300" s="43" t="str">
        <x:v>L2025-00097-1</x:v>
      </x:c>
      <x:c r="B300" s="43" t="str">
        <x:v>감리·CM비</x:v>
      </x:c>
      <x:c r="C300" s="46" t="str">
        <x:v>supervision fee</x:v>
      </x:c>
      <x:c r="D300" s="46" t="str"/>
      <x:c r="E300" s="46" t="str">
        <x:v>USD 110,763 | USD 99,600, | USD 11,163 | USD 110,763 | USD 99,600, | USD 11,163</x:v>
      </x:c>
      <x:c r="F300" s="46" t="str">
        <x:v>90% | 10% | 90% | 10%</x:v>
      </x:c>
      <x:c r="G300" s="46" t="str">
        <x:v>L2025-00097-1/붙임1. 공고내역 (KG-2025-10)/ENG - final/Section 2 - Bid Data Sheet (BDS).docx</x:v>
      </x:c>
      <x:c r="H300" s="43" t="str">
        <x:v>표 5 행 5</x:v>
      </x:c>
      <x:c r="I300" s="46" t="str">
        <x:v>․ Bid Limit | USD 110,763 (Excluding value-added taxes and other fees) - Design(Approx.90%): USD99,600, - Author’s Supervision(Approx.10%): USD11,163 ※During bidding and contract signing, the design fee and author’s supervision fee shall be specified separately. | USD 110,763 (Excluding value-added taxes and other fees) - Design(Approx.90%): USD99,600, - Author’s Supervision(Approx.10%): USD11,163 ※During bidding and contract signing, the design fee and author’s supervision fee shall be specified separately.</x:v>
      </x:c>
      <x:c r="J300" s="43" t="str">
        <x:v>자동추출·검토필요</x:v>
      </x:c>
    </x:row>
    <x:row r="301">
      <x:c r="A301" s="43" t="str">
        <x:v>L2025-00049-2</x:v>
      </x:c>
      <x:c r="B301" s="43" t="str">
        <x:v>감리·CM비</x:v>
      </x:c>
      <x:c r="C301" s="46" t="str">
        <x:v>supervision fee</x:v>
      </x:c>
      <x:c r="D301" s="46" t="str"/>
      <x:c r="E301" s="46" t="str">
        <x:v>USD 148,913 | USD 134,022 | USD 14,891</x:v>
      </x:c>
      <x:c r="F301" s="46" t="str">
        <x:v>90% | 10%</x:v>
      </x:c>
      <x:c r="G301" s="46" t="str">
        <x:v>L2025-00049-2/Bid_Announcement_extension_Ukraine_Notification_Purpose_250804.docx</x:v>
      </x:c>
      <x:c r="H301" s="43" t="str">
        <x:v>표 1 행 7</x:v>
      </x:c>
      <x:c r="I301" s="46" t="str">
        <x:v>Bid Limit | USD 148,913 (Exclusive of VAT) ※The amount includes both design (90%, USD 134,022) and author’s supervision (10%, USD 14,891) fees, Exclusive of VAT. ※During bidding and contract signing, the design fee and author supervision fee shall be specified separately. ※This project is under the registration of International Technical Assistance (ITA), which is obliged to be implemented on a basis of VAT exemption format, hence all bidders should submit the bid proposals excluding VAT</x:v>
      </x:c>
      <x:c r="J301" s="43" t="str">
        <x:v>자동추출·검토필요</x:v>
      </x:c>
    </x:row>
    <x:row r="302">
      <x:c r="A302" s="43" t="str">
        <x:v>L2025-00049-1</x:v>
      </x:c>
      <x:c r="B302" s="43" t="str">
        <x:v>감리·CM비</x:v>
      </x:c>
      <x:c r="C302" s="46" t="str">
        <x:v>supervision fee</x:v>
      </x:c>
      <x:c r="D302" s="46" t="str"/>
      <x:c r="E302" s="46" t="str">
        <x:v>USD 148,913 | USD 134,022 | USD 14,891</x:v>
      </x:c>
      <x:c r="F302" s="46" t="str">
        <x:v>90% | 10%</x:v>
      </x:c>
      <x:c r="G302" s="46" t="str">
        <x:v>L2025-00049-1/붙임2. Bid_Announcement_Ukraine_Notification Purpose_250626 ★.docx</x:v>
      </x:c>
      <x:c r="H302" s="43" t="str">
        <x:v>표 1 행 7</x:v>
      </x:c>
      <x:c r="I302" s="46" t="str">
        <x:v>Bid Limit | USD 148,913 (Exclusive of VAT) ※The amount includes both design (90%, USD 134,022) and author’s supervision (10%, USD 14,891) fees, Exclusive of VAT. ※During bidding and contract signing, the design fee and author supervision fee shall be specified separately. ※This project is under the registration of International Technical Assistance (ITA), which is obliged to be implemented on a basis of VAT exemption format, hence all bidders should submit the bid proposals excluding VAT</x:v>
      </x:c>
      <x:c r="J302" s="43" t="str">
        <x:v>자동추출·검토필요</x:v>
      </x:c>
    </x:row>
    <x:row r="303">
      <x:c r="A303" s="43" t="str">
        <x:v>L2025-00045-2</x:v>
      </x:c>
      <x:c r="B303" s="43" t="str">
        <x:v>감리·CM비</x:v>
      </x:c>
      <x:c r="C303" s="46" t="str">
        <x:v>감리비</x:v>
      </x:c>
      <x:c r="D303" s="46" t="str"/>
      <x:c r="E303" s="46" t="str">
        <x:v>USD 205,500 | USD 205,500</x:v>
      </x:c>
      <x:c r="F303" s="46" t="str"/>
      <x:c r="G303" s="46" t="str">
        <x:v>L2025-00045-2/붙임1. 이라크 난민선도학교 설계및시공감리업체선정 현지입찰추진계획안.hwp</x:v>
      </x:c>
      <x:c r="H303" s="43" t="str">
        <x:v>문단 119</x:v>
      </x:c>
      <x:c r="I303" s="46" t="str">
        <x:v>*설계비 USD 205,500 및 시공감리비 USD 205,500 합계</x:v>
      </x:c>
      <x:c r="J303" s="43" t="str">
        <x:v>자동추출·검토필요</x:v>
      </x:c>
    </x:row>
    <x:row r="304">
      <x:c r="A304" s="43" t="str">
        <x:v>L2025-00045-2</x:v>
      </x:c>
      <x:c r="B304" s="43" t="str">
        <x:v>감리·CM비</x:v>
      </x:c>
      <x:c r="C304" s="46" t="str">
        <x:v>supervision fee</x:v>
      </x:c>
      <x:c r="D304" s="46" t="str"/>
      <x:c r="E304" s="46" t="str">
        <x:v>USD 411,000 | USD 205,50 | USD 205,500, | USD 411,000 | USD 205,50 | USD 205,500,</x:v>
      </x:c>
      <x:c r="F304" s="46" t="str"/>
      <x:c r="G304" s="46" t="str">
        <x:v>L2025-00045-2/붙임3. 영문 입찰서류(양식 등 포함)/Section 2 - Bid Data Sheet (BDS)_v2_250827(└╧┴ñ╝÷┴ñ).docx</x:v>
      </x:c>
      <x:c r="H304" s="43" t="str">
        <x:v>표 5 행 5</x:v>
      </x:c>
      <x:c r="I304" s="46" t="str">
        <x:v>․ Bid Limit | USD 411,000 (Design USD 205,50 +Supervision USD 205,500, Excluding value-added taxes and other fees) ※Bidders must separately indicate the design fee and the supervision fee. | USD 411,000 (Design USD 205,50 +Supervision USD 205,500, Excluding value-added taxes and other fees) ※Bidders must separately indicate the design fee and the supervision fee.</x:v>
      </x:c>
      <x:c r="J304" s="43" t="str">
        <x:v>자동추출·검토필요</x:v>
      </x:c>
    </x:row>
    <x:row r="305">
      <x:c r="A305" s="43" t="str">
        <x:v>L2025-00045-1</x:v>
      </x:c>
      <x:c r="B305" s="43" t="str">
        <x:v>감리·CM비</x:v>
      </x:c>
      <x:c r="C305" s="46" t="str">
        <x:v>감리비</x:v>
      </x:c>
      <x:c r="D305" s="46" t="str"/>
      <x:c r="E305" s="46" t="str">
        <x:v>USD 205,500 | USD 205,500</x:v>
      </x:c>
      <x:c r="F305" s="46" t="str"/>
      <x:c r="G305" s="46" t="str">
        <x:v>L2025-00045-1/붙임1. 이라크 난민선도학교 설계및시공감리업체선정 현지입찰추진계획안(.hwp</x:v>
      </x:c>
      <x:c r="H305" s="43" t="str">
        <x:v>문단 119</x:v>
      </x:c>
      <x:c r="I305" s="46" t="str">
        <x:v>*설계비 USD 205,500 및 시공감리비 USD 205,500 합계</x:v>
      </x:c>
      <x:c r="J305" s="43" t="str">
        <x:v>자동추출·검토필요</x:v>
      </x:c>
    </x:row>
    <x:row r="306">
      <x:c r="A306" s="43" t="str">
        <x:v>L2025-00045-1</x:v>
      </x:c>
      <x:c r="B306" s="43" t="str">
        <x:v>감리·CM비</x:v>
      </x:c>
      <x:c r="C306" s="46" t="str">
        <x:v>supervision fee</x:v>
      </x:c>
      <x:c r="D306" s="46" t="str"/>
      <x:c r="E306" s="46" t="str">
        <x:v>USD 411,000 | USD 205,500 | USD 205,500, | USD 411,000 | USD 205,500 | USD 205,500,</x:v>
      </x:c>
      <x:c r="F306" s="46" t="str"/>
      <x:c r="G306" s="46" t="str">
        <x:v>L2025-00045-1/붙임3. 입찰서류(영문) 일체/Section 2 - Bid Data Sheet (BDS).docx</x:v>
      </x:c>
      <x:c r="H306" s="43" t="str">
        <x:v>표 5 행 5</x:v>
      </x:c>
      <x:c r="I306" s="46" t="str">
        <x:v>․ Bid Limit | USD 411,000 (Design USD 205,500 +Supervision USD 205,500, Excluding value-added taxes and other fees) ※Bidders must separately indicate the design fee and the supervision fee. | USD 411,000 (Design USD 205,500 +Supervision USD 205,500, Excluding value-added taxes and other fees) ※Bidders must separately indicate the design fee and the supervision fee.</x:v>
      </x:c>
      <x:c r="J306" s="43" t="str">
        <x:v>자동추출·검토필요</x:v>
      </x:c>
    </x:row>
    <x:row r="307">
      <x:c r="A307" s="43" t="str">
        <x:v>L2025-00036-1</x:v>
      </x:c>
      <x:c r="B307" s="43" t="str">
        <x:v>감리·CM비</x:v>
      </x:c>
      <x:c r="C307" s="46" t="str">
        <x:v>supervision cost</x:v>
      </x:c>
      <x:c r="D307" s="46" t="str">
        <x:v>5,233 ㎡ | 3,700 ㎡</x:v>
      </x:c>
      <x:c r="E307" s="46" t="str">
        <x:v>USD 500,000</x:v>
      </x:c>
      <x:c r="F307" s="46" t="str"/>
      <x:c r="G307" s="46" t="str">
        <x:v>L2025-00036-1/붙임2. 입찰서류 영문본 일체/Section 5 - Terms of Reference (ToR).doc</x:v>
      </x:c>
      <x:c r="H307" s="43" t="str">
        <x:v>문단 45</x:v>
      </x:c>
      <x:c r="I307" s="46" t="str">
        <x:v>Site Location Chamkar Doung Street (217), Phnom Penh, Cambodia. Site Area approx. 5,233㎡ Design and Construction Supervision content Cambodia Dangkao Referral Hospital Public Health Service Improvement Project • Three-story building • Total floor area: approx. 3,700㎡ Please refer to the attached Section 06. Design and Construction Supervision cost budget: approx. USD 500,000</x:v>
      </x:c>
      <x:c r="J307" s="43" t="str">
        <x:v>자동추출·검토필요</x:v>
      </x:c>
    </x:row>
    <x:row r="308">
      <x:c r="A308" s="43" t="str">
        <x:v>L2025-00014-1</x:v>
      </x:c>
      <x:c r="B308" s="43" t="str">
        <x:v>감리·CM비</x:v>
      </x:c>
      <x:c r="C308" s="46" t="str">
        <x:v>감리용역</x:v>
      </x:c>
      <x:c r="D308" s="46" t="str"/>
      <x:c r="E308" s="46" t="str">
        <x:v>USD 60,000</x:v>
      </x:c>
      <x:c r="F308" s="46" t="str"/>
      <x:c r="G308" s="46" t="str">
        <x:v>L2025-00014-1/Section 2-입찰공고문(국문)_섬유센터 감리.pdf</x:v>
      </x:c>
      <x:c r="H308" s="43" t="str">
        <x:v>페이지 4</x:v>
      </x:c>
      <x:c r="I308" s="46" t="str">
        <x:v>[Section 2] 입찰공고문 다음과 같이 입찰에 부치고자 공고합니다. 2025.03.15. KOICA 파키스탄 사무소 &lt; 유의사항 &gt; ◈ 본 입찰에 참여하는 자는 입찰ㆍ낙찰, 계약체결 또는 계약이행 등의 과정에서 (준공ㆍ납품 이후를 포함한다) 청렴계약특수조건을 숙지하고 입찰에 참여하여야 하며, 입찰서 제출 시 청렴계약서(이행서약서)를 제출해야 합니다. ◈ 본 입찰과 관련하여 비리ㆍ불공정행위가 있는 경우 KOICA 파키스탄 사무소 (jilly21@koica.go.kr)를 통하여 신고할 수 있습니다. ◈ 본 입찰 및 계약과 관련하여 KOICA 직원이 금품, 향응 등 부당한 요구를 할 경우 KOICA 감사실(clean@koica.go.kr)에 신고하여 주시기 바랍니다. 1. 입찰에 부치는 사항(입찰개요) ․ 공고번호 L2025-0000-1 KOICA-PAK-2025-02 (전자조달시스템 현지입찰공고번호) ․ 입찰건명 파키스탄 국립섬유대학 산업용 섬유센터 설립사업 2차사업 감리용역 ․ 과업범위 감리용역 ․ 계약기간 계약체결일로부터 22개월 ․ 집행한도액 USD 60,000 (GST 및 부가가치세 포함) ㅇ 통화 : USD ㅇ 부가세관련 유의사항: - 주재국의 법규에 따라 면세승인을 취득하는 경우, 발주자는 해당 비용을 계약자에게 제공하지 않음. 단, 면세승인 취득 불가시 발주자는 계약자에게 해당 비용을 제공함. - 부가가치세와 관련하여 KOICA는 동 입찰 및 계약에 대해 발생하는 GST 포함 그 어떠한 세금과 관련해서 아무런 권한이나 책임이 없으며, 주재국의 법규에 따라 세금징수 및 환급과 관련한 책임기관은 연방세무국(Federal Board of Revenue)임. - 1 -</x:v>
      </x:c>
      <x:c r="J308" s="43" t="str">
        <x:v>자동추출·검토필요</x:v>
      </x:c>
    </x:row>
    <x:row r="309">
      <x:c r="A309" s="43" t="str">
        <x:v>L2024-00041-1</x:v>
      </x:c>
      <x:c r="B309" s="43" t="str">
        <x:v>감리·CM비</x:v>
      </x:c>
      <x:c r="C309" s="46" t="str">
        <x:v>감리비</x:v>
      </x:c>
      <x:c r="D309" s="46" t="str"/>
      <x:c r="E309" s="46" t="str">
        <x:v>$ 149,940, | $ 16,660</x:v>
      </x:c>
      <x:c r="F309" s="46" t="str">
        <x:v>90% | 10%</x:v>
      </x:c>
      <x:c r="G309" s="46" t="str">
        <x:v>L2024-00041-1/붙임_키르기스_가축품종개량_설계업체선정_현지입찰추진계획안_BDS_v11_0805.hwp</x:v>
      </x:c>
      <x:c r="H309" s="43" t="str">
        <x:v>문단 122</x:v>
      </x:c>
      <x:c r="I309" s="46" t="str">
        <x:v>*설계비(90%) $149,940, 저작권감리비(10%)†普  $16,660 &lt;부가세 불포함&gt;</x:v>
      </x:c>
      <x:c r="J309" s="43" t="str">
        <x:v>자동추출·검토필요</x:v>
      </x:c>
    </x:row>
    <x:row r="310">
      <x:c r="A310" s="43" t="str">
        <x:v>L2022-00003-1</x:v>
      </x:c>
      <x:c r="B310" s="43" t="str">
        <x:v>감리·CM비</x:v>
      </x:c>
      <x:c r="C310" s="46" t="str">
        <x:v>감리용역</x:v>
      </x:c>
      <x:c r="D310" s="46" t="str">
        <x:v>7,021 M2</x:v>
      </x:c>
      <x:c r="E310" s="46" t="str">
        <x:v>USD 248,335 | USD 147,535, | USD 100,800,</x:v>
      </x:c>
      <x:c r="F310" s="46" t="str">
        <x:v>90% | 10% | 10% | 90% | 2.5%</x:v>
      </x:c>
      <x:c r="G310" s="46" t="str">
        <x:v>L2022-00003-1/코이카사무소_우르겐치직훈원 입찰공고문(홈페이지게시).pdf</x:v>
      </x:c>
      <x:c r="H310" s="43" t="str">
        <x:v>페이지 1</x:v>
      </x:c>
      <x:c r="I310" s="46" t="str">
        <x:v>KOICA 사무소 우르겐치 직업훈련원 설계 및 감리사 선정 입찰 공고 2022.02.21.(월) KOICA(Korea International Cooperation Agency, 한국국제협력단) 우즈베키스탄 사무소에서는 우르겐치 직업훈련원 및 타슈켄트 교사연수센터 설계 및 감리 용역업체 선정을 위한 입찰 공고를 하오니, 관심있는 업체의 많은 참여 바랍니다. ■ 입찰형태 : 국제 일반경쟁입찰(입찰번호 : KOICA-P-UZB-2022-1) ■ 집행한도액 : USD 248,335 (설계용역 : USD 147,535, 감리용역: USD 100,800, 부가가치세 미포함) ■ 계약기간 : 계약일로부터 33개월(설계 6개월 + 시공사입찰지원 2개월 + 시공감리 25개월) ■ 부지위치 : (우르겐치 직훈원) 우르겐치 기차역 인접, (교사연수센터) 타슈켄트 직업훈련원 부지 내 ■ 건축규모 : 연면적 총 7,021M2, 지상 2층 3개동, 1층 2개동 및 부속 건물 ■ 참가자격 : 우즈베키스탄 법률과 규정에 따라 건설공사의 설계 및 시공감리 용역업무 수행관련 합법적인 자격 보유한 국내외 업체 (공동수급은 허용하지 않습니다) ■ 낙찰업체 선정 방식 : 기술평가 90% + 가격평가 10% (기술평가 : 정량 10%+ 정성 90%) ■ 입찰일정(우즈베키스탄 시간 기준) 구 분 일정(안) 비 고 02.28. ~ 1. 입찰참가 신청 ㅇ KOICA 공용메일로 접수(tender.uzkoica@gmail.com) 03.22. 16:30 ㅇ 설명회 참가희망 업체 사전신청(02.25 16:30까지) ㅇ 신청업체대상 설명회 및 영문 입찰안내서류 이메일 송부 2. 온라인 입찰설명회 02.28. 10:00 - 입찰안내서류는 사무소 홈페이지 및 페이스북 內 게재 https://www.koica.go.kr/sites/uzb_kr https://www.facebook.com/koica.uzbek 03.07. ~ 3. 질의기간 ㅇ KOICA 공용메일로 접수(tender.uzkoica@gmail.com) 03.14. 16:30 ㅇ 설명회 참가자 및 질의자 전원대상 이메일 회신(15:00) 4. 질의응답자료 게재 03.16. 15:00 - 사무소 홈페이지 및 페이스북에 게재 5. 입찰서 접수마감 03.24. 16:30 ㅇ 입찰서 밀봉 후, 제출처에 방문제출(우편제출 불가) ㅇ 시간과 장소 사전 통보: 03.28. 16:30 6. 온라인 평가위원회 개최 03.</x:v>
      </x:c>
      <x:c r="J310" s="43" t="str">
        <x:v>자동추출·검토필요</x:v>
      </x:c>
    </x:row>
    <x:row r="311">
      <x:c r="A311" s="43" t="str">
        <x:v>L2025-00106-1</x:v>
      </x:c>
      <x:c r="B311" s="43" t="str">
        <x:v>연면적·면적</x:v>
      </x:c>
      <x:c r="C311" s="46" t="str">
        <x:v>m²</x:v>
      </x:c>
      <x:c r="D311" s="46" t="str">
        <x:v>1,737 m²</x:v>
      </x:c>
      <x:c r="E311" s="46" t="str"/>
      <x:c r="F311" s="46" t="str"/>
      <x:c r="G311" s="46" t="str">
        <x:v>L2025-00106-1/실험실 Control office_최종/Control office_최종/RFP for Controll office_CM_clean.docx</x:v>
      </x:c>
      <x:c r="H311" s="43" t="str">
        <x:v>문단 19</x:v>
      </x:c>
      <x:c r="I311" s="46" t="str">
        <x:v>The works focus on renovation and functional upgrade of three existing buildings (approx. 1,737 m² total):</x:v>
      </x:c>
      <x:c r="J311" s="43" t="str">
        <x:v>자동추출·검토필요</x:v>
      </x:c>
    </x:row>
    <x:row r="312">
      <x:c r="A312" s="43" t="str">
        <x:v>L2025-00106-1</x:v>
      </x:c>
      <x:c r="B312" s="43" t="str">
        <x:v>연면적·면적</x:v>
      </x:c>
      <x:c r="C312" s="46" t="str">
        <x:v>m²</x:v>
      </x:c>
      <x:c r="D312" s="46" t="str">
        <x:v>649.9 m²</x:v>
      </x:c>
      <x:c r="E312" s="46" t="str"/>
      <x:c r="F312" s="46" t="str"/>
      <x:c r="G312" s="46" t="str">
        <x:v>L2025-00106-1/실험실 Control office_최종/Control office_최종/RFP for Controll office_CM_clean.docx</x:v>
      </x:c>
      <x:c r="H312" s="43" t="str">
        <x:v>문단 20</x:v>
      </x:c>
      <x:c r="I312" s="46" t="str">
        <x:v>Building A – Laboratory and Bio Bank (649.9 m²)</x:v>
      </x:c>
      <x:c r="J312" s="43" t="str">
        <x:v>자동추출·검토필요</x:v>
      </x:c>
    </x:row>
    <x:row r="313">
      <x:c r="A313" s="43" t="str">
        <x:v>L2025-00106-1</x:v>
      </x:c>
      <x:c r="B313" s="43" t="str">
        <x:v>연면적·면적</x:v>
      </x:c>
      <x:c r="C313" s="46" t="str">
        <x:v>m²</x:v>
      </x:c>
      <x:c r="D313" s="46" t="str">
        <x:v>775.4 m²</x:v>
      </x:c>
      <x:c r="E313" s="46" t="str"/>
      <x:c r="F313" s="46" t="str"/>
      <x:c r="G313" s="46" t="str">
        <x:v>L2025-00106-1/실험실 Control office_최종/Control office_최종/RFP for Controll office_CM_clean.docx</x:v>
      </x:c>
      <x:c r="H313" s="43" t="str">
        <x:v>문단 21</x:v>
      </x:c>
      <x:c r="I313" s="46" t="str">
        <x:v>Building B – Outpatient Reception &amp; Administration Office (775.4 m²)</x:v>
      </x:c>
      <x:c r="J313" s="43" t="str">
        <x:v>자동추출·검토필요</x:v>
      </x:c>
    </x:row>
    <x:row r="314">
      <x:c r="A314" s="43" t="str">
        <x:v>L2025-00106-1</x:v>
      </x:c>
      <x:c r="B314" s="43" t="str">
        <x:v>연면적·면적</x:v>
      </x:c>
      <x:c r="C314" s="46" t="str">
        <x:v>m²</x:v>
      </x:c>
      <x:c r="D314" s="46" t="str">
        <x:v>312.0 m²</x:v>
      </x:c>
      <x:c r="E314" s="46" t="str"/>
      <x:c r="F314" s="46" t="str"/>
      <x:c r="G314" s="46" t="str">
        <x:v>L2025-00106-1/실험실 Control office_최종/Control office_최종/RFP for Controll office_CM_clean.docx</x:v>
      </x:c>
      <x:c r="H314" s="43" t="str">
        <x:v>문단 22</x:v>
      </x:c>
      <x:c r="I314" s="46" t="str">
        <x:v>Building C – Education &amp; Office (312.0 m²)</x:v>
      </x:c>
      <x:c r="J314" s="43" t="str">
        <x:v>자동추출·검토필요</x:v>
      </x:c>
    </x:row>
    <x:row r="315">
      <x:c r="A315" s="43" t="str">
        <x:v>L2025-00099-1</x:v>
      </x:c>
      <x:c r="B315" s="43" t="str">
        <x:v>연면적·면적</x:v>
      </x:c>
      <x:c r="C315" s="46" t="str">
        <x:v>floor area</x:v>
      </x:c>
      <x:c r="D315" s="46" t="str">
        <x:v>255,52 m2 | 255,52 m2</x:v>
      </x:c>
      <x:c r="E315" s="46" t="str"/>
      <x:c r="F315" s="46" t="str"/>
      <x:c r="G315" s="46" t="str">
        <x:v>L2025-00099-1/KG-2025-11/KG-2025-11/Section 2 - Bid Data Sheet (영문)_WaSH.docx</x:v>
      </x:c>
      <x:c r="H315" s="43" t="str">
        <x:v>표 4 행 8</x:v>
      </x:c>
      <x:c r="I315" s="46" t="str">
        <x:v>- Gross floor area | 255,52 m2 (area of remodeling section) | 255,52 m2 (area of remodeling section)</x:v>
      </x:c>
      <x:c r="J315" s="43" t="str">
        <x:v>자동추출·검토필요</x:v>
      </x:c>
    </x:row>
    <x:row r="316">
      <x:c r="A316" s="43" t="str">
        <x:v>L2025-00097-1</x:v>
      </x:c>
      <x:c r="B316" s="43" t="str">
        <x:v>연면적·면적</x:v>
      </x:c>
      <x:c r="C316" s="46" t="str">
        <x:v>floor area</x:v>
      </x:c>
      <x:c r="D316" s="46" t="str">
        <x:v>1,179 M2 | 1,179 M2</x:v>
      </x:c>
      <x:c r="E316" s="46" t="str">
        <x:v>USD 1,704,050 | USD 1,704,050</x:v>
      </x:c>
      <x:c r="F316" s="46" t="str">
        <x:v>5% | 5%</x:v>
      </x:c>
      <x:c r="G316" s="46" t="str">
        <x:v>L2025-00097-1/붙임1. 공고내역 (KG-2025-10)/ENG - final/Section 2 - Bid Data Sheet (BDS).docx</x:v>
      </x:c>
      <x:c r="H316" s="43" t="str">
        <x:v>표 5 행 3</x:v>
      </x:c>
      <x:c r="I316" s="46" t="str">
        <x:v>․ Scope of Service | ※The assignment consist of the services for the construction of the project mentioned below: -Project purpose: New Construction of ICT Training center -Project plot location: Ch.Aitmatov Avenue, 104v, Bishkek -Project plot Area: 1.0 ha -Gross Floor Area 1,179 M2 (±5%) of two(2) story building. -Construction budget limit is USD 1,704,050 (including a stand-by generator) -Detailed design requirement and Space program: refer to the [Section 5]. 1) Design and Construction document Service -Soil Investigation and Required surveys (Including Access road, Existing infra-structure and facilities in the vicinity of the site, Topographical, Structural, and Geographical surveys for New construction work) -Preparation of layout(masterplan) options to efficiently use the plot for both ICT education center and other purpose (e.g. a future extension). -Preparation of design and other engineering services necessary to bring the work to the construction readiness state for the projects mentioned in the Agreement - Preparation of all the developed construction documents -All required administration &amp; preparation for relevant permits Approval or consent from KOICA (including CM a</x:v>
      </x:c>
      <x:c r="J316" s="43" t="str">
        <x:v>자동추출·검토필요</x:v>
      </x:c>
    </x:row>
    <x:row r="317">
      <x:c r="A317" s="43" t="str">
        <x:v>L2025-00097-1</x:v>
      </x:c>
      <x:c r="B317" s="43" t="str">
        <x:v>연면적·면적</x:v>
      </x:c>
      <x:c r="C317" s="46" t="str">
        <x:v>floor area</x:v>
      </x:c>
      <x:c r="D317" s="46" t="str">
        <x:v>1,179 M2</x:v>
      </x:c>
      <x:c r="E317" s="46" t="str"/>
      <x:c r="F317" s="46" t="str">
        <x:v>5%</x:v>
      </x:c>
      <x:c r="G317" s="46" t="str">
        <x:v>L2025-00097-1/붙임1. 공고내역 (KG-2025-10)/ENG - final/Section 5 - Scope of the Services (ToR).docx</x:v>
      </x:c>
      <x:c r="H317" s="43" t="str">
        <x:v>문단 28</x:v>
      </x:c>
      <x:c r="I317" s="46" t="str">
        <x:v>-Gross Floor Area 1,179 M2 (±5%) of two(2) story building.</x:v>
      </x:c>
      <x:c r="J317" s="43" t="str">
        <x:v>자동추출·검토필요</x:v>
      </x:c>
    </x:row>
    <x:row r="318">
      <x:c r="A318" s="43" t="str">
        <x:v>L2025-00094-1</x:v>
      </x:c>
      <x:c r="B318" s="43" t="str">
        <x:v>연면적·면적</x:v>
      </x:c>
      <x:c r="C318" s="46" t="str">
        <x:v>floor area, ㎡</x:v>
      </x:c>
      <x:c r="D318" s="46" t="str">
        <x:v>2,040 ㎡ | 8,722.56 ㎡ | 2,040 ㎡ | 8,722.56 ㎡</x:v>
      </x:c>
      <x:c r="E318" s="46" t="str"/>
      <x:c r="F318" s="46" t="str"/>
      <x:c r="G318" s="46" t="str">
        <x:v>L2025-00094-1/ReBidding Documents (Guimaras_Design) 1022v2/ReBidding Documents (Guimaras_Design) 1022/Section 2 - Bid Data Sheet (BDS)_20251020v5.docx</x:v>
      </x:c>
      <x:c r="H318" s="43" t="str">
        <x:v>표 4 행 3</x:v>
      </x:c>
      <x:c r="I318" s="46" t="str">
        <x:v>∙ Scope of Service | ▪ Design Services for “Mariculture Center” ▪ Support tasks related to permitting processes, including building permits, construction commencement, and completion approvals. ▪ Other related tasks as requested by the client ▪ Detailed deliverable and work scope as below; Work No1. Design Works - SD (Schematic DWGs) - DD (Development DWGs) - CD (Construction DWGs) Work No2. Size of the Project - Total Floor Area: 2,040㎡, a building of 3-storey - Total Pilot Pond Area: 8,722.56㎡, Internal Dikes Work No3. Output - DWGs (Soft Copy &amp; 5 sets Hard Copies) - Specification - Technical Survey Reports - Soil Investigation Report - Technical Calculation Reports - BOQ (Be created with budget relation) - Documents for Permission - Documents for Bidding - Documents for ECC (If needed) - Other necessary documents for the project Work No4. During Construction - Design Change related works (create the DWGs and Review) Work No5. Others - Related task for Permit as an Architect - Related required task from the Client as an Architect | ▪ Design Services for “Mariculture Center” ▪ Support tasks related to permitting processes, including building permits, construction commencement, and</x:v>
      </x:c>
      <x:c r="J318" s="43" t="str">
        <x:v>자동추출·검토필요</x:v>
      </x:c>
    </x:row>
    <x:row r="319">
      <x:c r="A319" s="43" t="str">
        <x:v>L2025-00094-1</x:v>
      </x:c>
      <x:c r="B319" s="43" t="str">
        <x:v>연면적·면적</x:v>
      </x:c>
      <x:c r="C319" s="46" t="str">
        <x:v>㎡</x:v>
      </x:c>
      <x:c r="D319" s="46" t="str">
        <x:v>1,706 ㎡</x:v>
      </x:c>
      <x:c r="E319" s="46" t="str"/>
      <x:c r="F319" s="46" t="str"/>
      <x:c r="G319" s="46" t="str">
        <x:v>L2025-00094-1/ReBidding Documents (Guimaras_Design) 1022v2/ReBidding Documents (Guimaras_Design) 1022/Section 5 - Request for Proposal (RFP)_Design Service.docx</x:v>
      </x:c>
      <x:c r="H319" s="43" t="str">
        <x:v>문단 15</x:v>
      </x:c>
      <x:c r="I319" s="46" t="str">
        <x:v>ㅇ Building Construction Area: 1,706㎡ (Lot 1)</x:v>
      </x:c>
      <x:c r="J319" s="43" t="str">
        <x:v>자동추출·검토필요</x:v>
      </x:c>
    </x:row>
    <x:row r="320">
      <x:c r="A320" s="43" t="str">
        <x:v>L2025-00094-1</x:v>
      </x:c>
      <x:c r="B320" s="43" t="str">
        <x:v>연면적·면적</x:v>
      </x:c>
      <x:c r="C320" s="46" t="str">
        <x:v>㎡</x:v>
      </x:c>
      <x:c r="D320" s="46" t="str">
        <x:v>8,722.56 ㎡</x:v>
      </x:c>
      <x:c r="E320" s="46" t="str"/>
      <x:c r="F320" s="46" t="str"/>
      <x:c r="G320" s="46" t="str">
        <x:v>L2025-00094-1/ReBidding Documents (Guimaras_Design) 1022v2/ReBidding Documents (Guimaras_Design) 1022/Section 5 - Request for Proposal (RFP)_Design Service.docx</x:v>
      </x:c>
      <x:c r="H320" s="43" t="str">
        <x:v>문단 18</x:v>
      </x:c>
      <x:c r="I320" s="46" t="str">
        <x:v>ㅇ Pilot Pond Area: 8,722.56㎡ (Lot 2-1)</x:v>
      </x:c>
      <x:c r="J320" s="43" t="str">
        <x:v>자동추출·검토필요</x:v>
      </x:c>
    </x:row>
    <x:row r="321">
      <x:c r="A321" s="43" t="str">
        <x:v>L2025-00094-1</x:v>
      </x:c>
      <x:c r="B321" s="43" t="str">
        <x:v>연면적·면적</x:v>
      </x:c>
      <x:c r="C321" s="46" t="str">
        <x:v>㎡</x:v>
      </x:c>
      <x:c r="D321" s="46" t="str">
        <x:v>1,706 ㎡</x:v>
      </x:c>
      <x:c r="E321" s="46" t="str"/>
      <x:c r="F321" s="46" t="str"/>
      <x:c r="G321" s="46" t="str">
        <x:v>L2025-00094-1/ReBidding Documents (Guimaras_Design) 1022v2/ReBidding Documents (Guimaras_Design) 1022/Section 5 - Request for Proposal (RFP)_Design Service.docx</x:v>
      </x:c>
      <x:c r="H321" s="43" t="str">
        <x:v>문단 66</x:v>
      </x:c>
      <x:c r="I321" s="46" t="str">
        <x:v>ㅇ Building Construction Area: 1,706㎡ (Lot 1)</x:v>
      </x:c>
      <x:c r="J321" s="43" t="str">
        <x:v>자동추출·검토필요</x:v>
      </x:c>
    </x:row>
    <x:row r="322">
      <x:c r="A322" s="43" t="str">
        <x:v>L2025-00094-1</x:v>
      </x:c>
      <x:c r="B322" s="43" t="str">
        <x:v>연면적·면적</x:v>
      </x:c>
      <x:c r="C322" s="46" t="str">
        <x:v>㎡</x:v>
      </x:c>
      <x:c r="D322" s="46" t="str">
        <x:v>1,674 ㎡</x:v>
      </x:c>
      <x:c r="E322" s="46" t="str"/>
      <x:c r="F322" s="46" t="str"/>
      <x:c r="G322" s="46" t="str">
        <x:v>L2025-00094-1/ReBidding Documents (Guimaras_Design) 1022v2/ReBidding Documents (Guimaras_Design) 1022/Section 5 - Request for Proposal (RFP)_Design Service.docx</x:v>
      </x:c>
      <x:c r="H322" s="43" t="str">
        <x:v>문단 67</x:v>
      </x:c>
      <x:c r="I322" s="46" t="str">
        <x:v>Construction Area : ≒ 1,674㎡ (31M*54M)</x:v>
      </x:c>
      <x:c r="J322" s="43" t="str">
        <x:v>자동추출·검토필요</x:v>
      </x:c>
    </x:row>
    <x:row r="323">
      <x:c r="A323" s="43" t="str">
        <x:v>L2025-00094-1</x:v>
      </x:c>
      <x:c r="B323" s="43" t="str">
        <x:v>연면적·면적</x:v>
      </x:c>
      <x:c r="C323" s="46" t="str">
        <x:v>floor area, m²</x:v>
      </x:c>
      <x:c r="D323" s="46" t="str">
        <x:v>2,040 m²</x:v>
      </x:c>
      <x:c r="E323" s="46" t="str"/>
      <x:c r="F323" s="46" t="str"/>
      <x:c r="G323" s="46" t="str">
        <x:v>L2025-00094-1/ReBidding Documents (Guimaras_Design) 1022v2/ReBidding Documents (Guimaras_Design) 1022/Section 5 - Request for Proposal (RFP)_Design Service.docx</x:v>
      </x:c>
      <x:c r="H323" s="43" t="str">
        <x:v>문단 69</x:v>
      </x:c>
      <x:c r="I323" s="46" t="str">
        <x:v>Building size : ≒ 2,040 m² ( Gross Floor Area )</x:v>
      </x:c>
      <x:c r="J323" s="43" t="str">
        <x:v>자동추출·검토필요</x:v>
      </x:c>
    </x:row>
    <x:row r="324">
      <x:c r="A324" s="43" t="str">
        <x:v>L2025-00094-1</x:v>
      </x:c>
      <x:c r="B324" s="43" t="str">
        <x:v>연면적·면적</x:v>
      </x:c>
      <x:c r="C324" s="46" t="str">
        <x:v>㎡</x:v>
      </x:c>
      <x:c r="D324" s="46" t="str">
        <x:v>8,722.56 ㎡</x:v>
      </x:c>
      <x:c r="E324" s="46" t="str"/>
      <x:c r="F324" s="46" t="str"/>
      <x:c r="G324" s="46" t="str">
        <x:v>L2025-00094-1/ReBidding Documents (Guimaras_Design) 1022v2/ReBidding Documents (Guimaras_Design) 1022/Section 5 - Request for Proposal (RFP)_Design Service.docx</x:v>
      </x:c>
      <x:c r="H324" s="43" t="str">
        <x:v>문단 80</x:v>
      </x:c>
      <x:c r="I324" s="46" t="str">
        <x:v>ㅇ Pilot Pond Area: 8,722.56㎡ (Lot 2-1)</x:v>
      </x:c>
      <x:c r="J324" s="43" t="str">
        <x:v>자동추출·검토필요</x:v>
      </x:c>
    </x:row>
    <x:row r="325">
      <x:c r="A325" s="43" t="str">
        <x:v>L2025-00094-1</x:v>
      </x:c>
      <x:c r="B325" s="43" t="str">
        <x:v>연면적·면적</x:v>
      </x:c>
      <x:c r="C325" s="46" t="str">
        <x:v>㎡</x:v>
      </x:c>
      <x:c r="D325" s="46" t="str">
        <x:v>8,722.56 ㎡</x:v>
      </x:c>
      <x:c r="E325" s="46" t="str"/>
      <x:c r="F325" s="46" t="str"/>
      <x:c r="G325" s="46" t="str">
        <x:v>L2025-00094-1/ReBidding Documents (Guimaras_Design) 1022v2/ReBidding Documents (Guimaras_Design) 1022/Section 5 - Request for Proposal (RFP)_Design Service.docx</x:v>
      </x:c>
      <x:c r="H325" s="43" t="str">
        <x:v>문단 81</x:v>
      </x:c>
      <x:c r="I325" s="46" t="str">
        <x:v>Construction Area : ≒ 8,722.56㎡ (31M*54M)</x:v>
      </x:c>
      <x:c r="J325" s="43" t="str">
        <x:v>자동추출·검토필요</x:v>
      </x:c>
    </x:row>
    <x:row r="326">
      <x:c r="A326" s="43" t="str">
        <x:v>L2025-00094-1</x:v>
      </x:c>
      <x:c r="B326" s="43" t="str">
        <x:v>연면적·면적</x:v>
      </x:c>
      <x:c r="C326" s="46" t="str">
        <x:v>㎡</x:v>
      </x:c>
      <x:c r="D326" s="46" t="str">
        <x:v>1,706 ㎡</x:v>
      </x:c>
      <x:c r="E326" s="46" t="str"/>
      <x:c r="F326" s="46" t="str"/>
      <x:c r="G326" s="46" t="str">
        <x:v>L2025-00094-1/ReBidding Documents (Guimaras_Design) 1022v2/ReBidding Documents (Guimaras_Design) 1022/Section 5 - Request for Proposal (RFP)_Design Service.docx</x:v>
      </x:c>
      <x:c r="H326" s="43" t="str">
        <x:v>문단 183</x:v>
      </x:c>
      <x:c r="I326" s="46" t="str">
        <x:v>① Site Area: 1,706㎡</x:v>
      </x:c>
      <x:c r="J326" s="43" t="str">
        <x:v>자동추출·검토필요</x:v>
      </x:c>
    </x:row>
    <x:row r="327">
      <x:c r="A327" s="43" t="str">
        <x:v>L2025-00094-1</x:v>
      </x:c>
      <x:c r="B327" s="43" t="str">
        <x:v>연면적·면적</x:v>
      </x:c>
      <x:c r="C327" s="46" t="str">
        <x:v>floor area, ㎡</x:v>
      </x:c>
      <x:c r="D327" s="46" t="str">
        <x:v>2,040 ㎡</x:v>
      </x:c>
      <x:c r="E327" s="46" t="str"/>
      <x:c r="F327" s="46" t="str"/>
      <x:c r="G327" s="46" t="str">
        <x:v>L2025-00094-1/ReBidding Documents (Guimaras_Design) 1022v2/ReBidding Documents (Guimaras_Design) 1022/Section 5 - Request for Proposal (RFP)_Design Service.docx</x:v>
      </x:c>
      <x:c r="H327" s="43" t="str">
        <x:v>문단 184</x:v>
      </x:c>
      <x:c r="I327" s="46" t="str">
        <x:v>② Building Size (Gross Floor Area) / Purpose: 2,040 ㎡ (final area to be confirmed in consultation with the client); 3 floors. The facility will include office spaces, laboratories, meeting rooms, dormitories, a cafeteria, training rooms, facilities for aquatic and plant production and research (seed production building), a processing room for seafood, 20-foot containers for refrigeration and cold storage, a block-type ice machine, and spaces for installing related equipment and systems.</x:v>
      </x:c>
      <x:c r="J327" s="43" t="str">
        <x:v>자동추출·검토필요</x:v>
      </x:c>
    </x:row>
    <x:row r="328">
      <x:c r="A328" s="43" t="str">
        <x:v>L2025-00094-1</x:v>
      </x:c>
      <x:c r="B328" s="43" t="str">
        <x:v>연면적·면적</x:v>
      </x:c>
      <x:c r="C328" s="46" t="str">
        <x:v>㎡</x:v>
      </x:c>
      <x:c r="D328" s="46" t="str">
        <x:v>8,722.56 ㎡</x:v>
      </x:c>
      <x:c r="E328" s="46" t="str"/>
      <x:c r="F328" s="46" t="str"/>
      <x:c r="G328" s="46" t="str">
        <x:v>L2025-00094-1/ReBidding Documents (Guimaras_Design) 1022v2/ReBidding Documents (Guimaras_Design) 1022/Section 5 - Request for Proposal (RFP)_Design Service.docx</x:v>
      </x:c>
      <x:c r="H328" s="43" t="str">
        <x:v>문단 185</x:v>
      </x:c>
      <x:c r="I328" s="46" t="str">
        <x:v>③ Pilot Pond Construction Area: 8,722.56㎡.</x:v>
      </x:c>
      <x:c r="J328" s="43" t="str">
        <x:v>자동추출·검토필요</x:v>
      </x:c>
    </x:row>
    <x:row r="329">
      <x:c r="A329" s="43" t="str">
        <x:v>L2025-00094-1</x:v>
      </x:c>
      <x:c r="B329" s="43" t="str">
        <x:v>연면적·면적</x:v>
      </x:c>
      <x:c r="C329" s="46" t="str">
        <x:v>㎡</x:v>
      </x:c>
      <x:c r="D329" s="46" t="str">
        <x:v>1,706 ㎡ | 8,722.56 ㎡</x:v>
      </x:c>
      <x:c r="E329" s="46" t="str"/>
      <x:c r="F329" s="46" t="str"/>
      <x:c r="G329" s="46" t="str">
        <x:v>L2025-00094-1/ReBidding Documents (Guimaras_Design) 1022v2/ReBidding Documents (Guimaras_Design) 1022/Section 5 - Request for Proposal (RFP)_Design Service.docx</x:v>
      </x:c>
      <x:c r="H329" s="43" t="str">
        <x:v>표 1 행 1</x:v>
      </x:c>
      <x:c r="I329" s="46" t="str">
        <x:v>Land Area | Approximately Building Construction Area: 1,706㎡(Lot 1) / Pilot Pond Area: 8,722.56㎡(Lot 2-1)</x:v>
      </x:c>
      <x:c r="J329" s="43" t="str">
        <x:v>자동추출·검토필요</x:v>
      </x:c>
    </x:row>
    <x:row r="330">
      <x:c r="A330" s="43" t="str">
        <x:v>L2025-00094-1</x:v>
      </x:c>
      <x:c r="B330" s="43" t="str">
        <x:v>연면적·면적</x:v>
      </x:c>
      <x:c r="C330" s="46" t="str">
        <x:v>floor area</x:v>
      </x:c>
      <x:c r="D330" s="46" t="str">
        <x:v>2,024 m2 | 8,722.56 m2</x:v>
      </x:c>
      <x:c r="E330" s="46" t="str"/>
      <x:c r="F330" s="46" t="str"/>
      <x:c r="G330" s="46" t="str">
        <x:v>L2025-00094-1/ReBidding Documents (Guimaras_Design) 1022v2/ReBidding Documents (Guimaras_Design) 1022/Section 5 - Request for Proposal (RFP)_Design Service.docx</x:v>
      </x:c>
      <x:c r="H330" s="43" t="str">
        <x:v>표 1 행 5</x:v>
      </x:c>
      <x:c r="I330" s="46" t="str">
        <x:v>Building/Facility Size | Gross Floor Area : 2,024m2 Storey : 3 Floor, Number of Building : 1 Pilot Fish Ponds including Settling Pond: 8,722.56m2</x:v>
      </x:c>
      <x:c r="J330" s="43" t="str">
        <x:v>자동추출·검토필요</x:v>
      </x:c>
    </x:row>
    <x:row r="331">
      <x:c r="A331" s="43" t="str">
        <x:v>L2025-00094-1</x:v>
      </x:c>
      <x:c r="B331" s="43" t="str">
        <x:v>연면적·면적</x:v>
      </x:c>
      <x:c r="C331" s="46" t="str">
        <x:v>㎡</x:v>
      </x:c>
      <x:c r="D331" s="46" t="str">
        <x:v>77,244 ㎡</x:v>
      </x:c>
      <x:c r="E331" s="46" t="str"/>
      <x:c r="F331" s="46" t="str"/>
      <x:c r="G331" s="46" t="str">
        <x:v>L2025-00094-1/ReBidding Documents (Guimaras_Design) 1022v2/ReBidding Documents (Guimaras_Design) 1022/Section 5 - Request for Proposal (RFP)_Design Service.docx</x:v>
      </x:c>
      <x:c r="H331" s="43" t="str">
        <x:v>표 2 행 3</x:v>
      </x:c>
      <x:c r="I331" s="46" t="str">
        <x:v>◦ Total area(GP) | - 77,244㎡(7.7244 Hectares)</x:v>
      </x:c>
      <x:c r="J331" s="43" t="str">
        <x:v>자동추출·검토필요</x:v>
      </x:c>
    </x:row>
    <x:row r="332">
      <x:c r="A332" s="43" t="str">
        <x:v>L2025-00094-1</x:v>
      </x:c>
      <x:c r="B332" s="43" t="str">
        <x:v>연면적·면적</x:v>
      </x:c>
      <x:c r="C332" s="46" t="str">
        <x:v>㎡</x:v>
      </x:c>
      <x:c r="D332" s="46" t="str">
        <x:v>1,706 ㎡ | 952 ㎡</x:v>
      </x:c>
      <x:c r="E332" s="46" t="str"/>
      <x:c r="F332" s="46" t="str"/>
      <x:c r="G332" s="46" t="str">
        <x:v>L2025-00094-1/ReBidding Documents (Guimaras_Design) 1022v2/ReBidding Documents (Guimaras_Design) 1022/Section 5 - Request for Proposal (RFP)_Design Service.docx</x:v>
      </x:c>
      <x:c r="H332" s="43" t="str">
        <x:v>표 2 행 4</x:v>
      </x:c>
      <x:c r="I332" s="46" t="str">
        <x:v>◦ Land area (for new building construction) | - Approximately 1,706 ㎡(952㎡)</x:v>
      </x:c>
      <x:c r="J332" s="43" t="str">
        <x:v>자동추출·검토필요</x:v>
      </x:c>
    </x:row>
    <x:row r="333">
      <x:c r="A333" s="43" t="str">
        <x:v>L2025-00094-1</x:v>
      </x:c>
      <x:c r="B333" s="43" t="str">
        <x:v>연면적·면적</x:v>
      </x:c>
      <x:c r="C333" s="46" t="str">
        <x:v>㎡</x:v>
      </x:c>
      <x:c r="D333" s="46" t="str">
        <x:v>8,722.56 ㎡</x:v>
      </x:c>
      <x:c r="E333" s="46" t="str"/>
      <x:c r="F333" s="46" t="str"/>
      <x:c r="G333" s="46" t="str">
        <x:v>L2025-00094-1/ReBidding Documents (Guimaras_Design) 1022v2/ReBidding Documents (Guimaras_Design) 1022/Section 5 - Request for Proposal (RFP)_Design Service.docx</x:v>
      </x:c>
      <x:c r="H333" s="43" t="str">
        <x:v>표 2 행 5</x:v>
      </x:c>
      <x:c r="I333" s="46" t="str">
        <x:v>◦ Pilot pond area(construction area) | - Approximately 8,722.56㎡</x:v>
      </x:c>
      <x:c r="J333" s="43" t="str">
        <x:v>자동추출·검토필요</x:v>
      </x:c>
    </x:row>
    <x:row r="334">
      <x:c r="A334" s="43" t="str">
        <x:v>L2025-00094-1</x:v>
      </x:c>
      <x:c r="B334" s="43" t="str">
        <x:v>연면적·면적</x:v>
      </x:c>
      <x:c r="C334" s="46" t="str">
        <x:v>building area, ㎡</x:v>
      </x:c>
      <x:c r="D334" s="46" t="str">
        <x:v>2,045 ㎡ | 1,706 ㎡</x:v>
      </x:c>
      <x:c r="E334" s="46" t="str"/>
      <x:c r="F334" s="46" t="str"/>
      <x:c r="G334" s="46" t="str">
        <x:v>L2025-00094-1/ReBidding Documents (Guimaras_Design) 1022v2/ReBidding Documents (Guimaras_Design) 1022/Section 5 - Request for Proposal (RFP)_Design Service.docx</x:v>
      </x:c>
      <x:c r="H334" s="43" t="str">
        <x:v>표 2 행 10</x:v>
      </x:c>
      <x:c r="I334" s="46" t="str">
        <x:v>◦ Road accessibility | - Adjacent to a two-lane road - Due to the road expansion by the Guimaras government, the building and pilot fish pond areas have been reduced. (Building area 2,045㎡ ▷1,706㎡)</x:v>
      </x:c>
      <x:c r="J334" s="43" t="str">
        <x:v>자동추출·검토필요</x:v>
      </x:c>
    </x:row>
    <x:row r="335">
      <x:c r="A335" s="43" t="str">
        <x:v>L2025-00094-1</x:v>
      </x:c>
      <x:c r="B335" s="43" t="str">
        <x:v>연면적·면적</x:v>
      </x:c>
      <x:c r="C335" s="46" t="str">
        <x:v>floor area</x:v>
      </x:c>
      <x:c r="D335" s="46" t="str">
        <x:v>2,040 m2 | 8,722.56 m2</x:v>
      </x:c>
      <x:c r="E335" s="46" t="str"/>
      <x:c r="F335" s="46" t="str"/>
      <x:c r="G335" s="46" t="str">
        <x:v>L2025-00094-1/ReBidding Documents (Guimaras_Design) 1022v2/ReBidding Documents (Guimaras_Design) 1022/Section 7 - Special Conditions of Contract_20251016.docx</x:v>
      </x:c>
      <x:c r="H335" s="43" t="str">
        <x:v>표 1 행 2</x:v>
      </x:c>
      <x:c r="I335" s="46" t="str">
        <x:v>Scope of Works | ▪ Design Services for “Mariculture Center” ▪ Support services for permitting (including building permit, commencement, and completion) ▪ Other related services as required by the Client ▪ Detailed deliverable and work scope of Design Services as below; Work No1. Design Works Concept DWGs SD(Schematic DWGs) DD(Development DWGs) CD(Construction DWGs) Work No2. Size of the Project Total Floor Area: 2,040 m2, a building of 3-story Outdoor Pilot Fish Ponds : 8,722.56 m2 Work No3. Output DWGs(Soft Copy &amp; 5 sets Hard Copies) Specification Technical Survey Reports Soil Investigation Report Technical Calculation Reports BOQ(Be created with budget relation) Documents for Permission Documents for Bidding Documents for ECC (If needed) Other necessary document for the project etc. Work No4. During Construction Design Change related works(create the DWGs and Review) Work No5. Others Related task for Permit as an Architect Related required task from the Client as an Architect</x:v>
      </x:c>
      <x:c r="J335" s="43" t="str">
        <x:v>자동추출·검토필요</x:v>
      </x:c>
    </x:row>
    <x:row r="336">
      <x:c r="A336" s="43" t="str">
        <x:v>L2025-00085-1</x:v>
      </x:c>
      <x:c r="B336" s="43" t="str">
        <x:v>연면적·면적</x:v>
      </x:c>
      <x:c r="C336" s="46" t="str">
        <x:v>㎡</x:v>
      </x:c>
      <x:c r="D336" s="46" t="str">
        <x:v>9,162 ㎡</x:v>
      </x:c>
      <x:c r="E336" s="46" t="str"/>
      <x:c r="F336" s="46" t="str"/>
      <x:c r="G336" s="46" t="str">
        <x:v>L2025-00085-1/붙임1. 이라크 한-이라크 심장병 어린이 전문 병원 현지시공 신규 입찰 계획(안)-.hwp</x:v>
      </x:c>
      <x:c r="H336" s="43" t="str">
        <x:v>문단 84</x:v>
      </x:c>
      <x:c r="I336" s="46" t="str">
        <x:v>9,162 ㎡</x:v>
      </x:c>
      <x:c r="J336" s="43" t="str">
        <x:v>자동추출·검토필요</x:v>
      </x:c>
    </x:row>
    <x:row r="337">
      <x:c r="A337" s="43" t="str">
        <x:v>L2025-00085-1</x:v>
      </x:c>
      <x:c r="B337" s="43" t="str">
        <x:v>연면적·면적</x:v>
      </x:c>
      <x:c r="C337" s="46" t="str">
        <x:v>㎡</x:v>
      </x:c>
      <x:c r="D337" s="46" t="str">
        <x:v>2,451 ㎡</x:v>
      </x:c>
      <x:c r="E337" s="46" t="str"/>
      <x:c r="F337" s="46" t="str"/>
      <x:c r="G337" s="46" t="str">
        <x:v>L2025-00085-1/붙임1. 이라크 한-이라크 심장병 어린이 전문 병원 현지시공 신규 입찰 계획(안)-.hwp</x:v>
      </x:c>
      <x:c r="H337" s="43" t="str">
        <x:v>문단 86</x:v>
      </x:c>
      <x:c r="I337" s="46" t="str">
        <x:v>2,451 ㎡</x:v>
      </x:c>
      <x:c r="J337" s="43" t="str">
        <x:v>자동추출·검토필요</x:v>
      </x:c>
    </x:row>
    <x:row r="338">
      <x:c r="A338" s="43" t="str">
        <x:v>L2025-00085-1</x:v>
      </x:c>
      <x:c r="B338" s="43" t="str">
        <x:v>연면적·면적</x:v>
      </x:c>
      <x:c r="C338" s="46" t="str">
        <x:v>㎡</x:v>
      </x:c>
      <x:c r="D338" s="46" t="str">
        <x:v>5,486 ㎡</x:v>
      </x:c>
      <x:c r="E338" s="46" t="str"/>
      <x:c r="F338" s="46" t="str"/>
      <x:c r="G338" s="46" t="str">
        <x:v>L2025-00085-1/붙임1. 이라크 한-이라크 심장병 어린이 전문 병원 현지시공 신규 입찰 계획(안)-.hwp</x:v>
      </x:c>
      <x:c r="H338" s="43" t="str">
        <x:v>문단 88</x:v>
      </x:c>
      <x:c r="I338" s="46" t="str">
        <x:v>5,486 ㎡</x:v>
      </x:c>
      <x:c r="J338" s="43" t="str">
        <x:v>자동추출·검토필요</x:v>
      </x:c>
    </x:row>
    <x:row r="339">
      <x:c r="A339" s="43" t="str">
        <x:v>L2025-00085-1</x:v>
      </x:c>
      <x:c r="B339" s="43" t="str">
        <x:v>연면적·면적</x:v>
      </x:c>
      <x:c r="C339" s="46" t="str">
        <x:v>floor area, ㎡</x:v>
      </x:c>
      <x:c r="D339" s="46" t="str">
        <x:v>000 ㎡</x:v>
      </x:c>
      <x:c r="E339" s="46" t="str"/>
      <x:c r="F339" s="46" t="str"/>
      <x:c r="G339" s="46" t="str">
        <x:v>L2025-00085-1/붙임1. 이라크 한-이라크 심장병 어린이 전문 병원 현지시공 신규 입찰 계획(안)-.hwp</x:v>
      </x:c>
      <x:c r="H339" s="43" t="str">
        <x:v>문단 397</x:v>
      </x:c>
      <x:c r="I339" s="46" t="str">
        <x:v>construction project (excluding the building total floor area of less than1,000 ㎡)</x:v>
      </x:c>
      <x:c r="J339" s="43" t="str">
        <x:v>자동추출·검토필요</x:v>
      </x:c>
    </x:row>
    <x:row r="340">
      <x:c r="A340" s="43" t="str">
        <x:v>L2025-00085-1</x:v>
      </x:c>
      <x:c r="B340" s="43" t="str">
        <x:v>연면적·면적</x:v>
      </x:c>
      <x:c r="C340" s="46" t="str">
        <x:v>building area</x:v>
      </x:c>
      <x:c r="D340" s="46" t="str">
        <x:v>2,451 m2 | 2,451 m2</x:v>
      </x:c>
      <x:c r="E340" s="46" t="str"/>
      <x:c r="F340" s="46" t="str"/>
      <x:c r="G340" s="46" t="str">
        <x:v>L2025-00085-1/붙임2. 현지입찰(신규입찰) 서류 및 계약서류(안)/IKHCC Section 2 - Bid Data Sheet (ITB) (English)  250930 final★.docx</x:v>
      </x:c>
      <x:c r="H340" s="43" t="str">
        <x:v>표 2 행 6</x:v>
      </x:c>
      <x:c r="I340" s="46" t="str">
        <x:v>- Building area | 2,451 m2 | 2,451 m2</x:v>
      </x:c>
      <x:c r="J340" s="43" t="str">
        <x:v>자동추출·검토필요</x:v>
      </x:c>
    </x:row>
    <x:row r="341">
      <x:c r="A341" s="43" t="str">
        <x:v>L2025-00085-1</x:v>
      </x:c>
      <x:c r="B341" s="43" t="str">
        <x:v>연면적·면적</x:v>
      </x:c>
      <x:c r="C341" s="46" t="str">
        <x:v>floor area</x:v>
      </x:c>
      <x:c r="D341" s="46" t="str">
        <x:v>5,486 m2 | 5,486 m2</x:v>
      </x:c>
      <x:c r="E341" s="46" t="str"/>
      <x:c r="F341" s="46" t="str"/>
      <x:c r="G341" s="46" t="str">
        <x:v>L2025-00085-1/붙임2. 현지입찰(신규입찰) 서류 및 계약서류(안)/IKHCC Section 2 - Bid Data Sheet (ITB) (English)  250930 final★.docx</x:v>
      </x:c>
      <x:c r="H341" s="43" t="str">
        <x:v>표 2 행 7</x:v>
      </x:c>
      <x:c r="I341" s="46" t="str">
        <x:v>- Gross floor area | 5,486 m2 | 5,486 m2</x:v>
      </x:c>
      <x:c r="J341" s="43" t="str">
        <x:v>자동추출·검토필요</x:v>
      </x:c>
    </x:row>
    <x:row r="342">
      <x:c r="A342" s="43" t="str">
        <x:v>L2025-00085-1</x:v>
      </x:c>
      <x:c r="B342" s="43" t="str">
        <x:v>연면적·면적</x:v>
      </x:c>
      <x:c r="C342" s="46" t="str">
        <x:v>floor area, ㎡</x:v>
      </x:c>
      <x:c r="D342" s="46" t="str">
        <x:v>000 ㎡</x:v>
      </x:c>
      <x:c r="E342" s="46" t="str"/>
      <x:c r="F342" s="46" t="str"/>
      <x:c r="G342" s="46" t="str">
        <x:v>L2025-00085-1/붙임2. 현지입찰(신규입찰) 서류 및 계약서류(안)/IKHCC Section 2 - Bid Data Sheet (ITB) (English)  250930 final★.docx</x:v>
      </x:c>
      <x:c r="H342" s="43" t="str">
        <x:v>표 11 행 2</x:v>
      </x:c>
      <x:c r="I342" s="46" t="str">
        <x:v>Project Manager’s experience of building related work and experience of Project Manager | Total experience of building related work (Including building construction, design, construction supervision, CM ) 15 years or more : 2.0 14 years or more : 1.82 13years or more : 1.64 12 years or more : 1.46 11 years or more : 1.28 Total experience of Project Manager of building construction project (excluding the building total floor area of less than1,000 ㎡) - 10 years or more : 3.0 - 9 years or more : 2.73 8 years or more: 2.46 7 years or more : 2.19 6 years or more : 1.92 Total experience less than 11years, and PM experience less than 6 years get score 0(zero) PE(project engineer or equal grade) gets the addition of score 0.25. Certification shall be submitted and notarized. |</x:v>
      </x:c>
      <x:c r="J342" s="43" t="str">
        <x:v>자동추출·검토필요</x:v>
      </x:c>
    </x:row>
    <x:row r="343">
      <x:c r="A343" s="43" t="str">
        <x:v>L2025-00084-1</x:v>
      </x:c>
      <x:c r="B343" s="43" t="str">
        <x:v>연면적·면적</x:v>
      </x:c>
      <x:c r="C343" s="46" t="str">
        <x:v>floor area, building area</x:v>
      </x:c>
      <x:c r="D343" s="46" t="str">
        <x:v>4,040 m2 | 313 m2 | 924 m2 | 887 m2 | 706 m2 | 690 m2 | 520 m2 | 4,040 m2</x:v>
      </x:c>
      <x:c r="E343" s="46" t="str"/>
      <x:c r="F343" s="46" t="str"/>
      <x:c r="G343" s="46" t="str">
        <x:v>L2025-00084-1/Section 2 - Bid Data Sheet (EN)_vr8.docx</x:v>
      </x:c>
      <x:c r="H343" s="43" t="str">
        <x:v>표 4 행 9</x:v>
      </x:c>
      <x:c r="I343" s="46" t="str">
        <x:v>- Building area (Gross floor area) | Total Gross Floor Area: 4,040m2 - Lower Ground Floor 01: 313m2 - Lower Ground Floor 02: 924m2 - Upper Ground Floor: 887m2 - First Floor: 706m2 - Second Floor: 690m2 - Third Floor: 520m2 | Total Gross Floor Area: 4,040m2 - Lower Ground Floor 01: 313m2 - Lower Ground Floor 02: 924m2 - Upper Ground Floor: 887m2 - First Floor: 706m2 - Second Floor: 690m2 - Third Floor: 520m2</x:v>
      </x:c>
      <x:c r="J343" s="43" t="str">
        <x:v>자동추출·검토필요</x:v>
      </x:c>
    </x:row>
    <x:row r="344">
      <x:c r="A344" s="43" t="str">
        <x:v>L2025-00078-1</x:v>
      </x:c>
      <x:c r="B344" s="43" t="str">
        <x:v>연면적·면적</x:v>
      </x:c>
      <x:c r="C344" s="46" t="str">
        <x:v>연면적, 대지면적, ㎡</x:v>
      </x:c>
      <x:c r="D344" s="46" t="str">
        <x:v>1,799.45 ㎡ | 1,080 ㎡</x:v>
      </x:c>
      <x:c r="E344" s="46" t="str"/>
      <x:c r="F344" s="46" t="str"/>
      <x:c r="G344" s="46" t="str">
        <x:v>L2025-00078-1/1. 국문 입찰계획서.hwp</x:v>
      </x:c>
      <x:c r="H344" s="43" t="str">
        <x:v>문단 67</x:v>
      </x:c>
      <x:c r="I344" s="46" t="str">
        <x:v>• 대지면적 : 1,799.45㎡, 연면적 1,080㎡</x:v>
      </x:c>
      <x:c r="J344" s="43" t="str">
        <x:v>자동추출·검토필요</x:v>
      </x:c>
    </x:row>
    <x:row r="345">
      <x:c r="A345" s="43" t="str">
        <x:v>L2025-00078-1</x:v>
      </x:c>
      <x:c r="B345" s="43" t="str">
        <x:v>연면적·면적</x:v>
      </x:c>
      <x:c r="C345" s="46" t="str">
        <x:v>연면적, 대지면적, ㎡</x:v>
      </x:c>
      <x:c r="D345" s="46" t="str">
        <x:v>1,866.97 ㎡ | 520 ㎡</x:v>
      </x:c>
      <x:c r="E345" s="46" t="str"/>
      <x:c r="F345" s="46" t="str"/>
      <x:c r="G345" s="46" t="str">
        <x:v>L2025-00078-1/1. 국문 입찰계획서.hwp</x:v>
      </x:c>
      <x:c r="H345" s="43" t="str">
        <x:v>문단 69</x:v>
      </x:c>
      <x:c r="I345" s="46" t="str">
        <x:v>• 대지면적 : 1,866.97㎡, 연면적 : 520㎡</x:v>
      </x:c>
      <x:c r="J345" s="43" t="str">
        <x:v>자동추출·검토필요</x:v>
      </x:c>
    </x:row>
    <x:row r="346">
      <x:c r="A346" s="43" t="str">
        <x:v>L2025-00078-1</x:v>
      </x:c>
      <x:c r="B346" s="43" t="str">
        <x:v>연면적·면적</x:v>
      </x:c>
      <x:c r="C346" s="46" t="str">
        <x:v>floor area, ㎡</x:v>
      </x:c>
      <x:c r="D346" s="46" t="str">
        <x:v>1,799.45 ㎡ | 1,080 ㎡</x:v>
      </x:c>
      <x:c r="E346" s="46" t="str"/>
      <x:c r="F346" s="46" t="str"/>
      <x:c r="G346" s="46" t="str">
        <x:v>L2025-00078-1/2. (BDS)영문 입찰계획서.docx</x:v>
      </x:c>
      <x:c r="H346" s="43" t="str">
        <x:v>문단 14</x:v>
      </x:c>
      <x:c r="I346" s="46" t="str">
        <x:v>• Land area: 1,799.45㎡, total floor area: 1,080㎡</x:v>
      </x:c>
      <x:c r="J346" s="43" t="str">
        <x:v>자동추출·검토필요</x:v>
      </x:c>
    </x:row>
    <x:row r="347">
      <x:c r="A347" s="43" t="str">
        <x:v>L2025-00078-1</x:v>
      </x:c>
      <x:c r="B347" s="43" t="str">
        <x:v>연면적·면적</x:v>
      </x:c>
      <x:c r="C347" s="46" t="str">
        <x:v>floor area, ㎡</x:v>
      </x:c>
      <x:c r="D347" s="46" t="str">
        <x:v>1,866.97 ㎡ | 520 ㎡</x:v>
      </x:c>
      <x:c r="E347" s="46" t="str"/>
      <x:c r="F347" s="46" t="str"/>
      <x:c r="G347" s="46" t="str">
        <x:v>L2025-00078-1/2. (BDS)영문 입찰계획서.docx</x:v>
      </x:c>
      <x:c r="H347" s="43" t="str">
        <x:v>문단 16</x:v>
      </x:c>
      <x:c r="I347" s="46" t="str">
        <x:v>• Land area: 1,866.97㎡, total floor area: 520㎡</x:v>
      </x:c>
      <x:c r="J347" s="43" t="str">
        <x:v>자동추출·검토필요</x:v>
      </x:c>
    </x:row>
    <x:row r="348">
      <x:c r="A348" s="43" t="str">
        <x:v>L2025-00075-1</x:v>
      </x:c>
      <x:c r="B348" s="43" t="str">
        <x:v>연면적·면적</x:v>
      </x:c>
      <x:c r="C348" s="46" t="str">
        <x:v>floor area, ㎡</x:v>
      </x:c>
      <x:c r="D348" s="46" t="str">
        <x:v>2,040 ㎡ | 8,722.56 ㎡ | 2,040 ㎡ | 8,722.56 ㎡</x:v>
      </x:c>
      <x:c r="E348" s="46" t="str"/>
      <x:c r="F348" s="46" t="str"/>
      <x:c r="G348" s="46" t="str">
        <x:v>L2025-00075-1/Section 2 - Bid Data Sheet (BDS)_20250913_fin.docx</x:v>
      </x:c>
      <x:c r="H348" s="43" t="str">
        <x:v>표 4 행 3</x:v>
      </x:c>
      <x:c r="I348" s="46" t="str">
        <x:v>∙ Scope of Service | ▪ Design Services for “Mariculture Center” ▪ Support tasks related to permitting processes, including building permits, construction commencement, and completion approvals. ▪ Other related tasks as requested by the client ▪ Detailed deliverable and work scope as below; Work No1. Design Works - SD (Schematic DWGs) - DD (Development DWGs) - CD (Construction DWGs) Work No2. Size of the Project - Total Floor Area: 2,040㎡, a building of 3-storey - Total Pilot Pond Area: 8,722.56㎡, Internal Dikes Work No3. Output - DWGs (Soft Copy &amp; 5 sets Hard Copies) - Specification - Technical Survey Reports - Soil Investigation Report - Technical Calculation Reports - BOQ (Be created with budget relation) - Documents for Permission - Documents for Bidding - Documents for ECC (If needed) - Other necessary documents for the project Work No4. During Construction - Design Change related works (create the DWGs and Review) Work No5. Others - Related task for Permit as an Architect - Related required task from the Client as an Architect | ▪ Design Services for “Mariculture Center” ▪ Support tasks related to permitting processes, including building permits, construction commencement, and</x:v>
      </x:c>
      <x:c r="J348" s="43" t="str">
        <x:v>자동추출·검토필요</x:v>
      </x:c>
    </x:row>
    <x:row r="349">
      <x:c r="A349" s="43" t="str">
        <x:v>L2025-00075-1</x:v>
      </x:c>
      <x:c r="B349" s="43" t="str">
        <x:v>연면적·면적</x:v>
      </x:c>
      <x:c r="C349" s="46" t="str">
        <x:v>㎡</x:v>
      </x:c>
      <x:c r="D349" s="46" t="str">
        <x:v>1,706 ㎡</x:v>
      </x:c>
      <x:c r="E349" s="46" t="str"/>
      <x:c r="F349" s="46" t="str"/>
      <x:c r="G349" s="46" t="str">
        <x:v>L2025-00075-1/Section 5 - Request for Proposal (RFP)_Design Service_fin.docx</x:v>
      </x:c>
      <x:c r="H349" s="43" t="str">
        <x:v>문단 15</x:v>
      </x:c>
      <x:c r="I349" s="46" t="str">
        <x:v>ㅇ Building Construction Area: 1,706㎡ (Lot 1)</x:v>
      </x:c>
      <x:c r="J349" s="43" t="str">
        <x:v>자동추출·검토필요</x:v>
      </x:c>
    </x:row>
    <x:row r="350">
      <x:c r="A350" s="43" t="str">
        <x:v>L2025-00075-1</x:v>
      </x:c>
      <x:c r="B350" s="43" t="str">
        <x:v>연면적·면적</x:v>
      </x:c>
      <x:c r="C350" s="46" t="str">
        <x:v>㎡</x:v>
      </x:c>
      <x:c r="D350" s="46" t="str">
        <x:v>8,722.56 ㎡</x:v>
      </x:c>
      <x:c r="E350" s="46" t="str"/>
      <x:c r="F350" s="46" t="str"/>
      <x:c r="G350" s="46" t="str">
        <x:v>L2025-00075-1/Section 5 - Request for Proposal (RFP)_Design Service_fin.docx</x:v>
      </x:c>
      <x:c r="H350" s="43" t="str">
        <x:v>문단 18</x:v>
      </x:c>
      <x:c r="I350" s="46" t="str">
        <x:v>ㅇ Pilot Pond Area: 8,722.56㎡ (Lot 2-1)</x:v>
      </x:c>
      <x:c r="J350" s="43" t="str">
        <x:v>자동추출·검토필요</x:v>
      </x:c>
    </x:row>
    <x:row r="351">
      <x:c r="A351" s="43" t="str">
        <x:v>L2025-00075-1</x:v>
      </x:c>
      <x:c r="B351" s="43" t="str">
        <x:v>연면적·면적</x:v>
      </x:c>
      <x:c r="C351" s="46" t="str">
        <x:v>㎡</x:v>
      </x:c>
      <x:c r="D351" s="46" t="str">
        <x:v>1,706 ㎡</x:v>
      </x:c>
      <x:c r="E351" s="46" t="str"/>
      <x:c r="F351" s="46" t="str"/>
      <x:c r="G351" s="46" t="str">
        <x:v>L2025-00075-1/Section 5 - Request for Proposal (RFP)_Design Service_fin.docx</x:v>
      </x:c>
      <x:c r="H351" s="43" t="str">
        <x:v>문단 66</x:v>
      </x:c>
      <x:c r="I351" s="46" t="str">
        <x:v>ㅇ Building Construction Area: 1,706㎡ (Lot 1)</x:v>
      </x:c>
      <x:c r="J351" s="43" t="str">
        <x:v>자동추출·검토필요</x:v>
      </x:c>
    </x:row>
    <x:row r="352">
      <x:c r="A352" s="43" t="str">
        <x:v>L2025-00075-1</x:v>
      </x:c>
      <x:c r="B352" s="43" t="str">
        <x:v>연면적·면적</x:v>
      </x:c>
      <x:c r="C352" s="46" t="str">
        <x:v>㎡</x:v>
      </x:c>
      <x:c r="D352" s="46" t="str">
        <x:v>1,674 ㎡</x:v>
      </x:c>
      <x:c r="E352" s="46" t="str"/>
      <x:c r="F352" s="46" t="str"/>
      <x:c r="G352" s="46" t="str">
        <x:v>L2025-00075-1/Section 5 - Request for Proposal (RFP)_Design Service_fin.docx</x:v>
      </x:c>
      <x:c r="H352" s="43" t="str">
        <x:v>문단 67</x:v>
      </x:c>
      <x:c r="I352" s="46" t="str">
        <x:v>Construction Area : ≒ 1,674㎡ (31M*54M)</x:v>
      </x:c>
      <x:c r="J352" s="43" t="str">
        <x:v>자동추출·검토필요</x:v>
      </x:c>
    </x:row>
    <x:row r="353">
      <x:c r="A353" s="43" t="str">
        <x:v>L2025-00075-1</x:v>
      </x:c>
      <x:c r="B353" s="43" t="str">
        <x:v>연면적·면적</x:v>
      </x:c>
      <x:c r="C353" s="46" t="str">
        <x:v>floor area, m²</x:v>
      </x:c>
      <x:c r="D353" s="46" t="str">
        <x:v>2,040 m²</x:v>
      </x:c>
      <x:c r="E353" s="46" t="str"/>
      <x:c r="F353" s="46" t="str"/>
      <x:c r="G353" s="46" t="str">
        <x:v>L2025-00075-1/Section 5 - Request for Proposal (RFP)_Design Service_fin.docx</x:v>
      </x:c>
      <x:c r="H353" s="43" t="str">
        <x:v>문단 69</x:v>
      </x:c>
      <x:c r="I353" s="46" t="str">
        <x:v>Building size : ≒ 2,040 m² ( Gross Floor Area )</x:v>
      </x:c>
      <x:c r="J353" s="43" t="str">
        <x:v>자동추출·검토필요</x:v>
      </x:c>
    </x:row>
    <x:row r="354">
      <x:c r="A354" s="43" t="str">
        <x:v>L2025-00075-1</x:v>
      </x:c>
      <x:c r="B354" s="43" t="str">
        <x:v>연면적·면적</x:v>
      </x:c>
      <x:c r="C354" s="46" t="str">
        <x:v>㎡</x:v>
      </x:c>
      <x:c r="D354" s="46" t="str">
        <x:v>8,722.56 ㎡</x:v>
      </x:c>
      <x:c r="E354" s="46" t="str"/>
      <x:c r="F354" s="46" t="str"/>
      <x:c r="G354" s="46" t="str">
        <x:v>L2025-00075-1/Section 5 - Request for Proposal (RFP)_Design Service_fin.docx</x:v>
      </x:c>
      <x:c r="H354" s="43" t="str">
        <x:v>문단 80</x:v>
      </x:c>
      <x:c r="I354" s="46" t="str">
        <x:v>ㅇ Pilot Pond Area: 8,722.56㎡ (Lot 2-1)</x:v>
      </x:c>
      <x:c r="J354" s="43" t="str">
        <x:v>자동추출·검토필요</x:v>
      </x:c>
    </x:row>
    <x:row r="355">
      <x:c r="A355" s="43" t="str">
        <x:v>L2025-00075-1</x:v>
      </x:c>
      <x:c r="B355" s="43" t="str">
        <x:v>연면적·면적</x:v>
      </x:c>
      <x:c r="C355" s="46" t="str">
        <x:v>㎡</x:v>
      </x:c>
      <x:c r="D355" s="46" t="str">
        <x:v>8,722.56 ㎡</x:v>
      </x:c>
      <x:c r="E355" s="46" t="str"/>
      <x:c r="F355" s="46" t="str"/>
      <x:c r="G355" s="46" t="str">
        <x:v>L2025-00075-1/Section 5 - Request for Proposal (RFP)_Design Service_fin.docx</x:v>
      </x:c>
      <x:c r="H355" s="43" t="str">
        <x:v>문단 81</x:v>
      </x:c>
      <x:c r="I355" s="46" t="str">
        <x:v>Construction Area : ≒ 8,722.56㎡ (31M*54M)</x:v>
      </x:c>
      <x:c r="J355" s="43" t="str">
        <x:v>자동추출·검토필요</x:v>
      </x:c>
    </x:row>
    <x:row r="356">
      <x:c r="A356" s="43" t="str">
        <x:v>L2025-00075-1</x:v>
      </x:c>
      <x:c r="B356" s="43" t="str">
        <x:v>연면적·면적</x:v>
      </x:c>
      <x:c r="C356" s="46" t="str">
        <x:v>㎡</x:v>
      </x:c>
      <x:c r="D356" s="46" t="str">
        <x:v>1,706 ㎡</x:v>
      </x:c>
      <x:c r="E356" s="46" t="str"/>
      <x:c r="F356" s="46" t="str"/>
      <x:c r="G356" s="46" t="str">
        <x:v>L2025-00075-1/Section 5 - Request for Proposal (RFP)_Design Service_fin.docx</x:v>
      </x:c>
      <x:c r="H356" s="43" t="str">
        <x:v>문단 183</x:v>
      </x:c>
      <x:c r="I356" s="46" t="str">
        <x:v>① Site Area: 1,706㎡</x:v>
      </x:c>
      <x:c r="J356" s="43" t="str">
        <x:v>자동추출·검토필요</x:v>
      </x:c>
    </x:row>
    <x:row r="357">
      <x:c r="A357" s="43" t="str">
        <x:v>L2025-00075-1</x:v>
      </x:c>
      <x:c r="B357" s="43" t="str">
        <x:v>연면적·면적</x:v>
      </x:c>
      <x:c r="C357" s="46" t="str">
        <x:v>floor area, ㎡</x:v>
      </x:c>
      <x:c r="D357" s="46" t="str">
        <x:v>2,040 ㎡</x:v>
      </x:c>
      <x:c r="E357" s="46" t="str"/>
      <x:c r="F357" s="46" t="str"/>
      <x:c r="G357" s="46" t="str">
        <x:v>L2025-00075-1/Section 5 - Request for Proposal (RFP)_Design Service_fin.docx</x:v>
      </x:c>
      <x:c r="H357" s="43" t="str">
        <x:v>문단 184</x:v>
      </x:c>
      <x:c r="I357" s="46" t="str">
        <x:v>② Building Size (Gross Floor Area) / Purpose: 2,040 ㎡ (final area to be confirmed in consultation with the client); 3 floors. The facility will include office spaces, laboratories, meeting rooms, dormitories, a cafeteria, training rooms, facilities for aquatic and plant production and research (seed production building), a processing room for seafood, 20-foot containers for refrigeration and cold storage, a block-type ice machine, and spaces for installing related equipment and systems.</x:v>
      </x:c>
      <x:c r="J357" s="43" t="str">
        <x:v>자동추출·검토필요</x:v>
      </x:c>
    </x:row>
    <x:row r="358">
      <x:c r="A358" s="43" t="str">
        <x:v>L2025-00075-1</x:v>
      </x:c>
      <x:c r="B358" s="43" t="str">
        <x:v>연면적·면적</x:v>
      </x:c>
      <x:c r="C358" s="46" t="str">
        <x:v>㎡</x:v>
      </x:c>
      <x:c r="D358" s="46" t="str">
        <x:v>8,722.56 ㎡</x:v>
      </x:c>
      <x:c r="E358" s="46" t="str"/>
      <x:c r="F358" s="46" t="str"/>
      <x:c r="G358" s="46" t="str">
        <x:v>L2025-00075-1/Section 5 - Request for Proposal (RFP)_Design Service_fin.docx</x:v>
      </x:c>
      <x:c r="H358" s="43" t="str">
        <x:v>문단 185</x:v>
      </x:c>
      <x:c r="I358" s="46" t="str">
        <x:v>③ Pilot Pond Construction Area: 8,722.56㎡.</x:v>
      </x:c>
      <x:c r="J358" s="43" t="str">
        <x:v>자동추출·검토필요</x:v>
      </x:c>
    </x:row>
    <x:row r="359">
      <x:c r="A359" s="43" t="str">
        <x:v>L2025-00075-1</x:v>
      </x:c>
      <x:c r="B359" s="43" t="str">
        <x:v>연면적·면적</x:v>
      </x:c>
      <x:c r="C359" s="46" t="str">
        <x:v>㎡</x:v>
      </x:c>
      <x:c r="D359" s="46" t="str">
        <x:v>1,706 ㎡ | 8,722.56 ㎡</x:v>
      </x:c>
      <x:c r="E359" s="46" t="str"/>
      <x:c r="F359" s="46" t="str"/>
      <x:c r="G359" s="46" t="str">
        <x:v>L2025-00075-1/Section 5 - Request for Proposal (RFP)_Design Service_fin.docx</x:v>
      </x:c>
      <x:c r="H359" s="43" t="str">
        <x:v>표 1 행 1</x:v>
      </x:c>
      <x:c r="I359" s="46" t="str">
        <x:v>Land Area | Approximately Building Construction Area: 1,706㎡(Lot 1) / Pilot Pond Area: 8,722.56㎡(Lot 2-1)</x:v>
      </x:c>
      <x:c r="J359" s="43" t="str">
        <x:v>자동추출·검토필요</x:v>
      </x:c>
    </x:row>
    <x:row r="360">
      <x:c r="A360" s="43" t="str">
        <x:v>L2025-00075-1</x:v>
      </x:c>
      <x:c r="B360" s="43" t="str">
        <x:v>연면적·면적</x:v>
      </x:c>
      <x:c r="C360" s="46" t="str">
        <x:v>floor area</x:v>
      </x:c>
      <x:c r="D360" s="46" t="str">
        <x:v>2,024 m2 | 8,722.56 m2</x:v>
      </x:c>
      <x:c r="E360" s="46" t="str"/>
      <x:c r="F360" s="46" t="str"/>
      <x:c r="G360" s="46" t="str">
        <x:v>L2025-00075-1/Section 5 - Request for Proposal (RFP)_Design Service_fin.docx</x:v>
      </x:c>
      <x:c r="H360" s="43" t="str">
        <x:v>표 1 행 5</x:v>
      </x:c>
      <x:c r="I360" s="46" t="str">
        <x:v>Building/Facility Size | Gross Floor Area : 2,024m2 Storey : 3 Floor, Number of Building : 1 Pilot Fish Ponds including Settling Pond: 8,722.56m2</x:v>
      </x:c>
      <x:c r="J360" s="43" t="str">
        <x:v>자동추출·검토필요</x:v>
      </x:c>
    </x:row>
    <x:row r="361">
      <x:c r="A361" s="43" t="str">
        <x:v>L2025-00075-1</x:v>
      </x:c>
      <x:c r="B361" s="43" t="str">
        <x:v>연면적·면적</x:v>
      </x:c>
      <x:c r="C361" s="46" t="str">
        <x:v>㎡</x:v>
      </x:c>
      <x:c r="D361" s="46" t="str">
        <x:v>77,244 ㎡</x:v>
      </x:c>
      <x:c r="E361" s="46" t="str"/>
      <x:c r="F361" s="46" t="str"/>
      <x:c r="G361" s="46" t="str">
        <x:v>L2025-00075-1/Section 5 - Request for Proposal (RFP)_Design Service_fin.docx</x:v>
      </x:c>
      <x:c r="H361" s="43" t="str">
        <x:v>표 2 행 3</x:v>
      </x:c>
      <x:c r="I361" s="46" t="str">
        <x:v>◦ Total area(GP) | - 77,244㎡(7.7244 Hectares)</x:v>
      </x:c>
      <x:c r="J361" s="43" t="str">
        <x:v>자동추출·검토필요</x:v>
      </x:c>
    </x:row>
    <x:row r="362">
      <x:c r="A362" s="43" t="str">
        <x:v>L2025-00075-1</x:v>
      </x:c>
      <x:c r="B362" s="43" t="str">
        <x:v>연면적·면적</x:v>
      </x:c>
      <x:c r="C362" s="46" t="str">
        <x:v>㎡</x:v>
      </x:c>
      <x:c r="D362" s="46" t="str">
        <x:v>1,706 ㎡ | 952 ㎡</x:v>
      </x:c>
      <x:c r="E362" s="46" t="str"/>
      <x:c r="F362" s="46" t="str"/>
      <x:c r="G362" s="46" t="str">
        <x:v>L2025-00075-1/Section 5 - Request for Proposal (RFP)_Design Service_fin.docx</x:v>
      </x:c>
      <x:c r="H362" s="43" t="str">
        <x:v>표 2 행 4</x:v>
      </x:c>
      <x:c r="I362" s="46" t="str">
        <x:v>◦ Land area (for new building construction) | - Approximately 1,706 ㎡(952㎡)</x:v>
      </x:c>
      <x:c r="J362" s="43" t="str">
        <x:v>자동추출·검토필요</x:v>
      </x:c>
    </x:row>
    <x:row r="363">
      <x:c r="A363" s="43" t="str">
        <x:v>L2025-00075-1</x:v>
      </x:c>
      <x:c r="B363" s="43" t="str">
        <x:v>연면적·면적</x:v>
      </x:c>
      <x:c r="C363" s="46" t="str">
        <x:v>㎡</x:v>
      </x:c>
      <x:c r="D363" s="46" t="str">
        <x:v>8,722.56 ㎡</x:v>
      </x:c>
      <x:c r="E363" s="46" t="str"/>
      <x:c r="F363" s="46" t="str"/>
      <x:c r="G363" s="46" t="str">
        <x:v>L2025-00075-1/Section 5 - Request for Proposal (RFP)_Design Service_fin.docx</x:v>
      </x:c>
      <x:c r="H363" s="43" t="str">
        <x:v>표 2 행 5</x:v>
      </x:c>
      <x:c r="I363" s="46" t="str">
        <x:v>◦ Pilot pond area(construction area) | - Approximately 8,722.56㎡</x:v>
      </x:c>
      <x:c r="J363" s="43" t="str">
        <x:v>자동추출·검토필요</x:v>
      </x:c>
    </x:row>
    <x:row r="364">
      <x:c r="A364" s="43" t="str">
        <x:v>L2025-00075-1</x:v>
      </x:c>
      <x:c r="B364" s="43" t="str">
        <x:v>연면적·면적</x:v>
      </x:c>
      <x:c r="C364" s="46" t="str">
        <x:v>building area, ㎡</x:v>
      </x:c>
      <x:c r="D364" s="46" t="str">
        <x:v>2,045 ㎡ | 1,706 ㎡</x:v>
      </x:c>
      <x:c r="E364" s="46" t="str"/>
      <x:c r="F364" s="46" t="str"/>
      <x:c r="G364" s="46" t="str">
        <x:v>L2025-00075-1/Section 5 - Request for Proposal (RFP)_Design Service_fin.docx</x:v>
      </x:c>
      <x:c r="H364" s="43" t="str">
        <x:v>표 2 행 10</x:v>
      </x:c>
      <x:c r="I364" s="46" t="str">
        <x:v>◦ Road accessibility | - Adjacent to a two-lane road - Due to the road expansion by the Guimaras government, the building and pilot fish pond areas have been reduced. (Building area 2,045㎡ ▷1,706㎡)</x:v>
      </x:c>
      <x:c r="J364" s="43" t="str">
        <x:v>자동추출·검토필요</x:v>
      </x:c>
    </x:row>
    <x:row r="365">
      <x:c r="A365" s="43" t="str">
        <x:v>L2025-00075-1</x:v>
      </x:c>
      <x:c r="B365" s="43" t="str">
        <x:v>연면적·면적</x:v>
      </x:c>
      <x:c r="C365" s="46" t="str">
        <x:v>floor area</x:v>
      </x:c>
      <x:c r="D365" s="46" t="str">
        <x:v>2,040 m2 | 8,722.56 m2</x:v>
      </x:c>
      <x:c r="E365" s="46" t="str"/>
      <x:c r="F365" s="46" t="str"/>
      <x:c r="G365" s="46" t="str">
        <x:v>L2025-00075-1/Section 7 - Special Conditions of Contract_fin.docx</x:v>
      </x:c>
      <x:c r="H365" s="43" t="str">
        <x:v>표 1 행 2</x:v>
      </x:c>
      <x:c r="I365" s="46" t="str">
        <x:v>Scope of Works | ▪ Design Services for “Mariculture Center” ▪ Support services for permitting (including building permit, commencement, and completion) ▪ Other related services as required by the Client ▪ Detailed deliverable and work scope of Design Services as below; Work No1. Design Works Concept DWGs SD(Schematic DWGs) DD(Development DWGs) CD(Construction DWGs) Work No2. Size of the Project Total Floor Area: 2,040 m2, a building of 3-story Outdoor Pilot Fish Ponds : 8,722.56 m2 Work No3. Output DWGs(Soft Copy &amp; 5 sets Hard Copies) Specification Technical Survey Reports Soil Investigation Report Technical Calculation Reports BOQ(Be created with budget relation) Documents for Permission Documents for Bidding Documents for ECC (If needed) Other necessary document for the project etc. Work No4. During Construction Design Change related works(create the DWGs and Review) Work No5. Others Related task for Permit as an Architect Related required task from the Client as an Architect</x:v>
      </x:c>
      <x:c r="J365" s="43" t="str">
        <x:v>자동추출·검토필요</x:v>
      </x:c>
    </x:row>
    <x:row r="366">
      <x:c r="A366" s="43" t="str">
        <x:v>L2025-00073-1</x:v>
      </x:c>
      <x:c r="B366" s="43" t="str">
        <x:v>연면적·면적</x:v>
      </x:c>
      <x:c r="C366" s="46" t="str">
        <x:v>연면적, 대지면적</x:v>
      </x:c>
      <x:c r="D366" s="46" t="str">
        <x:v>6,000 m2 | 9,053 m2</x:v>
      </x:c>
      <x:c r="E366" s="46" t="str">
        <x:v>USD 11,277,000 | USD 10,995,000</x:v>
      </x:c>
      <x:c r="F366" s="46" t="str"/>
      <x:c r="G366" s="46" t="str">
        <x:v>L2025-00073-1/(붙임1) 입찰공고문(국문).pdf</x:v>
      </x:c>
      <x:c r="H366" s="43" t="str">
        <x:v>페이지 5</x:v>
      </x:c>
      <x:c r="I366" s="46" t="str">
        <x:v>1. 입찰에 부치는 사항 (입찰개요) 가. 공고번호 KOICA L2025-00072-1 나. 입찰건명 캄보디아 국립 어린이병원 내과계 병동 신축공사 시공사 선정 다. 공사개요 캄보디아 국립 어린이병원 내과계 병동 신축공사 - 위치 St.122, Phnom Penh, National Pediatric Hospital - 용도 의료시설 - 대지면적/연면적 6,000m2 / 9,053m2 - 구조/높이/층수 RC / 5층 / 24.7m - 공사 기간 착공일로부터 26개월 설계도서 및 계약도서에 의한 모든 건설 공사를 포함한다. - 공사 범위 인접 병동 포함 병원 단지내 공사 영향에 대한 안전 조치를 취하며 시공한다. 자세한 공사 범위는 입찰 관련 서류 파일을 참조한다. 1. 시공자는 계약기간내에 완료해야 한다. - 입찰 단계부터 시공 및 유지보수 전 과정에 걸쳐 캄보디아의 모든 법률 및 규정을 준수해야 한다. - 현장으로 반입하는 모든 자재의 운송 비용을 부담해야 한다. - 자재 및 성과물의 납품, 설치 및 테스트와 관련된 국제 및 현지 규정을 준수하고 보고해야 합니다. - 모든 자재는 신품이어야 하며 국제 표준을 준수해야 한다. 2. 건설공사 관련한 모든 허가 및 승인, 관리(문서화, 관련 정보 - 일반 사항 작성 및 신청 지원)작업과 책임은 계약자에게 있다. 3. 시공자는 대상 시설에 대하여 철저한 현장 조사를 실시하고 안전 관리 및 시공 관리 계획를 포함한 문서를 작성 및 제출하여, 발주자의 승인을 받고 공사를 수행 해야 한다. - 현황 조사 보고서 신축 병동과 연결 예정인 기존 건물의 현재 상태에 대한 상세하고 종합적인 조사(전기,통신 등 각종 설비)와 관련 시설의 연결등을 포함하여 기존 건물과의 호환성 조사 보고서. - 안전관리 및 시공 관리 계획서(공정표 포함) 공사 수행을 위한 안전 관리 대책, 시공 관리 절차 및 종합적인 공정표를 상세히 기술한 계획서를 작성한다. 계약일로부터 공사 완료일까지로 한다. 공사 완료일은 착공일로부터 라. 계약기간 26개월이며, 계약자는 계약일로부터 14일 이내에 착공한다. 마. 계약방식 총액계약(Lump Sum Contract) * 물가변동에 의한 계약금액 조정 불가능 바. 집행한도액 USD 11,277,000 (부가세 제외) - 기초금액 USD 10,995,000 (부가세 제외) - 2 -</x:v>
      </x:c>
      <x:c r="J366" s="43" t="str">
        <x:v>자동추출·검토필요</x:v>
      </x:c>
    </x:row>
    <x:row r="367">
      <x:c r="A367" s="43" t="str">
        <x:v>L2025-00073-1</x:v>
      </x:c>
      <x:c r="B367" s="43" t="str">
        <x:v>연면적·면적</x:v>
      </x:c>
      <x:c r="C367" s="46" t="str">
        <x:v>㎡</x:v>
      </x:c>
      <x:c r="D367" s="46" t="str">
        <x:v>6,000 ㎡ | 9,053 ㎡ | 6,000 ㎡ | 9,053 ㎡</x:v>
      </x:c>
      <x:c r="E367" s="46" t="str"/>
      <x:c r="F367" s="46" t="str"/>
      <x:c r="G367" s="46" t="str">
        <x:v>L2025-00073-1/(붙임2) 입찰서류(영문)_도면, 시방서, 프로젝트리포트 제외/Section 2_Bid Data Sheet(BDS).docx</x:v>
      </x:c>
      <x:c r="H367" s="43" t="str">
        <x:v>표 3 행 6</x:v>
      </x:c>
      <x:c r="I367" s="46" t="str">
        <x:v>- Project Area / GFA | About 6,000㎡/ 9,053㎡ | About 6,000㎡/ 9,053㎡</x:v>
      </x:c>
      <x:c r="J367" s="43" t="str">
        <x:v>자동추출·검토필요</x:v>
      </x:c>
    </x:row>
    <x:row r="368">
      <x:c r="A368" s="43" t="str">
        <x:v>L2025-00071-1</x:v>
      </x:c>
      <x:c r="B368" s="43" t="str">
        <x:v>연면적·면적</x:v>
      </x:c>
      <x:c r="C368" s="46" t="str">
        <x:v>building area</x:v>
      </x:c>
      <x:c r="D368" s="46" t="str">
        <x:v>2,451 m2 | 2,451 m2</x:v>
      </x:c>
      <x:c r="E368" s="46" t="str"/>
      <x:c r="F368" s="46" t="str"/>
      <x:c r="G368" s="46" t="str">
        <x:v>L2025-00071-1/붙임2. 현지입찰(재공고입찰) 서류 및 계약서류(안)/IKHCC Section 2 - Bid Data Sheet (ITB) (English)  250903_final.docx</x:v>
      </x:c>
      <x:c r="H368" s="43" t="str">
        <x:v>표 2 행 6</x:v>
      </x:c>
      <x:c r="I368" s="46" t="str">
        <x:v>- Building area | 2,451 m2 | 2,451 m2</x:v>
      </x:c>
      <x:c r="J368" s="43" t="str">
        <x:v>자동추출·검토필요</x:v>
      </x:c>
    </x:row>
    <x:row r="369">
      <x:c r="A369" s="43" t="str">
        <x:v>L2025-00071-1</x:v>
      </x:c>
      <x:c r="B369" s="43" t="str">
        <x:v>연면적·면적</x:v>
      </x:c>
      <x:c r="C369" s="46" t="str">
        <x:v>floor area</x:v>
      </x:c>
      <x:c r="D369" s="46" t="str">
        <x:v>5,486 m2 | 5,486 m2</x:v>
      </x:c>
      <x:c r="E369" s="46" t="str"/>
      <x:c r="F369" s="46" t="str"/>
      <x:c r="G369" s="46" t="str">
        <x:v>L2025-00071-1/붙임2. 현지입찰(재공고입찰) 서류 및 계약서류(안)/IKHCC Section 2 - Bid Data Sheet (ITB) (English)  250903_final.docx</x:v>
      </x:c>
      <x:c r="H369" s="43" t="str">
        <x:v>표 2 행 7</x:v>
      </x:c>
      <x:c r="I369" s="46" t="str">
        <x:v>- Gross floor area | 5,486 m2 | 5,486 m2</x:v>
      </x:c>
      <x:c r="J369" s="43" t="str">
        <x:v>자동추출·검토필요</x:v>
      </x:c>
    </x:row>
    <x:row r="370">
      <x:c r="A370" s="43" t="str">
        <x:v>L2025-00071-1</x:v>
      </x:c>
      <x:c r="B370" s="43" t="str">
        <x:v>연면적·면적</x:v>
      </x:c>
      <x:c r="C370" s="46" t="str">
        <x:v>floor area, ㎡</x:v>
      </x:c>
      <x:c r="D370" s="46" t="str">
        <x:v>000 ㎡</x:v>
      </x:c>
      <x:c r="E370" s="46" t="str"/>
      <x:c r="F370" s="46" t="str"/>
      <x:c r="G370" s="46" t="str">
        <x:v>L2025-00071-1/붙임2. 현지입찰(재공고입찰) 서류 및 계약서류(안)/IKHCC Section 2 - Bid Data Sheet (ITB) (English)  250903_final.docx</x:v>
      </x:c>
      <x:c r="H370" s="43" t="str">
        <x:v>표 12 행 2</x:v>
      </x:c>
      <x:c r="I370" s="46" t="str">
        <x:v>Project Manager’s experience of building related work and experience of Project Manager | Total experience of building related work (Including building construction, design, construction supervision, CM ) 18 years or more : 2.0 17 years or more : 1.82 16years or more : 1.64 15 years or more : 1.46 14 years or more : 1.28 13 years or more : 1.1 Total experience of Project Manager of building construction project (excluding the building total floor area of less than1,000 ㎡) - 12 years or more : 3.0 - 11 years or more : 2.73 10 years or more: 2.46 9 years or more : 2.19 8 years or more : 1.92 7years or more : 1.65 Total experience less than 13years, and PM experience less than 7 years get score 0(zero) PE(project engineer or equal grade) gets the addition of score 0.25. Certification shall be submitted and notarized. |</x:v>
      </x:c>
      <x:c r="J370" s="43" t="str">
        <x:v>자동추출·검토필요</x:v>
      </x:c>
    </x:row>
    <x:row r="371">
      <x:c r="A371" s="43" t="str">
        <x:v>L2025-00070-1</x:v>
      </x:c>
      <x:c r="B371" s="43" t="str">
        <x:v>연면적·면적</x:v>
      </x:c>
      <x:c r="C371" s="46" t="str">
        <x:v>building area</x:v>
      </x:c>
      <x:c r="D371" s="46" t="str">
        <x:v>2,451 m2 | 2,451 m2</x:v>
      </x:c>
      <x:c r="E371" s="46" t="str"/>
      <x:c r="F371" s="46" t="str"/>
      <x:c r="G371" s="46" t="str">
        <x:v>L2025-00070-1/붙임3. 현지입찰 서류 및 계약서류(안)/IKHCC Section 2 - Bid Data Sheet (ITB) (English) revised final 250702.docx</x:v>
      </x:c>
      <x:c r="H371" s="43" t="str">
        <x:v>표 2 행 6</x:v>
      </x:c>
      <x:c r="I371" s="46" t="str">
        <x:v>- Building area | 2,451 m2 | 2,451 m2</x:v>
      </x:c>
      <x:c r="J371" s="43" t="str">
        <x:v>자동추출·검토필요</x:v>
      </x:c>
    </x:row>
    <x:row r="372">
      <x:c r="A372" s="43" t="str">
        <x:v>L2025-00070-1</x:v>
      </x:c>
      <x:c r="B372" s="43" t="str">
        <x:v>연면적·면적</x:v>
      </x:c>
      <x:c r="C372" s="46" t="str">
        <x:v>floor area</x:v>
      </x:c>
      <x:c r="D372" s="46" t="str">
        <x:v>5,486 m2 | 5,486 m2</x:v>
      </x:c>
      <x:c r="E372" s="46" t="str"/>
      <x:c r="F372" s="46" t="str"/>
      <x:c r="G372" s="46" t="str">
        <x:v>L2025-00070-1/붙임3. 현지입찰 서류 및 계약서류(안)/IKHCC Section 2 - Bid Data Sheet (ITB) (English) revised final 250702.docx</x:v>
      </x:c>
      <x:c r="H372" s="43" t="str">
        <x:v>표 2 행 7</x:v>
      </x:c>
      <x:c r="I372" s="46" t="str">
        <x:v>- Gross floor area | 5,486 m2 | 5,486 m2</x:v>
      </x:c>
      <x:c r="J372" s="43" t="str">
        <x:v>자동추출·검토필요</x:v>
      </x:c>
    </x:row>
    <x:row r="373">
      <x:c r="A373" s="43" t="str">
        <x:v>L2025-00070-1</x:v>
      </x:c>
      <x:c r="B373" s="43" t="str">
        <x:v>연면적·면적</x:v>
      </x:c>
      <x:c r="C373" s="46" t="str">
        <x:v>floor area, ㎡</x:v>
      </x:c>
      <x:c r="D373" s="46" t="str">
        <x:v>000 ㎡</x:v>
      </x:c>
      <x:c r="E373" s="46" t="str"/>
      <x:c r="F373" s="46" t="str"/>
      <x:c r="G373" s="46" t="str">
        <x:v>L2025-00070-1/붙임3. 현지입찰 서류 및 계약서류(안)/IKHCC Section 2 - Bid Data Sheet (ITB) (English) revised final 250702.docx</x:v>
      </x:c>
      <x:c r="H373" s="43" t="str">
        <x:v>표 12 행 2</x:v>
      </x:c>
      <x:c r="I373" s="46" t="str">
        <x:v>Project Manager’s experience of building related work and experience of Project Manager | Total experience of building related work (Including building construction, design, construction supervision, CM ) 18 years or more : 2.0 17 years or more : 1.82 16years or more : 1.64 15 years or more : 1.46 14 years or more : 1.28 13 years or more : 1.1 Total experience of Project Manager of building construction project (excluding the building total floor area of less than1,000 ㎡) - 12 years or more : 3.0 - 11 years or more : 2.73 10 years or more: 2.46 9 years or more : 2.19 8 years or more : 1.92 7years or more : 1.65 Total experience less than 13years, and PM experience less than 7 years get score 0(zero) PE(project engineer or equal grade) gets the addition of score 0.25. Certification shall be submitted and notarized. |</x:v>
      </x:c>
      <x:c r="J373" s="43" t="str">
        <x:v>자동추출·검토필요</x:v>
      </x:c>
    </x:row>
    <x:row r="374">
      <x:c r="A374" s="43" t="str">
        <x:v>L2025-00062-1</x:v>
      </x:c>
      <x:c r="B374" s="43" t="str">
        <x:v>연면적·면적</x:v>
      </x:c>
      <x:c r="C374" s="46" t="str">
        <x:v>floor area, building area</x:v>
      </x:c>
      <x:c r="D374" s="46" t="str">
        <x:v>1,896.52 m2 | 362.28 m2 | 120 m2 | 1,896.52 m2 | 362.28 m2 | 120 m2</x:v>
      </x:c>
      <x:c r="E374" s="46" t="str"/>
      <x:c r="F374" s="46" t="str"/>
      <x:c r="G374" s="46" t="str">
        <x:v>L2025-00062-1/1-2. 입찰공고문(영문)_시범농장 신축.docx</x:v>
      </x:c>
      <x:c r="H374" s="43" t="str">
        <x:v>표 4 행 8</x:v>
      </x:c>
      <x:c r="I374" s="46" t="str">
        <x:v>Building area (Gross floor area) | 1. Poultry House &amp; Sorting and Feed storage : 1,896.52m2 2. Cow Barn &amp; Bunker Silo : 362.28m2 3. Mushroom modification : 120m2 4. Irrigation 5. External Works and Services | 1. Poultry House &amp; Sorting and Feed storage : 1,896.52m2 2. Cow Barn &amp; Bunker Silo : 362.28m2 3. Mushroom modification : 120m2 4. Irrigation 5. External Works and Services</x:v>
      </x:c>
      <x:c r="J374" s="43" t="str">
        <x:v>자동추출·검토필요</x:v>
      </x:c>
    </x:row>
    <x:row r="375">
      <x:c r="A375" s="43" t="str">
        <x:v>L2025-00062-1</x:v>
      </x:c>
      <x:c r="B375" s="43" t="str">
        <x:v>연면적·면적</x:v>
      </x:c>
      <x:c r="C375" s="46" t="str">
        <x:v>floor area, building area</x:v>
      </x:c>
      <x:c r="D375" s="46" t="str">
        <x:v>1,896.52 m2 | 362.28 m2 | 120 m2 | 1,896.52 m2 | 362.28 m2 | 120 m2</x:v>
      </x:c>
      <x:c r="E375" s="46" t="str"/>
      <x:c r="F375" s="46" t="str"/>
      <x:c r="G375" s="46" t="str">
        <x:v>L2025-00062-1/붙임 2. 입찰 첨부서류 각 1부(Part II 제외)/붙임 2. 입찰 첨부서류 각 1부(Part II 제외)/Section 2 - Bid Data Sheet (New Farm).docx</x:v>
      </x:c>
      <x:c r="H375" s="43" t="str">
        <x:v>표 4 행 8</x:v>
      </x:c>
      <x:c r="I375" s="46" t="str">
        <x:v>Building area (Gross floor area) | 1. Poultry House &amp; Sorting and Feed storage : 1,896.52m2 2. Cow Barn &amp; Bunker Silo : 362.28m2 3. Mushroom modification : 120m2 4. Irrigation 5. External Works and Services | 1. Poultry House &amp; Sorting and Feed storage : 1,896.52m2 2. Cow Barn &amp; Bunker Silo : 362.28m2 3. Mushroom modification : 120m2 4. Irrigation 5. External Works and Services</x:v>
      </x:c>
      <x:c r="J375" s="43" t="str">
        <x:v>자동추출·검토필요</x:v>
      </x:c>
    </x:row>
    <x:row r="376">
      <x:c r="A376" s="43" t="str">
        <x:v>L2025-00062-1</x:v>
      </x:c>
      <x:c r="B376" s="43" t="str">
        <x:v>연면적·면적</x:v>
      </x:c>
      <x:c r="C376" s="46" t="str">
        <x:v>floor area, ㎡</x:v>
      </x:c>
      <x:c r="D376" s="46" t="str">
        <x:v>2,378.8 ㎡</x:v>
      </x:c>
      <x:c r="E376" s="46" t="str"/>
      <x:c r="F376" s="46" t="str"/>
      <x:c r="G376" s="46" t="str">
        <x:v>L2025-00062-1/붙임 2. 입찰 첨부서류 각 1부(Part II 제외)/붙임 2. 입찰 첨부서류 각 1부(Part II 제외)/Section 6 - Scope of Works.docx</x:v>
      </x:c>
      <x:c r="H376" s="43" t="str">
        <x:v>문단 14</x:v>
      </x:c>
      <x:c r="I376" s="46" t="str">
        <x:v>Gross floor Area: Approximately 2,378.8㎡</x:v>
      </x:c>
      <x:c r="J376" s="43" t="str">
        <x:v>자동추출·검토필요</x:v>
      </x:c>
    </x:row>
    <x:row r="377">
      <x:c r="A377" s="43" t="str">
        <x:v>L2025-00060-1</x:v>
      </x:c>
      <x:c r="B377" s="43" t="str">
        <x:v>연면적·면적</x:v>
      </x:c>
      <x:c r="C377" s="46" t="str">
        <x:v>floor area</x:v>
      </x:c>
      <x:c r="D377" s="46" t="str">
        <x:v>1,153 m2 | 1,200 m2</x:v>
      </x:c>
      <x:c r="E377" s="46" t="str"/>
      <x:c r="F377" s="46" t="str"/>
      <x:c r="G377" s="46" t="str">
        <x:v>L2025-00060-1/(붙임 2) (영문) 입찰서류_코트디부아르 부아케 설계 및 감리 용역_최종/Section 4 - Request for Proposal_Bouake Project Design.docx</x:v>
      </x:c>
      <x:c r="H377" s="43" t="str">
        <x:v>표 1 행 4</x:v>
      </x:c>
      <x:c r="I377" s="46" t="str">
        <x:v>Gross Floor Area | Workshop: 1,153m2 (GF), Dormitory: 1,200m2(GF) |</x:v>
      </x:c>
      <x:c r="J377" s="43" t="str">
        <x:v>자동추출·검토필요</x:v>
      </x:c>
    </x:row>
    <x:row r="378">
      <x:c r="A378" s="43" t="str">
        <x:v>L2025-00056-1</x:v>
      </x:c>
      <x:c r="B378" s="43" t="str">
        <x:v>연면적·면적</x:v>
      </x:c>
      <x:c r="C378" s="46" t="str">
        <x:v>m²</x:v>
      </x:c>
      <x:c r="D378" s="46" t="str">
        <x:v>21,586 m² | 366.88 m² | 21.36 m² | 19.50 m² | 210.00 m²</x:v>
      </x:c>
      <x:c r="E378" s="46" t="str"/>
      <x:c r="F378" s="46" t="str"/>
      <x:c r="G378" s="46" t="str">
        <x:v>L2025-00056-1/2-CACPM/2-CACPM/2.CACPM Company Profile.pdf</x:v>
      </x:c>
      <x:c r="H378" s="43" t="str">
        <x:v>페이지 5</x:v>
      </x:c>
      <x:c r="I378" s="46" t="str">
        <x:v>PROJECT PORTFOLIO DESIGN &amp; BUILD ECO-Park includes an information center, bird observatory, nursery, and more, demonstrating our capability in environmentally integrated construction projects. ▪ Project name : ESTABLISHMENT OF ASEAN- REPUBLIC OF KOREA GARDEN IN CAMBODIA ▪ Client : AFoCO, Forest Administration ▪ Project Period : 2024 ~ 2025 ▪ Project Location : Khun Ream Commune, Banteay Srei District, Siem Reap Province, Cambodia ▪ Project Summary : Land Size 21,586 m² o Information Center (2F, 366.88 m²) o Bird Observatory (21.36 m²) o Pagora (2 Units, 19.50 m² each) o Nursery (210.00 m²) ▪ Design &amp; Engineer : CACPM ▪ QS &amp; CPM Consultant : CACPM ▪ Design Build Contractor : CACPM ▪ Current Project Status : Under Construction</x:v>
      </x:c>
      <x:c r="J378" s="43" t="str">
        <x:v>자동추출·검토필요</x:v>
      </x:c>
    </x:row>
    <x:row r="379">
      <x:c r="A379" s="43" t="str">
        <x:v>L2025-00056-1</x:v>
      </x:c>
      <x:c r="B379" s="43" t="str">
        <x:v>연면적·면적</x:v>
      </x:c>
      <x:c r="C379" s="46" t="str">
        <x:v>m²</x:v>
      </x:c>
      <x:c r="D379" s="46" t="str">
        <x:v>682.39 m² | 848.44 m² | 31.00 m² | 132.00 m² | 48.00 m² | 48.00 m²</x:v>
      </x:c>
      <x:c r="E379" s="46" t="str"/>
      <x:c r="F379" s="46" t="str"/>
      <x:c r="G379" s="46" t="str">
        <x:v>L2025-00056-1/2-CACPM/2-CACPM/2.CACPM Company Profile.pdf</x:v>
      </x:c>
      <x:c r="H379" s="43" t="str">
        <x:v>페이지 7</x:v>
      </x:c>
      <x:c r="I379" s="46" t="str">
        <x:v>▪ Project name : ESTABLISHMENT OF CAMBODIA-KOREA FOREST RECREATIONAL SITE ▪ Client : PMU, Forest Administration ▪ Project Period : 2023 ~ 2025 ▪ Project Location : Khun Ream Commune, Banteay Srei District, Siem Reap Province, Cambodia ▪ Project Summary : Land Size 1,888 Ha o Visitor Center (2F, 682.39 m²) o Accommodation (2F, 848.44 m²) o Bungalow-Type 1 &amp; Type 2 (Each has 2 units, 31.00 m²/unit) o Meditation Area (132.00 m²) o Camping Site (48.00 m²) o Bird Watching Tower (48.00 m²) ▪ Design &amp; Engineer : CACPM ▪ QS &amp; CPM Consultant : CACPM ▪ Design Build Contractor: CACPM ▪ Current Project Status : Under Construction</x:v>
      </x:c>
      <x:c r="J379" s="43" t="str">
        <x:v>자동추출·검토필요</x:v>
      </x:c>
    </x:row>
    <x:row r="380">
      <x:c r="A380" s="43" t="str">
        <x:v>L2025-00053-1</x:v>
      </x:c>
      <x:c r="B380" s="43" t="str">
        <x:v>연면적·면적</x:v>
      </x:c>
      <x:c r="C380" s="46" t="str">
        <x:v>floor area</x:v>
      </x:c>
      <x:c r="D380" s="46" t="str">
        <x:v>1,767 m2 | 915 m2 | 360 m2 | 492 m2</x:v>
      </x:c>
      <x:c r="E380" s="46" t="str"/>
      <x:c r="F380" s="46" t="str"/>
      <x:c r="G380" s="46" t="str">
        <x:v>L2025-00053-1/3. 현지입찰 제반서류 각1부/Section 4 - Request for Proposal_┼║└┌_╛ε╛≈_ver.2.docx</x:v>
      </x:c>
      <x:c r="H380" s="43" t="str">
        <x:v>표 1 행 5</x:v>
      </x:c>
      <x:c r="I380" s="46" t="str">
        <x:v>Gross Floor Area | Total: app. 1,767m2 Ground Floor: 915m2 1st Floor: 360 m2, Dry Zone (with roof), etc: 492 m2 |</x:v>
      </x:c>
      <x:c r="J380" s="43" t="str">
        <x:v>자동추출·검토필요</x:v>
      </x:c>
    </x:row>
    <x:row r="381">
      <x:c r="A381" s="43" t="str">
        <x:v>L2025-00052-1</x:v>
      </x:c>
      <x:c r="B381" s="43" t="str">
        <x:v>연면적·면적</x:v>
      </x:c>
      <x:c r="C381" s="46" t="str">
        <x:v>연면적, ㎡</x:v>
      </x:c>
      <x:c r="D381" s="46" t="str">
        <x:v>1,000 ㎡</x:v>
      </x:c>
      <x:c r="E381" s="46" t="str"/>
      <x:c r="F381" s="46" t="str"/>
      <x:c r="G381" s="46" t="str">
        <x:v>L2025-00052-1/(붙임 1) Bid Data Sheet(Korean)_KOICA FHBU Construction_정정본.hwp</x:v>
      </x:c>
      <x:c r="H381" s="43" t="str">
        <x:v>문단 190</x:v>
      </x:c>
      <x:c r="I381" s="46" t="str">
        <x:v>(연면적 1,000㎡ 이상 또는 KOICA가 필요하다고 인정하는 건설공사)</x:v>
      </x:c>
      <x:c r="J381" s="43" t="str">
        <x:v>자동추출·검토필요</x:v>
      </x:c>
    </x:row>
    <x:row r="382">
      <x:c r="A382" s="43" t="str">
        <x:v>L2025-00052-1</x:v>
      </x:c>
      <x:c r="B382" s="43" t="str">
        <x:v>연면적·면적</x:v>
      </x:c>
      <x:c r="C382" s="46" t="str">
        <x:v>floor area</x:v>
      </x:c>
      <x:c r="D382" s="46" t="str">
        <x:v>1,500 m2 | 1,500 m2</x:v>
      </x:c>
      <x:c r="E382" s="46" t="str"/>
      <x:c r="F382" s="46" t="str"/>
      <x:c r="G382" s="46" t="str">
        <x:v>L2025-00052-1/(붙임 2) 영문 입찰 계획 서류_KOICA FHBU Construction_정정본/Section 2 - Bid Data Sheet(English)_KOICA FHBU Construction.docx</x:v>
      </x:c>
      <x:c r="H382" s="43" t="str">
        <x:v>표 4 행 6</x:v>
      </x:c>
      <x:c r="I382" s="46" t="str">
        <x:v>- Gross floor area | Approximately 1,500 m2 | Approximately 1,500 m2</x:v>
      </x:c>
      <x:c r="J382" s="43" t="str">
        <x:v>자동추출·검토필요</x:v>
      </x:c>
    </x:row>
    <x:row r="383">
      <x:c r="A383" s="43" t="str">
        <x:v>L2025-00052-1</x:v>
      </x:c>
      <x:c r="B383" s="43" t="str">
        <x:v>연면적·면적</x:v>
      </x:c>
      <x:c r="C383" s="46" t="str">
        <x:v>floor area, ㎡</x:v>
      </x:c>
      <x:c r="D383" s="46" t="str">
        <x:v>1,500 ㎡</x:v>
      </x:c>
      <x:c r="E383" s="46" t="str"/>
      <x:c r="F383" s="46" t="str"/>
      <x:c r="G383" s="46" t="str">
        <x:v>L2025-00052-1/(붙임 2) 영문 입찰 계획 서류_KOICA FHBU Construction_정정본/Section 6 - Scope of Works_KOICA FHBU Construction.docx</x:v>
      </x:c>
      <x:c r="H383" s="43" t="str">
        <x:v>문단 13</x:v>
      </x:c>
      <x:c r="I383" s="46" t="str">
        <x:v>Gross floor area: Approximately 1,500㎡</x:v>
      </x:c>
      <x:c r="J383" s="43" t="str">
        <x:v>자동추출·검토필요</x:v>
      </x:c>
    </x:row>
    <x:row r="384">
      <x:c r="A384" s="43" t="str">
        <x:v>L2025-00051-2</x:v>
      </x:c>
      <x:c r="B384" s="43" t="str">
        <x:v>연면적·면적</x:v>
      </x:c>
      <x:c r="C384" s="46" t="str">
        <x:v>㎡</x:v>
      </x:c>
      <x:c r="D384" s="46" t="str">
        <x:v>13,916 ㎡</x:v>
      </x:c>
      <x:c r="E384" s="46" t="str"/>
      <x:c r="F384" s="46" t="str"/>
      <x:c r="G384" s="46" t="str">
        <x:v>L2025-00051-2/1. (재입찰)피지 국립재활센터 설립사업 시공 입찰계획서.hwp</x:v>
      </x:c>
      <x:c r="H384" s="43" t="str">
        <x:v>문단 78</x:v>
      </x:c>
      <x:c r="I384" s="46" t="str">
        <x:v>approx. 13,916 ㎡</x:v>
      </x:c>
      <x:c r="J384" s="43" t="str">
        <x:v>자동추출·검토필요</x:v>
      </x:c>
    </x:row>
    <x:row r="385">
      <x:c r="A385" s="43" t="str">
        <x:v>L2025-00051-2</x:v>
      </x:c>
      <x:c r="B385" s="43" t="str">
        <x:v>연면적·면적</x:v>
      </x:c>
      <x:c r="C385" s="46" t="str">
        <x:v>㎡</x:v>
      </x:c>
      <x:c r="D385" s="46" t="str">
        <x:v>2,399 ㎡</x:v>
      </x:c>
      <x:c r="E385" s="46" t="str"/>
      <x:c r="F385" s="46" t="str"/>
      <x:c r="G385" s="46" t="str">
        <x:v>L2025-00051-2/1. (재입찰)피지 국립재활센터 설립사업 시공 입찰계획서.hwp</x:v>
      </x:c>
      <x:c r="H385" s="43" t="str">
        <x:v>문단 80</x:v>
      </x:c>
      <x:c r="I385" s="46" t="str">
        <x:v>Internal Area 2,399㎡ + 부속시설(도면 참조)</x:v>
      </x:c>
      <x:c r="J385" s="43" t="str">
        <x:v>자동추출·검토필요</x:v>
      </x:c>
    </x:row>
    <x:row r="386">
      <x:c r="A386" s="43" t="str">
        <x:v>L2025-00051-2</x:v>
      </x:c>
      <x:c r="B386" s="43" t="str">
        <x:v>연면적·면적</x:v>
      </x:c>
      <x:c r="C386" s="46" t="str">
        <x:v>㎡</x:v>
      </x:c>
      <x:c r="D386" s="46" t="str">
        <x:v>13,916 ㎡</x:v>
      </x:c>
      <x:c r="E386" s="46" t="str"/>
      <x:c r="F386" s="46" t="str"/>
      <x:c r="G386" s="46" t="str">
        <x:v>L2025-00051-2/Section 2 - Bid Data Sheet (BDS_09.2025).hwp</x:v>
      </x:c>
      <x:c r="H386" s="43" t="str">
        <x:v>문단 62</x:v>
      </x:c>
      <x:c r="I386" s="46" t="str">
        <x:v>approx. 13,916 ㎡</x:v>
      </x:c>
      <x:c r="J386" s="43" t="str">
        <x:v>자동추출·검토필요</x:v>
      </x:c>
    </x:row>
    <x:row r="387">
      <x:c r="A387" s="43" t="str">
        <x:v>L2025-00051-2</x:v>
      </x:c>
      <x:c r="B387" s="43" t="str">
        <x:v>연면적·면적</x:v>
      </x:c>
      <x:c r="C387" s="46" t="str">
        <x:v>㎡</x:v>
      </x:c>
      <x:c r="D387" s="46" t="str">
        <x:v>2,399 ㎡</x:v>
      </x:c>
      <x:c r="E387" s="46" t="str"/>
      <x:c r="F387" s="46" t="str"/>
      <x:c r="G387" s="46" t="str">
        <x:v>L2025-00051-2/Section 2 - Bid Data Sheet (BDS_09.2025).hwp</x:v>
      </x:c>
      <x:c r="H387" s="43" t="str">
        <x:v>문단 64</x:v>
      </x:c>
      <x:c r="I387" s="46" t="str">
        <x:v>Internal Area 2,399㎡ + Ancillary facilities (refer to Drawings)</x:v>
      </x:c>
      <x:c r="J387" s="43" t="str">
        <x:v>자동추출·검토필요</x:v>
      </x:c>
    </x:row>
    <x:row r="388">
      <x:c r="A388" s="43" t="str">
        <x:v>L2025-00051-1</x:v>
      </x:c>
      <x:c r="B388" s="43" t="str">
        <x:v>연면적·면적</x:v>
      </x:c>
      <x:c r="C388" s="46" t="str">
        <x:v>㎡</x:v>
      </x:c>
      <x:c r="D388" s="46" t="str">
        <x:v>13,916 ㎡</x:v>
      </x:c>
      <x:c r="E388" s="46" t="str"/>
      <x:c r="F388" s="46" t="str"/>
      <x:c r="G388" s="46" t="str">
        <x:v>L2025-00051-1/Section 2 - Bid Data Sheet (BDS).hwp</x:v>
      </x:c>
      <x:c r="H388" s="43" t="str">
        <x:v>문단 62</x:v>
      </x:c>
      <x:c r="I388" s="46" t="str">
        <x:v>approx. 13,916 ㎡</x:v>
      </x:c>
      <x:c r="J388" s="43" t="str">
        <x:v>자동추출·검토필요</x:v>
      </x:c>
    </x:row>
    <x:row r="389">
      <x:c r="A389" s="43" t="str">
        <x:v>L2025-00051-1</x:v>
      </x:c>
      <x:c r="B389" s="43" t="str">
        <x:v>연면적·면적</x:v>
      </x:c>
      <x:c r="C389" s="46" t="str">
        <x:v>㎡</x:v>
      </x:c>
      <x:c r="D389" s="46" t="str">
        <x:v>2,399 ㎡</x:v>
      </x:c>
      <x:c r="E389" s="46" t="str"/>
      <x:c r="F389" s="46" t="str"/>
      <x:c r="G389" s="46" t="str">
        <x:v>L2025-00051-1/Section 2 - Bid Data Sheet (BDS).hwp</x:v>
      </x:c>
      <x:c r="H389" s="43" t="str">
        <x:v>문단 64</x:v>
      </x:c>
      <x:c r="I389" s="46" t="str">
        <x:v>Internal Area 2,399㎡ + Ancillary facilities (refer to Drawings)</x:v>
      </x:c>
      <x:c r="J389" s="43" t="str">
        <x:v>자동추출·검토필요</x:v>
      </x:c>
    </x:row>
    <x:row r="390">
      <x:c r="A390" s="43" t="str">
        <x:v>L2025-00047-1</x:v>
      </x:c>
      <x:c r="B390" s="43" t="str">
        <x:v>연면적·면적</x:v>
      </x:c>
      <x:c r="C390" s="46" t="str">
        <x:v>building area</x:v>
      </x:c>
      <x:c r="D390" s="46" t="str">
        <x:v>1,980 M2 | 1,980 M2</x:v>
      </x:c>
      <x:c r="E390" s="46" t="str"/>
      <x:c r="F390" s="46" t="str"/>
      <x:c r="G390" s="46" t="str">
        <x:v>L2025-00047-1/붙임2. 영문 입찰서류_섬유센터 2차사업 시공 재입찰 (2025.06.20)/Section 2 - Bid Data Sheet.docx</x:v>
      </x:c>
      <x:c r="H390" s="43" t="str">
        <x:v>표 4 행 7</x:v>
      </x:c>
      <x:c r="I390" s="46" t="str">
        <x:v>- Building area | 1,980 M2 | 1,980 M2</x:v>
      </x:c>
      <x:c r="J390" s="43" t="str">
        <x:v>자동추출·검토필요</x:v>
      </x:c>
    </x:row>
    <x:row r="391">
      <x:c r="A391" s="43" t="str">
        <x:v>L2025-00047-1</x:v>
      </x:c>
      <x:c r="B391" s="43" t="str">
        <x:v>연면적·면적</x:v>
      </x:c>
      <x:c r="C391" s="46" t="str">
        <x:v>floor area</x:v>
      </x:c>
      <x:c r="D391" s="46" t="str">
        <x:v>2,554 M2 | 2,554 M2</x:v>
      </x:c>
      <x:c r="E391" s="46" t="str"/>
      <x:c r="F391" s="46" t="str"/>
      <x:c r="G391" s="46" t="str">
        <x:v>L2025-00047-1/붙임2. 영문 입찰서류_섬유센터 2차사업 시공 재입찰 (2025.06.20)/Section 2 - Bid Data Sheet.docx</x:v>
      </x:c>
      <x:c r="H391" s="43" t="str">
        <x:v>표 4 행 8</x:v>
      </x:c>
      <x:c r="I391" s="46" t="str">
        <x:v>- Gross floor area | 2,554 M2 | 2,554 M2</x:v>
      </x:c>
      <x:c r="J391" s="43" t="str">
        <x:v>자동추출·검토필요</x:v>
      </x:c>
    </x:row>
    <x:row r="392">
      <x:c r="A392" s="43" t="str">
        <x:v>L2025-00047-1</x:v>
      </x:c>
      <x:c r="B392" s="43" t="str">
        <x:v>연면적·면적</x:v>
      </x:c>
      <x:c r="C392" s="46" t="str">
        <x:v>floor area, m²</x:v>
      </x:c>
      <x:c r="D392" s="46" t="str">
        <x:v>1,000 m²</x:v>
      </x:c>
      <x:c r="E392" s="46" t="str">
        <x:v>USD 1 million</x:v>
      </x:c>
      <x:c r="F392" s="46" t="str"/>
      <x:c r="G392" s="46" t="str">
        <x:v>L2025-00047-1/붙임2. 영문 입찰서류_섬유센터 2차사업 시공 재입찰 (2025.06.20)/Section 8.1 - KOICA Safety Management Manual(ENG).pdf</x:v>
      </x:c>
      <x:c r="H392" s="43" t="str">
        <x:v>페이지 6</x:v>
      </x:c>
      <x:c r="I392" s="46" t="str">
        <x:v>CHAPTER 1 General Conditions 1. Purpose The purpose of these guidelines is to systematically set out the roles and scope of work for the KOICA, architects, construction managers, contractors, etc. through all stages from the planning stage for the construction project by KOICA to construction completion and to publish and disseminate a manual regarding the safety management work throughout the construction. 2. Scope of Application A. This manual shall be applied to construction projects corresponding to one or more of the following criteria which are required to devise safety management plans such as safety inspections and safety management organizations to secure safety under Article 62 of the Construction Technology Promotion Act. 1) Projects containing constructions with a budget of USD 1 million or more or with a gross floor area of 1,000 m² or more 2) Construction projects other than those in Paragraph 1 above, which are recognized explicitly by KOICA as requiring safety management B. KOICA may separately determine matters other than those prescribed in this manual in connection with the safety management work of those participating in the safety management of a construction p</x:v>
      </x:c>
      <x:c r="J392" s="43" t="str">
        <x:v>자동추출·검토필요</x:v>
      </x:c>
    </x:row>
    <x:row r="393">
      <x:c r="A393" s="43" t="str">
        <x:v>L2025-00045-2</x:v>
      </x:c>
      <x:c r="B393" s="43" t="str">
        <x:v>연면적·면적</x:v>
      </x:c>
      <x:c r="C393" s="46" t="str">
        <x:v>floor area</x:v>
      </x:c>
      <x:c r="D393" s="46" t="str">
        <x:v>6,000 M2 | 27,500 M2 | 750 M2 | 400 M2 | 6,000 M2 | 27,500 M2 | 750 M2 | 400 M2</x:v>
      </x:c>
      <x:c r="E393" s="46" t="str"/>
      <x:c r="F393" s="46" t="str"/>
      <x:c r="G393" s="46" t="str">
        <x:v>L2025-00045-2/붙임3. 영문 입찰서류(양식 등 포함)/Section 2 - Bid Data Sheet (BDS)_v2_250827(└╧┴ñ╝÷┴ñ).docx</x:v>
      </x:c>
      <x:c r="H393" s="43" t="str">
        <x:v>표 5 행 3</x:v>
      </x:c>
      <x:c r="I393" s="46" t="str">
        <x:v>․ Scope of Service | ※The assignment consist of the services for the construction of the project mentioned below: - New Construction of a Model School in Daratoo: Total Floor Area 6,000 M2. 42 class rooms. The Project site area is 27,500 M2 - New Construction of an Institute in New Hawler: Total Floor Area 750 M2 for training teachers. The Project site area is approx.5,400 M2 1) Design and Construction document Service -Soil Investigation and Required surveys (Including Existing facilities, Topographical, Structural, and Geographical surveys for New construction work) -Preparation of design and other engineering services necessary to bring the work to the construction readiness state for the projects mentioned in the Agreement - Preparation of all the developed construction documents -All required administration &amp; preparation for relevant permits 2) Bidding support for selecting the construction contractors -- The service includes but not limited to the technical review on the priced detailed BoQ for the construction contract. 3) Comprehensive supervision services, including technical and construction oversight and design modifications (as required), throughout the construction per</x:v>
      </x:c>
      <x:c r="J393" s="43" t="str">
        <x:v>자동추출·검토필요</x:v>
      </x:c>
    </x:row>
    <x:row r="394">
      <x:c r="A394" s="43" t="str">
        <x:v>L2025-00045-2</x:v>
      </x:c>
      <x:c r="B394" s="43" t="str">
        <x:v>연면적·면적</x:v>
      </x:c>
      <x:c r="C394" s="46" t="str">
        <x:v>m²</x:v>
      </x:c>
      <x:c r="D394" s="46" t="str">
        <x:v>60 m²</x:v>
      </x:c>
      <x:c r="E394" s="46" t="str"/>
      <x:c r="F394" s="46" t="str"/>
      <x:c r="G394" s="46" t="str">
        <x:v>L2025-00045-2/붙임3. 영문 입찰서류(양식 등 포함)/Section 6 - Reference Material(Constrution scope and space program)_v1_250826(║»░µ╛°└╜).docx</x:v>
      </x:c>
      <x:c r="H394" s="43" t="str">
        <x:v>문단 53</x:v>
      </x:c>
      <x:c r="I394" s="46" t="str">
        <x:v>Cafeteria: Even with the movable wall, 60 m² might be too tight to accommodate everyone during breaks.</x:v>
      </x:c>
      <x:c r="J394" s="43" t="str">
        <x:v>자동추출·검토필요</x:v>
      </x:c>
    </x:row>
    <x:row r="395">
      <x:c r="A395" s="43" t="str">
        <x:v>L2025-00045-2</x:v>
      </x:c>
      <x:c r="B395" s="43" t="str">
        <x:v>연면적·면적</x:v>
      </x:c>
      <x:c r="C395" s="46" t="str">
        <x:v>㎡</x:v>
      </x:c>
      <x:c r="D395" s="46" t="str">
        <x:v>27,500 ㎡ | 27,500 ㎡</x:v>
      </x:c>
      <x:c r="E395" s="46" t="str"/>
      <x:c r="F395" s="46" t="str"/>
      <x:c r="G395" s="46" t="str">
        <x:v>L2025-00045-2/붙임3. 영문 입찰서류(양식 등 포함)/Section 6 - Reference Material(Constrution scope and space program)_v1_250826(║»░µ╛°└╜).docx</x:v>
      </x:c>
      <x:c r="H395" s="43" t="str">
        <x:v>표 2 행 2</x:v>
      </x:c>
      <x:c r="I395" s="46" t="str">
        <x:v>Model School | Land Area | 27,500㎡ (Final confirmation required) | 27,500㎡ (Final confirmation required)</x:v>
      </x:c>
      <x:c r="J395" s="43" t="str">
        <x:v>자동추출·검토필요</x:v>
      </x:c>
    </x:row>
    <x:row r="396">
      <x:c r="A396" s="43" t="str">
        <x:v>L2025-00045-2</x:v>
      </x:c>
      <x:c r="B396" s="43" t="str">
        <x:v>연면적·면적</x:v>
      </x:c>
      <x:c r="C396" s="46" t="str">
        <x:v>building area, ㎡</x:v>
      </x:c>
      <x:c r="D396" s="46" t="str">
        <x:v>6,000 ㎡ | 6,000 ㎡</x:v>
      </x:c>
      <x:c r="E396" s="46" t="str"/>
      <x:c r="F396" s="46" t="str"/>
      <x:c r="G396" s="46" t="str">
        <x:v>L2025-00045-2/붙임3. 영문 입찰서류(양식 등 포함)/Section 6 - Reference Material(Constrution scope and space program)_v1_250826(║»░µ╛°└╜).docx</x:v>
      </x:c>
      <x:c r="H396" s="43" t="str">
        <x:v>표 2 행 3</x:v>
      </x:c>
      <x:c r="I396" s="46" t="str">
        <x:v>Model School | Building Area | 6,000㎡ / 3 Buildings | 6,000㎡ / 3 Buildings</x:v>
      </x:c>
      <x:c r="J396" s="43" t="str">
        <x:v>자동추출·검토필요</x:v>
      </x:c>
    </x:row>
    <x:row r="397">
      <x:c r="A397" s="43" t="str">
        <x:v>L2025-00045-2</x:v>
      </x:c>
      <x:c r="B397" s="43" t="str">
        <x:v>연면적·면적</x:v>
      </x:c>
      <x:c r="C397" s="46" t="str">
        <x:v>㎡</x:v>
      </x:c>
      <x:c r="D397" s="46" t="str">
        <x:v>5,400 ㎡</x:v>
      </x:c>
      <x:c r="E397" s="46" t="str"/>
      <x:c r="F397" s="46" t="str"/>
      <x:c r="G397" s="46" t="str">
        <x:v>L2025-00045-2/붙임3. 영문 입찰서류(양식 등 포함)/Section 6 - Reference Material(Constrution scope and space program)_v1_250826(║»░µ╛°└╜).docx</x:v>
      </x:c>
      <x:c r="H397" s="43" t="str">
        <x:v>표 8 행 2</x:v>
      </x:c>
      <x:c r="I397" s="46" t="str">
        <x:v>Training Center | Land Area | 5,400㎡</x:v>
      </x:c>
      <x:c r="J397" s="43" t="str">
        <x:v>자동추출·검토필요</x:v>
      </x:c>
    </x:row>
    <x:row r="398">
      <x:c r="A398" s="43" t="str">
        <x:v>L2025-00045-2</x:v>
      </x:c>
      <x:c r="B398" s="43" t="str">
        <x:v>연면적·면적</x:v>
      </x:c>
      <x:c r="C398" s="46" t="str">
        <x:v>building area, ㎡</x:v>
      </x:c>
      <x:c r="D398" s="46" t="str">
        <x:v>500 ㎡ | 750 ㎡</x:v>
      </x:c>
      <x:c r="E398" s="46" t="str"/>
      <x:c r="F398" s="46" t="str"/>
      <x:c r="G398" s="46" t="str">
        <x:v>L2025-00045-2/붙임3. 영문 입찰서류(양식 등 포함)/Section 6 - Reference Material(Constrution scope and space program)_v1_250826(║»░µ╛°└╜).docx</x:v>
      </x:c>
      <x:c r="H398" s="43" t="str">
        <x:v>표 8 행 4</x:v>
      </x:c>
      <x:c r="I398" s="46" t="str">
        <x:v>Training Center | Building Area | (500㎡. 2025.02.), 750㎡(2025.05. Final) / 1 Building</x:v>
      </x:c>
      <x:c r="J398" s="43" t="str">
        <x:v>자동추출·검토필요</x:v>
      </x:c>
    </x:row>
    <x:row r="399">
      <x:c r="A399" s="43" t="str">
        <x:v>L2025-00045-1</x:v>
      </x:c>
      <x:c r="B399" s="43" t="str">
        <x:v>연면적·면적</x:v>
      </x:c>
      <x:c r="C399" s="46" t="str">
        <x:v>floor area</x:v>
      </x:c>
      <x:c r="D399" s="46" t="str">
        <x:v>6,000 M2 | 27,500 M2 | 750 M2 | 400 M2 | 6,000 M2 | 27,500 M2 | 750 M2 | 400 M2</x:v>
      </x:c>
      <x:c r="E399" s="46" t="str"/>
      <x:c r="F399" s="46" t="str"/>
      <x:c r="G399" s="46" t="str">
        <x:v>L2025-00045-1/붙임3. 입찰서류(영문) 일체/Section 2 - Bid Data Sheet (BDS).docx</x:v>
      </x:c>
      <x:c r="H399" s="43" t="str">
        <x:v>표 5 행 3</x:v>
      </x:c>
      <x:c r="I399" s="46" t="str">
        <x:v>․ Scope of Service | ※The assignment consist of the services for the construction of the project mentioned below: - New Construction of a Model School in Daratoo: Total Floor Area 6,000 M2. 42 class rooms. The Project site area is 27,500 M2 - New Construction of an Institute in New Hawler: Total Floor Area 750 M2 for training teachers. The Project site area is approx.5,400 M2 1) Design and Construction document Service -Soil Investigation and Required surveys (Including Existing facilities, Topographical, Structural, and Geographical surveys for New construction work) -Preparation of design and other engineering services necessary to bring the work to the construction readiness state for the projects mentioned in the Agreement - Preparation of all the developed construction documents -All required administration &amp; preparation for relevant permits 2) Bidding support for selecting the construction contractors -- The service includes but not limited to the technical review on the priced detailed BoQ for the construction contract. 3) Comprehensive supervision services, including technical and construction oversight and design modifications (as required), throughout the construction per</x:v>
      </x:c>
      <x:c r="J399" s="43" t="str">
        <x:v>자동추출·검토필요</x:v>
      </x:c>
    </x:row>
    <x:row r="400">
      <x:c r="A400" s="43" t="str">
        <x:v>L2025-00045-1</x:v>
      </x:c>
      <x:c r="B400" s="43" t="str">
        <x:v>연면적·면적</x:v>
      </x:c>
      <x:c r="C400" s="46" t="str">
        <x:v>m²</x:v>
      </x:c>
      <x:c r="D400" s="46" t="str">
        <x:v>60 m²</x:v>
      </x:c>
      <x:c r="E400" s="46" t="str"/>
      <x:c r="F400" s="46" t="str"/>
      <x:c r="G400" s="46" t="str">
        <x:v>L2025-00045-1/붙임3. 입찰서류(영문) 일체/Section 6 - Reference Material(Constrution scope and space program).docx</x:v>
      </x:c>
      <x:c r="H400" s="43" t="str">
        <x:v>문단 53</x:v>
      </x:c>
      <x:c r="I400" s="46" t="str">
        <x:v>Cafeteria: Even with the movable wall, 60 m² might be too tight to accommodate everyone during breaks.</x:v>
      </x:c>
      <x:c r="J400" s="43" t="str">
        <x:v>자동추출·검토필요</x:v>
      </x:c>
    </x:row>
    <x:row r="401">
      <x:c r="A401" s="43" t="str">
        <x:v>L2025-00045-1</x:v>
      </x:c>
      <x:c r="B401" s="43" t="str">
        <x:v>연면적·면적</x:v>
      </x:c>
      <x:c r="C401" s="46" t="str">
        <x:v>㎡</x:v>
      </x:c>
      <x:c r="D401" s="46" t="str">
        <x:v>27,500 ㎡ | 27,500 ㎡</x:v>
      </x:c>
      <x:c r="E401" s="46" t="str"/>
      <x:c r="F401" s="46" t="str"/>
      <x:c r="G401" s="46" t="str">
        <x:v>L2025-00045-1/붙임3. 입찰서류(영문) 일체/Section 6 - Reference Material(Constrution scope and space program).docx</x:v>
      </x:c>
      <x:c r="H401" s="43" t="str">
        <x:v>표 2 행 2</x:v>
      </x:c>
      <x:c r="I401" s="46" t="str">
        <x:v>Model School | Land Area | 27,500㎡ (Final confirmation required) | 27,500㎡ (Final confirmation required)</x:v>
      </x:c>
      <x:c r="J401" s="43" t="str">
        <x:v>자동추출·검토필요</x:v>
      </x:c>
    </x:row>
    <x:row r="402">
      <x:c r="A402" s="43" t="str">
        <x:v>L2025-00045-1</x:v>
      </x:c>
      <x:c r="B402" s="43" t="str">
        <x:v>연면적·면적</x:v>
      </x:c>
      <x:c r="C402" s="46" t="str">
        <x:v>building area, ㎡</x:v>
      </x:c>
      <x:c r="D402" s="46" t="str">
        <x:v>6,000 ㎡ | 6,000 ㎡</x:v>
      </x:c>
      <x:c r="E402" s="46" t="str"/>
      <x:c r="F402" s="46" t="str"/>
      <x:c r="G402" s="46" t="str">
        <x:v>L2025-00045-1/붙임3. 입찰서류(영문) 일체/Section 6 - Reference Material(Constrution scope and space program).docx</x:v>
      </x:c>
      <x:c r="H402" s="43" t="str">
        <x:v>표 2 행 3</x:v>
      </x:c>
      <x:c r="I402" s="46" t="str">
        <x:v>Model School | Building Area | 6,000㎡ / 3 Buildings | 6,000㎡ / 3 Buildings</x:v>
      </x:c>
      <x:c r="J402" s="43" t="str">
        <x:v>자동추출·검토필요</x:v>
      </x:c>
    </x:row>
    <x:row r="403">
      <x:c r="A403" s="43" t="str">
        <x:v>L2025-00045-1</x:v>
      </x:c>
      <x:c r="B403" s="43" t="str">
        <x:v>연면적·면적</x:v>
      </x:c>
      <x:c r="C403" s="46" t="str">
        <x:v>㎡</x:v>
      </x:c>
      <x:c r="D403" s="46" t="str">
        <x:v>5,400 ㎡</x:v>
      </x:c>
      <x:c r="E403" s="46" t="str"/>
      <x:c r="F403" s="46" t="str"/>
      <x:c r="G403" s="46" t="str">
        <x:v>L2025-00045-1/붙임3. 입찰서류(영문) 일체/Section 6 - Reference Material(Constrution scope and space program).docx</x:v>
      </x:c>
      <x:c r="H403" s="43" t="str">
        <x:v>표 8 행 2</x:v>
      </x:c>
      <x:c r="I403" s="46" t="str">
        <x:v>Training Center | Land Area | 5,400㎡</x:v>
      </x:c>
      <x:c r="J403" s="43" t="str">
        <x:v>자동추출·검토필요</x:v>
      </x:c>
    </x:row>
    <x:row r="404">
      <x:c r="A404" s="43" t="str">
        <x:v>L2025-00045-1</x:v>
      </x:c>
      <x:c r="B404" s="43" t="str">
        <x:v>연면적·면적</x:v>
      </x:c>
      <x:c r="C404" s="46" t="str">
        <x:v>building area, ㎡</x:v>
      </x:c>
      <x:c r="D404" s="46" t="str">
        <x:v>500 ㎡ | 750 ㎡</x:v>
      </x:c>
      <x:c r="E404" s="46" t="str"/>
      <x:c r="F404" s="46" t="str"/>
      <x:c r="G404" s="46" t="str">
        <x:v>L2025-00045-1/붙임3. 입찰서류(영문) 일체/Section 6 - Reference Material(Constrution scope and space program).docx</x:v>
      </x:c>
      <x:c r="H404" s="43" t="str">
        <x:v>표 8 행 4</x:v>
      </x:c>
      <x:c r="I404" s="46" t="str">
        <x:v>Training Center | Building Area | (500㎡. 2025.02.), 750㎡(2025.05. Final) / 1 Building</x:v>
      </x:c>
      <x:c r="J404" s="43" t="str">
        <x:v>자동추출·검토필요</x:v>
      </x:c>
    </x:row>
    <x:row r="405">
      <x:c r="A405" s="43" t="str">
        <x:v>L2025-00038-1</x:v>
      </x:c>
      <x:c r="B405" s="43" t="str">
        <x:v>연면적·면적</x:v>
      </x:c>
      <x:c r="C405" s="46" t="str">
        <x:v>대지면적, ㎡</x:v>
      </x:c>
      <x:c r="D405" s="46" t="str">
        <x:v>2,282.82 ㎡</x:v>
      </x:c>
      <x:c r="E405" s="46" t="str"/>
      <x:c r="F405" s="46" t="str"/>
      <x:c r="G405" s="46" t="str">
        <x:v>L2025-00038-1/MVC (긴급) 입찰 계획서(국문)_20250526.hwp</x:v>
      </x:c>
      <x:c r="H405" s="43" t="str">
        <x:v>문단 83</x:v>
      </x:c>
      <x:c r="I405" s="46" t="str">
        <x:v>ㅇ 대지면적: 2,282.82㎡</x:v>
      </x:c>
      <x:c r="J405" s="43" t="str">
        <x:v>자동추출·검토필요</x:v>
      </x:c>
    </x:row>
    <x:row r="406">
      <x:c r="A406" s="43" t="str">
        <x:v>L2025-00038-1</x:v>
      </x:c>
      <x:c r="B406" s="43" t="str">
        <x:v>연면적·면적</x:v>
      </x:c>
      <x:c r="C406" s="46" t="str">
        <x:v>연면적, ㎡</x:v>
      </x:c>
      <x:c r="D406" s="46" t="str">
        <x:v>936.2 ㎡</x:v>
      </x:c>
      <x:c r="E406" s="46" t="str"/>
      <x:c r="F406" s="46" t="str"/>
      <x:c r="G406" s="46" t="str">
        <x:v>L2025-00038-1/MVC (긴급) 입찰 계획서(국문)_20250526.hwp</x:v>
      </x:c>
      <x:c r="H406" s="43" t="str">
        <x:v>문단 84</x:v>
      </x:c>
      <x:c r="I406" s="46" t="str">
        <x:v>ㅇ 연면적: 936.2㎡</x:v>
      </x:c>
      <x:c r="J406" s="43" t="str">
        <x:v>자동추출·검토필요</x:v>
      </x:c>
    </x:row>
    <x:row r="407">
      <x:c r="A407" s="43" t="str">
        <x:v>L2025-00038-1</x:v>
      </x:c>
      <x:c r="B407" s="43" t="str">
        <x:v>연면적·면적</x:v>
      </x:c>
      <x:c r="C407" s="46" t="str">
        <x:v>연면적, ㎡</x:v>
      </x:c>
      <x:c r="D407" s="46" t="str">
        <x:v>840 ㎡</x:v>
      </x:c>
      <x:c r="E407" s="46" t="str"/>
      <x:c r="F407" s="46" t="str"/>
      <x:c r="G407" s="46" t="str">
        <x:v>L2025-00038-1/MVC (긴급) 입찰 계획서(국문)_20250526.hwp</x:v>
      </x:c>
      <x:c r="H407" s="43" t="str">
        <x:v>문단 120</x:v>
      </x:c>
      <x:c r="I407" s="46" t="str">
        <x:v>다. 입찰공고일 기준 최근 5년 이내 단일건물 연면적 840㎡ 이상인 공사 준공실적, 설계실적 또는 감리실적 1건 이상 수행 완료한 자.</x:v>
      </x:c>
      <x:c r="J407" s="43" t="str">
        <x:v>자동추출·검토필요</x:v>
      </x:c>
    </x:row>
    <x:row r="408">
      <x:c r="A408" s="43" t="str">
        <x:v>L2025-00038-1</x:v>
      </x:c>
      <x:c r="B408" s="43" t="str">
        <x:v>연면적·면적</x:v>
      </x:c>
      <x:c r="C408" s="46" t="str">
        <x:v>㎡</x:v>
      </x:c>
      <x:c r="D408" s="46" t="str">
        <x:v>840 ㎡</x:v>
      </x:c>
      <x:c r="E408" s="46" t="str"/>
      <x:c r="F408" s="46" t="str"/>
      <x:c r="G408" s="46" t="str">
        <x:v>L2025-00038-1/MVC (긴급) 입찰 계획서(국문)_20250526.hwp</x:v>
      </x:c>
      <x:c r="H408" s="43" t="str">
        <x:v>문단 481</x:v>
      </x:c>
      <x:c r="I408" s="46" t="str">
        <x:v>입찰공고일 기준 최근 5년 이내 840㎡ 이상인 교육시설, 노유자</x:v>
      </x:c>
      <x:c r="J408" s="43" t="str">
        <x:v>자동추출·검토필요</x:v>
      </x:c>
    </x:row>
    <x:row r="409">
      <x:c r="A409" s="43" t="str">
        <x:v>L2025-00038-1</x:v>
      </x:c>
      <x:c r="B409" s="43" t="str">
        <x:v>연면적·면적</x:v>
      </x:c>
      <x:c r="C409" s="46" t="str">
        <x:v>㎡</x:v>
      </x:c>
      <x:c r="D409" s="46" t="str">
        <x:v>840 ㎡</x:v>
      </x:c>
      <x:c r="E409" s="46" t="str"/>
      <x:c r="F409" s="46" t="str"/>
      <x:c r="G409" s="46" t="str">
        <x:v>L2025-00038-1/MVC (긴급) 입찰 계획서(국문)_20250526.hwp</x:v>
      </x:c>
      <x:c r="H409" s="43" t="str">
        <x:v>문단 483</x:v>
      </x:c>
      <x:c r="I409" s="46" t="str">
        <x:v>(평가 : 840㎡ 이상 실적합계)</x:v>
      </x:c>
      <x:c r="J409" s="43" t="str">
        <x:v>자동추출·검토필요</x:v>
      </x:c>
    </x:row>
    <x:row r="410">
      <x:c r="A410" s="43" t="str">
        <x:v>L2025-00038-1</x:v>
      </x:c>
      <x:c r="B410" s="43" t="str">
        <x:v>연면적·면적</x:v>
      </x:c>
      <x:c r="C410" s="46" t="str">
        <x:v>연면적, ㎡</x:v>
      </x:c>
      <x:c r="D410" s="46" t="str">
        <x:v>840 ㎡</x:v>
      </x:c>
      <x:c r="E410" s="46" t="str"/>
      <x:c r="F410" s="46" t="str"/>
      <x:c r="G410" s="46" t="str">
        <x:v>L2025-00038-1/MVC (긴급) 입찰 계획서(국문)_20250526.hwp</x:v>
      </x:c>
      <x:c r="H410" s="43" t="str">
        <x:v>문단 502</x:v>
      </x:c>
      <x:c r="I410" s="46" t="str">
        <x:v>2) 유사사업: 입찰공고일 기준 5년 이내 국내외 용역 수행 완료 실적 중 건당 연면적 840㎡ 이상의 교육, 노유자시설(아동관련시설), 업무시설 용도의 단일건물 공사 감리실적</x:v>
      </x:c>
      <x:c r="J410" s="43" t="str">
        <x:v>자동추출·검토필요</x:v>
      </x:c>
    </x:row>
    <x:row r="411">
      <x:c r="A411" s="43" t="str">
        <x:v>L2025-00038-1</x:v>
      </x:c>
      <x:c r="B411" s="43" t="str">
        <x:v>연면적·면적</x:v>
      </x:c>
      <x:c r="C411" s="46" t="str">
        <x:v>㎡</x:v>
      </x:c>
      <x:c r="D411" s="46" t="str">
        <x:v>840 ㎡</x:v>
      </x:c>
      <x:c r="E411" s="46" t="str"/>
      <x:c r="F411" s="46" t="str"/>
      <x:c r="G411" s="46" t="str">
        <x:v>L2025-00038-1/Section 2 - Bid Data Sheet (BDS)_MVC (Supervision)_fin.docx</x:v>
      </x:c>
      <x:c r="H411" s="43" t="str">
        <x:v>문단 54</x:v>
      </x:c>
      <x:c r="I411" s="46" t="str">
        <x:v>The Bidder should have completed at least one similar project in construction, design, or supervision with at least 840㎡ (GFA) in the Dominican Republic within the last 5 years.</x:v>
      </x:c>
      <x:c r="J411" s="43" t="str">
        <x:v>자동추출·검토필요</x:v>
      </x:c>
    </x:row>
    <x:row r="412">
      <x:c r="A412" s="43" t="str">
        <x:v>L2025-00038-1</x:v>
      </x:c>
      <x:c r="B412" s="43" t="str">
        <x:v>연면적·면적</x:v>
      </x:c>
      <x:c r="C412" s="46" t="str">
        <x:v>㎡</x:v>
      </x:c>
      <x:c r="D412" s="46" t="str">
        <x:v>2,282.82 ㎡</x:v>
      </x:c>
      <x:c r="E412" s="46" t="str"/>
      <x:c r="F412" s="46" t="str"/>
      <x:c r="G412" s="46" t="str">
        <x:v>L2025-00038-1/Section 2 - Bid Data Sheet (BDS)_MVC (Supervision)_fin.docx</x:v>
      </x:c>
      <x:c r="H412" s="43" t="str">
        <x:v>표 2 행 5</x:v>
      </x:c>
      <x:c r="I412" s="46" t="str">
        <x:v>Site Area | 2,282.82 ㎡</x:v>
      </x:c>
      <x:c r="J412" s="43" t="str">
        <x:v>자동추출·검토필요</x:v>
      </x:c>
    </x:row>
    <x:row r="413">
      <x:c r="A413" s="43" t="str">
        <x:v>L2025-00038-1</x:v>
      </x:c>
      <x:c r="B413" s="43" t="str">
        <x:v>연면적·면적</x:v>
      </x:c>
      <x:c r="C413" s="46" t="str">
        <x:v>floor area, ㎡</x:v>
      </x:c>
      <x:c r="D413" s="46" t="str">
        <x:v>936.2 ㎡</x:v>
      </x:c>
      <x:c r="E413" s="46" t="str"/>
      <x:c r="F413" s="46" t="str"/>
      <x:c r="G413" s="46" t="str">
        <x:v>L2025-00038-1/Section 2 - Bid Data Sheet (BDS)_MVC (Supervision)_fin.docx</x:v>
      </x:c>
      <x:c r="H413" s="43" t="str">
        <x:v>표 2 행 6</x:v>
      </x:c>
      <x:c r="I413" s="46" t="str">
        <x:v>Gross Floor Area | 936.2 ㎡</x:v>
      </x:c>
      <x:c r="J413" s="43" t="str">
        <x:v>자동추출·검토필요</x:v>
      </x:c>
    </x:row>
    <x:row r="414">
      <x:c r="A414" s="43" t="str">
        <x:v>L2025-00038-1</x:v>
      </x:c>
      <x:c r="B414" s="43" t="str">
        <x:v>연면적·면적</x:v>
      </x:c>
      <x:c r="C414" s="46" t="str">
        <x:v>㎡</x:v>
      </x:c>
      <x:c r="D414" s="46" t="str">
        <x:v>840 ㎡</x:v>
      </x:c>
      <x:c r="E414" s="46" t="str"/>
      <x:c r="F414" s="46" t="str"/>
      <x:c r="G414" s="46" t="str">
        <x:v>L2025-00038-1/Section 2 - Bid Data Sheet (BDS)_MVC (Supervision)_fin.docx</x:v>
      </x:c>
      <x:c r="H414" s="43" t="str">
        <x:v>표 6 행 3</x:v>
      </x:c>
      <x:c r="I414" s="46" t="str">
        <x:v>Performance Record | Similar Project Experience within the last 5 years. Base Evaluation Grade (E.G.): 840㎡ G.F.A | 6 | 10</x:v>
      </x:c>
      <x:c r="J414" s="43" t="str">
        <x:v>자동추출·검토필요</x:v>
      </x:c>
    </x:row>
    <x:row r="415">
      <x:c r="A415" s="43" t="str">
        <x:v>L2025-00038-1</x:v>
      </x:c>
      <x:c r="B415" s="43" t="str">
        <x:v>연면적·면적</x:v>
      </x:c>
      <x:c r="C415" s="46" t="str">
        <x:v>floor area</x:v>
      </x:c>
      <x:c r="D415" s="46" t="str">
        <x:v>840 m2 | 840 m2</x:v>
      </x:c>
      <x:c r="E415" s="46" t="str"/>
      <x:c r="F415" s="46" t="str">
        <x:v>100%</x:v>
      </x:c>
      <x:c r="G415" s="46" t="str">
        <x:v>L2025-00038-1/Section 2 - Bid Data Sheet (BDS)_MVC (Supervision)_fin.docx</x:v>
      </x:c>
      <x:c r="H415" s="43" t="str">
        <x:v>표 8 행 2</x:v>
      </x:c>
      <x:c r="I415"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100% or more | 6.0</x:v>
      </x:c>
      <x:c r="J415" s="43" t="str">
        <x:v>자동추출·검토필요</x:v>
      </x:c>
    </x:row>
    <x:row r="416">
      <x:c r="A416" s="43" t="str">
        <x:v>L2025-00038-1</x:v>
      </x:c>
      <x:c r="B416" s="43" t="str">
        <x:v>연면적·면적</x:v>
      </x:c>
      <x:c r="C416" s="46" t="str">
        <x:v>floor area</x:v>
      </x:c>
      <x:c r="D416" s="46" t="str">
        <x:v>840 m2 | 840 m2</x:v>
      </x:c>
      <x:c r="E416" s="46" t="str"/>
      <x:c r="F416" s="46" t="str">
        <x:v>70% | 100%</x:v>
      </x:c>
      <x:c r="G416" s="46" t="str">
        <x:v>L2025-00038-1/Section 2 - Bid Data Sheet (BDS)_MVC (Supervision)_fin.docx</x:v>
      </x:c>
      <x:c r="H416" s="43" t="str">
        <x:v>표 8 행 3</x:v>
      </x:c>
      <x:c r="I416"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Between 70%～100% | 5.5</x:v>
      </x:c>
      <x:c r="J416" s="43" t="str">
        <x:v>자동추출·검토필요</x:v>
      </x:c>
    </x:row>
    <x:row r="417">
      <x:c r="A417" s="43" t="str">
        <x:v>L2025-00038-1</x:v>
      </x:c>
      <x:c r="B417" s="43" t="str">
        <x:v>연면적·면적</x:v>
      </x:c>
      <x:c r="C417" s="46" t="str">
        <x:v>floor area</x:v>
      </x:c>
      <x:c r="D417" s="46" t="str">
        <x:v>840 m2 | 840 m2</x:v>
      </x:c>
      <x:c r="E417" s="46" t="str"/>
      <x:c r="F417" s="46" t="str">
        <x:v>40% | 700%</x:v>
      </x:c>
      <x:c r="G417" s="46" t="str">
        <x:v>L2025-00038-1/Section 2 - Bid Data Sheet (BDS)_MVC (Supervision)_fin.docx</x:v>
      </x:c>
      <x:c r="H417" s="43" t="str">
        <x:v>표 8 행 4</x:v>
      </x:c>
      <x:c r="I417"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Between 40%～700% | 5.0</x:v>
      </x:c>
      <x:c r="J417" s="43" t="str">
        <x:v>자동추출·검토필요</x:v>
      </x:c>
    </x:row>
    <x:row r="418">
      <x:c r="A418" s="43" t="str">
        <x:v>L2025-00038-1</x:v>
      </x:c>
      <x:c r="B418" s="43" t="str">
        <x:v>연면적·면적</x:v>
      </x:c>
      <x:c r="C418" s="46" t="str">
        <x:v>floor area</x:v>
      </x:c>
      <x:c r="D418" s="46" t="str">
        <x:v>840 m2 | 840 m2</x:v>
      </x:c>
      <x:c r="E418" s="46" t="str"/>
      <x:c r="F418" s="46" t="str">
        <x:v>10% | 40%</x:v>
      </x:c>
      <x:c r="G418" s="46" t="str">
        <x:v>L2025-00038-1/Section 2 - Bid Data Sheet (BDS)_MVC (Supervision)_fin.docx</x:v>
      </x:c>
      <x:c r="H418" s="43" t="str">
        <x:v>표 8 행 5</x:v>
      </x:c>
      <x:c r="I418"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Between 10%～40% | 4.5</x:v>
      </x:c>
      <x:c r="J418" s="43" t="str">
        <x:v>자동추출·검토필요</x:v>
      </x:c>
    </x:row>
    <x:row r="419">
      <x:c r="A419" s="43" t="str">
        <x:v>L2025-00038-1</x:v>
      </x:c>
      <x:c r="B419" s="43" t="str">
        <x:v>연면적·면적</x:v>
      </x:c>
      <x:c r="C419" s="46" t="str">
        <x:v>floor area</x:v>
      </x:c>
      <x:c r="D419" s="46" t="str">
        <x:v>840 m2 | 840 m2</x:v>
      </x:c>
      <x:c r="E419" s="46" t="str"/>
      <x:c r="F419" s="46" t="str">
        <x:v>10%</x:v>
      </x:c>
      <x:c r="G419" s="46" t="str">
        <x:v>L2025-00038-1/Section 2 - Bid Data Sheet (BDS)_MVC (Supervision)_fin.docx</x:v>
      </x:c>
      <x:c r="H419" s="43" t="str">
        <x:v>표 8 행 6</x:v>
      </x:c>
      <x:c r="I419"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Less than 10% | 4.2</x:v>
      </x:c>
      <x:c r="J419" s="43" t="str">
        <x:v>자동추출·검토필요</x:v>
      </x:c>
    </x:row>
    <x:row r="420">
      <x:c r="A420" s="43" t="str">
        <x:v>L2025-00036-1</x:v>
      </x:c>
      <x:c r="B420" s="43" t="str">
        <x:v>연면적·면적</x:v>
      </x:c>
      <x:c r="C420" s="46" t="str">
        <x:v>floor area, ㎡</x:v>
      </x:c>
      <x:c r="D420" s="46" t="str">
        <x:v>5,233 ㎡ | 3,700 ㎡</x:v>
      </x:c>
      <x:c r="E420" s="46" t="str">
        <x:v>USD 500,000</x:v>
      </x:c>
      <x:c r="F420" s="46" t="str"/>
      <x:c r="G420" s="46" t="str">
        <x:v>L2025-00036-1/붙임2. 입찰서류 영문본 일체/Section 5 - Terms of Reference (ToR).doc</x:v>
      </x:c>
      <x:c r="H420" s="43" t="str">
        <x:v>문단 45</x:v>
      </x:c>
      <x:c r="I420" s="46" t="str">
        <x:v>Site Location Chamkar Doung Street (217), Phnom Penh, Cambodia. Site Area approx. 5,233㎡ Design and Construction Supervision content Cambodia Dangkao Referral Hospital Public Health Service Improvement Project • Three-story building • Total floor area: approx. 3,700㎡ Please refer to the attached Section 06. Design and Construction Supervision cost budget: approx. USD 500,000</x:v>
      </x:c>
      <x:c r="J420" s="43" t="str">
        <x:v>자동추출·검토필요</x:v>
      </x:c>
    </x:row>
    <x:row r="421">
      <x:c r="A421" s="43" t="str">
        <x:v>L2025-00036-1</x:v>
      </x:c>
      <x:c r="B421" s="43" t="str">
        <x:v>연면적·면적</x:v>
      </x:c>
      <x:c r="C421" s="46" t="str">
        <x:v>floor area, ㎡</x:v>
      </x:c>
      <x:c r="D421" s="46" t="str">
        <x:v>5,233 ㎡ | 5,233 ㎡ | 5,086 ㎡ | 3,700 ㎡</x:v>
      </x:c>
      <x:c r="E421" s="46" t="str"/>
      <x:c r="F421" s="46" t="str"/>
      <x:c r="G421" s="46" t="str">
        <x:v>L2025-00036-1/붙임2. 입찰서류 영문본 일체/Section 6 - Related Project Information of RFP.pdf</x:v>
      </x:c>
      <x:c r="H421" s="43" t="str">
        <x:v>페이지 2</x:v>
      </x:c>
      <x:c r="I421" s="46" t="str">
        <x:v>1. Introduction 1.1. Project Overview The project aims to improve healthcare services at Dangkor District Referral Hospital in Phnom Penh, Cambodia. Category Content  Project for Improvement of Public Health Service in Dangkor District Referral Project Name Hospital, Phnom Penh, Cambodia Target Area  Dangkor District, Phnom Penh, Cambodia and Site Recipient  Phnom Penh Municipal Government Institution  Site Area: 5,233㎡ ※ Based on the original land registry, the site area was 5,233㎡, but GPS measurements on 4/2 confirmed it as 5,086㎡. Architectural  Type: New Construction Overview  Gross Floor Area: 3,700㎡  Program: Outpatient clinics, emergency room, operating rooms, delivery room, 70 beds, etc. Project Type  Project Sector  Healthcare  To improve healthcare services at Dangkor District Referral Hospital in Phnom Penh, Cambodia, particularly focusing on trauma and surgical services to Project Purpose enhance access to quality healthcare for vulnerable populations, including factory workers at risk of industrial accidents and traffic accidents. 1.2. Survey Methodology (Refer to page 10 for detailed methodology) Page 1</x:v>
      </x:c>
      <x:c r="J421" s="43" t="str">
        <x:v>자동추출·검토필요</x:v>
      </x:c>
    </x:row>
    <x:row r="422">
      <x:c r="A422" s="43" t="str">
        <x:v>L2025-00036-1</x:v>
      </x:c>
      <x:c r="B422" s="43" t="str">
        <x:v>연면적·면적</x:v>
      </x:c>
      <x:c r="C422" s="46" t="str">
        <x:v>floor area, m², ㎡</x:v>
      </x:c>
      <x:c r="D422" s="46" t="str">
        <x:v>1,900 ㎡ | 3,700 m²</x:v>
      </x:c>
      <x:c r="E422" s="46" t="str">
        <x:v>$ 6.6 million</x:v>
      </x:c>
      <x:c r="F422" s="46" t="str"/>
      <x:c r="G422" s="46" t="str">
        <x:v>L2025-00036-1/붙임2. 입찰서류 영문본 일체/Section 6 - Related Project Information of RFP.pdf</x:v>
      </x:c>
      <x:c r="H422" s="43" t="str">
        <x:v>페이지 3</x:v>
      </x:c>
      <x:c r="I422" s="46" t="str">
        <x:v>2. Survey Results Summary 2.1. Architectural Overview Category Chamkar Doung Street (217), Phnom Penh 12401, Cambodia (11.5187744, Site (Coordinates/Area) 104.8890853/1,900㎡) Building Purpose Medical Facility Construction Method New Construction / Reinforced Concrete - 7 Departments (Internal Medicine, General Surgery, Traumatology, Pediatrics, Obstetrics &amp; Gynecology, Anesthesiology, Dentistry) - 70 beds - Building Content 5 examination rooms, 2 operating rooms, delivery room, neonatal room, emergency room, 2 clinical pathology rooms, etc. Building Scale (Total 3,700m² / 3 above-ground floors (including GL) Floor Area/Floors) Construction Cost $6.6 million 2.2. Additional Survey Requirements ㅇ Through on-site surveys, it was confirmed that Dangkao Referral Hospital is a trauma-specialized hospital at CPA Level 2, and the space program has been adjusted accordingly to include departments, operating rooms, emergency rooms, etc.  The recipient country's stakeholders (Phnom Penh City Health Department, Dangkao OD, Dangkao Admin., Dangkao Referral Hospital) are diverse, but due to a lack of architectural experts, continuous consultation is necessary to align detailed requirements and </x:v>
      </x:c>
      <x:c r="J422" s="43" t="str">
        <x:v>자동추출·검토필요</x:v>
      </x:c>
    </x:row>
    <x:row r="423">
      <x:c r="A423" s="43" t="str">
        <x:v>L2025-00036-1</x:v>
      </x:c>
      <x:c r="B423" s="43" t="str">
        <x:v>연면적·면적</x:v>
      </x:c>
      <x:c r="C423" s="46" t="str">
        <x:v>㎡</x:v>
      </x:c>
      <x:c r="D423" s="46" t="str">
        <x:v>5,086 ㎡ | 5,233 ㎡ | 5,086 ㎡</x:v>
      </x:c>
      <x:c r="E423" s="46" t="str"/>
      <x:c r="F423" s="46" t="str"/>
      <x:c r="G423" s="46" t="str">
        <x:v>L2025-00036-1/붙임2. 입찰서류 영문본 일체/Section 6 - Related Project Information of RFP.pdf</x:v>
      </x:c>
      <x:c r="H423" s="43" t="str">
        <x:v>페이지 5</x:v>
      </x:c>
      <x:c r="I423" s="46" t="str">
        <x:v>3.3. Cadastral Map and Survey Drawings ㅇ During the recent on-site survey, a new GPS survey was conducted, and the following results were confirmed. ㅇ The survey results indicate a land area of 5,086㎡, and official land registry updates are expected to take approximately 3 months. ㅇ The survey also confirmed the status of buildings within the same site. Figure 3. GPS Survey Results 3.4. Land Ownership and Existing Building Ownership ㅇ The figure below shows the land registry obtained during the preliminary survey, which lists the land area as 5,233㎡. However, the GPS survey revealed a revised land area of 5,086㎡, which will be updated. ㅇ Although the land area will change, the landowner remains the same, ensuring no obstacles to project implementation. ㅇ The updated land registry must be verified with the recipient country once the changes are completed. Page 4</x:v>
      </x:c>
      <x:c r="J423" s="43" t="str">
        <x:v>자동추출·검토필요</x:v>
      </x:c>
    </x:row>
    <x:row r="424">
      <x:c r="A424" s="43" t="str">
        <x:v>L2025-00036-1</x:v>
      </x:c>
      <x:c r="B424" s="43" t="str">
        <x:v>연면적·면적</x:v>
      </x:c>
      <x:c r="C424" s="46" t="str">
        <x:v>floor area, m²</x:v>
      </x:c>
      <x:c r="D424" s="46" t="str">
        <x:v>3,700 m²</x:v>
      </x:c>
      <x:c r="E424" s="46" t="str"/>
      <x:c r="F424" s="46" t="str"/>
      <x:c r="G424" s="46" t="str">
        <x:v>L2025-00036-1/붙임2. 입찰서류 영문본 일체/Section 6 - Related Project Information of RFP.pdf</x:v>
      </x:c>
      <x:c r="H424" s="43" t="str">
        <x:v>페이지 10</x:v>
      </x:c>
      <x:c r="I424" s="46" t="str">
        <x:v>Figure 8. The site entrance from the main road is Figure 9. Drainage pipes connected to the slightly elevated. building roof. Figure 10. Level differences with adjacent sites Figure 11. Unconnected parking lot trenches. require site leveling. C. Future Expansion Possibilities ㅇ This project aims to upgrade Dangkao Referral Hospital from CPA Level 1 to 2, establishing a trauma hospital system and enhancing medical staff capabilities. The existing building will be demolished and rebuilt to meet CPA Level 2 standards. Future horizontal or vertical expansions may be required. ㅇ The new CPA Level 2 hospital will cover 3,700m² with 70 beds. However, CPA Level 2 allows 60–100 beds, so future expansions may be needed. Current site coverage and floor area ratios allow for this, so expansion plans must be included in the design.  Preliminary surveys assumed 70 beds and 5 departments, but future increases are likely. ㅇ Site space must accommodate disabled and mobility-impaired individuals. D. Renovation and Expansion Review ㅇ The current Dangkao Referral Hospital, originally a health center, underwent expansions but suffers from uneven ceiling heights and structural limitations, making renov</x:v>
      </x:c>
      <x:c r="J424" s="43" t="str">
        <x:v>자동추출·검토필요</x:v>
      </x:c>
    </x:row>
    <x:row r="425">
      <x:c r="A425" s="43" t="str">
        <x:v>L2025-00036-1</x:v>
      </x:c>
      <x:c r="B425" s="43" t="str">
        <x:v>연면적·면적</x:v>
      </x:c>
      <x:c r="C425" s="46" t="str">
        <x:v>floor area, ㎡</x:v>
      </x:c>
      <x:c r="D425" s="46" t="str">
        <x:v>5,086 ㎡ | 5,233 ㎡ | 5,086 ㎡ | 3,700 ㎡ | 5,086 ㎡</x:v>
      </x:c>
      <x:c r="E425" s="46" t="str"/>
      <x:c r="F425" s="46" t="str"/>
      <x:c r="G425" s="46" t="str">
        <x:v>L2025-00036-1/붙임2. 입찰서류 영문본 일체/Section 6 - Related Project Information of RFP.pdf</x:v>
      </x:c>
      <x:c r="H425" s="43" t="str">
        <x:v>페이지 11</x:v>
      </x:c>
      <x:c r="I425" s="46" t="str">
        <x:v> Demolition and reconstruction are deemed necessary for safety and CPA Level 2 functionality. E. Eco-Friendliness and Renewable Energy ㅇ No local regulations mandate this, but as a KOICA grant project, proactive consideration within the budget is advisable. ㅇ Natural lighting and ventilation should be maximized given the local climate. 4. Architectural Planning and Scale Review 4.1. Architectural Plan 4.1.1. Architectural Overview 5,086㎡ ※ Original land area (based on land registry): 5,233㎡. GPS measurement Land Area on 4/2 confirmed 5,086㎡. New land registry issuance expected to take 3 months. Demolition of existing hospital and new construction ※ Some buildings, Construction Method including the Health Center, will be retained on the same site. Building Structure Reinforced concrete structure Outpatient care, operating rooms, emergency room, inpatient care, Building Content administration and services, etc. Building Scale (Total Total floor area: 3,700㎡ / Floors: 3 (including GL) / Number of buildings: Floor Area/Floors) 1 ㅇ The recent planning survey confirmed the land area as 5,086㎡ through GPS measurement. However, updating the land registry will take approximately 3 months. </x:v>
      </x:c>
      <x:c r="J425" s="43" t="str">
        <x:v>자동추출·검토필요</x:v>
      </x:c>
    </x:row>
    <x:row r="426">
      <x:c r="A426" s="43" t="str">
        <x:v>L2025-00036-1</x:v>
      </x:c>
      <x:c r="B426" s="43" t="str">
        <x:v>연면적·면적</x:v>
      </x:c>
      <x:c r="C426" s="46" t="str">
        <x:v>㎡</x:v>
      </x:c>
      <x:c r="D426" s="46" t="str">
        <x:v>4,750 ㎡ | 3,700 ㎡</x:v>
      </x:c>
      <x:c r="E426" s="46" t="str"/>
      <x:c r="F426" s="46" t="str"/>
      <x:c r="G426" s="46" t="str">
        <x:v>L2025-00036-1/붙임2. 입찰서류 영문본 일체/Section 6 - Related Project Information of RFP.pdf</x:v>
      </x:c>
      <x:c r="H426" s="43" t="str">
        <x:v>페이지 12</x:v>
      </x:c>
      <x:c r="I426" s="46" t="str">
        <x:v>ㅇ Cambodia lacks concepts like Korea's "Barrier-Free" certification for accessible design. As a KOICA- funded project, Dangkao Referral Hospital should partially adopt such principles. Full implementation depends on recipient country acceptance and budget, requiring discussions among KOICA, PMC, and the recipient country. ㅇ The plan includes 60 inpatient beds and 10 emergency beds (total 70 beds), aligning with Cambodia's CPA Level 2 standards. B. Understanding Trauma-Specialized Hospital Design ㅇ Dangkao Referral Hospital is designed as a trauma-specialized facility, but unlike Korean trauma centers, its primary goal is treating trauma patients from Dangkao and nearby areas. Severe cases will be transferred to specialized hospitals like Kmer-Soviet Hospital, in line with Cambodia's needs. 4.2. Key Functions ㅇ The initial Project Concept Paper (PCP) proposed a 7-floor (including GL) building of ~4,750㎡. However, the planning survey adjusted this to 3,700㎡ based on operational needs. ㅇ Floor plans account for 5 departments, emergency room, delivery room, 2 operating rooms, neonatal room, 2 clinical pathology rooms, and wards. Section Department Room Names Notes GF Examination rooms </x:v>
      </x:c>
      <x:c r="J426" s="43" t="str">
        <x:v>자동추출·검토필요</x:v>
      </x:c>
    </x:row>
    <x:row r="427">
      <x:c r="A427" s="43" t="str">
        <x:v>L2025-00025-1</x:v>
      </x:c>
      <x:c r="B427" s="43" t="str">
        <x:v>연면적·면적</x:v>
      </x:c>
      <x:c r="C427" s="46" t="str">
        <x:v>건축면적, 대지면적, ㎡</x:v>
      </x:c>
      <x:c r="D427" s="46" t="str">
        <x:v>2,709.96 ㎡ | 1,656.9 ㎡</x:v>
      </x:c>
      <x:c r="E427" s="46" t="str"/>
      <x:c r="F427" s="46" t="str"/>
      <x:c r="G427" s="46" t="str">
        <x:v>L2025-00025-1/Attach01_(붙임1) 입찰공고문 (BDS)_페루 제3 한페 의료센터 설계입찰_250416.hwp</x:v>
      </x:c>
      <x:c r="H427" s="43" t="str">
        <x:v>문단 66</x:v>
      </x:c>
      <x:c r="I427" s="46" t="str">
        <x:v>대지면적 2,709.96㎡, 건축면적 1,656.9㎡</x:v>
      </x:c>
      <x:c r="J427" s="43" t="str">
        <x:v>자동추출·검토필요</x:v>
      </x:c>
    </x:row>
    <x:row r="428">
      <x:c r="A428" s="43" t="str">
        <x:v>L2025-00025-1</x:v>
      </x:c>
      <x:c r="B428" s="43" t="str">
        <x:v>연면적·면적</x:v>
      </x:c>
      <x:c r="C428" s="46" t="str">
        <x:v>floor area, ㎡</x:v>
      </x:c>
      <x:c r="D428" s="46" t="str">
        <x:v>2,709.96 ㎡ | 1,656.9 ㎡ | 2,709.96 ㎡ | 1,656.9 ㎡</x:v>
      </x:c>
      <x:c r="E428" s="46" t="str"/>
      <x:c r="F428" s="46" t="str"/>
      <x:c r="G428" s="46" t="str">
        <x:v>L2025-00025-1/Attach02_(붙임2) 입찰제반서류_공고문/Section 2 - Bid Data Sheet (BDS)_Peru San Juan Health Center_250416.docx</x:v>
      </x:c>
      <x:c r="H428" s="43" t="str">
        <x:v>표 5 행 3</x:v>
      </x:c>
      <x:c r="I428" s="46" t="str">
        <x:v>․ Project Summary | Site area: 2,709.96㎡ Gross floor area: 1,656.9㎡ To enhance the functionality and update aesthetics of the existing facility. | Site area: 2,709.96㎡ Gross floor area: 1,656.9㎡ To enhance the functionality and update aesthetics of the existing facility.</x:v>
      </x:c>
      <x:c r="J428" s="43" t="str">
        <x:v>자동추출·검토필요</x:v>
      </x:c>
    </x:row>
    <x:row r="429">
      <x:c r="A429" s="43" t="str">
        <x:v>L2025-00025-1</x:v>
      </x:c>
      <x:c r="B429" s="43" t="str">
        <x:v>연면적·면적</x:v>
      </x:c>
      <x:c r="C429" s="46" t="str">
        <x:v>㎡</x:v>
      </x:c>
      <x:c r="D429" s="46" t="str">
        <x:v>2,709.96 ㎡</x:v>
      </x:c>
      <x:c r="E429" s="46" t="str"/>
      <x:c r="F429" s="46" t="str"/>
      <x:c r="G429" s="46" t="str">
        <x:v>L2025-00025-1/Attach02_(붙임2) 입찰제반서류_공고문/Section 4 - Terms of Reference (TOR)_Peru San Juan Health Center_250303.docx</x:v>
      </x:c>
      <x:c r="H429" s="43" t="str">
        <x:v>문단 39</x:v>
      </x:c>
      <x:c r="I429" s="46" t="str">
        <x:v>Project site area: 2,709.96㎡</x:v>
      </x:c>
      <x:c r="J429" s="43" t="str">
        <x:v>자동추출·검토필요</x:v>
      </x:c>
    </x:row>
    <x:row r="430">
      <x:c r="A430" s="43" t="str">
        <x:v>L2025-00025-1</x:v>
      </x:c>
      <x:c r="B430" s="43" t="str">
        <x:v>연면적·면적</x:v>
      </x:c>
      <x:c r="C430" s="46" t="str">
        <x:v>floor area, ㎡</x:v>
      </x:c>
      <x:c r="D430" s="46" t="str">
        <x:v>1,656.90 ㎡</x:v>
      </x:c>
      <x:c r="E430" s="46" t="str"/>
      <x:c r="F430" s="46" t="str"/>
      <x:c r="G430" s="46" t="str">
        <x:v>L2025-00025-1/Attach02_(붙임2) 입찰제반서류_공고문/Section 4 - Terms of Reference (TOR)_Peru San Juan Health Center_250303.docx</x:v>
      </x:c>
      <x:c r="H430" s="43" t="str">
        <x:v>문단 40</x:v>
      </x:c>
      <x:c r="I430" s="46" t="str">
        <x:v>Gross floor area: 1,656.90㎡</x:v>
      </x:c>
      <x:c r="J430" s="43" t="str">
        <x:v>자동추출·검토필요</x:v>
      </x:c>
    </x:row>
    <x:row r="431">
      <x:c r="A431" s="43" t="str">
        <x:v>L2025-00021-1</x:v>
      </x:c>
      <x:c r="B431" s="43" t="str">
        <x:v>연면적·면적</x:v>
      </x:c>
      <x:c r="C431" s="46" t="str">
        <x:v>㎡</x:v>
      </x:c>
      <x:c r="D431" s="46" t="str">
        <x:v>20,000 ㎡</x:v>
      </x:c>
      <x:c r="E431" s="46" t="str"/>
      <x:c r="F431" s="46" t="str"/>
      <x:c r="G431" s="46" t="str">
        <x:v>L2025-00021-1/2. (세네갈) 입찰서류 일체/2. (세네갈) 입찰서류 일체/Section 2 - Bid Data Sheet (BDS)_최종수정(250321).docx</x:v>
      </x:c>
      <x:c r="H431" s="43" t="str">
        <x:v>표 5 행 5</x:v>
      </x:c>
      <x:c r="I431" s="46" t="str">
        <x:v>- Site area | 20,000 ㎡</x:v>
      </x:c>
      <x:c r="J431" s="43" t="str">
        <x:v>자동추출·검토필요</x:v>
      </x:c>
    </x:row>
    <x:row r="432">
      <x:c r="A432" s="43" t="str">
        <x:v>L2025-00021-1</x:v>
      </x:c>
      <x:c r="B432" s="43" t="str">
        <x:v>연면적·면적</x:v>
      </x:c>
      <x:c r="C432" s="46" t="str">
        <x:v>floor area, ㎡</x:v>
      </x:c>
      <x:c r="D432" s="46" t="str">
        <x:v>4,951 ㎡</x:v>
      </x:c>
      <x:c r="E432" s="46" t="str"/>
      <x:c r="F432" s="46" t="str"/>
      <x:c r="G432" s="46" t="str">
        <x:v>L2025-00021-1/2. (세네갈) 입찰서류 일체/2. (세네갈) 입찰서류 일체/Section 2 - Bid Data Sheet (BDS)_최종수정(250321).docx</x:v>
      </x:c>
      <x:c r="H432" s="43" t="str">
        <x:v>표 5 행 6</x:v>
      </x:c>
      <x:c r="I432" s="46" t="str">
        <x:v>- Gross floor area | 4,951 ㎡</x:v>
      </x:c>
      <x:c r="J432" s="43" t="str">
        <x:v>자동추출·검토필요</x:v>
      </x:c>
    </x:row>
    <x:row r="433">
      <x:c r="A433" s="43" t="str">
        <x:v>L2025-00021-1</x:v>
      </x:c>
      <x:c r="B433" s="43" t="str">
        <x:v>연면적·면적</x:v>
      </x:c>
      <x:c r="C433" s="46" t="str">
        <x:v>㎡</x:v>
      </x:c>
      <x:c r="D433" s="46" t="str">
        <x:v>20,000 ㎡</x:v>
      </x:c>
      <x:c r="E433" s="46" t="str"/>
      <x:c r="F433" s="46" t="str"/>
      <x:c r="G433" s="46" t="str">
        <x:v>L2025-00021-1/3. (세네갈) 입찰계획서 Bid Data Sheet(국문)_미곡2 건축감리.hwp</x:v>
      </x:c>
      <x:c r="H433" s="43" t="str">
        <x:v>문단 63</x:v>
      </x:c>
      <x:c r="I433" s="46" t="str">
        <x:v>20,000 ㎡</x:v>
      </x:c>
      <x:c r="J433" s="43" t="str">
        <x:v>자동추출·검토필요</x:v>
      </x:c>
    </x:row>
    <x:row r="434">
      <x:c r="A434" s="43" t="str">
        <x:v>L2025-00021-1</x:v>
      </x:c>
      <x:c r="B434" s="43" t="str">
        <x:v>연면적·면적</x:v>
      </x:c>
      <x:c r="C434" s="46" t="str">
        <x:v>㎡</x:v>
      </x:c>
      <x:c r="D434" s="46" t="str">
        <x:v>4,951 ㎡</x:v>
      </x:c>
      <x:c r="E434" s="46" t="str"/>
      <x:c r="F434" s="46" t="str"/>
      <x:c r="G434" s="46" t="str">
        <x:v>L2025-00021-1/3. (세네갈) 입찰계획서 Bid Data Sheet(국문)_미곡2 건축감리.hwp</x:v>
      </x:c>
      <x:c r="H434" s="43" t="str">
        <x:v>문단 65</x:v>
      </x:c>
      <x:c r="I434" s="46" t="str">
        <x:v>4,951 ㎡</x:v>
      </x:c>
      <x:c r="J434" s="43" t="str">
        <x:v>자동추출·검토필요</x:v>
      </x:c>
    </x:row>
    <x:row r="435">
      <x:c r="A435" s="43" t="str">
        <x:v>L2025-00019-1</x:v>
      </x:c>
      <x:c r="B435" s="43" t="str">
        <x:v>연면적·면적</x:v>
      </x:c>
      <x:c r="C435" s="46" t="str">
        <x:v>square meter</x:v>
      </x:c>
      <x:c r="D435" s="46" t="str">
        <x:v>9.2 square meter</x:v>
      </x:c>
      <x:c r="E435" s="46" t="str"/>
      <x:c r="F435" s="46" t="str"/>
      <x:c r="G435" s="46" t="str">
        <x:v>L2025-00019-1/3. 입찰 관련 자료/3. 입찰 관련 자료/5-1. 시방서_아샤이만.pdf</x:v>
      </x:c>
      <x:c r="H435" s="43" t="str">
        <x:v>페이지 216</x:v>
      </x:c>
      <x:c r="I435" s="46" t="str">
        <x:v>(b)Single Source Responsibility: Provide primers and other undercoat paint produces by same manufacturer as finish coats. Use only thinners approved by paint manufacturer, and use only within recommended limits. (c) Coordination of Work: Review other sections of these specifications in which prime paints are to be provided to ensure compatibility of total coatings system for various substances. Upon request from other trades, furnish information or characteristics of finish materials provided for use, to ensure compatible prime coats are used. Submittals (a) Product Data: Submit manufacturer’s technical information including paint label analysis and application instructions for each material proposed for use. (b) Samples: Prior to beginning work, Architect will furnish color chips for surfaces to be painted. Use representative colors when preparing samples for review. Submit samples for Architect’s review of color and texture only. Provide a listing of material and application for each coat of each finish sample. (1) On 300 mm x 300 mm hardboard, provide two samples of each color and material, with texture to simulate actual conditions. Resubmit samples as requested by Architect un</x:v>
      </x:c>
      <x:c r="J435" s="43" t="str">
        <x:v>자동추출·검토필요</x:v>
      </x:c>
    </x:row>
    <x:row r="436">
      <x:c r="A436" s="43" t="str">
        <x:v>L2025-00019-1</x:v>
      </x:c>
      <x:c r="B436" s="43" t="str">
        <x:v>연면적·면적</x:v>
      </x:c>
      <x:c r="C436" s="46" t="str">
        <x:v>floor area</x:v>
      </x:c>
      <x:c r="D436" s="46" t="str">
        <x:v>20 m2</x:v>
      </x:c>
      <x:c r="E436" s="46" t="str"/>
      <x:c r="F436" s="46" t="str"/>
      <x:c r="G436" s="46" t="str">
        <x:v>L2025-00019-1/3. 입찰 관련 자료/3. 입찰 관련 자료/5-1. 시방서_아샤이만.pdf</x:v>
      </x:c>
      <x:c r="H436" s="43" t="str">
        <x:v>페이지 246</x:v>
      </x:c>
      <x:c r="I436" s="46" t="str">
        <x:v>(b) Adjustment and cleaning (1) Prior to final acceptance, inspect faucets, flush valves, closure valves and other similar devices to determine that they operate properly and appropriate quantities of water are discharged. Correct any deficiency following the Engineer's instructions. (2) Remove any foreign matter from fixtures and accessories, including labels. Use only cleaners recommended by manufacturers. Do not use abrasive elements or acid. Fire Fighting Systems Fire Fighting Standards, Codes and Regulations Use BS or ISO Portable Fire Extinguisher (a) General (1) Technical requirements which are not described in this standard erection procedure shall be applied in accordance with the concerned Malawi Laws and Regulations. (2) Fire extinguishers which are approved by the Government of Malawi. (3) Equipment and materials shall be suitable for the function of fire extinguisher. (b) Installation (1) Fire extinguishers which are suitable for the occupancy hazard fire class shall be provide (2) Travel distances for portable fire extinguisher shall not exceed 20 m and for wheeled type shall not exceed 30m. (3) Fire extinguisher shall be located at floor or place where is not higher </x:v>
      </x:c>
      <x:c r="J436" s="43" t="str">
        <x:v>자동추출·검토필요</x:v>
      </x:c>
    </x:row>
    <x:row r="437">
      <x:c r="A437" s="43" t="str">
        <x:v>L2025-00019-1</x:v>
      </x:c>
      <x:c r="B437" s="43" t="str">
        <x:v>연면적·면적</x:v>
      </x:c>
      <x:c r="C437" s="46" t="str">
        <x:v>square meter</x:v>
      </x:c>
      <x:c r="D437" s="46" t="str">
        <x:v>9.2 square meter</x:v>
      </x:c>
      <x:c r="E437" s="46" t="str"/>
      <x:c r="F437" s="46" t="str"/>
      <x:c r="G437" s="46" t="str">
        <x:v>L2025-00019-1/3. 입찰 관련 자료/3. 입찰 관련 자료/5-2. 시방서_아배이메.pdf</x:v>
      </x:c>
      <x:c r="H437" s="43" t="str">
        <x:v>페이지 216</x:v>
      </x:c>
      <x:c r="I437" s="46" t="str">
        <x:v>Submittals (a) Product Data: Submit manufacturer’s technical information including paint label analysis and application instructions for each material proposed for use. (b) Samples: Prior to beginning work, Architect will furnish color chips for surfaces to be painted. Use representative colors when preparing samples for review. Submit samples for Architect’s review of color and texture only. Provide a listing of material and application for each coat of each finish sample. (1) On 300 mm x 300 mm hardboard, provide two samples of each color and material, with texture to simulate actual conditions. Resubmit samples as requested by Architect until acceptable sheen, color, texture is achieved. (2) On actual wood surfaces, provide two 100 mm x 200 mm samples of natural and stained wood finish. Label and identify each as to location and application. (3) On concrete masonry, provide two 100 mm square samples of masonry for each type of finish and color, defining filler, prime and finish coat. (4) On actual wall surfaces and other exterior and interior building components, duplicate painted finishes of prepared samples. Provide full-coat finish samples on at least 9.2 square meter of surf</x:v>
      </x:c>
      <x:c r="J437" s="43" t="str">
        <x:v>자동추출·검토필요</x:v>
      </x:c>
    </x:row>
    <x:row r="438">
      <x:c r="A438" s="43" t="str">
        <x:v>L2025-00019-1</x:v>
      </x:c>
      <x:c r="B438" s="43" t="str">
        <x:v>연면적·면적</x:v>
      </x:c>
      <x:c r="C438" s="46" t="str">
        <x:v>floor area</x:v>
      </x:c>
      <x:c r="D438" s="46" t="str">
        <x:v>20 m2</x:v>
      </x:c>
      <x:c r="E438" s="46" t="str"/>
      <x:c r="F438" s="46" t="str"/>
      <x:c r="G438" s="46" t="str">
        <x:v>L2025-00019-1/3. 입찰 관련 자료/3. 입찰 관련 자료/5-2. 시방서_아배이메.pdf</x:v>
      </x:c>
      <x:c r="H438" s="43" t="str">
        <x:v>페이지 246</x:v>
      </x:c>
      <x:c r="I438" s="46" t="str">
        <x:v>(b) Adjustment and cleaning (1) Prior to final acceptance, inspect faucets, flush valves, closure valves and other similar devices to determine that they operate properly and appropriate quantities of water are discharged. Correct any deficiency following the Engineer's instructions. (2) Remove any foreign matter from fixtures and accessories, including labels. Use only cleaners recommended by manufacturers. Do not use abrasive elements or acid. Fire Fighting Systems Fire Fighting Standards, Codes and Regulations Use BS or ISO Portable Fire Extinguisher (a) General (1) Technical requirements which are not described in this standard erection procedure shall be applied in accordance with the concerned Malawi Laws and Regulations. (2) Fire extinguishers which are approved by the Government of Malawi. (3) Equipment and materials shall be suitable for the function of fire extinguisher. (b) Installation (1) Fire extinguishers which are suitable for the occupancy hazard fire class shall be provide (2) Travel distances for portable fire extinguisher shall not exceed 20 m and for wheeled type shall not exceed 30m. (3) Fire extinguisher shall be located at floor or place where is not higher </x:v>
      </x:c>
      <x:c r="J438" s="43" t="str">
        <x:v>자동추출·검토필요</x:v>
      </x:c>
    </x:row>
    <x:row r="439">
      <x:c r="A439" s="43" t="str">
        <x:v>L2025-00018-1</x:v>
      </x:c>
      <x:c r="B439" s="43" t="str">
        <x:v>연면적·면적</x:v>
      </x:c>
      <x:c r="C439" s="46" t="str">
        <x:v>㎡</x:v>
      </x:c>
      <x:c r="D439" s="46" t="str">
        <x:v>4,100.00 ㎡</x:v>
      </x:c>
      <x:c r="E439" s="46" t="str"/>
      <x:c r="F439" s="46" t="str"/>
      <x:c r="G439" s="46" t="str">
        <x:v>L2025-00018-1/1-1. 입찰공고문_국문.hwp</x:v>
      </x:c>
      <x:c r="H439" s="43" t="str">
        <x:v>문단 81</x:v>
      </x:c>
      <x:c r="I439" s="46" t="str">
        <x:v>약 4,100.00㎡</x:v>
      </x:c>
      <x:c r="J439" s="43" t="str">
        <x:v>자동추출·검토필요</x:v>
      </x:c>
    </x:row>
    <x:row r="440">
      <x:c r="A440" s="43" t="str">
        <x:v>L2025-00018-1</x:v>
      </x:c>
      <x:c r="B440" s="43" t="str">
        <x:v>연면적·면적</x:v>
      </x:c>
      <x:c r="C440" s="46" t="str">
        <x:v>㎡</x:v>
      </x:c>
      <x:c r="D440" s="46" t="str">
        <x:v>940.41 ㎡</x:v>
      </x:c>
      <x:c r="E440" s="46" t="str"/>
      <x:c r="F440" s="46" t="str"/>
      <x:c r="G440" s="46" t="str">
        <x:v>L2025-00018-1/1-1. 입찰공고문_국문.hwp</x:v>
      </x:c>
      <x:c r="H440" s="43" t="str">
        <x:v>문단 83</x:v>
      </x:c>
      <x:c r="I440" s="46" t="str">
        <x:v>940.41㎡</x:v>
      </x:c>
      <x:c r="J440" s="43" t="str">
        <x:v>자동추출·검토필요</x:v>
      </x:c>
    </x:row>
    <x:row r="441">
      <x:c r="A441" s="43" t="str">
        <x:v>L2025-00018-1</x:v>
      </x:c>
      <x:c r="B441" s="43" t="str">
        <x:v>연면적·면적</x:v>
      </x:c>
      <x:c r="C441" s="46" t="str">
        <x:v>㎡</x:v>
      </x:c>
      <x:c r="D441" s="46" t="str">
        <x:v>2,684.36 ㎡</x:v>
      </x:c>
      <x:c r="E441" s="46" t="str"/>
      <x:c r="F441" s="46" t="str"/>
      <x:c r="G441" s="46" t="str">
        <x:v>L2025-00018-1/1-1. 입찰공고문_국문.hwp</x:v>
      </x:c>
      <x:c r="H441" s="43" t="str">
        <x:v>문단 85</x:v>
      </x:c>
      <x:c r="I441" s="46" t="str">
        <x:v>2,684.36㎡</x:v>
      </x:c>
      <x:c r="J441" s="43" t="str">
        <x:v>자동추출·검토필요</x:v>
      </x:c>
    </x:row>
    <x:row r="442">
      <x:c r="A442" s="43" t="str">
        <x:v>L2025-00018-1</x:v>
      </x:c>
      <x:c r="B442" s="43" t="str">
        <x:v>연면적·면적</x:v>
      </x:c>
      <x:c r="C442" s="46" t="str">
        <x:v>building area</x:v>
      </x:c>
      <x:c r="D442" s="46" t="str">
        <x:v>940.41 m2 | 940.41 m2</x:v>
      </x:c>
      <x:c r="E442" s="46" t="str"/>
      <x:c r="F442" s="46" t="str"/>
      <x:c r="G442" s="46" t="str">
        <x:v>L2025-00018-1/1-2. Bid Data Sheet _영문.docx</x:v>
      </x:c>
      <x:c r="H442" s="43" t="str">
        <x:v>표 4 행 7</x:v>
      </x:c>
      <x:c r="I442" s="46" t="str">
        <x:v>- Building area | 940.41 m2 | 940.41 m2</x:v>
      </x:c>
      <x:c r="J442" s="43" t="str">
        <x:v>자동추출·검토필요</x:v>
      </x:c>
    </x:row>
    <x:row r="443">
      <x:c r="A443" s="43" t="str">
        <x:v>L2025-00018-1</x:v>
      </x:c>
      <x:c r="B443" s="43" t="str">
        <x:v>연면적·면적</x:v>
      </x:c>
      <x:c r="C443" s="46" t="str">
        <x:v>floor area</x:v>
      </x:c>
      <x:c r="D443" s="46" t="str">
        <x:v>2,684.36 m2 | 2,684.36 m2</x:v>
      </x:c>
      <x:c r="E443" s="46" t="str"/>
      <x:c r="F443" s="46" t="str"/>
      <x:c r="G443" s="46" t="str">
        <x:v>L2025-00018-1/1-2. Bid Data Sheet _영문.docx</x:v>
      </x:c>
      <x:c r="H443" s="43" t="str">
        <x:v>표 4 행 8</x:v>
      </x:c>
      <x:c r="I443" s="46" t="str">
        <x:v>- Gross floor area | 2,684.36 m2 | 2,684.36 m2</x:v>
      </x:c>
      <x:c r="J443" s="43" t="str">
        <x:v>자동추출·검토필요</x:v>
      </x:c>
    </x:row>
    <x:row r="444">
      <x:c r="A444" s="43" t="str">
        <x:v>L2025-00016-2</x:v>
      </x:c>
      <x:c r="B444" s="43" t="str">
        <x:v>연면적·면적</x:v>
      </x:c>
      <x:c r="C444" s="46" t="str">
        <x:v>building area</x:v>
      </x:c>
      <x:c r="D444" s="46" t="str">
        <x:v>7,030 m2 | 5,480 m2 | 7,030 m2 | 5,480 m2</x:v>
      </x:c>
      <x:c r="E444" s="46" t="str"/>
      <x:c r="F444" s="46" t="str"/>
      <x:c r="G444" s="46" t="str">
        <x:v>L2025-00016-2/Section 2 - Bid Data Sheet (eng).docx</x:v>
      </x:c>
      <x:c r="H444" s="43" t="str">
        <x:v>표 4 행 7</x:v>
      </x:c>
      <x:c r="I444" s="46" t="str">
        <x:v>- Building area | 1. Workshop zone: 9 building, app. 7,030m2 2. Dormitory zone: 12 building, app. 5,480m2 | 1. Workshop zone: 9 building, app. 7,030m2 2. Dormitory zone: 12 building, app. 5,480m2</x:v>
      </x:c>
      <x:c r="J444" s="43" t="str">
        <x:v>자동추출·검토필요</x:v>
      </x:c>
    </x:row>
    <x:row r="445">
      <x:c r="A445" s="43" t="str">
        <x:v>L2025-00016-2</x:v>
      </x:c>
      <x:c r="B445" s="43" t="str">
        <x:v>연면적·면적</x:v>
      </x:c>
      <x:c r="C445" s="46" t="str">
        <x:v>floor area</x:v>
      </x:c>
      <x:c r="D445" s="46" t="str">
        <x:v>15,500 m2 | 15,500 m2</x:v>
      </x:c>
      <x:c r="E445" s="46" t="str"/>
      <x:c r="F445" s="46" t="str"/>
      <x:c r="G445" s="46" t="str">
        <x:v>L2025-00016-2/Section 2 - Bid Data Sheet (eng).docx</x:v>
      </x:c>
      <x:c r="H445" s="43" t="str">
        <x:v>표 4 행 8</x:v>
      </x:c>
      <x:c r="I445" s="46" t="str">
        <x:v>- Gross floor area | App. 15,500m2 | App. 15,500m2</x:v>
      </x:c>
      <x:c r="J445" s="43" t="str">
        <x:v>자동추출·검토필요</x:v>
      </x:c>
    </x:row>
    <x:row r="446">
      <x:c r="A446" s="43" t="str">
        <x:v>L2025-00016-1</x:v>
      </x:c>
      <x:c r="B446" s="43" t="str">
        <x:v>연면적·면적</x:v>
      </x:c>
      <x:c r="C446" s="46" t="str">
        <x:v>building area</x:v>
      </x:c>
      <x:c r="D446" s="46" t="str">
        <x:v>7,030 m2 | 5,480 m2 | 7,030 m2 | 5,480 m2</x:v>
      </x:c>
      <x:c r="E446" s="46" t="str"/>
      <x:c r="F446" s="46" t="str"/>
      <x:c r="G446" s="46" t="str">
        <x:v>L2025-00016-1/Section 2 - Bid Data Sheet (eng).docx</x:v>
      </x:c>
      <x:c r="H446" s="43" t="str">
        <x:v>표 4 행 7</x:v>
      </x:c>
      <x:c r="I446" s="46" t="str">
        <x:v>- Building area | 1. Workshop zone: 9 building, app. 7,030m2 2. Dormitory zone: 12 building, app. 5,480m2 | 1. Workshop zone: 9 building, app. 7,030m2 2. Dormitory zone: 12 building, app. 5,480m2</x:v>
      </x:c>
      <x:c r="J446" s="43" t="str">
        <x:v>자동추출·검토필요</x:v>
      </x:c>
    </x:row>
    <x:row r="447">
      <x:c r="A447" s="43" t="str">
        <x:v>L2025-00016-1</x:v>
      </x:c>
      <x:c r="B447" s="43" t="str">
        <x:v>연면적·면적</x:v>
      </x:c>
      <x:c r="C447" s="46" t="str">
        <x:v>floor area</x:v>
      </x:c>
      <x:c r="D447" s="46" t="str">
        <x:v>15,500 m2 | 15,500 m2</x:v>
      </x:c>
      <x:c r="E447" s="46" t="str"/>
      <x:c r="F447" s="46" t="str"/>
      <x:c r="G447" s="46" t="str">
        <x:v>L2025-00016-1/Section 2 - Bid Data Sheet (eng).docx</x:v>
      </x:c>
      <x:c r="H447" s="43" t="str">
        <x:v>표 4 행 8</x:v>
      </x:c>
      <x:c r="I447" s="46" t="str">
        <x:v>- Gross floor area | App. 15,500m2 | App. 15,500m2</x:v>
      </x:c>
      <x:c r="J447" s="43" t="str">
        <x:v>자동추출·검토필요</x:v>
      </x:c>
    </x:row>
    <x:row r="448">
      <x:c r="A448" s="43" t="str">
        <x:v>L2025-00014-1</x:v>
      </x:c>
      <x:c r="B448" s="43" t="str">
        <x:v>연면적·면적</x:v>
      </x:c>
      <x:c r="C448" s="46" t="str">
        <x:v>building area</x:v>
      </x:c>
      <x:c r="D448" s="46" t="str">
        <x:v>1,980 M2 | 1,980 M2</x:v>
      </x:c>
      <x:c r="E448" s="46" t="str"/>
      <x:c r="F448" s="46" t="str"/>
      <x:c r="G448" s="46" t="str">
        <x:v>L2025-00014-1/Section 2-Bid Data Sheet.docx</x:v>
      </x:c>
      <x:c r="H448" s="43" t="str">
        <x:v>표 4 행 7</x:v>
      </x:c>
      <x:c r="I448" s="46" t="str">
        <x:v>- Building area | 1,980 M2 | 1,980 M2</x:v>
      </x:c>
      <x:c r="J448" s="43" t="str">
        <x:v>자동추출·검토필요</x:v>
      </x:c>
    </x:row>
    <x:row r="449">
      <x:c r="A449" s="43" t="str">
        <x:v>L2025-00014-1</x:v>
      </x:c>
      <x:c r="B449" s="43" t="str">
        <x:v>연면적·면적</x:v>
      </x:c>
      <x:c r="C449" s="46" t="str">
        <x:v>floor area</x:v>
      </x:c>
      <x:c r="D449" s="46" t="str">
        <x:v>2,554 M2 | 2,554 M2</x:v>
      </x:c>
      <x:c r="E449" s="46" t="str"/>
      <x:c r="F449" s="46" t="str"/>
      <x:c r="G449" s="46" t="str">
        <x:v>L2025-00014-1/Section 2-Bid Data Sheet.docx</x:v>
      </x:c>
      <x:c r="H449" s="43" t="str">
        <x:v>표 4 행 8</x:v>
      </x:c>
      <x:c r="I449" s="46" t="str">
        <x:v>- Gross floor area | 2,554 M2 | 2,554 M2</x:v>
      </x:c>
      <x:c r="J449" s="43" t="str">
        <x:v>자동추출·검토필요</x:v>
      </x:c>
    </x:row>
    <x:row r="450">
      <x:c r="A450" s="43" t="str">
        <x:v>L2025-00014-1</x:v>
      </x:c>
      <x:c r="B450" s="43" t="str">
        <x:v>연면적·면적</x:v>
      </x:c>
      <x:c r="C450" s="46" t="str">
        <x:v>floor area</x:v>
      </x:c>
      <x:c r="D450" s="46" t="str">
        <x:v>2,554 M2</x:v>
      </x:c>
      <x:c r="E450" s="46" t="str"/>
      <x:c r="F450" s="46" t="str"/>
      <x:c r="G450" s="46" t="str">
        <x:v>L2025-00014-1/Section 8-Special Conditions of Contract-게시.docx</x:v>
      </x:c>
      <x:c r="H450" s="43" t="str">
        <x:v>표 1 행 2</x:v>
      </x:c>
      <x:c r="I450" s="46" t="str">
        <x:v>2)Scope of Service | *Location of the Site: National Textile University, Faisalabad *Construction Supervision Service: -Building :2 Main Buildings (Academic, Laboratory) and ther annexes. - Total Floor Area : 2,554 M2</x:v>
      </x:c>
      <x:c r="J450" s="43" t="str">
        <x:v>자동추출·검토필요</x:v>
      </x:c>
    </x:row>
    <x:row r="451">
      <x:c r="A451" s="43" t="str">
        <x:v>L2025-00012-2</x:v>
      </x:c>
      <x:c r="B451" s="43" t="str">
        <x:v>연면적·면적</x:v>
      </x:c>
      <x:c r="C451" s="46" t="str">
        <x:v>㎡</x:v>
      </x:c>
      <x:c r="D451" s="46" t="str">
        <x:v>868.59 ㎡</x:v>
      </x:c>
      <x:c r="E451" s="46" t="str"/>
      <x:c r="F451" s="46" t="str"/>
      <x:c r="G451" s="46" t="str">
        <x:v>L2025-00012-2/(붙임1-2) 영문입찰계획서_Q-Lab_Chacala_Bid Data Sheet (BDS)_20250502.docx</x:v>
      </x:c>
      <x:c r="H451" s="43" t="str">
        <x:v>표 3 행 6</x:v>
      </x:c>
      <x:c r="I451" s="46" t="str">
        <x:v>-Site area | 868.59㎡</x:v>
      </x:c>
      <x:c r="J451" s="43" t="str">
        <x:v>자동추출·검토필요</x:v>
      </x:c>
    </x:row>
    <x:row r="452">
      <x:c r="A452" s="43" t="str">
        <x:v>L2025-00012-2</x:v>
      </x:c>
      <x:c r="B452" s="43" t="str">
        <x:v>연면적·면적</x:v>
      </x:c>
      <x:c r="C452" s="46" t="str">
        <x:v>floor area, ㎡</x:v>
      </x:c>
      <x:c r="D452" s="46" t="str">
        <x:v>87.22 ㎡</x:v>
      </x:c>
      <x:c r="E452" s="46" t="str"/>
      <x:c r="F452" s="46" t="str"/>
      <x:c r="G452" s="46" t="str">
        <x:v>L2025-00012-2/(붙임1-2) 영문입찰계획서_Q-Lab_Chacala_Bid Data Sheet (BDS)_20250502.docx</x:v>
      </x:c>
      <x:c r="H452" s="43" t="str">
        <x:v>표 3 행 7</x:v>
      </x:c>
      <x:c r="I452" s="46" t="str">
        <x:v>-Gross floor area | 87.22㎡</x:v>
      </x:c>
      <x:c r="J452" s="43" t="str">
        <x:v>자동추출·검토필요</x:v>
      </x:c>
    </x:row>
    <x:row r="453">
      <x:c r="A453" s="43" t="str">
        <x:v>L2025-00012-2</x:v>
      </x:c>
      <x:c r="B453" s="43" t="str">
        <x:v>연면적·면적</x:v>
      </x:c>
      <x:c r="C453" s="46" t="str">
        <x:v>㎡</x:v>
      </x:c>
      <x:c r="D453" s="46" t="str">
        <x:v>868.59 ㎡</x:v>
      </x:c>
      <x:c r="E453" s="46" t="str"/>
      <x:c r="F453" s="46" t="str"/>
      <x:c r="G453" s="46" t="str">
        <x:v>L2025-00012-2/(붙임2) 입찰 관련 부속서류/Q-Lab_Chacala_Bidding Doc/Section 2._Q-Lab_Chacala_Bid Data Sheet (BDS)_20250502.docx</x:v>
      </x:c>
      <x:c r="H453" s="43" t="str">
        <x:v>표 3 행 6</x:v>
      </x:c>
      <x:c r="I453" s="46" t="str">
        <x:v>-Site area | 868.59㎡</x:v>
      </x:c>
      <x:c r="J453" s="43" t="str">
        <x:v>자동추출·검토필요</x:v>
      </x:c>
    </x:row>
    <x:row r="454">
      <x:c r="A454" s="43" t="str">
        <x:v>L2025-00012-2</x:v>
      </x:c>
      <x:c r="B454" s="43" t="str">
        <x:v>연면적·면적</x:v>
      </x:c>
      <x:c r="C454" s="46" t="str">
        <x:v>floor area, ㎡</x:v>
      </x:c>
      <x:c r="D454" s="46" t="str">
        <x:v>87.22 ㎡</x:v>
      </x:c>
      <x:c r="E454" s="46" t="str"/>
      <x:c r="F454" s="46" t="str"/>
      <x:c r="G454" s="46" t="str">
        <x:v>L2025-00012-2/(붙임2) 입찰 관련 부속서류/Q-Lab_Chacala_Bidding Doc/Section 2._Q-Lab_Chacala_Bid Data Sheet (BDS)_20250502.docx</x:v>
      </x:c>
      <x:c r="H454" s="43" t="str">
        <x:v>표 3 행 7</x:v>
      </x:c>
      <x:c r="I454" s="46" t="str">
        <x:v>-Gross floor area | 87.22㎡</x:v>
      </x:c>
      <x:c r="J454" s="43" t="str">
        <x:v>자동추출·검토필요</x:v>
      </x:c>
    </x:row>
    <x:row r="455">
      <x:c r="A455" s="43" t="str">
        <x:v>L2025-00012-1</x:v>
      </x:c>
      <x:c r="B455" s="43" t="str">
        <x:v>연면적·면적</x:v>
      </x:c>
      <x:c r="C455" s="46" t="str">
        <x:v>㎡</x:v>
      </x:c>
      <x:c r="D455" s="46" t="str">
        <x:v>868.59 ㎡</x:v>
      </x:c>
      <x:c r="E455" s="46" t="str"/>
      <x:c r="F455" s="46" t="str"/>
      <x:c r="G455" s="46" t="str">
        <x:v>L2025-00012-1/(붙임1-2) 영문입찰계획서_Q-Lab_Chacala_Bid Data Sheet (BDS)_20250502.docx</x:v>
      </x:c>
      <x:c r="H455" s="43" t="str">
        <x:v>표 3 행 6</x:v>
      </x:c>
      <x:c r="I455" s="46" t="str">
        <x:v>-Site area | 868.59㎡</x:v>
      </x:c>
      <x:c r="J455" s="43" t="str">
        <x:v>자동추출·검토필요</x:v>
      </x:c>
    </x:row>
    <x:row r="456">
      <x:c r="A456" s="43" t="str">
        <x:v>L2025-00012-1</x:v>
      </x:c>
      <x:c r="B456" s="43" t="str">
        <x:v>연면적·면적</x:v>
      </x:c>
      <x:c r="C456" s="46" t="str">
        <x:v>floor area, ㎡</x:v>
      </x:c>
      <x:c r="D456" s="46" t="str">
        <x:v>87.22 ㎡</x:v>
      </x:c>
      <x:c r="E456" s="46" t="str"/>
      <x:c r="F456" s="46" t="str"/>
      <x:c r="G456" s="46" t="str">
        <x:v>L2025-00012-1/(붙임1-2) 영문입찰계획서_Q-Lab_Chacala_Bid Data Sheet (BDS)_20250502.docx</x:v>
      </x:c>
      <x:c r="H456" s="43" t="str">
        <x:v>표 3 행 7</x:v>
      </x:c>
      <x:c r="I456" s="46" t="str">
        <x:v>-Gross floor area | 87.22㎡</x:v>
      </x:c>
      <x:c r="J456" s="43" t="str">
        <x:v>자동추출·검토필요</x:v>
      </x:c>
    </x:row>
    <x:row r="457">
      <x:c r="A457" s="43" t="str">
        <x:v>L2025-00012-1</x:v>
      </x:c>
      <x:c r="B457" s="43" t="str">
        <x:v>연면적·면적</x:v>
      </x:c>
      <x:c r="C457" s="46" t="str">
        <x:v>㎡</x:v>
      </x:c>
      <x:c r="D457" s="46" t="str">
        <x:v>868.59 ㎡</x:v>
      </x:c>
      <x:c r="E457" s="46" t="str"/>
      <x:c r="F457" s="46" t="str"/>
      <x:c r="G457" s="46" t="str">
        <x:v>L2025-00012-1/(붙임2) 입찰 관련 부속서류/Q-Lab_Chacala_Bidding Doc/Section 2._Q-Lab_Chacala_Bid Data Sheet (BDS)_20250502.docx</x:v>
      </x:c>
      <x:c r="H457" s="43" t="str">
        <x:v>표 3 행 6</x:v>
      </x:c>
      <x:c r="I457" s="46" t="str">
        <x:v>-Site area | 868.59㎡</x:v>
      </x:c>
      <x:c r="J457" s="43" t="str">
        <x:v>자동추출·검토필요</x:v>
      </x:c>
    </x:row>
    <x:row r="458">
      <x:c r="A458" s="43" t="str">
        <x:v>L2025-00012-1</x:v>
      </x:c>
      <x:c r="B458" s="43" t="str">
        <x:v>연면적·면적</x:v>
      </x:c>
      <x:c r="C458" s="46" t="str">
        <x:v>floor area, ㎡</x:v>
      </x:c>
      <x:c r="D458" s="46" t="str">
        <x:v>87.22 ㎡</x:v>
      </x:c>
      <x:c r="E458" s="46" t="str"/>
      <x:c r="F458" s="46" t="str"/>
      <x:c r="G458" s="46" t="str">
        <x:v>L2025-00012-1/(붙임2) 입찰 관련 부속서류/Q-Lab_Chacala_Bidding Doc/Section 2._Q-Lab_Chacala_Bid Data Sheet (BDS)_20250502.docx</x:v>
      </x:c>
      <x:c r="H458" s="43" t="str">
        <x:v>표 3 행 7</x:v>
      </x:c>
      <x:c r="I458" s="46" t="str">
        <x:v>-Gross floor area | 87.22㎡</x:v>
      </x:c>
      <x:c r="J458" s="43" t="str">
        <x:v>자동추출·검토필요</x:v>
      </x:c>
    </x:row>
    <x:row r="459">
      <x:c r="A459" s="43" t="str">
        <x:v>L2025-00011-1</x:v>
      </x:c>
      <x:c r="B459" s="43" t="str">
        <x:v>연면적·면적</x:v>
      </x:c>
      <x:c r="C459" s="46" t="str">
        <x:v>building area</x:v>
      </x:c>
      <x:c r="D459" s="46" t="str">
        <x:v>1,980 M2 | 1,980 M2</x:v>
      </x:c>
      <x:c r="E459" s="46" t="str"/>
      <x:c r="F459" s="46" t="str"/>
      <x:c r="G459" s="46" t="str">
        <x:v>L2025-00011-1/2. 영문 입찰서류(수정)/Section 2 - Bid Data Sheet.docx</x:v>
      </x:c>
      <x:c r="H459" s="43" t="str">
        <x:v>표 4 행 7</x:v>
      </x:c>
      <x:c r="I459" s="46" t="str">
        <x:v>- Building area | 1,980 M2 | 1,980 M2</x:v>
      </x:c>
      <x:c r="J459" s="43" t="str">
        <x:v>자동추출·검토필요</x:v>
      </x:c>
    </x:row>
    <x:row r="460">
      <x:c r="A460" s="43" t="str">
        <x:v>L2025-00011-1</x:v>
      </x:c>
      <x:c r="B460" s="43" t="str">
        <x:v>연면적·면적</x:v>
      </x:c>
      <x:c r="C460" s="46" t="str">
        <x:v>floor area</x:v>
      </x:c>
      <x:c r="D460" s="46" t="str">
        <x:v>2,554 M2 | 2,554 M2</x:v>
      </x:c>
      <x:c r="E460" s="46" t="str"/>
      <x:c r="F460" s="46" t="str"/>
      <x:c r="G460" s="46" t="str">
        <x:v>L2025-00011-1/2. 영문 입찰서류(수정)/Section 2 - Bid Data Sheet.docx</x:v>
      </x:c>
      <x:c r="H460" s="43" t="str">
        <x:v>표 4 행 8</x:v>
      </x:c>
      <x:c r="I460" s="46" t="str">
        <x:v>- Gross floor area | 2,554 M2 | 2,554 M2</x:v>
      </x:c>
      <x:c r="J460" s="43" t="str">
        <x:v>자동추출·검토필요</x:v>
      </x:c>
    </x:row>
    <x:row r="461">
      <x:c r="A461" s="43" t="str">
        <x:v>L2025-00011-1</x:v>
      </x:c>
      <x:c r="B461" s="43" t="str">
        <x:v>연면적·면적</x:v>
      </x:c>
      <x:c r="C461" s="46" t="str">
        <x:v>floor area, m²</x:v>
      </x:c>
      <x:c r="D461" s="46" t="str">
        <x:v>1,000 m²</x:v>
      </x:c>
      <x:c r="E461" s="46" t="str">
        <x:v>USD 1 million</x:v>
      </x:c>
      <x:c r="F461" s="46" t="str"/>
      <x:c r="G461" s="46" t="str">
        <x:v>L2025-00011-1/2. 영문 입찰서류(수정)/Section 8.1 - KOICA Safety Management Manual(ENG).pdf</x:v>
      </x:c>
      <x:c r="H461" s="43" t="str">
        <x:v>페이지 6</x:v>
      </x:c>
      <x:c r="I461" s="46" t="str">
        <x:v>CHAPTER 1 General Conditions 1. Purpose The purpose of these guidelines is to systematically set out the roles and scope of work for the KOICA, architects, construction managers, contractors, etc. through all stages from the planning stage for the construction project by KOICA to construction completion and to publish and disseminate a manual regarding the safety management work throughout the construction. 2. Scope of Application A. This manual shall be applied to construction projects corresponding to one or more of the following criteria which are required to devise safety management plans such as safety inspections and safety management organizations to secure safety under Article 62 of the Construction Technology Promotion Act. 1) Projects containing constructions with a budget of USD 1 million or more or with a gross floor area of 1,000 m² or more 2) Construction projects other than those in Paragraph 1 above, which are recognized explicitly by KOICA as requiring safety management B. KOICA may separately determine matters other than those prescribed in this manual in connection with the safety management work of those participating in the safety management of a construction p</x:v>
      </x:c>
      <x:c r="J461" s="43" t="str">
        <x:v>자동추출·검토필요</x:v>
      </x:c>
    </x:row>
    <x:row r="462">
      <x:c r="A462" s="43" t="str">
        <x:v>L2025-00010-1</x:v>
      </x:c>
      <x:c r="B462" s="43" t="str">
        <x:v>연면적·면적</x:v>
      </x:c>
      <x:c r="C462" s="46" t="str">
        <x:v>연면적, 대지면적</x:v>
      </x:c>
      <x:c r="D462" s="46" t="str">
        <x:v>721 m2 | 750 m2</x:v>
      </x:c>
      <x:c r="E462" s="46" t="str"/>
      <x:c r="F462" s="46" t="str"/>
      <x:c r="G462" s="46" t="str">
        <x:v>L2025-00010-1/붙임 1. 입찰 계획서_하이나 리모델링_fin.hwp</x:v>
      </x:c>
      <x:c r="H462" s="43" t="str">
        <x:v>문단 72</x:v>
      </x:c>
      <x:c r="I462" s="46" t="str">
        <x:v>대지면적 721m2, 연면적 750m2</x:v>
      </x:c>
      <x:c r="J462" s="43" t="str">
        <x:v>자동추출·검토필요</x:v>
      </x:c>
    </x:row>
    <x:row r="463">
      <x:c r="A463" s="43" t="str">
        <x:v>L2025-00010-1</x:v>
      </x:c>
      <x:c r="B463" s="43" t="str">
        <x:v>연면적·면적</x:v>
      </x:c>
      <x:c r="C463" s="46" t="str">
        <x:v>floor area</x:v>
      </x:c>
      <x:c r="D463" s="46" t="str">
        <x:v>721 m2 | 750 m2 | 721 m2 | 750 m2</x:v>
      </x:c>
      <x:c r="E463" s="46" t="str"/>
      <x:c r="F463" s="46" t="str"/>
      <x:c r="G463" s="46" t="str">
        <x:v>L2025-00010-1/붙임 2. 입찰서류(영문)_최종/Section 2 - Bid Data Sheet (BDS) HVCT_fin.docx</x:v>
      </x:c>
      <x:c r="H463" s="43" t="str">
        <x:v>표 3 행 3</x:v>
      </x:c>
      <x:c r="I463" s="46" t="str">
        <x:v>․ Project Summary | Site area: 721m2 Gross floor area: 750m2 Remodeling of existing two floors and one-story vertical addition on top. | Site area: 721m2 Gross floor area: 750m2 Remodeling of existing two floors and one-story vertical addition on top.</x:v>
      </x:c>
      <x:c r="J463" s="43" t="str">
        <x:v>자동추출·검토필요</x:v>
      </x:c>
    </x:row>
    <x:row r="464">
      <x:c r="A464" s="43" t="str">
        <x:v>L2025-00010-1</x:v>
      </x:c>
      <x:c r="B464" s="43" t="str">
        <x:v>연면적·면적</x:v>
      </x:c>
      <x:c r="C464" s="46" t="str">
        <x:v>floor area</x:v>
      </x:c>
      <x:c r="D464" s="46" t="str">
        <x:v>480 m2 | 750 m2</x:v>
      </x:c>
      <x:c r="E464" s="46" t="str"/>
      <x:c r="F464" s="46" t="str"/>
      <x:c r="G464" s="46" t="str">
        <x:v>L2025-00010-1/붙임 2. 입찰서류(영문)_최종/Section 4 - Terms of Reference (TOR) HVTC_fin.docx</x:v>
      </x:c>
      <x:c r="H464" s="43" t="str">
        <x:v>문단 29</x:v>
      </x:c>
      <x:c r="I464" s="46" t="str">
        <x:v>Established in 1991, KOICA (Korea International Corporation Agency) offering an official development assistance (ODA) program for the Korean Government in partnership with SUPERATE intends to renovate the existing community center for the Haina Vocational Training Center (HVTC). As a part of project implementation, the design of structural upgrade work has been completed in November 2024. To this effect, KOICA (the Employer) solicits an architectural firm (the Consultant) to work with the existing structure of space and surrounding environment to design functional, efficient, and aesthetic HVTC. On a current Gross Floor Area of approx. 480 m2 with a one-story vertical addition, KOICA and SUPERATE intend to create the 750 m2 HVTC that includes CCPP*, CDI*, and related facilities. The Consultant shall proceed with the architectural design based on the Structural Upgrade Package provided by the Employer. All items, including the structural upgrade, are part of the Consultant’s scope of work. The Terms of Reference (TOR) outline the scope of services, design process and guidelines, deliverables, and qualifications and responsibilities of the Consultant.</x:v>
      </x:c>
      <x:c r="J464" s="43" t="str">
        <x:v>자동추출·검토필요</x:v>
      </x:c>
    </x:row>
    <x:row r="465">
      <x:c r="A465" s="43" t="str">
        <x:v>L2025-00010-1</x:v>
      </x:c>
      <x:c r="B465" s="43" t="str">
        <x:v>연면적·면적</x:v>
      </x:c>
      <x:c r="C465" s="46" t="str">
        <x:v>floor area</x:v>
      </x:c>
      <x:c r="D465" s="46" t="str">
        <x:v>750 m2</x:v>
      </x:c>
      <x:c r="E465" s="46" t="str"/>
      <x:c r="F465" s="46" t="str"/>
      <x:c r="G465" s="46" t="str">
        <x:v>L2025-00010-1/붙임 2. 입찰서류(영문)_최종/Section 4 - Terms of Reference (TOR) HVTC_fin.docx</x:v>
      </x:c>
      <x:c r="H465" s="43" t="str">
        <x:v>문단 39</x:v>
      </x:c>
      <x:c r="I465" s="46" t="str">
        <x:v>Gross floor area: approx. 750m2</x:v>
      </x:c>
      <x:c r="J465" s="43" t="str">
        <x:v>자동추출·검토필요</x:v>
      </x:c>
    </x:row>
    <x:row r="466">
      <x:c r="A466" s="43" t="str">
        <x:v>L2025-00009-1</x:v>
      </x:c>
      <x:c r="B466" s="43" t="str">
        <x:v>연면적·면적</x:v>
      </x:c>
      <x:c r="C466" s="46" t="str">
        <x:v>건축면적, 대지면적, ㎡</x:v>
      </x:c>
      <x:c r="D466" s="46" t="str">
        <x:v>2,709.96 ㎡ | 1,656.9 ㎡</x:v>
      </x:c>
      <x:c r="E466" s="46" t="str"/>
      <x:c r="F466" s="46" t="str"/>
      <x:c r="G466" s="46" t="str">
        <x:v>L2025-00009-1/(붙임1) 입찰공고문 (BDS)_페루 제3 한페 의료센터 설계입찰_조달팀 의견 반영_클린ᄇ.hwp</x:v>
      </x:c>
      <x:c r="H466" s="43" t="str">
        <x:v>문단 66</x:v>
      </x:c>
      <x:c r="I466" s="46" t="str">
        <x:v>대지면적 2,709.96㎡, 건축면적 1,656.9㎡</x:v>
      </x:c>
      <x:c r="J466" s="43" t="str">
        <x:v>자동추출·검토필요</x:v>
      </x:c>
    </x:row>
    <x:row r="467">
      <x:c r="A467" s="43" t="str">
        <x:v>L2025-00009-1</x:v>
      </x:c>
      <x:c r="B467" s="43" t="str">
        <x:v>연면적·면적</x:v>
      </x:c>
      <x:c r="C467" s="46" t="str">
        <x:v>건축면적, 대지면적, ㎡</x:v>
      </x:c>
      <x:c r="D467" s="46" t="str">
        <x:v>2,709.96 ㎡ | 1,656.9 ㎡</x:v>
      </x:c>
      <x:c r="E467" s="46" t="str"/>
      <x:c r="F467" s="46" t="str"/>
      <x:c r="G467" s="46" t="str">
        <x:v>L2025-00009-1/(붙임2) 입찰공고문 (BDS)_페루 제3 한페 의료센터 설계입찰_조달팀 의견 반영_사무소 .hwp</x:v>
      </x:c>
      <x:c r="H467" s="43" t="str">
        <x:v>문단 66</x:v>
      </x:c>
      <x:c r="I467" s="46" t="str">
        <x:v>대지면적 2,709.96㎡, 건축면적 1,656.9㎡</x:v>
      </x:c>
      <x:c r="J467" s="43" t="str">
        <x:v>자동추출·검토필요</x:v>
      </x:c>
    </x:row>
    <x:row r="468">
      <x:c r="A468" s="43" t="str">
        <x:v>L2025-00009-1</x:v>
      </x:c>
      <x:c r="B468" s="43" t="str">
        <x:v>연면적·면적</x:v>
      </x:c>
      <x:c r="C468" s="46" t="str">
        <x:v>floor area, ㎡</x:v>
      </x:c>
      <x:c r="D468" s="46" t="str">
        <x:v>2,709.96 ㎡ | 1,656.9 ㎡ | 2,709.96 ㎡ | 1,656.9 ㎡</x:v>
      </x:c>
      <x:c r="E468" s="46" t="str"/>
      <x:c r="F468" s="46" t="str"/>
      <x:c r="G468" s="46" t="str">
        <x:v>L2025-00009-1/(붙임3) 입찰제반서류_공고문/Section 2 - Bid Data Sheet (BDS)_Peru San Juan Health Center_250303.docx</x:v>
      </x:c>
      <x:c r="H468" s="43" t="str">
        <x:v>표 5 행 3</x:v>
      </x:c>
      <x:c r="I468" s="46" t="str">
        <x:v>․ Project Summary | Site area: 2,709.96㎡ Gross floor area: 1,656.9㎡ To enhance the functionality and update aesthetics of the existing facility. | Site area: 2,709.96㎡ Gross floor area: 1,656.9㎡ To enhance the functionality and update aesthetics of the existing facility.</x:v>
      </x:c>
      <x:c r="J468" s="43" t="str">
        <x:v>자동추출·검토필요</x:v>
      </x:c>
    </x:row>
    <x:row r="469">
      <x:c r="A469" s="43" t="str">
        <x:v>L2025-00009-1</x:v>
      </x:c>
      <x:c r="B469" s="43" t="str">
        <x:v>연면적·면적</x:v>
      </x:c>
      <x:c r="C469" s="46" t="str">
        <x:v>㎡</x:v>
      </x:c>
      <x:c r="D469" s="46" t="str">
        <x:v>2,709.96 ㎡</x:v>
      </x:c>
      <x:c r="E469" s="46" t="str"/>
      <x:c r="F469" s="46" t="str"/>
      <x:c r="G469" s="46" t="str">
        <x:v>L2025-00009-1/(붙임3) 입찰제반서류_공고문/Section 4 - Terms of Reference (TOR)_Peru San Juan Health Center_250303.docx</x:v>
      </x:c>
      <x:c r="H469" s="43" t="str">
        <x:v>문단 39</x:v>
      </x:c>
      <x:c r="I469" s="46" t="str">
        <x:v>Project site area: 2,709.96㎡</x:v>
      </x:c>
      <x:c r="J469" s="43" t="str">
        <x:v>자동추출·검토필요</x:v>
      </x:c>
    </x:row>
    <x:row r="470">
      <x:c r="A470" s="43" t="str">
        <x:v>L2025-00009-1</x:v>
      </x:c>
      <x:c r="B470" s="43" t="str">
        <x:v>연면적·면적</x:v>
      </x:c>
      <x:c r="C470" s="46" t="str">
        <x:v>floor area, ㎡</x:v>
      </x:c>
      <x:c r="D470" s="46" t="str">
        <x:v>1,656.90 ㎡</x:v>
      </x:c>
      <x:c r="E470" s="46" t="str"/>
      <x:c r="F470" s="46" t="str"/>
      <x:c r="G470" s="46" t="str">
        <x:v>L2025-00009-1/(붙임3) 입찰제반서류_공고문/Section 4 - Terms of Reference (TOR)_Peru San Juan Health Center_250303.docx</x:v>
      </x:c>
      <x:c r="H470" s="43" t="str">
        <x:v>문단 40</x:v>
      </x:c>
      <x:c r="I470" s="46" t="str">
        <x:v>Gross floor area: 1,656.90㎡</x:v>
      </x:c>
      <x:c r="J470" s="43" t="str">
        <x:v>자동추출·검토필요</x:v>
      </x:c>
    </x:row>
    <x:row r="471">
      <x:c r="A471" s="43" t="str">
        <x:v>L2025-00008-1</x:v>
      </x:c>
      <x:c r="B471" s="43" t="str">
        <x:v>연면적·면적</x:v>
      </x:c>
      <x:c r="C471" s="46" t="str">
        <x:v>building area, ㎡</x:v>
      </x:c>
      <x:c r="D471" s="46" t="str">
        <x:v>404.94 ㎡ | 106.8 ㎡ | 16.1 ㎡ | 12.08 ㎡ | 404.94 ㎡ | 106.8 ㎡ | 16.1 ㎡ | 12.08 ㎡</x:v>
      </x:c>
      <x:c r="E471" s="46" t="str"/>
      <x:c r="F471" s="46" t="str"/>
      <x:c r="G471" s="46" t="str">
        <x:v>L2025-00008-1/Tender document full set_Kajiado_0219 rev/Section 2 - Bid Data Sheet (eng)_0219.docx</x:v>
      </x:c>
      <x:c r="H471" s="43" t="str">
        <x:v>표 4 행 7</x:v>
      </x:c>
      <x:c r="I471" s="46" t="str">
        <x:v>- Building area | Three locations totaling 404.94㎡ (One location: Main building 106.8㎡, external restroom 16.1㎡, external kitchen 12.08㎡). | Three locations totaling 404.94㎡ (One location: Main building 106.8㎡, external restroom 16.1㎡, external kitchen 12.08㎡).</x:v>
      </x:c>
      <x:c r="J471" s="43" t="str">
        <x:v>자동추출·검토필요</x:v>
      </x:c>
    </x:row>
    <x:row r="472">
      <x:c r="A472" s="43" t="str">
        <x:v>L2025-00008-1</x:v>
      </x:c>
      <x:c r="B472" s="43" t="str">
        <x:v>연면적·면적</x:v>
      </x:c>
      <x:c r="C472" s="46" t="str">
        <x:v>floor area, ㎡</x:v>
      </x:c>
      <x:c r="D472" s="46" t="str">
        <x:v>404.94 ㎡ | 404.94 ㎡</x:v>
      </x:c>
      <x:c r="E472" s="46" t="str"/>
      <x:c r="F472" s="46" t="str"/>
      <x:c r="G472" s="46" t="str">
        <x:v>L2025-00008-1/Tender document full set_Kajiado_0219 rev/Section 2 - Bid Data Sheet (eng)_0219.docx</x:v>
      </x:c>
      <x:c r="H472" s="43" t="str">
        <x:v>표 4 행 8</x:v>
      </x:c>
      <x:c r="I472" s="46" t="str">
        <x:v>- Gross floor area | 404.94㎡ | 404.94㎡</x:v>
      </x:c>
      <x:c r="J472" s="43" t="str">
        <x:v>자동추출·검토필요</x:v>
      </x:c>
    </x:row>
    <x:row r="473">
      <x:c r="A473" s="43" t="str">
        <x:v>L2025-00008-1</x:v>
      </x:c>
      <x:c r="B473" s="43" t="str">
        <x:v>연면적·면적</x:v>
      </x:c>
      <x:c r="C473" s="46" t="str">
        <x:v>floor area, ㎡</x:v>
      </x:c>
      <x:c r="D473" s="46" t="str">
        <x:v>134.98 ㎡ | 134.98 ㎡ | 134.98 ㎡ | 134.98 ㎡ | 134.98 ㎡ | 134.98 ㎡</x:v>
      </x:c>
      <x:c r="E473" s="46" t="str"/>
      <x:c r="F473" s="46" t="str"/>
      <x:c r="G473" s="46" t="str">
        <x:v>L2025-00008-1/Tender document full set_Kajiado_0219 rev/Section 2 - Bid Data Sheet (eng)_0219.docx</x:v>
      </x:c>
      <x:c r="H473" s="43" t="str">
        <x:v>표 4 행 11</x:v>
      </x:c>
      <x:c r="I473" s="46" t="str">
        <x:v>- Scope of Works | Construction of medical facilities in three locations 1. Oltepesi (New, gross floor area 134.98㎡) 2. Ngatataek (New, gross floor area 134.98㎡) 3. Elangata Enkima (New, gross floor area 134.98㎡) | Construction of medical facilities in three locations 1. Oltepesi (New, gross floor area 134.98㎡) 2. Ngatataek (New, gross floor area 134.98㎡) 3. Elangata Enkima (New, gross floor area 134.98㎡)</x:v>
      </x:c>
      <x:c r="J473" s="43" t="str">
        <x:v>자동추출·검토필요</x:v>
      </x:c>
    </x:row>
    <x:row r="474">
      <x:c r="A474" s="43" t="str">
        <x:v>L2025-00007-2</x:v>
      </x:c>
      <x:c r="B474" s="43" t="str">
        <x:v>연면적·면적</x:v>
      </x:c>
      <x:c r="C474" s="46" t="str">
        <x:v>대지면적, ㎡</x:v>
      </x:c>
      <x:c r="D474" s="46" t="str">
        <x:v>2,282.82 ㎡</x:v>
      </x:c>
      <x:c r="E474" s="46" t="str"/>
      <x:c r="F474" s="46" t="str"/>
      <x:c r="G474" s="46" t="str">
        <x:v>L2025-00007-2/붙임 1. 입찰 계획서(국문).hwp</x:v>
      </x:c>
      <x:c r="H474" s="43" t="str">
        <x:v>문단 81</x:v>
      </x:c>
      <x:c r="I474" s="46" t="str">
        <x:v>ㅇ 대지면적: 2,282.82㎡</x:v>
      </x:c>
      <x:c r="J474" s="43" t="str">
        <x:v>자동추출·검토필요</x:v>
      </x:c>
    </x:row>
    <x:row r="475">
      <x:c r="A475" s="43" t="str">
        <x:v>L2025-00007-2</x:v>
      </x:c>
      <x:c r="B475" s="43" t="str">
        <x:v>연면적·면적</x:v>
      </x:c>
      <x:c r="C475" s="46" t="str">
        <x:v>연면적, ㎡</x:v>
      </x:c>
      <x:c r="D475" s="46" t="str">
        <x:v>936.2 ㎡</x:v>
      </x:c>
      <x:c r="E475" s="46" t="str"/>
      <x:c r="F475" s="46" t="str"/>
      <x:c r="G475" s="46" t="str">
        <x:v>L2025-00007-2/붙임 1. 입찰 계획서(국문).hwp</x:v>
      </x:c>
      <x:c r="H475" s="43" t="str">
        <x:v>문단 82</x:v>
      </x:c>
      <x:c r="I475" s="46" t="str">
        <x:v>ㅇ 연면적: 936.2㎡</x:v>
      </x:c>
      <x:c r="J475" s="43" t="str">
        <x:v>자동추출·검토필요</x:v>
      </x:c>
    </x:row>
    <x:row r="476">
      <x:c r="A476" s="43" t="str">
        <x:v>L2025-00007-2</x:v>
      </x:c>
      <x:c r="B476" s="43" t="str">
        <x:v>연면적·면적</x:v>
      </x:c>
      <x:c r="C476" s="46" t="str">
        <x:v>연면적, ㎡</x:v>
      </x:c>
      <x:c r="D476" s="46" t="str">
        <x:v>840 ㎡</x:v>
      </x:c>
      <x:c r="E476" s="46" t="str"/>
      <x:c r="F476" s="46" t="str"/>
      <x:c r="G476" s="46" t="str">
        <x:v>L2025-00007-2/붙임 1. 입찰 계획서(국문).hwp</x:v>
      </x:c>
      <x:c r="H476" s="43" t="str">
        <x:v>문단 118</x:v>
      </x:c>
      <x:c r="I476" s="46" t="str">
        <x:v>다. 입찰공고일 기준 최근 5년 이내 단일건물 연면적 840㎡ 이상인 공사 준공실적, 설계실적 또는 감리실적 1건 이상 수행 완료한 자.</x:v>
      </x:c>
      <x:c r="J476" s="43" t="str">
        <x:v>자동추출·검토필요</x:v>
      </x:c>
    </x:row>
    <x:row r="477">
      <x:c r="A477" s="43" t="str">
        <x:v>L2025-00007-2</x:v>
      </x:c>
      <x:c r="B477" s="43" t="str">
        <x:v>연면적·면적</x:v>
      </x:c>
      <x:c r="C477" s="46" t="str">
        <x:v>㎡</x:v>
      </x:c>
      <x:c r="D477" s="46" t="str">
        <x:v>840 ㎡</x:v>
      </x:c>
      <x:c r="E477" s="46" t="str"/>
      <x:c r="F477" s="46" t="str"/>
      <x:c r="G477" s="46" t="str">
        <x:v>L2025-00007-2/붙임 1. 입찰 계획서(국문).hwp</x:v>
      </x:c>
      <x:c r="H477" s="43" t="str">
        <x:v>문단 481</x:v>
      </x:c>
      <x:c r="I477" s="46" t="str">
        <x:v>입찰공고일 기준 최근 5년 이내 840㎡ 이상인 교육시설, 노유자</x:v>
      </x:c>
      <x:c r="J477" s="43" t="str">
        <x:v>자동추출·검토필요</x:v>
      </x:c>
    </x:row>
    <x:row r="478">
      <x:c r="A478" s="43" t="str">
        <x:v>L2025-00007-2</x:v>
      </x:c>
      <x:c r="B478" s="43" t="str">
        <x:v>연면적·면적</x:v>
      </x:c>
      <x:c r="C478" s="46" t="str">
        <x:v>㎡</x:v>
      </x:c>
      <x:c r="D478" s="46" t="str">
        <x:v>840 ㎡</x:v>
      </x:c>
      <x:c r="E478" s="46" t="str"/>
      <x:c r="F478" s="46" t="str"/>
      <x:c r="G478" s="46" t="str">
        <x:v>L2025-00007-2/붙임 1. 입찰 계획서(국문).hwp</x:v>
      </x:c>
      <x:c r="H478" s="43" t="str">
        <x:v>문단 483</x:v>
      </x:c>
      <x:c r="I478" s="46" t="str">
        <x:v>(평가 : 840㎡ 이상 실적합계)</x:v>
      </x:c>
      <x:c r="J478" s="43" t="str">
        <x:v>자동추출·검토필요</x:v>
      </x:c>
    </x:row>
    <x:row r="479">
      <x:c r="A479" s="43" t="str">
        <x:v>L2025-00007-2</x:v>
      </x:c>
      <x:c r="B479" s="43" t="str">
        <x:v>연면적·면적</x:v>
      </x:c>
      <x:c r="C479" s="46" t="str">
        <x:v>연면적, ㎡</x:v>
      </x:c>
      <x:c r="D479" s="46" t="str">
        <x:v>840 ㎡</x:v>
      </x:c>
      <x:c r="E479" s="46" t="str"/>
      <x:c r="F479" s="46" t="str"/>
      <x:c r="G479" s="46" t="str">
        <x:v>L2025-00007-2/붙임 1. 입찰 계획서(국문).hwp</x:v>
      </x:c>
      <x:c r="H479" s="43" t="str">
        <x:v>문단 502</x:v>
      </x:c>
      <x:c r="I479" s="46" t="str">
        <x:v>2) 유사사업: 입찰공고일 기준 5년 이내 국내외 용역 수행 완료 실적 중 건당 연면적 840㎡ 이상의 교육, 노유자시설(아동관련시설), 업무시설 용도의 단일건물 공사 감리실적</x:v>
      </x:c>
      <x:c r="J479" s="43" t="str">
        <x:v>자동추출·검토필요</x:v>
      </x:c>
    </x:row>
    <x:row r="480">
      <x:c r="A480" s="43" t="str">
        <x:v>L2025-00007-2</x:v>
      </x:c>
      <x:c r="B480" s="43" t="str">
        <x:v>연면적·면적</x:v>
      </x:c>
      <x:c r="C480" s="46" t="str">
        <x:v>㎡</x:v>
      </x:c>
      <x:c r="D480" s="46" t="str">
        <x:v>840 ㎡</x:v>
      </x:c>
      <x:c r="E480" s="46" t="str"/>
      <x:c r="F480" s="46" t="str"/>
      <x:c r="G480" s="46" t="str">
        <x:v>L2025-00007-2/붙임 2. 입찰 공고문(영문)/Section 2 - Bid Data Sheet (BDS)_MVC (Supervision)_20250404_┼¼╕░.docx</x:v>
      </x:c>
      <x:c r="H480" s="43" t="str">
        <x:v>문단 54</x:v>
      </x:c>
      <x:c r="I480" s="46" t="str">
        <x:v>The Bidder should have completed at least one similar project in construction, design, or supervision with at least 840㎡ (GFA) in the Dominican Republic within the last 5 years.</x:v>
      </x:c>
      <x:c r="J480" s="43" t="str">
        <x:v>자동추출·검토필요</x:v>
      </x:c>
    </x:row>
    <x:row r="481">
      <x:c r="A481" s="43" t="str">
        <x:v>L2025-00007-2</x:v>
      </x:c>
      <x:c r="B481" s="43" t="str">
        <x:v>연면적·면적</x:v>
      </x:c>
      <x:c r="C481" s="46" t="str">
        <x:v>㎡</x:v>
      </x:c>
      <x:c r="D481" s="46" t="str">
        <x:v>2,282.82 ㎡</x:v>
      </x:c>
      <x:c r="E481" s="46" t="str"/>
      <x:c r="F481" s="46" t="str"/>
      <x:c r="G481" s="46" t="str">
        <x:v>L2025-00007-2/붙임 2. 입찰 공고문(영문)/Section 2 - Bid Data Sheet (BDS)_MVC (Supervision)_20250404_┼¼╕░.docx</x:v>
      </x:c>
      <x:c r="H481" s="43" t="str">
        <x:v>표 2 행 5</x:v>
      </x:c>
      <x:c r="I481" s="46" t="str">
        <x:v>Site Area | 2,282.82 ㎡</x:v>
      </x:c>
      <x:c r="J481" s="43" t="str">
        <x:v>자동추출·검토필요</x:v>
      </x:c>
    </x:row>
    <x:row r="482">
      <x:c r="A482" s="43" t="str">
        <x:v>L2025-00007-2</x:v>
      </x:c>
      <x:c r="B482" s="43" t="str">
        <x:v>연면적·면적</x:v>
      </x:c>
      <x:c r="C482" s="46" t="str">
        <x:v>floor area, ㎡</x:v>
      </x:c>
      <x:c r="D482" s="46" t="str">
        <x:v>936.2 ㎡</x:v>
      </x:c>
      <x:c r="E482" s="46" t="str"/>
      <x:c r="F482" s="46" t="str"/>
      <x:c r="G482" s="46" t="str">
        <x:v>L2025-00007-2/붙임 2. 입찰 공고문(영문)/Section 2 - Bid Data Sheet (BDS)_MVC (Supervision)_20250404_┼¼╕░.docx</x:v>
      </x:c>
      <x:c r="H482" s="43" t="str">
        <x:v>표 2 행 6</x:v>
      </x:c>
      <x:c r="I482" s="46" t="str">
        <x:v>Gross Floor Area | 936.2 ㎡</x:v>
      </x:c>
      <x:c r="J482" s="43" t="str">
        <x:v>자동추출·검토필요</x:v>
      </x:c>
    </x:row>
    <x:row r="483">
      <x:c r="A483" s="43" t="str">
        <x:v>L2025-00007-2</x:v>
      </x:c>
      <x:c r="B483" s="43" t="str">
        <x:v>연면적·면적</x:v>
      </x:c>
      <x:c r="C483" s="46" t="str">
        <x:v>㎡</x:v>
      </x:c>
      <x:c r="D483" s="46" t="str">
        <x:v>840 ㎡</x:v>
      </x:c>
      <x:c r="E483" s="46" t="str"/>
      <x:c r="F483" s="46" t="str"/>
      <x:c r="G483" s="46" t="str">
        <x:v>L2025-00007-2/붙임 2. 입찰 공고문(영문)/Section 2 - Bid Data Sheet (BDS)_MVC (Supervision)_20250404_┼¼╕░.docx</x:v>
      </x:c>
      <x:c r="H483" s="43" t="str">
        <x:v>표 6 행 3</x:v>
      </x:c>
      <x:c r="I483" s="46" t="str">
        <x:v>Performance Record | Similar Project Experience within the last 5 years. Base Evaluation Grade (E.G.): 840㎡ G.F.A | 6 | 10</x:v>
      </x:c>
      <x:c r="J483" s="43" t="str">
        <x:v>자동추출·검토필요</x:v>
      </x:c>
    </x:row>
    <x:row r="484">
      <x:c r="A484" s="43" t="str">
        <x:v>L2025-00007-2</x:v>
      </x:c>
      <x:c r="B484" s="43" t="str">
        <x:v>연면적·면적</x:v>
      </x:c>
      <x:c r="C484" s="46" t="str">
        <x:v>floor area</x:v>
      </x:c>
      <x:c r="D484" s="46" t="str">
        <x:v>840 m2 | 840 m2</x:v>
      </x:c>
      <x:c r="E484" s="46" t="str"/>
      <x:c r="F484" s="46" t="str">
        <x:v>100%</x:v>
      </x:c>
      <x:c r="G484" s="46" t="str">
        <x:v>L2025-00007-2/붙임 2. 입찰 공고문(영문)/Section 2 - Bid Data Sheet (BDS)_MVC (Supervision)_20250404_┼¼╕░.docx</x:v>
      </x:c>
      <x:c r="H484" s="43" t="str">
        <x:v>표 8 행 2</x:v>
      </x:c>
      <x:c r="I484"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100% or more | 6.0</x:v>
      </x:c>
      <x:c r="J484" s="43" t="str">
        <x:v>자동추출·검토필요</x:v>
      </x:c>
    </x:row>
    <x:row r="485">
      <x:c r="A485" s="43" t="str">
        <x:v>L2025-00007-2</x:v>
      </x:c>
      <x:c r="B485" s="43" t="str">
        <x:v>연면적·면적</x:v>
      </x:c>
      <x:c r="C485" s="46" t="str">
        <x:v>floor area</x:v>
      </x:c>
      <x:c r="D485" s="46" t="str">
        <x:v>840 m2 | 840 m2</x:v>
      </x:c>
      <x:c r="E485" s="46" t="str"/>
      <x:c r="F485" s="46" t="str">
        <x:v>70% | 100%</x:v>
      </x:c>
      <x:c r="G485" s="46" t="str">
        <x:v>L2025-00007-2/붙임 2. 입찰 공고문(영문)/Section 2 - Bid Data Sheet (BDS)_MVC (Supervision)_20250404_┼¼╕░.docx</x:v>
      </x:c>
      <x:c r="H485" s="43" t="str">
        <x:v>표 8 행 3</x:v>
      </x:c>
      <x:c r="I485"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Between 70%～100% | 5.5</x:v>
      </x:c>
      <x:c r="J485" s="43" t="str">
        <x:v>자동추출·검토필요</x:v>
      </x:c>
    </x:row>
    <x:row r="486">
      <x:c r="A486" s="43" t="str">
        <x:v>L2025-00007-2</x:v>
      </x:c>
      <x:c r="B486" s="43" t="str">
        <x:v>연면적·면적</x:v>
      </x:c>
      <x:c r="C486" s="46" t="str">
        <x:v>floor area</x:v>
      </x:c>
      <x:c r="D486" s="46" t="str">
        <x:v>840 m2 | 840 m2</x:v>
      </x:c>
      <x:c r="E486" s="46" t="str"/>
      <x:c r="F486" s="46" t="str">
        <x:v>40% | 700%</x:v>
      </x:c>
      <x:c r="G486" s="46" t="str">
        <x:v>L2025-00007-2/붙임 2. 입찰 공고문(영문)/Section 2 - Bid Data Sheet (BDS)_MVC (Supervision)_20250404_┼¼╕░.docx</x:v>
      </x:c>
      <x:c r="H486" s="43" t="str">
        <x:v>표 8 행 4</x:v>
      </x:c>
      <x:c r="I486"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Between 40%～700% | 5.0</x:v>
      </x:c>
      <x:c r="J486" s="43" t="str">
        <x:v>자동추출·검토필요</x:v>
      </x:c>
    </x:row>
    <x:row r="487">
      <x:c r="A487" s="43" t="str">
        <x:v>L2025-00007-2</x:v>
      </x:c>
      <x:c r="B487" s="43" t="str">
        <x:v>연면적·면적</x:v>
      </x:c>
      <x:c r="C487" s="46" t="str">
        <x:v>floor area</x:v>
      </x:c>
      <x:c r="D487" s="46" t="str">
        <x:v>840 m2 | 840 m2</x:v>
      </x:c>
      <x:c r="E487" s="46" t="str"/>
      <x:c r="F487" s="46" t="str">
        <x:v>10% | 40%</x:v>
      </x:c>
      <x:c r="G487" s="46" t="str">
        <x:v>L2025-00007-2/붙임 2. 입찰 공고문(영문)/Section 2 - Bid Data Sheet (BDS)_MVC (Supervision)_20250404_┼¼╕░.docx</x:v>
      </x:c>
      <x:c r="H487" s="43" t="str">
        <x:v>표 8 행 5</x:v>
      </x:c>
      <x:c r="I487"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Between 10%～40% | 4.5</x:v>
      </x:c>
      <x:c r="J487" s="43" t="str">
        <x:v>자동추출·검토필요</x:v>
      </x:c>
    </x:row>
    <x:row r="488">
      <x:c r="A488" s="43" t="str">
        <x:v>L2025-00007-2</x:v>
      </x:c>
      <x:c r="B488" s="43" t="str">
        <x:v>연면적·면적</x:v>
      </x:c>
      <x:c r="C488" s="46" t="str">
        <x:v>floor area</x:v>
      </x:c>
      <x:c r="D488" s="46" t="str">
        <x:v>840 m2 | 840 m2</x:v>
      </x:c>
      <x:c r="E488" s="46" t="str"/>
      <x:c r="F488" s="46" t="str">
        <x:v>10%</x:v>
      </x:c>
      <x:c r="G488" s="46" t="str">
        <x:v>L2025-00007-2/붙임 2. 입찰 공고문(영문)/Section 2 - Bid Data Sheet (BDS)_MVC (Supervision)_20250404_┼¼╕░.docx</x:v>
      </x:c>
      <x:c r="H488" s="43" t="str">
        <x:v>표 8 행 6</x:v>
      </x:c>
      <x:c r="I488"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Less than 10% | 4.2</x:v>
      </x:c>
      <x:c r="J488" s="43" t="str">
        <x:v>자동추출·검토필요</x:v>
      </x:c>
    </x:row>
    <x:row r="489">
      <x:c r="A489" s="43" t="str">
        <x:v>L2025-00007-1</x:v>
      </x:c>
      <x:c r="B489" s="43" t="str">
        <x:v>연면적·면적</x:v>
      </x:c>
      <x:c r="C489" s="46" t="str">
        <x:v>㎡</x:v>
      </x:c>
      <x:c r="D489" s="46" t="str">
        <x:v>840 ㎡</x:v>
      </x:c>
      <x:c r="E489" s="46" t="str"/>
      <x:c r="F489" s="46" t="str"/>
      <x:c r="G489" s="46" t="str">
        <x:v>L2025-00007-1/Section 2 - Bid Data Sheet (BDS)_MVC (Supervision)_20250224_클린_추가.docx</x:v>
      </x:c>
      <x:c r="H489" s="43" t="str">
        <x:v>문단 53</x:v>
      </x:c>
      <x:c r="I489" s="46" t="str">
        <x:v>The Bidder should have completed at least one similar project in construction, design, or supervision with at least 840㎡ (GFA) in the Dominican Republic within the last 5 years.</x:v>
      </x:c>
      <x:c r="J489" s="43" t="str">
        <x:v>자동추출·검토필요</x:v>
      </x:c>
    </x:row>
    <x:row r="490">
      <x:c r="A490" s="43" t="str">
        <x:v>L2025-00007-1</x:v>
      </x:c>
      <x:c r="B490" s="43" t="str">
        <x:v>연면적·면적</x:v>
      </x:c>
      <x:c r="C490" s="46" t="str">
        <x:v>㎡</x:v>
      </x:c>
      <x:c r="D490" s="46" t="str">
        <x:v>2,282.82 ㎡</x:v>
      </x:c>
      <x:c r="E490" s="46" t="str"/>
      <x:c r="F490" s="46" t="str"/>
      <x:c r="G490" s="46" t="str">
        <x:v>L2025-00007-1/Section 2 - Bid Data Sheet (BDS)_MVC (Supervision)_20250224_클린_추가.docx</x:v>
      </x:c>
      <x:c r="H490" s="43" t="str">
        <x:v>표 2 행 5</x:v>
      </x:c>
      <x:c r="I490" s="46" t="str">
        <x:v>Site Area | 2,282.82 ㎡</x:v>
      </x:c>
      <x:c r="J490" s="43" t="str">
        <x:v>자동추출·검토필요</x:v>
      </x:c>
    </x:row>
    <x:row r="491">
      <x:c r="A491" s="43" t="str">
        <x:v>L2025-00007-1</x:v>
      </x:c>
      <x:c r="B491" s="43" t="str">
        <x:v>연면적·면적</x:v>
      </x:c>
      <x:c r="C491" s="46" t="str">
        <x:v>floor area, ㎡</x:v>
      </x:c>
      <x:c r="D491" s="46" t="str">
        <x:v>936.2 ㎡</x:v>
      </x:c>
      <x:c r="E491" s="46" t="str"/>
      <x:c r="F491" s="46" t="str"/>
      <x:c r="G491" s="46" t="str">
        <x:v>L2025-00007-1/Section 2 - Bid Data Sheet (BDS)_MVC (Supervision)_20250224_클린_추가.docx</x:v>
      </x:c>
      <x:c r="H491" s="43" t="str">
        <x:v>표 2 행 6</x:v>
      </x:c>
      <x:c r="I491" s="46" t="str">
        <x:v>Gross Floor Area | 936.2 ㎡</x:v>
      </x:c>
      <x:c r="J491" s="43" t="str">
        <x:v>자동추출·검토필요</x:v>
      </x:c>
    </x:row>
    <x:row r="492">
      <x:c r="A492" s="43" t="str">
        <x:v>L2025-00007-1</x:v>
      </x:c>
      <x:c r="B492" s="43" t="str">
        <x:v>연면적·면적</x:v>
      </x:c>
      <x:c r="C492" s="46" t="str">
        <x:v>㎡</x:v>
      </x:c>
      <x:c r="D492" s="46" t="str">
        <x:v>840 ㎡</x:v>
      </x:c>
      <x:c r="E492" s="46" t="str"/>
      <x:c r="F492" s="46" t="str"/>
      <x:c r="G492" s="46" t="str">
        <x:v>L2025-00007-1/Section 2 - Bid Data Sheet (BDS)_MVC (Supervision)_20250224_클린_추가.docx</x:v>
      </x:c>
      <x:c r="H492" s="43" t="str">
        <x:v>표 6 행 3</x:v>
      </x:c>
      <x:c r="I492" s="46" t="str">
        <x:v>Performance Record | Similar Project Experience within the last 5 years. Base Evaluation Grade (E.G.): 840㎡ G.F.A | 6 | 10</x:v>
      </x:c>
      <x:c r="J492" s="43" t="str">
        <x:v>자동추출·검토필요</x:v>
      </x:c>
    </x:row>
    <x:row r="493">
      <x:c r="A493" s="43" t="str">
        <x:v>L2025-00007-1</x:v>
      </x:c>
      <x:c r="B493" s="43" t="str">
        <x:v>연면적·면적</x:v>
      </x:c>
      <x:c r="C493" s="46" t="str">
        <x:v>floor area</x:v>
      </x:c>
      <x:c r="D493" s="46" t="str">
        <x:v>840 m2 | 840 m2</x:v>
      </x:c>
      <x:c r="E493" s="46" t="str"/>
      <x:c r="F493" s="46" t="str">
        <x:v>100%</x:v>
      </x:c>
      <x:c r="G493" s="46" t="str">
        <x:v>L2025-00007-1/Section 2 - Bid Data Sheet (BDS)_MVC (Supervision)_20250224_클린_추가.docx</x:v>
      </x:c>
      <x:c r="H493" s="43" t="str">
        <x:v>표 8 행 2</x:v>
      </x:c>
      <x:c r="I493"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100% or more | 6.0</x:v>
      </x:c>
      <x:c r="J493" s="43" t="str">
        <x:v>자동추출·검토필요</x:v>
      </x:c>
    </x:row>
    <x:row r="494">
      <x:c r="A494" s="43" t="str">
        <x:v>L2025-00007-1</x:v>
      </x:c>
      <x:c r="B494" s="43" t="str">
        <x:v>연면적·면적</x:v>
      </x:c>
      <x:c r="C494" s="46" t="str">
        <x:v>floor area</x:v>
      </x:c>
      <x:c r="D494" s="46" t="str">
        <x:v>840 m2 | 840 m2</x:v>
      </x:c>
      <x:c r="E494" s="46" t="str"/>
      <x:c r="F494" s="46" t="str">
        <x:v>70% | 100%</x:v>
      </x:c>
      <x:c r="G494" s="46" t="str">
        <x:v>L2025-00007-1/Section 2 - Bid Data Sheet (BDS)_MVC (Supervision)_20250224_클린_추가.docx</x:v>
      </x:c>
      <x:c r="H494" s="43" t="str">
        <x:v>표 8 행 3</x:v>
      </x:c>
      <x:c r="I494"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Between 70%～100% | 5.5</x:v>
      </x:c>
      <x:c r="J494" s="43" t="str">
        <x:v>자동추출·검토필요</x:v>
      </x:c>
    </x:row>
    <x:row r="495">
      <x:c r="A495" s="43" t="str">
        <x:v>L2025-00007-1</x:v>
      </x:c>
      <x:c r="B495" s="43" t="str">
        <x:v>연면적·면적</x:v>
      </x:c>
      <x:c r="C495" s="46" t="str">
        <x:v>floor area</x:v>
      </x:c>
      <x:c r="D495" s="46" t="str">
        <x:v>840 m2 | 840 m2</x:v>
      </x:c>
      <x:c r="E495" s="46" t="str"/>
      <x:c r="F495" s="46" t="str">
        <x:v>40% | 700%</x:v>
      </x:c>
      <x:c r="G495" s="46" t="str">
        <x:v>L2025-00007-1/Section 2 - Bid Data Sheet (BDS)_MVC (Supervision)_20250224_클린_추가.docx</x:v>
      </x:c>
      <x:c r="H495" s="43" t="str">
        <x:v>표 8 행 4</x:v>
      </x:c>
      <x:c r="I495"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Between 40%～700% | 5.0</x:v>
      </x:c>
      <x:c r="J495" s="43" t="str">
        <x:v>자동추출·검토필요</x:v>
      </x:c>
    </x:row>
    <x:row r="496">
      <x:c r="A496" s="43" t="str">
        <x:v>L2025-00007-1</x:v>
      </x:c>
      <x:c r="B496" s="43" t="str">
        <x:v>연면적·면적</x:v>
      </x:c>
      <x:c r="C496" s="46" t="str">
        <x:v>floor area</x:v>
      </x:c>
      <x:c r="D496" s="46" t="str">
        <x:v>840 m2 | 840 m2</x:v>
      </x:c>
      <x:c r="E496" s="46" t="str"/>
      <x:c r="F496" s="46" t="str">
        <x:v>10% | 40%</x:v>
      </x:c>
      <x:c r="G496" s="46" t="str">
        <x:v>L2025-00007-1/Section 2 - Bid Data Sheet (BDS)_MVC (Supervision)_20250224_클린_추가.docx</x:v>
      </x:c>
      <x:c r="H496" s="43" t="str">
        <x:v>표 8 행 5</x:v>
      </x:c>
      <x:c r="I496"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Between 10%～40% | 4.5</x:v>
      </x:c>
      <x:c r="J496" s="43" t="str">
        <x:v>자동추출·검토필요</x:v>
      </x:c>
    </x:row>
    <x:row r="497">
      <x:c r="A497" s="43" t="str">
        <x:v>L2025-00007-1</x:v>
      </x:c>
      <x:c r="B497" s="43" t="str">
        <x:v>연면적·면적</x:v>
      </x:c>
      <x:c r="C497" s="46" t="str">
        <x:v>floor area</x:v>
      </x:c>
      <x:c r="D497" s="46" t="str">
        <x:v>840 m2 | 840 m2</x:v>
      </x:c>
      <x:c r="E497" s="46" t="str"/>
      <x:c r="F497" s="46" t="str">
        <x:v>10%</x:v>
      </x:c>
      <x:c r="G497" s="46" t="str">
        <x:v>L2025-00007-1/Section 2 - Bid Data Sheet (BDS)_MVC (Supervision)_20250224_클린_추가.docx</x:v>
      </x:c>
      <x:c r="H497" s="43" t="str">
        <x:v>표 8 행 6</x:v>
      </x:c>
      <x:c r="I497" s="46" t="str">
        <x:v>Project Experience (6 Points) | Sum of gross floor Area (G.F.A) of similar project experiences above 840m2 for the last 5 years as of bid submission date *Construction, Design, Supervision project related to Educational, Office, Social welfare, Training facilities **EG(%)=( Sum of G.F.A ÷ 840m2) × 100 (%) | Less than 10% | 4.2</x:v>
      </x:c>
      <x:c r="J497" s="43" t="str">
        <x:v>자동추출·검토필요</x:v>
      </x:c>
    </x:row>
    <x:row r="498">
      <x:c r="A498" s="43" t="str">
        <x:v>L2025-00007-1</x:v>
      </x:c>
      <x:c r="B498" s="43" t="str">
        <x:v>연면적·면적</x:v>
      </x:c>
      <x:c r="C498" s="46" t="str">
        <x:v>대지면적, ㎡</x:v>
      </x:c>
      <x:c r="D498" s="46" t="str">
        <x:v>2,282.82 ㎡</x:v>
      </x:c>
      <x:c r="E498" s="46" t="str"/>
      <x:c r="F498" s="46" t="str"/>
      <x:c r="G498" s="46" t="str">
        <x:v>L2025-00007-1/붙임 1. 입찰 계획서(국문).hwp</x:v>
      </x:c>
      <x:c r="H498" s="43" t="str">
        <x:v>문단 81</x:v>
      </x:c>
      <x:c r="I498" s="46" t="str">
        <x:v>ㅇ 대지면적: 2,282.82㎡</x:v>
      </x:c>
      <x:c r="J498" s="43" t="str">
        <x:v>자동추출·검토필요</x:v>
      </x:c>
    </x:row>
    <x:row r="499">
      <x:c r="A499" s="43" t="str">
        <x:v>L2025-00007-1</x:v>
      </x:c>
      <x:c r="B499" s="43" t="str">
        <x:v>연면적·면적</x:v>
      </x:c>
      <x:c r="C499" s="46" t="str">
        <x:v>연면적, ㎡</x:v>
      </x:c>
      <x:c r="D499" s="46" t="str">
        <x:v>936.2 ㎡</x:v>
      </x:c>
      <x:c r="E499" s="46" t="str"/>
      <x:c r="F499" s="46" t="str"/>
      <x:c r="G499" s="46" t="str">
        <x:v>L2025-00007-1/붙임 1. 입찰 계획서(국문).hwp</x:v>
      </x:c>
      <x:c r="H499" s="43" t="str">
        <x:v>문단 82</x:v>
      </x:c>
      <x:c r="I499" s="46" t="str">
        <x:v>ㅇ 연면적: 936.2㎡</x:v>
      </x:c>
      <x:c r="J499" s="43" t="str">
        <x:v>자동추출·검토필요</x:v>
      </x:c>
    </x:row>
    <x:row r="500">
      <x:c r="A500" s="43" t="str">
        <x:v>L2025-00007-1</x:v>
      </x:c>
      <x:c r="B500" s="43" t="str">
        <x:v>연면적·면적</x:v>
      </x:c>
      <x:c r="C500" s="46" t="str">
        <x:v>연면적, ㎡</x:v>
      </x:c>
      <x:c r="D500" s="46" t="str">
        <x:v>840 ㎡</x:v>
      </x:c>
      <x:c r="E500" s="46" t="str"/>
      <x:c r="F500" s="46" t="str"/>
      <x:c r="G500" s="46" t="str">
        <x:v>L2025-00007-1/붙임 1. 입찰 계획서(국문).hwp</x:v>
      </x:c>
      <x:c r="H500" s="43" t="str">
        <x:v>문단 118</x:v>
      </x:c>
      <x:c r="I500" s="46" t="str">
        <x:v>다. 입찰공고일 기준 최근 5년 이내 단일건물 연면적 840㎡ 이상인 공사 준공실적, 설계실적 또는 감리실적 1건 이상 수행 완료한 자.</x:v>
      </x:c>
      <x:c r="J500" s="43" t="str">
        <x:v>자동추출·검토필요</x:v>
      </x:c>
    </x:row>
    <x:row r="501">
      <x:c r="A501" s="43" t="str">
        <x:v>L2025-00007-1</x:v>
      </x:c>
      <x:c r="B501" s="43" t="str">
        <x:v>연면적·면적</x:v>
      </x:c>
      <x:c r="C501" s="46" t="str">
        <x:v>㎡</x:v>
      </x:c>
      <x:c r="D501" s="46" t="str">
        <x:v>840 ㎡</x:v>
      </x:c>
      <x:c r="E501" s="46" t="str"/>
      <x:c r="F501" s="46" t="str"/>
      <x:c r="G501" s="46" t="str">
        <x:v>L2025-00007-1/붙임 1. 입찰 계획서(국문).hwp</x:v>
      </x:c>
      <x:c r="H501" s="43" t="str">
        <x:v>문단 479</x:v>
      </x:c>
      <x:c r="I501" s="46" t="str">
        <x:v>입찰공고일 기준 최근 5년 이내 840㎡ 이상인 교육시설, 노유자</x:v>
      </x:c>
      <x:c r="J501" s="43" t="str">
        <x:v>자동추출·검토필요</x:v>
      </x:c>
    </x:row>
    <x:row r="502">
      <x:c r="A502" s="43" t="str">
        <x:v>L2025-00007-1</x:v>
      </x:c>
      <x:c r="B502" s="43" t="str">
        <x:v>연면적·면적</x:v>
      </x:c>
      <x:c r="C502" s="46" t="str">
        <x:v>㎡</x:v>
      </x:c>
      <x:c r="D502" s="46" t="str">
        <x:v>840 ㎡</x:v>
      </x:c>
      <x:c r="E502" s="46" t="str"/>
      <x:c r="F502" s="46" t="str"/>
      <x:c r="G502" s="46" t="str">
        <x:v>L2025-00007-1/붙임 1. 입찰 계획서(국문).hwp</x:v>
      </x:c>
      <x:c r="H502" s="43" t="str">
        <x:v>문단 481</x:v>
      </x:c>
      <x:c r="I502" s="46" t="str">
        <x:v>(평가 : 840㎡ 이상 실적합계)</x:v>
      </x:c>
      <x:c r="J502" s="43" t="str">
        <x:v>자동추출·검토필요</x:v>
      </x:c>
    </x:row>
    <x:row r="503">
      <x:c r="A503" s="43" t="str">
        <x:v>L2025-00007-1</x:v>
      </x:c>
      <x:c r="B503" s="43" t="str">
        <x:v>연면적·면적</x:v>
      </x:c>
      <x:c r="C503" s="46" t="str">
        <x:v>연면적, ㎡</x:v>
      </x:c>
      <x:c r="D503" s="46" t="str">
        <x:v>840 ㎡</x:v>
      </x:c>
      <x:c r="E503" s="46" t="str"/>
      <x:c r="F503" s="46" t="str"/>
      <x:c r="G503" s="46" t="str">
        <x:v>L2025-00007-1/붙임 1. 입찰 계획서(국문).hwp</x:v>
      </x:c>
      <x:c r="H503" s="43" t="str">
        <x:v>문단 500</x:v>
      </x:c>
      <x:c r="I503" s="46" t="str">
        <x:v>2) 유사사업: 입찰공고일 기준 5년 이내 국내외 용역 수행 완료 실적 중 건당 연면적 840㎡ 이상의 교육, 노유자시설(아동관련시설), 업무시설 용도의 단일건물 공사 감리실적</x:v>
      </x:c>
      <x:c r="J503" s="43" t="str">
        <x:v>자동추출·검토필요</x:v>
      </x:c>
    </x:row>
    <x:row r="504">
      <x:c r="A504" s="43" t="str">
        <x:v>L2025-00002-1</x:v>
      </x:c>
      <x:c r="B504" s="43" t="str">
        <x:v>연면적·면적</x:v>
      </x:c>
      <x:c r="C504" s="46" t="str">
        <x:v>building area</x:v>
      </x:c>
      <x:c r="D504" s="46" t="str">
        <x:v>929.58 m2</x:v>
      </x:c>
      <x:c r="E504" s="46" t="str"/>
      <x:c r="F504" s="46" t="str"/>
      <x:c r="G504" s="46" t="str">
        <x:v>L2025-00002-1/Section 2 - Bid Data Sheet_Final.docx</x:v>
      </x:c>
      <x:c r="H504" s="43" t="str">
        <x:v>표 4 행 7</x:v>
      </x:c>
      <x:c r="I504" s="46" t="str">
        <x:v>- Building area | 929.58m2</x:v>
      </x:c>
      <x:c r="J504" s="43" t="str">
        <x:v>자동추출·검토필요</x:v>
      </x:c>
    </x:row>
    <x:row r="505">
      <x:c r="A505" s="43" t="str">
        <x:v>L2025-00002-1</x:v>
      </x:c>
      <x:c r="B505" s="43" t="str">
        <x:v>연면적·면적</x:v>
      </x:c>
      <x:c r="C505" s="46" t="str">
        <x:v>floor area</x:v>
      </x:c>
      <x:c r="D505" s="46" t="str">
        <x:v>2,457.53 m2</x:v>
      </x:c>
      <x:c r="E505" s="46" t="str"/>
      <x:c r="F505" s="46" t="str"/>
      <x:c r="G505" s="46" t="str">
        <x:v>L2025-00002-1/Section 2 - Bid Data Sheet_Final.docx</x:v>
      </x:c>
      <x:c r="H505" s="43" t="str">
        <x:v>표 4 행 8</x:v>
      </x:c>
      <x:c r="I505" s="46" t="str">
        <x:v>- Gross floor area | 2,457.53m2</x:v>
      </x:c>
      <x:c r="J505" s="43" t="str">
        <x:v>자동추출·검토필요</x:v>
      </x:c>
    </x:row>
    <x:row r="506">
      <x:c r="A506" s="43" t="str">
        <x:v>L2025-00002-1</x:v>
      </x:c>
      <x:c r="B506" s="43" t="str">
        <x:v>연면적·면적</x:v>
      </x:c>
      <x:c r="C506" s="46" t="str">
        <x:v>floor area, building area</x:v>
      </x:c>
      <x:c r="D506" s="46" t="str">
        <x:v>2,571.00 m2 | 929.58 m2 | 2,457.53 m2</x:v>
      </x:c>
      <x:c r="E506" s="46" t="str">
        <x:v>USD 2,361,000 | USD 2,337,390</x:v>
      </x:c>
      <x:c r="F506" s="46" t="str"/>
      <x:c r="G506" s="46" t="str">
        <x:v>L2025-00002-1/Section 2 - Bid Data Sheet_Final.pdf</x:v>
      </x:c>
      <x:c r="H506" s="43" t="str">
        <x:v>페이지 6</x:v>
      </x:c>
      <x:c r="I506" s="46" t="str">
        <x:v>A. Brief of Bidding ․ Invitation No. L2025-00002-1 Bidding for the General Contract for Construction Works of Cyber ․ Bid Title Security Vocational Center in Indonesia ․ Summary of Construction PSSN, Jl. Raya H. Usa, Putat Nutug, Kec. Ciseeng, Kabupaten - Location Bogor, Jawa Barat, Indonesia 16120 - Program Education - Site area 2,571.00m2 - Building area 929.58m2 - Gross floor area 2,457.53m2 3 Story Main building, 1 Story Ancillary Building with Basement - Building scale STPM - Structure RC 1) Structure, Architecture, Interior, MEPF, Civil, Landscape works 2) Connecting of Power, Telecom, Portable Water, Sewer Line, etc. - Scope of Works 3) Overall construction works based on the design 4) Providing the shop drawings and as-built drawings for the construction works - Scheduled Construction Period 13 months after commencement work Until 14 months from the date of signing the contract ․ Duration (Shall commence within 14 days from the date of signing the contract) ․ Project Budget USD 2,361,000 (Be exclusive of VAT and other applicable indirect taxes) USD 2,337,390(Final Estimated Price will be decided on the ․ Project Estimated Price bid opening) ○ Currency: United States Dollar </x:v>
      </x:c>
      <x:c r="J506" s="43" t="str">
        <x:v>자동추출·검토필요</x:v>
      </x:c>
    </x:row>
    <x:row r="507">
      <x:c r="A507" s="43" t="str">
        <x:v>L2024-00079-1</x:v>
      </x:c>
      <x:c r="B507" s="43" t="str">
        <x:v>연면적·면적</x:v>
      </x:c>
      <x:c r="C507" s="46" t="str">
        <x:v>building area</x:v>
      </x:c>
      <x:c r="D507" s="46" t="str">
        <x:v>1,563.66 m2</x:v>
      </x:c>
      <x:c r="E507" s="46" t="str"/>
      <x:c r="F507" s="46" t="str"/>
      <x:c r="G507" s="46" t="str">
        <x:v>L2024-00079-1/2. 포카라시 녹색일자리 창출사업 시공사 선정 BID DOCUMENTS(영문)_241217.docx</x:v>
      </x:c>
      <x:c r="H507" s="43" t="str">
        <x:v>표 5 행 7</x:v>
      </x:c>
      <x:c r="I507" s="46" t="str">
        <x:v>Building Area | 1,563.66m2</x:v>
      </x:c>
      <x:c r="J507" s="43" t="str">
        <x:v>자동추출·검토필요</x:v>
      </x:c>
    </x:row>
    <x:row r="508">
      <x:c r="A508" s="43" t="str">
        <x:v>L2024-00079-1</x:v>
      </x:c>
      <x:c r="B508" s="43" t="str">
        <x:v>연면적·면적</x:v>
      </x:c>
      <x:c r="C508" s="46" t="str">
        <x:v>floor area</x:v>
      </x:c>
      <x:c r="D508" s="46" t="str">
        <x:v>4,996.62 m2</x:v>
      </x:c>
      <x:c r="E508" s="46" t="str"/>
      <x:c r="F508" s="46" t="str"/>
      <x:c r="G508" s="46" t="str">
        <x:v>L2024-00079-1/2. 포카라시 녹색일자리 창출사업 시공사 선정 BID DOCUMENTS(영문)_241217.docx</x:v>
      </x:c>
      <x:c r="H508" s="43" t="str">
        <x:v>표 5 행 8</x:v>
      </x:c>
      <x:c r="I508" s="46" t="str">
        <x:v>Gross Floor Area | 4,996.62m2(including 1 basement)</x:v>
      </x:c>
      <x:c r="J508" s="43" t="str">
        <x:v>자동추출·검토필요</x:v>
      </x:c>
    </x:row>
    <x:row r="509">
      <x:c r="A509" s="43" t="str">
        <x:v>L2024-00078-1</x:v>
      </x:c>
      <x:c r="B509" s="43" t="str">
        <x:v>연면적·면적</x:v>
      </x:c>
      <x:c r="C509" s="46" t="str">
        <x:v>대지면적, ㎡</x:v>
      </x:c>
      <x:c r="D509" s="46" t="str">
        <x:v>2,282.82 ㎡</x:v>
      </x:c>
      <x:c r="E509" s="46" t="str"/>
      <x:c r="F509" s="46" t="str"/>
      <x:c r="G509" s="46" t="str">
        <x:v>L2024-00078-1/(241219) 입찰 계획서(국문)_CM, 조달 의견 반영_v05_클린.hwp</x:v>
      </x:c>
      <x:c r="H509" s="43" t="str">
        <x:v>문단 77</x:v>
      </x:c>
      <x:c r="I509" s="46" t="str">
        <x:v>ㅇ 대지면적 : 2,282.82㎡</x:v>
      </x:c>
      <x:c r="J509" s="43" t="str">
        <x:v>자동추출·검토필요</x:v>
      </x:c>
    </x:row>
    <x:row r="510">
      <x:c r="A510" s="43" t="str">
        <x:v>L2024-00078-1</x:v>
      </x:c>
      <x:c r="B510" s="43" t="str">
        <x:v>연면적·면적</x:v>
      </x:c>
      <x:c r="C510" s="46" t="str">
        <x:v>연면적, ㎡</x:v>
      </x:c>
      <x:c r="D510" s="46" t="str">
        <x:v>936.2 ㎡</x:v>
      </x:c>
      <x:c r="E510" s="46" t="str"/>
      <x:c r="F510" s="46" t="str"/>
      <x:c r="G510" s="46" t="str">
        <x:v>L2024-00078-1/(241219) 입찰 계획서(국문)_CM, 조달 의견 반영_v05_클린.hwp</x:v>
      </x:c>
      <x:c r="H510" s="43" t="str">
        <x:v>문단 78</x:v>
      </x:c>
      <x:c r="I510" s="46" t="str">
        <x:v>ㅇ 연면적 : 936.2㎡</x:v>
      </x:c>
      <x:c r="J510" s="43" t="str">
        <x:v>자동추출·검토필요</x:v>
      </x:c>
    </x:row>
    <x:row r="511">
      <x:c r="A511" s="43" t="str">
        <x:v>L2024-00078-1</x:v>
      </x:c>
      <x:c r="B511" s="43" t="str">
        <x:v>연면적·면적</x:v>
      </x:c>
      <x:c r="C511" s="46" t="str">
        <x:v>㎡</x:v>
      </x:c>
      <x:c r="D511" s="46" t="str">
        <x:v>2,282.82 ㎡ | 2,282.82 ㎡</x:v>
      </x:c>
      <x:c r="E511" s="46" t="str"/>
      <x:c r="F511" s="46" t="str"/>
      <x:c r="G511" s="46" t="str">
        <x:v>L2024-00078-1/★ Field Orientation Information.docx</x:v>
      </x:c>
      <x:c r="H511" s="43" t="str">
        <x:v>표 1 행 6</x:v>
      </x:c>
      <x:c r="I511" s="46" t="str">
        <x:v>Site Area | 2,282.82㎡ | 2,282.82㎡</x:v>
      </x:c>
      <x:c r="J511" s="43" t="str">
        <x:v>자동추출·검토필요</x:v>
      </x:c>
    </x:row>
    <x:row r="512">
      <x:c r="A512" s="43" t="str">
        <x:v>L2024-00078-1</x:v>
      </x:c>
      <x:c r="B512" s="43" t="str">
        <x:v>연면적·면적</x:v>
      </x:c>
      <x:c r="C512" s="46" t="str">
        <x:v>floor area, ㎡</x:v>
      </x:c>
      <x:c r="D512" s="46" t="str">
        <x:v>936.2 ㎡ | 936.2 ㎡</x:v>
      </x:c>
      <x:c r="E512" s="46" t="str"/>
      <x:c r="F512" s="46" t="str"/>
      <x:c r="G512" s="46" t="str">
        <x:v>L2024-00078-1/★ Field Orientation Information.docx</x:v>
      </x:c>
      <x:c r="H512" s="43" t="str">
        <x:v>표 1 행 7</x:v>
      </x:c>
      <x:c r="I512" s="46" t="str">
        <x:v>Gross floor area | 936.2㎡ | 936.2㎡</x:v>
      </x:c>
      <x:c r="J512" s="43" t="str">
        <x:v>자동추출·검토필요</x:v>
      </x:c>
    </x:row>
    <x:row r="513">
      <x:c r="A513" s="43" t="str">
        <x:v>L2024-00078-1</x:v>
      </x:c>
      <x:c r="B513" s="43" t="str">
        <x:v>연면적·면적</x:v>
      </x:c>
      <x:c r="C513" s="46" t="str">
        <x:v>floor area, m²</x:v>
      </x:c>
      <x:c r="D513" s="46" t="str">
        <x:v>1,000 m²</x:v>
      </x:c>
      <x:c r="E513" s="46" t="str">
        <x:v>USD 1 million</x:v>
      </x:c>
      <x:c r="F513" s="46" t="str"/>
      <x:c r="G513" s="46" t="str">
        <x:v>L2024-00078-1/0. Attachment_MVC (Construction)_fin/Attachment 4. KOICA Safety Management Manual(ENG).pdf</x:v>
      </x:c>
      <x:c r="H513" s="43" t="str">
        <x:v>페이지 6</x:v>
      </x:c>
      <x:c r="I513" s="46" t="str">
        <x:v>CHAPTER 1 General Conditions 1. Purpose The purpose of these guidelines is to systematically set out the roles and scope of work for the KOICA, architects, construction managers, contractors, etc. through all stages from the planning stage for the construction project by KOICA to construction completion and to publish and disseminate a manual regarding the safety management work throughout the construction. 2. Scope of Application A. This manual shall be applied to construction projects corresponding to one or more of the following criteria which are required to devise safety management plans such as safety inspections and safety management organizations to secure safety under Article 62 of the Construction Technology Promotion Act. 1) Projects containing constructions with a budget of USD 1 million or more or with a gross floor area of 1,000 m² or more 2) Construction projects other than those in Paragraph 1 above, which are recognized explicitly by KOICA as requiring safety management B. KOICA may separately determine matters other than those prescribed in this manual in connection with the safety management work of those participating in the safety management of a construction p</x:v>
      </x:c>
      <x:c r="J513" s="43" t="str">
        <x:v>자동추출·검토필요</x:v>
      </x:c>
    </x:row>
    <x:row r="514">
      <x:c r="A514" s="43" t="str">
        <x:v>L2024-00078-1</x:v>
      </x:c>
      <x:c r="B514" s="43" t="str">
        <x:v>연면적·면적</x:v>
      </x:c>
      <x:c r="C514" s="46" t="str">
        <x:v>floor area, ㎡</x:v>
      </x:c>
      <x:c r="D514" s="46" t="str">
        <x:v>2,282.82 ㎡ | 936.2 ㎡</x:v>
      </x:c>
      <x:c r="E514" s="46" t="str"/>
      <x:c r="F514" s="46" t="str"/>
      <x:c r="G514" s="46" t="str">
        <x:v>L2024-00078-1/0. Attachment_MVC (Construction)_fin/Attachment 5. Scope of Works_MVC Construction.pdf</x:v>
      </x:c>
      <x:c r="H514" s="43" t="str">
        <x:v>페이지 1</x:v>
      </x:c>
      <x:c r="I514" s="46" t="str">
        <x:v>[Attachment] Scope of Works Scope of Works 1. PROJECT INFORMATION. 1.1 Overview  KOICA (Korea International Cooperation Agency) requires a Contractor to provide construction services for the Construction of the Monte Cristi Vocational Training Center (MVC), Dominican Republic. The Monte Cristi Vocational Center facility will be owned and operated by Supérate. and will serve to strengthen educational capacity. 1.2 Summary of the Project  Project name: Monte Cristi Vocational Training Center (MVC), Dominican Republic.  Location: Calle Los Ceballos, Distrito Municipal Hatillo Palma del municipio Guayubín, Monte Cristi  Site area: 2,282.82㎡  Gross floor area: 936.2㎡  Program: a) CDI(Centro de Desarrollo Infantil) – Infant Care, Nursing, Lactation, Office. b) CSC(Centro de Superacion Comunitario) – Training Room (Multipurpose lecture, Sewing, IT, Beauty, and Cooking, Food process, etc.), Office, etc c) Utility Service Area (Transformer, Water pump, Water Tank, Outdoor gas station) 1.3 Description of Works  Building a) Structural, architectural works b) Mechanical works including plumbing, sanitary, ventilation and heating system, c) Electrical, communication works including telep</x:v>
      </x:c>
      <x:c r="J514" s="43" t="str">
        <x:v>자동추출·검토필요</x:v>
      </x:c>
    </x:row>
    <x:row r="515">
      <x:c r="A515" s="43" t="str">
        <x:v>L2024-00078-1</x:v>
      </x:c>
      <x:c r="B515" s="43" t="str">
        <x:v>연면적·면적</x:v>
      </x:c>
      <x:c r="C515" s="46" t="str">
        <x:v>㎡</x:v>
      </x:c>
      <x:c r="D515" s="46" t="str">
        <x:v>2,282.82 ㎡ | 2,282.82 ㎡</x:v>
      </x:c>
      <x:c r="E515" s="46" t="str"/>
      <x:c r="F515" s="46" t="str"/>
      <x:c r="G515" s="46" t="str">
        <x:v>L2024-00078-1/Section 2 Bid data sheet_MVC Construction_v05_CLEAN.docx</x:v>
      </x:c>
      <x:c r="H515" s="43" t="str">
        <x:v>표 2 행 6</x:v>
      </x:c>
      <x:c r="I515" s="46" t="str">
        <x:v>Site Area | 2,282.82㎡ | 2,282.82㎡</x:v>
      </x:c>
      <x:c r="J515" s="43" t="str">
        <x:v>자동추출·검토필요</x:v>
      </x:c>
    </x:row>
    <x:row r="516">
      <x:c r="A516" s="43" t="str">
        <x:v>L2024-00078-1</x:v>
      </x:c>
      <x:c r="B516" s="43" t="str">
        <x:v>연면적·면적</x:v>
      </x:c>
      <x:c r="C516" s="46" t="str">
        <x:v>floor area, ㎡</x:v>
      </x:c>
      <x:c r="D516" s="46" t="str">
        <x:v>936.2 ㎡ | 936.2 ㎡</x:v>
      </x:c>
      <x:c r="E516" s="46" t="str"/>
      <x:c r="F516" s="46" t="str"/>
      <x:c r="G516" s="46" t="str">
        <x:v>L2024-00078-1/Section 2 Bid data sheet_MVC Construction_v05_CLEAN.docx</x:v>
      </x:c>
      <x:c r="H516" s="43" t="str">
        <x:v>표 2 행 7</x:v>
      </x:c>
      <x:c r="I516" s="46" t="str">
        <x:v>Gross floor area | 936.2㎡ | 936.2㎡</x:v>
      </x:c>
      <x:c r="J516" s="43" t="str">
        <x:v>자동추출·검토필요</x:v>
      </x:c>
    </x:row>
    <x:row r="517">
      <x:c r="A517" s="43" t="str">
        <x:v>L2024-00078-1</x:v>
      </x:c>
      <x:c r="B517" s="43" t="str">
        <x:v>연면적·면적</x:v>
      </x:c>
      <x:c r="C517" s="46" t="str">
        <x:v>square meter</x:v>
      </x:c>
      <x:c r="D517" s="46" t="str">
        <x:v>2,228.75 square meters | 2339 m2</x:v>
      </x:c>
      <x:c r="E517" s="46" t="str"/>
      <x:c r="F517" s="46" t="str"/>
      <x:c r="G517" s="46" t="str">
        <x:v>L2024-00078-1/Section 6_Specification_fin/DATA AND COMUNICATION - IT FULL SPECIFICATION .pdf</x:v>
      </x:c>
      <x:c r="H517" s="43" t="str">
        <x:v>페이지 2</x:v>
      </x:c>
      <x:c r="I517" s="46" t="str">
        <x:v>INFORMATION AND TELECOMMUNICATION SYSTEM 1. GENERAL The objective of this Report is to present the development of the calculations and specifications necessary, as well as the description of the technical characteristics, for the creation of data. The calculations and definitions of this Report will carry out the corresponding procedures and legalizations for the installation of data in the referenced Project. The installation that we will describe in this Report is located in Monte Cristi. 2. DESIGN CRITERIA 2.1. DESCRIPTION. The KOIKA project, the Monte Cristi Vocational Training Center is a Capacity Building project for the Empowerment of Women through Technical Training and Gender Mainstreaming, this project is located on Ceballos Street, Hatillo Palma, Monte Cristi, in the Dominican Republic. The land has an area of 2,228.75 square meters, this number of meters was corroborated with the topographical evaluation of the land, in TOR the surface of the land is approximately 2339m2. As part of the technological equipment necessary to guarantee the operation and security of the building system, it integrates the implementation of an INFORMATION AND TELECOMMUNICATIONS (IT) system, w</x:v>
      </x:c>
      <x:c r="J517" s="43" t="str">
        <x:v>자동추출·검토필요</x:v>
      </x:c>
    </x:row>
    <x:row r="518">
      <x:c r="A518" s="43" t="str">
        <x:v>L2024-00078-1</x:v>
      </x:c>
      <x:c r="B518" s="43" t="str">
        <x:v>연면적·면적</x:v>
      </x:c>
      <x:c r="C518" s="46" t="str">
        <x:v>square meter</x:v>
      </x:c>
      <x:c r="D518" s="46" t="str">
        <x:v>2,228.75 square meters | 2339 m2 | 1,100 m2 | 990 m2</x:v>
      </x:c>
      <x:c r="E518" s="46" t="str"/>
      <x:c r="F518" s="46" t="str"/>
      <x:c r="G518" s="46" t="str">
        <x:v>L2024-00078-1/Section 6_Specification_fin/ELECTRICAL FULL SPECIFICATIONS .pdf</x:v>
      </x:c>
      <x:c r="H518" s="43" t="str">
        <x:v>페이지 2</x:v>
      </x:c>
      <x:c r="I518" s="46" t="str">
        <x:v>FULL SPECIFICATIONS - MONTE CRISTI VOCATIONAL TRAINING CENTER, DOMINICAN REPUBLIC 1. GENERAL The objective of this Report is to present the development of the calculations and specifications necessary, as well as the description of the technical characteristics, for the execution of the electrical installations. The calculations and definitions of this Report will carry out the corresponding procedures and legalizations for the installation of electricity in the referenced Project. The installation that we will describe in this Report is located in Monte Cristi. 2. DESIGN CRITERIA 2.1. DESCRIPTION. The KOIKA project, the Monte Cristi Vocational Training Center is a Capacity Building project for the Empowerment of Women through Technical Training and Gender Mainstreaming, this project is located on Ceballos Street, Hatillo Palma, Monte Cristi, in the Dominican Republic. The land has an area of 2,228.75 square meters, this number of meters was corroborated with the topographic evaluation of the land, in TOR the surface of the land is approximately 2339m2. With an estimated demand of 100.29KVA, the project stands out as an educational/social enclave, committed to the urbanization stan</x:v>
      </x:c>
      <x:c r="J518" s="43" t="str">
        <x:v>자동추출·검토필요</x:v>
      </x:c>
    </x:row>
    <x:row r="519">
      <x:c r="A519" s="43" t="str">
        <x:v>L2024-00076-1</x:v>
      </x:c>
      <x:c r="B519" s="43" t="str">
        <x:v>연면적·면적</x:v>
      </x:c>
      <x:c r="C519" s="46" t="str">
        <x:v>건축면적, 대지면적, ㎡</x:v>
      </x:c>
      <x:c r="D519" s="46" t="str">
        <x:v>8,200 ㎡ | 4,283 ㎡</x:v>
      </x:c>
      <x:c r="E519" s="46" t="str"/>
      <x:c r="F519" s="46" t="str"/>
      <x:c r="G519" s="46" t="str">
        <x:v>L2024-00076-1/1. 페루 시험 퇴비화 플랜트 국문입찰공고문.hwp</x:v>
      </x:c>
      <x:c r="H519" s="43" t="str">
        <x:v>문단 61</x:v>
      </x:c>
      <x:c r="I519" s="46" t="str">
        <x:v>대지면적 8,200㎡, 건축면적 4,283㎡</x:v>
      </x:c>
      <x:c r="J519" s="43" t="str">
        <x:v>자동추출·검토필요</x:v>
      </x:c>
    </x:row>
    <x:row r="520">
      <x:c r="A520" s="43" t="str">
        <x:v>L2024-00075-1</x:v>
      </x:c>
      <x:c r="B520" s="43" t="str">
        <x:v>연면적·면적</x:v>
      </x:c>
      <x:c r="C520" s="46" t="str">
        <x:v>building area</x:v>
      </x:c>
      <x:c r="D520" s="46" t="str">
        <x:v>700 m2 | 700 m2</x:v>
      </x:c>
      <x:c r="E520" s="46" t="str"/>
      <x:c r="F520" s="46" t="str"/>
      <x:c r="G520" s="46" t="str">
        <x:v>L2024-00075-1/Section 2 - Bid Data Sheet (영문)_수정_1118.docx</x:v>
      </x:c>
      <x:c r="H520" s="43" t="str">
        <x:v>표 4 행 7</x:v>
      </x:c>
      <x:c r="I520" s="46" t="str">
        <x:v>- Building area | 700m2 | 700m2</x:v>
      </x:c>
      <x:c r="J520" s="43" t="str">
        <x:v>자동추출·검토필요</x:v>
      </x:c>
    </x:row>
    <x:row r="521">
      <x:c r="A521" s="43" t="str">
        <x:v>L2024-00075-1</x:v>
      </x:c>
      <x:c r="B521" s="43" t="str">
        <x:v>연면적·면적</x:v>
      </x:c>
      <x:c r="C521" s="46" t="str">
        <x:v>floor area</x:v>
      </x:c>
      <x:c r="D521" s="46" t="str">
        <x:v>700 m2 | 700 m2</x:v>
      </x:c>
      <x:c r="E521" s="46" t="str"/>
      <x:c r="F521" s="46" t="str"/>
      <x:c r="G521" s="46" t="str">
        <x:v>L2024-00075-1/Section 2 - Bid Data Sheet (영문)_수정_1118.docx</x:v>
      </x:c>
      <x:c r="H521" s="43" t="str">
        <x:v>표 4 행 8</x:v>
      </x:c>
      <x:c r="I521" s="46" t="str">
        <x:v>- Gross floor area | 700m2 | 700m2</x:v>
      </x:c>
      <x:c r="J521" s="43" t="str">
        <x:v>자동추출·검토필요</x:v>
      </x:c>
    </x:row>
    <x:row r="522">
      <x:c r="A522" s="43" t="str">
        <x:v>L2024-00075-1</x:v>
      </x:c>
      <x:c r="B522" s="43" t="str">
        <x:v>연면적·면적</x:v>
      </x:c>
      <x:c r="C522" s="46" t="str">
        <x:v>floor area, building area</x:v>
      </x:c>
      <x:c r="D522" s="46" t="str">
        <x:v>8,069 m2 | 700 m2 | 700 m2</x:v>
      </x:c>
      <x:c r="E522" s="46" t="str">
        <x:v>USD 624,034 | USD 608,433</x:v>
      </x:c>
      <x:c r="F522" s="46" t="str"/>
      <x:c r="G522" s="46" t="str">
        <x:v>L2024-00075-1/Section 2 - Bid Data Sheet_1120.pdf</x:v>
      </x:c>
      <x:c r="H522" s="43" t="str">
        <x:v>페이지 5</x:v>
      </x:c>
      <x:c r="I522" s="46" t="str">
        <x:v>A. Brief of Bidding ․ Invitation No. KOICALAO-2024-15-1 L2022-0000-1 Construction of the Southern Agricultural Training Center ․ Bid Title (SATC) ․ Summary of Construction - Location Lak 35 village Paksong District, Champasak Province, Lao PDR - Programme Southern Agricultural Training Center - Site area 8,069m2 - Building area 700m2 - Gross floor area 700m2 Training Building including Director room, Reception room, pantry, staff office, Equipment storage, divisional Discussion 1 &amp;2, - Building scope Men &amp; female toilet, Accessible toilet, janitor, Technical, Dish- washing room, kitchen, Gas, storage 1 &amp; 2 Dining room, lecture room, corridor, terrace, pump area and water tank. - Structure Reinforced Concrete Structure, Steel Structure (Roof) The Contractor shall implement all of works described and designed in contract documents including Design Drawings, - Scope of Works Technical Specifications, Special Condition of Contract and Bill of Quantities as a duty and obligation of the Fixed Lump Sum Contract. - Scheduled Construction Period 300 days Until 330 days from the date of signing the contract -Shall commence 30 days from the date of signing the contract -construction period: 3</x:v>
      </x:c>
      <x:c r="J522" s="43" t="str">
        <x:v>자동추출·검토필요</x:v>
      </x:c>
    </x:row>
    <x:row r="523">
      <x:c r="A523" s="43" t="str">
        <x:v>L2024-00075-1</x:v>
      </x:c>
      <x:c r="B523" s="43" t="str">
        <x:v>연면적·면적</x:v>
      </x:c>
      <x:c r="C523" s="46" t="str">
        <x:v>floor area, building area</x:v>
      </x:c>
      <x:c r="D523" s="46" t="str">
        <x:v>8,069 m2 | 700 m2 | 700 m2</x:v>
      </x:c>
      <x:c r="E523" s="46" t="str"/>
      <x:c r="F523" s="46" t="str"/>
      <x:c r="G523" s="46" t="str">
        <x:v>L2024-00075-1/Summary of Bidding (요약본).docx</x:v>
      </x:c>
      <x:c r="H523" s="43" t="str">
        <x:v>표 2 행 2</x:v>
      </x:c>
      <x:c r="I523" s="46" t="str">
        <x:v>․ Summary of Construction | - Site area: 8,069m2 - Building area: 700m2 - Gross floor area: 700m2 - Building scope: Training Building including Director room, Reception room, pantry, staff office, Equipment storage, divisional Discussion 1 &amp;2, Men &amp; female toilet, Accessible toilet, janitor, Technical, Dish-washing room, kitchen, Gas, storage 1 &amp; 2 Dining room, lecture room, corridor, terrace, pump area and water tank. - Structure: Reinforced Concrete, Steel (Roof)</x:v>
      </x:c>
      <x:c r="J523" s="43" t="str">
        <x:v>자동추출·검토필요</x:v>
      </x:c>
    </x:row>
    <x:row r="524">
      <x:c r="A524" s="43" t="str">
        <x:v>L2024-00074-1</x:v>
      </x:c>
      <x:c r="B524" s="43" t="str">
        <x:v>연면적·면적</x:v>
      </x:c>
      <x:c r="C524" s="46" t="str">
        <x:v>㎡</x:v>
      </x:c>
      <x:c r="D524" s="46" t="str">
        <x:v>1. 332.82 ㎡</x:v>
      </x:c>
      <x:c r="E524" s="46" t="str"/>
      <x:c r="F524" s="46" t="str"/>
      <x:c r="G524" s="46" t="str">
        <x:v>L2024-00074-1/4_2.Technical specifition_241104.hwp</x:v>
      </x:c>
      <x:c r="H524" s="43" t="str">
        <x:v>문단 617</x:v>
      </x:c>
      <x:c r="I524" s="46" t="str">
        <x:v>1. 332.82㎡</x:v>
      </x:c>
      <x:c r="J524" s="43" t="str">
        <x:v>자동추출·검토필요</x:v>
      </x:c>
    </x:row>
    <x:row r="525">
      <x:c r="A525" s="43" t="str">
        <x:v>L2024-00072-1</x:v>
      </x:c>
      <x:c r="B525" s="43" t="str">
        <x:v>연면적·면적</x:v>
      </x:c>
      <x:c r="C525" s="46" t="str">
        <x:v>㎡</x:v>
      </x:c>
      <x:c r="D525" s="46" t="str">
        <x:v>2,400 ㎡</x:v>
      </x:c>
      <x:c r="E525" s="46" t="str"/>
      <x:c r="F525" s="46" t="str"/>
      <x:c r="G525" s="46" t="str">
        <x:v>L2024-00072-1/2. 입찰문서 각 1부 우간다 마케레레/Section 4 - Request for Proposal.docx</x:v>
      </x:c>
      <x:c r="H525" s="43" t="str">
        <x:v>표 1 행 3</x:v>
      </x:c>
      <x:c r="I525" s="46" t="str">
        <x:v>Site Area | 2,400㎡ |</x:v>
      </x:c>
      <x:c r="J525" s="43" t="str">
        <x:v>자동추출·검토필요</x:v>
      </x:c>
    </x:row>
    <x:row r="526">
      <x:c r="A526" s="43" t="str">
        <x:v>L2024-00072-1</x:v>
      </x:c>
      <x:c r="B526" s="43" t="str">
        <x:v>연면적·면적</x:v>
      </x:c>
      <x:c r="C526" s="46" t="str">
        <x:v>floor area, ㎡</x:v>
      </x:c>
      <x:c r="D526" s="46" t="str">
        <x:v>3,270 ㎡</x:v>
      </x:c>
      <x:c r="E526" s="46" t="str"/>
      <x:c r="F526" s="46" t="str"/>
      <x:c r="G526" s="46" t="str">
        <x:v>L2024-00072-1/2. 입찰문서 각 1부 우간다 마케레레/Section 4 - Request for Proposal.docx</x:v>
      </x:c>
      <x:c r="H526" s="43" t="str">
        <x:v>표 1 행 4</x:v>
      </x:c>
      <x:c r="I526" s="46" t="str">
        <x:v>Gross Floor Area | 3,270㎡ |</x:v>
      </x:c>
      <x:c r="J526" s="43" t="str">
        <x:v>자동추출·검토필요</x:v>
      </x:c>
    </x:row>
    <x:row r="527">
      <x:c r="A527" s="43" t="str">
        <x:v>L2024-00068-2</x:v>
      </x:c>
      <x:c r="B527" s="43" t="str">
        <x:v>연면적·면적</x:v>
      </x:c>
      <x:c r="C527" s="46" t="str">
        <x:v>m²</x:v>
      </x:c>
      <x:c r="D527" s="46" t="str">
        <x:v>2,4 m² | 2,7 m² | 2,8 m²</x:v>
      </x:c>
      <x:c r="E527" s="46" t="str">
        <x:v>eur 2,5</x:v>
      </x:c>
      <x:c r="F527" s="46" t="str"/>
      <x:c r="G527" s="46" t="str">
        <x:v>L2024-00068-2/Section 4 - DQE/4-3. KOICA dqe confidentiel BATIMENT E.pdf</x:v>
      </x:c>
      <x:c r="H527" s="43" t="str">
        <x:v>페이지 1</x:v>
      </x:c>
      <x:c r="I527" s="46" t="str">
        <x:v>1er ETAGE DU BATIMENT E septembre-24 N° DESIGNATION U QTE P.U. HT MONTANT HT 1 DEMOLITION 1,1 depose de carrelage m² 241,55 3 000 724 650 1,2 depose de cloisons m² 31,80 2 000 63 600 1,3 depose de fenêtres u 10,00 7 000 70 000 1,4 depose des portes u 5,00 9 000 45 000 1,5 depose d'antivols u 11,00 5 000 55 000 depose de fils electriques, de panneau solaire et 1,6 ft 1,00 300 000 300 000 autresequipements 1,7 depose de split u 10,00 12 000 120 000 1,8 depose d'equipements d'étancheité m² 380,00 4 800 1 824 000 1,9 Demolition du plancher d'accès (salle de serveur) m² 22,06 2 500 55 150 1,10 Nettoyage general et evacuation des debris ft 1,00 500 000 500 000 Sous-total demolition 3 757 400 2 REVETEMENTS 2,1 Sol, mur, plancher, cloisons 2,2 Carreaux antidérapant 60x60 (cm) de couleur grise m² 241,55 29 500 7 125 725 2,3 Plinthe de 0,08 ml 38,08 2 700 102 816 Plancher d'accès pour la salle d'entrepot et de 2,4 m² 22,06 220 000 4 853 200 serveur 2,5 Plaques de plâtre sur les murs m² 194,05 22 000 4 269 100 2,6 Plafond-tex m² 330,000 25 000 8 250 000 Peinture exterieur du batiment-Peinture exterieur et 2,7 m² 394,440 12 500 4 930 500 interieur des toilettes Papier peint pour V-studio/conte</x:v>
      </x:c>
      <x:c r="J527" s="43" t="str">
        <x:v>자동추출·검토필요</x:v>
      </x:c>
    </x:row>
    <x:row r="528">
      <x:c r="A528" s="43" t="str">
        <x:v>L2024-00068-2</x:v>
      </x:c>
      <x:c r="B528" s="43" t="str">
        <x:v>연면적·면적</x:v>
      </x:c>
      <x:c r="C528" s="46" t="str">
        <x:v>m²</x:v>
      </x:c>
      <x:c r="D528" s="46" t="str">
        <x:v>150 m²</x:v>
      </x:c>
      <x:c r="E528" s="46" t="str">
        <x:v>eur 1.1.5</x:v>
      </x:c>
      <x:c r="F528" s="46" t="str"/>
      <x:c r="G528" s="46" t="str">
        <x:v>L2024-00068-2/Section 4 - DQE/4-4. KOICA dqe confidentiel TRAVAUX PRATIQUES.pdf</x:v>
      </x:c>
      <x:c r="H528" s="43" t="str">
        <x:v>페이지 1</x:v>
      </x:c>
      <x:c r="I528" s="46" t="str">
        <x:v>BATIMENT B / TRAVAUX PRATIQUE ( MECANIQUE AUTOMOBILE) septembre-24 N° DESIGNATION U QTE P.U. HT MONTANT HT RENOVATION 1 ATELIER DE TRAVAUX PRATIQUES 1.1 Renovation du plancher 1.1.1 Remblai compacté de la fosse avec la terre laterite m3 6,00 10 000 60 000 1.1.2 Betonnage de la fosse •beton dosé en 350 kg/m3 m3 2,00 100 000 200 000 •Acier Ø12 mm kg 200,00 1 700 340 000 1.1.3 Peinture d'epoxy m² 105,74 13 000 1 374 620 1.1.4 Peinture des lignes de securité m² 6,88 9 000 61 920 Rainure de drainage section 10 x 5 (cm) à l'extérieur 1.1.5 ft 1,00 100 000 100 000 du batiment 1.3 Peinture interieure du batiment 1.3.1 Peinture du plafond m² 110,000 9 000 990 000 1.3.2 Peinture murale m² 160,000 12 500 2 000 000 1.4 Eclairage et ventillation 1.4.1 F/P de plaques lumineuses LED u 6,000 68 000 408 000 1.4.2 F/P de Ventillateurs industriels mobile u 2,000 300 000 600 000 Sous-total atelier de travaux pratiques 6 134 540 ATELIER DE TRAVAUX PRATIQUES EXTERIEUR (SALLE 2 MECANIQUE 2 AUTO) 2.1 Repreise de dallage en BA et ferronnerie •beton dosé en 350 kg/m3 ep = 200 mm m3 30,11 100 000 3 011 000 •Grillage n°6 ml 150,57 1 000 150 570 2.2 Canalisation en PVC Ø125 mm ml 18,50 10 300 190 550 2.3 Peint</x:v>
      </x:c>
      <x:c r="J528" s="43" t="str">
        <x:v>자동추출·검토필요</x:v>
      </x:c>
    </x:row>
    <x:row r="529">
      <x:c r="A529" s="43" t="str">
        <x:v>L2024-00068-2</x:v>
      </x:c>
      <x:c r="B529" s="43" t="str">
        <x:v>연면적·면적</x:v>
      </x:c>
      <x:c r="C529" s="46" t="str">
        <x:v>m²</x:v>
      </x:c>
      <x:c r="D529" s="46" t="str">
        <x:v>1.1.4 m²</x:v>
      </x:c>
      <x:c r="E529" s="46" t="str">
        <x:v>eur 2000</x:v>
      </x:c>
      <x:c r="F529" s="46" t="str"/>
      <x:c r="G529" s="46" t="str">
        <x:v>L2024-00068-2/Section 4 - DQE/4-6. KOICA dqe confidentiel MECANIQUE GENERALE.pdf</x:v>
      </x:c>
      <x:c r="H529" s="43" t="str">
        <x:v>페이지 3</x:v>
      </x:c>
      <x:c r="I529" s="46" t="str">
        <x:v>III RENOVATION SALLE DAO/MASTER CAM 1 REVETEMENTS 1.1 Sol, mur, plancher 1.1.1 Mur en agglos 15 creux m² 98 14 000 1 375 080 1.1.2 Peinture d'epoxy m² 81 13 000 1 053 000 1.1.3 Peinture exterieur, interieur des murs et plafond m² 455 12 500 5 687 500 Peinture des lignes pour l'emplacement des 1.1.4 m² 5,81 9 000 52 290 machines et pietons 1.1.5 Plafond-tex m² 81 19 000 1 539 000 Sous-total revêtement 9 706 870 2 FERRONNERIE Portes en acier Porte simple 900x2200 (mm) m² 1,98 75 000 148 500 Porte double 3000x3000 (mm) m² 9 75 000 675 000 Sous-total portes 823 500 3 ALU, PVC Fenêtres en ALU 110x110 (cm) m² 6,71 110 000 738 100 Sous-total ALU 738 100 4 Stores et rideaux pour fenêtres 4.1 F/P de Rideaux ft 1 380 000 380 000 4.2 F/P de Store intérieur pour fenêtre m² 6,10 25 000 152 500 Sous-total Stores et rideaux pour fenêtres 532 500 5 ELECTRICITE 5.1 Panneau LED u 4 58 300 233 200 5.2 Dijoncteur triphasé 380V u 1 330 000 330 000 5.3 Dijoncteur monophasé 220V u 1 250 000 250 000 5.4 Coffret de distribution 1x12 modules u 3 600 000 1 800 000 5.5 Bouton poussoir u 1 14 400 14 400 5.6 Câbles 3x1,5 mm² ml 108 1 500 162 000 5.7 Câbles 3x2,5 mm² ml 108 2 000 216 000 5.8 Prises 2T u 7 9 500 </x:v>
      </x:c>
      <x:c r="J529" s="43" t="str">
        <x:v>자동추출·검토필요</x:v>
      </x:c>
    </x:row>
    <x:row r="530">
      <x:c r="A530" s="43" t="str">
        <x:v>L2024-00068-2</x:v>
      </x:c>
      <x:c r="B530" s="43" t="str">
        <x:v>연면적·면적</x:v>
      </x:c>
      <x:c r="C530" s="46" t="str">
        <x:v>㎡</x:v>
      </x:c>
      <x:c r="D530" s="46" t="str">
        <x:v>6,75 ㎡</x:v>
      </x:c>
      <x:c r="E530" s="46" t="str"/>
      <x:c r="F530" s="46" t="str"/>
      <x:c r="G530" s="46" t="str">
        <x:v>L2024-00068-2/Section 6 - Scope of Work.docx</x:v>
      </x:c>
      <x:c r="H530" s="43" t="str">
        <x:v>문단 227</x:v>
      </x:c>
      <x:c r="I530" s="46" t="str">
        <x:v>La superficie totale du sol est 6,75㎡ (2500 mm x 2700 mm) (les dimensions sont à revoir compte tenu de l’espace alloué)</x:v>
      </x:c>
      <x:c r="J530" s="43" t="str">
        <x:v>자동추출·검토필요</x:v>
      </x:c>
    </x:row>
    <x:row r="531">
      <x:c r="A531" s="43" t="str">
        <x:v>L2024-00068-2</x:v>
      </x:c>
      <x:c r="B531" s="43" t="str">
        <x:v>연면적·면적</x:v>
      </x:c>
      <x:c r="C531" s="46" t="str">
        <x:v>㎡</x:v>
      </x:c>
      <x:c r="D531" s="46" t="str">
        <x:v>65 ㎡</x:v>
      </x:c>
      <x:c r="E531" s="46" t="str"/>
      <x:c r="F531" s="46" t="str"/>
      <x:c r="G531" s="46" t="str">
        <x:v>L2024-00068-2/Section 6 - Scope of Work.docx</x:v>
      </x:c>
      <x:c r="H531" s="43" t="str">
        <x:v>문단 456</x:v>
      </x:c>
      <x:c r="I531" s="46" t="str">
        <x:v>① Surface du mur pour l’atelier de soudure : 65 ㎡ et plus</x:v>
      </x:c>
      <x:c r="J531" s="43" t="str">
        <x:v>자동추출·검토필요</x:v>
      </x:c>
    </x:row>
    <x:row r="532">
      <x:c r="A532" s="43" t="str">
        <x:v>L2024-00068-2</x:v>
      </x:c>
      <x:c r="B532" s="43" t="str">
        <x:v>연면적·면적</x:v>
      </x:c>
      <x:c r="C532" s="46" t="str">
        <x:v>㎡</x:v>
      </x:c>
      <x:c r="D532" s="46" t="str">
        <x:v>85 ㎡</x:v>
      </x:c>
      <x:c r="E532" s="46" t="str"/>
      <x:c r="F532" s="46" t="str"/>
      <x:c r="G532" s="46" t="str">
        <x:v>L2024-00068-2/Section 6 - Scope of Work.docx</x:v>
      </x:c>
      <x:c r="H532" s="43" t="str">
        <x:v>문단 457</x:v>
      </x:c>
      <x:c r="I532" s="46" t="str">
        <x:v>② Surface du mur pour l'entrée : 85 ㎡ et plus</x:v>
      </x:c>
      <x:c r="J532" s="43" t="str">
        <x:v>자동추출·검토필요</x:v>
      </x:c>
    </x:row>
    <x:row r="533">
      <x:c r="A533" s="43" t="str">
        <x:v>L2024-00068-2</x:v>
      </x:c>
      <x:c r="B533" s="43" t="str">
        <x:v>연면적·면적</x:v>
      </x:c>
      <x:c r="C533" s="46" t="str">
        <x:v>㎡</x:v>
      </x:c>
      <x:c r="D533" s="46" t="str">
        <x:v>30 ㎡</x:v>
      </x:c>
      <x:c r="E533" s="46" t="str"/>
      <x:c r="F533" s="46" t="str"/>
      <x:c r="G533" s="46" t="str">
        <x:v>L2024-00068-2/Section 6 - Scope of Work.docx</x:v>
      </x:c>
      <x:c r="H533" s="43" t="str">
        <x:v>문단 458</x:v>
      </x:c>
      <x:c r="I533" s="46" t="str">
        <x:v>③ Surface du mur vers la route de sortie : 30 ㎡ et plus</x:v>
      </x:c>
      <x:c r="J533" s="43" t="str">
        <x:v>자동추출·검토필요</x:v>
      </x:c>
    </x:row>
    <x:row r="534">
      <x:c r="A534" s="43" t="str">
        <x:v>L2024-00068-2</x:v>
      </x:c>
      <x:c r="B534" s="43" t="str">
        <x:v>연면적·면적</x:v>
      </x:c>
      <x:c r="C534" s="46" t="str">
        <x:v>㎡</x:v>
      </x:c>
      <x:c r="D534" s="46" t="str">
        <x:v>45 ㎡</x:v>
      </x:c>
      <x:c r="E534" s="46" t="str"/>
      <x:c r="F534" s="46" t="str"/>
      <x:c r="G534" s="46" t="str">
        <x:v>L2024-00068-2/Section 6 - Scope of Work.docx</x:v>
      </x:c>
      <x:c r="H534" s="43" t="str">
        <x:v>문단 459</x:v>
      </x:c>
      <x:c r="I534" s="46" t="str">
        <x:v>④ Surface du mur extérieur à l’entrée : 45 ㎡ et plus</x:v>
      </x:c>
      <x:c r="J534" s="43" t="str">
        <x:v>자동추출·검토필요</x:v>
      </x:c>
    </x:row>
    <x:row r="535">
      <x:c r="A535" s="43" t="str">
        <x:v>L2024-00068-2</x:v>
      </x:c>
      <x:c r="B535" s="43" t="str">
        <x:v>연면적·면적</x:v>
      </x:c>
      <x:c r="C535" s="46" t="str">
        <x:v>㎡</x:v>
      </x:c>
      <x:c r="D535" s="46" t="str">
        <x:v>85,00 ㎡</x:v>
      </x:c>
      <x:c r="E535" s="46" t="str"/>
      <x:c r="F535" s="46" t="str"/>
      <x:c r="G535" s="46" t="str">
        <x:v>L2024-00068-2/Section 6 - Scope of Work.docx</x:v>
      </x:c>
      <x:c r="H535" s="43" t="str">
        <x:v>문단 549</x:v>
      </x:c>
      <x:c r="I535" s="46" t="str">
        <x:v>Superficie de rénovation du laboratoire : 85,00㎡ et plus</x:v>
      </x:c>
      <x:c r="J535" s="43" t="str">
        <x:v>자동추출·검토필요</x:v>
      </x:c>
    </x:row>
    <x:row r="536">
      <x:c r="A536" s="43" t="str">
        <x:v>L2024-00068-2</x:v>
      </x:c>
      <x:c r="B536" s="43" t="str">
        <x:v>연면적·면적</x:v>
      </x:c>
      <x:c r="C536" s="46" t="str">
        <x:v>㎡</x:v>
      </x:c>
      <x:c r="D536" s="46" t="str">
        <x:v>80,00 ㎡</x:v>
      </x:c>
      <x:c r="E536" s="46" t="str"/>
      <x:c r="F536" s="46" t="str"/>
      <x:c r="G536" s="46" t="str">
        <x:v>L2024-00068-2/Section 6 - Scope of Work.docx</x:v>
      </x:c>
      <x:c r="H536" s="43" t="str">
        <x:v>문단 550</x:v>
      </x:c>
      <x:c r="I536" s="46" t="str">
        <x:v>Superficie de rénovation de la salle E4 : 80,00㎡ et plus</x:v>
      </x:c>
      <x:c r="J536" s="43" t="str">
        <x:v>자동추출·검토필요</x:v>
      </x:c>
    </x:row>
    <x:row r="537">
      <x:c r="A537" s="43" t="str">
        <x:v>L2024-00068-2</x:v>
      </x:c>
      <x:c r="B537" s="43" t="str">
        <x:v>연면적·면적</x:v>
      </x:c>
      <x:c r="C537" s="46" t="str">
        <x:v>㎡</x:v>
      </x:c>
      <x:c r="D537" s="46" t="str">
        <x:v>70,00 ㎡</x:v>
      </x:c>
      <x:c r="E537" s="46" t="str"/>
      <x:c r="F537" s="46" t="str"/>
      <x:c r="G537" s="46" t="str">
        <x:v>L2024-00068-2/Section 6 - Scope of Work.docx</x:v>
      </x:c>
      <x:c r="H537" s="43" t="str">
        <x:v>문단 551</x:v>
      </x:c>
      <x:c r="I537" s="46" t="str">
        <x:v>Superficie de rénovation de la salle E5 : 70,00㎡ et plus</x:v>
      </x:c>
      <x:c r="J537" s="43" t="str">
        <x:v>자동추출·검토필요</x:v>
      </x:c>
    </x:row>
    <x:row r="538">
      <x:c r="A538" s="43" t="str">
        <x:v>L2024-00068-2</x:v>
      </x:c>
      <x:c r="B538" s="43" t="str">
        <x:v>연면적·면적</x:v>
      </x:c>
      <x:c r="C538" s="46" t="str">
        <x:v>㎡</x:v>
      </x:c>
      <x:c r="D538" s="46" t="str">
        <x:v>70,00 ㎡</x:v>
      </x:c>
      <x:c r="E538" s="46" t="str"/>
      <x:c r="F538" s="46" t="str"/>
      <x:c r="G538" s="46" t="str">
        <x:v>L2024-00068-2/Section 6 - Scope of Work.docx</x:v>
      </x:c>
      <x:c r="H538" s="43" t="str">
        <x:v>문단 552</x:v>
      </x:c>
      <x:c r="I538" s="46" t="str">
        <x:v>Superficie de rénovation de la salle E6 : 70,00㎡ et plus</x:v>
      </x:c>
      <x:c r="J538" s="43" t="str">
        <x:v>자동추출·검토필요</x:v>
      </x:c>
    </x:row>
    <x:row r="539">
      <x:c r="A539" s="43" t="str">
        <x:v>L2024-00068-2</x:v>
      </x:c>
      <x:c r="B539" s="43" t="str">
        <x:v>연면적·면적</x:v>
      </x:c>
      <x:c r="C539" s="46" t="str">
        <x:v>㎡</x:v>
      </x:c>
      <x:c r="D539" s="46" t="str">
        <x:v>200 ㎡</x:v>
      </x:c>
      <x:c r="E539" s="46" t="str"/>
      <x:c r="F539" s="46" t="str"/>
      <x:c r="G539" s="46" t="str">
        <x:v>L2024-00068-2/Section 6 - Scope of Work.docx</x:v>
      </x:c>
      <x:c r="H539" s="43" t="str">
        <x:v>문단 558</x:v>
      </x:c>
      <x:c r="I539" s="46" t="str">
        <x:v>Zone d'installation dans les salles E4, E5, E6 : 200㎡ et plus</x:v>
      </x:c>
      <x:c r="J539" s="43" t="str">
        <x:v>자동추출·검토필요</x:v>
      </x:c>
    </x:row>
    <x:row r="540">
      <x:c r="A540" s="43" t="str">
        <x:v>L2024-00068-2</x:v>
      </x:c>
      <x:c r="B540" s="43" t="str">
        <x:v>연면적·면적</x:v>
      </x:c>
      <x:c r="C540" s="46" t="str">
        <x:v>㎡</x:v>
      </x:c>
      <x:c r="D540" s="46" t="str">
        <x:v>380 ㎡</x:v>
      </x:c>
      <x:c r="E540" s="46" t="str"/>
      <x:c r="F540" s="46" t="str"/>
      <x:c r="G540" s="46" t="str">
        <x:v>L2024-00068-2/Section 6 - Scope of Work.docx</x:v>
      </x:c>
      <x:c r="H540" s="43" t="str">
        <x:v>문단 560</x:v>
      </x:c>
      <x:c r="I540" s="46" t="str">
        <x:v>Surface à rendre imperméable : 38m x 10m = 380㎡</x:v>
      </x:c>
      <x:c r="J540" s="43" t="str">
        <x:v>자동추출·검토필요</x:v>
      </x:c>
    </x:row>
    <x:row r="541">
      <x:c r="A541" s="43" t="str">
        <x:v>L2024-00068-2</x:v>
      </x:c>
      <x:c r="B541" s="43" t="str">
        <x:v>연면적·면적</x:v>
      </x:c>
      <x:c r="C541" s="46" t="str">
        <x:v>㎡</x:v>
      </x:c>
      <x:c r="D541" s="46" t="str">
        <x:v>660,0 ㎡</x:v>
      </x:c>
      <x:c r="E541" s="46" t="str"/>
      <x:c r="F541" s="46" t="str"/>
      <x:c r="G541" s="46" t="str">
        <x:v>L2024-00068-2/Section 6 - Scope of Work.docx</x:v>
      </x:c>
      <x:c r="H541" s="43" t="str">
        <x:v>문단 566</x:v>
      </x:c>
      <x:c r="I541" s="46" t="str">
        <x:v>Peinture extérieure du bâtiment E (Superficie : 660,0㎡ et plus)</x:v>
      </x:c>
      <x:c r="J541" s="43" t="str">
        <x:v>자동추출·검토필요</x:v>
      </x:c>
    </x:row>
    <x:row r="542">
      <x:c r="A542" s="43" t="str">
        <x:v>L2024-00068-1</x:v>
      </x:c>
      <x:c r="B542" s="43" t="str">
        <x:v>연면적·면적</x:v>
      </x:c>
      <x:c r="C542" s="46" t="str">
        <x:v>연면적, ㎡</x:v>
      </x:c>
      <x:c r="D542" s="46" t="str">
        <x:v>1,000 ㎡</x:v>
      </x:c>
      <x:c r="E542" s="46" t="str"/>
      <x:c r="F542" s="46" t="str"/>
      <x:c r="G542" s="46" t="str">
        <x:v>L2024-00068-1/(붙임 1) 국문 입찰 계획서류_Bid Data Sheet (국문본)_IPNETP 사업 시공.hwp</x:v>
      </x:c>
      <x:c r="H542" s="43" t="str">
        <x:v>문단 182</x:v>
      </x:c>
      <x:c r="I542" s="46" t="str">
        <x:v>(연면적 1,000㎡ 이상 또는 KOICA가 필요하다고 인정하는 건설공사)</x:v>
      </x:c>
      <x:c r="J542" s="43" t="str">
        <x:v>자동추출·검토필요</x:v>
      </x:c>
    </x:row>
    <x:row r="543">
      <x:c r="A543" s="43" t="str">
        <x:v>L2024-00068-1</x:v>
      </x:c>
      <x:c r="B543" s="43" t="str">
        <x:v>연면적·면적</x:v>
      </x:c>
      <x:c r="C543" s="46" t="str">
        <x:v>m²</x:v>
      </x:c>
      <x:c r="D543" s="46" t="str">
        <x:v>2,4 m² | 2,7 m² | 2,8 m²</x:v>
      </x:c>
      <x:c r="E543" s="46" t="str">
        <x:v>eur 2,5</x:v>
      </x:c>
      <x:c r="F543" s="46" t="str"/>
      <x:c r="G543" s="46" t="str">
        <x:v>L2024-00068-1/Section 4 - DQE/4-3. KOICA dqe confidentiel BATIMENT E.pdf</x:v>
      </x:c>
      <x:c r="H543" s="43" t="str">
        <x:v>페이지 1</x:v>
      </x:c>
      <x:c r="I543" s="46" t="str">
        <x:v>1er ETAGE DU BATIMENT E septembre-24 N° DESIGNATION U QTE P.U. HT MONTANT HT 1 DEMOLITION 1,1 depose de carrelage m² 241,55 3 000 724 650 1,2 depose de cloisons m² 31,80 2 000 63 600 1,3 depose de fenêtres u 10,00 7 000 70 000 1,4 depose des portes u 5,00 9 000 45 000 1,5 depose d'antivols u 11,00 5 000 55 000 depose de fils electriques, de panneau solaire et 1,6 ft 1,00 300 000 300 000 autresequipements 1,7 depose de split u 10,00 12 000 120 000 1,8 depose d'equipements d'étancheité m² 380,00 4 800 1 824 000 1,9 Demolition du plancher d'accès (salle de serveur) m² 22,06 2 500 55 150 1,10 Nettoyage general et evacuation des debris ft 1,00 500 000 500 000 Sous-total demolition 3 757 400 2 REVETEMENTS 2,1 Sol, mur, plancher, cloisons 2,2 Carreaux antidérapant 60x60 (cm) de couleur grise m² 241,55 29 500 7 125 725 2,3 Plinthe de 0,08 ml 38,08 2 700 102 816 Plancher d'accès pour la salle d'entrepot et de 2,4 m² 22,06 220 000 4 853 200 serveur 2,5 Plaques de plâtre sur les murs m² 194,05 22 000 4 269 100 2,6 Plafond-tex m² 330,000 25 000 8 250 000 Peinture exterieur du batiment-Peinture exterieur et 2,7 m² 394,440 12 500 4 930 500 interieur des toilettes Papier peint pour V-studio/conte</x:v>
      </x:c>
      <x:c r="J543" s="43" t="str">
        <x:v>자동추출·검토필요</x:v>
      </x:c>
    </x:row>
    <x:row r="544">
      <x:c r="A544" s="43" t="str">
        <x:v>L2024-00068-1</x:v>
      </x:c>
      <x:c r="B544" s="43" t="str">
        <x:v>연면적·면적</x:v>
      </x:c>
      <x:c r="C544" s="46" t="str">
        <x:v>m²</x:v>
      </x:c>
      <x:c r="D544" s="46" t="str">
        <x:v>150 m²</x:v>
      </x:c>
      <x:c r="E544" s="46" t="str">
        <x:v>eur 1.1.5</x:v>
      </x:c>
      <x:c r="F544" s="46" t="str"/>
      <x:c r="G544" s="46" t="str">
        <x:v>L2024-00068-1/Section 4 - DQE/4-4. KOICA dqe confidentiel TRAVAUX PRATIQUES.pdf</x:v>
      </x:c>
      <x:c r="H544" s="43" t="str">
        <x:v>페이지 1</x:v>
      </x:c>
      <x:c r="I544" s="46" t="str">
        <x:v>BATIMENT B / TRAVAUX PRATIQUE ( MECANIQUE AUTOMOBILE) septembre-24 N° DESIGNATION U QTE P.U. HT MONTANT HT RENOVATION 1 ATELIER DE TRAVAUX PRATIQUES 1.1 Renovation du plancher 1.1.1 Remblai compacté de la fosse avec la terre laterite m3 6,00 10 000 60 000 1.1.2 Betonnage de la fosse •beton dosé en 350 kg/m3 m3 2,00 100 000 200 000 •Acier Ø12 mm kg 200,00 1 700 340 000 1.1.3 Peinture d'epoxy m² 105,74 13 000 1 374 620 1.1.4 Peinture des lignes de securité m² 6,88 9 000 61 920 Rainure de drainage section 10 x 5 (cm) à l'extérieur 1.1.5 ft 1,00 100 000 100 000 du batiment 1.3 Peinture interieure du batiment 1.3.1 Peinture du plafond m² 110,000 9 000 990 000 1.3.2 Peinture murale m² 160,000 12 500 2 000 000 1.4 Eclairage et ventillation 1.4.1 F/P de plaques lumineuses LED u 6,000 68 000 408 000 1.4.2 F/P de Ventillateurs industriels mobile u 2,000 300 000 600 000 Sous-total atelier de travaux pratiques 6 134 540 ATELIER DE TRAVAUX PRATIQUES EXTERIEUR (SALLE 2 MECANIQUE 2 AUTO) 2.1 Repreise de dallage en BA et ferronnerie •beton dosé en 350 kg/m3 ep = 200 mm m3 30,11 100 000 3 011 000 •Grillage n°6 ml 150,57 1 000 150 570 2.2 Canalisation en PVC Ø125 mm ml 18,50 10 300 190 550 2.3 Peint</x:v>
      </x:c>
      <x:c r="J544" s="43" t="str">
        <x:v>자동추출·검토필요</x:v>
      </x:c>
    </x:row>
    <x:row r="545">
      <x:c r="A545" s="43" t="str">
        <x:v>L2024-00068-1</x:v>
      </x:c>
      <x:c r="B545" s="43" t="str">
        <x:v>연면적·면적</x:v>
      </x:c>
      <x:c r="C545" s="46" t="str">
        <x:v>m²</x:v>
      </x:c>
      <x:c r="D545" s="46" t="str">
        <x:v>1.1.4 m²</x:v>
      </x:c>
      <x:c r="E545" s="46" t="str">
        <x:v>eur 2000</x:v>
      </x:c>
      <x:c r="F545" s="46" t="str"/>
      <x:c r="G545" s="46" t="str">
        <x:v>L2024-00068-1/Section 4 - DQE/4-6. KOICA dqe confidentiel MECANIQUE GENERALE.pdf</x:v>
      </x:c>
      <x:c r="H545" s="43" t="str">
        <x:v>페이지 3</x:v>
      </x:c>
      <x:c r="I545" s="46" t="str">
        <x:v>III RENOVATION SALLE DAO/MASTER CAM 1 REVETEMENTS 1.1 Sol, mur, plancher 1.1.1 Mur en agglos 15 creux m² 98 14 000 1 375 080 1.1.2 Peinture d'epoxy m² 81 13 000 1 053 000 1.1.3 Peinture exterieur, interieur des murs et plafond m² 455 12 500 5 687 500 Peinture des lignes pour l'emplacement des 1.1.4 m² 5,81 9 000 52 290 machines et pietons 1.1.5 Plafond-tex m² 81 19 000 1 539 000 Sous-total revêtement 9 706 870 2 FERRONNERIE Portes en acier Porte simple 900x2200 (mm) m² 1,98 75 000 148 500 Porte double 3000x3000 (mm) m² 9 75 000 675 000 Sous-total portes 823 500 3 ALU, PVC Fenêtres en ALU 110x110 (cm) m² 6,71 110 000 738 100 Sous-total ALU 738 100 4 Stores et rideaux pour fenêtres 4.1 F/P de Rideaux ft 1 380 000 380 000 4.2 F/P de Store intérieur pour fenêtre m² 6,10 25 000 152 500 Sous-total Stores et rideaux pour fenêtres 532 500 5 ELECTRICITE 5.1 Panneau LED u 4 58 300 233 200 5.2 Dijoncteur triphasé 380V u 1 330 000 330 000 5.3 Dijoncteur monophasé 220V u 1 250 000 250 000 5.4 Coffret de distribution 1x12 modules u 3 600 000 1 800 000 5.5 Bouton poussoir u 1 14 400 14 400 5.6 Câbles 3x1,5 mm² ml 108 1 500 162 000 5.7 Câbles 3x2,5 mm² ml 108 2 000 216 000 5.8 Prises 2T u 7 9 500 </x:v>
      </x:c>
      <x:c r="J545" s="43" t="str">
        <x:v>자동추출·검토필요</x:v>
      </x:c>
    </x:row>
    <x:row r="546">
      <x:c r="A546" s="43" t="str">
        <x:v>L2024-00068-1</x:v>
      </x:c>
      <x:c r="B546" s="43" t="str">
        <x:v>연면적·면적</x:v>
      </x:c>
      <x:c r="C546" s="46" t="str">
        <x:v>㎡</x:v>
      </x:c>
      <x:c r="D546" s="46" t="str">
        <x:v>6,75 ㎡</x:v>
      </x:c>
      <x:c r="E546" s="46" t="str"/>
      <x:c r="F546" s="46" t="str"/>
      <x:c r="G546" s="46" t="str">
        <x:v>L2024-00068-1/Section 6 - Scope of Work.docx</x:v>
      </x:c>
      <x:c r="H546" s="43" t="str">
        <x:v>문단 227</x:v>
      </x:c>
      <x:c r="I546" s="46" t="str">
        <x:v>La superficie totale du sol est 6,75㎡ (2500 mm x 2700 mm) (les dimensions sont à revoir compte tenu de l’espace alloué)</x:v>
      </x:c>
      <x:c r="J546" s="43" t="str">
        <x:v>자동추출·검토필요</x:v>
      </x:c>
    </x:row>
    <x:row r="547">
      <x:c r="A547" s="43" t="str">
        <x:v>L2024-00068-1</x:v>
      </x:c>
      <x:c r="B547" s="43" t="str">
        <x:v>연면적·면적</x:v>
      </x:c>
      <x:c r="C547" s="46" t="str">
        <x:v>㎡</x:v>
      </x:c>
      <x:c r="D547" s="46" t="str">
        <x:v>65 ㎡</x:v>
      </x:c>
      <x:c r="E547" s="46" t="str"/>
      <x:c r="F547" s="46" t="str"/>
      <x:c r="G547" s="46" t="str">
        <x:v>L2024-00068-1/Section 6 - Scope of Work.docx</x:v>
      </x:c>
      <x:c r="H547" s="43" t="str">
        <x:v>문단 456</x:v>
      </x:c>
      <x:c r="I547" s="46" t="str">
        <x:v>① Surface du mur pour l’atelier de soudure : 65 ㎡ et plus</x:v>
      </x:c>
      <x:c r="J547" s="43" t="str">
        <x:v>자동추출·검토필요</x:v>
      </x:c>
    </x:row>
    <x:row r="548">
      <x:c r="A548" s="43" t="str">
        <x:v>L2024-00068-1</x:v>
      </x:c>
      <x:c r="B548" s="43" t="str">
        <x:v>연면적·면적</x:v>
      </x:c>
      <x:c r="C548" s="46" t="str">
        <x:v>㎡</x:v>
      </x:c>
      <x:c r="D548" s="46" t="str">
        <x:v>85 ㎡</x:v>
      </x:c>
      <x:c r="E548" s="46" t="str"/>
      <x:c r="F548" s="46" t="str"/>
      <x:c r="G548" s="46" t="str">
        <x:v>L2024-00068-1/Section 6 - Scope of Work.docx</x:v>
      </x:c>
      <x:c r="H548" s="43" t="str">
        <x:v>문단 457</x:v>
      </x:c>
      <x:c r="I548" s="46" t="str">
        <x:v>② Surface du mur pour l'entrée : 85 ㎡ et plus</x:v>
      </x:c>
      <x:c r="J548" s="43" t="str">
        <x:v>자동추출·검토필요</x:v>
      </x:c>
    </x:row>
    <x:row r="549">
      <x:c r="A549" s="43" t="str">
        <x:v>L2024-00068-1</x:v>
      </x:c>
      <x:c r="B549" s="43" t="str">
        <x:v>연면적·면적</x:v>
      </x:c>
      <x:c r="C549" s="46" t="str">
        <x:v>㎡</x:v>
      </x:c>
      <x:c r="D549" s="46" t="str">
        <x:v>30 ㎡</x:v>
      </x:c>
      <x:c r="E549" s="46" t="str"/>
      <x:c r="F549" s="46" t="str"/>
      <x:c r="G549" s="46" t="str">
        <x:v>L2024-00068-1/Section 6 - Scope of Work.docx</x:v>
      </x:c>
      <x:c r="H549" s="43" t="str">
        <x:v>문단 458</x:v>
      </x:c>
      <x:c r="I549" s="46" t="str">
        <x:v>③ Surface du mur vers la route de sortie : 30 ㎡ et plus</x:v>
      </x:c>
      <x:c r="J549" s="43" t="str">
        <x:v>자동추출·검토필요</x:v>
      </x:c>
    </x:row>
    <x:row r="550">
      <x:c r="A550" s="43" t="str">
        <x:v>L2024-00068-1</x:v>
      </x:c>
      <x:c r="B550" s="43" t="str">
        <x:v>연면적·면적</x:v>
      </x:c>
      <x:c r="C550" s="46" t="str">
        <x:v>㎡</x:v>
      </x:c>
      <x:c r="D550" s="46" t="str">
        <x:v>45 ㎡</x:v>
      </x:c>
      <x:c r="E550" s="46" t="str"/>
      <x:c r="F550" s="46" t="str"/>
      <x:c r="G550" s="46" t="str">
        <x:v>L2024-00068-1/Section 6 - Scope of Work.docx</x:v>
      </x:c>
      <x:c r="H550" s="43" t="str">
        <x:v>문단 459</x:v>
      </x:c>
      <x:c r="I550" s="46" t="str">
        <x:v>④ Surface du mur extérieur à l’entrée : 45 ㎡ et plus</x:v>
      </x:c>
      <x:c r="J550" s="43" t="str">
        <x:v>자동추출·검토필요</x:v>
      </x:c>
    </x:row>
    <x:row r="551">
      <x:c r="A551" s="43" t="str">
        <x:v>L2024-00068-1</x:v>
      </x:c>
      <x:c r="B551" s="43" t="str">
        <x:v>연면적·면적</x:v>
      </x:c>
      <x:c r="C551" s="46" t="str">
        <x:v>㎡</x:v>
      </x:c>
      <x:c r="D551" s="46" t="str">
        <x:v>85,00 ㎡</x:v>
      </x:c>
      <x:c r="E551" s="46" t="str"/>
      <x:c r="F551" s="46" t="str"/>
      <x:c r="G551" s="46" t="str">
        <x:v>L2024-00068-1/Section 6 - Scope of Work.docx</x:v>
      </x:c>
      <x:c r="H551" s="43" t="str">
        <x:v>문단 549</x:v>
      </x:c>
      <x:c r="I551" s="46" t="str">
        <x:v>Superficie de rénovation du laboratoire : 85,00㎡ et plus</x:v>
      </x:c>
      <x:c r="J551" s="43" t="str">
        <x:v>자동추출·검토필요</x:v>
      </x:c>
    </x:row>
    <x:row r="552">
      <x:c r="A552" s="43" t="str">
        <x:v>L2024-00068-1</x:v>
      </x:c>
      <x:c r="B552" s="43" t="str">
        <x:v>연면적·면적</x:v>
      </x:c>
      <x:c r="C552" s="46" t="str">
        <x:v>㎡</x:v>
      </x:c>
      <x:c r="D552" s="46" t="str">
        <x:v>80,00 ㎡</x:v>
      </x:c>
      <x:c r="E552" s="46" t="str"/>
      <x:c r="F552" s="46" t="str"/>
      <x:c r="G552" s="46" t="str">
        <x:v>L2024-00068-1/Section 6 - Scope of Work.docx</x:v>
      </x:c>
      <x:c r="H552" s="43" t="str">
        <x:v>문단 550</x:v>
      </x:c>
      <x:c r="I552" s="46" t="str">
        <x:v>Superficie de rénovation de la salle E4 : 80,00㎡ et plus</x:v>
      </x:c>
      <x:c r="J552" s="43" t="str">
        <x:v>자동추출·검토필요</x:v>
      </x:c>
    </x:row>
    <x:row r="553">
      <x:c r="A553" s="43" t="str">
        <x:v>L2024-00068-1</x:v>
      </x:c>
      <x:c r="B553" s="43" t="str">
        <x:v>연면적·면적</x:v>
      </x:c>
      <x:c r="C553" s="46" t="str">
        <x:v>㎡</x:v>
      </x:c>
      <x:c r="D553" s="46" t="str">
        <x:v>70,00 ㎡</x:v>
      </x:c>
      <x:c r="E553" s="46" t="str"/>
      <x:c r="F553" s="46" t="str"/>
      <x:c r="G553" s="46" t="str">
        <x:v>L2024-00068-1/Section 6 - Scope of Work.docx</x:v>
      </x:c>
      <x:c r="H553" s="43" t="str">
        <x:v>문단 551</x:v>
      </x:c>
      <x:c r="I553" s="46" t="str">
        <x:v>Superficie de rénovation de la salle E5 : 70,00㎡ et plus</x:v>
      </x:c>
      <x:c r="J553" s="43" t="str">
        <x:v>자동추출·검토필요</x:v>
      </x:c>
    </x:row>
    <x:row r="554">
      <x:c r="A554" s="43" t="str">
        <x:v>L2024-00068-1</x:v>
      </x:c>
      <x:c r="B554" s="43" t="str">
        <x:v>연면적·면적</x:v>
      </x:c>
      <x:c r="C554" s="46" t="str">
        <x:v>㎡</x:v>
      </x:c>
      <x:c r="D554" s="46" t="str">
        <x:v>70,00 ㎡</x:v>
      </x:c>
      <x:c r="E554" s="46" t="str"/>
      <x:c r="F554" s="46" t="str"/>
      <x:c r="G554" s="46" t="str">
        <x:v>L2024-00068-1/Section 6 - Scope of Work.docx</x:v>
      </x:c>
      <x:c r="H554" s="43" t="str">
        <x:v>문단 552</x:v>
      </x:c>
      <x:c r="I554" s="46" t="str">
        <x:v>Superficie de rénovation de la salle E6 : 70,00㎡ et plus</x:v>
      </x:c>
      <x:c r="J554" s="43" t="str">
        <x:v>자동추출·검토필요</x:v>
      </x:c>
    </x:row>
    <x:row r="555">
      <x:c r="A555" s="43" t="str">
        <x:v>L2024-00068-1</x:v>
      </x:c>
      <x:c r="B555" s="43" t="str">
        <x:v>연면적·면적</x:v>
      </x:c>
      <x:c r="C555" s="46" t="str">
        <x:v>㎡</x:v>
      </x:c>
      <x:c r="D555" s="46" t="str">
        <x:v>200 ㎡</x:v>
      </x:c>
      <x:c r="E555" s="46" t="str"/>
      <x:c r="F555" s="46" t="str"/>
      <x:c r="G555" s="46" t="str">
        <x:v>L2024-00068-1/Section 6 - Scope of Work.docx</x:v>
      </x:c>
      <x:c r="H555" s="43" t="str">
        <x:v>문단 558</x:v>
      </x:c>
      <x:c r="I555" s="46" t="str">
        <x:v>Zone d'installation dans les salles E4, E5, E6 : 200㎡ et plus</x:v>
      </x:c>
      <x:c r="J555" s="43" t="str">
        <x:v>자동추출·검토필요</x:v>
      </x:c>
    </x:row>
    <x:row r="556">
      <x:c r="A556" s="43" t="str">
        <x:v>L2024-00068-1</x:v>
      </x:c>
      <x:c r="B556" s="43" t="str">
        <x:v>연면적·면적</x:v>
      </x:c>
      <x:c r="C556" s="46" t="str">
        <x:v>㎡</x:v>
      </x:c>
      <x:c r="D556" s="46" t="str">
        <x:v>380 ㎡</x:v>
      </x:c>
      <x:c r="E556" s="46" t="str"/>
      <x:c r="F556" s="46" t="str"/>
      <x:c r="G556" s="46" t="str">
        <x:v>L2024-00068-1/Section 6 - Scope of Work.docx</x:v>
      </x:c>
      <x:c r="H556" s="43" t="str">
        <x:v>문단 560</x:v>
      </x:c>
      <x:c r="I556" s="46" t="str">
        <x:v>Surface à rendre imperméable : 38m x 10m = 380㎡</x:v>
      </x:c>
      <x:c r="J556" s="43" t="str">
        <x:v>자동추출·검토필요</x:v>
      </x:c>
    </x:row>
    <x:row r="557">
      <x:c r="A557" s="43" t="str">
        <x:v>L2024-00068-1</x:v>
      </x:c>
      <x:c r="B557" s="43" t="str">
        <x:v>연면적·면적</x:v>
      </x:c>
      <x:c r="C557" s="46" t="str">
        <x:v>㎡</x:v>
      </x:c>
      <x:c r="D557" s="46" t="str">
        <x:v>660,0 ㎡</x:v>
      </x:c>
      <x:c r="E557" s="46" t="str"/>
      <x:c r="F557" s="46" t="str"/>
      <x:c r="G557" s="46" t="str">
        <x:v>L2024-00068-1/Section 6 - Scope of Work.docx</x:v>
      </x:c>
      <x:c r="H557" s="43" t="str">
        <x:v>문단 566</x:v>
      </x:c>
      <x:c r="I557" s="46" t="str">
        <x:v>Peinture extérieure du bâtiment E (Superficie : 660,0㎡ et plus)</x:v>
      </x:c>
      <x:c r="J557" s="43" t="str">
        <x:v>자동추출·검토필요</x:v>
      </x:c>
    </x:row>
    <x:row r="558">
      <x:c r="A558" s="43" t="str">
        <x:v>L2024-00066-1</x:v>
      </x:c>
      <x:c r="B558" s="43" t="str">
        <x:v>연면적·면적</x:v>
      </x:c>
      <x:c r="C558" s="46" t="str">
        <x:v>floor area, m², ㎡</x:v>
      </x:c>
      <x:c r="D558" s="46" t="str">
        <x:v>500 ㎡ | 060.00 m²</x:v>
      </x:c>
      <x:c r="E558" s="46" t="str">
        <x:v>USD 2,406,346</x:v>
      </x:c>
      <x:c r="F558" s="46" t="str"/>
      <x:c r="G558" s="46" t="str">
        <x:v>L2024-00066-1/Section 5 - Terms of Reference (ToR) R1.doc</x:v>
      </x:c>
      <x:c r="H558" s="43" t="str">
        <x:v>문단 46</x:v>
      </x:c>
      <x:c r="I558" s="46" t="str">
        <x:v>Site Area approx. 500㎡ Construction content Establishment of Simulation Center • three-story building • Total floor area : approx.1,060.00m² Please refer to the attached space program. Construction cost budget : approx. USD 2,406,346</x:v>
      </x:c>
      <x:c r="J558" s="43" t="str">
        <x:v>자동추출·검토필요</x:v>
      </x:c>
    </x:row>
    <x:row r="559">
      <x:c r="A559" s="43" t="str">
        <x:v>L2024-00066-1</x:v>
      </x:c>
      <x:c r="B559" s="43" t="str">
        <x:v>연면적·면적</x:v>
      </x:c>
      <x:c r="C559" s="46" t="str">
        <x:v>floor area, m², ㎡</x:v>
      </x:c>
      <x:c r="D559" s="46" t="str">
        <x:v>5.40 ㎡ | 16.20 ㎡ | 386.67 m²</x:v>
      </x:c>
      <x:c r="E559" s="46" t="str"/>
      <x:c r="F559" s="46" t="str"/>
      <x:c r="G559" s="46" t="str">
        <x:v>L2024-00066-1/Section 6 - Space Program Report.pdf</x:v>
      </x:c>
      <x:c r="H559" s="43" t="str">
        <x:v>페이지 2</x:v>
      </x:c>
      <x:c r="I559" s="46" t="str">
        <x:v>1. Space Program Consultation Plan ‧ The total floor area of the building is the same as in the preliminary study. ‧ Detailed spaces have been agreed upon and adjusted based on FNU's needs. ‧ Some rooms have been removed to derive a space program that is highly applicable locally, considering the current status of medical education at FNU and the facilities of nearby high-level general hospital. ‧ An elevator has been installed in the center of the building to improve accessibility and ease of movement. ‧ For efficient use of space, accessible restrooms are installed within the men's and women's restrooms. 1.1. Arrangement plan of each floor ⑴ Ground Floor Space Room Name Unit Area(m²) Remarks CPX Room 6 32.40 1room : 5.40㎡ Control Room-1 1 16.20 Simulation Room(Ward 3 bed) 3 48.60 1room : 16.20㎡ Control Room-2 1 16.20 Main Facility Control Room-3 1 16.20 Debriefing Room 1 41.31 Admin. Office 1 27.54 Storage 1 11.97 IT Cable 1 1.80 Male Toilet 1 13.00 Female Toilet 1 13.00 Will be installed in Accessible Restroom 2 - each gender’s toilet Common Area Stair-1 1 21.60 Stair-2 1 21.60 Corridor 1 105.25 Sub Total 386.67m² - 2 -</x:v>
      </x:c>
      <x:c r="J559" s="43" t="str">
        <x:v>자동추출·검토필요</x:v>
      </x:c>
    </x:row>
    <x:row r="560">
      <x:c r="A560" s="43" t="str">
        <x:v>L2024-00066-1</x:v>
      </x:c>
      <x:c r="B560" s="43" t="str">
        <x:v>연면적·면적</x:v>
      </x:c>
      <x:c r="C560" s="46" t="str">
        <x:v>m²</x:v>
      </x:c>
      <x:c r="D560" s="46" t="str">
        <x:v>386.67 m² | 286.66 m² | 1,060.00 m²</x:v>
      </x:c>
      <x:c r="E560" s="46" t="str"/>
      <x:c r="F560" s="46" t="str"/>
      <x:c r="G560" s="46" t="str">
        <x:v>L2024-00066-1/Section 6 - Space Program Report.pdf</x:v>
      </x:c>
      <x:c r="H560" s="43" t="str">
        <x:v>페이지 3</x:v>
      </x:c>
      <x:c r="I560" s="46" t="str">
        <x:v>⑵ First Floor Space Room Name Unit Area(m²) Remarks Simulation Room (Emergency) 1 32.40 Control Room 1 16.20 Simulation Room (Operation) 1 32.40 Multi Purpose Skill Lab. 1 64.80 Main Facility Debriefing Room 1 28.80 Lecture Room 1 26.01 Storage 1 14.40 IT Cable 1 1.80 Server Room 1 16.20 Male Toilet 1 13.00 Female Toilet 1 13.00 Will be installed in Accessible Restroom 2 - each gender’s toilet Common Area Stair-1 1 21.60 Stair-2 1 21.60 Corridor 1 84.46 Sub Total 386.67m² ⑶ Second Floor Space Room Name Unit Area(m²) Remarks Conference/Seminar Room 1 48.60 E-Lounge 1 31.59 Cafeteria 1 34.02 Main Facility KOICA Room 1 32.40 Storage 1 14.40 IT Cable 1 1.80 Male Toilet 1 13.00 Female Toilet 1 13.00 Will be installed in Accessible Restroom 2 - each gender’s toilet Common Area Stair-1 1 21.60 Stair-2 1 21.60 Corridor 1 54.65 Sub Total 286.66m² Total 1,060.00m² - 3 -</x:v>
      </x:c>
      <x:c r="J560" s="43" t="str">
        <x:v>자동추출·검토필요</x:v>
      </x:c>
    </x:row>
    <x:row r="561">
      <x:c r="A561" s="43" t="str">
        <x:v>L2024-00062-1</x:v>
      </x:c>
      <x:c r="B561" s="43" t="str">
        <x:v>연면적·면적</x:v>
      </x:c>
      <x:c r="C561" s="46" t="str">
        <x:v>㎡</x:v>
      </x:c>
      <x:c r="D561" s="46" t="str">
        <x:v>20,000 ㎡</x:v>
      </x:c>
      <x:c r="E561" s="46" t="str"/>
      <x:c r="F561" s="46" t="str"/>
      <x:c r="G561" s="46" t="str">
        <x:v>L2024-00062-1/1. 현지입찰 계획서(세네갈 미곡2차 시공)_최종.hwp</x:v>
      </x:c>
      <x:c r="H561" s="43" t="str">
        <x:v>문단 67</x:v>
      </x:c>
      <x:c r="I561" s="46" t="str">
        <x:v>20,000 ㎡,</x:v>
      </x:c>
      <x:c r="J561" s="43" t="str">
        <x:v>자동추출·검토필요</x:v>
      </x:c>
    </x:row>
    <x:row r="562">
      <x:c r="A562" s="43" t="str">
        <x:v>L2024-00062-1</x:v>
      </x:c>
      <x:c r="B562" s="43" t="str">
        <x:v>연면적·면적</x:v>
      </x:c>
      <x:c r="C562" s="46" t="str">
        <x:v>㎡</x:v>
      </x:c>
      <x:c r="D562" s="46" t="str">
        <x:v>4,951 ㎡</x:v>
      </x:c>
      <x:c r="E562" s="46" t="str"/>
      <x:c r="F562" s="46" t="str"/>
      <x:c r="G562" s="46" t="str">
        <x:v>L2024-00062-1/1. 현지입찰 계획서(세네갈 미곡2차 시공)_최종.hwp</x:v>
      </x:c>
      <x:c r="H562" s="43" t="str">
        <x:v>문단 69</x:v>
      </x:c>
      <x:c r="I562" s="46" t="str">
        <x:v>4,951 ㎡</x:v>
      </x:c>
      <x:c r="J562" s="43" t="str">
        <x:v>자동추출·검토필요</x:v>
      </x:c>
    </x:row>
    <x:row r="563">
      <x:c r="A563" s="43" t="str">
        <x:v>L2024-00062-1</x:v>
      </x:c>
      <x:c r="B563" s="43" t="str">
        <x:v>연면적·면적</x:v>
      </x:c>
      <x:c r="C563" s="46" t="str">
        <x:v>㎡</x:v>
      </x:c>
      <x:c r="D563" s="46" t="str">
        <x:v>4,951 ㎡</x:v>
      </x:c>
      <x:c r="E563" s="46" t="str"/>
      <x:c r="F563" s="46" t="str"/>
      <x:c r="G563" s="46" t="str">
        <x:v>L2024-00062-1/1. 현지입찰 계획서(세네갈 미곡2차 시공)_최종.hwp</x:v>
      </x:c>
      <x:c r="H563" s="43" t="str">
        <x:v>문단 71</x:v>
      </x:c>
      <x:c r="I563" s="46" t="str">
        <x:v>4,951 ㎡,</x:v>
      </x:c>
      <x:c r="J563" s="43" t="str">
        <x:v>자동추출·검토필요</x:v>
      </x:c>
    </x:row>
    <x:row r="564">
      <x:c r="A564" s="43" t="str">
        <x:v>L2024-00056-2</x:v>
      </x:c>
      <x:c r="B564" s="43" t="str">
        <x:v>연면적·면적</x:v>
      </x:c>
      <x:c r="C564" s="46" t="str">
        <x:v>floor area</x:v>
      </x:c>
      <x:c r="D564" s="46" t="str">
        <x:v>1,500 m2</x:v>
      </x:c>
      <x:c r="E564" s="46" t="str"/>
      <x:c r="F564" s="46" t="str"/>
      <x:c r="G564" s="46" t="str">
        <x:v>L2024-00056-2/Section 4 - Request for Proposal_코트디_ver.1.2_수정.docx</x:v>
      </x:c>
      <x:c r="H564" s="43" t="str">
        <x:v>표 1 행 4</x:v>
      </x:c>
      <x:c r="I564" s="46" t="str">
        <x:v>Gross Floor Area | 1,500m2 (GF-1F) |</x:v>
      </x:c>
      <x:c r="J564" s="43" t="str">
        <x:v>자동추출·검토필요</x:v>
      </x:c>
    </x:row>
    <x:row r="565">
      <x:c r="A565" s="43" t="str">
        <x:v>L2024-00056-2</x:v>
      </x:c>
      <x:c r="B565" s="43" t="str">
        <x:v>연면적·면적</x:v>
      </x:c>
      <x:c r="C565" s="46" t="str">
        <x:v>㎡</x:v>
      </x:c>
      <x:c r="D565" s="46" t="str">
        <x:v>2.0 ㎡</x:v>
      </x:c>
      <x:c r="E565" s="46" t="str"/>
      <x:c r="F565" s="46" t="str"/>
      <x:c r="G565" s="46" t="str">
        <x:v>L2024-00056-2/Section 4 - Request for Proposal_코트디_ver.1.2_수정.docx</x:v>
      </x:c>
      <x:c r="H565" s="43" t="str">
        <x:v>표 7 행 3</x:v>
      </x:c>
      <x:c r="I565" s="46" t="str">
        <x:v>Ground Floor | Exclusive Use Area | Incubating room | #G02 | 16 | 45.36 | Prototyping, SW startups, and business incubation | 2.0㎡/person</x:v>
      </x:c>
      <x:c r="J565" s="43" t="str">
        <x:v>자동추출·검토필요</x:v>
      </x:c>
    </x:row>
    <x:row r="566">
      <x:c r="A566" s="43" t="str">
        <x:v>L2024-00056-2</x:v>
      </x:c>
      <x:c r="B566" s="43" t="str">
        <x:v>연면적·면적</x:v>
      </x:c>
      <x:c r="C566" s="46" t="str">
        <x:v>㎡</x:v>
      </x:c>
      <x:c r="D566" s="46" t="str">
        <x:v>2.0 ㎡</x:v>
      </x:c>
      <x:c r="E566" s="46" t="str"/>
      <x:c r="F566" s="46" t="str"/>
      <x:c r="G566" s="46" t="str">
        <x:v>L2024-00056-2/Section 4 - Request for Proposal_코트디_ver.1.2_수정.docx</x:v>
      </x:c>
      <x:c r="H566" s="43" t="str">
        <x:v>표 7 행 4</x:v>
      </x:c>
      <x:c r="I566" s="46" t="str">
        <x:v>Ground Floor | Exclusive Use Area | ICT Common class room #1 | #G03 | 41 | 61.92 | Installation of ICT educational equipment | 2.0㎡/person</x:v>
      </x:c>
      <x:c r="J566" s="43" t="str">
        <x:v>자동추출·검토필요</x:v>
      </x:c>
    </x:row>
    <x:row r="567">
      <x:c r="A567" s="43" t="str">
        <x:v>L2024-00056-2</x:v>
      </x:c>
      <x:c r="B567" s="43" t="str">
        <x:v>연면적·면적</x:v>
      </x:c>
      <x:c r="C567" s="46" t="str">
        <x:v>㎡</x:v>
      </x:c>
      <x:c r="D567" s="46" t="str">
        <x:v>7.0 ㎡</x:v>
      </x:c>
      <x:c r="E567" s="46" t="str"/>
      <x:c r="F567" s="46" t="str"/>
      <x:c r="G567" s="46" t="str">
        <x:v>L2024-00056-2/Section 4 - Request for Proposal_코트디_ver.1.2_수정.docx</x:v>
      </x:c>
      <x:c r="H567" s="43" t="str">
        <x:v>표 7 행 5</x:v>
      </x:c>
      <x:c r="I567" s="46" t="str">
        <x:v>Ground Floor | Exclusive Use Area | Professor’s room | #G04 | 6 | 61.92 | | 7.0㎡/person</x:v>
      </x:c>
      <x:c r="J567" s="43" t="str">
        <x:v>자동추출·검토필요</x:v>
      </x:c>
    </x:row>
    <x:row r="568">
      <x:c r="A568" s="43" t="str">
        <x:v>L2024-00056-2</x:v>
      </x:c>
      <x:c r="B568" s="43" t="str">
        <x:v>연면적·면적</x:v>
      </x:c>
      <x:c r="C568" s="46" t="str">
        <x:v>㎡</x:v>
      </x:c>
      <x:c r="D568" s="46" t="str">
        <x:v>7.0 ㎡</x:v>
      </x:c>
      <x:c r="E568" s="46" t="str"/>
      <x:c r="F568" s="46" t="str"/>
      <x:c r="G568" s="46" t="str">
        <x:v>L2024-00056-2/Section 4 - Request for Proposal_코트디_ver.1.2_수정.docx</x:v>
      </x:c>
      <x:c r="H568" s="43" t="str">
        <x:v>표 7 행 6</x:v>
      </x:c>
      <x:c r="I568" s="46" t="str">
        <x:v>Ground Floor | Exclusive Use Area | Administration Office | #G05 | 12 | 61.92 | | 7.0㎡/person</x:v>
      </x:c>
      <x:c r="J568" s="43" t="str">
        <x:v>자동추출·검토필요</x:v>
      </x:c>
    </x:row>
    <x:row r="569">
      <x:c r="A569" s="43" t="str">
        <x:v>L2024-00056-2</x:v>
      </x:c>
      <x:c r="B569" s="43" t="str">
        <x:v>연면적·면적</x:v>
      </x:c>
      <x:c r="C569" s="46" t="str">
        <x:v>㎡</x:v>
      </x:c>
      <x:c r="D569" s="46" t="str">
        <x:v>2.0 ㎡</x:v>
      </x:c>
      <x:c r="E569" s="46" t="str"/>
      <x:c r="F569" s="46" t="str"/>
      <x:c r="G569" s="46" t="str">
        <x:v>L2024-00056-2/Section 4 - Request for Proposal_코트디_ver.1.2_수정.docx</x:v>
      </x:c>
      <x:c r="H569" s="43" t="str">
        <x:v>표 7 행 8</x:v>
      </x:c>
      <x:c r="I569" s="46" t="str">
        <x:v>Ground Floor | Exclusive Use Area | IoT Lab | #G07 | 31 | 56.00 | | 2.0㎡/person</x:v>
      </x:c>
      <x:c r="J569" s="43" t="str">
        <x:v>자동추출·검토필요</x:v>
      </x:c>
    </x:row>
    <x:row r="570">
      <x:c r="A570" s="43" t="str">
        <x:v>L2024-00056-2</x:v>
      </x:c>
      <x:c r="B570" s="43" t="str">
        <x:v>연면적·면적</x:v>
      </x:c>
      <x:c r="C570" s="46" t="str">
        <x:v>㎡</x:v>
      </x:c>
      <x:c r="D570" s="46" t="str">
        <x:v>2.0 ㎡</x:v>
      </x:c>
      <x:c r="E570" s="46" t="str"/>
      <x:c r="F570" s="46" t="str"/>
      <x:c r="G570" s="46" t="str">
        <x:v>L2024-00056-2/Section 4 - Request for Proposal_코트디_ver.1.2_수정.docx</x:v>
      </x:c>
      <x:c r="H570" s="43" t="str">
        <x:v>표 7 행 9</x:v>
      </x:c>
      <x:c r="I570" s="46" t="str">
        <x:v>Ground Floor | Exclusive Use Area | AI/Bigdata Lab | #G08 | 31 | 56.00 | | 2.0㎡/person</x:v>
      </x:c>
      <x:c r="J570" s="43" t="str">
        <x:v>자동추출·검토필요</x:v>
      </x:c>
    </x:row>
    <x:row r="571">
      <x:c r="A571" s="43" t="str">
        <x:v>L2024-00056-2</x:v>
      </x:c>
      <x:c r="B571" s="43" t="str">
        <x:v>연면적·면적</x:v>
      </x:c>
      <x:c r="C571" s="46" t="str">
        <x:v>㎡</x:v>
      </x:c>
      <x:c r="D571" s="46" t="str">
        <x:v>2.0 ㎡</x:v>
      </x:c>
      <x:c r="E571" s="46" t="str"/>
      <x:c r="F571" s="46" t="str"/>
      <x:c r="G571" s="46" t="str">
        <x:v>L2024-00056-2/Section 4 - Request for Proposal_코트디_ver.1.2_수정.docx</x:v>
      </x:c>
      <x:c r="H571" s="43" t="str">
        <x:v>표 7 행 15</x:v>
      </x:c>
      <x:c r="I571" s="46" t="str">
        <x:v>1 Floor | Exclusive Use Area | Blended Learning room(Flipped Learning room) | #102 | 61 | 107.28 | | 2.0㎡/person</x:v>
      </x:c>
      <x:c r="J571" s="43" t="str">
        <x:v>자동추출·검토필요</x:v>
      </x:c>
    </x:row>
    <x:row r="572">
      <x:c r="A572" s="43" t="str">
        <x:v>L2024-00056-2</x:v>
      </x:c>
      <x:c r="B572" s="43" t="str">
        <x:v>연면적·면적</x:v>
      </x:c>
      <x:c r="C572" s="46" t="str">
        <x:v>㎡</x:v>
      </x:c>
      <x:c r="D572" s="46" t="str">
        <x:v>2.0 ㎡</x:v>
      </x:c>
      <x:c r="E572" s="46" t="str"/>
      <x:c r="F572" s="46" t="str"/>
      <x:c r="G572" s="46" t="str">
        <x:v>L2024-00056-2/Section 4 - Request for Proposal_코트디_ver.1.2_수정.docx</x:v>
      </x:c>
      <x:c r="H572" s="43" t="str">
        <x:v>표 7 행 19</x:v>
      </x:c>
      <x:c r="I572" s="46" t="str">
        <x:v>1 Floor | Exclusive Use Area | Network Practice Lab | #106 | 61 | 112.00 | | 2.0㎡/person</x:v>
      </x:c>
      <x:c r="J572" s="43" t="str">
        <x:v>자동추출·검토필요</x:v>
      </x:c>
    </x:row>
    <x:row r="573">
      <x:c r="A573" s="43" t="str">
        <x:v>L2024-00056-1</x:v>
      </x:c>
      <x:c r="B573" s="43" t="str">
        <x:v>연면적·면적</x:v>
      </x:c>
      <x:c r="C573" s="46" t="str">
        <x:v>floor area</x:v>
      </x:c>
      <x:c r="D573" s="46" t="str">
        <x:v>1,500 m2</x:v>
      </x:c>
      <x:c r="E573" s="46" t="str"/>
      <x:c r="F573" s="46" t="str"/>
      <x:c r="G573" s="46" t="str">
        <x:v>L2024-00056-1/Section 4 - Request for Proposal_코트디_ver.1.2_수정.docx</x:v>
      </x:c>
      <x:c r="H573" s="43" t="str">
        <x:v>표 1 행 4</x:v>
      </x:c>
      <x:c r="I573" s="46" t="str">
        <x:v>Gross Floor Area | 1,500m2 (GF-1F) |</x:v>
      </x:c>
      <x:c r="J573" s="43" t="str">
        <x:v>자동추출·검토필요</x:v>
      </x:c>
    </x:row>
    <x:row r="574">
      <x:c r="A574" s="43" t="str">
        <x:v>L2024-00056-1</x:v>
      </x:c>
      <x:c r="B574" s="43" t="str">
        <x:v>연면적·면적</x:v>
      </x:c>
      <x:c r="C574" s="46" t="str">
        <x:v>㎡</x:v>
      </x:c>
      <x:c r="D574" s="46" t="str">
        <x:v>2.0 ㎡</x:v>
      </x:c>
      <x:c r="E574" s="46" t="str"/>
      <x:c r="F574" s="46" t="str"/>
      <x:c r="G574" s="46" t="str">
        <x:v>L2024-00056-1/Section 4 - Request for Proposal_코트디_ver.1.2_수정.docx</x:v>
      </x:c>
      <x:c r="H574" s="43" t="str">
        <x:v>표 7 행 3</x:v>
      </x:c>
      <x:c r="I574" s="46" t="str">
        <x:v>Ground Floor | Exclusive Use Area | Incubating room | #G02 | 16 | 45.36 | Prototyping, SW startups, and business incubation | 2.0㎡/person</x:v>
      </x:c>
      <x:c r="J574" s="43" t="str">
        <x:v>자동추출·검토필요</x:v>
      </x:c>
    </x:row>
    <x:row r="575">
      <x:c r="A575" s="43" t="str">
        <x:v>L2024-00056-1</x:v>
      </x:c>
      <x:c r="B575" s="43" t="str">
        <x:v>연면적·면적</x:v>
      </x:c>
      <x:c r="C575" s="46" t="str">
        <x:v>㎡</x:v>
      </x:c>
      <x:c r="D575" s="46" t="str">
        <x:v>2.0 ㎡</x:v>
      </x:c>
      <x:c r="E575" s="46" t="str"/>
      <x:c r="F575" s="46" t="str"/>
      <x:c r="G575" s="46" t="str">
        <x:v>L2024-00056-1/Section 4 - Request for Proposal_코트디_ver.1.2_수정.docx</x:v>
      </x:c>
      <x:c r="H575" s="43" t="str">
        <x:v>표 7 행 4</x:v>
      </x:c>
      <x:c r="I575" s="46" t="str">
        <x:v>Ground Floor | Exclusive Use Area | ICT Common class room #1 | #G03 | 41 | 61.92 | Installation of ICT educational equipment | 2.0㎡/person</x:v>
      </x:c>
      <x:c r="J575" s="43" t="str">
        <x:v>자동추출·검토필요</x:v>
      </x:c>
    </x:row>
    <x:row r="576">
      <x:c r="A576" s="43" t="str">
        <x:v>L2024-00056-1</x:v>
      </x:c>
      <x:c r="B576" s="43" t="str">
        <x:v>연면적·면적</x:v>
      </x:c>
      <x:c r="C576" s="46" t="str">
        <x:v>㎡</x:v>
      </x:c>
      <x:c r="D576" s="46" t="str">
        <x:v>7.0 ㎡</x:v>
      </x:c>
      <x:c r="E576" s="46" t="str"/>
      <x:c r="F576" s="46" t="str"/>
      <x:c r="G576" s="46" t="str">
        <x:v>L2024-00056-1/Section 4 - Request for Proposal_코트디_ver.1.2_수정.docx</x:v>
      </x:c>
      <x:c r="H576" s="43" t="str">
        <x:v>표 7 행 5</x:v>
      </x:c>
      <x:c r="I576" s="46" t="str">
        <x:v>Ground Floor | Exclusive Use Area | Professor’s room | #G04 | 6 | 61.92 | | 7.0㎡/person</x:v>
      </x:c>
      <x:c r="J576" s="43" t="str">
        <x:v>자동추출·검토필요</x:v>
      </x:c>
    </x:row>
    <x:row r="577">
      <x:c r="A577" s="43" t="str">
        <x:v>L2024-00056-1</x:v>
      </x:c>
      <x:c r="B577" s="43" t="str">
        <x:v>연면적·면적</x:v>
      </x:c>
      <x:c r="C577" s="46" t="str">
        <x:v>㎡</x:v>
      </x:c>
      <x:c r="D577" s="46" t="str">
        <x:v>7.0 ㎡</x:v>
      </x:c>
      <x:c r="E577" s="46" t="str"/>
      <x:c r="F577" s="46" t="str"/>
      <x:c r="G577" s="46" t="str">
        <x:v>L2024-00056-1/Section 4 - Request for Proposal_코트디_ver.1.2_수정.docx</x:v>
      </x:c>
      <x:c r="H577" s="43" t="str">
        <x:v>표 7 행 6</x:v>
      </x:c>
      <x:c r="I577" s="46" t="str">
        <x:v>Ground Floor | Exclusive Use Area | Administration Office | #G05 | 12 | 61.92 | | 7.0㎡/person</x:v>
      </x:c>
      <x:c r="J577" s="43" t="str">
        <x:v>자동추출·검토필요</x:v>
      </x:c>
    </x:row>
    <x:row r="578">
      <x:c r="A578" s="43" t="str">
        <x:v>L2024-00056-1</x:v>
      </x:c>
      <x:c r="B578" s="43" t="str">
        <x:v>연면적·면적</x:v>
      </x:c>
      <x:c r="C578" s="46" t="str">
        <x:v>㎡</x:v>
      </x:c>
      <x:c r="D578" s="46" t="str">
        <x:v>2.0 ㎡</x:v>
      </x:c>
      <x:c r="E578" s="46" t="str"/>
      <x:c r="F578" s="46" t="str"/>
      <x:c r="G578" s="46" t="str">
        <x:v>L2024-00056-1/Section 4 - Request for Proposal_코트디_ver.1.2_수정.docx</x:v>
      </x:c>
      <x:c r="H578" s="43" t="str">
        <x:v>표 7 행 8</x:v>
      </x:c>
      <x:c r="I578" s="46" t="str">
        <x:v>Ground Floor | Exclusive Use Area | IoT Lab | #G07 | 31 | 56.00 | | 2.0㎡/person</x:v>
      </x:c>
      <x:c r="J578" s="43" t="str">
        <x:v>자동추출·검토필요</x:v>
      </x:c>
    </x:row>
    <x:row r="579">
      <x:c r="A579" s="43" t="str">
        <x:v>L2024-00056-1</x:v>
      </x:c>
      <x:c r="B579" s="43" t="str">
        <x:v>연면적·면적</x:v>
      </x:c>
      <x:c r="C579" s="46" t="str">
        <x:v>㎡</x:v>
      </x:c>
      <x:c r="D579" s="46" t="str">
        <x:v>2.0 ㎡</x:v>
      </x:c>
      <x:c r="E579" s="46" t="str"/>
      <x:c r="F579" s="46" t="str"/>
      <x:c r="G579" s="46" t="str">
        <x:v>L2024-00056-1/Section 4 - Request for Proposal_코트디_ver.1.2_수정.docx</x:v>
      </x:c>
      <x:c r="H579" s="43" t="str">
        <x:v>표 7 행 9</x:v>
      </x:c>
      <x:c r="I579" s="46" t="str">
        <x:v>Ground Floor | Exclusive Use Area | AI/Bigdata Lab | #G08 | 31 | 56.00 | | 2.0㎡/person</x:v>
      </x:c>
      <x:c r="J579" s="43" t="str">
        <x:v>자동추출·검토필요</x:v>
      </x:c>
    </x:row>
    <x:row r="580">
      <x:c r="A580" s="43" t="str">
        <x:v>L2024-00056-1</x:v>
      </x:c>
      <x:c r="B580" s="43" t="str">
        <x:v>연면적·면적</x:v>
      </x:c>
      <x:c r="C580" s="46" t="str">
        <x:v>㎡</x:v>
      </x:c>
      <x:c r="D580" s="46" t="str">
        <x:v>2.0 ㎡</x:v>
      </x:c>
      <x:c r="E580" s="46" t="str"/>
      <x:c r="F580" s="46" t="str"/>
      <x:c r="G580" s="46" t="str">
        <x:v>L2024-00056-1/Section 4 - Request for Proposal_코트디_ver.1.2_수정.docx</x:v>
      </x:c>
      <x:c r="H580" s="43" t="str">
        <x:v>표 7 행 15</x:v>
      </x:c>
      <x:c r="I580" s="46" t="str">
        <x:v>1 Floor | Exclusive Use Area | Blended Learning room(Flipped Learning room) | #102 | 61 | 107.28 | | 2.0㎡/person</x:v>
      </x:c>
      <x:c r="J580" s="43" t="str">
        <x:v>자동추출·검토필요</x:v>
      </x:c>
    </x:row>
    <x:row r="581">
      <x:c r="A581" s="43" t="str">
        <x:v>L2024-00056-1</x:v>
      </x:c>
      <x:c r="B581" s="43" t="str">
        <x:v>연면적·면적</x:v>
      </x:c>
      <x:c r="C581" s="46" t="str">
        <x:v>㎡</x:v>
      </x:c>
      <x:c r="D581" s="46" t="str">
        <x:v>2.0 ㎡</x:v>
      </x:c>
      <x:c r="E581" s="46" t="str"/>
      <x:c r="F581" s="46" t="str"/>
      <x:c r="G581" s="46" t="str">
        <x:v>L2024-00056-1/Section 4 - Request for Proposal_코트디_ver.1.2_수정.docx</x:v>
      </x:c>
      <x:c r="H581" s="43" t="str">
        <x:v>표 7 행 19</x:v>
      </x:c>
      <x:c r="I581" s="46" t="str">
        <x:v>1 Floor | Exclusive Use Area | Network Practice Lab | #106 | 61 | 112.00 | | 2.0㎡/person</x:v>
      </x:c>
      <x:c r="J581" s="43" t="str">
        <x:v>자동추출·검토필요</x:v>
      </x:c>
    </x:row>
    <x:row r="582">
      <x:c r="A582" s="43" t="str">
        <x:v>L2024-00055-1</x:v>
      </x:c>
      <x:c r="B582" s="43" t="str">
        <x:v>연면적·면적</x:v>
      </x:c>
      <x:c r="C582" s="46" t="str">
        <x:v>floor area, ㎡</x:v>
      </x:c>
      <x:c r="D582" s="46" t="str">
        <x:v>8,200 ㎡ | 4,283 ㎡ | 8,200 ㎡ | 4,283 ㎡</x:v>
      </x:c>
      <x:c r="E582" s="46" t="str"/>
      <x:c r="F582" s="46" t="str"/>
      <x:c r="G582" s="46" t="str">
        <x:v>L2024-00055-1/Section 2 - Bid Data Sheet (BDS)_Peru Pilot Compost Plant.docx</x:v>
      </x:c>
      <x:c r="H582" s="43" t="str">
        <x:v>표 5 행 3</x:v>
      </x:c>
      <x:c r="I582" s="46" t="str">
        <x:v>․ Project Summary | Site area: 8,200㎡, gross floor area: 4,283㎡ To build Pilot Composting Plant in Cusco to minimize landfill waste and establish a resource circulation model through the valorization of municipal organic waste. | Site area: 8,200㎡, gross floor area: 4,283㎡ To build Pilot Composting Plant in Cusco to minimize landfill waste and establish a resource circulation model through the valorization of municipal organic waste.</x:v>
      </x:c>
      <x:c r="J582" s="43" t="str">
        <x:v>자동추출·검토필요</x:v>
      </x:c>
    </x:row>
    <x:row r="583">
      <x:c r="A583" s="43" t="str">
        <x:v>L2024-00055-1</x:v>
      </x:c>
      <x:c r="B583" s="43" t="str">
        <x:v>연면적·면적</x:v>
      </x:c>
      <x:c r="C583" s="46" t="str">
        <x:v>㎡</x:v>
      </x:c>
      <x:c r="D583" s="46" t="str">
        <x:v>8,200 ㎡ | 29,000 ㎡</x:v>
      </x:c>
      <x:c r="E583" s="46" t="str"/>
      <x:c r="F583" s="46" t="str"/>
      <x:c r="G583" s="46" t="str">
        <x:v>L2024-00055-1/Section 4 - Terms of Reference_Peru Pilot Compost Plant.docx</x:v>
      </x:c>
      <x:c r="H583" s="43" t="str">
        <x:v>문단 65</x:v>
      </x:c>
      <x:c r="I583" s="46" t="str">
        <x:v>Project site area: 8,200㎡ (within 29,000㎡ of total property area)</x:v>
      </x:c>
      <x:c r="J583" s="43" t="str">
        <x:v>자동추출·검토필요</x:v>
      </x:c>
    </x:row>
    <x:row r="584">
      <x:c r="A584" s="43" t="str">
        <x:v>L2024-00055-1</x:v>
      </x:c>
      <x:c r="B584" s="43" t="str">
        <x:v>연면적·면적</x:v>
      </x:c>
      <x:c r="C584" s="46" t="str">
        <x:v>㎡</x:v>
      </x:c>
      <x:c r="D584" s="46" t="str">
        <x:v>4,265 ㎡</x:v>
      </x:c>
      <x:c r="E584" s="46" t="str"/>
      <x:c r="F584" s="46" t="str"/>
      <x:c r="G584" s="46" t="str">
        <x:v>L2024-00055-1/Section 4 - Terms of Reference_Peru Pilot Compost Plant.docx</x:v>
      </x:c>
      <x:c r="H584" s="43" t="str">
        <x:v>문단 66</x:v>
      </x:c>
      <x:c r="I584" s="46" t="str">
        <x:v>Gross construction area: 4,265㎡</x:v>
      </x:c>
      <x:c r="J584" s="43" t="str">
        <x:v>자동추출·검토필요</x:v>
      </x:c>
    </x:row>
    <x:row r="585">
      <x:c r="A585" s="43" t="str">
        <x:v>L2024-00054-2</x:v>
      </x:c>
      <x:c r="B585" s="43" t="str">
        <x:v>연면적·면적</x:v>
      </x:c>
      <x:c r="C585" s="46" t="str">
        <x:v>㎡</x:v>
      </x:c>
      <x:c r="D585" s="46" t="str">
        <x:v>750 ㎡</x:v>
      </x:c>
      <x:c r="E585" s="46" t="str"/>
      <x:c r="F585" s="46" t="str"/>
      <x:c r="G585" s="46" t="str">
        <x:v>L2024-00054-2/2. 영문 입찰서류 각 1부/INGLES/Section 2 - Bid Data Sheet (BDS)_ITCA Supervision_(20241108).docx</x:v>
      </x:c>
      <x:c r="H585" s="43" t="str">
        <x:v>문단 110</x:v>
      </x:c>
      <x:c r="I585" s="46" t="str">
        <x:v>The Bidder should have completed at least one project in construction, design, or supervision for a single building (educational, research, office or industrial facilities) with at least 750㎡ (GFA) in El Salvador within the last 5 years.</x:v>
      </x:c>
      <x:c r="J585" s="43" t="str">
        <x:v>자동추출·검토필요</x:v>
      </x:c>
    </x:row>
    <x:row r="586">
      <x:c r="A586" s="43" t="str">
        <x:v>L2024-00054-2</x:v>
      </x:c>
      <x:c r="B586" s="43" t="str">
        <x:v>연면적·면적</x:v>
      </x:c>
      <x:c r="C586" s="46" t="str">
        <x:v>㎡</x:v>
      </x:c>
      <x:c r="D586" s="46" t="str">
        <x:v>639.20 ㎡</x:v>
      </x:c>
      <x:c r="E586" s="46" t="str"/>
      <x:c r="F586" s="46" t="str"/>
      <x:c r="G586" s="46" t="str">
        <x:v>L2024-00054-2/2. 영문 입찰서류 각 1부/INGLES/Section 2 - Bid Data Sheet (BDS)_ITCA Supervision_(20241108).docx</x:v>
      </x:c>
      <x:c r="H586" s="43" t="str">
        <x:v>표 2 행 5</x:v>
      </x:c>
      <x:c r="I586" s="46" t="str">
        <x:v>Site Area | 639.20 ㎡</x:v>
      </x:c>
      <x:c r="J586" s="43" t="str">
        <x:v>자동추출·검토필요</x:v>
      </x:c>
    </x:row>
    <x:row r="587">
      <x:c r="A587" s="43" t="str">
        <x:v>L2024-00054-2</x:v>
      </x:c>
      <x:c r="B587" s="43" t="str">
        <x:v>연면적·면적</x:v>
      </x:c>
      <x:c r="C587" s="46" t="str">
        <x:v>floor area, ㎡</x:v>
      </x:c>
      <x:c r="D587" s="46" t="str">
        <x:v>788.12 ㎡</x:v>
      </x:c>
      <x:c r="E587" s="46" t="str"/>
      <x:c r="F587" s="46" t="str"/>
      <x:c r="G587" s="46" t="str">
        <x:v>L2024-00054-2/2. 영문 입찰서류 각 1부/INGLES/Section 2 - Bid Data Sheet (BDS)_ITCA Supervision_(20241108).docx</x:v>
      </x:c>
      <x:c r="H587" s="43" t="str">
        <x:v>표 2 행 6</x:v>
      </x:c>
      <x:c r="I587" s="46" t="str">
        <x:v>Gross Floor Area | 788.12 ㎡</x:v>
      </x:c>
      <x:c r="J587" s="43" t="str">
        <x:v>자동추출·검토필요</x:v>
      </x:c>
    </x:row>
    <x:row r="588">
      <x:c r="A588" s="43" t="str">
        <x:v>L2024-00054-2</x:v>
      </x:c>
      <x:c r="B588" s="43" t="str">
        <x:v>연면적·면적</x:v>
      </x:c>
      <x:c r="C588" s="46" t="str">
        <x:v>㎡</x:v>
      </x:c>
      <x:c r="D588" s="46" t="str">
        <x:v>750 ㎡</x:v>
      </x:c>
      <x:c r="E588" s="46" t="str"/>
      <x:c r="F588" s="46" t="str"/>
      <x:c r="G588" s="46" t="str">
        <x:v>L2024-00054-2/2. 영문 입찰서류 각 1부/INGLES/Section 2 - Bid Data Sheet (BDS)_ITCA Supervision_(20241108).docx</x:v>
      </x:c>
      <x:c r="H588" s="43" t="str">
        <x:v>표 6 행 3</x:v>
      </x:c>
      <x:c r="I588" s="46" t="str">
        <x:v>Performance Record | Similar Project Experience within the last 5 years. Base Evaluation Grade (E.G.): 750㎡ G.F.A | 6 | 10</x:v>
      </x:c>
      <x:c r="J588" s="43" t="str">
        <x:v>자동추출·검토필요</x:v>
      </x:c>
    </x:row>
    <x:row r="589">
      <x:c r="A589" s="43" t="str">
        <x:v>L2024-00054-2</x:v>
      </x:c>
      <x:c r="B589" s="43" t="str">
        <x:v>연면적·면적</x:v>
      </x:c>
      <x:c r="C589" s="46" t="str">
        <x:v>floor area, ㎡</x:v>
      </x:c>
      <x:c r="D589" s="46" t="str">
        <x:v>750 m2 | 750 ㎡ | 750 m2</x:v>
      </x:c>
      <x:c r="E589" s="46" t="str"/>
      <x:c r="F589" s="46" t="str">
        <x:v>200%</x:v>
      </x:c>
      <x:c r="G589" s="46" t="str">
        <x:v>L2024-00054-2/2. 영문 입찰서류 각 1부/INGLES/Section 2 - Bid Data Sheet (BDS)_ITCA Supervision_(20241108).docx</x:v>
      </x:c>
      <x:c r="H589" s="43" t="str">
        <x:v>표 8 행 2</x:v>
      </x:c>
      <x:c r="I589" s="46" t="str">
        <x:v>Project Experience (6 Points) | Sum of gross floor Area (G.F.A) of similar project experiences above 750m2 for the last 5 years as of bid announcement date (Base Evaluation Grade : 750㎡) ＊EG(%)=( Sum of G.F.A ÷ 750m2) × 100 (%) | A. 200% ≤ E.G. | 6.0</x:v>
      </x:c>
      <x:c r="J589" s="43" t="str">
        <x:v>자동추출·검토필요</x:v>
      </x:c>
    </x:row>
    <x:row r="590">
      <x:c r="A590" s="43" t="str">
        <x:v>L2024-00054-2</x:v>
      </x:c>
      <x:c r="B590" s="43" t="str">
        <x:v>연면적·면적</x:v>
      </x:c>
      <x:c r="C590" s="46" t="str">
        <x:v>floor area, ㎡</x:v>
      </x:c>
      <x:c r="D590" s="46" t="str">
        <x:v>750 m2 | 750 ㎡ | 750 m2</x:v>
      </x:c>
      <x:c r="E590" s="46" t="str"/>
      <x:c r="F590" s="46" t="str">
        <x:v>175% | 200%</x:v>
      </x:c>
      <x:c r="G590" s="46" t="str">
        <x:v>L2024-00054-2/2. 영문 입찰서류 각 1부/INGLES/Section 2 - Bid Data Sheet (BDS)_ITCA Supervision_(20241108).docx</x:v>
      </x:c>
      <x:c r="H590" s="43" t="str">
        <x:v>표 8 행 3</x:v>
      </x:c>
      <x:c r="I590" s="46" t="str">
        <x:v>Project Experience (6 Points) | Sum of gross floor Area (G.F.A) of similar project experiences above 750m2 for the last 5 years as of bid announcement date (Base Evaluation Grade : 750㎡) ＊EG(%)=( Sum of G.F.A ÷ 750m2) × 100 (%) | B. 175% ≤ E.G. &lt; 200% | 5.5</x:v>
      </x:c>
      <x:c r="J590" s="43" t="str">
        <x:v>자동추출·검토필요</x:v>
      </x:c>
    </x:row>
    <x:row r="591">
      <x:c r="A591" s="43" t="str">
        <x:v>L2024-00054-2</x:v>
      </x:c>
      <x:c r="B591" s="43" t="str">
        <x:v>연면적·면적</x:v>
      </x:c>
      <x:c r="C591" s="46" t="str">
        <x:v>floor area, ㎡</x:v>
      </x:c>
      <x:c r="D591" s="46" t="str">
        <x:v>750 m2 | 750 ㎡ | 750 m2</x:v>
      </x:c>
      <x:c r="E591" s="46" t="str"/>
      <x:c r="F591" s="46" t="str">
        <x:v>150% | 175%</x:v>
      </x:c>
      <x:c r="G591" s="46" t="str">
        <x:v>L2024-00054-2/2. 영문 입찰서류 각 1부/INGLES/Section 2 - Bid Data Sheet (BDS)_ITCA Supervision_(20241108).docx</x:v>
      </x:c>
      <x:c r="H591" s="43" t="str">
        <x:v>표 8 행 4</x:v>
      </x:c>
      <x:c r="I591" s="46" t="str">
        <x:v>Project Experience (6 Points) | Sum of gross floor Area (G.F.A) of similar project experiences above 750m2 for the last 5 years as of bid announcement date (Base Evaluation Grade : 750㎡) ＊EG(%)=( Sum of G.F.A ÷ 750m2) × 100 (%) | C. 150% ≤ E.G. &lt; 175% | 5.0</x:v>
      </x:c>
      <x:c r="J591" s="43" t="str">
        <x:v>자동추출·검토필요</x:v>
      </x:c>
    </x:row>
    <x:row r="592">
      <x:c r="A592" s="43" t="str">
        <x:v>L2024-00054-2</x:v>
      </x:c>
      <x:c r="B592" s="43" t="str">
        <x:v>연면적·면적</x:v>
      </x:c>
      <x:c r="C592" s="46" t="str">
        <x:v>floor area, ㎡</x:v>
      </x:c>
      <x:c r="D592" s="46" t="str">
        <x:v>750 m2 | 750 ㎡ | 750 m2</x:v>
      </x:c>
      <x:c r="E592" s="46" t="str"/>
      <x:c r="F592" s="46" t="str">
        <x:v>125% | 150%</x:v>
      </x:c>
      <x:c r="G592" s="46" t="str">
        <x:v>L2024-00054-2/2. 영문 입찰서류 각 1부/INGLES/Section 2 - Bid Data Sheet (BDS)_ITCA Supervision_(20241108).docx</x:v>
      </x:c>
      <x:c r="H592" s="43" t="str">
        <x:v>표 8 행 5</x:v>
      </x:c>
      <x:c r="I592" s="46" t="str">
        <x:v>Project Experience (6 Points) | Sum of gross floor Area (G.F.A) of similar project experiences above 750m2 for the last 5 years as of bid announcement date (Base Evaluation Grade : 750㎡) ＊EG(%)=( Sum of G.F.A ÷ 750m2) × 100 (%) | D. 125% ≤ E.G.&lt; 150% | 4.5</x:v>
      </x:c>
      <x:c r="J592" s="43" t="str">
        <x:v>자동추출·검토필요</x:v>
      </x:c>
    </x:row>
    <x:row r="593">
      <x:c r="A593" s="43" t="str">
        <x:v>L2024-00054-2</x:v>
      </x:c>
      <x:c r="B593" s="43" t="str">
        <x:v>연면적·면적</x:v>
      </x:c>
      <x:c r="C593" s="46" t="str">
        <x:v>floor area, ㎡</x:v>
      </x:c>
      <x:c r="D593" s="46" t="str">
        <x:v>750 m2 | 750 ㎡ | 750 m2</x:v>
      </x:c>
      <x:c r="E593" s="46" t="str"/>
      <x:c r="F593" s="46" t="str">
        <x:v>125%</x:v>
      </x:c>
      <x:c r="G593" s="46" t="str">
        <x:v>L2024-00054-2/2. 영문 입찰서류 각 1부/INGLES/Section 2 - Bid Data Sheet (BDS)_ITCA Supervision_(20241108).docx</x:v>
      </x:c>
      <x:c r="H593" s="43" t="str">
        <x:v>표 8 행 6</x:v>
      </x:c>
      <x:c r="I593" s="46" t="str">
        <x:v>Project Experience (6 Points) | Sum of gross floor Area (G.F.A) of similar project experiences above 750m2 for the last 5 years as of bid announcement date (Base Evaluation Grade : 750㎡) ＊EG(%)=( Sum of G.F.A ÷ 750m2) × 100 (%) | E E.G. &lt; 125% | 4.2</x:v>
      </x:c>
      <x:c r="J593" s="43" t="str">
        <x:v>자동추출·검토필요</x:v>
      </x:c>
    </x:row>
    <x:row r="594">
      <x:c r="A594" s="43" t="str">
        <x:v>L2024-00054-1</x:v>
      </x:c>
      <x:c r="B594" s="43" t="str">
        <x:v>연면적·면적</x:v>
      </x:c>
      <x:c r="C594" s="46" t="str">
        <x:v>㎡</x:v>
      </x:c>
      <x:c r="D594" s="46" t="str">
        <x:v>750 ㎡</x:v>
      </x:c>
      <x:c r="E594" s="46" t="str"/>
      <x:c r="F594" s="46" t="str"/>
      <x:c r="G594" s="46" t="str">
        <x:v>L2024-00054-1/Bidding Document_ITCA (Supervision)_(202409)/Section 2 - Bid Data Sheet (BDS)_ITCA Supervision_(202409).docx</x:v>
      </x:c>
      <x:c r="H594" s="43" t="str">
        <x:v>문단 110</x:v>
      </x:c>
      <x:c r="I594" s="46" t="str">
        <x:v>The Bidder should have completed at least one project in construction, design, or supervision for a single building (educational, research, office or industrial facilities) with at least 750㎡ (GFA) in El Salvador within the last 5 years.</x:v>
      </x:c>
      <x:c r="J594" s="43" t="str">
        <x:v>자동추출·검토필요</x:v>
      </x:c>
    </x:row>
    <x:row r="595">
      <x:c r="A595" s="43" t="str">
        <x:v>L2024-00054-1</x:v>
      </x:c>
      <x:c r="B595" s="43" t="str">
        <x:v>연면적·면적</x:v>
      </x:c>
      <x:c r="C595" s="46" t="str">
        <x:v>㎡</x:v>
      </x:c>
      <x:c r="D595" s="46" t="str">
        <x:v>639.20 ㎡</x:v>
      </x:c>
      <x:c r="E595" s="46" t="str"/>
      <x:c r="F595" s="46" t="str"/>
      <x:c r="G595" s="46" t="str">
        <x:v>L2024-00054-1/Bidding Document_ITCA (Supervision)_(202409)/Section 2 - Bid Data Sheet (BDS)_ITCA Supervision_(202409).docx</x:v>
      </x:c>
      <x:c r="H595" s="43" t="str">
        <x:v>표 2 행 5</x:v>
      </x:c>
      <x:c r="I595" s="46" t="str">
        <x:v>Site Area | 639.20 ㎡</x:v>
      </x:c>
      <x:c r="J595" s="43" t="str">
        <x:v>자동추출·검토필요</x:v>
      </x:c>
    </x:row>
    <x:row r="596">
      <x:c r="A596" s="43" t="str">
        <x:v>L2024-00054-1</x:v>
      </x:c>
      <x:c r="B596" s="43" t="str">
        <x:v>연면적·면적</x:v>
      </x:c>
      <x:c r="C596" s="46" t="str">
        <x:v>floor area, ㎡</x:v>
      </x:c>
      <x:c r="D596" s="46" t="str">
        <x:v>788.12 ㎡</x:v>
      </x:c>
      <x:c r="E596" s="46" t="str"/>
      <x:c r="F596" s="46" t="str"/>
      <x:c r="G596" s="46" t="str">
        <x:v>L2024-00054-1/Bidding Document_ITCA (Supervision)_(202409)/Section 2 - Bid Data Sheet (BDS)_ITCA Supervision_(202409).docx</x:v>
      </x:c>
      <x:c r="H596" s="43" t="str">
        <x:v>표 2 행 6</x:v>
      </x:c>
      <x:c r="I596" s="46" t="str">
        <x:v>Gross Floor Area | 788.12 ㎡</x:v>
      </x:c>
      <x:c r="J596" s="43" t="str">
        <x:v>자동추출·검토필요</x:v>
      </x:c>
    </x:row>
    <x:row r="597">
      <x:c r="A597" s="43" t="str">
        <x:v>L2024-00054-1</x:v>
      </x:c>
      <x:c r="B597" s="43" t="str">
        <x:v>연면적·면적</x:v>
      </x:c>
      <x:c r="C597" s="46" t="str">
        <x:v>㎡</x:v>
      </x:c>
      <x:c r="D597" s="46" t="str">
        <x:v>750 ㎡</x:v>
      </x:c>
      <x:c r="E597" s="46" t="str"/>
      <x:c r="F597" s="46" t="str"/>
      <x:c r="G597" s="46" t="str">
        <x:v>L2024-00054-1/Bidding Document_ITCA (Supervision)_(202409)/Section 2 - Bid Data Sheet (BDS)_ITCA Supervision_(202409).docx</x:v>
      </x:c>
      <x:c r="H597" s="43" t="str">
        <x:v>표 6 행 3</x:v>
      </x:c>
      <x:c r="I597" s="46" t="str">
        <x:v>Performance Record | Similar Project Experience within the last 5 years. Base Evaluation Grade (E.G.): 750㎡ G.F.A | 6 | 10</x:v>
      </x:c>
      <x:c r="J597" s="43" t="str">
        <x:v>자동추출·검토필요</x:v>
      </x:c>
    </x:row>
    <x:row r="598">
      <x:c r="A598" s="43" t="str">
        <x:v>L2024-00054-1</x:v>
      </x:c>
      <x:c r="B598" s="43" t="str">
        <x:v>연면적·면적</x:v>
      </x:c>
      <x:c r="C598" s="46" t="str">
        <x:v>floor area, ㎡</x:v>
      </x:c>
      <x:c r="D598" s="46" t="str">
        <x:v>750 m2 | 750 ㎡ | 750 m2</x:v>
      </x:c>
      <x:c r="E598" s="46" t="str"/>
      <x:c r="F598" s="46" t="str">
        <x:v>200%</x:v>
      </x:c>
      <x:c r="G598" s="46" t="str">
        <x:v>L2024-00054-1/Bidding Document_ITCA (Supervision)_(202409)/Section 2 - Bid Data Sheet (BDS)_ITCA Supervision_(202409).docx</x:v>
      </x:c>
      <x:c r="H598" s="43" t="str">
        <x:v>표 8 행 2</x:v>
      </x:c>
      <x:c r="I598" s="46" t="str">
        <x:v>Project Experience (6 Points) | Sum of gross floor Area (G.F.A) of similar project experiences above 750m2 for the last 5 years as of bid announcement date (Base Evaluation Grade : 750㎡) ＊EG(%)=( Sum of G.F.A ÷ 750m2) × 100 (%) | A. 200% ≤ E.G. | 6.0</x:v>
      </x:c>
      <x:c r="J598" s="43" t="str">
        <x:v>자동추출·검토필요</x:v>
      </x:c>
    </x:row>
    <x:row r="599">
      <x:c r="A599" s="43" t="str">
        <x:v>L2024-00054-1</x:v>
      </x:c>
      <x:c r="B599" s="43" t="str">
        <x:v>연면적·면적</x:v>
      </x:c>
      <x:c r="C599" s="46" t="str">
        <x:v>floor area, ㎡</x:v>
      </x:c>
      <x:c r="D599" s="46" t="str">
        <x:v>750 m2 | 750 ㎡ | 750 m2</x:v>
      </x:c>
      <x:c r="E599" s="46" t="str"/>
      <x:c r="F599" s="46" t="str">
        <x:v>175% | 200%</x:v>
      </x:c>
      <x:c r="G599" s="46" t="str">
        <x:v>L2024-00054-1/Bidding Document_ITCA (Supervision)_(202409)/Section 2 - Bid Data Sheet (BDS)_ITCA Supervision_(202409).docx</x:v>
      </x:c>
      <x:c r="H599" s="43" t="str">
        <x:v>표 8 행 3</x:v>
      </x:c>
      <x:c r="I599" s="46" t="str">
        <x:v>Project Experience (6 Points) | Sum of gross floor Area (G.F.A) of similar project experiences above 750m2 for the last 5 years as of bid announcement date (Base Evaluation Grade : 750㎡) ＊EG(%)=( Sum of G.F.A ÷ 750m2) × 100 (%) | B. 175% ≤ E.G. &lt; 200% | 5.5</x:v>
      </x:c>
      <x:c r="J599" s="43" t="str">
        <x:v>자동추출·검토필요</x:v>
      </x:c>
    </x:row>
    <x:row r="600">
      <x:c r="A600" s="43" t="str">
        <x:v>L2024-00054-1</x:v>
      </x:c>
      <x:c r="B600" s="43" t="str">
        <x:v>연면적·면적</x:v>
      </x:c>
      <x:c r="C600" s="46" t="str">
        <x:v>floor area, ㎡</x:v>
      </x:c>
      <x:c r="D600" s="46" t="str">
        <x:v>750 m2 | 750 ㎡ | 750 m2</x:v>
      </x:c>
      <x:c r="E600" s="46" t="str"/>
      <x:c r="F600" s="46" t="str">
        <x:v>150% | 175%</x:v>
      </x:c>
      <x:c r="G600" s="46" t="str">
        <x:v>L2024-00054-1/Bidding Document_ITCA (Supervision)_(202409)/Section 2 - Bid Data Sheet (BDS)_ITCA Supervision_(202409).docx</x:v>
      </x:c>
      <x:c r="H600" s="43" t="str">
        <x:v>표 8 행 4</x:v>
      </x:c>
      <x:c r="I600" s="46" t="str">
        <x:v>Project Experience (6 Points) | Sum of gross floor Area (G.F.A) of similar project experiences above 750m2 for the last 5 years as of bid announcement date (Base Evaluation Grade : 750㎡) ＊EG(%)=( Sum of G.F.A ÷ 750m2) × 100 (%) | C. 150% ≤ E.G. &lt; 175% | 5.0</x:v>
      </x:c>
      <x:c r="J600" s="43" t="str">
        <x:v>자동추출·검토필요</x:v>
      </x:c>
    </x:row>
    <x:row r="601">
      <x:c r="A601" s="43" t="str">
        <x:v>L2024-00054-1</x:v>
      </x:c>
      <x:c r="B601" s="43" t="str">
        <x:v>연면적·면적</x:v>
      </x:c>
      <x:c r="C601" s="46" t="str">
        <x:v>floor area, ㎡</x:v>
      </x:c>
      <x:c r="D601" s="46" t="str">
        <x:v>750 m2 | 750 ㎡ | 750 m2</x:v>
      </x:c>
      <x:c r="E601" s="46" t="str"/>
      <x:c r="F601" s="46" t="str">
        <x:v>125% | 150%</x:v>
      </x:c>
      <x:c r="G601" s="46" t="str">
        <x:v>L2024-00054-1/Bidding Document_ITCA (Supervision)_(202409)/Section 2 - Bid Data Sheet (BDS)_ITCA Supervision_(202409).docx</x:v>
      </x:c>
      <x:c r="H601" s="43" t="str">
        <x:v>표 8 행 5</x:v>
      </x:c>
      <x:c r="I601" s="46" t="str">
        <x:v>Project Experience (6 Points) | Sum of gross floor Area (G.F.A) of similar project experiences above 750m2 for the last 5 years as of bid announcement date (Base Evaluation Grade : 750㎡) ＊EG(%)=( Sum of G.F.A ÷ 750m2) × 100 (%) | D. 125% ≤ E.G.&lt; 150% | 4.5</x:v>
      </x:c>
      <x:c r="J601" s="43" t="str">
        <x:v>자동추출·검토필요</x:v>
      </x:c>
    </x:row>
    <x:row r="602">
      <x:c r="A602" s="43" t="str">
        <x:v>L2024-00054-1</x:v>
      </x:c>
      <x:c r="B602" s="43" t="str">
        <x:v>연면적·면적</x:v>
      </x:c>
      <x:c r="C602" s="46" t="str">
        <x:v>floor area, ㎡</x:v>
      </x:c>
      <x:c r="D602" s="46" t="str">
        <x:v>750 m2 | 750 ㎡ | 750 m2</x:v>
      </x:c>
      <x:c r="E602" s="46" t="str"/>
      <x:c r="F602" s="46" t="str">
        <x:v>125%</x:v>
      </x:c>
      <x:c r="G602" s="46" t="str">
        <x:v>L2024-00054-1/Bidding Document_ITCA (Supervision)_(202409)/Section 2 - Bid Data Sheet (BDS)_ITCA Supervision_(202409).docx</x:v>
      </x:c>
      <x:c r="H602" s="43" t="str">
        <x:v>표 8 행 6</x:v>
      </x:c>
      <x:c r="I602" s="46" t="str">
        <x:v>Project Experience (6 Points) | Sum of gross floor Area (G.F.A) of similar project experiences above 750m2 for the last 5 years as of bid announcement date (Base Evaluation Grade : 750㎡) ＊EG(%)=( Sum of G.F.A ÷ 750m2) × 100 (%) | E E.G. &lt; 125% | 4.2</x:v>
      </x:c>
      <x:c r="J602" s="43" t="str">
        <x:v>자동추출·검토필요</x:v>
      </x:c>
    </x:row>
    <x:row r="603">
      <x:c r="A603" s="43" t="str">
        <x:v>L2024-00052-1</x:v>
      </x:c>
      <x:c r="B603" s="43" t="str">
        <x:v>연면적·면적</x:v>
      </x:c>
      <x:c r="C603" s="46" t="str">
        <x:v>floor area</x:v>
      </x:c>
      <x:c r="D603" s="46" t="str">
        <x:v>1,000 m2</x:v>
      </x:c>
      <x:c r="E603" s="46" t="str"/>
      <x:c r="F603" s="46" t="str"/>
      <x:c r="G603" s="46" t="str">
        <x:v>L2024-00052-1/입찰관련서류/Section 2 - Bid Data Sheet (BDS)_└╘┬√░°░φ┐δ ├╓┴╛.docx</x:v>
      </x:c>
      <x:c r="H603" s="43" t="str">
        <x:v>문단 76</x:v>
      </x:c>
      <x:c r="I603" s="46" t="str">
        <x:v>- Anyone interested in this bid shall have at least one record of performing Design services with bigger than GFA(Gross Floor Area) of 1,000m2 similar to the content (Design performance for similar facilities as the Laboratory Research, Laboratory, or Clean Room, also it is possible to submit the Design performance of an ancillary facility same as above contents as a part of whole project) of this bid over the last 10 years from the date of this bid notice</x:v>
      </x:c>
      <x:c r="J603" s="43" t="str">
        <x:v>자동추출·검토필요</x:v>
      </x:c>
    </x:row>
    <x:row r="604">
      <x:c r="A604" s="43" t="str">
        <x:v>L2024-00052-1</x:v>
      </x:c>
      <x:c r="B604" s="43" t="str">
        <x:v>연면적·면적</x:v>
      </x:c>
      <x:c r="C604" s="46" t="str">
        <x:v>floor area</x:v>
      </x:c>
      <x:c r="D604" s="46" t="str">
        <x:v>1,000 m2</x:v>
      </x:c>
      <x:c r="E604" s="46" t="str"/>
      <x:c r="F604" s="46" t="str"/>
      <x:c r="G604" s="46" t="str">
        <x:v>L2024-00052-1/입찰관련서류/Section 2 - Bid Data Sheet (BDS)_└╘┬√░°░φ┐δ ├╓┴╛.docx</x:v>
      </x:c>
      <x:c r="H604" s="43" t="str">
        <x:v>문단 253</x:v>
      </x:c>
      <x:c r="I604" s="46" t="str">
        <x:v>Qualification : At least one record of performing Design services with bigger than GFA(Gross Floor Area) of 1,000m2 similar to the content (Design performance for similar facilities as the Laboratory Research, Laboratory, or Clean Room, also it is possible to submit the Design performance of an ancillary facility same as above contents as a part of whole project) of this bid over the last 10 years from the date of this bid notice</x:v>
      </x:c>
      <x:c r="J604" s="43" t="str">
        <x:v>자동추출·검토필요</x:v>
      </x:c>
    </x:row>
    <x:row r="605">
      <x:c r="A605" s="43" t="str">
        <x:v>L2024-00052-1</x:v>
      </x:c>
      <x:c r="B605" s="43" t="str">
        <x:v>연면적·면적</x:v>
      </x:c>
      <x:c r="C605" s="46" t="str">
        <x:v>floor area</x:v>
      </x:c>
      <x:c r="D605" s="46" t="str">
        <x:v>1,800 m2 | 1,800 m2</x:v>
      </x:c>
      <x:c r="E605" s="46" t="str"/>
      <x:c r="F605" s="46" t="str"/>
      <x:c r="G605" s="46" t="str">
        <x:v>L2024-00052-1/입찰관련서류/Section 2 - Bid Data Sheet (BDS)_└╘┬√░°░φ┐δ ├╓┴╛.docx</x:v>
      </x:c>
      <x:c r="H605" s="43" t="str">
        <x:v>표 5 행 3</x:v>
      </x:c>
      <x:c r="I605" s="46" t="str">
        <x:v>․ Scope of Service | ▪ Design Services for “ New Advanced Research Laboratory Center ” ▪ Bidding support for selecting the contractors ▪ Construction Supervision Consultant Service during construction period ▪ Detailed deliverable and work scope as below; Work No1. Design Works - SD(Schematic DWGs) - DD(Development DWGs) - CD(Construction DWGs) Work No2. Size of the Project - Total Floor Area: 1,800 m2, a building of 3-story Work No3. Output - DWGs(Soft Copy &amp; 5 sets Hard Copys) - Specification - Technical Survey Reports - Soil Investigation Report - Technical Calculation Reports - BOQ(Be created with budget relation) - Documents for Permission - Documents for Bidding - Documents for ECC (If needed) - Other necessary document for the project Work No4. During Construction - Design Change related works(create the DWGs and Review) Work No5. Others - Related task for Permit as an Architect - Related required task from the Client as an Architect | ▪ Design Services for “ New Advanced Research Laboratory Center ” ▪ Bidding support for selecting the contractors ▪ Construction Supervision Consultant Service during construction period ▪ Detailed deliverable and work scope as below; Work No1</x:v>
      </x:c>
      <x:c r="J605" s="43" t="str">
        <x:v>자동추출·검토필요</x:v>
      </x:c>
    </x:row>
    <x:row r="606">
      <x:c r="A606" s="43" t="str">
        <x:v>L2024-00052-1</x:v>
      </x:c>
      <x:c r="B606" s="43" t="str">
        <x:v>연면적·면적</x:v>
      </x:c>
      <x:c r="C606" s="46" t="str">
        <x:v>floor area</x:v>
      </x:c>
      <x:c r="D606" s="46" t="str">
        <x:v>1,000 m2</x:v>
      </x:c>
      <x:c r="E606" s="46" t="str"/>
      <x:c r="F606" s="46" t="str"/>
      <x:c r="G606" s="46" t="str">
        <x:v>L2024-00052-1/입찰관련서류/Section 2 - Bid Data Sheet (BDS)_└╘┬√░°░φ┐δ ├╓┴╛.docx</x:v>
      </x:c>
      <x:c r="H606" s="43" t="str">
        <x:v>표 7 행 5</x:v>
      </x:c>
      <x:c r="I606" s="46" t="str">
        <x:v>⒟ one set of documents evidencing the applicant’s eligibility to participate in the Bid - Latest/valid Certificate of business Registration. - Copy of valid registration issued (by authority) demonstrating bidder is eligible/authorized to provide design services in Indonesia(Business License for Design Service) - Performance Certificate of one similar project (Laboratory Research, Laboratory, or Clean Room) of not less than GFA(Gross floor area) of 1,000m2 in the last 10 years - Tax payment(2023)</x:v>
      </x:c>
      <x:c r="J606" s="43" t="str">
        <x:v>자동추출·검토필요</x:v>
      </x:c>
    </x:row>
    <x:row r="607">
      <x:c r="A607" s="43" t="str">
        <x:v>L2024-00052-1</x:v>
      </x:c>
      <x:c r="B607" s="43" t="str">
        <x:v>연면적·면적</x:v>
      </x:c>
      <x:c r="C607" s="46" t="str">
        <x:v>floor area, ㎡</x:v>
      </x:c>
      <x:c r="D607" s="46" t="str">
        <x:v>1,000 ㎡ | 1,800 m2</x:v>
      </x:c>
      <x:c r="E607" s="46" t="str"/>
      <x:c r="F607" s="46" t="str"/>
      <x:c r="G607" s="46" t="str">
        <x:v>L2024-00052-1/입찰관련서류/Section 4 - Request for Proposal (RFP)_Design Service_╝│░Φ░·╛≈┴÷╜├╝¡(┐╡╣«)_Final_R2.pdf</x:v>
      </x:c>
      <x:c r="H607" s="43" t="str">
        <x:v>페이지 1</x:v>
      </x:c>
      <x:c r="I607" s="46" t="str">
        <x:v>Request for Proposal (RFP) on Design Service for IPB University New Advanced Research Laboratory (NARLab) A. Design Work Scope and Submittal List for Design Phases 1. Overview for new Design works Land Area Approximately 1,000㎡ Type of Construction New Construction Type of Structure R.C Rahmen 3 story Building Scope of Building Exterior Landscaping, Septic Tank, Deep well Water tank, MEP Total Floor Area : 1,800m2 Building Size Story : 3 Floor Number of Building : 1 2. Reference Photos Planned Site for the Project Site in Campus Site in Campus</x:v>
      </x:c>
      <x:c r="J607" s="43" t="str">
        <x:v>자동추출·검토필요</x:v>
      </x:c>
    </x:row>
    <x:row r="608">
      <x:c r="A608" s="43" t="str">
        <x:v>L2024-00052-1</x:v>
      </x:c>
      <x:c r="B608" s="43" t="str">
        <x:v>연면적·면적</x:v>
      </x:c>
      <x:c r="C608" s="46" t="str">
        <x:v>floor area, m²</x:v>
      </x:c>
      <x:c r="D608" s="46" t="str">
        <x:v>1,800 m²</x:v>
      </x:c>
      <x:c r="E608" s="46" t="str">
        <x:v>USD 2,500,000</x:v>
      </x:c>
      <x:c r="F608" s="46" t="str"/>
      <x:c r="G608" s="46" t="str">
        <x:v>L2024-00052-1/입찰관련서류/Section 4 - Request for Proposal (RFP)_Design Service_╝│░Φ░·╛≈┴÷╜├╝¡(┐╡╣«)_Final_R2.pdf</x:v>
      </x:c>
      <x:c r="H608" s="43" t="str">
        <x:v>페이지 5</x:v>
      </x:c>
      <x:c r="I608" s="46" t="str">
        <x:v>B. Design Instructions For Indonesia IPB University New Advanced Research Laboratory(NARLab) 1. Outline of NARLab Design - Location : Between IPB Univ. ARLab. and JI.Rasamala (ARLab. Southwest direction. See picture below) - - Area : ≒ 1,000 m - Type of Building : 3 story building - Building size : 1,800 m² (Total Floor Area including two bridge connecting with ARLab.) - The Construction Budget for NARLab is at USD2,500,000 excluding of VAT Figure: The proposed site of NARLab and bridges connecting for the advanced research laboratory (marked in red) 2. Basic direction of design of IPB University’s NARLab - Enhance long-term mobility to facilitate expansion and transformation of research facilities. - Conditions required for high tech research Instruments must be met. - Consideration of efficient movement of samples subject to research tests from carrying- in to storage and disposal. - Reflect domestic and international legal regulations and controls, including laboratory safety, to prevent duplicate or multiple investments in the future. - Space arrangement that takes into consideration the convenient and efficient work and/or activity of researchers and cooperation between resear</x:v>
      </x:c>
      <x:c r="J608" s="43" t="str">
        <x:v>자동추출·검토필요</x:v>
      </x:c>
    </x:row>
    <x:row r="609">
      <x:c r="A609" s="43" t="str">
        <x:v>L2024-00052-1</x:v>
      </x:c>
      <x:c r="B609" s="43" t="str">
        <x:v>연면적·면적</x:v>
      </x:c>
      <x:c r="C609" s="46" t="str">
        <x:v>floor area</x:v>
      </x:c>
      <x:c r="D609" s="46" t="str">
        <x:v>1,800 m2</x:v>
      </x:c>
      <x:c r="E609" s="46" t="str"/>
      <x:c r="F609" s="46" t="str"/>
      <x:c r="G609" s="46" t="str">
        <x:v>L2024-00052-1/입찰관련서류/Section 8 - Special Conditions of Contract_R3.docx</x:v>
      </x:c>
      <x:c r="H609" s="43" t="str">
        <x:v>표 1 행 2</x:v>
      </x:c>
      <x:c r="I609" s="46" t="str">
        <x:v>Scope of Works | ▪ Design Services for “New Advanced Research Laboratory Center” ▪ Bidding support for selecting the contractors ▪ Construction Supervision Consultant during construction period ▪ Detailed deliverable and work scope as below; Work No1. Design Works SD(Schematic DWGs) DD(Development DWGs) CD(Construction DWGs) Work No2. Size of the Project Total Floor Area: 1,800 m2, a building of 3-story Work No3. Output DWGs(Soft Copy &amp; 5 sets Hard Copys) Specification Technical Survey Reports Soil Investigation Report Technical Calculation Reports BOQ(Be created with budget relation) Documents for Permission Documents for Bidding Documents for ECC (If needed) Other necessary document for the project Work No4. During Construction Design Change related works(create the DWGs and Review) Work No5. Others Related task for Permit as an Architect Related required task from the Client as an Architect</x:v>
      </x:c>
      <x:c r="J609" s="43" t="str">
        <x:v>자동추출·검토필요</x:v>
      </x:c>
    </x:row>
    <x:row r="610">
      <x:c r="A610" s="43" t="str">
        <x:v>L2024-00050-1</x:v>
      </x:c>
      <x:c r="B610" s="43" t="str">
        <x:v>연면적·면적</x:v>
      </x:c>
      <x:c r="C610" s="46" t="str">
        <x:v>floor area, building area</x:v>
      </x:c>
      <x:c r="D610" s="46" t="str">
        <x:v>1,174 m2 | 2,640 m2 | 218 m2 | 1,174 m2 | 2,640 m2 | 218 m2</x:v>
      </x:c>
      <x:c r="E610" s="46" t="str"/>
      <x:c r="F610" s="46" t="str"/>
      <x:c r="G610" s="46" t="str">
        <x:v>L2024-00050-1/Part 1(입찰절차)/Part 1(└╘┬√└²┬≈)/Section 2 - Bid Data Sheet (┐╡╣«).docx</x:v>
      </x:c>
      <x:c r="H610" s="43" t="str">
        <x:v>표 4 행 8</x:v>
      </x:c>
      <x:c r="I610" s="46" t="str">
        <x:v>Building area (Gross floor area) | 1. Training Complex – 1,174 m2 2. Dormitories – 2,640 m2 3. Multi-purpose Hall (Extension) – 218 m2 4. External Works and Services | 1. Training Complex – 1,174 m2 2. Dormitories – 2,640 m2 3. Multi-purpose Hall (Extension) – 218 m2 4. External Works and Services</x:v>
      </x:c>
      <x:c r="J610" s="43" t="str">
        <x:v>자동추출·검토필요</x:v>
      </x:c>
    </x:row>
    <x:row r="611">
      <x:c r="A611" s="43" t="str">
        <x:v>L2024-00050-1</x:v>
      </x:c>
      <x:c r="B611" s="43" t="str">
        <x:v>연면적·면적</x:v>
      </x:c>
      <x:c r="C611" s="46" t="str">
        <x:v>대지면적, ㎡</x:v>
      </x:c>
      <x:c r="D611" s="46" t="str">
        <x:v>47,000 ㎡ | 27,000 ㎡</x:v>
      </x:c>
      <x:c r="E611" s="46" t="str"/>
      <x:c r="F611" s="46" t="str"/>
      <x:c r="G611" s="46" t="str">
        <x:v>L2024-00050-1/입찰계획안(국문)_240912.hwp</x:v>
      </x:c>
      <x:c r="H611" s="43" t="str">
        <x:v>문단 84</x:v>
      </x:c>
      <x:c r="I611" s="46" t="str">
        <x:v>전체 대지면적 약 47,000㎡ 중 약 27,000㎡ 적용</x:v>
      </x:c>
      <x:c r="J611" s="43" t="str">
        <x:v>자동추출·검토필요</x:v>
      </x:c>
    </x:row>
    <x:row r="612">
      <x:c r="A612" s="43" t="str">
        <x:v>L2024-00050-1</x:v>
      </x:c>
      <x:c r="B612" s="43" t="str">
        <x:v>연면적·면적</x:v>
      </x:c>
      <x:c r="C612" s="46" t="str">
        <x:v>㎡</x:v>
      </x:c>
      <x:c r="D612" s="46" t="str">
        <x:v>4,034 ㎡ | 2,640 ㎡ | 1,174 ㎡ | 218 ㎡</x:v>
      </x:c>
      <x:c r="E612" s="46" t="str"/>
      <x:c r="F612" s="46" t="str"/>
      <x:c r="G612" s="46" t="str">
        <x:v>L2024-00050-1/입찰계획안(국문)_240912.hwp</x:v>
      </x:c>
      <x:c r="H612" s="43" t="str">
        <x:v>문단 86</x:v>
      </x:c>
      <x:c r="I612" s="46" t="str">
        <x:v>- 신축/증축 약 4,034㎡ (기숙사 신축 2,640㎡, 행정동 및 Auditorium 신축 1,174㎡, 다목적홀 증축 약 218㎡)</x:v>
      </x:c>
      <x:c r="J612" s="43" t="str">
        <x:v>자동추출·검토필요</x:v>
      </x:c>
    </x:row>
    <x:row r="613">
      <x:c r="A613" s="43" t="str">
        <x:v>L2024-00050-1</x:v>
      </x:c>
      <x:c r="B613" s="43" t="str">
        <x:v>연면적·면적</x:v>
      </x:c>
      <x:c r="C613" s="46" t="str">
        <x:v>㎡</x:v>
      </x:c>
      <x:c r="D613" s="46" t="str">
        <x:v>4,600 ㎡</x:v>
      </x:c>
      <x:c r="E613" s="46" t="str"/>
      <x:c r="F613" s="46" t="str"/>
      <x:c r="G613" s="46" t="str">
        <x:v>L2024-00050-1/입찰계획안(국문)_240912.hwp</x:v>
      </x:c>
      <x:c r="H613" s="43" t="str">
        <x:v>문단 87</x:v>
      </x:c>
      <x:c r="I613" s="46" t="str">
        <x:v>외부도로 등 약 4,600㎡</x:v>
      </x:c>
      <x:c r="J613" s="43" t="str">
        <x:v>자동추출·검토필요</x:v>
      </x:c>
    </x:row>
    <x:row r="614">
      <x:c r="A614" s="43" t="str">
        <x:v>L2024-00050-1</x:v>
      </x:c>
      <x:c r="B614" s="43" t="str">
        <x:v>연면적·면적</x:v>
      </x:c>
      <x:c r="C614" s="46" t="str">
        <x:v>floor area, building area</x:v>
      </x:c>
      <x:c r="D614" s="46" t="str">
        <x:v>1,174 m2 | 2,640 m2 | 218 m2 | 1,174 m2 | 2,640 m2 | 218 m2</x:v>
      </x:c>
      <x:c r="E614" s="46" t="str"/>
      <x:c r="F614" s="46" t="str"/>
      <x:c r="G614" s="46" t="str">
        <x:v>L2024-00050-1/입찰계획안(영문)_240912.docx</x:v>
      </x:c>
      <x:c r="H614" s="43" t="str">
        <x:v>표 4 행 8</x:v>
      </x:c>
      <x:c r="I614" s="46" t="str">
        <x:v>Building area (Gross floor area) | 1. Training Complex – 1,174 m2 2. Dormitories – 2,640 m2 3. Multi-purpose Hall (Extension) – 218 m2 4. External Works and Services | 1. Training Complex – 1,174 m2 2. Dormitories – 2,640 m2 3. Multi-purpose Hall (Extension) – 218 m2 4. External Works and Services</x:v>
      </x:c>
      <x:c r="J614" s="43" t="str">
        <x:v>자동추출·검토필요</x:v>
      </x:c>
    </x:row>
    <x:row r="615">
      <x:c r="A615" s="43" t="str">
        <x:v>L2024-00049-2</x:v>
      </x:c>
      <x:c r="B615" s="43" t="str">
        <x:v>연면적·면적</x:v>
      </x:c>
      <x:c r="C615" s="46" t="str">
        <x:v>㎡</x:v>
      </x:c>
      <x:c r="D615" s="46" t="str">
        <x:v>639.20 ㎡</x:v>
      </x:c>
      <x:c r="E615" s="46" t="str"/>
      <x:c r="F615" s="46" t="str"/>
      <x:c r="G615" s="46" t="str">
        <x:v>L2024-00049-2/3. Bidding Document_ITCA (Construction)/Attachment 6. Scope of Works_ITCA  Construction.docx</x:v>
      </x:c>
      <x:c r="H615" s="43" t="str">
        <x:v>문단 14</x:v>
      </x:c>
      <x:c r="I615" s="46" t="str">
        <x:v>Site area: 639.20㎡</x:v>
      </x:c>
      <x:c r="J615" s="43" t="str">
        <x:v>자동추출·검토필요</x:v>
      </x:c>
    </x:row>
    <x:row r="616">
      <x:c r="A616" s="43" t="str">
        <x:v>L2024-00049-2</x:v>
      </x:c>
      <x:c r="B616" s="43" t="str">
        <x:v>연면적·면적</x:v>
      </x:c>
      <x:c r="C616" s="46" t="str">
        <x:v>floor area, ㎡</x:v>
      </x:c>
      <x:c r="D616" s="46" t="str">
        <x:v>788.12 ㎡</x:v>
      </x:c>
      <x:c r="E616" s="46" t="str"/>
      <x:c r="F616" s="46" t="str"/>
      <x:c r="G616" s="46" t="str">
        <x:v>L2024-00049-2/3. Bidding Document_ITCA (Construction)/Attachment 6. Scope of Works_ITCA  Construction.docx</x:v>
      </x:c>
      <x:c r="H616" s="43" t="str">
        <x:v>문단 15</x:v>
      </x:c>
      <x:c r="I616" s="46" t="str">
        <x:v>Gross floor area: 788.12㎡</x:v>
      </x:c>
      <x:c r="J616" s="43" t="str">
        <x:v>자동추출·검토필요</x:v>
      </x:c>
    </x:row>
    <x:row r="617">
      <x:c r="A617" s="43" t="str">
        <x:v>L2024-00049-2</x:v>
      </x:c>
      <x:c r="B617" s="43" t="str">
        <x:v>연면적·면적</x:v>
      </x:c>
      <x:c r="C617" s="46" t="str">
        <x:v>㎡</x:v>
      </x:c>
      <x:c r="D617" s="46" t="str">
        <x:v>639.20 ㎡ | 639.20 ㎡</x:v>
      </x:c>
      <x:c r="E617" s="46" t="str"/>
      <x:c r="F617" s="46" t="str"/>
      <x:c r="G617" s="46" t="str">
        <x:v>L2024-00049-2/3. Bidding Document_ITCA (Construction)/Section 2 Bid data sheet_ITCA Construction.docx</x:v>
      </x:c>
      <x:c r="H617" s="43" t="str">
        <x:v>표 2 행 6</x:v>
      </x:c>
      <x:c r="I617" s="46" t="str">
        <x:v>Site Area | 639.20㎡ | 639.20㎡</x:v>
      </x:c>
      <x:c r="J617" s="43" t="str">
        <x:v>자동추출·검토필요</x:v>
      </x:c>
    </x:row>
    <x:row r="618">
      <x:c r="A618" s="43" t="str">
        <x:v>L2024-00049-2</x:v>
      </x:c>
      <x:c r="B618" s="43" t="str">
        <x:v>연면적·면적</x:v>
      </x:c>
      <x:c r="C618" s="46" t="str">
        <x:v>floor area, ㎡</x:v>
      </x:c>
      <x:c r="D618" s="46" t="str">
        <x:v>788.12 ㎡ | 788.12 ㎡</x:v>
      </x:c>
      <x:c r="E618" s="46" t="str"/>
      <x:c r="F618" s="46" t="str"/>
      <x:c r="G618" s="46" t="str">
        <x:v>L2024-00049-2/3. Bidding Document_ITCA (Construction)/Section 2 Bid data sheet_ITCA Construction.docx</x:v>
      </x:c>
      <x:c r="H618" s="43" t="str">
        <x:v>표 2 행 7</x:v>
      </x:c>
      <x:c r="I618" s="46" t="str">
        <x:v>Gross floor area | 788.12㎡ | 788.12㎡</x:v>
      </x:c>
      <x:c r="J618" s="43" t="str">
        <x:v>자동추출·검토필요</x:v>
      </x:c>
    </x:row>
    <x:row r="619">
      <x:c r="A619" s="43" t="str">
        <x:v>L2024-00049-1</x:v>
      </x:c>
      <x:c r="B619" s="43" t="str">
        <x:v>연면적·면적</x:v>
      </x:c>
      <x:c r="C619" s="46" t="str">
        <x:v>㎡</x:v>
      </x:c>
      <x:c r="D619" s="46" t="str">
        <x:v>639.20 ㎡ | 639.20 ㎡</x:v>
      </x:c>
      <x:c r="E619" s="46" t="str"/>
      <x:c r="F619" s="46" t="str"/>
      <x:c r="G619" s="46" t="str">
        <x:v>L2024-00049-1/Bidding Document_ITCA(Construction)_Final/Section 2 Bid data sheet_ITCA Construction_(202409).docx</x:v>
      </x:c>
      <x:c r="H619" s="43" t="str">
        <x:v>표 2 행 6</x:v>
      </x:c>
      <x:c r="I619" s="46" t="str">
        <x:v>Site Area | 639.20㎡ | 639.20㎡</x:v>
      </x:c>
      <x:c r="J619" s="43" t="str">
        <x:v>자동추출·검토필요</x:v>
      </x:c>
    </x:row>
    <x:row r="620">
      <x:c r="A620" s="43" t="str">
        <x:v>L2024-00049-1</x:v>
      </x:c>
      <x:c r="B620" s="43" t="str">
        <x:v>연면적·면적</x:v>
      </x:c>
      <x:c r="C620" s="46" t="str">
        <x:v>floor area, ㎡</x:v>
      </x:c>
      <x:c r="D620" s="46" t="str">
        <x:v>788.12 ㎡ | 788.12 ㎡</x:v>
      </x:c>
      <x:c r="E620" s="46" t="str"/>
      <x:c r="F620" s="46" t="str"/>
      <x:c r="G620" s="46" t="str">
        <x:v>L2024-00049-1/Bidding Document_ITCA(Construction)_Final/Section 2 Bid data sheet_ITCA Construction_(202409).docx</x:v>
      </x:c>
      <x:c r="H620" s="43" t="str">
        <x:v>표 2 행 7</x:v>
      </x:c>
      <x:c r="I620" s="46" t="str">
        <x:v>Gross floor area | 788.12㎡ | 788.12㎡</x:v>
      </x:c>
      <x:c r="J620" s="43" t="str">
        <x:v>자동추출·검토필요</x:v>
      </x:c>
    </x:row>
    <x:row r="621">
      <x:c r="A621" s="43" t="str">
        <x:v>L2024-00048-1</x:v>
      </x:c>
      <x:c r="B621" s="43" t="str">
        <x:v>연면적·면적</x:v>
      </x:c>
      <x:c r="C621" s="46" t="str">
        <x:v>floor area</x:v>
      </x:c>
      <x:c r="D621" s="46" t="str">
        <x:v>1,500 m2</x:v>
      </x:c>
      <x:c r="E621" s="46" t="str"/>
      <x:c r="F621" s="46" t="str"/>
      <x:c r="G621" s="46" t="str">
        <x:v>L2024-00048-1/Section 4 - Request for Proposal_코트디_ver.1.2_수정.docx</x:v>
      </x:c>
      <x:c r="H621" s="43" t="str">
        <x:v>표 1 행 4</x:v>
      </x:c>
      <x:c r="I621" s="46" t="str">
        <x:v>Gross Floor Area | 1,500m2 (GF-1F) |</x:v>
      </x:c>
      <x:c r="J621" s="43" t="str">
        <x:v>자동추출·검토필요</x:v>
      </x:c>
    </x:row>
    <x:row r="622">
      <x:c r="A622" s="43" t="str">
        <x:v>L2024-00048-1</x:v>
      </x:c>
      <x:c r="B622" s="43" t="str">
        <x:v>연면적·면적</x:v>
      </x:c>
      <x:c r="C622" s="46" t="str">
        <x:v>㎡</x:v>
      </x:c>
      <x:c r="D622" s="46" t="str">
        <x:v>2.0 ㎡</x:v>
      </x:c>
      <x:c r="E622" s="46" t="str"/>
      <x:c r="F622" s="46" t="str"/>
      <x:c r="G622" s="46" t="str">
        <x:v>L2024-00048-1/Section 4 - Request for Proposal_코트디_ver.1.2_수정.docx</x:v>
      </x:c>
      <x:c r="H622" s="43" t="str">
        <x:v>표 7 행 3</x:v>
      </x:c>
      <x:c r="I622" s="46" t="str">
        <x:v>Ground Floor | Exclusive Use Area | Incubating room | #G02 | 16 | 45.36 | Prototyping, SW startups, and business incubation | 2.0㎡/person</x:v>
      </x:c>
      <x:c r="J622" s="43" t="str">
        <x:v>자동추출·검토필요</x:v>
      </x:c>
    </x:row>
    <x:row r="623">
      <x:c r="A623" s="43" t="str">
        <x:v>L2024-00048-1</x:v>
      </x:c>
      <x:c r="B623" s="43" t="str">
        <x:v>연면적·면적</x:v>
      </x:c>
      <x:c r="C623" s="46" t="str">
        <x:v>㎡</x:v>
      </x:c>
      <x:c r="D623" s="46" t="str">
        <x:v>2.0 ㎡</x:v>
      </x:c>
      <x:c r="E623" s="46" t="str"/>
      <x:c r="F623" s="46" t="str"/>
      <x:c r="G623" s="46" t="str">
        <x:v>L2024-00048-1/Section 4 - Request for Proposal_코트디_ver.1.2_수정.docx</x:v>
      </x:c>
      <x:c r="H623" s="43" t="str">
        <x:v>표 7 행 4</x:v>
      </x:c>
      <x:c r="I623" s="46" t="str">
        <x:v>Ground Floor | Exclusive Use Area | ICT Common class room #1 | #G03 | 41 | 61.92 | Installation of ICT educational equipment | 2.0㎡/person</x:v>
      </x:c>
      <x:c r="J623" s="43" t="str">
        <x:v>자동추출·검토필요</x:v>
      </x:c>
    </x:row>
    <x:row r="624">
      <x:c r="A624" s="43" t="str">
        <x:v>L2024-00048-1</x:v>
      </x:c>
      <x:c r="B624" s="43" t="str">
        <x:v>연면적·면적</x:v>
      </x:c>
      <x:c r="C624" s="46" t="str">
        <x:v>㎡</x:v>
      </x:c>
      <x:c r="D624" s="46" t="str">
        <x:v>7.0 ㎡</x:v>
      </x:c>
      <x:c r="E624" s="46" t="str"/>
      <x:c r="F624" s="46" t="str"/>
      <x:c r="G624" s="46" t="str">
        <x:v>L2024-00048-1/Section 4 - Request for Proposal_코트디_ver.1.2_수정.docx</x:v>
      </x:c>
      <x:c r="H624" s="43" t="str">
        <x:v>표 7 행 5</x:v>
      </x:c>
      <x:c r="I624" s="46" t="str">
        <x:v>Ground Floor | Exclusive Use Area | Professor’s room | #G04 | 6 | 61.92 | | 7.0㎡/person</x:v>
      </x:c>
      <x:c r="J624" s="43" t="str">
        <x:v>자동추출·검토필요</x:v>
      </x:c>
    </x:row>
    <x:row r="625">
      <x:c r="A625" s="43" t="str">
        <x:v>L2024-00048-1</x:v>
      </x:c>
      <x:c r="B625" s="43" t="str">
        <x:v>연면적·면적</x:v>
      </x:c>
      <x:c r="C625" s="46" t="str">
        <x:v>㎡</x:v>
      </x:c>
      <x:c r="D625" s="46" t="str">
        <x:v>7.0 ㎡</x:v>
      </x:c>
      <x:c r="E625" s="46" t="str"/>
      <x:c r="F625" s="46" t="str"/>
      <x:c r="G625" s="46" t="str">
        <x:v>L2024-00048-1/Section 4 - Request for Proposal_코트디_ver.1.2_수정.docx</x:v>
      </x:c>
      <x:c r="H625" s="43" t="str">
        <x:v>표 7 행 6</x:v>
      </x:c>
      <x:c r="I625" s="46" t="str">
        <x:v>Ground Floor | Exclusive Use Area | Administration Office | #G05 | 12 | 61.92 | | 7.0㎡/person</x:v>
      </x:c>
      <x:c r="J625" s="43" t="str">
        <x:v>자동추출·검토필요</x:v>
      </x:c>
    </x:row>
    <x:row r="626">
      <x:c r="A626" s="43" t="str">
        <x:v>L2024-00048-1</x:v>
      </x:c>
      <x:c r="B626" s="43" t="str">
        <x:v>연면적·면적</x:v>
      </x:c>
      <x:c r="C626" s="46" t="str">
        <x:v>㎡</x:v>
      </x:c>
      <x:c r="D626" s="46" t="str">
        <x:v>2.0 ㎡</x:v>
      </x:c>
      <x:c r="E626" s="46" t="str"/>
      <x:c r="F626" s="46" t="str"/>
      <x:c r="G626" s="46" t="str">
        <x:v>L2024-00048-1/Section 4 - Request for Proposal_코트디_ver.1.2_수정.docx</x:v>
      </x:c>
      <x:c r="H626" s="43" t="str">
        <x:v>표 7 행 8</x:v>
      </x:c>
      <x:c r="I626" s="46" t="str">
        <x:v>Ground Floor | Exclusive Use Area | IoT Lab | #G07 | 31 | 56.00 | | 2.0㎡/person</x:v>
      </x:c>
      <x:c r="J626" s="43" t="str">
        <x:v>자동추출·검토필요</x:v>
      </x:c>
    </x:row>
    <x:row r="627">
      <x:c r="A627" s="43" t="str">
        <x:v>L2024-00048-1</x:v>
      </x:c>
      <x:c r="B627" s="43" t="str">
        <x:v>연면적·면적</x:v>
      </x:c>
      <x:c r="C627" s="46" t="str">
        <x:v>㎡</x:v>
      </x:c>
      <x:c r="D627" s="46" t="str">
        <x:v>2.0 ㎡</x:v>
      </x:c>
      <x:c r="E627" s="46" t="str"/>
      <x:c r="F627" s="46" t="str"/>
      <x:c r="G627" s="46" t="str">
        <x:v>L2024-00048-1/Section 4 - Request for Proposal_코트디_ver.1.2_수정.docx</x:v>
      </x:c>
      <x:c r="H627" s="43" t="str">
        <x:v>표 7 행 9</x:v>
      </x:c>
      <x:c r="I627" s="46" t="str">
        <x:v>Ground Floor | Exclusive Use Area | AI/Bigdata Lab | #G08 | 31 | 56.00 | | 2.0㎡/person</x:v>
      </x:c>
      <x:c r="J627" s="43" t="str">
        <x:v>자동추출·검토필요</x:v>
      </x:c>
    </x:row>
    <x:row r="628">
      <x:c r="A628" s="43" t="str">
        <x:v>L2024-00048-1</x:v>
      </x:c>
      <x:c r="B628" s="43" t="str">
        <x:v>연면적·면적</x:v>
      </x:c>
      <x:c r="C628" s="46" t="str">
        <x:v>㎡</x:v>
      </x:c>
      <x:c r="D628" s="46" t="str">
        <x:v>2.0 ㎡</x:v>
      </x:c>
      <x:c r="E628" s="46" t="str"/>
      <x:c r="F628" s="46" t="str"/>
      <x:c r="G628" s="46" t="str">
        <x:v>L2024-00048-1/Section 4 - Request for Proposal_코트디_ver.1.2_수정.docx</x:v>
      </x:c>
      <x:c r="H628" s="43" t="str">
        <x:v>표 7 행 15</x:v>
      </x:c>
      <x:c r="I628" s="46" t="str">
        <x:v>1 Floor | Exclusive Use Area | Blended Learning room(Flipped Learning room) | #102 | 61 | 107.28 | | 2.0㎡/person</x:v>
      </x:c>
      <x:c r="J628" s="43" t="str">
        <x:v>자동추출·검토필요</x:v>
      </x:c>
    </x:row>
    <x:row r="629">
      <x:c r="A629" s="43" t="str">
        <x:v>L2024-00048-1</x:v>
      </x:c>
      <x:c r="B629" s="43" t="str">
        <x:v>연면적·면적</x:v>
      </x:c>
      <x:c r="C629" s="46" t="str">
        <x:v>㎡</x:v>
      </x:c>
      <x:c r="D629" s="46" t="str">
        <x:v>2.0 ㎡</x:v>
      </x:c>
      <x:c r="E629" s="46" t="str"/>
      <x:c r="F629" s="46" t="str"/>
      <x:c r="G629" s="46" t="str">
        <x:v>L2024-00048-1/Section 4 - Request for Proposal_코트디_ver.1.2_수정.docx</x:v>
      </x:c>
      <x:c r="H629" s="43" t="str">
        <x:v>표 7 행 19</x:v>
      </x:c>
      <x:c r="I629" s="46" t="str">
        <x:v>1 Floor | Exclusive Use Area | Network Practice Lab | #106 | 61 | 112.00 | | 2.0㎡/person</x:v>
      </x:c>
      <x:c r="J629" s="43" t="str">
        <x:v>자동추출·검토필요</x:v>
      </x:c>
    </x:row>
    <x:row r="630">
      <x:c r="A630" s="43" t="str">
        <x:v>L2024-00041-1</x:v>
      </x:c>
      <x:c r="B630" s="43" t="str">
        <x:v>연면적·면적</x:v>
      </x:c>
      <x:c r="C630" s="46" t="str">
        <x:v>floor area</x:v>
      </x:c>
      <x:c r="D630" s="46" t="str">
        <x:v>1,825 M2 | 9,012 M2 | 136 M2 | 1,825 M2 | 9,012 M2 | 136 M2</x:v>
      </x:c>
      <x:c r="E630" s="46" t="str"/>
      <x:c r="F630" s="46" t="str"/>
      <x:c r="G630" s="46" t="str">
        <x:v>L2024-00041-1/Section 2 - Bid Data Sheet (BDS)_v5_0604.docx</x:v>
      </x:c>
      <x:c r="H630" s="43" t="str">
        <x:v>표 5 행 3</x:v>
      </x:c>
      <x:c r="I630" s="46" t="str">
        <x:v>․ Scope of Service | ※The assignment consist of the services for the construction of the project mentioned below: - New Construction of Training Center in Chuy Oblast: Total Floor Area 1,825 M2. One(1) Admin/Training Building and One(1) Dormitory Building. The Project site area is 9,012 M2 - Remodeling of Bio-Center : 136 M2 project area for 2 floors 1) Design and Construction document Service -Soil Investigation and Required surveys (Including Existing building status for remodeling work, Topographical, Structural, and Geographical surveys for New construction work) -Preparation of design and other engineering services necessary to bring the work to the construction readiness state for the projects mentioned in the Agreement - Preparation of all the developed construction documents -All required administration &amp; preparation for relevant permits 2) Author’s Supervision - All required A.S. service as defined in the local regulation for the Successful Construction and Remodeling works of the project until the official approval date on the building occupation permit. - The service include but not limited to the following: control over the compliance of the construction and installatio</x:v>
      </x:c>
      <x:c r="J630" s="43" t="str">
        <x:v>자동추출·검토필요</x:v>
      </x:c>
    </x:row>
    <x:row r="631">
      <x:c r="A631" s="43" t="str">
        <x:v>L2024-00041-1</x:v>
      </x:c>
      <x:c r="B631" s="43" t="str">
        <x:v>연면적·면적</x:v>
      </x:c>
      <x:c r="C631" s="46" t="str">
        <x:v>floor area</x:v>
      </x:c>
      <x:c r="D631" s="46" t="str">
        <x:v>1,825 M2 | 9,012 M2</x:v>
      </x:c>
      <x:c r="E631" s="46" t="str"/>
      <x:c r="F631" s="46" t="str"/>
      <x:c r="G631" s="46" t="str">
        <x:v>L2024-00041-1/Section 5 - Scope of the Services (ToR)_v2_0603.docx</x:v>
      </x:c>
      <x:c r="H631" s="43" t="str">
        <x:v>문단 25</x:v>
      </x:c>
      <x:c r="I631" s="46" t="str">
        <x:v>A. New Construction of Training Center in Chuy Oblast: Total Floor Area 1,825 M2. One(1) Admin/Training Building and One(1) Dormitory Building. The Project site area is 9,012 M2</x:v>
      </x:c>
      <x:c r="J631" s="43" t="str">
        <x:v>자동추출·검토필요</x:v>
      </x:c>
    </x:row>
    <x:row r="632">
      <x:c r="A632" s="43" t="str">
        <x:v>L2024-00041-1</x:v>
      </x:c>
      <x:c r="B632" s="43" t="str">
        <x:v>연면적·면적</x:v>
      </x:c>
      <x:c r="C632" s="46" t="str">
        <x:v>floor area</x:v>
      </x:c>
      <x:c r="D632" s="46" t="str">
        <x:v>1,825 M2 | 9,012 M2 | 136 M2</x:v>
      </x:c>
      <x:c r="E632" s="46" t="str"/>
      <x:c r="F632" s="46" t="str"/>
      <x:c r="G632" s="46" t="str">
        <x:v>L2024-00041-1/Summary of Bidding (요약본)_v1_0517.docx</x:v>
      </x:c>
      <x:c r="H632" s="43" t="str">
        <x:v>표 2 행 2</x:v>
      </x:c>
      <x:c r="I632" s="46" t="str">
        <x:v>․ Summary of Services | ※ The assignment consist of the services for the construction of the project mentioned below: - New Construction of Training Center in Chuy Oblast: Total Floor Area 1,825 M2. One(1) Admin/Training Building and One(1) Dormitory Building. The Project site area is 9,012 M2 - Remodeling of Bio-Center : 136 M2 project area for 2 floors 1) Design and Construction document Service 2) Author’s Supervision 3) Bidding support for selecting the construction contractors ※Refer to the [Section 5] Scope of Services for further details.</x:v>
      </x:c>
      <x:c r="J632" s="43" t="str">
        <x:v>자동추출·검토필요</x:v>
      </x:c>
    </x:row>
    <x:row r="633">
      <x:c r="A633" s="43" t="str">
        <x:v>L2024-00041-1</x:v>
      </x:c>
      <x:c r="B633" s="43" t="str">
        <x:v>연면적·면적</x:v>
      </x:c>
      <x:c r="C633" s="46" t="str">
        <x:v>floor area</x:v>
      </x:c>
      <x:c r="D633" s="46" t="str">
        <x:v>1,825 M2 | 9,012 M2 | 136 M2</x:v>
      </x:c>
      <x:c r="E633" s="46" t="str"/>
      <x:c r="F633" s="46" t="str"/>
      <x:c r="G633" s="46" t="str">
        <x:v>L2024-00041-1/Summary of Bidding (요약본)_v2_0603.docx</x:v>
      </x:c>
      <x:c r="H633" s="43" t="str">
        <x:v>표 2 행 2</x:v>
      </x:c>
      <x:c r="I633" s="46" t="str">
        <x:v>․ Summary of Services | ※ The assignment consist of the services for the construction of the project mentioned below: - New Construction of Training Center in Chuy Oblast: Total Floor Area 1,825 M2. One(1) Admin/Training Building and One(1) Dormitory Building. The Project site area is 9,012 M2 - Remodeling of Bio-Center : 136 M2 project area for 2 floors 1) Design and Construction document Service 2) Author’s Supervision 3) Bidding support for selecting the construction contractors ※Refer to the [Section 5] Scope of Services for further details.</x:v>
      </x:c>
      <x:c r="J633" s="43" t="str">
        <x:v>자동추출·검토필요</x:v>
      </x:c>
    </x:row>
    <x:row r="634">
      <x:c r="A634" s="43" t="str">
        <x:v>L2024-00039-1</x:v>
      </x:c>
      <x:c r="B634" s="43" t="str">
        <x:v>연면적·면적</x:v>
      </x:c>
      <x:c r="C634" s="46" t="str">
        <x:v>㎡</x:v>
      </x:c>
      <x:c r="D634" s="46" t="str">
        <x:v>11,467.50 ㎡</x:v>
      </x:c>
      <x:c r="E634" s="46" t="str"/>
      <x:c r="F634" s="46" t="str"/>
      <x:c r="G634" s="46" t="str">
        <x:v>L2024-00039-1/붙임1. 이라크 한-이라크 직훈원 리노베이션 시공 재공고 입찰계획_20240701.hwp</x:v>
      </x:c>
      <x:c r="H634" s="43" t="str">
        <x:v>문단 90</x:v>
      </x:c>
      <x:c r="I634" s="46" t="str">
        <x:v>11,467.50㎡</x:v>
      </x:c>
      <x:c r="J634" s="43" t="str">
        <x:v>자동추출·검토필요</x:v>
      </x:c>
    </x:row>
    <x:row r="635">
      <x:c r="A635" s="43" t="str">
        <x:v>L2024-00039-1</x:v>
      </x:c>
      <x:c r="B635" s="43" t="str">
        <x:v>연면적·면적</x:v>
      </x:c>
      <x:c r="C635" s="46" t="str">
        <x:v>㎡</x:v>
      </x:c>
      <x:c r="D635" s="46" t="str">
        <x:v>8,217 ㎡</x:v>
      </x:c>
      <x:c r="E635" s="46" t="str"/>
      <x:c r="F635" s="46" t="str"/>
      <x:c r="G635" s="46" t="str">
        <x:v>L2024-00039-1/붙임1. 이라크 한-이라크 직훈원 리노베이션 시공 재공고 입찰계획_20240701.hwp</x:v>
      </x:c>
      <x:c r="H635" s="43" t="str">
        <x:v>문단 92</x:v>
      </x:c>
      <x:c r="I635" s="46" t="str">
        <x:v>8,217㎡</x:v>
      </x:c>
      <x:c r="J635" s="43" t="str">
        <x:v>자동추출·검토필요</x:v>
      </x:c>
    </x:row>
    <x:row r="636">
      <x:c r="A636" s="43" t="str">
        <x:v>L2024-00039-1</x:v>
      </x:c>
      <x:c r="B636" s="43" t="str">
        <x:v>연면적·면적</x:v>
      </x:c>
      <x:c r="C636" s="46" t="str">
        <x:v>㎡</x:v>
      </x:c>
      <x:c r="D636" s="46" t="str">
        <x:v>4,193 ㎡</x:v>
      </x:c>
      <x:c r="E636" s="46" t="str"/>
      <x:c r="F636" s="46" t="str"/>
      <x:c r="G636" s="46" t="str">
        <x:v>L2024-00039-1/붙임1. 이라크 한-이라크 직훈원 리노베이션 시공 재공고 입찰계획_20240701.hwp</x:v>
      </x:c>
      <x:c r="H636" s="43" t="str">
        <x:v>문단 94</x:v>
      </x:c>
      <x:c r="I636" s="46" t="str">
        <x:v>1. Main Building : 지상 2층 (4,193㎡)</x:v>
      </x:c>
      <x:c r="J636" s="43" t="str">
        <x:v>자동추출·검토필요</x:v>
      </x:c>
    </x:row>
    <x:row r="637">
      <x:c r="A637" s="43" t="str">
        <x:v>L2024-00039-1</x:v>
      </x:c>
      <x:c r="B637" s="43" t="str">
        <x:v>연면적·면적</x:v>
      </x:c>
      <x:c r="C637" s="46" t="str">
        <x:v>㎡</x:v>
      </x:c>
      <x:c r="D637" s="46" t="str">
        <x:v>4,024 ㎡</x:v>
      </x:c>
      <x:c r="E637" s="46" t="str"/>
      <x:c r="F637" s="46" t="str"/>
      <x:c r="G637" s="46" t="str">
        <x:v>L2024-00039-1/붙임1. 이라크 한-이라크 직훈원 리노베이션 시공 재공고 입찰계획_20240701.hwp</x:v>
      </x:c>
      <x:c r="H637" s="43" t="str">
        <x:v>문단 95</x:v>
      </x:c>
      <x:c r="I637" s="46" t="str">
        <x:v>2. Workshop Building : 지상 2층 (4,024㎡)</x:v>
      </x:c>
      <x:c r="J637" s="43" t="str">
        <x:v>자동추출·검토필요</x:v>
      </x:c>
    </x:row>
    <x:row r="638">
      <x:c r="A638" s="43" t="str">
        <x:v>L2024-00039-1</x:v>
      </x:c>
      <x:c r="B638" s="43" t="str">
        <x:v>연면적·면적</x:v>
      </x:c>
      <x:c r="C638" s="46" t="str">
        <x:v>square meter</x:v>
      </x:c>
      <x:c r="D638" s="46" t="str">
        <x:v>2 square meters</x:v>
      </x:c>
      <x:c r="E638" s="46" t="str"/>
      <x:c r="F638" s="46" t="str"/>
      <x:c r="G638" s="46" t="str">
        <x:v>L2024-00039-1/붙임2. 시공예산산출내역서.xlsx</x:v>
      </x:c>
      <x:c r="H638" s="43" t="str">
        <x:v>Sheet1!752</x:v>
      </x:c>
      <x:c r="I638" s="46" t="str">
        <x:v>A752=6 | B752=تصنيع وتجهيز ونصب وتثبيت فلاتر هواء قابله للغسل من البليت المغلون مع بيت الفلتر وعلى شكل &lt; وبمساحه لا تقل عن (2متر مربع). | C752=عدد | D752=2 | E752=250000 | F752==E752*D752 | H752=6 | I752=Manufacture, install, fixing of washable air filters from galvanized pallet with filter house and in the form of ˃ and an area not less than (2 square meters). | J752=No. | K752=2 | L752=250000 | M752==L752*K752</x:v>
      </x:c>
      <x:c r="J638" s="43" t="str">
        <x:v>자동추출·검토필요</x:v>
      </x:c>
    </x:row>
    <x:row r="639">
      <x:c r="A639" s="43" t="str">
        <x:v>L2024-00039-1</x:v>
      </x:c>
      <x:c r="B639" s="43" t="str">
        <x:v>연면적·면적</x:v>
      </x:c>
      <x:c r="C639" s="46" t="str">
        <x:v>building area</x:v>
      </x:c>
      <x:c r="D639" s="46" t="str">
        <x:v>4,193 m2 | 4,024 m2 | 4,193 m2 | 4,024 m2</x:v>
      </x:c>
      <x:c r="E639" s="46" t="str"/>
      <x:c r="F639" s="46" t="str"/>
      <x:c r="G639" s="46" t="str">
        <x:v>L2024-00039-1/붙임3. Bidding Documents_20240702/Section 2 - Bid Data Sheet_20240701.docx</x:v>
      </x:c>
      <x:c r="H639" s="43" t="str">
        <x:v>표 4 행 7</x:v>
      </x:c>
      <x:c r="I639" s="46" t="str">
        <x:v>- Building area | Main Building : 4,193 m2 Workshop Building : 4,024 m2 | Main Building : 4,193 m2 Workshop Building : 4,024 m2</x:v>
      </x:c>
      <x:c r="J639" s="43" t="str">
        <x:v>자동추출·검토필요</x:v>
      </x:c>
    </x:row>
    <x:row r="640">
      <x:c r="A640" s="43" t="str">
        <x:v>L2024-00039-1</x:v>
      </x:c>
      <x:c r="B640" s="43" t="str">
        <x:v>연면적·면적</x:v>
      </x:c>
      <x:c r="C640" s="46" t="str">
        <x:v>floor area</x:v>
      </x:c>
      <x:c r="D640" s="46" t="str">
        <x:v>8,217 m2 | 8,217 m2</x:v>
      </x:c>
      <x:c r="E640" s="46" t="str"/>
      <x:c r="F640" s="46" t="str"/>
      <x:c r="G640" s="46" t="str">
        <x:v>L2024-00039-1/붙임3. Bidding Documents_20240702/Section 2 - Bid Data Sheet_20240701.docx</x:v>
      </x:c>
      <x:c r="H640" s="43" t="str">
        <x:v>표 4 행 8</x:v>
      </x:c>
      <x:c r="I640" s="46" t="str">
        <x:v>- Gross floor area | 8,217 m2 | 8,217 m2</x:v>
      </x:c>
      <x:c r="J640" s="43" t="str">
        <x:v>자동추출·검토필요</x:v>
      </x:c>
    </x:row>
    <x:row r="641">
      <x:c r="A641" s="43" t="str">
        <x:v>L2024-00039-1</x:v>
      </x:c>
      <x:c r="B641" s="43" t="str">
        <x:v>연면적·면적</x:v>
      </x:c>
      <x:c r="C641" s="46" t="str">
        <x:v>building area</x:v>
      </x:c>
      <x:c r="D641" s="46" t="str">
        <x:v>4,193 m2 | 4,024 m2 | 4,193 m2 | 4,024 m2</x:v>
      </x:c>
      <x:c r="E641" s="46" t="str"/>
      <x:c r="F641" s="46" t="str"/>
      <x:c r="G641" s="46" t="str">
        <x:v>L2024-00039-1/붙임3. 입찰서류 및 계약서류(안)_재공고(20240701)/Section 2 - Bid Data Sheet_20240701.docx</x:v>
      </x:c>
      <x:c r="H641" s="43" t="str">
        <x:v>표 4 행 7</x:v>
      </x:c>
      <x:c r="I641" s="46" t="str">
        <x:v>- Building area | Main Building : 4,193 m2 Workshop Building : 4,024 m2 | Main Building : 4,193 m2 Workshop Building : 4,024 m2</x:v>
      </x:c>
      <x:c r="J641" s="43" t="str">
        <x:v>자동추출·검토필요</x:v>
      </x:c>
    </x:row>
    <x:row r="642">
      <x:c r="A642" s="43" t="str">
        <x:v>L2024-00039-1</x:v>
      </x:c>
      <x:c r="B642" s="43" t="str">
        <x:v>연면적·면적</x:v>
      </x:c>
      <x:c r="C642" s="46" t="str">
        <x:v>floor area</x:v>
      </x:c>
      <x:c r="D642" s="46" t="str">
        <x:v>8,217 m2 | 8,217 m2</x:v>
      </x:c>
      <x:c r="E642" s="46" t="str"/>
      <x:c r="F642" s="46" t="str"/>
      <x:c r="G642" s="46" t="str">
        <x:v>L2024-00039-1/붙임3. 입찰서류 및 계약서류(안)_재공고(20240701)/Section 2 - Bid Data Sheet_20240701.docx</x:v>
      </x:c>
      <x:c r="H642" s="43" t="str">
        <x:v>표 4 행 8</x:v>
      </x:c>
      <x:c r="I642" s="46" t="str">
        <x:v>- Gross floor area | 8,217 m2 | 8,217 m2</x:v>
      </x:c>
      <x:c r="J642" s="43" t="str">
        <x:v>자동추출·검토필요</x:v>
      </x:c>
    </x:row>
    <x:row r="643">
      <x:c r="A643" s="43" t="str">
        <x:v>L2024-00039-1</x:v>
      </x:c>
      <x:c r="B643" s="43" t="str">
        <x:v>연면적·면적</x:v>
      </x:c>
      <x:c r="C643" s="46" t="str">
        <x:v>㎡</x:v>
      </x:c>
      <x:c r="D643" s="46" t="str">
        <x:v>11,467.50 ㎡</x:v>
      </x:c>
      <x:c r="E643" s="46" t="str"/>
      <x:c r="F643" s="46" t="str"/>
      <x:c r="G643" s="46" t="str">
        <x:v>L2024-00039-1/붙임3. 조달1팀 검토의견서 및 공문/2. (검토내역) 붙임1. 이라크 한-이라크 직훈원 리노베이션 시공 입찰계획(안)_20240424_최종(코이카 이라크사무소).hwp</x:v>
      </x:c>
      <x:c r="H643" s="43" t="str">
        <x:v>문단 91</x:v>
      </x:c>
      <x:c r="I643" s="46" t="str">
        <x:v>11,467.50㎡</x:v>
      </x:c>
      <x:c r="J643" s="43" t="str">
        <x:v>자동추출·검토필요</x:v>
      </x:c>
    </x:row>
    <x:row r="644">
      <x:c r="A644" s="43" t="str">
        <x:v>L2024-00039-1</x:v>
      </x:c>
      <x:c r="B644" s="43" t="str">
        <x:v>연면적·면적</x:v>
      </x:c>
      <x:c r="C644" s="46" t="str">
        <x:v>㎡</x:v>
      </x:c>
      <x:c r="D644" s="46" t="str">
        <x:v>8,217 ㎡</x:v>
      </x:c>
      <x:c r="E644" s="46" t="str"/>
      <x:c r="F644" s="46" t="str"/>
      <x:c r="G644" s="46" t="str">
        <x:v>L2024-00039-1/붙임3. 조달1팀 검토의견서 및 공문/2. (검토내역) 붙임1. 이라크 한-이라크 직훈원 리노베이션 시공 입찰계획(안)_20240424_최종(코이카 이라크사무소).hwp</x:v>
      </x:c>
      <x:c r="H644" s="43" t="str">
        <x:v>문단 93</x:v>
      </x:c>
      <x:c r="I644" s="46" t="str">
        <x:v>8,217㎡</x:v>
      </x:c>
      <x:c r="J644" s="43" t="str">
        <x:v>자동추출·검토필요</x:v>
      </x:c>
    </x:row>
    <x:row r="645">
      <x:c r="A645" s="43" t="str">
        <x:v>L2024-00039-1</x:v>
      </x:c>
      <x:c r="B645" s="43" t="str">
        <x:v>연면적·면적</x:v>
      </x:c>
      <x:c r="C645" s="46" t="str">
        <x:v>㎡</x:v>
      </x:c>
      <x:c r="D645" s="46" t="str">
        <x:v>4,193 ㎡</x:v>
      </x:c>
      <x:c r="E645" s="46" t="str"/>
      <x:c r="F645" s="46" t="str"/>
      <x:c r="G645" s="46" t="str">
        <x:v>L2024-00039-1/붙임3. 조달1팀 검토의견서 및 공문/2. (검토내역) 붙임1. 이라크 한-이라크 직훈원 리노베이션 시공 입찰계획(안)_20240424_최종(코이카 이라크사무소).hwp</x:v>
      </x:c>
      <x:c r="H645" s="43" t="str">
        <x:v>문단 95</x:v>
      </x:c>
      <x:c r="I645" s="46" t="str">
        <x:v>1. Main Building : 지상 2층 (4,193㎡)</x:v>
      </x:c>
      <x:c r="J645" s="43" t="str">
        <x:v>자동추출·검토필요</x:v>
      </x:c>
    </x:row>
    <x:row r="646">
      <x:c r="A646" s="43" t="str">
        <x:v>L2024-00039-1</x:v>
      </x:c>
      <x:c r="B646" s="43" t="str">
        <x:v>연면적·면적</x:v>
      </x:c>
      <x:c r="C646" s="46" t="str">
        <x:v>㎡</x:v>
      </x:c>
      <x:c r="D646" s="46" t="str">
        <x:v>4,024 ㎡</x:v>
      </x:c>
      <x:c r="E646" s="46" t="str"/>
      <x:c r="F646" s="46" t="str"/>
      <x:c r="G646" s="46" t="str">
        <x:v>L2024-00039-1/붙임3. 조달1팀 검토의견서 및 공문/2. (검토내역) 붙임1. 이라크 한-이라크 직훈원 리노베이션 시공 입찰계획(안)_20240424_최종(코이카 이라크사무소).hwp</x:v>
      </x:c>
      <x:c r="H646" s="43" t="str">
        <x:v>문단 96</x:v>
      </x:c>
      <x:c r="I646" s="46" t="str">
        <x:v>2. Workshop Building : 지상 2층 (4,024㎡)</x:v>
      </x:c>
      <x:c r="J646" s="43" t="str">
        <x:v>자동추출·검토필요</x:v>
      </x:c>
    </x:row>
    <x:row r="647">
      <x:c r="A647" s="43" t="str">
        <x:v>L2024-00039-1</x:v>
      </x:c>
      <x:c r="B647" s="43" t="str">
        <x:v>연면적·면적</x:v>
      </x:c>
      <x:c r="C647" s="46" t="str">
        <x:v>㎡</x:v>
      </x:c>
      <x:c r="D647" s="46" t="str">
        <x:v>11,467.50 ㎡</x:v>
      </x:c>
      <x:c r="E647" s="46" t="str"/>
      <x:c r="F647" s="46" t="str"/>
      <x:c r="G647" s="46" t="str">
        <x:v>L2024-00039-1/붙임3. 조달1팀 검토의견서 및 공문/3. (수정내역) 이라크 한-이라크 직훈원 리노베이션 시공 입찰계획(안)_20240505(검토메모)_사무소 작성.hwp</x:v>
      </x:c>
      <x:c r="H647" s="43" t="str">
        <x:v>문단 91</x:v>
      </x:c>
      <x:c r="I647" s="46" t="str">
        <x:v>11,467.50㎡</x:v>
      </x:c>
      <x:c r="J647" s="43" t="str">
        <x:v>자동추출·검토필요</x:v>
      </x:c>
    </x:row>
    <x:row r="648">
      <x:c r="A648" s="43" t="str">
        <x:v>L2024-00039-1</x:v>
      </x:c>
      <x:c r="B648" s="43" t="str">
        <x:v>연면적·면적</x:v>
      </x:c>
      <x:c r="C648" s="46" t="str">
        <x:v>㎡</x:v>
      </x:c>
      <x:c r="D648" s="46" t="str">
        <x:v>8,217 ㎡</x:v>
      </x:c>
      <x:c r="E648" s="46" t="str"/>
      <x:c r="F648" s="46" t="str"/>
      <x:c r="G648" s="46" t="str">
        <x:v>L2024-00039-1/붙임3. 조달1팀 검토의견서 및 공문/3. (수정내역) 이라크 한-이라크 직훈원 리노베이션 시공 입찰계획(안)_20240505(검토메모)_사무소 작성.hwp</x:v>
      </x:c>
      <x:c r="H648" s="43" t="str">
        <x:v>문단 93</x:v>
      </x:c>
      <x:c r="I648" s="46" t="str">
        <x:v>8,217㎡</x:v>
      </x:c>
      <x:c r="J648" s="43" t="str">
        <x:v>자동추출·검토필요</x:v>
      </x:c>
    </x:row>
    <x:row r="649">
      <x:c r="A649" s="43" t="str">
        <x:v>L2024-00039-1</x:v>
      </x:c>
      <x:c r="B649" s="43" t="str">
        <x:v>연면적·면적</x:v>
      </x:c>
      <x:c r="C649" s="46" t="str">
        <x:v>㎡</x:v>
      </x:c>
      <x:c r="D649" s="46" t="str">
        <x:v>4,193 ㎡</x:v>
      </x:c>
      <x:c r="E649" s="46" t="str"/>
      <x:c r="F649" s="46" t="str"/>
      <x:c r="G649" s="46" t="str">
        <x:v>L2024-00039-1/붙임3. 조달1팀 검토의견서 및 공문/3. (수정내역) 이라크 한-이라크 직훈원 리노베이션 시공 입찰계획(안)_20240505(검토메모)_사무소 작성.hwp</x:v>
      </x:c>
      <x:c r="H649" s="43" t="str">
        <x:v>문단 95</x:v>
      </x:c>
      <x:c r="I649" s="46" t="str">
        <x:v>1. Main Building : 지상 2층 (4,193㎡)</x:v>
      </x:c>
      <x:c r="J649" s="43" t="str">
        <x:v>자동추출·검토필요</x:v>
      </x:c>
    </x:row>
    <x:row r="650">
      <x:c r="A650" s="43" t="str">
        <x:v>L2024-00039-1</x:v>
      </x:c>
      <x:c r="B650" s="43" t="str">
        <x:v>연면적·면적</x:v>
      </x:c>
      <x:c r="C650" s="46" t="str">
        <x:v>㎡</x:v>
      </x:c>
      <x:c r="D650" s="46" t="str">
        <x:v>4,024 ㎡</x:v>
      </x:c>
      <x:c r="E650" s="46" t="str"/>
      <x:c r="F650" s="46" t="str"/>
      <x:c r="G650" s="46" t="str">
        <x:v>L2024-00039-1/붙임3. 조달1팀 검토의견서 및 공문/3. (수정내역) 이라크 한-이라크 직훈원 리노베이션 시공 입찰계획(안)_20240505(검토메모)_사무소 작성.hwp</x:v>
      </x:c>
      <x:c r="H650" s="43" t="str">
        <x:v>문단 96</x:v>
      </x:c>
      <x:c r="I650" s="46" t="str">
        <x:v>2. Workshop Building : 지상 2층 (4,024㎡)</x:v>
      </x:c>
      <x:c r="J650" s="43" t="str">
        <x:v>자동추출·검토필요</x:v>
      </x:c>
    </x:row>
    <x:row r="651">
      <x:c r="A651" s="43" t="str">
        <x:v>L2024-00035-1</x:v>
      </x:c>
      <x:c r="B651" s="43" t="str">
        <x:v>연면적·면적</x:v>
      </x:c>
      <x:c r="C651" s="46" t="str">
        <x:v>㎡</x:v>
      </x:c>
      <x:c r="D651" s="46" t="str">
        <x:v>57.6 ㎡ | 57.6 ㎡</x:v>
      </x:c>
      <x:c r="E651" s="46" t="str"/>
      <x:c r="F651" s="46" t="str"/>
      <x:c r="G651" s="46" t="str">
        <x:v>L2024-00035-1/Section 4 - Request for Proposal_kenya_0620.docx</x:v>
      </x:c>
      <x:c r="H651" s="43" t="str">
        <x:v>표 7 행 2</x:v>
      </x:c>
      <x:c r="I651" s="46" t="str">
        <x:v>Main space | Maternity Room (6-person room) | 57.6 ㎡ | 1 | 57.6 ㎡ |</x:v>
      </x:c>
      <x:c r="J651" s="43" t="str">
        <x:v>자동추출·검토필요</x:v>
      </x:c>
    </x:row>
    <x:row r="652">
      <x:c r="A652" s="43" t="str">
        <x:v>L2024-00035-1</x:v>
      </x:c>
      <x:c r="B652" s="43" t="str">
        <x:v>연면적·면적</x:v>
      </x:c>
      <x:c r="C652" s="46" t="str">
        <x:v>㎡</x:v>
      </x:c>
      <x:c r="D652" s="46" t="str">
        <x:v>7.92 ㎡ | 7.92 ㎡</x:v>
      </x:c>
      <x:c r="E652" s="46" t="str"/>
      <x:c r="F652" s="46" t="str"/>
      <x:c r="G652" s="46" t="str">
        <x:v>L2024-00035-1/Section 4 - Request for Proposal_kenya_0620.docx</x:v>
      </x:c>
      <x:c r="H652" s="43" t="str">
        <x:v>표 7 행 3</x:v>
      </x:c>
      <x:c r="I652" s="46" t="str">
        <x:v>Main space | Midwife Room | 7.92 ㎡ | 1 | 7.92 ㎡ |</x:v>
      </x:c>
      <x:c r="J652" s="43" t="str">
        <x:v>자동추출·검토필요</x:v>
      </x:c>
    </x:row>
    <x:row r="653">
      <x:c r="A653" s="43" t="str">
        <x:v>L2024-00035-1</x:v>
      </x:c>
      <x:c r="B653" s="43" t="str">
        <x:v>연면적·면적</x:v>
      </x:c>
      <x:c r="C653" s="46" t="str">
        <x:v>㎡</x:v>
      </x:c>
      <x:c r="D653" s="46" t="str">
        <x:v>10.26 ㎡ | 10.26 ㎡</x:v>
      </x:c>
      <x:c r="E653" s="46" t="str"/>
      <x:c r="F653" s="46" t="str"/>
      <x:c r="G653" s="46" t="str">
        <x:v>L2024-00035-1/Section 4 - Request for Proposal_kenya_0620.docx</x:v>
      </x:c>
      <x:c r="H653" s="43" t="str">
        <x:v>표 7 행 4</x:v>
      </x:c>
      <x:c r="I653" s="46" t="str">
        <x:v>Main space | Kitchen | 10.26 ㎡ | 1 | 10.26 ㎡ |</x:v>
      </x:c>
      <x:c r="J653" s="43" t="str">
        <x:v>자동추출·검토필요</x:v>
      </x:c>
    </x:row>
    <x:row r="654">
      <x:c r="A654" s="43" t="str">
        <x:v>L2024-00035-1</x:v>
      </x:c>
      <x:c r="B654" s="43" t="str">
        <x:v>연면적·면적</x:v>
      </x:c>
      <x:c r="C654" s="46" t="str">
        <x:v>㎡</x:v>
      </x:c>
      <x:c r="D654" s="46" t="str">
        <x:v>7.02 ㎡ | 6.48 ㎡</x:v>
      </x:c>
      <x:c r="E654" s="46" t="str"/>
      <x:c r="F654" s="46" t="str"/>
      <x:c r="G654" s="46" t="str">
        <x:v>L2024-00035-1/Section 4 - Request for Proposal_kenya_0620.docx</x:v>
      </x:c>
      <x:c r="H654" s="43" t="str">
        <x:v>표 7 행 5</x:v>
      </x:c>
      <x:c r="I654" s="46" t="str">
        <x:v>Main space | Storage Room | 7.02 ㎡ | 1 | 6.48 ㎡ |</x:v>
      </x:c>
      <x:c r="J654" s="43" t="str">
        <x:v>자동추출·검토필요</x:v>
      </x:c>
    </x:row>
    <x:row r="655">
      <x:c r="A655" s="43" t="str">
        <x:v>L2024-00035-1</x:v>
      </x:c>
      <x:c r="B655" s="43" t="str">
        <x:v>연면적·면적</x:v>
      </x:c>
      <x:c r="C655" s="46" t="str">
        <x:v>㎡</x:v>
      </x:c>
      <x:c r="D655" s="46" t="str">
        <x:v>9.6 ㎡ | 9.6 ㎡</x:v>
      </x:c>
      <x:c r="E655" s="46" t="str"/>
      <x:c r="F655" s="46" t="str"/>
      <x:c r="G655" s="46" t="str">
        <x:v>L2024-00035-1/Section 4 - Request for Proposal_kenya_0620.docx</x:v>
      </x:c>
      <x:c r="H655" s="43" t="str">
        <x:v>표 7 행 6</x:v>
      </x:c>
      <x:c r="I655" s="46" t="str">
        <x:v>Main space | Shower / Toilet (Located within the Maternity Room) | 9.6 ㎡ | 1 | 9.6 ㎡ |</x:v>
      </x:c>
      <x:c r="J655" s="43" t="str">
        <x:v>자동추출·검토필요</x:v>
      </x:c>
    </x:row>
    <x:row r="656">
      <x:c r="A656" s="43" t="str">
        <x:v>L2024-00035-1</x:v>
      </x:c>
      <x:c r="B656" s="43" t="str">
        <x:v>연면적·면적</x:v>
      </x:c>
      <x:c r="C656" s="46" t="str">
        <x:v>㎡</x:v>
      </x:c>
      <x:c r="D656" s="46" t="str">
        <x:v>92.40 ㎡ | 92.40 ㎡ | 92.40 ㎡</x:v>
      </x:c>
      <x:c r="E656" s="46" t="str"/>
      <x:c r="F656" s="46" t="str"/>
      <x:c r="G656" s="46" t="str">
        <x:v>L2024-00035-1/Section 4 - Request for Proposal_kenya_0620.docx</x:v>
      </x:c>
      <x:c r="H656" s="43" t="str">
        <x:v>표 7 행 7</x:v>
      </x:c>
      <x:c r="I656" s="46" t="str">
        <x:v>Main space | Sum | 92.40 ㎡ | 92.40 ㎡ | 92.40 ㎡ |</x:v>
      </x:c>
      <x:c r="J656" s="43" t="str">
        <x:v>자동추출·검토필요</x:v>
      </x:c>
    </x:row>
    <x:row r="657">
      <x:c r="A657" s="43" t="str">
        <x:v>L2024-00035-1</x:v>
      </x:c>
      <x:c r="B657" s="43" t="str">
        <x:v>연면적·면적</x:v>
      </x:c>
      <x:c r="C657" s="46" t="str">
        <x:v>㎡</x:v>
      </x:c>
      <x:c r="D657" s="46" t="str">
        <x:v>17.20 ㎡ | 17.20 ㎡</x:v>
      </x:c>
      <x:c r="E657" s="46" t="str"/>
      <x:c r="F657" s="46" t="str"/>
      <x:c r="G657" s="46" t="str">
        <x:v>L2024-00035-1/Section 4 - Request for Proposal_kenya_0620.docx</x:v>
      </x:c>
      <x:c r="H657" s="43" t="str">
        <x:v>표 7 행 8</x:v>
      </x:c>
      <x:c r="I657" s="46" t="str">
        <x:v>Common | Corridor | 17.20 ㎡ | - | 17.20 ㎡ |</x:v>
      </x:c>
      <x:c r="J657" s="43" t="str">
        <x:v>자동추출·검토필요</x:v>
      </x:c>
    </x:row>
    <x:row r="658">
      <x:c r="A658" s="43" t="str">
        <x:v>L2024-00035-1</x:v>
      </x:c>
      <x:c r="B658" s="43" t="str">
        <x:v>연면적·면적</x:v>
      </x:c>
      <x:c r="C658" s="46" t="str">
        <x:v>㎡</x:v>
      </x:c>
      <x:c r="D658" s="46" t="str">
        <x:v>17.20 ㎡ | 17.20 ㎡ | 17.20 ㎡</x:v>
      </x:c>
      <x:c r="E658" s="46" t="str"/>
      <x:c r="F658" s="46" t="str"/>
      <x:c r="G658" s="46" t="str">
        <x:v>L2024-00035-1/Section 4 - Request for Proposal_kenya_0620.docx</x:v>
      </x:c>
      <x:c r="H658" s="43" t="str">
        <x:v>표 7 행 9</x:v>
      </x:c>
      <x:c r="I658" s="46" t="str">
        <x:v>Common | Sum | 17.20 ㎡ | 17.20 ㎡ | 17.20 ㎡ |</x:v>
      </x:c>
      <x:c r="J658" s="43" t="str">
        <x:v>자동추출·검토필요</x:v>
      </x:c>
    </x:row>
    <x:row r="659">
      <x:c r="A659" s="43" t="str">
        <x:v>L2024-00035-1</x:v>
      </x:c>
      <x:c r="B659" s="43" t="str">
        <x:v>연면적·면적</x:v>
      </x:c>
      <x:c r="C659" s="46" t="str">
        <x:v>㎡</x:v>
      </x:c>
      <x:c r="D659" s="46" t="str">
        <x:v>109.6 ㎡ | 109.6 ㎡ | 109.6 ㎡ | 109.6 ㎡</x:v>
      </x:c>
      <x:c r="E659" s="46" t="str"/>
      <x:c r="F659" s="46" t="str"/>
      <x:c r="G659" s="46" t="str">
        <x:v>L2024-00035-1/Section 4 - Request for Proposal_kenya_0620.docx</x:v>
      </x:c>
      <x:c r="H659" s="43" t="str">
        <x:v>표 7 행 10</x:v>
      </x:c>
      <x:c r="I659" s="46" t="str">
        <x:v>SUM | SUM | 109.6 ㎡ | 109.6 ㎡ | 109.6 ㎡ | 109.6 ㎡</x:v>
      </x:c>
      <x:c r="J659" s="43" t="str">
        <x:v>자동추출·검토필요</x:v>
      </x:c>
    </x:row>
    <x:row r="660">
      <x:c r="A660" s="43" t="str">
        <x:v>L2024-00035-1</x:v>
      </x:c>
      <x:c r="B660" s="43" t="str">
        <x:v>연면적·면적</x:v>
      </x:c>
      <x:c r="C660" s="46" t="str">
        <x:v>㎡</x:v>
      </x:c>
      <x:c r="D660" s="46" t="str">
        <x:v>57.6 ㎡ | 57.6 ㎡</x:v>
      </x:c>
      <x:c r="E660" s="46" t="str"/>
      <x:c r="F660" s="46" t="str"/>
      <x:c r="G660" s="46" t="str">
        <x:v>L2024-00035-1/Section 4 - Request for Proposal_kenya_0620.docx</x:v>
      </x:c>
      <x:c r="H660" s="43" t="str">
        <x:v>표 8 행 2</x:v>
      </x:c>
      <x:c r="I660" s="46" t="str">
        <x:v>Main space | Maternity Room (6-person room) | 57.6 ㎡ | 1 | 57.6 ㎡ |</x:v>
      </x:c>
      <x:c r="J660" s="43" t="str">
        <x:v>자동추출·검토필요</x:v>
      </x:c>
    </x:row>
    <x:row r="661">
      <x:c r="A661" s="43" t="str">
        <x:v>L2024-00035-1</x:v>
      </x:c>
      <x:c r="B661" s="43" t="str">
        <x:v>연면적·면적</x:v>
      </x:c>
      <x:c r="C661" s="46" t="str">
        <x:v>㎡</x:v>
      </x:c>
      <x:c r="D661" s="46" t="str">
        <x:v>7.92 ㎡ | 7.92 ㎡</x:v>
      </x:c>
      <x:c r="E661" s="46" t="str"/>
      <x:c r="F661" s="46" t="str"/>
      <x:c r="G661" s="46" t="str">
        <x:v>L2024-00035-1/Section 4 - Request for Proposal_kenya_0620.docx</x:v>
      </x:c>
      <x:c r="H661" s="43" t="str">
        <x:v>표 8 행 3</x:v>
      </x:c>
      <x:c r="I661" s="46" t="str">
        <x:v>Main space | Midwife Room | 7.92 ㎡ | 1 | 7.92 ㎡ |</x:v>
      </x:c>
      <x:c r="J661" s="43" t="str">
        <x:v>자동추출·검토필요</x:v>
      </x:c>
    </x:row>
    <x:row r="662">
      <x:c r="A662" s="43" t="str">
        <x:v>L2024-00035-1</x:v>
      </x:c>
      <x:c r="B662" s="43" t="str">
        <x:v>연면적·면적</x:v>
      </x:c>
      <x:c r="C662" s="46" t="str">
        <x:v>㎡</x:v>
      </x:c>
      <x:c r="D662" s="46" t="str">
        <x:v>10.26 ㎡ | 10.26 ㎡</x:v>
      </x:c>
      <x:c r="E662" s="46" t="str"/>
      <x:c r="F662" s="46" t="str"/>
      <x:c r="G662" s="46" t="str">
        <x:v>L2024-00035-1/Section 4 - Request for Proposal_kenya_0620.docx</x:v>
      </x:c>
      <x:c r="H662" s="43" t="str">
        <x:v>표 8 행 4</x:v>
      </x:c>
      <x:c r="I662" s="46" t="str">
        <x:v>Main space | Kitchen | 10.26 ㎡ | 1 | 10.26 ㎡ |</x:v>
      </x:c>
      <x:c r="J662" s="43" t="str">
        <x:v>자동추출·검토필요</x:v>
      </x:c>
    </x:row>
    <x:row r="663">
      <x:c r="A663" s="43" t="str">
        <x:v>L2024-00035-1</x:v>
      </x:c>
      <x:c r="B663" s="43" t="str">
        <x:v>연면적·면적</x:v>
      </x:c>
      <x:c r="C663" s="46" t="str">
        <x:v>㎡</x:v>
      </x:c>
      <x:c r="D663" s="46" t="str">
        <x:v>7.02 ㎡ | 6.48 ㎡</x:v>
      </x:c>
      <x:c r="E663" s="46" t="str"/>
      <x:c r="F663" s="46" t="str"/>
      <x:c r="G663" s="46" t="str">
        <x:v>L2024-00035-1/Section 4 - Request for Proposal_kenya_0620.docx</x:v>
      </x:c>
      <x:c r="H663" s="43" t="str">
        <x:v>표 8 행 5</x:v>
      </x:c>
      <x:c r="I663" s="46" t="str">
        <x:v>Main space | Storage Room | 7.02 ㎡ | 1 | 6.48 ㎡ |</x:v>
      </x:c>
      <x:c r="J663" s="43" t="str">
        <x:v>자동추출·검토필요</x:v>
      </x:c>
    </x:row>
    <x:row r="664">
      <x:c r="A664" s="43" t="str">
        <x:v>L2024-00035-1</x:v>
      </x:c>
      <x:c r="B664" s="43" t="str">
        <x:v>연면적·면적</x:v>
      </x:c>
      <x:c r="C664" s="46" t="str">
        <x:v>㎡</x:v>
      </x:c>
      <x:c r="D664" s="46" t="str">
        <x:v>9.6 ㎡ | 9.6 ㎡</x:v>
      </x:c>
      <x:c r="E664" s="46" t="str"/>
      <x:c r="F664" s="46" t="str"/>
      <x:c r="G664" s="46" t="str">
        <x:v>L2024-00035-1/Section 4 - Request for Proposal_kenya_0620.docx</x:v>
      </x:c>
      <x:c r="H664" s="43" t="str">
        <x:v>표 8 행 6</x:v>
      </x:c>
      <x:c r="I664" s="46" t="str">
        <x:v>Main space | Shower / Toilet (Located within the Maternity Room) | 9.6 ㎡ | 1 | 9.6 ㎡ |</x:v>
      </x:c>
      <x:c r="J664" s="43" t="str">
        <x:v>자동추출·검토필요</x:v>
      </x:c>
    </x:row>
    <x:row r="665">
      <x:c r="A665" s="43" t="str">
        <x:v>L2024-00035-1</x:v>
      </x:c>
      <x:c r="B665" s="43" t="str">
        <x:v>연면적·면적</x:v>
      </x:c>
      <x:c r="C665" s="46" t="str">
        <x:v>㎡</x:v>
      </x:c>
      <x:c r="D665" s="46" t="str">
        <x:v>92.40 ㎡ | 92.40 ㎡ | 92.40 ㎡</x:v>
      </x:c>
      <x:c r="E665" s="46" t="str"/>
      <x:c r="F665" s="46" t="str"/>
      <x:c r="G665" s="46" t="str">
        <x:v>L2024-00035-1/Section 4 - Request for Proposal_kenya_0620.docx</x:v>
      </x:c>
      <x:c r="H665" s="43" t="str">
        <x:v>표 8 행 7</x:v>
      </x:c>
      <x:c r="I665" s="46" t="str">
        <x:v>Main space | Sum | 92.40 ㎡ | 92.40 ㎡ | 92.40 ㎡ |</x:v>
      </x:c>
      <x:c r="J665" s="43" t="str">
        <x:v>자동추출·검토필요</x:v>
      </x:c>
    </x:row>
    <x:row r="666">
      <x:c r="A666" s="43" t="str">
        <x:v>L2024-00035-1</x:v>
      </x:c>
      <x:c r="B666" s="43" t="str">
        <x:v>연면적·면적</x:v>
      </x:c>
      <x:c r="C666" s="46" t="str">
        <x:v>㎡</x:v>
      </x:c>
      <x:c r="D666" s="46" t="str">
        <x:v>17.20 ㎡ | 17.20 ㎡</x:v>
      </x:c>
      <x:c r="E666" s="46" t="str"/>
      <x:c r="F666" s="46" t="str"/>
      <x:c r="G666" s="46" t="str">
        <x:v>L2024-00035-1/Section 4 - Request for Proposal_kenya_0620.docx</x:v>
      </x:c>
      <x:c r="H666" s="43" t="str">
        <x:v>표 8 행 8</x:v>
      </x:c>
      <x:c r="I666" s="46" t="str">
        <x:v>Common | Corridor | 17.20 ㎡ | - | 17.20 ㎡ |</x:v>
      </x:c>
      <x:c r="J666" s="43" t="str">
        <x:v>자동추출·검토필요</x:v>
      </x:c>
    </x:row>
    <x:row r="667">
      <x:c r="A667" s="43" t="str">
        <x:v>L2024-00035-1</x:v>
      </x:c>
      <x:c r="B667" s="43" t="str">
        <x:v>연면적·면적</x:v>
      </x:c>
      <x:c r="C667" s="46" t="str">
        <x:v>㎡</x:v>
      </x:c>
      <x:c r="D667" s="46" t="str">
        <x:v>17.20 ㎡ | 17.20 ㎡ | 17.20 ㎡</x:v>
      </x:c>
      <x:c r="E667" s="46" t="str"/>
      <x:c r="F667" s="46" t="str"/>
      <x:c r="G667" s="46" t="str">
        <x:v>L2024-00035-1/Section 4 - Request for Proposal_kenya_0620.docx</x:v>
      </x:c>
      <x:c r="H667" s="43" t="str">
        <x:v>표 8 행 9</x:v>
      </x:c>
      <x:c r="I667" s="46" t="str">
        <x:v>Common | Sum | 17.20 ㎡ | 17.20 ㎡ | 17.20 ㎡ |</x:v>
      </x:c>
      <x:c r="J667" s="43" t="str">
        <x:v>자동추출·검토필요</x:v>
      </x:c>
    </x:row>
    <x:row r="668">
      <x:c r="A668" s="43" t="str">
        <x:v>L2024-00035-1</x:v>
      </x:c>
      <x:c r="B668" s="43" t="str">
        <x:v>연면적·면적</x:v>
      </x:c>
      <x:c r="C668" s="46" t="str">
        <x:v>㎡</x:v>
      </x:c>
      <x:c r="D668" s="46" t="str">
        <x:v>109.6 ㎡ | 109.6 ㎡ | 109.6 ㎡ | 109.6 ㎡</x:v>
      </x:c>
      <x:c r="E668" s="46" t="str"/>
      <x:c r="F668" s="46" t="str"/>
      <x:c r="G668" s="46" t="str">
        <x:v>L2024-00035-1/Section 4 - Request for Proposal_kenya_0620.docx</x:v>
      </x:c>
      <x:c r="H668" s="43" t="str">
        <x:v>표 8 행 10</x:v>
      </x:c>
      <x:c r="I668" s="46" t="str">
        <x:v>SUM | SUM | 109.6 ㎡ | 109.6 ㎡ | 109.6 ㎡ | 109.6 ㎡</x:v>
      </x:c>
      <x:c r="J668" s="43" t="str">
        <x:v>자동추출·검토필요</x:v>
      </x:c>
    </x:row>
    <x:row r="669">
      <x:c r="A669" s="43" t="str">
        <x:v>L2024-00035-1</x:v>
      </x:c>
      <x:c r="B669" s="43" t="str">
        <x:v>연면적·면적</x:v>
      </x:c>
      <x:c r="C669" s="46" t="str">
        <x:v>㎡</x:v>
      </x:c>
      <x:c r="D669" s="46" t="str">
        <x:v>57.6 ㎡ | 57.6 ㎡</x:v>
      </x:c>
      <x:c r="E669" s="46" t="str"/>
      <x:c r="F669" s="46" t="str"/>
      <x:c r="G669" s="46" t="str">
        <x:v>L2024-00035-1/Section 4 - Request for Proposal_kenya_0620.docx</x:v>
      </x:c>
      <x:c r="H669" s="43" t="str">
        <x:v>표 9 행 2</x:v>
      </x:c>
      <x:c r="I669" s="46" t="str">
        <x:v>Main space | Maternity Room (6-person room) | 57.6 ㎡ | 1 | 57.6 ㎡ |</x:v>
      </x:c>
      <x:c r="J669" s="43" t="str">
        <x:v>자동추출·검토필요</x:v>
      </x:c>
    </x:row>
    <x:row r="670">
      <x:c r="A670" s="43" t="str">
        <x:v>L2024-00035-1</x:v>
      </x:c>
      <x:c r="B670" s="43" t="str">
        <x:v>연면적·면적</x:v>
      </x:c>
      <x:c r="C670" s="46" t="str">
        <x:v>㎡</x:v>
      </x:c>
      <x:c r="D670" s="46" t="str">
        <x:v>7.92 ㎡ | 7.92 ㎡</x:v>
      </x:c>
      <x:c r="E670" s="46" t="str"/>
      <x:c r="F670" s="46" t="str"/>
      <x:c r="G670" s="46" t="str">
        <x:v>L2024-00035-1/Section 4 - Request for Proposal_kenya_0620.docx</x:v>
      </x:c>
      <x:c r="H670" s="43" t="str">
        <x:v>표 9 행 3</x:v>
      </x:c>
      <x:c r="I670" s="46" t="str">
        <x:v>Main space | Midwife Room | 7.92 ㎡ | 1 | 7.92 ㎡ |</x:v>
      </x:c>
      <x:c r="J670" s="43" t="str">
        <x:v>자동추출·검토필요</x:v>
      </x:c>
    </x:row>
    <x:row r="671">
      <x:c r="A671" s="43" t="str">
        <x:v>L2024-00035-1</x:v>
      </x:c>
      <x:c r="B671" s="43" t="str">
        <x:v>연면적·면적</x:v>
      </x:c>
      <x:c r="C671" s="46" t="str">
        <x:v>㎡</x:v>
      </x:c>
      <x:c r="D671" s="46" t="str">
        <x:v>10.26 ㎡ | 10.26 ㎡</x:v>
      </x:c>
      <x:c r="E671" s="46" t="str"/>
      <x:c r="F671" s="46" t="str"/>
      <x:c r="G671" s="46" t="str">
        <x:v>L2024-00035-1/Section 4 - Request for Proposal_kenya_0620.docx</x:v>
      </x:c>
      <x:c r="H671" s="43" t="str">
        <x:v>표 9 행 4</x:v>
      </x:c>
      <x:c r="I671" s="46" t="str">
        <x:v>Main space | Kitchen | 10.26 ㎡ | 1 | 10.26 ㎡ |</x:v>
      </x:c>
      <x:c r="J671" s="43" t="str">
        <x:v>자동추출·검토필요</x:v>
      </x:c>
    </x:row>
    <x:row r="672">
      <x:c r="A672" s="43" t="str">
        <x:v>L2024-00035-1</x:v>
      </x:c>
      <x:c r="B672" s="43" t="str">
        <x:v>연면적·면적</x:v>
      </x:c>
      <x:c r="C672" s="46" t="str">
        <x:v>㎡</x:v>
      </x:c>
      <x:c r="D672" s="46" t="str">
        <x:v>7.02 ㎡ | 6.48 ㎡</x:v>
      </x:c>
      <x:c r="E672" s="46" t="str"/>
      <x:c r="F672" s="46" t="str"/>
      <x:c r="G672" s="46" t="str">
        <x:v>L2024-00035-1/Section 4 - Request for Proposal_kenya_0620.docx</x:v>
      </x:c>
      <x:c r="H672" s="43" t="str">
        <x:v>표 9 행 5</x:v>
      </x:c>
      <x:c r="I672" s="46" t="str">
        <x:v>Main space | Storage Room | 7.02 ㎡ | 1 | 6.48 ㎡ |</x:v>
      </x:c>
      <x:c r="J672" s="43" t="str">
        <x:v>자동추출·검토필요</x:v>
      </x:c>
    </x:row>
    <x:row r="673">
      <x:c r="A673" s="43" t="str">
        <x:v>L2024-00035-1</x:v>
      </x:c>
      <x:c r="B673" s="43" t="str">
        <x:v>연면적·면적</x:v>
      </x:c>
      <x:c r="C673" s="46" t="str">
        <x:v>㎡</x:v>
      </x:c>
      <x:c r="D673" s="46" t="str">
        <x:v>9.6 ㎡ | 9.6 ㎡</x:v>
      </x:c>
      <x:c r="E673" s="46" t="str"/>
      <x:c r="F673" s="46" t="str"/>
      <x:c r="G673" s="46" t="str">
        <x:v>L2024-00035-1/Section 4 - Request for Proposal_kenya_0620.docx</x:v>
      </x:c>
      <x:c r="H673" s="43" t="str">
        <x:v>표 9 행 6</x:v>
      </x:c>
      <x:c r="I673" s="46" t="str">
        <x:v>Main space | Shower / Toilet (Located within the Maternity Room) | 9.6 ㎡ | 1 | 9.6 ㎡ |</x:v>
      </x:c>
      <x:c r="J673" s="43" t="str">
        <x:v>자동추출·검토필요</x:v>
      </x:c>
    </x:row>
    <x:row r="674">
      <x:c r="A674" s="43" t="str">
        <x:v>L2024-00035-1</x:v>
      </x:c>
      <x:c r="B674" s="43" t="str">
        <x:v>연면적·면적</x:v>
      </x:c>
      <x:c r="C674" s="46" t="str">
        <x:v>㎡</x:v>
      </x:c>
      <x:c r="D674" s="46" t="str">
        <x:v>92.40 ㎡ | 92.40 ㎡ | 92.40 ㎡</x:v>
      </x:c>
      <x:c r="E674" s="46" t="str"/>
      <x:c r="F674" s="46" t="str"/>
      <x:c r="G674" s="46" t="str">
        <x:v>L2024-00035-1/Section 4 - Request for Proposal_kenya_0620.docx</x:v>
      </x:c>
      <x:c r="H674" s="43" t="str">
        <x:v>표 9 행 7</x:v>
      </x:c>
      <x:c r="I674" s="46" t="str">
        <x:v>Main space | Sum | 92.40 ㎡ | 92.40 ㎡ | 92.40 ㎡ |</x:v>
      </x:c>
      <x:c r="J674" s="43" t="str">
        <x:v>자동추출·검토필요</x:v>
      </x:c>
    </x:row>
    <x:row r="675">
      <x:c r="A675" s="43" t="str">
        <x:v>L2024-00035-1</x:v>
      </x:c>
      <x:c r="B675" s="43" t="str">
        <x:v>연면적·면적</x:v>
      </x:c>
      <x:c r="C675" s="46" t="str">
        <x:v>㎡</x:v>
      </x:c>
      <x:c r="D675" s="46" t="str">
        <x:v>17.20 ㎡ | 17.20 ㎡</x:v>
      </x:c>
      <x:c r="E675" s="46" t="str"/>
      <x:c r="F675" s="46" t="str"/>
      <x:c r="G675" s="46" t="str">
        <x:v>L2024-00035-1/Section 4 - Request for Proposal_kenya_0620.docx</x:v>
      </x:c>
      <x:c r="H675" s="43" t="str">
        <x:v>표 9 행 8</x:v>
      </x:c>
      <x:c r="I675" s="46" t="str">
        <x:v>Common | Corridor | 17.20 ㎡ | - | 17.20 ㎡ |</x:v>
      </x:c>
      <x:c r="J675" s="43" t="str">
        <x:v>자동추출·검토필요</x:v>
      </x:c>
    </x:row>
    <x:row r="676">
      <x:c r="A676" s="43" t="str">
        <x:v>L2024-00035-1</x:v>
      </x:c>
      <x:c r="B676" s="43" t="str">
        <x:v>연면적·면적</x:v>
      </x:c>
      <x:c r="C676" s="46" t="str">
        <x:v>㎡</x:v>
      </x:c>
      <x:c r="D676" s="46" t="str">
        <x:v>17.20 ㎡ | 17.20 ㎡ | 17.20 ㎡</x:v>
      </x:c>
      <x:c r="E676" s="46" t="str"/>
      <x:c r="F676" s="46" t="str"/>
      <x:c r="G676" s="46" t="str">
        <x:v>L2024-00035-1/Section 4 - Request for Proposal_kenya_0620.docx</x:v>
      </x:c>
      <x:c r="H676" s="43" t="str">
        <x:v>표 9 행 9</x:v>
      </x:c>
      <x:c r="I676" s="46" t="str">
        <x:v>Common | Sum | 17.20 ㎡ | 17.20 ㎡ | 17.20 ㎡ |</x:v>
      </x:c>
      <x:c r="J676" s="43" t="str">
        <x:v>자동추출·검토필요</x:v>
      </x:c>
    </x:row>
    <x:row r="677">
      <x:c r="A677" s="43" t="str">
        <x:v>L2024-00035-1</x:v>
      </x:c>
      <x:c r="B677" s="43" t="str">
        <x:v>연면적·면적</x:v>
      </x:c>
      <x:c r="C677" s="46" t="str">
        <x:v>㎡</x:v>
      </x:c>
      <x:c r="D677" s="46" t="str">
        <x:v>109.6 ㎡ | 109.6 ㎡ | 109.6 ㎡ | 109.6 ㎡</x:v>
      </x:c>
      <x:c r="E677" s="46" t="str"/>
      <x:c r="F677" s="46" t="str"/>
      <x:c r="G677" s="46" t="str">
        <x:v>L2024-00035-1/Section 4 - Request for Proposal_kenya_0620.docx</x:v>
      </x:c>
      <x:c r="H677" s="43" t="str">
        <x:v>표 9 행 10</x:v>
      </x:c>
      <x:c r="I677" s="46" t="str">
        <x:v>SUM | SUM | 109.6 ㎡ | 109.6 ㎡ | 109.6 ㎡ | 109.6 ㎡</x:v>
      </x:c>
      <x:c r="J677" s="43" t="str">
        <x:v>자동추출·검토필요</x:v>
      </x:c>
    </x:row>
    <x:row r="678">
      <x:c r="A678" s="43" t="str">
        <x:v>L2024-00031-1</x:v>
      </x:c>
      <x:c r="B678" s="43" t="str">
        <x:v>연면적·면적</x:v>
      </x:c>
      <x:c r="C678" s="46" t="str">
        <x:v>㎡</x:v>
      </x:c>
      <x:c r="D678" s="46" t="str">
        <x:v>4,444.93 ㎡</x:v>
      </x:c>
      <x:c r="E678" s="46" t="str"/>
      <x:c r="F678" s="46" t="str"/>
      <x:c r="G678" s="46" t="str">
        <x:v>L2024-00031-1/1-1. 네팔 박타푸르 취약지역의 빈곤층 건강수준 향상을 위한 역량강화 및 의료인프라 개선 사업-현지 시공업체 선정 입찰계획(안).hwp</x:v>
      </x:c>
      <x:c r="H678" s="43" t="str">
        <x:v>문단 95</x:v>
      </x:c>
      <x:c r="I678" s="46" t="str">
        <x:v>4,444.93㎡(제곱미터)</x:v>
      </x:c>
      <x:c r="J678" s="43" t="str">
        <x:v>자동추출·검토필요</x:v>
      </x:c>
    </x:row>
    <x:row r="679">
      <x:c r="A679" s="43" t="str">
        <x:v>L2024-00031-1</x:v>
      </x:c>
      <x:c r="B679" s="43" t="str">
        <x:v>연면적·면적</x:v>
      </x:c>
      <x:c r="C679" s="46" t="str">
        <x:v>㎡</x:v>
      </x:c>
      <x:c r="D679" s="46" t="str">
        <x:v>1,545.31 ㎡</x:v>
      </x:c>
      <x:c r="E679" s="46" t="str"/>
      <x:c r="F679" s="46" t="str"/>
      <x:c r="G679" s="46" t="str">
        <x:v>L2024-00031-1/1-1. 네팔 박타푸르 취약지역의 빈곤층 건강수준 향상을 위한 역량강화 및 의료인프라 개선 사업-현지 시공업체 선정 입찰계획(안).hwp</x:v>
      </x:c>
      <x:c r="H679" s="43" t="str">
        <x:v>문단 97</x:v>
      </x:c>
      <x:c r="I679" s="46" t="str">
        <x:v>1,545.31㎡(제곱미터)</x:v>
      </x:c>
      <x:c r="J679" s="43" t="str">
        <x:v>자동추출·검토필요</x:v>
      </x:c>
    </x:row>
    <x:row r="680">
      <x:c r="A680" s="43" t="str">
        <x:v>L2024-00031-1</x:v>
      </x:c>
      <x:c r="B680" s="43" t="str">
        <x:v>연면적·면적</x:v>
      </x:c>
      <x:c r="C680" s="46" t="str">
        <x:v>㎡</x:v>
      </x:c>
      <x:c r="D680" s="46" t="str">
        <x:v>5,898.25 ㎡</x:v>
      </x:c>
      <x:c r="E680" s="46" t="str"/>
      <x:c r="F680" s="46" t="str"/>
      <x:c r="G680" s="46" t="str">
        <x:v>L2024-00031-1/1-1. 네팔 박타푸르 취약지역의 빈곤층 건강수준 향상을 위한 역량강화 및 의료인프라 개선 사업-현지 시공업체 선정 입찰계획(안).hwp</x:v>
      </x:c>
      <x:c r="H680" s="43" t="str">
        <x:v>문단 99</x:v>
      </x:c>
      <x:c r="I680" s="46" t="str">
        <x:v>5,898.25㎡(제곱미터)</x:v>
      </x:c>
      <x:c r="J680" s="43" t="str">
        <x:v>자동추출·검토필요</x:v>
      </x:c>
    </x:row>
    <x:row r="681">
      <x:c r="A681" s="43" t="str">
        <x:v>L2024-00031-1</x:v>
      </x:c>
      <x:c r="B681" s="43" t="str">
        <x:v>연면적·면적</x:v>
      </x:c>
      <x:c r="C681" s="46" t="str">
        <x:v>building area</x:v>
      </x:c>
      <x:c r="D681" s="46" t="str">
        <x:v>1,545.31 m2 | 1,545.31 m2</x:v>
      </x:c>
      <x:c r="E681" s="46" t="str"/>
      <x:c r="F681" s="46" t="str"/>
      <x:c r="G681" s="46" t="str">
        <x:v>L2024-00031-1/1-2. BID DOCUMENTS-Project for Universal Health Coverage for the poor in vulnerable area in Bha.docx</x:v>
      </x:c>
      <x:c r="H681" s="43" t="str">
        <x:v>표 5 행 7</x:v>
      </x:c>
      <x:c r="I681" s="46" t="str">
        <x:v>Building Area | 1,545.31m2 | 1,545.31m2</x:v>
      </x:c>
      <x:c r="J681" s="43" t="str">
        <x:v>자동추출·검토필요</x:v>
      </x:c>
    </x:row>
    <x:row r="682">
      <x:c r="A682" s="43" t="str">
        <x:v>L2024-00031-1</x:v>
      </x:c>
      <x:c r="B682" s="43" t="str">
        <x:v>연면적·면적</x:v>
      </x:c>
      <x:c r="C682" s="46" t="str">
        <x:v>floor area</x:v>
      </x:c>
      <x:c r="D682" s="46" t="str">
        <x:v>5,898.25 m2 | 5,898.25 m2</x:v>
      </x:c>
      <x:c r="E682" s="46" t="str"/>
      <x:c r="F682" s="46" t="str"/>
      <x:c r="G682" s="46" t="str">
        <x:v>L2024-00031-1/1-2. BID DOCUMENTS-Project for Universal Health Coverage for the poor in vulnerable area in Bha.docx</x:v>
      </x:c>
      <x:c r="H682" s="43" t="str">
        <x:v>표 5 행 8</x:v>
      </x:c>
      <x:c r="I682" s="46" t="str">
        <x:v>Gross Floor Area | 5,898.25m2(including basement) | 5,898.25m2(including basement)</x:v>
      </x:c>
      <x:c r="J682" s="43" t="str">
        <x:v>자동추출·검토필요</x:v>
      </x:c>
    </x:row>
    <x:row r="683">
      <x:c r="A683" s="43" t="str">
        <x:v>L2024-00024-1</x:v>
      </x:c>
      <x:c r="B683" s="43" t="str">
        <x:v>연면적·면적</x:v>
      </x:c>
      <x:c r="C683" s="46" t="str">
        <x:v>㎡</x:v>
      </x:c>
      <x:c r="D683" s="46" t="str">
        <x:v>96 ㎡ | 64 ㎡ | 96 ㎡ | 64 ㎡ | 36 ㎡ | 32 ㎡ | 64 ㎡ | 64 ㎡</x:v>
      </x:c>
      <x:c r="E683" s="46" t="str"/>
      <x:c r="F683" s="46" t="str"/>
      <x:c r="G683" s="46" t="str">
        <x:v>L2024-00024-1/★Section 2 - Bid Data Sheet (BDS).pdf</x:v>
      </x:c>
      <x:c r="H683" s="43" t="str">
        <x:v>페이지 6</x:v>
      </x:c>
      <x:c r="I683" s="46" t="str">
        <x:v>○ Summary of the construction Room Size Area (㎡) Remark 1 Lecture Room 12 m x 8m 96 ㎡ Divisional 2 8mx8m 64 ㎡ Discussion 2 3 Dining Room 12 m x 8 m 96 ㎡ 4 Kitchen 8mx8m 64 ㎡ 5 WC 6mx6m 36 ㎡ 6 Director room 8mx4m 32 ㎡  Ground Staff office 7 8mx8m 64 ㎡ Floor room Divisional 8 8mx8m 64 ㎡ Discussion 1 Equipment 9 8mx4m 32 ㎡ storage 10 Corridor 1 70 m x 2 m 140 ㎡ 11 Corridor 2 6mx2m 12 ㎡ 12 Gas Area 3mx3m 9 ㎡ 13 Water tank Area 3mx3m 9 ㎡ Total 718 ㎡ Floor height: Ground Floor 4.5m, Finish: - Exterior wall: paint on plaster - Interior wall: paint on plaster - Room &amp;corridor floor: non- slip tile - Toilet, Floor: Non-slip tile Wall: Ceramic tile - Ceiling: Gypsum board - Roof: roofing tile - Window: AL frame /clear glass -Insect screen for all grills &amp; windows Page 3 / 22</x:v>
      </x:c>
      <x:c r="J683" s="43" t="str">
        <x:v>자동추출·검토필요</x:v>
      </x:c>
    </x:row>
    <x:row r="684">
      <x:c r="A684" s="43" t="str">
        <x:v>L2024-00024-1</x:v>
      </x:c>
      <x:c r="B684" s="43" t="str">
        <x:v>연면적·면적</x:v>
      </x:c>
      <x:c r="C684" s="46" t="str">
        <x:v>floor area, square meter</x:v>
      </x:c>
      <x:c r="D684" s="46" t="str">
        <x:v>700 square meters</x:v>
      </x:c>
      <x:c r="E684" s="46" t="str"/>
      <x:c r="F684" s="46" t="str">
        <x:v>90% | 10%</x:v>
      </x:c>
      <x:c r="G684" s="46" t="str">
        <x:v>L2024-00024-1/★Section 2 - Bid Data Sheet (BDS).pdf</x:v>
      </x:c>
      <x:c r="H684" s="43" t="str">
        <x:v>페이지 7</x:v>
      </x:c>
      <x:c r="I684" s="46" t="str">
        <x:v>B. Bid Type and Contract Award 1. Bid Type: (Urgent) International Open Competitive(Fixed Lump Sum Price Contract) 2. Contract Award: Contracting by Negotiation (Technical evaluation 90%, Pricing evaluation 10%) ○ Pursuant to KOICA Guidelines on Contracting by Negotiation, the bidders whose proposed price is lower than the bid limit with a combined score of 85 or higher in technical and pricing evaluation are eligible for negotiation. ○ The bidder who obtained the highest combined score in technical and pricing evaluation shall be the first in line for the pre-award negotiation with KOICA (In cases in which two or more bidders got the same combined score, a bidder with a higher technical score shall be given the priority. If technical score is the same, those who scored higher in the criteria with the largest weight shall be the first.) ○ If KOICA and a preferred bidder have successfully completed the pre-award negotiation, the contract shall be awarded to the bidder and KOICA shall not have any negotiation with other eligible bidders. - Should the negotiation with a preferred bidder fail, KOICA shall initiate the negotiation with the next preferred bidder. ○ After the public openi</x:v>
      </x:c>
      <x:c r="J684" s="43" t="str">
        <x:v>자동추출·검토필요</x:v>
      </x:c>
    </x:row>
    <x:row r="685">
      <x:c r="A685" s="43" t="str">
        <x:v>L2024-00024-1</x:v>
      </x:c>
      <x:c r="B685" s="43" t="str">
        <x:v>연면적·면적</x:v>
      </x:c>
      <x:c r="C685" s="46" t="str">
        <x:v>floor area, ㎡</x:v>
      </x:c>
      <x:c r="D685" s="46" t="str">
        <x:v>700 ㎡</x:v>
      </x:c>
      <x:c r="E685" s="46" t="str"/>
      <x:c r="F685" s="46" t="str">
        <x:v>5%</x:v>
      </x:c>
      <x:c r="G685" s="46" t="str">
        <x:v>L2024-00024-1/★Section 2 - Bid Data Sheet (BDS).pdf</x:v>
      </x:c>
      <x:c r="H685" s="43" t="str">
        <x:v>페이지 9</x:v>
      </x:c>
      <x:c r="I685" s="46" t="str">
        <x:v>bid. ○ Deadline:2024-05-31 ○ Email address: laos@koica.go.kr ○ Required documents - Application (in the prescribed form) - Copy of business license for Design and Supervision (issued by the Ministry of Industry and Commerce) - Copy of latest Design &amp; Survey license (license issued by the DPWT or MPWT) - Copy of latest registration of tax (issued by the Ministry of Finance) - Legal documents that show the authenticity of signature or corporate seal. - Performance certificate of design services for educational or business building projects within the last three years as of the bidding announcement date (total floor area of 700㎡ ) - Other documents required in this bid. 2. Inquires ○ To provide the same information to all bidders equally and fairly, KOICA Office in Lao PDR will not respond to telephone inquiries. - Email to laos@koica.go.kr, and CC leegag@topec.co.kr Inquiry deadline: 11 days prior to the deadline of bid submission. ○ Response: Response will be replied via email and KOICA office in Lao PDR website 11 days before the deadline of bid submission. 3. Bid security ○ Type of bid security: Bank guarantee, irrevocable credit, cash, certified check, or equivalent. ○ Amount: 5%</x:v>
      </x:c>
      <x:c r="J685" s="43" t="str">
        <x:v>자동추출·검토필요</x:v>
      </x:c>
    </x:row>
    <x:row r="686">
      <x:c r="A686" s="43" t="str">
        <x:v>L2024-00024-1</x:v>
      </x:c>
      <x:c r="B686" s="43" t="str">
        <x:v>연면적·면적</x:v>
      </x:c>
      <x:c r="C686" s="46" t="str">
        <x:v>floor area, ㎡</x:v>
      </x:c>
      <x:c r="D686" s="46" t="str">
        <x:v>700 ㎡</x:v>
      </x:c>
      <x:c r="E686" s="46" t="str"/>
      <x:c r="F686" s="46" t="str"/>
      <x:c r="G686" s="46" t="str">
        <x:v>L2024-00024-1/★Section 2 - Bid Data Sheet (BDS).pdf</x:v>
      </x:c>
      <x:c r="H686" s="43" t="str">
        <x:v>페이지 10</x:v>
      </x:c>
      <x:c r="I686" s="46" t="str">
        <x:v>○ Place (address): KOICA office in Lao PDR. 3rd Floor, Vientiane Plaza Hotel, Sailom Road, Hatsady-neua Village, Chanthabouly District, P.O.Box 10822, Vientiane Capital, Lao PDR - Person in charge: Mr. Phanomphone Bountisan (phanomphone333@gmail.com) - Contact details: +856 21-263-331 5.1. Submission of price (sealed): Lump-sum ○ Bid price shall be provided in the bid form Annex 3 and it shall be signed or sealed before submission. ○ Bid price shall be a lump-sum bid price and it is unnecessary to put forth price details. - The preferred bidder will be requested to provide price details after the initiation of negotiation. 5.2. Bid attachments: 2 copies *Original Submission / If the documents submitted for bidding are copies, they must be verified, compared, and stamped with the original Documents for Submission ⒜ bidder’s information sheet (in the prescribed form Annex 2) ⒝ bid security (in the prescribed form Annex 9) ⒞ documents evidencing the authenticity of the applicant’s signature or seal power of attorney ⒟ one set of documents evidencing the applicant’s eligibility to participate in the Bid. - Notice of Tender Eligible Company *As previously submitted during the applicatio</x:v>
      </x:c>
      <x:c r="J686" s="43" t="str">
        <x:v>자동추출·검토필요</x:v>
      </x:c>
    </x:row>
    <x:row r="687">
      <x:c r="A687" s="43" t="str">
        <x:v>L2024-00018-1</x:v>
      </x:c>
      <x:c r="B687" s="43" t="str">
        <x:v>연면적·면적</x:v>
      </x:c>
      <x:c r="C687" s="46" t="str">
        <x:v>대지면적, ㎡</x:v>
      </x:c>
      <x:c r="D687" s="46" t="str">
        <x:v>5,822 ㎡</x:v>
      </x:c>
      <x:c r="E687" s="46" t="str"/>
      <x:c r="F687" s="46" t="str"/>
      <x:c r="G687" s="46" t="str">
        <x:v>L2024-00018-1/붙임1. 파라과이 ICT 혁신센터 감리사 선정 입찰계획서 (국문).hwp</x:v>
      </x:c>
      <x:c r="H687" s="43" t="str">
        <x:v>문단 84</x:v>
      </x:c>
      <x:c r="I687" s="46" t="str">
        <x:v>ㅇ 대지면적: 5,822㎡</x:v>
      </x:c>
      <x:c r="J687" s="43" t="str">
        <x:v>자동추출·검토필요</x:v>
      </x:c>
    </x:row>
    <x:row r="688">
      <x:c r="A688" s="43" t="str">
        <x:v>L2024-00018-1</x:v>
      </x:c>
      <x:c r="B688" s="43" t="str">
        <x:v>연면적·면적</x:v>
      </x:c>
      <x:c r="C688" s="46" t="str">
        <x:v>건축면적, ㎡</x:v>
      </x:c>
      <x:c r="D688" s="46" t="str">
        <x:v>1,052 ㎡</x:v>
      </x:c>
      <x:c r="E688" s="46" t="str"/>
      <x:c r="F688" s="46" t="str"/>
      <x:c r="G688" s="46" t="str">
        <x:v>L2024-00018-1/붙임1. 파라과이 ICT 혁신센터 감리사 선정 입찰계획서 (국문).hwp</x:v>
      </x:c>
      <x:c r="H688" s="43" t="str">
        <x:v>문단 85</x:v>
      </x:c>
      <x:c r="I688" s="46" t="str">
        <x:v>ㅇ 건축면적: 1,052㎡</x:v>
      </x:c>
      <x:c r="J688" s="43" t="str">
        <x:v>자동추출·검토필요</x:v>
      </x:c>
    </x:row>
    <x:row r="689">
      <x:c r="A689" s="43" t="str">
        <x:v>L2024-00018-1</x:v>
      </x:c>
      <x:c r="B689" s="43" t="str">
        <x:v>연면적·면적</x:v>
      </x:c>
      <x:c r="C689" s="46" t="str">
        <x:v>연면적, ㎡</x:v>
      </x:c>
      <x:c r="D689" s="46" t="str">
        <x:v>2,092 ㎡</x:v>
      </x:c>
      <x:c r="E689" s="46" t="str"/>
      <x:c r="F689" s="46" t="str"/>
      <x:c r="G689" s="46" t="str">
        <x:v>L2024-00018-1/붙임1. 파라과이 ICT 혁신센터 감리사 선정 입찰계획서 (국문).hwp</x:v>
      </x:c>
      <x:c r="H689" s="43" t="str">
        <x:v>문단 86</x:v>
      </x:c>
      <x:c r="I689" s="46" t="str">
        <x:v>ㅇ 연면적: 2,092㎡</x:v>
      </x:c>
      <x:c r="J689" s="43" t="str">
        <x:v>자동추출·검토필요</x:v>
      </x:c>
    </x:row>
    <x:row r="690">
      <x:c r="A690" s="43" t="str">
        <x:v>L2024-00018-1</x:v>
      </x:c>
      <x:c r="B690" s="43" t="str">
        <x:v>연면적·면적</x:v>
      </x:c>
      <x:c r="C690" s="46" t="str">
        <x:v>연면적, ㎡</x:v>
      </x:c>
      <x:c r="D690" s="46" t="str">
        <x:v>2,000 ㎡</x:v>
      </x:c>
      <x:c r="E690" s="46" t="str"/>
      <x:c r="F690" s="46" t="str"/>
      <x:c r="G690" s="46" t="str">
        <x:v>L2024-00018-1/붙임1. 파라과이 ICT 혁신센터 감리사 선정 입찰계획서 (국문).hwp</x:v>
      </x:c>
      <x:c r="H690" s="43" t="str">
        <x:v>문단 123</x:v>
      </x:c>
      <x:c r="I690" s="46" t="str">
        <x:v>나. 浥┥ 입찰공고일 기준 최근 10년 이내 단일건물(철근 콘크리트 구조+최소 2층) 연면적 2,000㎡ 이상인 공사 준공실적 또는 설계실적 또는 감리실적 1건 이상 수행 완료한 자.</x:v>
      </x:c>
      <x:c r="J690" s="43" t="str">
        <x:v>자동추출·검토필요</x:v>
      </x:c>
    </x:row>
    <x:row r="691">
      <x:c r="A691" s="43" t="str">
        <x:v>L2024-00018-1</x:v>
      </x:c>
      <x:c r="B691" s="43" t="str">
        <x:v>연면적·면적</x:v>
      </x:c>
      <x:c r="C691" s="46" t="str">
        <x:v>연면적, ㎡</x:v>
      </x:c>
      <x:c r="D691" s="46" t="str">
        <x:v>2,000 ㎡</x:v>
      </x:c>
      <x:c r="E691" s="46" t="str"/>
      <x:c r="F691" s="46" t="str"/>
      <x:c r="G691" s="46" t="str">
        <x:v>L2024-00018-1/붙임1. 파라과이 ICT 혁신센터 감리사 선정 입찰계획서 (국문).hwp</x:v>
      </x:c>
      <x:c r="H691" s="43" t="str">
        <x:v>문단 225</x:v>
      </x:c>
      <x:c r="I691" s="46" t="str">
        <x:v>* 입찰공고일 기준 최근 10년 이내 단일건물(철근 콘크리트 구조+최소 2층) 연면적 2,000㎡ 이상인 공사 준공실적 또는 설계실적 또는 감리실적 1건 이상을 보유한 업체</x:v>
      </x:c>
      <x:c r="J691" s="43" t="str">
        <x:v>자동추출·검토필요</x:v>
      </x:c>
    </x:row>
    <x:row r="692">
      <x:c r="A692" s="43" t="str">
        <x:v>L2024-00018-1</x:v>
      </x:c>
      <x:c r="B692" s="43" t="str">
        <x:v>연면적·면적</x:v>
      </x:c>
      <x:c r="C692" s="46" t="str">
        <x:v>㎡</x:v>
      </x:c>
      <x:c r="D692" s="46" t="str">
        <x:v>2,000 ㎡ | 2,000 ㎡</x:v>
      </x:c>
      <x:c r="E692" s="46" t="str"/>
      <x:c r="F692" s="46" t="str"/>
      <x:c r="G692" s="46" t="str">
        <x:v>L2024-00018-1/붙임1. 파라과이 ICT 혁신센터 감리사 선정 입찰계획서 (국문).hwp</x:v>
      </x:c>
      <x:c r="H692" s="43" t="str">
        <x:v>문단 462</x:v>
      </x:c>
      <x:c r="I692" s="46" t="str">
        <x:v>浥┥ 입찰공고일 기준 최근 10년 이내 2,000㎡ 이상인 단일건물(철근 콘크리트 구조+최소 2층) 공사 준공실적, 설계실적 또는 감리실적의 면적 합계 (평가기준 : 2,000㎡)浥%！ÿ </x:v>
      </x:c>
      <x:c r="J692" s="43" t="str">
        <x:v>자동추출·검토필요</x:v>
      </x:c>
    </x:row>
    <x:row r="693">
      <x:c r="A693" s="43" t="str">
        <x:v>L2024-00018-1</x:v>
      </x:c>
      <x:c r="B693" s="43" t="str">
        <x:v>연면적·면적</x:v>
      </x:c>
      <x:c r="C693" s="46" t="str">
        <x:v>㎡</x:v>
      </x:c>
      <x:c r="D693" s="46" t="str">
        <x:v>2,000 ㎡ | 2,000 ㎡</x:v>
      </x:c>
      <x:c r="E693" s="46" t="str"/>
      <x:c r="F693" s="46" t="str"/>
      <x:c r="G693" s="46" t="str">
        <x:v>L2024-00018-1/붙임1. 파라과이 ICT 혁신센터 감리사 선정 입찰계획서 (국문).hwp</x:v>
      </x:c>
      <x:c r="H693" s="43" t="str">
        <x:v>문단 619</x:v>
      </x:c>
      <x:c r="I693" s="46" t="str">
        <x:v>(입찰공고일 기준 최근 10년 이내 2,000㎡ 이상인 단일건물 공사 준공실적, 설계실적 또는 감리실적의 면적 합계 (평가기준 : 2,000㎡))</x:v>
      </x:c>
      <x:c r="J693" s="43" t="str">
        <x:v>자동추출·검토필요</x:v>
      </x:c>
    </x:row>
    <x:row r="694">
      <x:c r="A694" s="43" t="str">
        <x:v>L2024-00018-1</x:v>
      </x:c>
      <x:c r="B694" s="43" t="str">
        <x:v>연면적·면적</x:v>
      </x:c>
      <x:c r="C694" s="46" t="str">
        <x:v>floor area, m²</x:v>
      </x:c>
      <x:c r="D694" s="46" t="str">
        <x:v>1,000 m²</x:v>
      </x:c>
      <x:c r="E694" s="46" t="str">
        <x:v>USD 1 million</x:v>
      </x:c>
      <x:c r="F694" s="46" t="str"/>
      <x:c r="G694" s="46" t="str">
        <x:v>L2024-00018-1/붙임2. 현지 감리업체 선정 입찰 계획서 영문 및 붙임문서/Attachments/Attachment 5. KOICA Safety Management Manual(ENG).pdf</x:v>
      </x:c>
      <x:c r="H694" s="43" t="str">
        <x:v>페이지 6</x:v>
      </x:c>
      <x:c r="I694" s="46" t="str">
        <x:v>CHAPTER 1 General Conditions 1. Purpose The purpose of these guidelines is to systematically set out the roles and scope of work for the KOICA, architects, construction managers, contractors, etc. through all stages from the planning stage for the construction project by KOICA to construction completion and to publish and disseminate a manual regarding the safety management work throughout the construction. 2. Scope of Application A. This manual shall be applied to construction projects corresponding to one or more of the following criteria which are required to devise safety management plans such as safety inspections and safety management organizations to secure safety under Article 62 of the Construction Technology Promotion Act. 1) Projects containing constructions with a budget of USD 1 million or more or with a gross floor area of 1,000 m² or more 2) Construction projects other than those in Paragraph 1 above, which are recognized explicitly by KOICA as requiring safety management B. KOICA may separately determine matters other than those prescribed in this manual in connection with the safety management work of those participating in the safety management of a construction p</x:v>
      </x:c>
      <x:c r="J694" s="43" t="str">
        <x:v>자동추출·검토필요</x:v>
      </x:c>
    </x:row>
    <x:row r="695">
      <x:c r="A695" s="43" t="str">
        <x:v>L2024-00018-1</x:v>
      </x:c>
      <x:c r="B695" s="43" t="str">
        <x:v>연면적·면적</x:v>
      </x:c>
      <x:c r="C695" s="46" t="str">
        <x:v>㎡</x:v>
      </x:c>
      <x:c r="D695" s="46" t="str">
        <x:v>2,000 ㎡</x:v>
      </x:c>
      <x:c r="E695" s="46" t="str"/>
      <x:c r="F695" s="46" t="str"/>
      <x:c r="G695" s="46" t="str">
        <x:v>L2024-00018-1/붙임2. 현지 감리업체 선정 입찰 계획서 영문 및 붙임문서/Section 2 - Bid Data Sheet (BDS)_ICT Supervision.docx</x:v>
      </x:c>
      <x:c r="H695" s="43" t="str">
        <x:v>문단 57</x:v>
      </x:c>
      <x:c r="I695" s="46" t="str">
        <x:v>The Bidder should have completed at least One (1) similar project in construction, design, or supervision for a single building (reinforced concrete structure + at least two floors) with at least 2,000㎡ (GFA) in Paraguay within the last 10 years.</x:v>
      </x:c>
      <x:c r="J695" s="43" t="str">
        <x:v>자동추출·검토필요</x:v>
      </x:c>
    </x:row>
    <x:row r="696">
      <x:c r="A696" s="43" t="str">
        <x:v>L2024-00018-1</x:v>
      </x:c>
      <x:c r="B696" s="43" t="str">
        <x:v>연면적·면적</x:v>
      </x:c>
      <x:c r="C696" s="46" t="str">
        <x:v>㎡</x:v>
      </x:c>
      <x:c r="D696" s="46" t="str">
        <x:v>5,822 ㎡</x:v>
      </x:c>
      <x:c r="E696" s="46" t="str"/>
      <x:c r="F696" s="46" t="str"/>
      <x:c r="G696" s="46" t="str">
        <x:v>L2024-00018-1/붙임2. 현지 감리업체 선정 입찰 계획서 영문 및 붙임문서/Section 2 - Bid Data Sheet (BDS)_ICT Supervision.docx</x:v>
      </x:c>
      <x:c r="H696" s="43" t="str">
        <x:v>표 2 행 5</x:v>
      </x:c>
      <x:c r="I696" s="46" t="str">
        <x:v>Site Area | 5,822 ㎡</x:v>
      </x:c>
      <x:c r="J696" s="43" t="str">
        <x:v>자동추출·검토필요</x:v>
      </x:c>
    </x:row>
    <x:row r="697">
      <x:c r="A697" s="43" t="str">
        <x:v>L2024-00018-1</x:v>
      </x:c>
      <x:c r="B697" s="43" t="str">
        <x:v>연면적·면적</x:v>
      </x:c>
      <x:c r="C697" s="46" t="str">
        <x:v>floor area, ㎡</x:v>
      </x:c>
      <x:c r="D697" s="46" t="str">
        <x:v>2,092 ㎡</x:v>
      </x:c>
      <x:c r="E697" s="46" t="str"/>
      <x:c r="F697" s="46" t="str"/>
      <x:c r="G697" s="46" t="str">
        <x:v>L2024-00018-1/붙임2. 현지 감리업체 선정 입찰 계획서 영문 및 붙임문서/Section 2 - Bid Data Sheet (BDS)_ICT Supervision.docx</x:v>
      </x:c>
      <x:c r="H697" s="43" t="str">
        <x:v>표 2 행 6</x:v>
      </x:c>
      <x:c r="I697" s="46" t="str">
        <x:v>Gross Floor Area | 2,092 ㎡</x:v>
      </x:c>
      <x:c r="J697" s="43" t="str">
        <x:v>자동추출·검토필요</x:v>
      </x:c>
    </x:row>
    <x:row r="698">
      <x:c r="A698" s="43" t="str">
        <x:v>L2024-00018-1</x:v>
      </x:c>
      <x:c r="B698" s="43" t="str">
        <x:v>연면적·면적</x:v>
      </x:c>
      <x:c r="C698" s="46" t="str">
        <x:v>㎡</x:v>
      </x:c>
      <x:c r="D698" s="46" t="str">
        <x:v>2,000 ㎡</x:v>
      </x:c>
      <x:c r="E698" s="46" t="str"/>
      <x:c r="F698" s="46" t="str"/>
      <x:c r="G698" s="46" t="str">
        <x:v>L2024-00018-1/붙임2. 현지 감리업체 선정 입찰 계획서 영문 및 붙임문서/Section 2 - Bid Data Sheet (BDS)_ICT Supervision.docx</x:v>
      </x:c>
      <x:c r="H698" s="43" t="str">
        <x:v>표 4 행 3</x:v>
      </x:c>
      <x:c r="I698" s="46" t="str">
        <x:v>2 | Documents evidencing the applicant’s eligibility to participate in the Bid - Article of Incorporation, Registry of the Company, and other registration documents - Paraguay Tax Office Registration as Construction/Design/Supervision - Commercial Architecture License registered in Asuncion or Central 1 Area - Proof of construction experience At least One (1) Similar Project in construction, design, or supervision for a single building (reinforced concrete structure + at least two floors) with at least 2,000㎡ (GFA) in Paraguay within last 10 years. In the case of public institution performance, the client's performance certificate required. In the case of private sector performance, the client's performance certificate and contract submission required.</x:v>
      </x:c>
      <x:c r="J698" s="43" t="str">
        <x:v>자동추출·검토필요</x:v>
      </x:c>
    </x:row>
    <x:row r="699">
      <x:c r="A699" s="43" t="str">
        <x:v>L2024-00018-1</x:v>
      </x:c>
      <x:c r="B699" s="43" t="str">
        <x:v>연면적·면적</x:v>
      </x:c>
      <x:c r="C699" s="46" t="str">
        <x:v>㎡</x:v>
      </x:c>
      <x:c r="D699" s="46" t="str">
        <x:v>2,000 ㎡</x:v>
      </x:c>
      <x:c r="E699" s="46" t="str"/>
      <x:c r="F699" s="46" t="str"/>
      <x:c r="G699" s="46" t="str">
        <x:v>L2024-00018-1/붙임2. 현지 감리업체 선정 입찰 계획서 영문 및 붙임문서/Section 2 - Bid Data Sheet (BDS)_ICT Supervision.docx</x:v>
      </x:c>
      <x:c r="H699" s="43" t="str">
        <x:v>표 6 행 3</x:v>
      </x:c>
      <x:c r="I699" s="46" t="str">
        <x:v>Performance Record | Similar Project Experience within the last 10 years. Base Evaluation Grade (E.G.): 2,000㎡ G.F.A | 6 | 10</x:v>
      </x:c>
      <x:c r="J699" s="43" t="str">
        <x:v>자동추출·검토필요</x:v>
      </x:c>
    </x:row>
    <x:row r="700">
      <x:c r="A700" s="43" t="str">
        <x:v>L2024-00018-1</x:v>
      </x:c>
      <x:c r="B700" s="43" t="str">
        <x:v>연면적·면적</x:v>
      </x:c>
      <x:c r="C700" s="46" t="str">
        <x:v>floor area, ㎡</x:v>
      </x:c>
      <x:c r="D700" s="46" t="str">
        <x:v>2,000 ㎡ | 2,000 ㎡</x:v>
      </x:c>
      <x:c r="E700" s="46" t="str"/>
      <x:c r="F700" s="46" t="str">
        <x:v>100%</x:v>
      </x:c>
      <x:c r="G700" s="46" t="str">
        <x:v>L2024-00018-1/붙임2. 현지 감리업체 선정 입찰 계획서 영문 및 붙임문서/Section 2 - Bid Data Sheet (BDS)_ICT Supervision.docx</x:v>
      </x:c>
      <x:c r="H700" s="43" t="str">
        <x:v>표 8 행 2</x:v>
      </x:c>
      <x:c r="I700" s="46" t="str">
        <x:v>Project Experience (6 Points) | Sum of gross floor Area (G.F.A) for the Similar Projects in Construction, Design, or Supervision for a Single Building (Reinforced Concrete Structure + at least Two Floors) with at least 2,000㎡ (GFA) in Paraguay within the last 10 years (Base Evaluation Grade (E.G.): 2,000㎡) | 100% ≤ E.G. | 6.00</x:v>
      </x:c>
      <x:c r="J700" s="43" t="str">
        <x:v>자동추출·검토필요</x:v>
      </x:c>
    </x:row>
    <x:row r="701">
      <x:c r="A701" s="43" t="str">
        <x:v>L2024-00018-1</x:v>
      </x:c>
      <x:c r="B701" s="43" t="str">
        <x:v>연면적·면적</x:v>
      </x:c>
      <x:c r="C701" s="46" t="str">
        <x:v>floor area, ㎡</x:v>
      </x:c>
      <x:c r="D701" s="46" t="str">
        <x:v>2,000 ㎡ | 2,000 ㎡</x:v>
      </x:c>
      <x:c r="E701" s="46" t="str"/>
      <x:c r="F701" s="46" t="str">
        <x:v>70% | 100%</x:v>
      </x:c>
      <x:c r="G701" s="46" t="str">
        <x:v>L2024-00018-1/붙임2. 현지 감리업체 선정 입찰 계획서 영문 및 붙임문서/Section 2 - Bid Data Sheet (BDS)_ICT Supervision.docx</x:v>
      </x:c>
      <x:c r="H701" s="43" t="str">
        <x:v>표 8 행 3</x:v>
      </x:c>
      <x:c r="I701" s="46" t="str">
        <x:v>Project Experience (6 Points) | Sum of gross floor Area (G.F.A) for the Similar Projects in Construction, Design, or Supervision for a Single Building (Reinforced Concrete Structure + at least Two Floors) with at least 2,000㎡ (GFA) in Paraguay within the last 10 years (Base Evaluation Grade (E.G.): 2,000㎡) | 70% ≤ E.G. &lt; 100% | 5.55</x:v>
      </x:c>
      <x:c r="J701" s="43" t="str">
        <x:v>자동추출·검토필요</x:v>
      </x:c>
    </x:row>
    <x:row r="702">
      <x:c r="A702" s="43" t="str">
        <x:v>L2024-00018-1</x:v>
      </x:c>
      <x:c r="B702" s="43" t="str">
        <x:v>연면적·면적</x:v>
      </x:c>
      <x:c r="C702" s="46" t="str">
        <x:v>floor area, ㎡</x:v>
      </x:c>
      <x:c r="D702" s="46" t="str">
        <x:v>2,000 ㎡ | 2,000 ㎡</x:v>
      </x:c>
      <x:c r="E702" s="46" t="str"/>
      <x:c r="F702" s="46" t="str">
        <x:v>40% | 70%</x:v>
      </x:c>
      <x:c r="G702" s="46" t="str">
        <x:v>L2024-00018-1/붙임2. 현지 감리업체 선정 입찰 계획서 영문 및 붙임문서/Section 2 - Bid Data Sheet (BDS)_ICT Supervision.docx</x:v>
      </x:c>
      <x:c r="H702" s="43" t="str">
        <x:v>표 8 행 4</x:v>
      </x:c>
      <x:c r="I702" s="46" t="str">
        <x:v>Project Experience (6 Points) | Sum of gross floor Area (G.F.A) for the Similar Projects in Construction, Design, or Supervision for a Single Building (Reinforced Concrete Structure + at least Two Floors) with at least 2,000㎡ (GFA) in Paraguay within the last 10 years (Base Evaluation Grade (E.G.): 2,000㎡) | 40% ≤ E.G. &lt; 70% | 5.10</x:v>
      </x:c>
      <x:c r="J702" s="43" t="str">
        <x:v>자동추출·검토필요</x:v>
      </x:c>
    </x:row>
    <x:row r="703">
      <x:c r="A703" s="43" t="str">
        <x:v>L2024-00018-1</x:v>
      </x:c>
      <x:c r="B703" s="43" t="str">
        <x:v>연면적·면적</x:v>
      </x:c>
      <x:c r="C703" s="46" t="str">
        <x:v>floor area, ㎡</x:v>
      </x:c>
      <x:c r="D703" s="46" t="str">
        <x:v>2,000 ㎡ | 2,000 ㎡</x:v>
      </x:c>
      <x:c r="E703" s="46" t="str"/>
      <x:c r="F703" s="46" t="str">
        <x:v>10% | 40%</x:v>
      </x:c>
      <x:c r="G703" s="46" t="str">
        <x:v>L2024-00018-1/붙임2. 현지 감리업체 선정 입찰 계획서 영문 및 붙임문서/Section 2 - Bid Data Sheet (BDS)_ICT Supervision.docx</x:v>
      </x:c>
      <x:c r="H703" s="43" t="str">
        <x:v>표 8 행 5</x:v>
      </x:c>
      <x:c r="I703" s="46" t="str">
        <x:v>Project Experience (6 Points) | Sum of gross floor Area (G.F.A) for the Similar Projects in Construction, Design, or Supervision for a Single Building (Reinforced Concrete Structure + at least Two Floors) with at least 2,000㎡ (GFA) in Paraguay within the last 10 years (Base Evaluation Grade (E.G.): 2,000㎡) | 10% ≤ E.G.&lt; 40% | 4.65</x:v>
      </x:c>
      <x:c r="J703" s="43" t="str">
        <x:v>자동추출·검토필요</x:v>
      </x:c>
    </x:row>
    <x:row r="704">
      <x:c r="A704" s="43" t="str">
        <x:v>L2024-00018-1</x:v>
      </x:c>
      <x:c r="B704" s="43" t="str">
        <x:v>연면적·면적</x:v>
      </x:c>
      <x:c r="C704" s="46" t="str">
        <x:v>floor area, ㎡</x:v>
      </x:c>
      <x:c r="D704" s="46" t="str">
        <x:v>2,000 ㎡ | 2,000 ㎡</x:v>
      </x:c>
      <x:c r="E704" s="46" t="str"/>
      <x:c r="F704" s="46" t="str">
        <x:v>10%</x:v>
      </x:c>
      <x:c r="G704" s="46" t="str">
        <x:v>L2024-00018-1/붙임2. 현지 감리업체 선정 입찰 계획서 영문 및 붙임문서/Section 2 - Bid Data Sheet (BDS)_ICT Supervision.docx</x:v>
      </x:c>
      <x:c r="H704" s="43" t="str">
        <x:v>표 8 행 6</x:v>
      </x:c>
      <x:c r="I704" s="46" t="str">
        <x:v>Project Experience (6 Points) | Sum of gross floor Area (G.F.A) for the Similar Projects in Construction, Design, or Supervision for a Single Building (Reinforced Concrete Structure + at least Two Floors) with at least 2,000㎡ (GFA) in Paraguay within the last 10 years (Base Evaluation Grade (E.G.): 2,000㎡) | E.G. &lt; 10% | 4.20</x:v>
      </x:c>
      <x:c r="J704" s="43" t="str">
        <x:v>자동추출·검토필요</x:v>
      </x:c>
    </x:row>
    <x:row r="705">
      <x:c r="A705" s="43" t="str">
        <x:v>L2024-00017-1</x:v>
      </x:c>
      <x:c r="B705" s="43" t="str">
        <x:v>연면적·면적</x:v>
      </x:c>
      <x:c r="C705" s="46" t="str">
        <x:v>대지면적, ㎡</x:v>
      </x:c>
      <x:c r="D705" s="46" t="str">
        <x:v>5,822 ㎡</x:v>
      </x:c>
      <x:c r="E705" s="46" t="str"/>
      <x:c r="F705" s="46" t="str"/>
      <x:c r="G705" s="46" t="str">
        <x:v>L2024-00017-1/붙임1. 파라과이 ICT 혁신센터 시공사 선정 입찰계획서(국문).hwp</x:v>
      </x:c>
      <x:c r="H705" s="43" t="str">
        <x:v>문단 78</x:v>
      </x:c>
      <x:c r="I705" s="46" t="str">
        <x:v>ㅇ 대지면적 : 5,822㎡</x:v>
      </x:c>
      <x:c r="J705" s="43" t="str">
        <x:v>자동추출·검토필요</x:v>
      </x:c>
    </x:row>
    <x:row r="706">
      <x:c r="A706" s="43" t="str">
        <x:v>L2024-00017-1</x:v>
      </x:c>
      <x:c r="B706" s="43" t="str">
        <x:v>연면적·면적</x:v>
      </x:c>
      <x:c r="C706" s="46" t="str">
        <x:v>건축면적, ㎡</x:v>
      </x:c>
      <x:c r="D706" s="46" t="str">
        <x:v>1,052 ㎡</x:v>
      </x:c>
      <x:c r="E706" s="46" t="str"/>
      <x:c r="F706" s="46" t="str"/>
      <x:c r="G706" s="46" t="str">
        <x:v>L2024-00017-1/붙임1. 파라과이 ICT 혁신센터 시공사 선정 입찰계획서(국문).hwp</x:v>
      </x:c>
      <x:c r="H706" s="43" t="str">
        <x:v>문단 79</x:v>
      </x:c>
      <x:c r="I706" s="46" t="str">
        <x:v>ㅇ 건축면적 : 1,052㎡</x:v>
      </x:c>
      <x:c r="J706" s="43" t="str">
        <x:v>자동추출·검토필요</x:v>
      </x:c>
    </x:row>
    <x:row r="707">
      <x:c r="A707" s="43" t="str">
        <x:v>L2024-00017-1</x:v>
      </x:c>
      <x:c r="B707" s="43" t="str">
        <x:v>연면적·면적</x:v>
      </x:c>
      <x:c r="C707" s="46" t="str">
        <x:v>연면적, ㎡</x:v>
      </x:c>
      <x:c r="D707" s="46" t="str">
        <x:v>2,092 ㎡</x:v>
      </x:c>
      <x:c r="E707" s="46" t="str"/>
      <x:c r="F707" s="46" t="str"/>
      <x:c r="G707" s="46" t="str">
        <x:v>L2024-00017-1/붙임1. 파라과이 ICT 혁신센터 시공사 선정 입찰계획서(국문).hwp</x:v>
      </x:c>
      <x:c r="H707" s="43" t="str">
        <x:v>문단 80</x:v>
      </x:c>
      <x:c r="I707" s="46" t="str">
        <x:v>ㅇ 연면적 : 2,092㎡</x:v>
      </x:c>
      <x:c r="J707" s="43" t="str">
        <x:v>자동추출·검토필요</x:v>
      </x:c>
    </x:row>
    <x:row r="708">
      <x:c r="A708" s="43" t="str">
        <x:v>L2024-00017-1</x:v>
      </x:c>
      <x:c r="B708" s="43" t="str">
        <x:v>연면적·면적</x:v>
      </x:c>
      <x:c r="C708" s="46" t="str">
        <x:v>㎡</x:v>
      </x:c>
      <x:c r="D708" s="46" t="str">
        <x:v>5,822 ㎡</x:v>
      </x:c>
      <x:c r="E708" s="46" t="str"/>
      <x:c r="F708" s="46" t="str"/>
      <x:c r="G708" s="46" t="str">
        <x:v>L2024-00017-1/붙임2. 파라과이 ICT 혁신센터 시공사 선정 입찰계획서(영문) 및 관련 양식/Attachement 6. Scope of Works_ICT Construction.docx</x:v>
      </x:c>
      <x:c r="H708" s="43" t="str">
        <x:v>문단 14</x:v>
      </x:c>
      <x:c r="I708" s="46" t="str">
        <x:v>Site area: 5,822㎡</x:v>
      </x:c>
      <x:c r="J708" s="43" t="str">
        <x:v>자동추출·검토필요</x:v>
      </x:c>
    </x:row>
    <x:row r="709">
      <x:c r="A709" s="43" t="str">
        <x:v>L2024-00017-1</x:v>
      </x:c>
      <x:c r="B709" s="43" t="str">
        <x:v>연면적·면적</x:v>
      </x:c>
      <x:c r="C709" s="46" t="str">
        <x:v>floor area, ㎡</x:v>
      </x:c>
      <x:c r="D709" s="46" t="str">
        <x:v>2,092 ㎡</x:v>
      </x:c>
      <x:c r="E709" s="46" t="str"/>
      <x:c r="F709" s="46" t="str"/>
      <x:c r="G709" s="46" t="str">
        <x:v>L2024-00017-1/붙임2. 파라과이 ICT 혁신센터 시공사 선정 입찰계획서(영문) 및 관련 양식/Attachement 6. Scope of Works_ICT Construction.docx</x:v>
      </x:c>
      <x:c r="H709" s="43" t="str">
        <x:v>문단 15</x:v>
      </x:c>
      <x:c r="I709" s="46" t="str">
        <x:v>Gross floor area: 2,092㎡</x:v>
      </x:c>
      <x:c r="J709" s="43" t="str">
        <x:v>자동추출·검토필요</x:v>
      </x:c>
    </x:row>
    <x:row r="710">
      <x:c r="A710" s="43" t="str">
        <x:v>L2024-00017-1</x:v>
      </x:c>
      <x:c r="B710" s="43" t="str">
        <x:v>연면적·면적</x:v>
      </x:c>
      <x:c r="C710" s="46" t="str">
        <x:v>floor area, m²</x:v>
      </x:c>
      <x:c r="D710" s="46" t="str">
        <x:v>1,000 m²</x:v>
      </x:c>
      <x:c r="E710" s="46" t="str">
        <x:v>USD 1 million</x:v>
      </x:c>
      <x:c r="F710" s="46" t="str"/>
      <x:c r="G710" s="46" t="str">
        <x:v>L2024-00017-1/붙임2. 파라과이 ICT 혁신센터 시공사 선정 입찰계획서(영문) 및 관련 양식/Attachments/Attachment 5. KOICA Safety Management Manual(ENG).pdf</x:v>
      </x:c>
      <x:c r="H710" s="43" t="str">
        <x:v>페이지 6</x:v>
      </x:c>
      <x:c r="I710" s="46" t="str">
        <x:v>CHAPTER 1 General Conditions 1. Purpose The purpose of these guidelines is to systematically set out the roles and scope of work for the KOICA, architects, construction managers, contractors, etc. through all stages from the planning stage for the construction project by KOICA to construction completion and to publish and disseminate a manual regarding the safety management work throughout the construction. 2. Scope of Application A. This manual shall be applied to construction projects corresponding to one or more of the following criteria which are required to devise safety management plans such as safety inspections and safety management organizations to secure safety under Article 62 of the Construction Technology Promotion Act. 1) Projects containing constructions with a budget of USD 1 million or more or with a gross floor area of 1,000 m² or more 2) Construction projects other than those in Paragraph 1 above, which are recognized explicitly by KOICA as requiring safety management B. KOICA may separately determine matters other than those prescribed in this manual in connection with the safety management work of those participating in the safety management of a construction p</x:v>
      </x:c>
      <x:c r="J710" s="43" t="str">
        <x:v>자동추출·검토필요</x:v>
      </x:c>
    </x:row>
    <x:row r="711">
      <x:c r="A711" s="43" t="str">
        <x:v>L2024-00017-1</x:v>
      </x:c>
      <x:c r="B711" s="43" t="str">
        <x:v>연면적·면적</x:v>
      </x:c>
      <x:c r="C711" s="46" t="str">
        <x:v>㎡</x:v>
      </x:c>
      <x:c r="D711" s="46" t="str">
        <x:v>5,822 ㎡ | 5,822 ㎡</x:v>
      </x:c>
      <x:c r="E711" s="46" t="str"/>
      <x:c r="F711" s="46" t="str"/>
      <x:c r="G711" s="46" t="str">
        <x:v>L2024-00017-1/붙임2. 파라과이 ICT 혁신센터 시공사 선정 입찰계획서(영문) 및 관련 양식/Section 2 Bid data sheet_ICT Construction.docx</x:v>
      </x:c>
      <x:c r="H711" s="43" t="str">
        <x:v>표 2 행 6</x:v>
      </x:c>
      <x:c r="I711" s="46" t="str">
        <x:v>Site Area | 5,822㎡ | 5,822㎡</x:v>
      </x:c>
      <x:c r="J711" s="43" t="str">
        <x:v>자동추출·검토필요</x:v>
      </x:c>
    </x:row>
    <x:row r="712">
      <x:c r="A712" s="43" t="str">
        <x:v>L2024-00017-1</x:v>
      </x:c>
      <x:c r="B712" s="43" t="str">
        <x:v>연면적·면적</x:v>
      </x:c>
      <x:c r="C712" s="46" t="str">
        <x:v>floor area, ㎡</x:v>
      </x:c>
      <x:c r="D712" s="46" t="str">
        <x:v>2,092 ㎡ | 2,092 ㎡</x:v>
      </x:c>
      <x:c r="E712" s="46" t="str"/>
      <x:c r="F712" s="46" t="str"/>
      <x:c r="G712" s="46" t="str">
        <x:v>L2024-00017-1/붙임2. 파라과이 ICT 혁신센터 시공사 선정 입찰계획서(영문) 및 관련 양식/Section 2 Bid data sheet_ICT Construction.docx</x:v>
      </x:c>
      <x:c r="H712" s="43" t="str">
        <x:v>표 2 행 7</x:v>
      </x:c>
      <x:c r="I712" s="46" t="str">
        <x:v>Gross floor area | 2,092㎡ | 2,092㎡</x:v>
      </x:c>
      <x:c r="J712" s="43" t="str">
        <x:v>자동추출·검토필요</x:v>
      </x:c>
    </x:row>
    <x:row r="713">
      <x:c r="A713" s="43" t="str">
        <x:v>L2024-00001-1</x:v>
      </x:c>
      <x:c r="B713" s="43" t="str">
        <x:v>연면적·면적</x:v>
      </x:c>
      <x:c r="C713" s="46" t="str">
        <x:v>floor area, square meter, ㎡</x:v>
      </x:c>
      <x:c r="D713" s="46" t="str">
        <x:v>2,551 ㎡ | 2,551 ㎡</x:v>
      </x:c>
      <x:c r="E713" s="46" t="str"/>
      <x:c r="F713" s="46" t="str"/>
      <x:c r="G713" s="46" t="str">
        <x:v>L2024-00001-1/붙임 2. 입찰서류 (최종)/Section 2 - Bid Data Sheet (BDS).docx</x:v>
      </x:c>
      <x:c r="H713" s="43" t="str">
        <x:v>표 5 행 3</x:v>
      </x:c>
      <x:c r="I713" s="46" t="str">
        <x:v>․ Scope of Service | *Location of the Site: National Textile University, Faisalabad *Scope of Service: Design Service a) Design: Two(2) Storey Building, Total Floor Area: 2,551㎡ (Square Meter) b) Relevant Documents -Priced BoQ, Specification, Quantity Calculations, Structural Analysis, Mechanical Calculations, Electrical Calculations. Etc. | *Location of the Site: National Textile University, Faisalabad *Scope of Service: Design Service a) Design: Two(2) Storey Building, Total Floor Area: 2,551㎡ (Square Meter) b) Relevant Documents -Priced BoQ, Specification, Quantity Calculations, Structural Analysis, Mechanical Calculations, Electrical Calculations. Etc.</x:v>
      </x:c>
      <x:c r="J713" s="43" t="str">
        <x:v>자동추출·검토필요</x:v>
      </x:c>
    </x:row>
    <x:row r="714">
      <x:c r="A714" s="43" t="str">
        <x:v>L2024-00001-1</x:v>
      </x:c>
      <x:c r="B714" s="43" t="str">
        <x:v>연면적·면적</x:v>
      </x:c>
      <x:c r="C714" s="46" t="str">
        <x:v>floor area, ㎡</x:v>
      </x:c>
      <x:c r="D714" s="46" t="str">
        <x:v>2,551 ㎡</x:v>
      </x:c>
      <x:c r="E714" s="46" t="str"/>
      <x:c r="F714" s="46" t="str"/>
      <x:c r="G714" s="46" t="str">
        <x:v>L2024-00001-1/붙임 2. 입찰서류 (최종)/Section 4 - Request for Propostal.docx</x:v>
      </x:c>
      <x:c r="H714" s="43" t="str">
        <x:v>표 1 행 2</x:v>
      </x:c>
      <x:c r="I714" s="46" t="str">
        <x:v>• Summary of Services | ∙ Location of the site: National Textile University(NTU) in Faisalabad, Pakistan ∙Scope of work: Design Service a. Design (Two(2) storey Building /Total floor area: 2,551㎡) b. Relevant Documents (Priced BOQ, Specifications, Quantity Calculations, Structural Analysis, Mechanical, Electrical Calculations, etc.)</x:v>
      </x:c>
      <x:c r="J714" s="43" t="str">
        <x:v>자동추출·검토필요</x:v>
      </x:c>
    </x:row>
    <x:row r="715">
      <x:c r="A715" s="43" t="str">
        <x:v>L2024-00001-1</x:v>
      </x:c>
      <x:c r="B715" s="43" t="str">
        <x:v>연면적·면적</x:v>
      </x:c>
      <x:c r="C715" s="46" t="str">
        <x:v>floor area, ㎡</x:v>
      </x:c>
      <x:c r="D715" s="46" t="str">
        <x:v>2,551 ㎡</x:v>
      </x:c>
      <x:c r="E715" s="46" t="str"/>
      <x:c r="F715" s="46" t="str"/>
      <x:c r="G715" s="46" t="str">
        <x:v>L2024-00001-1/붙임 2. 입찰서류 (최종)/Section 5- Terms of Reference for Design-Services.doc</x:v>
      </x:c>
      <x:c r="H715" s="43" t="str">
        <x:v>문단 12</x:v>
      </x:c>
      <x:c r="I715" s="46" t="str">
        <x:v>Existing structures and buildings within the site &amp; in the vicinity of the site Site boundaries Existing underground and over ground services : water, gas, electricity, drainage telephone and others Roads in the vicinity of the site, their size, existing elevation and conditions and planned elevations Setbacks approved by the local and related authority Contour lines with an interval of every 2 feet height contour or less. Status of all adjacent lands and their elevations related to the site Photographs B. Soil test report, analysis and evaluation of the soil condition and recommended type of foundation according to the international codes or the Pakistan codes. 5.1.2 The assignment consists of Design Service for the construction of the project mentioned below: 1 Project Title Design Services “Project for Strengthening of PAK-Korea Technical Textile Center (PKTC) -2nd Phase” 2 Location of the Site National Textile University, Faisalabad ,Pakistan. 3 Total Floor Area - 2-storey Building - Total floor area: 2,551㎡ (SM)</x:v>
      </x:c>
      <x:c r="J715" s="43" t="str">
        <x:v>자동추출·검토필요</x:v>
      </x:c>
    </x:row>
    <x:row r="716">
      <x:c r="A716" s="43" t="str">
        <x:v>L2024-00001-1</x:v>
      </x:c>
      <x:c r="B716" s="43" t="str">
        <x:v>연면적·면적</x:v>
      </x:c>
      <x:c r="C716" s="46" t="str">
        <x:v>square meter</x:v>
      </x:c>
      <x:c r="D716" s="46" t="str">
        <x:v>2,551 square meters</x:v>
      </x:c>
      <x:c r="E716" s="46" t="str"/>
      <x:c r="F716" s="46" t="str">
        <x:v>2%</x:v>
      </x:c>
      <x:c r="G716" s="46" t="str">
        <x:v>L2024-00001-1/붙임 2. 입찰서류 (최종)/Section 5- Terms of Reference for Design-Services.doc</x:v>
      </x:c>
      <x:c r="H716" s="43" t="str">
        <x:v>문단 13</x:v>
      </x:c>
      <x:c r="I716" s="46" t="str">
        <x:v>5.1.3 Design and Relevant Documentation Services A. Preparation of design and other engineering services necessary to bring the work to the construction readiness state for the projects mentioned in the Agreement. B. Preparation of all the relevant documents including the Drawings, Specifications, Priced Bill of Quantities, Structural Analysis, Work Quantities Calculations Load Calculations (Electrical, HVAC, and others). Etc. 5.1.4 Considerations for Space Program A. Refer to the Addendum No.2 (Design Reference with Space Program) B. The space program provided by the Employer serves only guidelines for room space needed. Any necessary adjustments to room space need and common space need may be made in consultation with the CM, Project Management Consultant hired by KOICA and NTU stakeholders. C. The total space shall not exceed more than 2% of the given space of 2,551 square meters presented in the Space Program. (Addendum No.2) 5.1.5. Opinions of stakeholders should be reflected in the design. A. Employer’s requirements may be reflected in the design through design review talks with stakeholders (Employer, CM, NTU, PMC).</x:v>
      </x:c>
      <x:c r="J716" s="43" t="str">
        <x:v>자동추출·검토필요</x:v>
      </x:c>
    </x:row>
    <x:row r="717">
      <x:c r="A717" s="43" t="str">
        <x:v>L2024-00001-1</x:v>
      </x:c>
      <x:c r="B717" s="43" t="str">
        <x:v>연면적·면적</x:v>
      </x:c>
      <x:c r="C717" s="46" t="str">
        <x:v>floor area, ㎡</x:v>
      </x:c>
      <x:c r="D717" s="46" t="str">
        <x:v>2,551 ㎡</x:v>
      </x:c>
      <x:c r="E717" s="46" t="str"/>
      <x:c r="F717" s="46" t="str"/>
      <x:c r="G717" s="46" t="str">
        <x:v>L2024-00001-1/붙임 2. 입찰서류 (최종)/Section 8 - Special Conditions of Contract.docx</x:v>
      </x:c>
      <x:c r="H717" s="43" t="str">
        <x:v>표 1 행 2</x:v>
      </x:c>
      <x:c r="I717" s="46" t="str">
        <x:v>2)Scope of Service | *Location of the Site: National Textile University, Faisalabad *Design Service: -Design: 2(two) storey Building Total floor Area: 2,551㎡ *Relevant Documents: Priced BoQ, Specifications, Quantity Calculation, Structural Analysis. Mechanical Load Calculation, Electrical Load Calculations, Etc. *Detailed Scope of Service: Refer to Section 5 -Terms of Services</x:v>
      </x:c>
      <x:c r="J717" s="43" t="str">
        <x:v>자동추출·검토필요</x:v>
      </x:c>
    </x:row>
    <x:row r="718">
      <x:c r="A718" s="43" t="str">
        <x:v>L2023-00077-1</x:v>
      </x:c>
      <x:c r="B718" s="43" t="str">
        <x:v>연면적·면적</x:v>
      </x:c>
      <x:c r="C718" s="46" t="str">
        <x:v>㎡</x:v>
      </x:c>
      <x:c r="D718" s="46" t="str">
        <x:v>60 ㎡ | 60 ㎡ | 221 ㎡ | 82 ㎡ | 40 ㎡ | 456 ㎡</x:v>
      </x:c>
      <x:c r="E718" s="46" t="str"/>
      <x:c r="F718" s="46" t="str"/>
      <x:c r="G718" s="46" t="str">
        <x:v>L2023-00077-1/붙임5-2. 투찰내역서_1110.xlsx</x:v>
      </x:c>
      <x:c r="H718" s="43" t="str">
        <x:v>Bill of quantity!24</x:v>
      </x:c>
      <x:c r="I718" s="46" t="str">
        <x:v>A24=15 | C24=Wall Paint | D24=white | E24=Senegal | F24=㎡ | G24=920 | I24==H24*G24 | J24==I24/580 | K24=Parliamentary seat 60㎡, Presidential waiting room 60㎡, VIP room 221㎡, press room 82㎡, broadcast room 40㎡, audience seat 456㎡ (front 257 + rear 455)</x:v>
      </x:c>
      <x:c r="J718" s="43" t="str">
        <x:v>자동추출·검토필요</x:v>
      </x:c>
    </x:row>
    <x:row r="719">
      <x:c r="A719" s="43" t="str">
        <x:v>L2023-00077-1</x:v>
      </x:c>
      <x:c r="B719" s="43" t="str">
        <x:v>연면적·면적</x:v>
      </x:c>
      <x:c r="C719" s="46" t="str">
        <x:v>㎡</x:v>
      </x:c>
      <x:c r="D719" s="46" t="str">
        <x:v>70.4 ㎡</x:v>
      </x:c>
      <x:c r="E719" s="46" t="str"/>
      <x:c r="F719" s="46" t="str"/>
      <x:c r="G719" s="46" t="str">
        <x:v>L2023-00077-1/붙임5-2. 투찰내역서_1110.xlsx</x:v>
      </x:c>
      <x:c r="H719" s="43" t="str">
        <x:v>Bill of quantity!34</x:v>
      </x:c>
      <x:c r="I719" s="46" t="str">
        <x:v>A34=21 | C34=steel frame | D34=H 250 | E34=Senegal | F34=㎡ | G34=70.4 | I34==H34*G34 | J34==I34/580 | K34=3.2 x 22 = 70.4㎡</x:v>
      </x:c>
      <x:c r="J719" s="43" t="str">
        <x:v>자동추출·검토필요</x:v>
      </x:c>
    </x:row>
    <x:row r="720">
      <x:c r="A720" s="43" t="str">
        <x:v>L2023-00077-1</x:v>
      </x:c>
      <x:c r="B720" s="43" t="str">
        <x:v>연면적·면적</x:v>
      </x:c>
      <x:c r="C720" s="46" t="str">
        <x:v>㎡</x:v>
      </x:c>
      <x:c r="D720" s="46" t="str">
        <x:v>100 ㎡</x:v>
      </x:c>
      <x:c r="E720" s="46" t="str"/>
      <x:c r="F720" s="46" t="str"/>
      <x:c r="G720" s="46" t="str">
        <x:v>L2023-00077-1/붙임5-2. 투찰내역서_1110.xlsx</x:v>
      </x:c>
      <x:c r="H720" s="43" t="str">
        <x:v>Bill of quantity!35</x:v>
      </x:c>
      <x:c r="I720" s="46" t="str">
        <x:v>A35=22 | C35=steel frame | D35=H 500 | E35=Senegal | F35=㎡ | G35=100 | I35==H35*G35 | J35==I35/580 | K35=3.26 x 31 = 100㎡</x:v>
      </x:c>
      <x:c r="J720" s="43" t="str">
        <x:v>자동추출·검토필요</x:v>
      </x:c>
    </x:row>
    <x:row r="721">
      <x:c r="A721" s="43" t="str">
        <x:v>L2023-00075-1</x:v>
      </x:c>
      <x:c r="B721" s="43" t="str">
        <x:v>연면적·면적</x:v>
      </x:c>
      <x:c r="C721" s="46" t="str">
        <x:v>㎡</x:v>
      </x:c>
      <x:c r="D721" s="46" t="str">
        <x:v>4,000 ㎡</x:v>
      </x:c>
      <x:c r="E721" s="46" t="str"/>
      <x:c r="F721" s="46" t="str"/>
      <x:c r="G721" s="46" t="str">
        <x:v>L2023-00075-1/RTCC 시공 Terms of Reference for NIFS Construction(2023.12.14).docx</x:v>
      </x:c>
      <x:c r="H721" s="43" t="str">
        <x:v>표 1 행 2</x:v>
      </x:c>
      <x:c r="I721" s="46" t="str">
        <x:v>Land Area | 4,000㎡</x:v>
      </x:c>
      <x:c r="J721" s="43" t="str">
        <x:v>자동추출·검토필요</x:v>
      </x:c>
    </x:row>
    <x:row r="722">
      <x:c r="A722" s="43" t="str">
        <x:v>L2023-00075-1</x:v>
      </x:c>
      <x:c r="B722" s="43" t="str">
        <x:v>연면적·면적</x:v>
      </x:c>
      <x:c r="C722" s="46" t="str">
        <x:v>㎡</x:v>
      </x:c>
      <x:c r="D722" s="46" t="str">
        <x:v>3,131 ㎡</x:v>
      </x:c>
      <x:c r="E722" s="46" t="str"/>
      <x:c r="F722" s="46" t="str"/>
      <x:c r="G722" s="46" t="str">
        <x:v>L2023-00075-1/RTCC 시공 Terms of Reference for NIFS Construction(2023.12.14).docx</x:v>
      </x:c>
      <x:c r="H722" s="43" t="str">
        <x:v>표 1 행 3</x:v>
      </x:c>
      <x:c r="I722" s="46" t="str">
        <x:v>Total Construction Area | 3,131㎡</x:v>
      </x:c>
      <x:c r="J722" s="43" t="str">
        <x:v>자동추출·검토필요</x:v>
      </x:c>
    </x:row>
    <x:row r="723">
      <x:c r="A723" s="43" t="str">
        <x:v>L2023-00075-1</x:v>
      </x:c>
      <x:c r="B723" s="43" t="str">
        <x:v>연면적·면적</x:v>
      </x:c>
      <x:c r="C723" s="46" t="str">
        <x:v>㎡</x:v>
      </x:c>
      <x:c r="D723" s="46" t="str">
        <x:v>287.6 ㎡ | 282.3 ㎡ | 311.7 ㎡</x:v>
      </x:c>
      <x:c r="E723" s="46" t="str"/>
      <x:c r="F723" s="46" t="str"/>
      <x:c r="G723" s="46" t="str">
        <x:v>L2023-00075-1/RTCC 시공 Terms of Reference for NIFS Construction(2023.12.14).docx</x:v>
      </x:c>
      <x:c r="H723" s="43" t="str">
        <x:v>표 1 행 4</x:v>
      </x:c>
      <x:c r="I723" s="46" t="str">
        <x:v>Areas of Floors | - B1 (Parking &amp; Utility RMs) : 287.6㎡ - 1F ( Office) - 2F (Office) - 3F (Office) - 4F (Office) - 5F (Office): 282.3㎡ - RF (Fan RM): 311.7㎡</x:v>
      </x:c>
      <x:c r="J723" s="43" t="str">
        <x:v>자동추출·검토필요</x:v>
      </x:c>
    </x:row>
    <x:row r="724">
      <x:c r="A724" s="43" t="str">
        <x:v>L2023-00071-1</x:v>
      </x:c>
      <x:c r="B724" s="43" t="str">
        <x:v>연면적·면적</x:v>
      </x:c>
      <x:c r="C724" s="46" t="str">
        <x:v>㎡</x:v>
      </x:c>
      <x:c r="D724" s="46" t="str">
        <x:v>2,400 ㎡</x:v>
      </x:c>
      <x:c r="E724" s="46" t="str"/>
      <x:c r="F724" s="46" t="str"/>
      <x:c r="G724" s="46" t="str">
        <x:v>L2023-00071-1/붙임 3. 기타 입찰서류/[Section 2] Request for Proposal(RFP)_┴ª╛╚┐Σ├╗╝¡(┐╡╣«)_Finalv2.docx</x:v>
      </x:c>
      <x:c r="H724" s="43" t="str">
        <x:v>표 3 행 1</x:v>
      </x:c>
      <x:c r="I724" s="46" t="str">
        <x:v>Building Summary | Location : National Cyber and Crypto Polytechnic (Poltek STSN) H. Usa Street, Putat Nutug, Ciseeng District, Bogor Regency, West Java Province, Indonesia (16120). Size : Cyber Security Vocational Center ; a building of 3 Story, 2,400㎡ Structure : RC structure</x:v>
      </x:c>
      <x:c r="J724" s="43" t="str">
        <x:v>자동추출·검토필요</x:v>
      </x:c>
    </x:row>
    <x:row r="725">
      <x:c r="A725" s="43" t="str">
        <x:v>L2023-00071-1</x:v>
      </x:c>
      <x:c r="B725" s="43" t="str">
        <x:v>연면적·면적</x:v>
      </x:c>
      <x:c r="C725" s="46" t="str">
        <x:v>floor area</x:v>
      </x:c>
      <x:c r="D725" s="46" t="str">
        <x:v>2,400 m2</x:v>
      </x:c>
      <x:c r="E725" s="46" t="str"/>
      <x:c r="F725" s="46" t="str"/>
      <x:c r="G725" s="46" t="str">
        <x:v>L2023-00071-1/붙임 3. 기타 입찰서류/[Section 2] Request for Proposal(RFP)_┴ª╛╚┐Σ├╗╝¡(┐╡╣«)_Finalv2.docx</x:v>
      </x:c>
      <x:c r="H725" s="43" t="str">
        <x:v>표 4 행 2</x:v>
      </x:c>
      <x:c r="I725" s="46" t="str">
        <x:v>Scope of Works | ▪ Design Services for “the Indonesia Cyber Security Vocational Center” ▪ Bidding support for selecting the contractors ▪ Construction Supervision Consultant Service during construction period ▪ Detailed deliverable and work scope as below; Work No1. Design Works Concept DWGs SD(Schematic DWGs) DD(Development DWGs) CD(Construction DWGs) As Built DWGs Work No2. Size of the Project Vocational Center Floor Area: 2,400 m2, a building of 3-story Work No3. Output DWGs(Soft Copy &amp; 5 sets Hard Copys) Specification Technical Survey Reports Soil Investigation Report Technical Calculation Reports BOQ(Be created with budget relation) Documents for Permission Documents for Bidding Documents for ECC (If needed) Other necessary document for the project Work No4. During Construction Design Change related works(create the DWGs and Review) Work No5. Others Related task for Permit as an Architect Related required task from the Client as an Architect</x:v>
      </x:c>
      <x:c r="J725" s="43" t="str">
        <x:v>자동추출·검토필요</x:v>
      </x:c>
    </x:row>
    <x:row r="726">
      <x:c r="A726" s="43" t="str">
        <x:v>L2023-00071-1</x:v>
      </x:c>
      <x:c r="B726" s="43" t="str">
        <x:v>연면적·면적</x:v>
      </x:c>
      <x:c r="C726" s="46" t="str">
        <x:v>㎡</x:v>
      </x:c>
      <x:c r="D726" s="46" t="str">
        <x:v>1,000 ㎡</x:v>
      </x:c>
      <x:c r="E726" s="46" t="str"/>
      <x:c r="F726" s="46" t="str"/>
      <x:c r="G726" s="46" t="str">
        <x:v>L2023-00071-1/붙임 3. 기타 입찰서류/[Section 4] Design Work Scope_╝│░Φ░·╛≈┴÷╜├╝¡(┐╡╣«)_Final.docx</x:v>
      </x:c>
      <x:c r="H726" s="43" t="str">
        <x:v>표 1 행 1</x:v>
      </x:c>
      <x:c r="I726" s="46" t="str">
        <x:v>Land Area | Approximately 1,000㎡</x:v>
      </x:c>
      <x:c r="J726" s="43" t="str">
        <x:v>자동추출·검토필요</x:v>
      </x:c>
    </x:row>
    <x:row r="727">
      <x:c r="A727" s="43" t="str">
        <x:v>L2023-00071-1</x:v>
      </x:c>
      <x:c r="B727" s="43" t="str">
        <x:v>연면적·면적</x:v>
      </x:c>
      <x:c r="C727" s="46" t="str">
        <x:v>floor area</x:v>
      </x:c>
      <x:c r="D727" s="46" t="str">
        <x:v>2,400 m2</x:v>
      </x:c>
      <x:c r="E727" s="46" t="str"/>
      <x:c r="F727" s="46" t="str"/>
      <x:c r="G727" s="46" t="str">
        <x:v>L2023-00071-1/붙임 3. 기타 입찰서류/[Section 4] Design Work Scope_╝│░Φ░·╛≈┴÷╜├╝¡(┐╡╣«)_Final.docx</x:v>
      </x:c>
      <x:c r="H727" s="43" t="str">
        <x:v>표 1 행 5</x:v>
      </x:c>
      <x:c r="I727" s="46" t="str">
        <x:v>Building Size | Total Floor Area : 2,400m2 Story : 3 Floor Number of Building : 1</x:v>
      </x:c>
      <x:c r="J727" s="43" t="str">
        <x:v>자동추출·검토필요</x:v>
      </x:c>
    </x:row>
    <x:row r="728">
      <x:c r="A728" s="43" t="str">
        <x:v>L2023-00071-1</x:v>
      </x:c>
      <x:c r="B728" s="43" t="str">
        <x:v>연면적·면적</x:v>
      </x:c>
      <x:c r="C728" s="46" t="str">
        <x:v>㎡</x:v>
      </x:c>
      <x:c r="D728" s="46" t="str">
        <x:v>1.7 ㎡</x:v>
      </x:c>
      <x:c r="E728" s="46" t="str"/>
      <x:c r="F728" s="46" t="str"/>
      <x:c r="G728" s="46" t="str">
        <x:v>L2023-00071-1/붙임 3. 기타 입찰서류/[Section 4] Design Work Scope_╝│░Φ░·╛≈┴÷╜├╝¡(┐╡╣«)_Final.docx</x:v>
      </x:c>
      <x:c r="H728" s="43" t="str">
        <x:v>표 2 행 2</x:v>
      </x:c>
      <x:c r="I728" s="46" t="str">
        <x:v>Lecture &amp; Training Room | Lecture Room | 1.7㎡/person | 60 | 3 | 100 | 300 |</x:v>
      </x:c>
      <x:c r="J728" s="43" t="str">
        <x:v>자동추출·검토필요</x:v>
      </x:c>
    </x:row>
    <x:row r="729">
      <x:c r="A729" s="43" t="str">
        <x:v>L2023-00071-1</x:v>
      </x:c>
      <x:c r="B729" s="43" t="str">
        <x:v>연면적·면적</x:v>
      </x:c>
      <x:c r="C729" s="46" t="str">
        <x:v>㎡</x:v>
      </x:c>
      <x:c r="D729" s="46" t="str">
        <x:v>2.5 ㎡</x:v>
      </x:c>
      <x:c r="E729" s="46" t="str"/>
      <x:c r="F729" s="46" t="str"/>
      <x:c r="G729" s="46" t="str">
        <x:v>L2023-00071-1/붙임 3. 기타 입찰서류/[Section 4] Design Work Scope_╝│░Φ░·╛≈┴÷╜├╝¡(┐╡╣«)_Final.docx</x:v>
      </x:c>
      <x:c r="H729" s="43" t="str">
        <x:v>표 2 행 3</x:v>
      </x:c>
      <x:c r="I729" s="46" t="str">
        <x:v>Lecture &amp; Training Room | Practical training Room | 2.5㎡/person | 60 | 2 | 150 | 300 |</x:v>
      </x:c>
      <x:c r="J729" s="43" t="str">
        <x:v>자동추출·검토필요</x:v>
      </x:c>
    </x:row>
    <x:row r="730">
      <x:c r="A730" s="43" t="str">
        <x:v>L2023-00071-1</x:v>
      </x:c>
      <x:c r="B730" s="43" t="str">
        <x:v>연면적·면적</x:v>
      </x:c>
      <x:c r="C730" s="46" t="str">
        <x:v>㎡</x:v>
      </x:c>
      <x:c r="D730" s="46" t="str">
        <x:v>2.5 ㎡</x:v>
      </x:c>
      <x:c r="E730" s="46" t="str"/>
      <x:c r="F730" s="46" t="str"/>
      <x:c r="G730" s="46" t="str">
        <x:v>L2023-00071-1/붙임 3. 기타 입찰서류/[Section 4] Design Work Scope_╝│░Φ░·╛≈┴÷╜├╝¡(┐╡╣«)_Final.docx</x:v>
      </x:c>
      <x:c r="H730" s="43" t="str">
        <x:v>표 2 행 4</x:v>
      </x:c>
      <x:c r="I730" s="46" t="str">
        <x:v>Lecture &amp; Training Room | Co-working Room | 2.5㎡/person | 80 | 1 | 200 | 200 |</x:v>
      </x:c>
      <x:c r="J730" s="43" t="str">
        <x:v>자동추출·검토필요</x:v>
      </x:c>
    </x:row>
    <x:row r="731">
      <x:c r="A731" s="43" t="str">
        <x:v>L2023-00071-1</x:v>
      </x:c>
      <x:c r="B731" s="43" t="str">
        <x:v>연면적·면적</x:v>
      </x:c>
      <x:c r="C731" s="46" t="str">
        <x:v>㎡</x:v>
      </x:c>
      <x:c r="D731" s="46" t="str">
        <x:v>2.1 ㎡</x:v>
      </x:c>
      <x:c r="E731" s="46" t="str"/>
      <x:c r="F731" s="46" t="str"/>
      <x:c r="G731" s="46" t="str">
        <x:v>L2023-00071-1/붙임 3. 기타 입찰서류/[Section 4] Design Work Scope_╝│░Φ░·╛≈┴÷╜├╝¡(┐╡╣«)_Final.docx</x:v>
      </x:c>
      <x:c r="H731" s="43" t="str">
        <x:v>표 2 행 5</x:v>
      </x:c>
      <x:c r="I731" s="46" t="str">
        <x:v>Lecture &amp; Training Room | Learning Resource | 2.1㎡/person | 200 | 1 | 420 | 420 |</x:v>
      </x:c>
      <x:c r="J731" s="43" t="str">
        <x:v>자동추출·검토필요</x:v>
      </x:c>
    </x:row>
    <x:row r="732">
      <x:c r="A732" s="43" t="str">
        <x:v>L2023-00071-1</x:v>
      </x:c>
      <x:c r="B732" s="43" t="str">
        <x:v>연면적·면적</x:v>
      </x:c>
      <x:c r="C732" s="46" t="str">
        <x:v>㎡</x:v>
      </x:c>
      <x:c r="D732" s="46" t="str">
        <x:v>2.5 ㎡</x:v>
      </x:c>
      <x:c r="E732" s="46" t="str"/>
      <x:c r="F732" s="46" t="str"/>
      <x:c r="G732" s="46" t="str">
        <x:v>L2023-00071-1/붙임 3. 기타 입찰서류/[Section 4] Design Work Scope_╝│░Φ░·╛≈┴÷╜├╝¡(┐╡╣«)_Final.docx</x:v>
      </x:c>
      <x:c r="H732" s="43" t="str">
        <x:v>표 2 행 6</x:v>
      </x:c>
      <x:c r="I732" s="46" t="str">
        <x:v>Lecture &amp; Training Room | Training Room | 2.5㎡/person | 8 | 6 | 20 | 120 |</x:v>
      </x:c>
      <x:c r="J732" s="43" t="str">
        <x:v>자동추출·검토필요</x:v>
      </x:c>
    </x:row>
    <x:row r="733">
      <x:c r="A733" s="43" t="str">
        <x:v>L2023-00071-1</x:v>
      </x:c>
      <x:c r="B733" s="43" t="str">
        <x:v>연면적·면적</x:v>
      </x:c>
      <x:c r="C733" s="46" t="str">
        <x:v>㎡</x:v>
      </x:c>
      <x:c r="D733" s="46" t="str">
        <x:v>10.0 ㎡</x:v>
      </x:c>
      <x:c r="E733" s="46" t="str"/>
      <x:c r="F733" s="46" t="str"/>
      <x:c r="G733" s="46" t="str">
        <x:v>L2023-00071-1/붙임 3. 기타 입찰서류/[Section 4] Design Work Scope_╝│░Φ░·╛≈┴÷╜├╝¡(┐╡╣«)_Final.docx</x:v>
      </x:c>
      <x:c r="H733" s="43" t="str">
        <x:v>표 2 행 7</x:v>
      </x:c>
      <x:c r="I733" s="46" t="str">
        <x:v>Lecture &amp; Training Room | Monitoring Room | 10.0㎡/person | 20 | 1 | 200 | 200 |</x:v>
      </x:c>
      <x:c r="J733" s="43" t="str">
        <x:v>자동추출·검토필요</x:v>
      </x:c>
    </x:row>
    <x:row r="734">
      <x:c r="A734" s="43" t="str">
        <x:v>L2023-00071-1</x:v>
      </x:c>
      <x:c r="B734" s="43" t="str">
        <x:v>연면적·면적</x:v>
      </x:c>
      <x:c r="C734" s="46" t="str">
        <x:v>㎡</x:v>
      </x:c>
      <x:c r="D734" s="46" t="str">
        <x:v>4.0 ㎡</x:v>
      </x:c>
      <x:c r="E734" s="46" t="str"/>
      <x:c r="F734" s="46" t="str"/>
      <x:c r="G734" s="46" t="str">
        <x:v>L2023-00071-1/붙임 3. 기타 입찰서류/[Section 4] Design Work Scope_╝│░Φ░·╛≈┴÷╜├╝¡(┐╡╣«)_Final.docx</x:v>
      </x:c>
      <x:c r="H734" s="43" t="str">
        <x:v>표 2 행 8</x:v>
      </x:c>
      <x:c r="I734" s="46" t="str">
        <x:v>Lecture &amp; Training Room | Viewing Room | 4.0㎡/person | 60 | 1 | 300 | 300 |</x:v>
      </x:c>
      <x:c r="J734" s="43" t="str">
        <x:v>자동추출·검토필요</x:v>
      </x:c>
    </x:row>
    <x:row r="735">
      <x:c r="A735" s="43" t="str">
        <x:v>L2023-00071-1</x:v>
      </x:c>
      <x:c r="B735" s="43" t="str">
        <x:v>연면적·면적</x:v>
      </x:c>
      <x:c r="C735" s="46" t="str">
        <x:v>floor area</x:v>
      </x:c>
      <x:c r="D735" s="46" t="str">
        <x:v>2,400 m2</x:v>
      </x:c>
      <x:c r="E735" s="46" t="str"/>
      <x:c r="F735" s="46" t="str"/>
      <x:c r="G735" s="46" t="str">
        <x:v>L2023-00071-1/붙임 3. 기타 입찰서류/[Section 7] Contract Agreement_░Φ╛α╝¡(┐╡╣«)_Final.docx</x:v>
      </x:c>
      <x:c r="H735" s="43" t="str">
        <x:v>표 2 행 2</x:v>
      </x:c>
      <x:c r="I735" s="46" t="str">
        <x:v>Scope of Works | ▪ Design Services for “the Indonesia Cyber Security Vocational Center” ▪ Bidding support for selecting the contractors ▪ Construction Supervision Consultant during construction period ▪ Detailed deliverable and work scope as below; Work No1. Design Works Concept DWGs SD(Schematic DWGs) DD(Development DWGs) CD(Construction DWGs) As Built DWGs Work No2. Size of the Project Vocational Center Floor Area: 2,400 m2, a building of 3-story Work No3. Output DWGs(Soft Copy &amp; 5 sets Hard Copys) Specification Technical Survey Reports Soil Investigation Report Technical Calculation Reports BOQ(Be created with budget relation) Documents for Permission Documents for Bidding Documents for ECC (If needed) Other necessary document for the project Work No4. During Construction Design Change related works(create the DWGs and Review) Work No5. Others Related task for Permit as an Architect Related required task from the Client as an Architect</x:v>
      </x:c>
      <x:c r="J735" s="43" t="str">
        <x:v>자동추출·검토필요</x:v>
      </x:c>
    </x:row>
    <x:row r="736">
      <x:c r="A736" s="43" t="str">
        <x:v>L2023-00070-2</x:v>
      </x:c>
      <x:c r="B736" s="43" t="str">
        <x:v>연면적·면적</x:v>
      </x:c>
      <x:c r="C736" s="46" t="str">
        <x:v>대지면적, ㎡</x:v>
      </x:c>
      <x:c r="D736" s="46" t="str">
        <x:v>4,793.36 ㎡</x:v>
      </x:c>
      <x:c r="E736" s="46" t="str"/>
      <x:c r="F736" s="46" t="str"/>
      <x:c r="G736" s="46" t="str">
        <x:v>L2023-00070-2/붙임2. 재공고 입찰계획안_231029.hwp</x:v>
      </x:c>
      <x:c r="H736" s="43" t="str">
        <x:v>문단 119</x:v>
      </x:c>
      <x:c r="I736" s="46" t="str">
        <x:v>ㅇ 대지면적 : 4,793.36㎡</x:v>
      </x:c>
      <x:c r="J736" s="43" t="str">
        <x:v>자동추출·검토필요</x:v>
      </x:c>
    </x:row>
    <x:row r="737">
      <x:c r="A737" s="43" t="str">
        <x:v>L2023-00070-2</x:v>
      </x:c>
      <x:c r="B737" s="43" t="str">
        <x:v>연면적·면적</x:v>
      </x:c>
      <x:c r="C737" s="46" t="str">
        <x:v>연면적, ㎡</x:v>
      </x:c>
      <x:c r="D737" s="46" t="str">
        <x:v>1,600 ㎡</x:v>
      </x:c>
      <x:c r="E737" s="46" t="str"/>
      <x:c r="F737" s="46" t="str">
        <x:v>5%</x:v>
      </x:c>
      <x:c r="G737" s="46" t="str">
        <x:v>L2023-00070-2/붙임2. 재공고 입찰계획안_231029.hwp</x:v>
      </x:c>
      <x:c r="H737" s="43" t="str">
        <x:v>문단 120</x:v>
      </x:c>
      <x:c r="I737" s="46" t="str">
        <x:v>ㅇ 연면적 : 1,600㎡ (±5% 이내 조정 가능)</x:v>
      </x:c>
      <x:c r="J737" s="43" t="str">
        <x:v>자동추출·검토필요</x:v>
      </x:c>
    </x:row>
    <x:row r="738">
      <x:c r="A738" s="43" t="str">
        <x:v>L2023-00070-2</x:v>
      </x:c>
      <x:c r="B738" s="43" t="str">
        <x:v>연면적·면적</x:v>
      </x:c>
      <x:c r="C738" s="46" t="str">
        <x:v>㎡</x:v>
      </x:c>
      <x:c r="D738" s="46" t="str">
        <x:v>1,000 ㎡</x:v>
      </x:c>
      <x:c r="E738" s="46" t="str"/>
      <x:c r="F738" s="46" t="str"/>
      <x:c r="G738" s="46" t="str">
        <x:v>L2023-00070-2/붙임2. 재공고 입찰계획안_231029.hwp</x:v>
      </x:c>
      <x:c r="H738" s="43" t="str">
        <x:v>문단 262</x:v>
      </x:c>
      <x:c r="I738" s="46" t="str">
        <x:v>∙ 유사 설계용역 수행 실적 증빙(입찰공고일 기준 최근 5년간 1,000㎡이상 규모 사업수행 면적 합계)</x:v>
      </x:c>
      <x:c r="J738" s="43" t="str">
        <x:v>자동추출·검토필요</x:v>
      </x:c>
    </x:row>
    <x:row r="739">
      <x:c r="A739" s="43" t="str">
        <x:v>L2023-00070-2</x:v>
      </x:c>
      <x:c r="B739" s="43" t="str">
        <x:v>연면적·면적</x:v>
      </x:c>
      <x:c r="C739" s="46" t="str">
        <x:v>㎡</x:v>
      </x:c>
      <x:c r="D739" s="46" t="str">
        <x:v>1,000 ㎡</x:v>
      </x:c>
      <x:c r="E739" s="46" t="str"/>
      <x:c r="F739" s="46" t="str"/>
      <x:c r="G739" s="46" t="str">
        <x:v>L2023-00070-2/붙임2. 재공고 입찰계획안_231029.hwp</x:v>
      </x:c>
      <x:c r="H739" s="43" t="str">
        <x:v>문단 392</x:v>
      </x:c>
      <x:c r="I739" s="46" t="str">
        <x:v>입찰공고일 기준 최근 5년간 1,000㎡ 이상 규모 설계용역 수행 면적</x:v>
      </x:c>
      <x:c r="J739" s="43" t="str">
        <x:v>자동추출·검토필요</x:v>
      </x:c>
    </x:row>
    <x:row r="740">
      <x:c r="A740" s="43" t="str">
        <x:v>L2023-00070-2</x:v>
      </x:c>
      <x:c r="B740" s="43" t="str">
        <x:v>연면적·면적</x:v>
      </x:c>
      <x:c r="C740" s="46" t="str">
        <x:v>연면적, ㎡</x:v>
      </x:c>
      <x:c r="D740" s="46" t="str">
        <x:v>1000 ㎡</x:v>
      </x:c>
      <x:c r="E740" s="46" t="str"/>
      <x:c r="F740" s="46" t="str"/>
      <x:c r="G740" s="46" t="str">
        <x:v>L2023-00070-2/붙임2. 재공고 입찰계획안_231029.hwp</x:v>
      </x:c>
      <x:c r="H740" s="43" t="str">
        <x:v>문단 447</x:v>
      </x:c>
      <x:c r="I740" s="46" t="str">
        <x:v>최근 5년간 수행했던 1000㎡이상의 유사시설 설계용역 연면적 합계</x:v>
      </x:c>
      <x:c r="J740" s="43" t="str">
        <x:v>자동추출·검토필요</x:v>
      </x:c>
    </x:row>
    <x:row r="741">
      <x:c r="A741" s="43" t="str">
        <x:v>L2023-00070-2</x:v>
      </x:c>
      <x:c r="B741" s="43" t="str">
        <x:v>연면적·면적</x:v>
      </x:c>
      <x:c r="C741" s="46" t="str">
        <x:v>㎡</x:v>
      </x:c>
      <x:c r="D741" s="46" t="str">
        <x:v>2,500 ㎡</x:v>
      </x:c>
      <x:c r="E741" s="46" t="str"/>
      <x:c r="F741" s="46" t="str"/>
      <x:c r="G741" s="46" t="str">
        <x:v>L2023-00070-2/붙임2. 재공고 입찰계획안_231029.hwp</x:v>
      </x:c>
      <x:c r="H741" s="43" t="str">
        <x:v>문단 449</x:v>
      </x:c>
      <x:c r="I741" s="46" t="str">
        <x:v>2,500㎡≤G.A.</x:v>
      </x:c>
      <x:c r="J741" s="43" t="str">
        <x:v>자동추출·검토필요</x:v>
      </x:c>
    </x:row>
    <x:row r="742">
      <x:c r="A742" s="43" t="str">
        <x:v>L2023-00070-2</x:v>
      </x:c>
      <x:c r="B742" s="43" t="str">
        <x:v>연면적·면적</x:v>
      </x:c>
      <x:c r="C742" s="46" t="str">
        <x:v>㎡</x:v>
      </x:c>
      <x:c r="D742" s="46" t="str">
        <x:v>2,000 ㎡ | 2,500 ㎡</x:v>
      </x:c>
      <x:c r="E742" s="46" t="str"/>
      <x:c r="F742" s="46" t="str"/>
      <x:c r="G742" s="46" t="str">
        <x:v>L2023-00070-2/붙임2. 재공고 입찰계획안_231029.hwp</x:v>
      </x:c>
      <x:c r="H742" s="43" t="str">
        <x:v>문단 453</x:v>
      </x:c>
      <x:c r="I742" s="46" t="str">
        <x:v>2,000㎡≤G.A.&lt; 2,500㎡</x:v>
      </x:c>
      <x:c r="J742" s="43" t="str">
        <x:v>자동추출·검토필요</x:v>
      </x:c>
    </x:row>
    <x:row r="743">
      <x:c r="A743" s="43" t="str">
        <x:v>L2023-00070-2</x:v>
      </x:c>
      <x:c r="B743" s="43" t="str">
        <x:v>연면적·면적</x:v>
      </x:c>
      <x:c r="C743" s="46" t="str">
        <x:v>㎡</x:v>
      </x:c>
      <x:c r="D743" s="46" t="str">
        <x:v>1,500 ㎡ | 2,000 ㎡</x:v>
      </x:c>
      <x:c r="E743" s="46" t="str"/>
      <x:c r="F743" s="46" t="str"/>
      <x:c r="G743" s="46" t="str">
        <x:v>L2023-00070-2/붙임2. 재공고 입찰계획안_231029.hwp</x:v>
      </x:c>
      <x:c r="H743" s="43" t="str">
        <x:v>문단 455</x:v>
      </x:c>
      <x:c r="I743" s="46" t="str">
        <x:v>1,500㎡≤G.A.&lt; 2,000㎡</x:v>
      </x:c>
      <x:c r="J743" s="43" t="str">
        <x:v>자동추출·검토필요</x:v>
      </x:c>
    </x:row>
    <x:row r="744">
      <x:c r="A744" s="43" t="str">
        <x:v>L2023-00070-2</x:v>
      </x:c>
      <x:c r="B744" s="43" t="str">
        <x:v>연면적·면적</x:v>
      </x:c>
      <x:c r="C744" s="46" t="str">
        <x:v>㎡</x:v>
      </x:c>
      <x:c r="D744" s="46" t="str">
        <x:v>1000 ㎡ | 1,500 ㎡</x:v>
      </x:c>
      <x:c r="E744" s="46" t="str"/>
      <x:c r="F744" s="46" t="str"/>
      <x:c r="G744" s="46" t="str">
        <x:v>L2023-00070-2/붙임2. 재공고 입찰계획안_231029.hwp</x:v>
      </x:c>
      <x:c r="H744" s="43" t="str">
        <x:v>문단 457</x:v>
      </x:c>
      <x:c r="I744" s="46" t="str">
        <x:v>1000㎡≤G.A.&lt; 1,500㎡</x:v>
      </x:c>
      <x:c r="J744" s="43" t="str">
        <x:v>자동추출·검토필요</x:v>
      </x:c>
    </x:row>
    <x:row r="745">
      <x:c r="A745" s="43" t="str">
        <x:v>L2023-00070-2</x:v>
      </x:c>
      <x:c r="B745" s="43" t="str">
        <x:v>연면적·면적</x:v>
      </x:c>
      <x:c r="C745" s="46" t="str">
        <x:v>㎡</x:v>
      </x:c>
      <x:c r="D745" s="46" t="str">
        <x:v>1000 ㎡</x:v>
      </x:c>
      <x:c r="E745" s="46" t="str"/>
      <x:c r="F745" s="46" t="str"/>
      <x:c r="G745" s="46" t="str">
        <x:v>L2023-00070-2/붙임2. 재공고 입찰계획안_231029.hwp</x:v>
      </x:c>
      <x:c r="H745" s="43" t="str">
        <x:v>문단 459</x:v>
      </x:c>
      <x:c r="I745" s="46" t="str">
        <x:v>G.A.&lt; 1000㎡</x:v>
      </x:c>
      <x:c r="J745" s="43" t="str">
        <x:v>자동추출·검토필요</x:v>
      </x:c>
    </x:row>
    <x:row r="746">
      <x:c r="A746" s="43" t="str">
        <x:v>L2023-00070-2</x:v>
      </x:c>
      <x:c r="B746" s="43" t="str">
        <x:v>연면적·면적</x:v>
      </x:c>
      <x:c r="C746" s="46" t="str">
        <x:v>floor area</x:v>
      </x:c>
      <x:c r="D746" s="46" t="str">
        <x:v>1,600 m2</x:v>
      </x:c>
      <x:c r="E746" s="46" t="str"/>
      <x:c r="F746" s="46" t="str">
        <x:v>5%</x:v>
      </x:c>
      <x:c r="G746" s="46" t="str">
        <x:v>L2023-00070-2/붙임3. (입찰서류-영문) LDRL-설계입찰_1029/2. (└╘┬√╝¡╖∙-┐╡╣«) LDRL-╝│░Φ└╘┬√_1029/2. Bid Data Sheet (BDS)_LDRL_╝÷┴ñ_1029.docx</x:v>
      </x:c>
      <x:c r="H746" s="43" t="str">
        <x:v>문단 54</x:v>
      </x:c>
      <x:c r="I746" s="46" t="str">
        <x:v>Gross floor area: 1,600m2 (GFA can be adjusted within the range of ±5%)</x:v>
      </x:c>
      <x:c r="J746" s="43" t="str">
        <x:v>자동추출·검토필요</x:v>
      </x:c>
    </x:row>
    <x:row r="747">
      <x:c r="A747" s="43" t="str">
        <x:v>L2023-00070-2</x:v>
      </x:c>
      <x:c r="B747" s="43" t="str">
        <x:v>연면적·면적</x:v>
      </x:c>
      <x:c r="C747" s="46" t="str">
        <x:v>㎡</x:v>
      </x:c>
      <x:c r="D747" s="46" t="str">
        <x:v>1,000 ㎡</x:v>
      </x:c>
      <x:c r="E747" s="46" t="str"/>
      <x:c r="F747" s="46" t="str"/>
      <x:c r="G747" s="46" t="str">
        <x:v>L2023-00070-2/붙임3. (입찰서류-영문) LDRL-설계입찰_1029/2. (└╘┬√╝¡╖∙-┐╡╣«) LDRL-╝│░Φ└╘┬√_1029/2. Bid Data Sheet (BDS)_LDRL_╝÷┴ñ_1029.docx</x:v>
      </x:c>
      <x:c r="H747" s="43" t="str">
        <x:v>표 3 행 7</x:v>
      </x:c>
      <x:c r="I747" s="46" t="str">
        <x:v>6 | 6-1 Technical Proposal I (Quantitative) | Financial status with auditor’s report (Last 3 years) issued by CPA (Certified Public Accountant) (Fiscal year: 2020 ~ 2022) Certificate of similar design experience Evidence of performance of similar design services (sum of project area of 1,000㎡ or larger for the last 5 years as of the bidding announcement date) A performance certificate issued by the client or an official letter from the client or a final confirmation of completion and a copy of the contract (notarized) * Similar facilities: hospitals, research institutes and health and wellness centers, business facilities, education and research facilities. The lowest score will be given if not submitting related documents</x:v>
      </x:c>
      <x:c r="J747" s="43" t="str">
        <x:v>자동추출·검토필요</x:v>
      </x:c>
    </x:row>
    <x:row r="748">
      <x:c r="A748" s="43" t="str">
        <x:v>L2023-00070-2</x:v>
      </x:c>
      <x:c r="B748" s="43" t="str">
        <x:v>연면적·면적</x:v>
      </x:c>
      <x:c r="C748" s="46" t="str">
        <x:v>㎡</x:v>
      </x:c>
      <x:c r="D748" s="46" t="str">
        <x:v>1,000 ㎡</x:v>
      </x:c>
      <x:c r="E748" s="46" t="str"/>
      <x:c r="F748" s="46" t="str"/>
      <x:c r="G748" s="46" t="str">
        <x:v>L2023-00070-2/붙임3. (입찰서류-영문) LDRL-설계입찰_1029/2. (└╘┬√╝¡╖∙-┐╡╣«) LDRL-╝│░Φ└╘┬√_1029/2. Bid Data Sheet (BDS)_LDRL_╝÷┴ñ_1029.docx</x:v>
      </x:c>
      <x:c r="H748" s="43" t="str">
        <x:v>표 5 행 4</x:v>
      </x:c>
      <x:c r="I748" s="46" t="str">
        <x:v>Experience with Similar Projects | Number of design project over 1,000 ㎡ for the last 5 years upon bid announcement date | 6 | 10</x:v>
      </x:c>
      <x:c r="J748" s="43" t="str">
        <x:v>자동추출·검토필요</x:v>
      </x:c>
    </x:row>
    <x:row r="749">
      <x:c r="A749" s="43" t="str">
        <x:v>L2023-00070-2</x:v>
      </x:c>
      <x:c r="B749" s="43" t="str">
        <x:v>연면적·면적</x:v>
      </x:c>
      <x:c r="C749" s="46" t="str">
        <x:v>floor area, ㎡</x:v>
      </x:c>
      <x:c r="D749" s="46" t="str">
        <x:v>1000 ㎡ | 2,500 ㎡</x:v>
      </x:c>
      <x:c r="E749" s="46" t="str"/>
      <x:c r="F749" s="46" t="str"/>
      <x:c r="G749" s="46" t="str">
        <x:v>L2023-00070-2/붙임3. (입찰서류-영문) LDRL-설계입찰_1029/2. (└╘┬√╝¡╖∙-┐╡╣«) LDRL-╝│░Φ└╘┬√_1029/2. Bid Data Sheet (BDS)_LDRL_╝÷┴ñ_1029.docx</x:v>
      </x:c>
      <x:c r="H749" s="43" t="str">
        <x:v>표 7 행 2</x:v>
      </x:c>
      <x:c r="I749" s="46" t="str">
        <x:v>Project Experience | As of the bid announcement date Total floor area of design services for medical facilities and similar facilities of 1000㎡ or more over the last 5 years (Gross floor Area_G.A.) | 2,500㎡≤G.A. | 6.0 | (Aug. 2018 ~ Jul. 2023)</x:v>
      </x:c>
      <x:c r="J749" s="43" t="str">
        <x:v>자동추출·검토필요</x:v>
      </x:c>
    </x:row>
    <x:row r="750">
      <x:c r="A750" s="43" t="str">
        <x:v>L2023-00070-2</x:v>
      </x:c>
      <x:c r="B750" s="43" t="str">
        <x:v>연면적·면적</x:v>
      </x:c>
      <x:c r="C750" s="46" t="str">
        <x:v>floor area, ㎡</x:v>
      </x:c>
      <x:c r="D750" s="46" t="str">
        <x:v>1000 ㎡ | 2,000 ㎡ | 2,500 ㎡</x:v>
      </x:c>
      <x:c r="E750" s="46" t="str"/>
      <x:c r="F750" s="46" t="str"/>
      <x:c r="G750" s="46" t="str">
        <x:v>L2023-00070-2/붙임3. (입찰서류-영문) LDRL-설계입찰_1029/2. (└╘┬√╝¡╖∙-┐╡╣«) LDRL-╝│░Φ└╘┬√_1029/2. Bid Data Sheet (BDS)_LDRL_╝÷┴ñ_1029.docx</x:v>
      </x:c>
      <x:c r="H750" s="43" t="str">
        <x:v>표 7 행 3</x:v>
      </x:c>
      <x:c r="I750" s="46" t="str">
        <x:v>Project Experience | As of the bid announcement date Total floor area of design services for medical facilities and similar facilities of 1000㎡ or more over the last 5 years (Gross floor Area_G.A.) | 2,000㎡≤G.A.&lt; 2,500㎡ | 5.5 | (Aug. 2018 ~ Jul. 2023)</x:v>
      </x:c>
      <x:c r="J750" s="43" t="str">
        <x:v>자동추출·검토필요</x:v>
      </x:c>
    </x:row>
    <x:row r="751">
      <x:c r="A751" s="43" t="str">
        <x:v>L2023-00070-2</x:v>
      </x:c>
      <x:c r="B751" s="43" t="str">
        <x:v>연면적·면적</x:v>
      </x:c>
      <x:c r="C751" s="46" t="str">
        <x:v>floor area, ㎡</x:v>
      </x:c>
      <x:c r="D751" s="46" t="str">
        <x:v>1000 ㎡ | 1,500 ㎡ | 2,000 ㎡</x:v>
      </x:c>
      <x:c r="E751" s="46" t="str"/>
      <x:c r="F751" s="46" t="str"/>
      <x:c r="G751" s="46" t="str">
        <x:v>L2023-00070-2/붙임3. (입찰서류-영문) LDRL-설계입찰_1029/2. (└╘┬√╝¡╖∙-┐╡╣«) LDRL-╝│░Φ└╘┬√_1029/2. Bid Data Sheet (BDS)_LDRL_╝÷┴ñ_1029.docx</x:v>
      </x:c>
      <x:c r="H751" s="43" t="str">
        <x:v>표 7 행 4</x:v>
      </x:c>
      <x:c r="I751" s="46" t="str">
        <x:v>Project Experience | As of the bid announcement date Total floor area of design services for medical facilities and similar facilities of 1000㎡ or more over the last 5 years (Gross floor Area_G.A.) | 1,500㎡≤G.A.&lt; 2,000㎡ | 5.0 | (Aug. 2018 ~ Jul. 2023)</x:v>
      </x:c>
      <x:c r="J751" s="43" t="str">
        <x:v>자동추출·검토필요</x:v>
      </x:c>
    </x:row>
    <x:row r="752">
      <x:c r="A752" s="43" t="str">
        <x:v>L2023-00070-2</x:v>
      </x:c>
      <x:c r="B752" s="43" t="str">
        <x:v>연면적·면적</x:v>
      </x:c>
      <x:c r="C752" s="46" t="str">
        <x:v>floor area, ㎡</x:v>
      </x:c>
      <x:c r="D752" s="46" t="str">
        <x:v>1000 ㎡ | 1000 ㎡ | 1,500 ㎡</x:v>
      </x:c>
      <x:c r="E752" s="46" t="str"/>
      <x:c r="F752" s="46" t="str"/>
      <x:c r="G752" s="46" t="str">
        <x:v>L2023-00070-2/붙임3. (입찰서류-영문) LDRL-설계입찰_1029/2. (└╘┬√╝¡╖∙-┐╡╣«) LDRL-╝│░Φ└╘┬√_1029/2. Bid Data Sheet (BDS)_LDRL_╝÷┴ñ_1029.docx</x:v>
      </x:c>
      <x:c r="H752" s="43" t="str">
        <x:v>표 7 행 5</x:v>
      </x:c>
      <x:c r="I752" s="46" t="str">
        <x:v>Project Experience | As of the bid announcement date Total floor area of design services for medical facilities and similar facilities of 1000㎡ or more over the last 5 years (Gross floor Area_G.A.) | 1000㎡≤G.A.&lt; 1,500㎡ | 4.5 | (Aug. 2018 ~ Jul. 2023)</x:v>
      </x:c>
      <x:c r="J752" s="43" t="str">
        <x:v>자동추출·검토필요</x:v>
      </x:c>
    </x:row>
    <x:row r="753">
      <x:c r="A753" s="43" t="str">
        <x:v>L2023-00070-2</x:v>
      </x:c>
      <x:c r="B753" s="43" t="str">
        <x:v>연면적·면적</x:v>
      </x:c>
      <x:c r="C753" s="46" t="str">
        <x:v>floor area, ㎡</x:v>
      </x:c>
      <x:c r="D753" s="46" t="str">
        <x:v>1000 ㎡ | 1000 ㎡</x:v>
      </x:c>
      <x:c r="E753" s="46" t="str"/>
      <x:c r="F753" s="46" t="str"/>
      <x:c r="G753" s="46" t="str">
        <x:v>L2023-00070-2/붙임3. (입찰서류-영문) LDRL-설계입찰_1029/2. (└╘┬√╝¡╖∙-┐╡╣«) LDRL-╝│░Φ└╘┬√_1029/2. Bid Data Sheet (BDS)_LDRL_╝÷┴ñ_1029.docx</x:v>
      </x:c>
      <x:c r="H753" s="43" t="str">
        <x:v>표 7 행 6</x:v>
      </x:c>
      <x:c r="I753" s="46" t="str">
        <x:v>Project Experience | As of the bid announcement date Total floor area of design services for medical facilities and similar facilities of 1000㎡ or more over the last 5 years (Gross floor Area_G.A.) | G.A.&lt; 1000㎡ | 4.2 | (Aug. 2018 ~ Jul. 2023)</x:v>
      </x:c>
      <x:c r="J753" s="43" t="str">
        <x:v>자동추출·검토필요</x:v>
      </x:c>
    </x:row>
    <x:row r="754">
      <x:c r="A754" s="43" t="str">
        <x:v>L2023-00070-2</x:v>
      </x:c>
      <x:c r="B754" s="43" t="str">
        <x:v>연면적·면적</x:v>
      </x:c>
      <x:c r="C754" s="46" t="str">
        <x:v>㎡</x:v>
      </x:c>
      <x:c r="D754" s="46" t="str">
        <x:v>4,793.36 ㎡</x:v>
      </x:c>
      <x:c r="E754" s="46" t="str"/>
      <x:c r="F754" s="46" t="str"/>
      <x:c r="G754" s="46" t="str">
        <x:v>L2023-00070-2/붙임3. (입찰서류-영문) LDRL-설계입찰_1029/2. (└╘┬√╝¡╖∙-┐╡╣«) LDRL-╝│░Φ└╘┬√_1029/4. Terms of Reference (TOR)_LDRL_╝÷┴ñ.docx</x:v>
      </x:c>
      <x:c r="H754" s="43" t="str">
        <x:v>문단 41</x:v>
      </x:c>
      <x:c r="I754" s="46" t="str">
        <x:v>- Site area: 4,793.36㎡</x:v>
      </x:c>
      <x:c r="J754" s="43" t="str">
        <x:v>자동추출·검토필요</x:v>
      </x:c>
    </x:row>
    <x:row r="755">
      <x:c r="A755" s="43" t="str">
        <x:v>L2023-00070-2</x:v>
      </x:c>
      <x:c r="B755" s="43" t="str">
        <x:v>연면적·면적</x:v>
      </x:c>
      <x:c r="C755" s="46" t="str">
        <x:v>floor area, ㎡</x:v>
      </x:c>
      <x:c r="D755" s="46" t="str">
        <x:v>1,600 ㎡</x:v>
      </x:c>
      <x:c r="E755" s="46" t="str"/>
      <x:c r="F755" s="46" t="str"/>
      <x:c r="G755" s="46" t="str">
        <x:v>L2023-00070-2/붙임3. (입찰서류-영문) LDRL-설계입찰_1029/2. (└╘┬√╝¡╖∙-┐╡╣«) LDRL-╝│░Φ└╘┬√_1029/4. Terms of Reference (TOR)_LDRL_╝÷┴ñ.docx</x:v>
      </x:c>
      <x:c r="H755" s="43" t="str">
        <x:v>문단 42</x:v>
      </x:c>
      <x:c r="I755" s="46" t="str">
        <x:v>- Gross Floor Area: 1,600㎡</x:v>
      </x:c>
      <x:c r="J755" s="43" t="str">
        <x:v>자동추출·검토필요</x:v>
      </x:c>
    </x:row>
    <x:row r="756">
      <x:c r="A756" s="43" t="str">
        <x:v>L2023-00070-2</x:v>
      </x:c>
      <x:c r="B756" s="43" t="str">
        <x:v>연면적·면적</x:v>
      </x:c>
      <x:c r="C756" s="46" t="str">
        <x:v>m²</x:v>
      </x:c>
      <x:c r="D756" s="46" t="str">
        <x:v>4,876.00 m²</x:v>
      </x:c>
      <x:c r="E756" s="46" t="str"/>
      <x:c r="F756" s="46" t="str"/>
      <x:c r="G756" s="46" t="str">
        <x:v>L2023-00070-2/붙임3. (입찰서류-영문) LDRL-설계입찰_1029/2. (└╘┬√╝¡╖∙-┐╡╣«) LDRL-╝│░Φ└╘┬√_1029/4. Terms of Reference (TOR)_LDRL_╝÷┴ñ.docx</x:v>
      </x:c>
      <x:c r="H756" s="43" t="str">
        <x:v>표 4 행 2</x:v>
      </x:c>
      <x:c r="I756" s="46" t="str">
        <x:v>Surface according to Testimonial | 4,876.00 m²</x:v>
      </x:c>
      <x:c r="J756" s="43" t="str">
        <x:v>자동추출·검토필요</x:v>
      </x:c>
    </x:row>
    <x:row r="757">
      <x:c r="A757" s="43" t="str">
        <x:v>L2023-00070-2</x:v>
      </x:c>
      <x:c r="B757" s="43" t="str">
        <x:v>연면적·면적</x:v>
      </x:c>
      <x:c r="C757" s="46" t="str">
        <x:v>m²</x:v>
      </x:c>
      <x:c r="D757" s="46" t="str">
        <x:v>4,793.36 m²</x:v>
      </x:c>
      <x:c r="E757" s="46" t="str"/>
      <x:c r="F757" s="46" t="str"/>
      <x:c r="G757" s="46" t="str">
        <x:v>L2023-00070-2/붙임3. (입찰서류-영문) LDRL-설계입찰_1029/2. (└╘┬√╝¡╖∙-┐╡╣«) LDRL-╝│░Φ└╘┬√_1029/4. Terms of Reference (TOR)_LDRL_╝÷┴ñ.docx</x:v>
      </x:c>
      <x:c r="H757" s="43" t="str">
        <x:v>표 4 행 3</x:v>
      </x:c>
      <x:c r="I757" s="46" t="str">
        <x:v>Land Area | 4,793.36 m²</x:v>
      </x:c>
      <x:c r="J757" s="43" t="str">
        <x:v>자동추출·검토필요</x:v>
      </x:c>
    </x:row>
    <x:row r="758">
      <x:c r="A758" s="43" t="str">
        <x:v>L2023-00070-1</x:v>
      </x:c>
      <x:c r="B758" s="43" t="str">
        <x:v>연면적·면적</x:v>
      </x:c>
      <x:c r="C758" s="46" t="str">
        <x:v>대지면적, ㎡</x:v>
      </x:c>
      <x:c r="D758" s="46" t="str">
        <x:v>4,793.36 ㎡</x:v>
      </x:c>
      <x:c r="E758" s="46" t="str"/>
      <x:c r="F758" s="46" t="str"/>
      <x:c r="G758" s="46" t="str">
        <x:v>L2023-00070-1/1-1. (본부확인본) (입찰설명서) 라파즈주임상병리검사실 설계용역 입찰설명서.hwp</x:v>
      </x:c>
      <x:c r="H758" s="43" t="str">
        <x:v>문단 119</x:v>
      </x:c>
      <x:c r="I758" s="46" t="str">
        <x:v>ㅇ 대지면적 : 4,793.36㎡</x:v>
      </x:c>
      <x:c r="J758" s="43" t="str">
        <x:v>자동추출·검토필요</x:v>
      </x:c>
    </x:row>
    <x:row r="759">
      <x:c r="A759" s="43" t="str">
        <x:v>L2023-00070-1</x:v>
      </x:c>
      <x:c r="B759" s="43" t="str">
        <x:v>연면적·면적</x:v>
      </x:c>
      <x:c r="C759" s="46" t="str">
        <x:v>연면적, ㎡</x:v>
      </x:c>
      <x:c r="D759" s="46" t="str">
        <x:v>1,600 ㎡</x:v>
      </x:c>
      <x:c r="E759" s="46" t="str"/>
      <x:c r="F759" s="46" t="str">
        <x:v>5%</x:v>
      </x:c>
      <x:c r="G759" s="46" t="str">
        <x:v>L2023-00070-1/1-1. (본부확인본) (입찰설명서) 라파즈주임상병리검사실 설계용역 입찰설명서.hwp</x:v>
      </x:c>
      <x:c r="H759" s="43" t="str">
        <x:v>문단 120</x:v>
      </x:c>
      <x:c r="I759" s="46" t="str">
        <x:v>ㅇ 연면적 : 1,600㎡ (±5% 이내 조정 가능)</x:v>
      </x:c>
      <x:c r="J759" s="43" t="str">
        <x:v>자동추출·검토필요</x:v>
      </x:c>
    </x:row>
    <x:row r="760">
      <x:c r="A760" s="43" t="str">
        <x:v>L2023-00070-1</x:v>
      </x:c>
      <x:c r="B760" s="43" t="str">
        <x:v>연면적·면적</x:v>
      </x:c>
      <x:c r="C760" s="46" t="str">
        <x:v>㎡</x:v>
      </x:c>
      <x:c r="D760" s="46" t="str">
        <x:v>1,000 ㎡</x:v>
      </x:c>
      <x:c r="E760" s="46" t="str"/>
      <x:c r="F760" s="46" t="str"/>
      <x:c r="G760" s="46" t="str">
        <x:v>L2023-00070-1/1-1. (본부확인본) (입찰설명서) 라파즈주임상병리검사실 설계용역 입찰설명서.hwp</x:v>
      </x:c>
      <x:c r="H760" s="43" t="str">
        <x:v>문단 270</x:v>
      </x:c>
      <x:c r="I760" s="46" t="str">
        <x:v>∙ 유사 설계용역 수행 실적 증빙(입찰공고일 기준 최근 5년간 1,000㎡이상 규모 사업수행 면적 합계)</x:v>
      </x:c>
      <x:c r="J760" s="43" t="str">
        <x:v>자동추출·검토필요</x:v>
      </x:c>
    </x:row>
    <x:row r="761">
      <x:c r="A761" s="43" t="str">
        <x:v>L2023-00070-1</x:v>
      </x:c>
      <x:c r="B761" s="43" t="str">
        <x:v>연면적·면적</x:v>
      </x:c>
      <x:c r="C761" s="46" t="str">
        <x:v>㎡</x:v>
      </x:c>
      <x:c r="D761" s="46" t="str">
        <x:v>1,000 ㎡</x:v>
      </x:c>
      <x:c r="E761" s="46" t="str"/>
      <x:c r="F761" s="46" t="str"/>
      <x:c r="G761" s="46" t="str">
        <x:v>L2023-00070-1/1-1. (본부확인본) (입찰설명서) 라파즈주임상병리검사실 설계용역 입찰설명서.hwp</x:v>
      </x:c>
      <x:c r="H761" s="43" t="str">
        <x:v>문단 400</x:v>
      </x:c>
      <x:c r="I761" s="46" t="str">
        <x:v>입찰공고일 기준 최근 5년간 1,000㎡ 이상 규모 설계용역 수행 면적</x:v>
      </x:c>
      <x:c r="J761" s="43" t="str">
        <x:v>자동추출·검토필요</x:v>
      </x:c>
    </x:row>
    <x:row r="762">
      <x:c r="A762" s="43" t="str">
        <x:v>L2023-00070-1</x:v>
      </x:c>
      <x:c r="B762" s="43" t="str">
        <x:v>연면적·면적</x:v>
      </x:c>
      <x:c r="C762" s="46" t="str">
        <x:v>연면적, ㎡</x:v>
      </x:c>
      <x:c r="D762" s="46" t="str">
        <x:v>1000 ㎡</x:v>
      </x:c>
      <x:c r="E762" s="46" t="str"/>
      <x:c r="F762" s="46" t="str"/>
      <x:c r="G762" s="46" t="str">
        <x:v>L2023-00070-1/1-1. (본부확인본) (입찰설명서) 라파즈주임상병리검사실 설계용역 입찰설명서.hwp</x:v>
      </x:c>
      <x:c r="H762" s="43" t="str">
        <x:v>문단 455</x:v>
      </x:c>
      <x:c r="I762" s="46" t="str">
        <x:v>최근 5년간 수행했던 浥%！ÿ 1000㎡이상의 유사시설 설계용역 연면적 합계</x:v>
      </x:c>
      <x:c r="J762" s="43" t="str">
        <x:v>자동추출·검토필요</x:v>
      </x:c>
    </x:row>
    <x:row r="763">
      <x:c r="A763" s="43" t="str">
        <x:v>L2023-00070-1</x:v>
      </x:c>
      <x:c r="B763" s="43" t="str">
        <x:v>연면적·면적</x:v>
      </x:c>
      <x:c r="C763" s="46" t="str">
        <x:v>㎡</x:v>
      </x:c>
      <x:c r="D763" s="46" t="str">
        <x:v>2,500 ㎡</x:v>
      </x:c>
      <x:c r="E763" s="46" t="str"/>
      <x:c r="F763" s="46" t="str"/>
      <x:c r="G763" s="46" t="str">
        <x:v>L2023-00070-1/1-1. (본부확인본) (입찰설명서) 라파즈주임상병리검사실 설계용역 입찰설명서.hwp</x:v>
      </x:c>
      <x:c r="H763" s="43" t="str">
        <x:v>문단 457</x:v>
      </x:c>
      <x:c r="I763" s="46" t="str">
        <x:v>2,500㎡≤G.A.</x:v>
      </x:c>
      <x:c r="J763" s="43" t="str">
        <x:v>자동추출·검토필요</x:v>
      </x:c>
    </x:row>
    <x:row r="764">
      <x:c r="A764" s="43" t="str">
        <x:v>L2023-00070-1</x:v>
      </x:c>
      <x:c r="B764" s="43" t="str">
        <x:v>연면적·면적</x:v>
      </x:c>
      <x:c r="C764" s="46" t="str">
        <x:v>㎡</x:v>
      </x:c>
      <x:c r="D764" s="46" t="str">
        <x:v>2,000 ㎡ | 2,500 ㎡</x:v>
      </x:c>
      <x:c r="E764" s="46" t="str"/>
      <x:c r="F764" s="46" t="str"/>
      <x:c r="G764" s="46" t="str">
        <x:v>L2023-00070-1/1-1. (본부확인본) (입찰설명서) 라파즈주임상병리검사실 설계용역 입찰설명서.hwp</x:v>
      </x:c>
      <x:c r="H764" s="43" t="str">
        <x:v>문단 461</x:v>
      </x:c>
      <x:c r="I764" s="46" t="str">
        <x:v>2,000㎡≤G.A.&lt; 2,500㎡</x:v>
      </x:c>
      <x:c r="J764" s="43" t="str">
        <x:v>자동추출·검토필요</x:v>
      </x:c>
    </x:row>
    <x:row r="765">
      <x:c r="A765" s="43" t="str">
        <x:v>L2023-00070-1</x:v>
      </x:c>
      <x:c r="B765" s="43" t="str">
        <x:v>연면적·면적</x:v>
      </x:c>
      <x:c r="C765" s="46" t="str">
        <x:v>㎡</x:v>
      </x:c>
      <x:c r="D765" s="46" t="str">
        <x:v>1,500 ㎡ | 2,000 ㎡</x:v>
      </x:c>
      <x:c r="E765" s="46" t="str"/>
      <x:c r="F765" s="46" t="str"/>
      <x:c r="G765" s="46" t="str">
        <x:v>L2023-00070-1/1-1. (본부확인본) (입찰설명서) 라파즈주임상병리검사실 설계용역 입찰설명서.hwp</x:v>
      </x:c>
      <x:c r="H765" s="43" t="str">
        <x:v>문단 463</x:v>
      </x:c>
      <x:c r="I765" s="46" t="str">
        <x:v>1,500㎡≤G.A.&lt; 2,000㎡</x:v>
      </x:c>
      <x:c r="J765" s="43" t="str">
        <x:v>자동추출·검토필요</x:v>
      </x:c>
    </x:row>
    <x:row r="766">
      <x:c r="A766" s="43" t="str">
        <x:v>L2023-00070-1</x:v>
      </x:c>
      <x:c r="B766" s="43" t="str">
        <x:v>연면적·면적</x:v>
      </x:c>
      <x:c r="C766" s="46" t="str">
        <x:v>㎡</x:v>
      </x:c>
      <x:c r="D766" s="46" t="str">
        <x:v>1000 ㎡ | 1,500 ㎡</x:v>
      </x:c>
      <x:c r="E766" s="46" t="str"/>
      <x:c r="F766" s="46" t="str"/>
      <x:c r="G766" s="46" t="str">
        <x:v>L2023-00070-1/1-1. (본부확인본) (입찰설명서) 라파즈주임상병리검사실 설계용역 입찰설명서.hwp</x:v>
      </x:c>
      <x:c r="H766" s="43" t="str">
        <x:v>문단 465</x:v>
      </x:c>
      <x:c r="I766" s="46" t="str">
        <x:v>1000㎡≤G.A.&lt; 1,500㎡</x:v>
      </x:c>
      <x:c r="J766" s="43" t="str">
        <x:v>자동추출·검토필요</x:v>
      </x:c>
    </x:row>
    <x:row r="767">
      <x:c r="A767" s="43" t="str">
        <x:v>L2023-00070-1</x:v>
      </x:c>
      <x:c r="B767" s="43" t="str">
        <x:v>연면적·면적</x:v>
      </x:c>
      <x:c r="C767" s="46" t="str">
        <x:v>㎡</x:v>
      </x:c>
      <x:c r="D767" s="46" t="str">
        <x:v>1000 ㎡</x:v>
      </x:c>
      <x:c r="E767" s="46" t="str"/>
      <x:c r="F767" s="46" t="str"/>
      <x:c r="G767" s="46" t="str">
        <x:v>L2023-00070-1/1-1. (본부확인본) (입찰설명서) 라파즈주임상병리검사실 설계용역 입찰설명서.hwp</x:v>
      </x:c>
      <x:c r="H767" s="43" t="str">
        <x:v>문단 467</x:v>
      </x:c>
      <x:c r="I767" s="46" t="str">
        <x:v>G.A.&lt; 1000㎡</x:v>
      </x:c>
      <x:c r="J767" s="43" t="str">
        <x:v>자동추출·검토필요</x:v>
      </x:c>
    </x:row>
    <x:row r="768">
      <x:c r="A768" s="43" t="str">
        <x:v>L2023-00070-1</x:v>
      </x:c>
      <x:c r="B768" s="43" t="str">
        <x:v>연면적·면적</x:v>
      </x:c>
      <x:c r="C768" s="46" t="str">
        <x:v>대지면적, ㎡</x:v>
      </x:c>
      <x:c r="D768" s="46" t="str">
        <x:v>4,793.36 ㎡</x:v>
      </x:c>
      <x:c r="E768" s="46" t="str"/>
      <x:c r="F768" s="46" t="str"/>
      <x:c r="G768" s="46" t="str">
        <x:v>L2023-00070-1/1-2. (클린버전) (입찰설명서) 라파즈주임상병리검사실 설계용역 입찰설명서.hwp</x:v>
      </x:c>
      <x:c r="H768" s="43" t="str">
        <x:v>문단 119</x:v>
      </x:c>
      <x:c r="I768" s="46" t="str">
        <x:v>ㅇ 대지면적 : 4,793.36㎡</x:v>
      </x:c>
      <x:c r="J768" s="43" t="str">
        <x:v>자동추출·검토필요</x:v>
      </x:c>
    </x:row>
    <x:row r="769">
      <x:c r="A769" s="43" t="str">
        <x:v>L2023-00070-1</x:v>
      </x:c>
      <x:c r="B769" s="43" t="str">
        <x:v>연면적·면적</x:v>
      </x:c>
      <x:c r="C769" s="46" t="str">
        <x:v>연면적, ㎡</x:v>
      </x:c>
      <x:c r="D769" s="46" t="str">
        <x:v>1,600 ㎡</x:v>
      </x:c>
      <x:c r="E769" s="46" t="str"/>
      <x:c r="F769" s="46" t="str">
        <x:v>5%</x:v>
      </x:c>
      <x:c r="G769" s="46" t="str">
        <x:v>L2023-00070-1/1-2. (클린버전) (입찰설명서) 라파즈주임상병리검사실 설계용역 입찰설명서.hwp</x:v>
      </x:c>
      <x:c r="H769" s="43" t="str">
        <x:v>문단 120</x:v>
      </x:c>
      <x:c r="I769" s="46" t="str">
        <x:v>ㅇ 연면적 : 1,600㎡ (±5% 이내 조정 가능)</x:v>
      </x:c>
      <x:c r="J769" s="43" t="str">
        <x:v>자동추출·검토필요</x:v>
      </x:c>
    </x:row>
    <x:row r="770">
      <x:c r="A770" s="43" t="str">
        <x:v>L2023-00070-1</x:v>
      </x:c>
      <x:c r="B770" s="43" t="str">
        <x:v>연면적·면적</x:v>
      </x:c>
      <x:c r="C770" s="46" t="str">
        <x:v>㎡</x:v>
      </x:c>
      <x:c r="D770" s="46" t="str">
        <x:v>1,000 ㎡</x:v>
      </x:c>
      <x:c r="E770" s="46" t="str"/>
      <x:c r="F770" s="46" t="str"/>
      <x:c r="G770" s="46" t="str">
        <x:v>L2023-00070-1/1-2. (클린버전) (입찰설명서) 라파즈주임상병리검사실 설계용역 입찰설명서.hwp</x:v>
      </x:c>
      <x:c r="H770" s="43" t="str">
        <x:v>문단 270</x:v>
      </x:c>
      <x:c r="I770" s="46" t="str">
        <x:v>∙ 유사 설계용역 수행 실적 증빙(입찰공고일 기준 최근 5년간 1,000㎡이상 규모 사업수행 면적 합계)</x:v>
      </x:c>
      <x:c r="J770" s="43" t="str">
        <x:v>자동추출·검토필요</x:v>
      </x:c>
    </x:row>
    <x:row r="771">
      <x:c r="A771" s="43" t="str">
        <x:v>L2023-00070-1</x:v>
      </x:c>
      <x:c r="B771" s="43" t="str">
        <x:v>연면적·면적</x:v>
      </x:c>
      <x:c r="C771" s="46" t="str">
        <x:v>㎡</x:v>
      </x:c>
      <x:c r="D771" s="46" t="str">
        <x:v>1,000 ㎡</x:v>
      </x:c>
      <x:c r="E771" s="46" t="str"/>
      <x:c r="F771" s="46" t="str"/>
      <x:c r="G771" s="46" t="str">
        <x:v>L2023-00070-1/1-2. (클린버전) (입찰설명서) 라파즈주임상병리검사실 설계용역 입찰설명서.hwp</x:v>
      </x:c>
      <x:c r="H771" s="43" t="str">
        <x:v>문단 399</x:v>
      </x:c>
      <x:c r="I771" s="46" t="str">
        <x:v>입찰공고일 기준 최근 5년간 1,000㎡ 이상 규모 설계용역 수행 면적</x:v>
      </x:c>
      <x:c r="J771" s="43" t="str">
        <x:v>자동추출·검토필요</x:v>
      </x:c>
    </x:row>
    <x:row r="772">
      <x:c r="A772" s="43" t="str">
        <x:v>L2023-00070-1</x:v>
      </x:c>
      <x:c r="B772" s="43" t="str">
        <x:v>연면적·면적</x:v>
      </x:c>
      <x:c r="C772" s="46" t="str">
        <x:v>연면적, ㎡</x:v>
      </x:c>
      <x:c r="D772" s="46" t="str">
        <x:v>1000 ㎡</x:v>
      </x:c>
      <x:c r="E772" s="46" t="str"/>
      <x:c r="F772" s="46" t="str"/>
      <x:c r="G772" s="46" t="str">
        <x:v>L2023-00070-1/1-2. (클린버전) (입찰설명서) 라파즈주임상병리검사실 설계용역 입찰설명서.hwp</x:v>
      </x:c>
      <x:c r="H772" s="43" t="str">
        <x:v>문단 454</x:v>
      </x:c>
      <x:c r="I772" s="46" t="str">
        <x:v>최근 5년간 수행했던 1000㎡이상의 유사시설 설계용역 연면적 합계</x:v>
      </x:c>
      <x:c r="J772" s="43" t="str">
        <x:v>자동추출·검토필요</x:v>
      </x:c>
    </x:row>
    <x:row r="773">
      <x:c r="A773" s="43" t="str">
        <x:v>L2023-00070-1</x:v>
      </x:c>
      <x:c r="B773" s="43" t="str">
        <x:v>연면적·면적</x:v>
      </x:c>
      <x:c r="C773" s="46" t="str">
        <x:v>㎡</x:v>
      </x:c>
      <x:c r="D773" s="46" t="str">
        <x:v>2,500 ㎡</x:v>
      </x:c>
      <x:c r="E773" s="46" t="str"/>
      <x:c r="F773" s="46" t="str"/>
      <x:c r="G773" s="46" t="str">
        <x:v>L2023-00070-1/1-2. (클린버전) (입찰설명서) 라파즈주임상병리검사실 설계용역 입찰설명서.hwp</x:v>
      </x:c>
      <x:c r="H773" s="43" t="str">
        <x:v>문단 456</x:v>
      </x:c>
      <x:c r="I773" s="46" t="str">
        <x:v>2,500㎡≤G.A.</x:v>
      </x:c>
      <x:c r="J773" s="43" t="str">
        <x:v>자동추출·검토필요</x:v>
      </x:c>
    </x:row>
    <x:row r="774">
      <x:c r="A774" s="43" t="str">
        <x:v>L2023-00070-1</x:v>
      </x:c>
      <x:c r="B774" s="43" t="str">
        <x:v>연면적·면적</x:v>
      </x:c>
      <x:c r="C774" s="46" t="str">
        <x:v>㎡</x:v>
      </x:c>
      <x:c r="D774" s="46" t="str">
        <x:v>2,000 ㎡ | 2,500 ㎡</x:v>
      </x:c>
      <x:c r="E774" s="46" t="str"/>
      <x:c r="F774" s="46" t="str"/>
      <x:c r="G774" s="46" t="str">
        <x:v>L2023-00070-1/1-2. (클린버전) (입찰설명서) 라파즈주임상병리검사실 설계용역 입찰설명서.hwp</x:v>
      </x:c>
      <x:c r="H774" s="43" t="str">
        <x:v>문단 460</x:v>
      </x:c>
      <x:c r="I774" s="46" t="str">
        <x:v>2,000㎡≤G.A.&lt; 2,500㎡</x:v>
      </x:c>
      <x:c r="J774" s="43" t="str">
        <x:v>자동추출·검토필요</x:v>
      </x:c>
    </x:row>
    <x:row r="775">
      <x:c r="A775" s="43" t="str">
        <x:v>L2023-00070-1</x:v>
      </x:c>
      <x:c r="B775" s="43" t="str">
        <x:v>연면적·면적</x:v>
      </x:c>
      <x:c r="C775" s="46" t="str">
        <x:v>㎡</x:v>
      </x:c>
      <x:c r="D775" s="46" t="str">
        <x:v>1,500 ㎡ | 2,000 ㎡</x:v>
      </x:c>
      <x:c r="E775" s="46" t="str"/>
      <x:c r="F775" s="46" t="str"/>
      <x:c r="G775" s="46" t="str">
        <x:v>L2023-00070-1/1-2. (클린버전) (입찰설명서) 라파즈주임상병리검사실 설계용역 입찰설명서.hwp</x:v>
      </x:c>
      <x:c r="H775" s="43" t="str">
        <x:v>문단 462</x:v>
      </x:c>
      <x:c r="I775" s="46" t="str">
        <x:v>1,500㎡≤G.A.&lt; 2,000㎡</x:v>
      </x:c>
      <x:c r="J775" s="43" t="str">
        <x:v>자동추출·검토필요</x:v>
      </x:c>
    </x:row>
    <x:row r="776">
      <x:c r="A776" s="43" t="str">
        <x:v>L2023-00070-1</x:v>
      </x:c>
      <x:c r="B776" s="43" t="str">
        <x:v>연면적·면적</x:v>
      </x:c>
      <x:c r="C776" s="46" t="str">
        <x:v>㎡</x:v>
      </x:c>
      <x:c r="D776" s="46" t="str">
        <x:v>1000 ㎡ | 1,500 ㎡</x:v>
      </x:c>
      <x:c r="E776" s="46" t="str"/>
      <x:c r="F776" s="46" t="str"/>
      <x:c r="G776" s="46" t="str">
        <x:v>L2023-00070-1/1-2. (클린버전) (입찰설명서) 라파즈주임상병리검사실 설계용역 입찰설명서.hwp</x:v>
      </x:c>
      <x:c r="H776" s="43" t="str">
        <x:v>문단 464</x:v>
      </x:c>
      <x:c r="I776" s="46" t="str">
        <x:v>1000㎡≤G.A.&lt; 1,500㎡</x:v>
      </x:c>
      <x:c r="J776" s="43" t="str">
        <x:v>자동추출·검토필요</x:v>
      </x:c>
    </x:row>
    <x:row r="777">
      <x:c r="A777" s="43" t="str">
        <x:v>L2023-00070-1</x:v>
      </x:c>
      <x:c r="B777" s="43" t="str">
        <x:v>연면적·면적</x:v>
      </x:c>
      <x:c r="C777" s="46" t="str">
        <x:v>㎡</x:v>
      </x:c>
      <x:c r="D777" s="46" t="str">
        <x:v>1000 ㎡</x:v>
      </x:c>
      <x:c r="E777" s="46" t="str"/>
      <x:c r="F777" s="46" t="str"/>
      <x:c r="G777" s="46" t="str">
        <x:v>L2023-00070-1/1-2. (클린버전) (입찰설명서) 라파즈주임상병리검사실 설계용역 입찰설명서.hwp</x:v>
      </x:c>
      <x:c r="H777" s="43" t="str">
        <x:v>문단 466</x:v>
      </x:c>
      <x:c r="I777" s="46" t="str">
        <x:v>G.A.&lt; 1000㎡</x:v>
      </x:c>
      <x:c r="J777" s="43" t="str">
        <x:v>자동추출·검토필요</x:v>
      </x:c>
    </x:row>
    <x:row r="778">
      <x:c r="A778" s="43" t="str">
        <x:v>L2023-00070-1</x:v>
      </x:c>
      <x:c r="B778" s="43" t="str">
        <x:v>연면적·면적</x:v>
      </x:c>
      <x:c r="C778" s="46" t="str">
        <x:v>floor area</x:v>
      </x:c>
      <x:c r="D778" s="46" t="str">
        <x:v>1,600 m2</x:v>
      </x:c>
      <x:c r="E778" s="46" t="str"/>
      <x:c r="F778" s="46" t="str">
        <x:v>5%</x:v>
      </x:c>
      <x:c r="G778" s="46" t="str">
        <x:v>L2023-00070-1/2. (입찰서류-영문) LDRL-설계입찰/2. (입찰서류-영문) LDRL-설계입찰/2. Bid Data Sheet (BDS)_LDRL_수정.docx</x:v>
      </x:c>
      <x:c r="H778" s="43" t="str">
        <x:v>문단 54</x:v>
      </x:c>
      <x:c r="I778" s="46" t="str">
        <x:v>Gross floor area: 1,600m2 (GFA can be adjusted within the range of ±5%)</x:v>
      </x:c>
      <x:c r="J778" s="43" t="str">
        <x:v>자동추출·검토필요</x:v>
      </x:c>
    </x:row>
    <x:row r="779">
      <x:c r="A779" s="43" t="str">
        <x:v>L2023-00070-1</x:v>
      </x:c>
      <x:c r="B779" s="43" t="str">
        <x:v>연면적·면적</x:v>
      </x:c>
      <x:c r="C779" s="46" t="str">
        <x:v>㎡</x:v>
      </x:c>
      <x:c r="D779" s="46" t="str">
        <x:v>1,000 ㎡</x:v>
      </x:c>
      <x:c r="E779" s="46" t="str"/>
      <x:c r="F779" s="46" t="str"/>
      <x:c r="G779" s="46" t="str">
        <x:v>L2023-00070-1/2. (입찰서류-영문) LDRL-설계입찰/2. (입찰서류-영문) LDRL-설계입찰/2. Bid Data Sheet (BDS)_LDRL_수정.docx</x:v>
      </x:c>
      <x:c r="H779" s="43" t="str">
        <x:v>표 3 행 7</x:v>
      </x:c>
      <x:c r="I779" s="46" t="str">
        <x:v>6 | 6-1 Technical Proposal I (Quantitative) | Financial status with auditor’s report (Last 3 years) issued by CPA (Certified Public Accountant) (Fiscal year: 2020 ~ 2022) Certificate of similar design experience Evidence of performance of similar design services (sum of project area of 1,000㎡ or larger for the last 5 years as of the bidding announcement date) A performance certificate issued by the client or an official letter from the client or a final confirmation of completion and a copy of the contract (notarized) * Similar facilities: hospitals, research institutes and health and wellness centers, business facilities, education and research facilities. The lowest score will be given if not submitting related documents</x:v>
      </x:c>
      <x:c r="J779" s="43" t="str">
        <x:v>자동추출·검토필요</x:v>
      </x:c>
    </x:row>
    <x:row r="780">
      <x:c r="A780" s="43" t="str">
        <x:v>L2023-00070-1</x:v>
      </x:c>
      <x:c r="B780" s="43" t="str">
        <x:v>연면적·면적</x:v>
      </x:c>
      <x:c r="C780" s="46" t="str">
        <x:v>㎡</x:v>
      </x:c>
      <x:c r="D780" s="46" t="str">
        <x:v>1,000 ㎡</x:v>
      </x:c>
      <x:c r="E780" s="46" t="str"/>
      <x:c r="F780" s="46" t="str"/>
      <x:c r="G780" s="46" t="str">
        <x:v>L2023-00070-1/2. (입찰서류-영문) LDRL-설계입찰/2. (입찰서류-영문) LDRL-설계입찰/2. Bid Data Sheet (BDS)_LDRL_수정.docx</x:v>
      </x:c>
      <x:c r="H780" s="43" t="str">
        <x:v>표 5 행 4</x:v>
      </x:c>
      <x:c r="I780" s="46" t="str">
        <x:v>Experience with Similar Projects | Number of design project over 1,000 ㎡ for the last 5 years upon bid announcement date | 6 | 10</x:v>
      </x:c>
      <x:c r="J780" s="43" t="str">
        <x:v>자동추출·검토필요</x:v>
      </x:c>
    </x:row>
    <x:row r="781">
      <x:c r="A781" s="43" t="str">
        <x:v>L2023-00070-1</x:v>
      </x:c>
      <x:c r="B781" s="43" t="str">
        <x:v>연면적·면적</x:v>
      </x:c>
      <x:c r="C781" s="46" t="str">
        <x:v>floor area, ㎡</x:v>
      </x:c>
      <x:c r="D781" s="46" t="str">
        <x:v>1000 ㎡ | 2,500 ㎡</x:v>
      </x:c>
      <x:c r="E781" s="46" t="str"/>
      <x:c r="F781" s="46" t="str"/>
      <x:c r="G781" s="46" t="str">
        <x:v>L2023-00070-1/2. (입찰서류-영문) LDRL-설계입찰/2. (입찰서류-영문) LDRL-설계입찰/2. Bid Data Sheet (BDS)_LDRL_수정.docx</x:v>
      </x:c>
      <x:c r="H781" s="43" t="str">
        <x:v>표 7 행 2</x:v>
      </x:c>
      <x:c r="I781" s="46" t="str">
        <x:v>Project Experience | As of the bid announcement date Total floor area of design services for medical facilities and similar facilities of 1000㎡ or more over the last 5 years (Gross floor Area_G.A.) | 2,500㎡≤G.A. | 6.0 | (Aug. 2018 ~ Jul. 2023)</x:v>
      </x:c>
      <x:c r="J781" s="43" t="str">
        <x:v>자동추출·검토필요</x:v>
      </x:c>
    </x:row>
    <x:row r="782">
      <x:c r="A782" s="43" t="str">
        <x:v>L2023-00070-1</x:v>
      </x:c>
      <x:c r="B782" s="43" t="str">
        <x:v>연면적·면적</x:v>
      </x:c>
      <x:c r="C782" s="46" t="str">
        <x:v>floor area, ㎡</x:v>
      </x:c>
      <x:c r="D782" s="46" t="str">
        <x:v>1000 ㎡ | 2,000 ㎡ | 2,500 ㎡</x:v>
      </x:c>
      <x:c r="E782" s="46" t="str"/>
      <x:c r="F782" s="46" t="str"/>
      <x:c r="G782" s="46" t="str">
        <x:v>L2023-00070-1/2. (입찰서류-영문) LDRL-설계입찰/2. (입찰서류-영문) LDRL-설계입찰/2. Bid Data Sheet (BDS)_LDRL_수정.docx</x:v>
      </x:c>
      <x:c r="H782" s="43" t="str">
        <x:v>표 7 행 3</x:v>
      </x:c>
      <x:c r="I782" s="46" t="str">
        <x:v>Project Experience | As of the bid announcement date Total floor area of design services for medical facilities and similar facilities of 1000㎡ or more over the last 5 years (Gross floor Area_G.A.) | 2,000㎡≤G.A.&lt; 2,500㎡ | 5.5 | (Aug. 2018 ~ Jul. 2023)</x:v>
      </x:c>
      <x:c r="J782" s="43" t="str">
        <x:v>자동추출·검토필요</x:v>
      </x:c>
    </x:row>
    <x:row r="783">
      <x:c r="A783" s="43" t="str">
        <x:v>L2023-00070-1</x:v>
      </x:c>
      <x:c r="B783" s="43" t="str">
        <x:v>연면적·면적</x:v>
      </x:c>
      <x:c r="C783" s="46" t="str">
        <x:v>floor area, ㎡</x:v>
      </x:c>
      <x:c r="D783" s="46" t="str">
        <x:v>1000 ㎡ | 1,500 ㎡ | 2,000 ㎡</x:v>
      </x:c>
      <x:c r="E783" s="46" t="str"/>
      <x:c r="F783" s="46" t="str"/>
      <x:c r="G783" s="46" t="str">
        <x:v>L2023-00070-1/2. (입찰서류-영문) LDRL-설계입찰/2. (입찰서류-영문) LDRL-설계입찰/2. Bid Data Sheet (BDS)_LDRL_수정.docx</x:v>
      </x:c>
      <x:c r="H783" s="43" t="str">
        <x:v>표 7 행 4</x:v>
      </x:c>
      <x:c r="I783" s="46" t="str">
        <x:v>Project Experience | As of the bid announcement date Total floor area of design services for medical facilities and similar facilities of 1000㎡ or more over the last 5 years (Gross floor Area_G.A.) | 1,500㎡≤G.A.&lt; 2,000㎡ | 5.0 | (Aug. 2018 ~ Jul. 2023)</x:v>
      </x:c>
      <x:c r="J783" s="43" t="str">
        <x:v>자동추출·검토필요</x:v>
      </x:c>
    </x:row>
    <x:row r="784">
      <x:c r="A784" s="43" t="str">
        <x:v>L2023-00070-1</x:v>
      </x:c>
      <x:c r="B784" s="43" t="str">
        <x:v>연면적·면적</x:v>
      </x:c>
      <x:c r="C784" s="46" t="str">
        <x:v>floor area, ㎡</x:v>
      </x:c>
      <x:c r="D784" s="46" t="str">
        <x:v>1000 ㎡ | 1000 ㎡ | 1,500 ㎡</x:v>
      </x:c>
      <x:c r="E784" s="46" t="str"/>
      <x:c r="F784" s="46" t="str"/>
      <x:c r="G784" s="46" t="str">
        <x:v>L2023-00070-1/2. (입찰서류-영문) LDRL-설계입찰/2. (입찰서류-영문) LDRL-설계입찰/2. Bid Data Sheet (BDS)_LDRL_수정.docx</x:v>
      </x:c>
      <x:c r="H784" s="43" t="str">
        <x:v>표 7 행 5</x:v>
      </x:c>
      <x:c r="I784" s="46" t="str">
        <x:v>Project Experience | As of the bid announcement date Total floor area of design services for medical facilities and similar facilities of 1000㎡ or more over the last 5 years (Gross floor Area_G.A.) | 1000㎡≤G.A.&lt; 1,500㎡ | 4.5 | (Aug. 2018 ~ Jul. 2023)</x:v>
      </x:c>
      <x:c r="J784" s="43" t="str">
        <x:v>자동추출·검토필요</x:v>
      </x:c>
    </x:row>
    <x:row r="785">
      <x:c r="A785" s="43" t="str">
        <x:v>L2023-00070-1</x:v>
      </x:c>
      <x:c r="B785" s="43" t="str">
        <x:v>연면적·면적</x:v>
      </x:c>
      <x:c r="C785" s="46" t="str">
        <x:v>floor area, ㎡</x:v>
      </x:c>
      <x:c r="D785" s="46" t="str">
        <x:v>1000 ㎡ | 1000 ㎡</x:v>
      </x:c>
      <x:c r="E785" s="46" t="str"/>
      <x:c r="F785" s="46" t="str"/>
      <x:c r="G785" s="46" t="str">
        <x:v>L2023-00070-1/2. (입찰서류-영문) LDRL-설계입찰/2. (입찰서류-영문) LDRL-설계입찰/2. Bid Data Sheet (BDS)_LDRL_수정.docx</x:v>
      </x:c>
      <x:c r="H785" s="43" t="str">
        <x:v>표 7 행 6</x:v>
      </x:c>
      <x:c r="I785" s="46" t="str">
        <x:v>Project Experience | As of the bid announcement date Total floor area of design services for medical facilities and similar facilities of 1000㎡ or more over the last 5 years (Gross floor Area_G.A.) | G.A.&lt; 1000㎡ | 4.2 | (Aug. 2018 ~ Jul. 2023)</x:v>
      </x:c>
      <x:c r="J785" s="43" t="str">
        <x:v>자동추출·검토필요</x:v>
      </x:c>
    </x:row>
    <x:row r="786">
      <x:c r="A786" s="43" t="str">
        <x:v>L2023-00070-1</x:v>
      </x:c>
      <x:c r="B786" s="43" t="str">
        <x:v>연면적·면적</x:v>
      </x:c>
      <x:c r="C786" s="46" t="str">
        <x:v>㎡</x:v>
      </x:c>
      <x:c r="D786" s="46" t="str">
        <x:v>4,793.36 ㎡</x:v>
      </x:c>
      <x:c r="E786" s="46" t="str"/>
      <x:c r="F786" s="46" t="str"/>
      <x:c r="G786" s="46" t="str">
        <x:v>L2023-00070-1/2. (입찰서류-영문) LDRL-설계입찰/2. (입찰서류-영문) LDRL-설계입찰/4. Terms of Reference (TOR)_LDRL_수정.docx</x:v>
      </x:c>
      <x:c r="H786" s="43" t="str">
        <x:v>문단 41</x:v>
      </x:c>
      <x:c r="I786" s="46" t="str">
        <x:v>- Site area: 4,793.36㎡</x:v>
      </x:c>
      <x:c r="J786" s="43" t="str">
        <x:v>자동추출·검토필요</x:v>
      </x:c>
    </x:row>
    <x:row r="787">
      <x:c r="A787" s="43" t="str">
        <x:v>L2023-00070-1</x:v>
      </x:c>
      <x:c r="B787" s="43" t="str">
        <x:v>연면적·면적</x:v>
      </x:c>
      <x:c r="C787" s="46" t="str">
        <x:v>floor area, ㎡</x:v>
      </x:c>
      <x:c r="D787" s="46" t="str">
        <x:v>1,600 ㎡</x:v>
      </x:c>
      <x:c r="E787" s="46" t="str"/>
      <x:c r="F787" s="46" t="str"/>
      <x:c r="G787" s="46" t="str">
        <x:v>L2023-00070-1/2. (입찰서류-영문) LDRL-설계입찰/2. (입찰서류-영문) LDRL-설계입찰/4. Terms of Reference (TOR)_LDRL_수정.docx</x:v>
      </x:c>
      <x:c r="H787" s="43" t="str">
        <x:v>문단 42</x:v>
      </x:c>
      <x:c r="I787" s="46" t="str">
        <x:v>- Gross Floor Area: 1,600㎡</x:v>
      </x:c>
      <x:c r="J787" s="43" t="str">
        <x:v>자동추출·검토필요</x:v>
      </x:c>
    </x:row>
    <x:row r="788">
      <x:c r="A788" s="43" t="str">
        <x:v>L2023-00070-1</x:v>
      </x:c>
      <x:c r="B788" s="43" t="str">
        <x:v>연면적·면적</x:v>
      </x:c>
      <x:c r="C788" s="46" t="str">
        <x:v>m²</x:v>
      </x:c>
      <x:c r="D788" s="46" t="str">
        <x:v>4,876.00 m²</x:v>
      </x:c>
      <x:c r="E788" s="46" t="str"/>
      <x:c r="F788" s="46" t="str"/>
      <x:c r="G788" s="46" t="str">
        <x:v>L2023-00070-1/2. (입찰서류-영문) LDRL-설계입찰/2. (입찰서류-영문) LDRL-설계입찰/4. Terms of Reference (TOR)_LDRL_수정.docx</x:v>
      </x:c>
      <x:c r="H788" s="43" t="str">
        <x:v>표 4 행 2</x:v>
      </x:c>
      <x:c r="I788" s="46" t="str">
        <x:v>Surface according to Testimonial | 4,876.00 m²</x:v>
      </x:c>
      <x:c r="J788" s="43" t="str">
        <x:v>자동추출·검토필요</x:v>
      </x:c>
    </x:row>
    <x:row r="789">
      <x:c r="A789" s="43" t="str">
        <x:v>L2023-00070-1</x:v>
      </x:c>
      <x:c r="B789" s="43" t="str">
        <x:v>연면적·면적</x:v>
      </x:c>
      <x:c r="C789" s="46" t="str">
        <x:v>m²</x:v>
      </x:c>
      <x:c r="D789" s="46" t="str">
        <x:v>4,793.36 m²</x:v>
      </x:c>
      <x:c r="E789" s="46" t="str"/>
      <x:c r="F789" s="46" t="str"/>
      <x:c r="G789" s="46" t="str">
        <x:v>L2023-00070-1/2. (입찰서류-영문) LDRL-설계입찰/2. (입찰서류-영문) LDRL-설계입찰/4. Terms of Reference (TOR)_LDRL_수정.docx</x:v>
      </x:c>
      <x:c r="H789" s="43" t="str">
        <x:v>표 4 행 3</x:v>
      </x:c>
      <x:c r="I789" s="46" t="str">
        <x:v>Land Area | 4,793.36 m²</x:v>
      </x:c>
      <x:c r="J789" s="43" t="str">
        <x:v>자동추출·검토필요</x:v>
      </x:c>
    </x:row>
    <x:row r="790">
      <x:c r="A790" s="43" t="str">
        <x:v>L2023-00068-1</x:v>
      </x:c>
      <x:c r="B790" s="43" t="str">
        <x:v>연면적·면적</x:v>
      </x:c>
      <x:c r="C790" s="46" t="str">
        <x:v>floor area</x:v>
      </x:c>
      <x:c r="D790" s="46" t="str">
        <x:v>3,500 m2 | 3,500 m2</x:v>
      </x:c>
      <x:c r="E790" s="46" t="str"/>
      <x:c r="F790" s="46" t="str"/>
      <x:c r="G790" s="46" t="str">
        <x:v>L2023-00068-1/입찰공고 관련서류 최종본/Section 2 - Bid Data Sheet (BDS).docx</x:v>
      </x:c>
      <x:c r="H790" s="43" t="str">
        <x:v>표 5 행 8</x:v>
      </x:c>
      <x:c r="I790" s="46" t="str">
        <x:v>- Gross floor area | Approx. 3,500 m2 | Approx. 3,500 m2</x:v>
      </x:c>
      <x:c r="J790" s="43" t="str">
        <x:v>자동추출·검토필요</x:v>
      </x:c>
    </x:row>
    <x:row r="791">
      <x:c r="A791" s="43" t="str">
        <x:v>L2023-00068-1</x:v>
      </x:c>
      <x:c r="B791" s="43" t="str">
        <x:v>연면적·면적</x:v>
      </x:c>
      <x:c r="C791" s="46" t="str">
        <x:v>floor area, m²</x:v>
      </x:c>
      <x:c r="D791" s="46" t="str">
        <x:v>1,000 m²</x:v>
      </x:c>
      <x:c r="E791" s="46" t="str">
        <x:v>USD 1 million</x:v>
      </x:c>
      <x:c r="F791" s="46" t="str"/>
      <x:c r="G791" s="46" t="str">
        <x:v>L2023-00068-1/입찰공고 관련서류 최종본/Section 8- Annex 10. KOICA Safety Management Manual(ENG).pdf</x:v>
      </x:c>
      <x:c r="H791" s="43" t="str">
        <x:v>페이지 6</x:v>
      </x:c>
      <x:c r="I791" s="46" t="str">
        <x:v>CHAPTER 1 General Conditions 1. Purpose The purpose of these guidelines is to systematically set out the roles and scope of work for the KOICA, architects, construction managers, contractors, etc. through all stages from the planning stage for the construction project by KOICA to construction completion and to publish and disseminate a manual regarding the safety management work throughout the construction. 2. Scope of Application A. This manual shall be applied to construction projects corresponding to one or more of the following criteria which are required to devise safety management plans such as safety inspections and safety management organizations to secure safety under Article 62 of the Construction Technology Promotion Act. 1) Projects containing constructions with a budget of USD 1 million or more or with a gross floor area of 1,000 m² or more 2) Construction projects other than those in Paragraph 1 above, which are recognized explicitly by KOICA as requiring safety management B. KOICA may separately determine matters other than those prescribed in this manual in connection with the safety management work of those participating in the safety management of a construction p</x:v>
      </x:c>
      <x:c r="J791" s="43" t="str">
        <x:v>자동추출·검토필요</x:v>
      </x:c>
    </x:row>
    <x:row r="792">
      <x:c r="A792" s="43" t="str">
        <x:v>L2023-00067-1</x:v>
      </x:c>
      <x:c r="B792" s="43" t="str">
        <x:v>연면적·면적</x:v>
      </x:c>
      <x:c r="C792" s="46" t="str">
        <x:v>floor area</x:v>
      </x:c>
      <x:c r="D792" s="46" t="str">
        <x:v>420 m2 | 420 m2</x:v>
      </x:c>
      <x:c r="E792" s="46" t="str"/>
      <x:c r="F792" s="46" t="str"/>
      <x:c r="G792" s="46" t="str">
        <x:v>L2023-00067-1/ENG Version/ENG Version/-ENG_Section 2 Bid Data Sheet.docx</x:v>
      </x:c>
      <x:c r="H792" s="43" t="str">
        <x:v>표 3 행 8</x:v>
      </x:c>
      <x:c r="I792" s="46" t="str">
        <x:v>- Gross floor area | 420m2 (area of remodeling section) | 420m2 (area of remodeling section)</x:v>
      </x:c>
      <x:c r="J792" s="43" t="str">
        <x:v>자동추출·검토필요</x:v>
      </x:c>
    </x:row>
    <x:row r="793">
      <x:c r="A793" s="43" t="str">
        <x:v>L2023-00065-1</x:v>
      </x:c>
      <x:c r="B793" s="43" t="str">
        <x:v>연면적·면적</x:v>
      </x:c>
      <x:c r="C793" s="46" t="str">
        <x:v>floor area, square meter</x:v>
      </x:c>
      <x:c r="D793" s="46" t="str">
        <x:v>5,400 square meters | 2,400 square meters | 3,000 square meters</x:v>
      </x:c>
      <x:c r="E793" s="46" t="str"/>
      <x:c r="F793" s="46" t="str"/>
      <x:c r="G793" s="46" t="str">
        <x:v>L2023-00065-1/(attached) Pre_school_Education_Complex_Constsruction_Supervision_Contractor/Section 6 - Scope of Construction Supervision Services.docx</x:v>
      </x:c>
      <x:c r="H793" s="43" t="str">
        <x:v>표 1 행 3</x:v>
      </x:c>
      <x:c r="I793" s="46" t="str">
        <x:v>3 | Total Floor Area | Total 5,400 square meters approx. (Experience Center : 2,400 square meters; Pre-school Education Center – 3,000 square meters)</x:v>
      </x:c>
      <x:c r="J793" s="43" t="str">
        <x:v>자동추출·검토필요</x:v>
      </x:c>
    </x:row>
    <x:row r="794">
      <x:c r="A794" s="43" t="str">
        <x:v>L2023-00065-1</x:v>
      </x:c>
      <x:c r="B794" s="43" t="str">
        <x:v>연면적·면적</x:v>
      </x:c>
      <x:c r="C794" s="46" t="str">
        <x:v>연면적</x:v>
      </x:c>
      <x:c r="D794" s="46" t="str">
        <x:v>5,400 m2</x:v>
      </x:c>
      <x:c r="E794" s="46" t="str"/>
      <x:c r="F794" s="46" t="str"/>
      <x:c r="G794" s="46" t="str">
        <x:v>L2023-00065-1/BID_Announcement_Daily_News_of_Korean_Residents.docx</x:v>
      </x:c>
      <x:c r="H794" s="43" t="str">
        <x:v>문단 9</x:v>
      </x:c>
      <x:c r="I794" s="46" t="str">
        <x:v>■ 건축 규모 : 연면적 총 5,400 m2, 지상 2층 2개동 및 부속 건물</x:v>
      </x:c>
      <x:c r="J794" s="43" t="str">
        <x:v>자동추출·검토필요</x:v>
      </x:c>
    </x:row>
    <x:row r="795">
      <x:c r="A795" s="43" t="str">
        <x:v>L2023-00061-1</x:v>
      </x:c>
      <x:c r="B795" s="43" t="str">
        <x:v>연면적·면적</x:v>
      </x:c>
      <x:c r="C795" s="46" t="str">
        <x:v>㎡</x:v>
      </x:c>
      <x:c r="D795" s="46" t="str">
        <x:v>42,000 ㎡</x:v>
      </x:c>
      <x:c r="E795" s="46" t="str"/>
      <x:c r="F795" s="46" t="str"/>
      <x:c r="G795" s="46" t="str">
        <x:v>L2023-00061-1/붙임 1. 입찰 계획서(안).hwp</x:v>
      </x:c>
      <x:c r="H795" s="43" t="str">
        <x:v>문단 199</x:v>
      </x:c>
      <x:c r="I795" s="46" t="str">
        <x:v>42,000㎡</x:v>
      </x:c>
      <x:c r="J795" s="43" t="str">
        <x:v>자동추출·검토필요</x:v>
      </x:c>
    </x:row>
    <x:row r="796">
      <x:c r="A796" s="43" t="str">
        <x:v>L2023-00061-1</x:v>
      </x:c>
      <x:c r="B796" s="43" t="str">
        <x:v>연면적·면적</x:v>
      </x:c>
      <x:c r="C796" s="46" t="str">
        <x:v>㎡</x:v>
      </x:c>
      <x:c r="D796" s="46" t="str">
        <x:v>1,900 ㎡</x:v>
      </x:c>
      <x:c r="E796" s="46" t="str"/>
      <x:c r="F796" s="46" t="str">
        <x:v>5%</x:v>
      </x:c>
      <x:c r="G796" s="46" t="str">
        <x:v>L2023-00061-1/붙임 1. 입찰 계획서(안).hwp</x:v>
      </x:c>
      <x:c r="H796" s="43" t="str">
        <x:v>문단 201</x:v>
      </x:c>
      <x:c r="I796" s="46" t="str">
        <x:v>1,900㎡(±5% 범위 내에서 조정 가능)</x:v>
      </x:c>
      <x:c r="J796" s="43" t="str">
        <x:v>자동추출·검토필요</x:v>
      </x:c>
    </x:row>
    <x:row r="797">
      <x:c r="A797" s="43" t="str">
        <x:v>L2023-00061-1</x:v>
      </x:c>
      <x:c r="B797" s="43" t="str">
        <x:v>연면적·면적</x:v>
      </x:c>
      <x:c r="C797" s="46" t="str">
        <x:v>㎡</x:v>
      </x:c>
      <x:c r="D797" s="46" t="str">
        <x:v>1,250 ㎡</x:v>
      </x:c>
      <x:c r="E797" s="46" t="str"/>
      <x:c r="F797" s="46" t="str"/>
      <x:c r="G797" s="46" t="str">
        <x:v>L2023-00061-1/붙임 1. 입찰 계획서(안).hwp</x:v>
      </x:c>
      <x:c r="H797" s="43" t="str">
        <x:v>문단 212</x:v>
      </x:c>
      <x:c r="I797" s="46" t="str">
        <x:v>ㅇ 신축(면적 1,250㎡): 가죽 제품 마지막 공정 시설</x:v>
      </x:c>
      <x:c r="J797" s="43" t="str">
        <x:v>자동추출·검토필요</x:v>
      </x:c>
    </x:row>
    <x:row r="798">
      <x:c r="A798" s="43" t="str">
        <x:v>L2023-00061-1</x:v>
      </x:c>
      <x:c r="B798" s="43" t="str">
        <x:v>연면적·면적</x:v>
      </x:c>
      <x:c r="C798" s="46" t="str">
        <x:v>㎡</x:v>
      </x:c>
      <x:c r="D798" s="46" t="str">
        <x:v>230 ㎡</x:v>
      </x:c>
      <x:c r="E798" s="46" t="str"/>
      <x:c r="F798" s="46" t="str"/>
      <x:c r="G798" s="46" t="str">
        <x:v>L2023-00061-1/붙임 1. 입찰 계획서(안).hwp</x:v>
      </x:c>
      <x:c r="H798" s="43" t="str">
        <x:v>문단 213</x:v>
      </x:c>
      <x:c r="I798" s="46" t="str">
        <x:v>ㅇ 리모델링(면적 230㎡) : 중소기업(SMEs) 혁신센터</x:v>
      </x:c>
      <x:c r="J798" s="43" t="str">
        <x:v>자동추출·검토필요</x:v>
      </x:c>
    </x:row>
    <x:row r="799">
      <x:c r="A799" s="43" t="str">
        <x:v>L2023-00061-1</x:v>
      </x:c>
      <x:c r="B799" s="43" t="str">
        <x:v>연면적·면적</x:v>
      </x:c>
      <x:c r="C799" s="46" t="str">
        <x:v>㎡</x:v>
      </x:c>
      <x:c r="D799" s="46" t="str">
        <x:v>420 ㎡</x:v>
      </x:c>
      <x:c r="E799" s="46" t="str"/>
      <x:c r="F799" s="46" t="str"/>
      <x:c r="G799" s="46" t="str">
        <x:v>L2023-00061-1/붙임 1. 입찰 계획서(안).hwp</x:v>
      </x:c>
      <x:c r="H799" s="43" t="str">
        <x:v>문단 214</x:v>
      </x:c>
      <x:c r="I799" s="46" t="str">
        <x:v>ㅇ 보수(면적 420㎡): 베지터블 태닝(Vegetable Tanning) 시설</x:v>
      </x:c>
      <x:c r="J799" s="43" t="str">
        <x:v>자동추출·검토필요</x:v>
      </x:c>
    </x:row>
    <x:row r="800">
      <x:c r="A800" s="43" t="str">
        <x:v>L2023-00061-1</x:v>
      </x:c>
      <x:c r="B800" s="43" t="str">
        <x:v>연면적·면적</x:v>
      </x:c>
      <x:c r="C800" s="46" t="str">
        <x:v>floor area</x:v>
      </x:c>
      <x:c r="D800" s="46" t="str">
        <x:v>1,900 m2</x:v>
      </x:c>
      <x:c r="E800" s="46" t="str"/>
      <x:c r="F800" s="46" t="str">
        <x:v>5%</x:v>
      </x:c>
      <x:c r="G800" s="46" t="str">
        <x:v>L2023-00061-1/붙임 3. 입찰 문서/Section 2 - Bidding Data Sheet.docx</x:v>
      </x:c>
      <x:c r="H800" s="43" t="str">
        <x:v>문단 59</x:v>
      </x:c>
      <x:c r="I800" s="46" t="str">
        <x:v>Gross floor area: 1,900m2 (can be adjusted within the range of ±5%)</x:v>
      </x:c>
      <x:c r="J800" s="43" t="str">
        <x:v>자동추출·검토필요</x:v>
      </x:c>
    </x:row>
    <x:row r="801">
      <x:c r="A801" s="43" t="str">
        <x:v>L2023-00061-1</x:v>
      </x:c>
      <x:c r="B801" s="43" t="str">
        <x:v>연면적·면적</x:v>
      </x:c>
      <x:c r="C801" s="46" t="str">
        <x:v>floor area</x:v>
      </x:c>
      <x:c r="D801" s="46" t="str">
        <x:v>1,900 m2 | 1,250 m2 | 420 m2 | 230 m2</x:v>
      </x:c>
      <x:c r="E801" s="46" t="str"/>
      <x:c r="F801" s="46" t="str"/>
      <x:c r="G801" s="46" t="str">
        <x:v>L2023-00061-1/붙임 3. 입찰 문서/Section 4 - Request for Proposal.docx</x:v>
      </x:c>
      <x:c r="H801" s="43" t="str">
        <x:v>표 1 행 4</x:v>
      </x:c>
      <x:c r="I801" s="46" t="str">
        <x:v>Gross Floor Area | 1,900 m2 (New construction: (1,250 m2), Renovation: Vegetable Tanning Facility (420 m2), SMEs Creative Center (230 m2) |</x:v>
      </x:c>
      <x:c r="J801" s="43" t="str">
        <x:v>자동추출·검토필요</x:v>
      </x:c>
    </x:row>
    <x:row r="802">
      <x:c r="A802" s="43" t="str">
        <x:v>L2023-00061-1</x:v>
      </x:c>
      <x:c r="B802" s="43" t="str">
        <x:v>연면적·면적</x:v>
      </x:c>
      <x:c r="C802" s="46" t="str">
        <x:v>㎡</x:v>
      </x:c>
      <x:c r="D802" s="46" t="str">
        <x:v>95 ㎡ | 95 ㎡</x:v>
      </x:c>
      <x:c r="E802" s="46" t="str"/>
      <x:c r="F802" s="46" t="str"/>
      <x:c r="G802" s="46" t="str">
        <x:v>L2023-00061-1/붙임 3. 입찰 문서/Section 4 - Request for Proposal.docx</x:v>
      </x:c>
      <x:c r="H802" s="43" t="str">
        <x:v>표 6 행 2</x:v>
      </x:c>
      <x:c r="I802" s="46" t="str">
        <x:v>A New Building | Automatic Shoes-last | Emission | 95 ㎡ | 1 | 95 ㎡ | Considering Load Deck</x:v>
      </x:c>
      <x:c r="J802" s="43" t="str">
        <x:v>자동추출·검토필요</x:v>
      </x:c>
    </x:row>
    <x:row r="803">
      <x:c r="A803" s="43" t="str">
        <x:v>L2023-00061-1</x:v>
      </x:c>
      <x:c r="B803" s="43" t="str">
        <x:v>연면적·면적</x:v>
      </x:c>
      <x:c r="C803" s="46" t="str">
        <x:v>㎡</x:v>
      </x:c>
      <x:c r="D803" s="46" t="str">
        <x:v>285 ㎡ | 285 ㎡</x:v>
      </x:c>
      <x:c r="E803" s="46" t="str"/>
      <x:c r="F803" s="46" t="str"/>
      <x:c r="G803" s="46" t="str">
        <x:v>L2023-00061-1/붙임 3. 입찰 문서/Section 4 - Request for Proposal.docx</x:v>
      </x:c>
      <x:c r="H803" s="43" t="str">
        <x:v>표 6 행 3</x:v>
      </x:c>
      <x:c r="I803" s="46" t="str">
        <x:v>A New Building | Automatic Shoes-last | Manufacture equipment room1 | 285 ㎡ | 1 | 285 ㎡ | Considering Load Deck</x:v>
      </x:c>
      <x:c r="J803" s="43" t="str">
        <x:v>자동추출·검토필요</x:v>
      </x:c>
    </x:row>
    <x:row r="804">
      <x:c r="A804" s="43" t="str">
        <x:v>L2023-00061-1</x:v>
      </x:c>
      <x:c r="B804" s="43" t="str">
        <x:v>연면적·면적</x:v>
      </x:c>
      <x:c r="C804" s="46" t="str">
        <x:v>㎡</x:v>
      </x:c>
      <x:c r="D804" s="46" t="str">
        <x:v>95 ㎡ | 95 ㎡</x:v>
      </x:c>
      <x:c r="E804" s="46" t="str"/>
      <x:c r="F804" s="46" t="str"/>
      <x:c r="G804" s="46" t="str">
        <x:v>L2023-00061-1/붙임 3. 입찰 문서/Section 4 - Request for Proposal.docx</x:v>
      </x:c>
      <x:c r="H804" s="43" t="str">
        <x:v>표 6 행 4</x:v>
      </x:c>
      <x:c r="I804" s="46" t="str">
        <x:v>A New Building | Automatic Shoes-last | Manufacture equipment room2 | 95 ㎡ | 1 | 95 ㎡ | Considering Load Deck</x:v>
      </x:c>
      <x:c r="J804" s="43" t="str">
        <x:v>자동추출·검토필요</x:v>
      </x:c>
    </x:row>
    <x:row r="805">
      <x:c r="A805" s="43" t="str">
        <x:v>L2023-00061-1</x:v>
      </x:c>
      <x:c r="B805" s="43" t="str">
        <x:v>연면적·면적</x:v>
      </x:c>
      <x:c r="C805" s="46" t="str">
        <x:v>㎡</x:v>
      </x:c>
      <x:c r="D805" s="46" t="str">
        <x:v>90 ㎡ | 90 ㎡</x:v>
      </x:c>
      <x:c r="E805" s="46" t="str"/>
      <x:c r="F805" s="46" t="str"/>
      <x:c r="G805" s="46" t="str">
        <x:v>L2023-00061-1/붙임 3. 입찰 문서/Section 4 - Request for Proposal.docx</x:v>
      </x:c>
      <x:c r="H805" s="43" t="str">
        <x:v>표 6 행 5</x:v>
      </x:c>
      <x:c r="I805" s="46" t="str">
        <x:v>A New Building | Automatic Shoes-last | Mature Room | 90 ㎡ | 1 | 90 ㎡ | Considering Load Deck</x:v>
      </x:c>
      <x:c r="J805" s="43" t="str">
        <x:v>자동추출·검토필요</x:v>
      </x:c>
    </x:row>
    <x:row r="806">
      <x:c r="A806" s="43" t="str">
        <x:v>L2023-00061-1</x:v>
      </x:c>
      <x:c r="B806" s="43" t="str">
        <x:v>연면적·면적</x:v>
      </x:c>
      <x:c r="C806" s="46" t="str">
        <x:v>㎡</x:v>
      </x:c>
      <x:c r="D806" s="46" t="str">
        <x:v>60 ㎡ | 60 ㎡</x:v>
      </x:c>
      <x:c r="E806" s="46" t="str"/>
      <x:c r="F806" s="46" t="str"/>
      <x:c r="G806" s="46" t="str">
        <x:v>L2023-00061-1/붙임 3. 입찰 문서/Section 4 - Request for Proposal.docx</x:v>
      </x:c>
      <x:c r="H806" s="43" t="str">
        <x:v>표 6 행 6</x:v>
      </x:c>
      <x:c r="I806" s="46" t="str">
        <x:v>A New Building | Automatic Shoes-last | Office | 60 ㎡ | 1 | 60 ㎡ | Considering Load Deck</x:v>
      </x:c>
      <x:c r="J806" s="43" t="str">
        <x:v>자동추출·검토필요</x:v>
      </x:c>
    </x:row>
    <x:row r="807">
      <x:c r="A807" s="43" t="str">
        <x:v>L2023-00061-1</x:v>
      </x:c>
      <x:c r="B807" s="43" t="str">
        <x:v>연면적·면적</x:v>
      </x:c>
      <x:c r="C807" s="46" t="str">
        <x:v>㎡</x:v>
      </x:c>
      <x:c r="D807" s="46" t="str">
        <x:v>125 ㎡ | 125 ㎡</x:v>
      </x:c>
      <x:c r="E807" s="46" t="str"/>
      <x:c r="F807" s="46" t="str"/>
      <x:c r="G807" s="46" t="str">
        <x:v>L2023-00061-1/붙임 3. 입찰 문서/Section 4 - Request for Proposal.docx</x:v>
      </x:c>
      <x:c r="H807" s="43" t="str">
        <x:v>표 6 행 7</x:v>
      </x:c>
      <x:c r="I807" s="46" t="str">
        <x:v>A New Building | Automatic Shoes-last | Workshop | 125 ㎡ | 1 | 125 ㎡ | Considering Load Deck</x:v>
      </x:c>
      <x:c r="J807" s="43" t="str">
        <x:v>자동추출·검토필요</x:v>
      </x:c>
    </x:row>
    <x:row r="808">
      <x:c r="A808" s="43" t="str">
        <x:v>L2023-00061-1</x:v>
      </x:c>
      <x:c r="B808" s="43" t="str">
        <x:v>연면적·면적</x:v>
      </x:c>
      <x:c r="C808" s="46" t="str">
        <x:v>㎡</x:v>
      </x:c>
      <x:c r="D808" s="46" t="str">
        <x:v>750 ㎡ | 750 ㎡ | 750 ㎡</x:v>
      </x:c>
      <x:c r="E808" s="46" t="str"/>
      <x:c r="F808" s="46" t="str"/>
      <x:c r="G808" s="46" t="str">
        <x:v>L2023-00061-1/붙임 3. 입찰 문서/Section 4 - Request for Proposal.docx</x:v>
      </x:c>
      <x:c r="H808" s="43" t="str">
        <x:v>표 6 행 8</x:v>
      </x:c>
      <x:c r="I808" s="46" t="str">
        <x:v>A New Building | Automatic Shoes-last | Sum | 750 ㎡ | 750 ㎡ | 750 ㎡ | Considering Load Deck</x:v>
      </x:c>
      <x:c r="J808" s="43" t="str">
        <x:v>자동추출·검토필요</x:v>
      </x:c>
    </x:row>
    <x:row r="809">
      <x:c r="A809" s="43" t="str">
        <x:v>L2023-00061-1</x:v>
      </x:c>
      <x:c r="B809" s="43" t="str">
        <x:v>연면적·면적</x:v>
      </x:c>
      <x:c r="C809" s="46" t="str">
        <x:v>㎡</x:v>
      </x:c>
      <x:c r="D809" s="46" t="str">
        <x:v>160 ㎡ | 165 ㎡</x:v>
      </x:c>
      <x:c r="E809" s="46" t="str"/>
      <x:c r="F809" s="46" t="str"/>
      <x:c r="G809" s="46" t="str">
        <x:v>L2023-00061-1/붙임 3. 입찰 문서/Section 4 - Request for Proposal.docx</x:v>
      </x:c>
      <x:c r="H809" s="43" t="str">
        <x:v>표 6 행 9</x:v>
      </x:c>
      <x:c r="I809" s="46" t="str">
        <x:v>A New Building | Surface Preparation | DTP Area | 160 ㎡ | 1 | 165 ㎡ | Considering Load Deck</x:v>
      </x:c>
      <x:c r="J809" s="43" t="str">
        <x:v>자동추출·검토필요</x:v>
      </x:c>
    </x:row>
    <x:row r="810">
      <x:c r="A810" s="43" t="str">
        <x:v>L2023-00061-1</x:v>
      </x:c>
      <x:c r="B810" s="43" t="str">
        <x:v>연면적·면적</x:v>
      </x:c>
      <x:c r="C810" s="46" t="str">
        <x:v>㎡</x:v>
      </x:c>
      <x:c r="D810" s="46" t="str">
        <x:v>60 ㎡ | 60 ㎡</x:v>
      </x:c>
      <x:c r="E810" s="46" t="str"/>
      <x:c r="F810" s="46" t="str"/>
      <x:c r="G810" s="46" t="str">
        <x:v>L2023-00061-1/붙임 3. 입찰 문서/Section 4 - Request for Proposal.docx</x:v>
      </x:c>
      <x:c r="H810" s="43" t="str">
        <x:v>표 6 행 10</x:v>
      </x:c>
      <x:c r="I810" s="46" t="str">
        <x:v>A New Building | Surface Preparation | Storage | 60 ㎡ | 1 | 60 ㎡ | Considering Load Deck</x:v>
      </x:c>
      <x:c r="J810" s="43" t="str">
        <x:v>자동추출·검토필요</x:v>
      </x:c>
    </x:row>
    <x:row r="811">
      <x:c r="A811" s="43" t="str">
        <x:v>L2023-00061-1</x:v>
      </x:c>
      <x:c r="B811" s="43" t="str">
        <x:v>연면적·면적</x:v>
      </x:c>
      <x:c r="C811" s="46" t="str">
        <x:v>㎡</x:v>
      </x:c>
      <x:c r="D811" s="46" t="str">
        <x:v>85 ㎡ | 85 ㎡</x:v>
      </x:c>
      <x:c r="E811" s="46" t="str"/>
      <x:c r="F811" s="46" t="str"/>
      <x:c r="G811" s="46" t="str">
        <x:v>L2023-00061-1/붙임 3. 입찰 문서/Section 4 - Request for Proposal.docx</x:v>
      </x:c>
      <x:c r="H811" s="43" t="str">
        <x:v>표 6 행 11</x:v>
      </x:c>
      <x:c r="I811" s="46" t="str">
        <x:v>A New Building | Surface Preparation | Laminate | 85 ㎡ | 1 | 85 ㎡ | Considering Load Deck</x:v>
      </x:c>
      <x:c r="J811" s="43" t="str">
        <x:v>자동추출·검토필요</x:v>
      </x:c>
    </x:row>
    <x:row r="812">
      <x:c r="A812" s="43" t="str">
        <x:v>L2023-00061-1</x:v>
      </x:c>
      <x:c r="B812" s="43" t="str">
        <x:v>연면적·면적</x:v>
      </x:c>
      <x:c r="C812" s="46" t="str">
        <x:v>㎡</x:v>
      </x:c>
      <x:c r="D812" s="46" t="str">
        <x:v>210 ㎡ | 210 ㎡ | 210 ㎡</x:v>
      </x:c>
      <x:c r="E812" s="46" t="str"/>
      <x:c r="F812" s="46" t="str"/>
      <x:c r="G812" s="46" t="str">
        <x:v>L2023-00061-1/붙임 3. 입찰 문서/Section 4 - Request for Proposal.docx</x:v>
      </x:c>
      <x:c r="H812" s="43" t="str">
        <x:v>표 6 행 12</x:v>
      </x:c>
      <x:c r="I812" s="46" t="str">
        <x:v>A New Building | Surface Preparation | Sum | 210 ㎡ | 210 ㎡ | 210 ㎡ | Considering Load Deck</x:v>
      </x:c>
      <x:c r="J812" s="43" t="str">
        <x:v>자동추출·검토필요</x:v>
      </x:c>
    </x:row>
    <x:row r="813">
      <x:c r="A813" s="43" t="str">
        <x:v>L2023-00061-1</x:v>
      </x:c>
      <x:c r="B813" s="43" t="str">
        <x:v>연면적·면적</x:v>
      </x:c>
      <x:c r="C813" s="46" t="str">
        <x:v>㎡</x:v>
      </x:c>
      <x:c r="D813" s="46" t="str">
        <x:v>30 ㎡ | 30 ㎡</x:v>
      </x:c>
      <x:c r="E813" s="46" t="str"/>
      <x:c r="F813" s="46" t="str"/>
      <x:c r="G813" s="46" t="str">
        <x:v>L2023-00061-1/붙임 3. 입찰 문서/Section 4 - Request for Proposal.docx</x:v>
      </x:c>
      <x:c r="H813" s="43" t="str">
        <x:v>표 6 행 13</x:v>
      </x:c>
      <x:c r="I813" s="46" t="str">
        <x:v>A New Building | Common | Electric Room | 30 ㎡ | 1 | 30 ㎡ | Considering the Accessibility from main road</x:v>
      </x:c>
      <x:c r="J813" s="43" t="str">
        <x:v>자동추출·검토필요</x:v>
      </x:c>
    </x:row>
    <x:row r="814">
      <x:c r="A814" s="43" t="str">
        <x:v>L2023-00061-1</x:v>
      </x:c>
      <x:c r="B814" s="43" t="str">
        <x:v>연면적·면적</x:v>
      </x:c>
      <x:c r="C814" s="46" t="str">
        <x:v>㎡</x:v>
      </x:c>
      <x:c r="D814" s="46" t="str">
        <x:v>60 ㎡ | 60 ㎡</x:v>
      </x:c>
      <x:c r="E814" s="46" t="str"/>
      <x:c r="F814" s="46" t="str"/>
      <x:c r="G814" s="46" t="str">
        <x:v>L2023-00061-1/붙임 3. 입찰 문서/Section 4 - Request for Proposal.docx</x:v>
      </x:c>
      <x:c r="H814" s="43" t="str">
        <x:v>표 6 행 14</x:v>
      </x:c>
      <x:c r="I814" s="46" t="str">
        <x:v>A New Building | Common | Toilet | 60 ㎡ | 1 | 60 ㎡ | Considering the Accessibility from main road</x:v>
      </x:c>
      <x:c r="J814" s="43" t="str">
        <x:v>자동추출·검토필요</x:v>
      </x:c>
    </x:row>
    <x:row r="815">
      <x:c r="A815" s="43" t="str">
        <x:v>L2023-00061-1</x:v>
      </x:c>
      <x:c r="B815" s="43" t="str">
        <x:v>연면적·면적</x:v>
      </x:c>
      <x:c r="C815" s="46" t="str">
        <x:v>㎡</x:v>
      </x:c>
      <x:c r="D815" s="46" t="str">
        <x:v>50 ㎡ | 50 ㎡</x:v>
      </x:c>
      <x:c r="E815" s="46" t="str"/>
      <x:c r="F815" s="46" t="str"/>
      <x:c r="G815" s="46" t="str">
        <x:v>L2023-00061-1/붙임 3. 입찰 문서/Section 4 - Request for Proposal.docx</x:v>
      </x:c>
      <x:c r="H815" s="43" t="str">
        <x:v>표 6 행 15</x:v>
      </x:c>
      <x:c r="I815" s="46" t="str">
        <x:v>A New Building | Common | Shower | 50 ㎡ | 1 | 50 ㎡ | Considering the Accessibility from main road</x:v>
      </x:c>
      <x:c r="J815" s="43" t="str">
        <x:v>자동추출·검토필요</x:v>
      </x:c>
    </x:row>
    <x:row r="816">
      <x:c r="A816" s="43" t="str">
        <x:v>L2023-00061-1</x:v>
      </x:c>
      <x:c r="B816" s="43" t="str">
        <x:v>연면적·면적</x:v>
      </x:c>
      <x:c r="C816" s="46" t="str">
        <x:v>㎡</x:v>
      </x:c>
      <x:c r="D816" s="46" t="str">
        <x:v>60 ㎡ | 50 ㎡</x:v>
      </x:c>
      <x:c r="E816" s="46" t="str"/>
      <x:c r="F816" s="46" t="str"/>
      <x:c r="G816" s="46" t="str">
        <x:v>L2023-00061-1/붙임 3. 입찰 문서/Section 4 - Request for Proposal.docx</x:v>
      </x:c>
      <x:c r="H816" s="43" t="str">
        <x:v>표 6 행 16</x:v>
      </x:c>
      <x:c r="I816" s="46" t="str">
        <x:v>A New Building | Common | Loading Area | 60 ㎡ | 1 | 50 ㎡ | Considering the Accessibility from main road</x:v>
      </x:c>
      <x:c r="J816" s="43" t="str">
        <x:v>자동추출·검토필요</x:v>
      </x:c>
    </x:row>
    <x:row r="817">
      <x:c r="A817" s="43" t="str">
        <x:v>L2023-00061-1</x:v>
      </x:c>
      <x:c r="B817" s="43" t="str">
        <x:v>연면적·면적</x:v>
      </x:c>
      <x:c r="C817" s="46" t="str">
        <x:v>㎡</x:v>
      </x:c>
      <x:c r="D817" s="46" t="str">
        <x:v>190 ㎡ | 190 ㎡ | 190 ㎡</x:v>
      </x:c>
      <x:c r="E817" s="46" t="str"/>
      <x:c r="F817" s="46" t="str"/>
      <x:c r="G817" s="46" t="str">
        <x:v>L2023-00061-1/붙임 3. 입찰 문서/Section 4 - Request for Proposal.docx</x:v>
      </x:c>
      <x:c r="H817" s="43" t="str">
        <x:v>표 6 행 17</x:v>
      </x:c>
      <x:c r="I817" s="46" t="str">
        <x:v>A New Building | Common | Sum | 190 ㎡ | 190 ㎡ | 190 ㎡ | Considering the Accessibility from main road</x:v>
      </x:c>
      <x:c r="J817" s="43" t="str">
        <x:v>자동추출·검토필요</x:v>
      </x:c>
    </x:row>
    <x:row r="818">
      <x:c r="A818" s="43" t="str">
        <x:v>L2023-00061-1</x:v>
      </x:c>
      <x:c r="B818" s="43" t="str">
        <x:v>연면적·면적</x:v>
      </x:c>
      <x:c r="C818" s="46" t="str">
        <x:v>㎡</x:v>
      </x:c>
      <x:c r="D818" s="46" t="str">
        <x:v>1,250 ㎡ | 1,250 ㎡ | 1,250 ㎡ | 1,250 ㎡</x:v>
      </x:c>
      <x:c r="E818" s="46" t="str"/>
      <x:c r="F818" s="46" t="str"/>
      <x:c r="G818" s="46" t="str">
        <x:v>L2023-00061-1/붙임 3. 입찰 문서/Section 4 - Request for Proposal.docx</x:v>
      </x:c>
      <x:c r="H818" s="43" t="str">
        <x:v>표 6 행 19</x:v>
      </x:c>
      <x:c r="I818" s="46" t="str">
        <x:v>A New Building | SUM | SUM | 1,250 ㎡ | 1,250 ㎡ | 1,250 ㎡ | 1,250 ㎡</x:v>
      </x:c>
      <x:c r="J818" s="43" t="str">
        <x:v>자동추출·검토필요</x:v>
      </x:c>
    </x:row>
    <x:row r="819">
      <x:c r="A819" s="43" t="str">
        <x:v>L2023-00061-1</x:v>
      </x:c>
      <x:c r="B819" s="43" t="str">
        <x:v>연면적·면적</x:v>
      </x:c>
      <x:c r="C819" s="46" t="str">
        <x:v>㎡</x:v>
      </x:c>
      <x:c r="D819" s="46" t="str">
        <x:v>110 ㎡ | 110 ㎡</x:v>
      </x:c>
      <x:c r="E819" s="46" t="str"/>
      <x:c r="F819" s="46" t="str"/>
      <x:c r="G819" s="46" t="str">
        <x:v>L2023-00061-1/붙임 3. 입찰 문서/Section 4 - Request for Proposal.docx</x:v>
      </x:c>
      <x:c r="H819" s="43" t="str">
        <x:v>표 7 행 2</x:v>
      </x:c>
      <x:c r="I819" s="46" t="str">
        <x:v>B remodeling | SMEs Center | SMEs Room | 110 ㎡ | 1 | 110 ㎡ | The outer deck area is considered for installation in collaboration with the landscaping plan of the adjacent project.</x:v>
      </x:c>
      <x:c r="J819" s="43" t="str">
        <x:v>자동추출·검토필요</x:v>
      </x:c>
    </x:row>
    <x:row r="820">
      <x:c r="A820" s="43" t="str">
        <x:v>L2023-00061-1</x:v>
      </x:c>
      <x:c r="B820" s="43" t="str">
        <x:v>연면적·면적</x:v>
      </x:c>
      <x:c r="C820" s="46" t="str">
        <x:v>㎡</x:v>
      </x:c>
      <x:c r="D820" s="46" t="str">
        <x:v>40 ㎡ | 40 ㎡</x:v>
      </x:c>
      <x:c r="E820" s="46" t="str"/>
      <x:c r="F820" s="46" t="str"/>
      <x:c r="G820" s="46" t="str">
        <x:v>L2023-00061-1/붙임 3. 입찰 문서/Section 4 - Request for Proposal.docx</x:v>
      </x:c>
      <x:c r="H820" s="43" t="str">
        <x:v>표 7 행 3</x:v>
      </x:c>
      <x:c r="I820" s="46" t="str">
        <x:v>B remodeling | SMEs Center | Meeting Room | 40 ㎡ | 1 | 40 ㎡ | The outer deck area is considered for installation in collaboration with the landscaping plan of the adjacent project.</x:v>
      </x:c>
      <x:c r="J820" s="43" t="str">
        <x:v>자동추출·검토필요</x:v>
      </x:c>
    </x:row>
    <x:row r="821">
      <x:c r="A821" s="43" t="str">
        <x:v>L2023-00061-1</x:v>
      </x:c>
      <x:c r="B821" s="43" t="str">
        <x:v>연면적·면적</x:v>
      </x:c>
      <x:c r="C821" s="46" t="str">
        <x:v>㎡</x:v>
      </x:c>
      <x:c r="D821" s="46" t="str">
        <x:v>20 ㎡ | 20 ㎡</x:v>
      </x:c>
      <x:c r="E821" s="46" t="str"/>
      <x:c r="F821" s="46" t="str"/>
      <x:c r="G821" s="46" t="str">
        <x:v>L2023-00061-1/붙임 3. 입찰 문서/Section 4 - Request for Proposal.docx</x:v>
      </x:c>
      <x:c r="H821" s="43" t="str">
        <x:v>표 7 행 4</x:v>
      </x:c>
      <x:c r="I821" s="46" t="str">
        <x:v>B remodeling | SMEs Center | Photo Room | 20 ㎡ | 1 | 20 ㎡ | The outer deck area is considered for installation in collaboration with the landscaping plan of the adjacent project.</x:v>
      </x:c>
      <x:c r="J821" s="43" t="str">
        <x:v>자동추출·검토필요</x:v>
      </x:c>
    </x:row>
    <x:row r="822">
      <x:c r="A822" s="43" t="str">
        <x:v>L2023-00061-1</x:v>
      </x:c>
      <x:c r="B822" s="43" t="str">
        <x:v>연면적·면적</x:v>
      </x:c>
      <x:c r="C822" s="46" t="str">
        <x:v>㎡</x:v>
      </x:c>
      <x:c r="D822" s="46" t="str">
        <x:v>30 ㎡ | 30 ㎡</x:v>
      </x:c>
      <x:c r="E822" s="46" t="str"/>
      <x:c r="F822" s="46" t="str"/>
      <x:c r="G822" s="46" t="str">
        <x:v>L2023-00061-1/붙임 3. 입찰 문서/Section 4 - Request for Proposal.docx</x:v>
      </x:c>
      <x:c r="H822" s="43" t="str">
        <x:v>표 7 행 5</x:v>
      </x:c>
      <x:c r="I822" s="46" t="str">
        <x:v>B remodeling | SMEs Center | Office | 30 ㎡ | 1 | 30 ㎡ | The outer deck area is considered for installation in collaboration with the landscaping plan of the adjacent project.</x:v>
      </x:c>
      <x:c r="J822" s="43" t="str">
        <x:v>자동추출·검토필요</x:v>
      </x:c>
    </x:row>
    <x:row r="823">
      <x:c r="A823" s="43" t="str">
        <x:v>L2023-00061-1</x:v>
      </x:c>
      <x:c r="B823" s="43" t="str">
        <x:v>연면적·면적</x:v>
      </x:c>
      <x:c r="C823" s="46" t="str">
        <x:v>㎡</x:v>
      </x:c>
      <x:c r="D823" s="46" t="str">
        <x:v>13 ㎡ | 13 ㎡</x:v>
      </x:c>
      <x:c r="E823" s="46" t="str"/>
      <x:c r="F823" s="46" t="str"/>
      <x:c r="G823" s="46" t="str">
        <x:v>L2023-00061-1/붙임 3. 입찰 문서/Section 4 - Request for Proposal.docx</x:v>
      </x:c>
      <x:c r="H823" s="43" t="str">
        <x:v>표 7 행 6</x:v>
      </x:c>
      <x:c r="I823" s="46" t="str">
        <x:v>B remodeling | SMEs Center | Canteen | 13 ㎡ | 1 | 13 ㎡ | The outer deck area is considered for installation in collaboration with the landscaping plan of the adjacent project.</x:v>
      </x:c>
      <x:c r="J823" s="43" t="str">
        <x:v>자동추출·검토필요</x:v>
      </x:c>
    </x:row>
    <x:row r="824">
      <x:c r="A824" s="43" t="str">
        <x:v>L2023-00061-1</x:v>
      </x:c>
      <x:c r="B824" s="43" t="str">
        <x:v>연면적·면적</x:v>
      </x:c>
      <x:c r="C824" s="46" t="str">
        <x:v>㎡</x:v>
      </x:c>
      <x:c r="D824" s="46" t="str">
        <x:v>17 ㎡ | 17 ㎡</x:v>
      </x:c>
      <x:c r="E824" s="46" t="str"/>
      <x:c r="F824" s="46" t="str"/>
      <x:c r="G824" s="46" t="str">
        <x:v>L2023-00061-1/붙임 3. 입찰 문서/Section 4 - Request for Proposal.docx</x:v>
      </x:c>
      <x:c r="H824" s="43" t="str">
        <x:v>표 7 행 7</x:v>
      </x:c>
      <x:c r="I824" s="46" t="str">
        <x:v>B remodeling | SMEs Center | Toilet | 17 ㎡ | 1 | 17 ㎡ | The outer deck area is considered for installation in collaboration with the landscaping plan of the adjacent project.</x:v>
      </x:c>
      <x:c r="J824" s="43" t="str">
        <x:v>자동추출·검토필요</x:v>
      </x:c>
    </x:row>
    <x:row r="825">
      <x:c r="A825" s="43" t="str">
        <x:v>L2023-00061-1</x:v>
      </x:c>
      <x:c r="B825" s="43" t="str">
        <x:v>연면적·면적</x:v>
      </x:c>
      <x:c r="C825" s="46" t="str">
        <x:v>㎡</x:v>
      </x:c>
      <x:c r="D825" s="46" t="str">
        <x:v>230 ㎡ | 230 ㎡ | 230 ㎡ | 230 ㎡</x:v>
      </x:c>
      <x:c r="E825" s="46" t="str"/>
      <x:c r="F825" s="46" t="str"/>
      <x:c r="G825" s="46" t="str">
        <x:v>L2023-00061-1/붙임 3. 입찰 문서/Section 4 - Request for Proposal.docx</x:v>
      </x:c>
      <x:c r="H825" s="43" t="str">
        <x:v>표 7 행 9</x:v>
      </x:c>
      <x:c r="I825" s="46" t="str">
        <x:v>B remodeling | SUM | SUM | 230 ㎡ | 230 ㎡ | 230 ㎡ | 230 ㎡</x:v>
      </x:c>
      <x:c r="J825" s="43" t="str">
        <x:v>자동추출·검토필요</x:v>
      </x:c>
    </x:row>
    <x:row r="826">
      <x:c r="A826" s="43" t="str">
        <x:v>L2023-00061-1</x:v>
      </x:c>
      <x:c r="B826" s="43" t="str">
        <x:v>연면적·면적</x:v>
      </x:c>
      <x:c r="C826" s="46" t="str">
        <x:v>㎡</x:v>
      </x:c>
      <x:c r="D826" s="46" t="str">
        <x:v>420 ㎡ | 420 ㎡</x:v>
      </x:c>
      <x:c r="E826" s="46" t="str"/>
      <x:c r="F826" s="46" t="str"/>
      <x:c r="G826" s="46" t="str">
        <x:v>L2023-00061-1/붙임 3. 입찰 문서/Section 4 - Request for Proposal.docx</x:v>
      </x:c>
      <x:c r="H826" s="43" t="str">
        <x:v>표 8 행 2</x:v>
      </x:c>
      <x:c r="I826" s="46" t="str">
        <x:v>C Renovation | Leather dry with high vibration | Leather dry with high vibration | 420㎡ | 1 | 420㎡ | Relocation of existing equipment</x:v>
      </x:c>
      <x:c r="J826" s="43" t="str">
        <x:v>자동추출·검토필요</x:v>
      </x:c>
    </x:row>
    <x:row r="827">
      <x:c r="A827" s="43" t="str">
        <x:v>L2023-00061-1</x:v>
      </x:c>
      <x:c r="B827" s="43" t="str">
        <x:v>연면적·면적</x:v>
      </x:c>
      <x:c r="C827" s="46" t="str">
        <x:v>㎡</x:v>
      </x:c>
      <x:c r="D827" s="46" t="str">
        <x:v>420 ㎡ | 420 ㎡ | 420 ㎡ | 420 ㎡</x:v>
      </x:c>
      <x:c r="E827" s="46" t="str"/>
      <x:c r="F827" s="46" t="str"/>
      <x:c r="G827" s="46" t="str">
        <x:v>L2023-00061-1/붙임 3. 입찰 문서/Section 4 - Request for Proposal.docx</x:v>
      </x:c>
      <x:c r="H827" s="43" t="str">
        <x:v>표 8 행 4</x:v>
      </x:c>
      <x:c r="I827" s="46" t="str">
        <x:v>C Renovation | SUM | SUM | 420 ㎡ | 420 ㎡ | 420 ㎡ | 420 ㎡</x:v>
      </x:c>
      <x:c r="J827" s="43" t="str">
        <x:v>자동추출·검토필요</x:v>
      </x:c>
    </x:row>
    <x:row r="828">
      <x:c r="A828" s="43" t="str">
        <x:v>L2023-00061-1</x:v>
      </x:c>
      <x:c r="B828" s="43" t="str">
        <x:v>연면적·면적</x:v>
      </x:c>
      <x:c r="C828" s="46" t="str">
        <x:v>floor area, ㎡</x:v>
      </x:c>
      <x:c r="D828" s="46" t="str">
        <x:v>42,000 ㎡ | 1,250 ㎡ | 230 ㎡ | 420 ㎡</x:v>
      </x:c>
      <x:c r="E828" s="46" t="str"/>
      <x:c r="F828" s="46" t="str"/>
      <x:c r="G828" s="46" t="str">
        <x:v>L2023-00061-1/붙임 3. 입찰 문서/Section 5 - Space Program reference.pdf</x:v>
      </x:c>
      <x:c r="H828" s="43" t="str">
        <x:v>페이지 2</x:v>
      </x:c>
      <x:c r="I828" s="46" t="str">
        <x:v>I. Project Information and Scope of Work 1. Site Plan &lt;Figure 1&gt; LIDI R&amp;D CENTER Satellite Image and Site Plan A. Project Information - Details Ethiopia Addis Ababa Akaki Kaliti Project Region (8°92'60.4"N 38°75'82.8"E / About 42,000㎡) Project Address WQG5+84R, Addis Ababa, Ethiopia Building Occupancy Industrial and Business Classification Construction New construction and remodeling, renovation/ Steel structure and Type reinforced concrete A. New Construction: Shoe Last Automation and Surface Upgrading Facility Project B. Remodeling: SMEs Support Center (existing cafeteria) Description C. Renovation: High-Vibration Leather Drying Facility (existing tannery building) A. New Construction: Total 1,250㎡ / 1 Story /Long Span Structure Floor Area and B. Remodeling: Total 230㎡ / 1 Story / Reuse of the existing cafeteria Height C. Renovation(Repair &amp; Upgrade): Total 420㎡ / 1 Story / Reuse of existing tannery building Consideration Careful prior consultation and technical support are required for equipment &lt;Table 1&gt; Project Information - 2 -</x:v>
      </x:c>
      <x:c r="J828" s="43" t="str">
        <x:v>자동추출·검토필요</x:v>
      </x:c>
    </x:row>
    <x:row r="829">
      <x:c r="A829" s="43" t="str">
        <x:v>L2023-00061-1</x:v>
      </x:c>
      <x:c r="B829" s="43" t="str">
        <x:v>연면적·면적</x:v>
      </x:c>
      <x:c r="C829" s="46" t="str">
        <x:v>floor area, ㎡</x:v>
      </x:c>
      <x:c r="D829" s="46" t="str">
        <x:v>95 ㎡ | 1 95 ㎡ | 285 ㎡ | 1 285 ㎡ | 95 ㎡ | 1 95 ㎡ | 90 ㎡ | 1 90 ㎡</x:v>
      </x:c>
      <x:c r="E829" s="46" t="str"/>
      <x:c r="F829" s="46" t="str"/>
      <x:c r="G829" s="46" t="str">
        <x:v>L2023-00061-1/붙임 3. 입찰 문서/Section 5 - Space Program reference.pdf</x:v>
      </x:c>
      <x:c r="H829" s="43" t="str">
        <x:v>페이지 3</x:v>
      </x:c>
      <x:c r="I829" s="46" t="str">
        <x:v>ㅇ For New Buildings(Shoe Last Automation and Surface Upgrading Facility), it is recommended to be planned and constructed them with a long span structure in consideration of the flexible utilization of the building in the future. ㅇ The existing cafeteria, which is being remodeled as an SMEs Support Center, not only needs to review whether it is possible to change the structure of the space to be planned through a structural safety inspection in advance, but also needs to replace damaged ceilings, roofing materials, and gutters, so replacement of existing roof trusses (structures) may be requested. ㅇ For High-Vibration Leather Drying Facility, the existing tannery factory needs to be renovated by relocating(removing) existing equipments and install new equipments for the new purpose of space, as well as upgrading throughout surfaces of walls and floor finishes. In addition to, the concrete pad needs to be installed underneath of the new equipments in order to consider the load of new equipments while providing leveled the floor. ㅇ To archive the project goal, it is also necessary to carefully consider the surroundings, especially landscape design related to projects under constructi</x:v>
      </x:c>
      <x:c r="J829" s="43" t="str">
        <x:v>자동추출·검토필요</x:v>
      </x:c>
    </x:row>
    <x:row r="830">
      <x:c r="A830" s="43" t="str">
        <x:v>L2023-00061-1</x:v>
      </x:c>
      <x:c r="B830" s="43" t="str">
        <x:v>연면적·면적</x:v>
      </x:c>
      <x:c r="C830" s="46" t="str">
        <x:v>㎡</x:v>
      </x:c>
      <x:c r="D830" s="46" t="str">
        <x:v>60 ㎡ | 1 60 ㎡ | 85 ㎡ | 1 85 ㎡ | 210 ㎡ | 30 ㎡ | 1 30 ㎡ | 60 ㎡</x:v>
      </x:c>
      <x:c r="E830" s="46" t="str"/>
      <x:c r="F830" s="46" t="str"/>
      <x:c r="G830" s="46" t="str">
        <x:v>L2023-00061-1/붙임 3. 입찰 문서/Section 5 - Space Program reference.pdf</x:v>
      </x:c>
      <x:c r="H830" s="43" t="str">
        <x:v>페이지 4</x:v>
      </x:c>
      <x:c r="I830" s="46" t="str">
        <x:v>Warehouse 60 ㎡ 1 60 ㎡ Laminating 85 ㎡ 1 85 ㎡ Total 210 ㎡ Electrical room 30 ㎡ 1 30 ㎡ Highly Toilet 60 ㎡ 1 60 ㎡ accessible Common location Shower Room 50 ㎡ 1 50 ㎡ space adjacent to Loading Zone 60 ㎡ 1 50 ㎡ main road in property Total 190 ㎡ -To Plan the pathways to facilitate easy access for small trucks within the facility, allowing for the smooth transportation of various production materials and products -To provide accessible toilet stalls for disabilities within the public restroom, strategically located adjacent to public shower facilities -To plan each as a separate modules, Shoe Last Automation and Leather Surface Upgrading -For Loading Zone, to consider separating it from internal pedestrian routes and also consider the main vehicle Considerations entrances(gate) around the complex -Ensuring pedestrian safety by separating main entrance and access routes from cargo handling areas, and incorporating this into the planning -For electrical room, sufficient space is secured through prior consultation -To review the layout that integrates restrooms and showers, ensuring gender-separated spaces for privacy. Consider planning a prayer room within the area and providing a breastfeed</x:v>
      </x:c>
      <x:c r="J830" s="43" t="str">
        <x:v>자동추출·검토필요</x:v>
      </x:c>
    </x:row>
    <x:row r="831">
      <x:c r="A831" s="43" t="str">
        <x:v>L2023-00061-1</x:v>
      </x:c>
      <x:c r="B831" s="43" t="str">
        <x:v>연면적·면적</x:v>
      </x:c>
      <x:c r="C831" s="46" t="str">
        <x:v>㎡</x:v>
      </x:c>
      <x:c r="D831" s="46" t="str">
        <x:v>230 ㎡ | 420 ㎡ | 1 420 ㎡ | 420 ㎡</x:v>
      </x:c>
      <x:c r="E831" s="46" t="str"/>
      <x:c r="F831" s="46" t="str"/>
      <x:c r="G831" s="46" t="str">
        <x:v>L2023-00061-1/붙임 3. 입찰 문서/Section 5 - Space Program reference.pdf</x:v>
      </x:c>
      <x:c r="H831" s="43" t="str">
        <x:v>페이지 5</x:v>
      </x:c>
      <x:c r="I831" s="46" t="str">
        <x:v>finishing materials -Demolition and reinstallation of plumbing in existing restrooms and showers are required -Exterior wall cladding restoration, replacement of roofing material, and renewal of gutter systems are required -Due to the installation of new roofing and ceiling materials, a review of potential roof structure replacement is necessary, and a Structural Safety Diagnosis is essential for this purpose -Need to plan the main entrance considering the level difference with the newly constructed pedestrian passage adjacent to the building. -Need to review the rearrangement of existing trench drains adjacent to the building -Existing wall demolition and wall repair work are required according to the proposed plan alternatives Total 230 ㎡ - Area No. of Room Total Considerations Existing High-Vibration Leather Drying 420㎡ 1 420㎡ facilities need Facility to be relocated -It is necessary to remove equipment, mechanical devices, lighting fixtures, etc. in the existing space (upper and lower levels) C -Upgrading space through wall finishing materials and floor finishing materials Renova -As part of the floor leveling process, consider installing Considerations tion concrete pads benea</x:v>
      </x:c>
      <x:c r="J831" s="43" t="str">
        <x:v>자동추출·검토필요</x:v>
      </x:c>
    </x:row>
    <x:row r="832">
      <x:c r="A832" s="43" t="str">
        <x:v>L2023-00060-1</x:v>
      </x:c>
      <x:c r="B832" s="43" t="str">
        <x:v>연면적·면적</x:v>
      </x:c>
      <x:c r="C832" s="46" t="str">
        <x:v>floor area, building area, ㎡</x:v>
      </x:c>
      <x:c r="D832" s="46" t="str">
        <x:v>1,490 ㎡ | 2,983 ㎡ | 2,983 ㎡ | 2,983 m2</x:v>
      </x:c>
      <x:c r="E832" s="46" t="str">
        <x:v>$ 3,875,000.00 | $ 3,778,125.00</x:v>
      </x:c>
      <x:c r="F832" s="46" t="str">
        <x:v>0.5% | 97.5%</x:v>
      </x:c>
      <x:c r="G832" s="46" t="str">
        <x:v>L2023-00060-1/붙임 1. 입찰공고문 및 서류_영문/Section 2 - Bid data sheet_eng.doc</x:v>
      </x:c>
      <x:c r="H832" s="43" t="str">
        <x:v>문단 24</x:v>
      </x:c>
      <x:c r="I832" s="46" t="str">
        <x:v>- Program Classrooms, Health Practice Room, Multipurpose Room, Director's Office, Personnel Office, meeting room, dining room and kitchen, mechanical and electrical room (among others) - Site area 1,490㎡ - Building area 2,983㎡ - Gross floor area 2,983㎡ - Building scope Number of levels: 3 - Structure Reinforced concrete - Scope of Works Construction of the new building to occupy health training facilities; three (3) level with a total area of 2,983 m2 - Provide construction works that include, but are not limited to the following; - Repair work and/or circulation paving around the building if necessary - Construction of all associated infrastructure requirements such as water, sewage, rainwater drainage for new building and the connection to the existing system - Mechanics, electrical system, acoustic system, security system, fire protection and other necessary installations to make the new building functional - Reception of work with OPAMSS, firefighters, Mayor's Office, as well as the necessary institutions to deliver the respective operating records - All work and procedures related to the functionality of the building · Scheduled Construction Period 540 days · Contract Duration</x:v>
      </x:c>
      <x:c r="J832" s="43" t="str">
        <x:v>자동추출·검토필요</x:v>
      </x:c>
    </x:row>
    <x:row r="833">
      <x:c r="A833" s="43" t="str">
        <x:v>L2023-00058-1</x:v>
      </x:c>
      <x:c r="B833" s="43" t="str">
        <x:v>연면적·면적</x:v>
      </x:c>
      <x:c r="C833" s="46" t="str">
        <x:v>floor area, building area, ㎡</x:v>
      </x:c>
      <x:c r="D833" s="46" t="str">
        <x:v>1,490 ㎡ | 2,983 ㎡ | 2,983 ㎡ | 2,983 m2</x:v>
      </x:c>
      <x:c r="E833" s="46" t="str"/>
      <x:c r="F833" s="46" t="str"/>
      <x:c r="G833" s="46" t="str">
        <x:v>L2023-00058-1/Section 2 - Bid Data Sheet_reannouncement_final.pdf</x:v>
      </x:c>
      <x:c r="H833" s="43" t="str">
        <x:v>페이지 4</x:v>
      </x:c>
      <x:c r="I833" s="46" t="str">
        <x:v>1. Brief of Bidding · Invitation No. L2023-0000-1 Construction of the National Training Center of the Ministry of · Bid Title Health of El Salvador · Summary of Construction The project is located in the facilities of the International Center for Fairs and Conventions (CIFCO), Saloon No. 5 at Avenida La Revolución 222, in the Department of San Salvador. CIFCO is located on two main roads that are; Alameda Manuel Enrique Araujo on the northeast side of El Salvador del Mundo towards La Ceiba and on the southwest side is Avenida de La Revolución, which comes from the pink zone to connect with Alameda Manuel Enrique Araujo. - Location Classrooms, Health Practice Room, Multipurpose Room, - Program Director's Office, Personnel Office, meeting room, dining room and kitchen, mechanical and electrical room (among others) - Site area 1,490㎡ - Building area 2,983㎡ - Gross floor area 2,983㎡ - Building scope Number of levels: 3 - Structure Reinforced concrete Construction of the new building to occupy health training - Scope of Works facilities; three (3) level with a total area of 2,983 m2 - Provide construction works that include, but are not limited to</x:v>
      </x:c>
      <x:c r="J833" s="43" t="str">
        <x:v>자동추출·검토필요</x:v>
      </x:c>
    </x:row>
    <x:row r="834">
      <x:c r="A834" s="43" t="str">
        <x:v>L2023-00057-1</x:v>
      </x:c>
      <x:c r="B834" s="43" t="str">
        <x:v>연면적·면적</x:v>
      </x:c>
      <x:c r="C834" s="46" t="str">
        <x:v>대지면적, ㎡</x:v>
      </x:c>
      <x:c r="D834" s="46" t="str">
        <x:v>1,316 ㎡</x:v>
      </x:c>
      <x:c r="E834" s="46" t="str"/>
      <x:c r="F834" s="46" t="str"/>
      <x:c r="G834" s="46" t="str">
        <x:v>L2023-00057-1/1. 국문 입찰계획_엘살바도르 국립보건교육센터 감리입찰_v4.hwp</x:v>
      </x:c>
      <x:c r="H834" s="43" t="str">
        <x:v>문단 79</x:v>
      </x:c>
      <x:c r="I834" s="46" t="str">
        <x:v>ㅇ 대지면적: 1,316 ㎡</x:v>
      </x:c>
      <x:c r="J834" s="43" t="str">
        <x:v>자동추출·검토필요</x:v>
      </x:c>
    </x:row>
    <x:row r="835">
      <x:c r="A835" s="43" t="str">
        <x:v>L2023-00057-1</x:v>
      </x:c>
      <x:c r="B835" s="43" t="str">
        <x:v>연면적·면적</x:v>
      </x:c>
      <x:c r="C835" s="46" t="str">
        <x:v>건축면적, ㎡</x:v>
      </x:c>
      <x:c r="D835" s="46" t="str">
        <x:v>1,142 ㎡</x:v>
      </x:c>
      <x:c r="E835" s="46" t="str"/>
      <x:c r="F835" s="46" t="str"/>
      <x:c r="G835" s="46" t="str">
        <x:v>L2023-00057-1/1. 국문 입찰계획_엘살바도르 국립보건교육센터 감리입찰_v4.hwp</x:v>
      </x:c>
      <x:c r="H835" s="43" t="str">
        <x:v>문단 80</x:v>
      </x:c>
      <x:c r="I835" s="46" t="str">
        <x:v>ㅇ 건축면적: 1,142 ㎡</x:v>
      </x:c>
      <x:c r="J835" s="43" t="str">
        <x:v>자동추출·검토필요</x:v>
      </x:c>
    </x:row>
    <x:row r="836">
      <x:c r="A836" s="43" t="str">
        <x:v>L2023-00057-1</x:v>
      </x:c>
      <x:c r="B836" s="43" t="str">
        <x:v>연면적·면적</x:v>
      </x:c>
      <x:c r="C836" s="46" t="str">
        <x:v>연면적, ㎡</x:v>
      </x:c>
      <x:c r="D836" s="46" t="str">
        <x:v>2,983 ㎡</x:v>
      </x:c>
      <x:c r="E836" s="46" t="str"/>
      <x:c r="F836" s="46" t="str"/>
      <x:c r="G836" s="46" t="str">
        <x:v>L2023-00057-1/1. 국문 입찰계획_엘살바도르 국립보건교육센터 감리입찰_v4.hwp</x:v>
      </x:c>
      <x:c r="H836" s="43" t="str">
        <x:v>문단 81</x:v>
      </x:c>
      <x:c r="I836" s="46" t="str">
        <x:v>ㅇ 연면적: 2,983 ㎡</x:v>
      </x:c>
      <x:c r="J836" s="43" t="str">
        <x:v>자동추출·검토필요</x:v>
      </x:c>
    </x:row>
    <x:row r="837">
      <x:c r="A837" s="43" t="str">
        <x:v>L2023-00057-1</x:v>
      </x:c>
      <x:c r="B837" s="43" t="str">
        <x:v>연면적·면적</x:v>
      </x:c>
      <x:c r="C837" s="46" t="str">
        <x:v>㎡</x:v>
      </x:c>
      <x:c r="D837" s="46" t="str">
        <x:v>2,900 ㎡</x:v>
      </x:c>
      <x:c r="E837" s="46" t="str"/>
      <x:c r="F837" s="46" t="str"/>
      <x:c r="G837" s="46" t="str">
        <x:v>L2023-00057-1/1. 국문 입찰계획_엘살바도르 국립보건교육센터 감리입찰_v4.hwp</x:v>
      </x:c>
      <x:c r="H837" s="43" t="str">
        <x:v>문단 116</x:v>
      </x:c>
      <x:c r="I837" s="46" t="str">
        <x:v>다. 입찰공고일 기준 최근 5년 이내 단일건물 2,900㎡ 이상인 浥┥ 공사 준공실적, 설계실적浥%！ÿ  또는 감리실적 1건 이상 수행 완료한 자.</x:v>
      </x:c>
      <x:c r="J837" s="43" t="str">
        <x:v>자동추출·검토필요</x:v>
      </x:c>
    </x:row>
    <x:row r="838">
      <x:c r="A838" s="43" t="str">
        <x:v>L2023-00057-1</x:v>
      </x:c>
      <x:c r="B838" s="43" t="str">
        <x:v>연면적·면적</x:v>
      </x:c>
      <x:c r="C838" s="46" t="str">
        <x:v>㎡</x:v>
      </x:c>
      <x:c r="D838" s="46" t="str">
        <x:v>2,900 ㎡</x:v>
      </x:c>
      <x:c r="E838" s="46" t="str"/>
      <x:c r="F838" s="46" t="str"/>
      <x:c r="G838" s="46" t="str">
        <x:v>L2023-00057-1/1. 국문 입찰계획_엘살바도르 국립보건교육센터 감리입찰_v4.hwp</x:v>
      </x:c>
      <x:c r="H838" s="43" t="str">
        <x:v>문단 453</x:v>
      </x:c>
      <x:c r="I838" s="46" t="str">
        <x:v>입찰공고일 기준 최근 5년 이내 2,900㎡ 이상인 단일건물 공사 준공실적, 설계실적 또는 감리실적의 합계</x:v>
      </x:c>
      <x:c r="J838" s="43" t="str">
        <x:v>자동추출·검토필요</x:v>
      </x:c>
    </x:row>
    <x:row r="839">
      <x:c r="A839" s="43" t="str">
        <x:v>L2023-00057-1</x:v>
      </x:c>
      <x:c r="B839" s="43" t="str">
        <x:v>연면적·면적</x:v>
      </x:c>
      <x:c r="C839" s="46" t="str">
        <x:v>㎡</x:v>
      </x:c>
      <x:c r="D839" s="46" t="str">
        <x:v>2,900 ㎡</x:v>
      </x:c>
      <x:c r="E839" s="46" t="str"/>
      <x:c r="F839" s="46" t="str"/>
      <x:c r="G839" s="46" t="str">
        <x:v>L2023-00057-1/1. 국문 입찰계획_엘살바도르 국립보건교육센터 감리입찰_v4.hwp</x:v>
      </x:c>
      <x:c r="H839" s="43" t="str">
        <x:v>문단 454</x:v>
      </x:c>
      <x:c r="I839" s="46" t="str">
        <x:v>(평가기준 : 2,900㎡)</x:v>
      </x:c>
      <x:c r="J839" s="43" t="str">
        <x:v>자동추출·검토필요</x:v>
      </x:c>
    </x:row>
    <x:row r="840">
      <x:c r="A840" s="43" t="str">
        <x:v>L2023-00057-1</x:v>
      </x:c>
      <x:c r="B840" s="43" t="str">
        <x:v>연면적·면적</x:v>
      </x:c>
      <x:c r="C840" s="46" t="str">
        <x:v>㎡</x:v>
      </x:c>
      <x:c r="D840" s="46" t="str">
        <x:v>2,900 ㎡</x:v>
      </x:c>
      <x:c r="E840" s="46" t="str"/>
      <x:c r="F840" s="46" t="str"/>
      <x:c r="G840" s="46" t="str">
        <x:v>L2023-00057-1/2. Bid documents_eng_v4/2. Bid Data Sheet (BDS)_v4.docx</x:v>
      </x:c>
      <x:c r="H840" s="43" t="str">
        <x:v>문단 57</x:v>
      </x:c>
      <x:c r="I840" s="46" t="str">
        <x:v>The Bidder shall have completed at least one project in construction, design, or supervision for a single building (medical, educational, or research facilities) with at least 2,900㎡ in El Salvador within the last 5 years.</x:v>
      </x:c>
      <x:c r="J840" s="43" t="str">
        <x:v>자동추출·검토필요</x:v>
      </x:c>
    </x:row>
    <x:row r="841">
      <x:c r="A841" s="43" t="str">
        <x:v>L2023-00057-1</x:v>
      </x:c>
      <x:c r="B841" s="43" t="str">
        <x:v>연면적·면적</x:v>
      </x:c>
      <x:c r="C841" s="46" t="str">
        <x:v>㎡</x:v>
      </x:c>
      <x:c r="D841" s="46" t="str">
        <x:v>1,316.00 ㎡</x:v>
      </x:c>
      <x:c r="E841" s="46" t="str"/>
      <x:c r="F841" s="46" t="str"/>
      <x:c r="G841" s="46" t="str">
        <x:v>L2023-00057-1/2. Bid documents_eng_v4/2. Bid Data Sheet (BDS)_v4.docx</x:v>
      </x:c>
      <x:c r="H841" s="43" t="str">
        <x:v>표 2 행 5</x:v>
      </x:c>
      <x:c r="I841" s="46" t="str">
        <x:v>Site Area | 1,316.00 ㎡</x:v>
      </x:c>
      <x:c r="J841" s="43" t="str">
        <x:v>자동추출·검토필요</x:v>
      </x:c>
    </x:row>
    <x:row r="842">
      <x:c r="A842" s="43" t="str">
        <x:v>L2023-00057-1</x:v>
      </x:c>
      <x:c r="B842" s="43" t="str">
        <x:v>연면적·면적</x:v>
      </x:c>
      <x:c r="C842" s="46" t="str">
        <x:v>floor area, ㎡</x:v>
      </x:c>
      <x:c r="D842" s="46" t="str">
        <x:v>2,983.00 ㎡</x:v>
      </x:c>
      <x:c r="E842" s="46" t="str"/>
      <x:c r="F842" s="46" t="str"/>
      <x:c r="G842" s="46" t="str">
        <x:v>L2023-00057-1/2. Bid documents_eng_v4/2. Bid Data Sheet (BDS)_v4.docx</x:v>
      </x:c>
      <x:c r="H842" s="43" t="str">
        <x:v>표 2 행 6</x:v>
      </x:c>
      <x:c r="I842" s="46" t="str">
        <x:v>Gross Floor Area | 2,983.00 ㎡</x:v>
      </x:c>
      <x:c r="J842" s="43" t="str">
        <x:v>자동추출·검토필요</x:v>
      </x:c>
    </x:row>
    <x:row r="843">
      <x:c r="A843" s="43" t="str">
        <x:v>L2023-00057-1</x:v>
      </x:c>
      <x:c r="B843" s="43" t="str">
        <x:v>연면적·면적</x:v>
      </x:c>
      <x:c r="C843" s="46" t="str">
        <x:v>floor area, ㎡</x:v>
      </x:c>
      <x:c r="D843" s="46" t="str">
        <x:v>2,900 ㎡</x:v>
      </x:c>
      <x:c r="E843" s="46" t="str"/>
      <x:c r="F843" s="46" t="str"/>
      <x:c r="G843" s="46" t="str">
        <x:v>L2023-00057-1/2. Bid documents_eng_v4/2. Bid Data Sheet (BDS)_v4.docx</x:v>
      </x:c>
      <x:c r="H843" s="43" t="str">
        <x:v>표 4 행 5</x:v>
      </x:c>
      <x:c r="I843" s="46" t="str">
        <x:v>4 | Performance Record [Bidding Form 3] - Project with no less than 2,900㎡ gross floor area (G.F.A.) for the last 5 years as of bid announcement. - Certificate of project experience, official letter or confirmation of final payment issued by the client, or a copy of the contract Financial Status [Bidding Form 4] - Ratio of debt and liquidity at FY 2020~2022 - Financial status with auditor’s report</x:v>
      </x:c>
      <x:c r="J843" s="43" t="str">
        <x:v>자동추출·검토필요</x:v>
      </x:c>
    </x:row>
    <x:row r="844">
      <x:c r="A844" s="43" t="str">
        <x:v>L2023-00057-1</x:v>
      </x:c>
      <x:c r="B844" s="43" t="str">
        <x:v>연면적·면적</x:v>
      </x:c>
      <x:c r="C844" s="46" t="str">
        <x:v>floor area, ㎡</x:v>
      </x:c>
      <x:c r="D844" s="46" t="str">
        <x:v>2,900 ㎡ | 2,900 ㎡</x:v>
      </x:c>
      <x:c r="E844" s="46" t="str"/>
      <x:c r="F844" s="46" t="str"/>
      <x:c r="G844" s="46" t="str">
        <x:v>L2023-00057-1/2. Bid documents_eng_v4/2. Bid Data Sheet (BDS)_v4.docx</x:v>
      </x:c>
      <x:c r="H844" s="43" t="str">
        <x:v>표 6 행 4</x:v>
      </x:c>
      <x:c r="I844" s="46" t="str">
        <x:v>Project Experience (6 points) | Sum of gross floor area (G.F.A) for the experience in construction, design, or supervision projects for a single building (medical, educational, or research facility) with at least 2,900㎡ that have been completed in El Salvador within the last 5 years. (Base Evaluation Grade (E.G.): 2,900㎡) | 6 | 10</x:v>
      </x:c>
      <x:c r="J844" s="43" t="str">
        <x:v>자동추출·검토필요</x:v>
      </x:c>
    </x:row>
    <x:row r="845">
      <x:c r="A845" s="43" t="str">
        <x:v>L2023-00057-1</x:v>
      </x:c>
      <x:c r="B845" s="43" t="str">
        <x:v>연면적·면적</x:v>
      </x:c>
      <x:c r="C845" s="46" t="str">
        <x:v>floor area, ㎡</x:v>
      </x:c>
      <x:c r="D845" s="46" t="str">
        <x:v>2,900 ㎡</x:v>
      </x:c>
      <x:c r="E845" s="46" t="str"/>
      <x:c r="F845" s="46" t="str">
        <x:v>200%</x:v>
      </x:c>
      <x:c r="G845" s="46" t="str">
        <x:v>L2023-00057-1/2. Bid documents_eng_v4/2. Bid Data Sheet (BDS)_v4.docx</x:v>
      </x:c>
      <x:c r="H845" s="43" t="str">
        <x:v>표 8 행 2</x:v>
      </x:c>
      <x:c r="I845" s="46" t="str">
        <x:v>Project Experience (6 Points) | Sum of gross floor Area (G.F.A) for the last 5 years upon bid announcement date (Base Evaluation Grade (E.G.): 2,900㎡) | 200% ≤ E.G. | 6.0</x:v>
      </x:c>
      <x:c r="J845" s="43" t="str">
        <x:v>자동추출·검토필요</x:v>
      </x:c>
    </x:row>
    <x:row r="846">
      <x:c r="A846" s="43" t="str">
        <x:v>L2023-00057-1</x:v>
      </x:c>
      <x:c r="B846" s="43" t="str">
        <x:v>연면적·면적</x:v>
      </x:c>
      <x:c r="C846" s="46" t="str">
        <x:v>floor area, ㎡</x:v>
      </x:c>
      <x:c r="D846" s="46" t="str">
        <x:v>2,900 ㎡</x:v>
      </x:c>
      <x:c r="E846" s="46" t="str"/>
      <x:c r="F846" s="46" t="str">
        <x:v>175% | 200%</x:v>
      </x:c>
      <x:c r="G846" s="46" t="str">
        <x:v>L2023-00057-1/2. Bid documents_eng_v4/2. Bid Data Sheet (BDS)_v4.docx</x:v>
      </x:c>
      <x:c r="H846" s="43" t="str">
        <x:v>표 8 행 3</x:v>
      </x:c>
      <x:c r="I846" s="46" t="str">
        <x:v>Project Experience (6 Points) | Sum of gross floor Area (G.F.A) for the last 5 years upon bid announcement date (Base Evaluation Grade (E.G.): 2,900㎡) | 175% ≤ E.G. &lt; 200% | 5.5</x:v>
      </x:c>
      <x:c r="J846" s="43" t="str">
        <x:v>자동추출·검토필요</x:v>
      </x:c>
    </x:row>
    <x:row r="847">
      <x:c r="A847" s="43" t="str">
        <x:v>L2023-00057-1</x:v>
      </x:c>
      <x:c r="B847" s="43" t="str">
        <x:v>연면적·면적</x:v>
      </x:c>
      <x:c r="C847" s="46" t="str">
        <x:v>floor area, ㎡</x:v>
      </x:c>
      <x:c r="D847" s="46" t="str">
        <x:v>2,900 ㎡</x:v>
      </x:c>
      <x:c r="E847" s="46" t="str"/>
      <x:c r="F847" s="46" t="str">
        <x:v>150% | 175%</x:v>
      </x:c>
      <x:c r="G847" s="46" t="str">
        <x:v>L2023-00057-1/2. Bid documents_eng_v4/2. Bid Data Sheet (BDS)_v4.docx</x:v>
      </x:c>
      <x:c r="H847" s="43" t="str">
        <x:v>표 8 행 4</x:v>
      </x:c>
      <x:c r="I847" s="46" t="str">
        <x:v>Project Experience (6 Points) | Sum of gross floor Area (G.F.A) for the last 5 years upon bid announcement date (Base Evaluation Grade (E.G.): 2,900㎡) | 150% ≤ E.G. &lt; 175% | 5.0</x:v>
      </x:c>
      <x:c r="J847" s="43" t="str">
        <x:v>자동추출·검토필요</x:v>
      </x:c>
    </x:row>
    <x:row r="848">
      <x:c r="A848" s="43" t="str">
        <x:v>L2023-00057-1</x:v>
      </x:c>
      <x:c r="B848" s="43" t="str">
        <x:v>연면적·면적</x:v>
      </x:c>
      <x:c r="C848" s="46" t="str">
        <x:v>floor area, ㎡</x:v>
      </x:c>
      <x:c r="D848" s="46" t="str">
        <x:v>2,900 ㎡</x:v>
      </x:c>
      <x:c r="E848" s="46" t="str"/>
      <x:c r="F848" s="46" t="str">
        <x:v>125% | 150%</x:v>
      </x:c>
      <x:c r="G848" s="46" t="str">
        <x:v>L2023-00057-1/2. Bid documents_eng_v4/2. Bid Data Sheet (BDS)_v4.docx</x:v>
      </x:c>
      <x:c r="H848" s="43" t="str">
        <x:v>표 8 행 5</x:v>
      </x:c>
      <x:c r="I848" s="46" t="str">
        <x:v>Project Experience (6 Points) | Sum of gross floor Area (G.F.A) for the last 5 years upon bid announcement date (Base Evaluation Grade (E.G.): 2,900㎡) | 125% ≤ E.G.&lt; 150% | 4.5</x:v>
      </x:c>
      <x:c r="J848" s="43" t="str">
        <x:v>자동추출·검토필요</x:v>
      </x:c>
    </x:row>
    <x:row r="849">
      <x:c r="A849" s="43" t="str">
        <x:v>L2023-00057-1</x:v>
      </x:c>
      <x:c r="B849" s="43" t="str">
        <x:v>연면적·면적</x:v>
      </x:c>
      <x:c r="C849" s="46" t="str">
        <x:v>floor area, ㎡</x:v>
      </x:c>
      <x:c r="D849" s="46" t="str">
        <x:v>2,900 ㎡</x:v>
      </x:c>
      <x:c r="E849" s="46" t="str"/>
      <x:c r="F849" s="46" t="str">
        <x:v>125%</x:v>
      </x:c>
      <x:c r="G849" s="46" t="str">
        <x:v>L2023-00057-1/2. Bid documents_eng_v4/2. Bid Data Sheet (BDS)_v4.docx</x:v>
      </x:c>
      <x:c r="H849" s="43" t="str">
        <x:v>표 8 행 6</x:v>
      </x:c>
      <x:c r="I849" s="46" t="str">
        <x:v>Project Experience (6 Points) | Sum of gross floor Area (G.F.A) for the last 5 years upon bid announcement date (Base Evaluation Grade (E.G.): 2,900㎡) | E.G. &lt; 125% | 4.2</x:v>
      </x:c>
      <x:c r="J849" s="43" t="str">
        <x:v>자동추출·검토필요</x:v>
      </x:c>
    </x:row>
    <x:row r="850">
      <x:c r="A850" s="43" t="str">
        <x:v>L2023-00054-2</x:v>
      </x:c>
      <x:c r="B850" s="43" t="str">
        <x:v>연면적·면적</x:v>
      </x:c>
      <x:c r="C850" s="46" t="str">
        <x:v>floor area, building area, ㎡</x:v>
      </x:c>
      <x:c r="D850" s="46" t="str">
        <x:v>6,682.620 ㎡ | 2,567.416 ㎡ | 4,284.375 ㎡ | 3,461.411 ㎡ | 637.133 ㎡ | 185.831 ㎡</x:v>
      </x:c>
      <x:c r="E850" s="46" t="str">
        <x:v>USD 5,107,200 | USD 4,980,000 | USD 2,000,000</x:v>
      </x:c>
      <x:c r="F850" s="46" t="str"/>
      <x:c r="G850" s="46" t="str">
        <x:v>L2023-00054-2/Bidding Announcement_231103.pdf</x:v>
      </x:c>
      <x:c r="H850" s="43" t="str">
        <x:v>페이지 1</x:v>
      </x:c>
      <x:c r="I850" s="46" t="str">
        <x:v>Bid No: KOICA-PH-2023-3 Bidding Announcement for Construction Works Date: 03 November 2023 1. The Korea International Cooperation Agency (KOICA) Philippines Office invites the prospective Bidders for `the Construction of the Agricultural Genomics Research Center at the University of the Philippines Los Baños Project’. 2. These Construction Works are to be implemented with the grant aid of the Government of Republic of Korea. 3. Brief of Bidding The Construction of the Agricultural Genomics Research Center at the University of the Bid Title Philippines Los Baños Project Summary of Bidding Purpose Agricultural Genomics Research Center and Green House Project Site UPLB Campus, Los Baños, Laguna, Philippines 1. Lot area: 6,682.620㎡ 2. Building area: 2,567.416㎡ 3. Construction floor area: 4,284.375㎡ a) Main Building(2F) 3,461.411㎡ Scope of Works b) Green House 637.133㎡ c) Utilities 185.831㎡ (Warehouse, Pump room, Genset room, MRF, Guard house) * Construction Works shall include civil works, structural &amp; finishing works, piping/ mechanical works, electric/communication works, firefighting works, bench and signage according to the drawings and specifications Construction Duration 27 Month</x:v>
      </x:c>
      <x:c r="J850" s="43" t="str">
        <x:v>자동추출·검토필요</x:v>
      </x:c>
    </x:row>
    <x:row r="851">
      <x:c r="A851" s="43" t="str">
        <x:v>L2023-00053-1</x:v>
      </x:c>
      <x:c r="B851" s="43" t="str">
        <x:v>연면적·면적</x:v>
      </x:c>
      <x:c r="C851" s="46" t="str">
        <x:v>floor area, gross area, square meter</x:v>
      </x:c>
      <x:c r="D851" s="46" t="str">
        <x:v>5,698 square meters | 1,265 square meters</x:v>
      </x:c>
      <x:c r="E851" s="46" t="str"/>
      <x:c r="F851" s="46" t="str"/>
      <x:c r="G851" s="46" t="str">
        <x:v>L2023-00053-1/Urgench VTC Bid Attachment Documents/Urgench VTC Bid Attachment Documents/Invitation_for_Bids_Bid_Announcement.docx</x:v>
      </x:c>
      <x:c r="H851" s="43" t="str">
        <x:v>표 1 행 5</x:v>
      </x:c>
      <x:c r="I851" s="46" t="str">
        <x:v>- Gross Area | 1. Total floor area of Vocational Training Center : 5,698 square meters approx. 2. Total floor area of Teachers’ Training Center : 1,265 square meters approx.</x:v>
      </x:c>
      <x:c r="J851" s="43" t="str">
        <x:v>자동추출·검토필요</x:v>
      </x:c>
    </x:row>
    <x:row r="852">
      <x:c r="A852" s="43" t="str">
        <x:v>L2023-00053-1</x:v>
      </x:c>
      <x:c r="B852" s="43" t="str">
        <x:v>연면적·면적</x:v>
      </x:c>
      <x:c r="C852" s="46" t="str">
        <x:v>floor area, square meter</x:v>
      </x:c>
      <x:c r="D852" s="46" t="str">
        <x:v>5,698 square meters</x:v>
      </x:c>
      <x:c r="E852" s="46" t="str"/>
      <x:c r="F852" s="46" t="str"/>
      <x:c r="G852" s="46" t="str">
        <x:v>L2023-00053-1/Urgench VTC Bid Attachment Documents/Urgench VTC Bid Attachment Documents/Section 8 - Special Conditions of Contract1.docx</x:v>
      </x:c>
      <x:c r="H852" s="43" t="str">
        <x:v>문단 395</x:v>
      </x:c>
      <x:c r="I852" s="46" t="str">
        <x:v>1. Total floor area of Vocational Training Center : 5,698 square meters approx.</x:v>
      </x:c>
      <x:c r="J852" s="43" t="str">
        <x:v>자동추출·검토필요</x:v>
      </x:c>
    </x:row>
    <x:row r="853">
      <x:c r="A853" s="43" t="str">
        <x:v>L2023-00053-1</x:v>
      </x:c>
      <x:c r="B853" s="43" t="str">
        <x:v>연면적·면적</x:v>
      </x:c>
      <x:c r="C853" s="46" t="str">
        <x:v>floor area, square meter</x:v>
      </x:c>
      <x:c r="D853" s="46" t="str">
        <x:v>1,265 square meters</x:v>
      </x:c>
      <x:c r="E853" s="46" t="str"/>
      <x:c r="F853" s="46" t="str"/>
      <x:c r="G853" s="46" t="str">
        <x:v>L2023-00053-1/Urgench VTC Bid Attachment Documents/Urgench VTC Bid Attachment Documents/Section 8 - Special Conditions of Contract1.docx</x:v>
      </x:c>
      <x:c r="H853" s="43" t="str">
        <x:v>문단 396</x:v>
      </x:c>
      <x:c r="I853" s="46" t="str">
        <x:v>2. Total floor area of Teachers’ Training Center : 1,265 square meters approx.</x:v>
      </x:c>
      <x:c r="J853" s="43" t="str">
        <x:v>자동추출·검토필요</x:v>
      </x:c>
    </x:row>
    <x:row r="854">
      <x:c r="A854" s="43" t="str">
        <x:v>L2023-00053-1</x:v>
      </x:c>
      <x:c r="B854" s="43" t="str">
        <x:v>연면적·면적</x:v>
      </x:c>
      <x:c r="C854" s="46" t="str">
        <x:v>연면적</x:v>
      </x:c>
      <x:c r="D854" s="46" t="str">
        <x:v>6,963 m2</x:v>
      </x:c>
      <x:c r="E854" s="46" t="str"/>
      <x:c r="F854" s="46" t="str"/>
      <x:c r="G854" s="46" t="str">
        <x:v>L2023-00053-1/Urgench VTC Bid Attachment Documents/Urgench VTC Bid Attachment Documents/Urgench_VTC_Bid Annoncement(The Daily Korean News for Korean Residents).docx</x:v>
      </x:c>
      <x:c r="H854" s="43" t="str">
        <x:v>문단 10</x:v>
      </x:c>
      <x:c r="I854" s="46" t="str">
        <x:v>■ 건축규모 : 연면적 총 6,963m2, 지상 2층 3개동, 1층 2개동 및 부속 건물</x:v>
      </x:c>
      <x:c r="J854" s="43" t="str">
        <x:v>자동추출·검토필요</x:v>
      </x:c>
    </x:row>
    <x:row r="855">
      <x:c r="A855" s="43" t="str">
        <x:v>L2023-00045-1</x:v>
      </x:c>
      <x:c r="B855" s="43" t="str">
        <x:v>연면적·면적</x:v>
      </x:c>
      <x:c r="C855" s="46" t="str">
        <x:v>㎡</x:v>
      </x:c>
      <x:c r="D855" s="46" t="str">
        <x:v>453 ㎡ | 390 ㎡ | 63 ㎡</x:v>
      </x:c>
      <x:c r="E855" s="46" t="str"/>
      <x:c r="F855" s="46" t="str"/>
      <x:c r="G855" s="46" t="str">
        <x:v>L2023-00045-1/입찰공고문_영문_Final.docx</x:v>
      </x:c>
      <x:c r="H855" s="43" t="str">
        <x:v>문단 8</x:v>
      </x:c>
      <x:c r="I855" s="46" t="str">
        <x:v>Summary of construction: 453 ㎡ = Makerspace 390 ㎡ + Cafeteria 63 ㎡</x:v>
      </x:c>
      <x:c r="J855" s="43" t="str">
        <x:v>자동추출·검토필요</x:v>
      </x:c>
    </x:row>
    <x:row r="856">
      <x:c r="A856" s="43" t="str">
        <x:v>L2023-00040-1</x:v>
      </x:c>
      <x:c r="B856" s="43" t="str">
        <x:v>연면적·면적</x:v>
      </x:c>
      <x:c r="C856" s="46" t="str">
        <x:v>대지면적, ㎡</x:v>
      </x:c>
      <x:c r="D856" s="46" t="str">
        <x:v>2,339 ㎡</x:v>
      </x:c>
      <x:c r="E856" s="46" t="str"/>
      <x:c r="F856" s="46" t="str"/>
      <x:c r="G856" s="46" t="str">
        <x:v>L2023-00040-1/입찰설명서(국문).hwp</x:v>
      </x:c>
      <x:c r="H856" s="43" t="str">
        <x:v>문단 121</x:v>
      </x:c>
      <x:c r="I856" s="46" t="str">
        <x:v>ㅇ 대지면적 : 2,339㎡</x:v>
      </x:c>
      <x:c r="J856" s="43" t="str">
        <x:v>자동추출·검토필요</x:v>
      </x:c>
    </x:row>
    <x:row r="857">
      <x:c r="A857" s="43" t="str">
        <x:v>L2023-00040-1</x:v>
      </x:c>
      <x:c r="B857" s="43" t="str">
        <x:v>연면적·면적</x:v>
      </x:c>
      <x:c r="C857" s="46" t="str">
        <x:v>연면적, ㎡</x:v>
      </x:c>
      <x:c r="D857" s="46" t="str">
        <x:v>900 ㎡</x:v>
      </x:c>
      <x:c r="E857" s="46" t="str"/>
      <x:c r="F857" s="46" t="str">
        <x:v>5%</x:v>
      </x:c>
      <x:c r="G857" s="46" t="str">
        <x:v>L2023-00040-1/입찰설명서(국문).hwp</x:v>
      </x:c>
      <x:c r="H857" s="43" t="str">
        <x:v>문단 122</x:v>
      </x:c>
      <x:c r="I857" s="46" t="str">
        <x:v>ㅇ 연면적 : 900㎡ (±5% 이내 조정 가능)</x:v>
      </x:c>
      <x:c r="J857" s="43" t="str">
        <x:v>자동추출·검토필요</x:v>
      </x:c>
    </x:row>
    <x:row r="858">
      <x:c r="A858" s="43" t="str">
        <x:v>L2023-00040-1</x:v>
      </x:c>
      <x:c r="B858" s="43" t="str">
        <x:v>연면적·면적</x:v>
      </x:c>
      <x:c r="C858" s="46" t="str">
        <x:v>floor area</x:v>
      </x:c>
      <x:c r="D858" s="46" t="str">
        <x:v>900 m2</x:v>
      </x:c>
      <x:c r="E858" s="46" t="str"/>
      <x:c r="F858" s="46" t="str">
        <x:v>5%</x:v>
      </x:c>
      <x:c r="G858" s="46" t="str">
        <x:v>L2023-00040-1/입찰안내자료(영문)/2. Bid Data Sheet (BDS).docx</x:v>
      </x:c>
      <x:c r="H858" s="43" t="str">
        <x:v>문단 54</x:v>
      </x:c>
      <x:c r="I858" s="46" t="str">
        <x:v>Gross floor area: 900 m2 (GFA can be adjusted within the range of ±5%)</x:v>
      </x:c>
      <x:c r="J858" s="43" t="str">
        <x:v>자동추출·검토필요</x:v>
      </x:c>
    </x:row>
    <x:row r="859">
      <x:c r="A859" s="43" t="str">
        <x:v>L2023-00040-1</x:v>
      </x:c>
      <x:c r="B859" s="43" t="str">
        <x:v>연면적·면적</x:v>
      </x:c>
      <x:c r="C859" s="46" t="str">
        <x:v>floor area</x:v>
      </x:c>
      <x:c r="D859" s="46" t="str">
        <x:v>900 m2</x:v>
      </x:c>
      <x:c r="E859" s="46" t="str"/>
      <x:c r="F859" s="46" t="str">
        <x:v>5%</x:v>
      </x:c>
      <x:c r="G859" s="46" t="str">
        <x:v>L2023-00040-1/입찰안내자료(영문)/4. Terms of Reference.docx</x:v>
      </x:c>
      <x:c r="H859" s="43" t="str">
        <x:v>문단 44</x:v>
      </x:c>
      <x:c r="I859" s="46" t="str">
        <x:v>Gross Floor Area: 900 m2 (GFA can be adjusted within the range of ±5%)</x:v>
      </x:c>
      <x:c r="J859" s="43" t="str">
        <x:v>자동추출·검토필요</x:v>
      </x:c>
    </x:row>
    <x:row r="860">
      <x:c r="A860" s="43" t="str">
        <x:v>L2023-00038-1</x:v>
      </x:c>
      <x:c r="B860" s="43" t="str">
        <x:v>연면적·면적</x:v>
      </x:c>
      <x:c r="C860" s="46" t="str">
        <x:v>연면적, ㎡</x:v>
      </x:c>
      <x:c r="D860" s="46" t="str">
        <x:v>2,700 ㎡</x:v>
      </x:c>
      <x:c r="E860" s="46" t="str"/>
      <x:c r="F860" s="46" t="str"/>
      <x:c r="G860" s="46" t="str">
        <x:v>L2023-00038-1/1. 입찰계획서(피지국립재활센터 건립사업 설계 및 감리 용역)-김우영-230713.hwp</x:v>
      </x:c>
      <x:c r="H860" s="43" t="str">
        <x:v>문단 68</x:v>
      </x:c>
      <x:c r="I860" s="46" t="str">
        <x:v>ㅇ 건축규모 : 연면적 약 2,700㎡, 1층 규모</x:v>
      </x:c>
      <x:c r="J860" s="43" t="str">
        <x:v>자동추출·검토필요</x:v>
      </x:c>
    </x:row>
    <x:row r="861">
      <x:c r="A861" s="43" t="str">
        <x:v>L2023-00038-1</x:v>
      </x:c>
      <x:c r="B861" s="43" t="str">
        <x:v>연면적·면적</x:v>
      </x:c>
      <x:c r="C861" s="46" t="str">
        <x:v>floor area, square meter</x:v>
      </x:c>
      <x:c r="D861" s="46" t="str">
        <x:v>2,700 square meters</x:v>
      </x:c>
      <x:c r="E861" s="46" t="str"/>
      <x:c r="F861" s="46" t="str"/>
      <x:c r="G861" s="46" t="str">
        <x:v>L2023-00038-1/2. 현지입찰 첨부문서 묶음/04_Chapter_4._Invitation_to_Bid.docx</x:v>
      </x:c>
      <x:c r="H861" s="43" t="str">
        <x:v>표 1 행 2</x:v>
      </x:c>
      <x:c r="I861" s="46" t="str">
        <x:v>•Summary of Services | 1. Location of the site: the Province of Naitasiri, on Lot 30 Princess Road, Tamavua, Suva, Fiji 2. Scope of work: Design and Construction Supervision a. Design - National Rehabilitation Center in Fiji - Total floor area: 2,700 square meters, approximately b. Construction Supervision. - During the entire construction, one civil engineer placed on the site during the entire construction period and one mechanical &amp; electrical engineer shall be placed on the site from the start of the ground floor structure works to the completion date. And other experts such as Structural, Firefighting, IT Engineers should be dispatched on the site if necessary.</x:v>
      </x:c>
      <x:c r="J861" s="43" t="str">
        <x:v>자동추출·검토필요</x:v>
      </x:c>
    </x:row>
    <x:row r="862">
      <x:c r="A862" s="43" t="str">
        <x:v>L2023-00038-1</x:v>
      </x:c>
      <x:c r="B862" s="43" t="str">
        <x:v>연면적·면적</x:v>
      </x:c>
      <x:c r="C862" s="46" t="str">
        <x:v>㎡</x:v>
      </x:c>
      <x:c r="D862" s="46" t="str">
        <x:v>30 ㎡ | 10 ㎡</x:v>
      </x:c>
      <x:c r="E862" s="46" t="str"/>
      <x:c r="F862" s="46" t="str"/>
      <x:c r="G862" s="46" t="str">
        <x:v>L2023-00038-1/2. 현지입찰 첨부문서 묶음/Addendum_No.1_Scope_of_the_services.docx</x:v>
      </x:c>
      <x:c r="H862" s="43" t="str">
        <x:v>문단 127</x:v>
      </x:c>
      <x:c r="I862" s="46" t="str">
        <x:v>- Plan and install an integrated space for exercise therapy that serves both outpatient and inpatient, along with a 4-bed room (30㎡) and a preparation room (10㎡) for pain therapy.</x:v>
      </x:c>
      <x:c r="J862" s="43" t="str">
        <x:v>자동추출·검토필요</x:v>
      </x:c>
    </x:row>
    <x:row r="863">
      <x:c r="A863" s="43" t="str">
        <x:v>L2023-00038-1</x:v>
      </x:c>
      <x:c r="B863" s="43" t="str">
        <x:v>연면적·면적</x:v>
      </x:c>
      <x:c r="C863" s="46" t="str">
        <x:v>㎡</x:v>
      </x:c>
      <x:c r="D863" s="46" t="str">
        <x:v>100 ㎡ | 9 ㎡</x:v>
      </x:c>
      <x:c r="E863" s="46" t="str"/>
      <x:c r="F863" s="46" t="str"/>
      <x:c r="G863" s="46" t="str">
        <x:v>L2023-00038-1/2. 현지입찰 첨부문서 묶음/Addendum_No.1_Scope_of_the_services.docx</x:v>
      </x:c>
      <x:c r="H863" s="43" t="str">
        <x:v>문단 128</x:v>
      </x:c>
      <x:c r="I863" s="46" t="str">
        <x:v>- Allocate a 100㎡ space for occupational therapy along with activities of daily living (ADL) rooms, and plan separate rooms (9㎡ each) for initial assessment, cognition, and swallowing therapy.</x:v>
      </x:c>
      <x:c r="J863" s="43" t="str">
        <x:v>자동추출·검토필요</x:v>
      </x:c>
    </x:row>
    <x:row r="864">
      <x:c r="A864" s="43" t="str">
        <x:v>L2023-00038-1</x:v>
      </x:c>
      <x:c r="B864" s="43" t="str">
        <x:v>연면적·면적</x:v>
      </x:c>
      <x:c r="C864" s="46" t="str">
        <x:v>㎡</x:v>
      </x:c>
      <x:c r="D864" s="46" t="str">
        <x:v>13,916 ㎡ | 13,916 ㎡</x:v>
      </x:c>
      <x:c r="E864" s="46" t="str"/>
      <x:c r="F864" s="46" t="str"/>
      <x:c r="G864" s="46" t="str">
        <x:v>L2023-00038-1/2. 현지입찰 첨부문서 묶음/Addendum_No.1_Scope_of_the_services.docx</x:v>
      </x:c>
      <x:c r="H864" s="43" t="str">
        <x:v>표 1 행 2</x:v>
      </x:c>
      <x:c r="I864" s="46" t="str">
        <x:v>Site Area | 13,916 ㎡ | 13,916 ㎡</x:v>
      </x:c>
      <x:c r="J864" s="43" t="str">
        <x:v>자동추출·검토필요</x:v>
      </x:c>
    </x:row>
    <x:row r="865">
      <x:c r="A865" s="43" t="str">
        <x:v>L2023-00038-1</x:v>
      </x:c>
      <x:c r="B865" s="43" t="str">
        <x:v>연면적·면적</x:v>
      </x:c>
      <x:c r="C865" s="46" t="str">
        <x:v>floor area, ㎡</x:v>
      </x:c>
      <x:c r="D865" s="46" t="str">
        <x:v>512 ㎡ | 140 ㎡ | 484 ㎡ | 185 ㎡ | 540 ㎡ | 81 ㎡ | 744.4 ㎡ | 2,686.4 ㎡</x:v>
      </x:c>
      <x:c r="E865" s="46" t="str"/>
      <x:c r="F865" s="46" t="str"/>
      <x:c r="G865" s="46" t="str">
        <x:v>L2023-00038-1/2. 현지입찰 첨부문서 묶음/Addendum_No.1_Scope_of_the_services.docx</x:v>
      </x:c>
      <x:c r="H865" s="43" t="str">
        <x:v>표 1 행 3</x:v>
      </x:c>
      <x:c r="I865" s="46" t="str">
        <x:v>Construction content (Function and Area) | Establishment of National Rehabilitation Center • Outpatient consultation and services : 512㎡ • Administration Department : 140㎡ • Rehabilitation Therapy Department : 484㎡ • Orthotics &amp; Prosthetics Department : 185㎡ • Ward Department : 540㎡ • Others facilities : 81㎡ | • Common area : 744.4㎡ • Total floor area : 2,686.4㎡</x:v>
      </x:c>
      <x:c r="J865" s="43" t="str">
        <x:v>자동추출·검토필요</x:v>
      </x:c>
    </x:row>
    <x:row r="866">
      <x:c r="A866" s="43" t="str">
        <x:v>L2023-00038-1</x:v>
      </x:c>
      <x:c r="B866" s="43" t="str">
        <x:v>연면적·면적</x:v>
      </x:c>
      <x:c r="C866" s="46" t="str">
        <x:v>㎡</x:v>
      </x:c>
      <x:c r="D866" s="46" t="str">
        <x:v>30 ㎡ | 10 ㎡ | 30 ㎡ | 10 ㎡ | 9 ㎡</x:v>
      </x:c>
      <x:c r="E866" s="46" t="str"/>
      <x:c r="F866" s="46" t="str"/>
      <x:c r="G866" s="46" t="str">
        <x:v>L2023-00038-1/2. 현지입찰 첨부문서 묶음/Addendum_No.3_Space program.pdf</x:v>
      </x:c>
      <x:c r="H866" s="43" t="str">
        <x:v>페이지 1</x:v>
      </x:c>
      <x:c r="I866" s="46" t="str">
        <x:v>FIJI_NRC_Space Program by PMC 2032.06.18. ■ NRC 실별 면적 Fiji NRC Space Program 실면적 Size of unit(㎡) 단위면적 부문 과 실수 실면적 계 비고 실명 Units Area per Section Department Number of Sum of area Note unit units (㎡) (㎡) 공용공간 (방문자대기, 휠체어보관 고려) 출입/로비 Entrance/Lobby Common area(Consider waiting for visitors, storing wheelchairs) Triage &amp; Waiting 홀 연계 접수 및 대기 1 40 40 area Connect to Hall/Lobby Outpatient 재활 외래 세면대 doctor's 4 20 80 외래진료 진찰실 washbasin consultation room Outpatient doctor's consultation 처치실 및 주사 처치실 Procedure room 1 20 20 treatment and injection 의무기록실 Archive &amp; Filing 1 40 40 Waiting for 환자대기 1 20 20 2 beds outpatients 외래진료 및 Waste disposal 오물실 1 12 12 서비스부 room 장애인 화장실 Outpatient Care 화장실(남/여) Toilet(M/F) 2 20 40 toilets for disables and Service 약국창고,접수 포함 Department 약국 Pharmacy 1 60 60 pharmacy storage, reception 약국/접수 included Pharmacy/Reception 약국 대기 Waiting 1 20 20 환자용 주방 Kitchen 1 60 60 For inpatients 직원 탈의 및 휴 Staff 직원용 게실, 화장실 dressing/resting, 2 30 60 For staff(tea room) 공용 (남/여) Toilet room(M/F) Shared Area 청결물품실 Clean supply room 1 20 20 Clean supply 중앙공급실 Disinfection/prepar CSSD 1 20 20 소독준비실 preparation ation room Disinfection room 1 20 20 소독 Disinfection(Autoclave) 외래진료 및 서비스</x:v>
      </x:c>
      <x:c r="J866" s="43" t="str">
        <x:v>자동추출·검토필요</x:v>
      </x:c>
    </x:row>
    <x:row r="867">
      <x:c r="A867" s="43" t="str">
        <x:v>L2023-00038-1</x:v>
      </x:c>
      <x:c r="B867" s="43" t="str">
        <x:v>연면적·면적</x:v>
      </x:c>
      <x:c r="C867" s="46" t="str">
        <x:v>㎡</x:v>
      </x:c>
      <x:c r="D867" s="46" t="str">
        <x:v>40 ㎡ | 40 ㎡</x:v>
      </x:c>
      <x:c r="E867" s="46" t="str"/>
      <x:c r="F867" s="46" t="str">
        <x:v>40% | 40% | 40%</x:v>
      </x:c>
      <x:c r="G867" s="46" t="str">
        <x:v>L2023-00038-1/2. 현지입찰 첨부문서 묶음/Addendum_No.3_Space program.pdf</x:v>
      </x:c>
      <x:c r="H867" s="43" t="str">
        <x:v>페이지 3</x:v>
      </x:c>
      <x:c r="I867" s="46" t="str">
        <x:v>FIJI_NRC_Space Program by PMC 2032.06.18. 실면적 Size of unit(㎡) 단위면적 부문 과 실수 실면적 계 비고 실명 Units Area per Section Department Number of Sum of area Note unit units (㎡) (㎡) 화장실(남/여) Toilet(M/F) 2 20 40 직원화장실 병동 공동이용 Staff toilet(M/F) 2 20 40 (남/여) shared upon wards 병동부 계 Ward department area sum 540 순면적 계 Net area sum 1,861.00 공용면적 Common area 744.40 hall, corridor(40%) 화장실 포함 경비실 security office 2 8 16 toilet included 유지관리실 maintenance room 1 15 15 발전기실 generator room 1 15 15 Medical Waste 소각장 대신 설치 의료폐기물저장 1 10 10 Installation in place of an Storage 기타 필요시설 incinerator (별동,외부) 별동 Other necessary 빨래 건조실 Drying shed 1 25 25 기타시설 Other separate building facilities facilities(separate buildings, exterior) 고가수조 elevated tank 정화조 septic tank 울타리 Fence 주차장(20대) parking lot(20) 설계단계에서 예산을 고려하여 결 정 조경 landscape Decide on a budget in design phase 기타시설 계 Other facilities area sum 81.00 피지 국립재활센터 면적 총 계 Total area 2,686.40 ※ 6.6m x 6m 모듈(40㎡)을 반영하고 적당한 복도폭을 고려하여 공용면적비를 40% 반영함 6.6m x 6m module (40㎡) is reflected and 40% of the common area ratio is reflected in consideration of the appropriate corridor width 페이지 3</x:v>
      </x:c>
      <x:c r="J867" s="43" t="str">
        <x:v>자동추출·검토필요</x:v>
      </x:c>
    </x:row>
    <x:row r="868">
      <x:c r="A868" s="43" t="str">
        <x:v>L2023-00037-1</x:v>
      </x:c>
      <x:c r="B868" s="43" t="str">
        <x:v>연면적·면적</x:v>
      </x:c>
      <x:c r="C868" s="46" t="str">
        <x:v>대지면적, ㎡</x:v>
      </x:c>
      <x:c r="D868" s="46" t="str">
        <x:v>1,316 ㎡</x:v>
      </x:c>
      <x:c r="E868" s="46" t="str"/>
      <x:c r="F868" s="46" t="str"/>
      <x:c r="G868" s="46" t="str">
        <x:v>L2023-00037-1/국문 입찰계획_엘살바도르 국립보건교육센터 감리입찰_v3.hwp</x:v>
      </x:c>
      <x:c r="H868" s="43" t="str">
        <x:v>문단 79</x:v>
      </x:c>
      <x:c r="I868" s="46" t="str">
        <x:v>ㅇ 대지면적: 1,316 ㎡</x:v>
      </x:c>
      <x:c r="J868" s="43" t="str">
        <x:v>자동추출·검토필요</x:v>
      </x:c>
    </x:row>
    <x:row r="869">
      <x:c r="A869" s="43" t="str">
        <x:v>L2023-00037-1</x:v>
      </x:c>
      <x:c r="B869" s="43" t="str">
        <x:v>연면적·면적</x:v>
      </x:c>
      <x:c r="C869" s="46" t="str">
        <x:v>건축면적, ㎡</x:v>
      </x:c>
      <x:c r="D869" s="46" t="str">
        <x:v>1,142 ㎡</x:v>
      </x:c>
      <x:c r="E869" s="46" t="str"/>
      <x:c r="F869" s="46" t="str"/>
      <x:c r="G869" s="46" t="str">
        <x:v>L2023-00037-1/국문 입찰계획_엘살바도르 국립보건교육센터 감리입찰_v3.hwp</x:v>
      </x:c>
      <x:c r="H869" s="43" t="str">
        <x:v>문단 80</x:v>
      </x:c>
      <x:c r="I869" s="46" t="str">
        <x:v>ㅇ 건축면적: 1,142 ㎡</x:v>
      </x:c>
      <x:c r="J869" s="43" t="str">
        <x:v>자동추출·검토필요</x:v>
      </x:c>
    </x:row>
    <x:row r="870">
      <x:c r="A870" s="43" t="str">
        <x:v>L2023-00037-1</x:v>
      </x:c>
      <x:c r="B870" s="43" t="str">
        <x:v>연면적·면적</x:v>
      </x:c>
      <x:c r="C870" s="46" t="str">
        <x:v>연면적, ㎡</x:v>
      </x:c>
      <x:c r="D870" s="46" t="str">
        <x:v>2,983 ㎡</x:v>
      </x:c>
      <x:c r="E870" s="46" t="str"/>
      <x:c r="F870" s="46" t="str"/>
      <x:c r="G870" s="46" t="str">
        <x:v>L2023-00037-1/국문 입찰계획_엘살바도르 국립보건교육센터 감리입찰_v3.hwp</x:v>
      </x:c>
      <x:c r="H870" s="43" t="str">
        <x:v>문단 81</x:v>
      </x:c>
      <x:c r="I870" s="46" t="str">
        <x:v>ㅇ 연면적: 2,983 ㎡</x:v>
      </x:c>
      <x:c r="J870" s="43" t="str">
        <x:v>자동추출·검토필요</x:v>
      </x:c>
    </x:row>
    <x:row r="871">
      <x:c r="A871" s="43" t="str">
        <x:v>L2023-00037-1</x:v>
      </x:c>
      <x:c r="B871" s="43" t="str">
        <x:v>연면적·면적</x:v>
      </x:c>
      <x:c r="C871" s="46" t="str">
        <x:v>㎡</x:v>
      </x:c>
      <x:c r="D871" s="46" t="str">
        <x:v>2,900 ㎡</x:v>
      </x:c>
      <x:c r="E871" s="46" t="str"/>
      <x:c r="F871" s="46" t="str"/>
      <x:c r="G871" s="46" t="str">
        <x:v>L2023-00037-1/국문 입찰계획_엘살바도르 국립보건교육센터 감리입찰_v3.hwp</x:v>
      </x:c>
      <x:c r="H871" s="43" t="str">
        <x:v>문단 116</x:v>
      </x:c>
      <x:c r="I871" s="46" t="str">
        <x:v>다. 입찰공고일 기준 최근 5년 이내 단일건물 2,900㎡ 이상인 浥┥ 공사 준공실적, 설계실적浥%！ÿ  또는 감리실적 1건 이상 수행 완료한 자.</x:v>
      </x:c>
      <x:c r="J871" s="43" t="str">
        <x:v>자동추출·검토필요</x:v>
      </x:c>
    </x:row>
    <x:row r="872">
      <x:c r="A872" s="43" t="str">
        <x:v>L2023-00037-1</x:v>
      </x:c>
      <x:c r="B872" s="43" t="str">
        <x:v>연면적·면적</x:v>
      </x:c>
      <x:c r="C872" s="46" t="str">
        <x:v>㎡</x:v>
      </x:c>
      <x:c r="D872" s="46" t="str">
        <x:v>2,900 ㎡</x:v>
      </x:c>
      <x:c r="E872" s="46" t="str"/>
      <x:c r="F872" s="46" t="str"/>
      <x:c r="G872" s="46" t="str">
        <x:v>L2023-00037-1/국문 입찰계획_엘살바도르 국립보건교육센터 감리입찰_v3.hwp</x:v>
      </x:c>
      <x:c r="H872" s="43" t="str">
        <x:v>문단 454</x:v>
      </x:c>
      <x:c r="I872" s="46" t="str">
        <x:v>입찰공고일 기준 최근 5년 이내 2,900㎡ 이상인 단일건물 공사 준공실적, 설계실적 또는 감리실적의 합계</x:v>
      </x:c>
      <x:c r="J872" s="43" t="str">
        <x:v>자동추출·검토필요</x:v>
      </x:c>
    </x:row>
    <x:row r="873">
      <x:c r="A873" s="43" t="str">
        <x:v>L2023-00037-1</x:v>
      </x:c>
      <x:c r="B873" s="43" t="str">
        <x:v>연면적·면적</x:v>
      </x:c>
      <x:c r="C873" s="46" t="str">
        <x:v>㎡</x:v>
      </x:c>
      <x:c r="D873" s="46" t="str">
        <x:v>2,900 ㎡</x:v>
      </x:c>
      <x:c r="E873" s="46" t="str"/>
      <x:c r="F873" s="46" t="str"/>
      <x:c r="G873" s="46" t="str">
        <x:v>L2023-00037-1/국문 입찰계획_엘살바도르 국립보건교육센터 감리입찰_v3.hwp</x:v>
      </x:c>
      <x:c r="H873" s="43" t="str">
        <x:v>문단 455</x:v>
      </x:c>
      <x:c r="I873" s="46" t="str">
        <x:v>(평가기준 : 2,900㎡)</x:v>
      </x:c>
      <x:c r="J873" s="43" t="str">
        <x:v>자동추출·검토필요</x:v>
      </x:c>
    </x:row>
    <x:row r="874">
      <x:c r="A874" s="43" t="str">
        <x:v>L2023-00037-1</x:v>
      </x:c>
      <x:c r="B874" s="43" t="str">
        <x:v>연면적·면적</x:v>
      </x:c>
      <x:c r="C874" s="46" t="str">
        <x:v>㎡</x:v>
      </x:c>
      <x:c r="D874" s="46" t="str">
        <x:v>2,900 ㎡</x:v>
      </x:c>
      <x:c r="E874" s="46" t="str"/>
      <x:c r="F874" s="46" t="str">
        <x:v>85 % | 90% | 10%</x:v>
      </x:c>
      <x:c r="G874" s="46" t="str">
        <x:v>L2023-00037-1/영서문 입찰문서 일체_v3/2. Bid Data Sheet (BDS)_v3 espanol.pdf</x:v>
      </x:c>
      <x:c r="H874" s="43" t="str">
        <x:v>페이지 3</x:v>
      </x:c>
      <x:c r="I874" s="46" t="str">
        <x:v>(b) Selección del Adjudicatario: Contrato por Negociación (Evaluación Integral de Propuesta Técnica y de Precio) o Con base en KOICA [Guía para la contratación mediante negociación], el licitante con un precio de oferta por debajo del precio estimado y al menos el 85 % del puntaje de capacidad técnica del límite de puntaje será seleccionado como el licitante calificado. o El orden de negociación se determinará por orden de mayor puntaje de los licitantes calificados, puntaje combinado con evaluación técnica (90%) y evaluación de precio (10%). (Cuando haya dos o más licitantes con el mismo puntaje combinado, tendrá prioridad el licitante con mayor puntaje técnico. Cuando los puntajes técnicos sean iguales, el licitante con mayor puntaje en los ítems de puntaje detallado con mayor proporción tendrá prioridad). o La negociación se llevará a cabo en el orden descrito anteriormente. Cuando se acuerde, se decidirá el licitante preferido y se firmará el contrato. - Una vez resuelta la negociación, no se realizará ninguna otra negociación. (Si la negociación con el licitante preferido falla, se llevará a cabo la negociación con el siguiente licitante en orden). - Cuando todas las negociaci</x:v>
      </x:c>
      <x:c r="J874" s="43" t="str">
        <x:v>자동추출·검토필요</x:v>
      </x:c>
    </x:row>
    <x:row r="875">
      <x:c r="A875" s="43" t="str">
        <x:v>L2023-00037-1</x:v>
      </x:c>
      <x:c r="B875" s="43" t="str">
        <x:v>연면적·면적</x:v>
      </x:c>
      <x:c r="C875" s="46" t="str">
        <x:v>㎡</x:v>
      </x:c>
      <x:c r="D875" s="46" t="str">
        <x:v>2900 ㎡</x:v>
      </x:c>
      <x:c r="E875" s="46" t="str"/>
      <x:c r="F875" s="46" t="str">
        <x:v>2.5%</x:v>
      </x:c>
      <x:c r="G875" s="46" t="str">
        <x:v>L2023-00037-1/영서문 입찰문서 일체_v3/2. Bid Data Sheet (BDS)_v3 espanol.pdf</x:v>
      </x:c>
      <x:c r="H875" s="43" t="str">
        <x:v>페이지 7</x:v>
      </x:c>
      <x:c r="I875" s="46" t="str">
        <x:v>Lista de Documentos No List of bid documents • Carta de oferta [Formulario de licitación 1] 1 - Requiere firma del representante y sello de la empresa - Poder notarial (requiere notarización), si aplica • Documentos que acrediten la elegibilidad del solicitante para participar en la Licitación - Certificado de registro mercantil emitido por la Cámara de Comercio de El Salvador 2 - Certificado de pago de impuestos - Registro en CNR, Ministerio de Hacienda y tarjeta de IVA - Certificado de Ejecución como Actas de Recepción Final de los proyectos realizados. 3 • Hoja de Información del Licitante [Formulario de Licitación 2] • Registro de rendimiento [Formulario de licitación 3] - Proyecto con no menos de 2900㎡ de área bruta de suelo (G.F.A.) durante los últimos 5 años a partir del anuncio de la oferta. 4 - Certificado de experiencia del proyecto, carta oficial o confirmación de pago final emitida por el cliente, o copia del contrato • Estado Financiero [Formulario de Licitación 4] - Relación de deuda y liquidez en el año fiscal 2020 ~ 2022 - Estado financiero con informe de auditoría • Plan de Ejecución del Proyecto [Formulario de Licitación 5] - Comprensión del Trabajo - Propuesta de</x:v>
      </x:c>
      <x:c r="J875" s="43" t="str">
        <x:v>자동추출·검토필요</x:v>
      </x:c>
    </x:row>
    <x:row r="876">
      <x:c r="A876" s="43" t="str">
        <x:v>L2023-00037-1</x:v>
      </x:c>
      <x:c r="B876" s="43" t="str">
        <x:v>연면적·면적</x:v>
      </x:c>
      <x:c r="C876" s="46" t="str">
        <x:v>㎡</x:v>
      </x:c>
      <x:c r="D876" s="46" t="str">
        <x:v>2,900 ㎡ | 2,900 ㎡ | 4.5 ㎡</x:v>
      </x:c>
      <x:c r="E876" s="46" t="str"/>
      <x:c r="F876" s="46" t="str">
        <x:v>10% | 50% | 50% | 75% | 75% | 100% | 100% | 100%</x:v>
      </x:c>
      <x:c r="G876" s="46" t="str">
        <x:v>L2023-00037-1/영서문 입찰문서 일체_v3/2. Bid Data Sheet (BDS)_v3 espanol.pdf</x:v>
      </x:c>
      <x:c r="H876" s="43" t="str">
        <x:v>페이지 13</x:v>
      </x:c>
      <x:c r="I876" s="46" t="str">
        <x:v>2) Evaluación Cuantitativa (10% de 90 puntos) • Evaluador: Será conducido por el Secretario (el subdirector de la oficina de KOICA El Salvador) bajo la supervisión general del Director. • Elementos de evaluación Descripción Detalles de la evaluación Puntos Total Radio de endeudamiento de los últimos 3 años (pasivo total / activo Estado financiero total) 2 (4 puntos) Radio de liquidez actual durante los últimos 3 años (activo corriente / pasivo corriente) 2 Suma del área bruta (G.F.A) de la experiencia en proyectos de cons- 10 Experiencia en trucción, diseño o supervisión de un solo edificio (instalación médica, proyectos educativa o de investigación) con al menos 2,900㎡ que se hayan 6 completado en El Salvador dentro de los últimos 5 años. (Grado de evaluación base (E.G.): 2,900㎡) * Si no se presenta el documento relacionado, se aplicará el punto más bajo. • Criterios detallados para la evaluación del estado financiero Criterios Estándares de evaluación Rango Puntos [Proporción de D.R. &lt; 50% 2.0 Radio de endeudamiento del licitante] a [pro- 50% ≤ D.R. &lt; 75% 1.85 endeudamiento porción de endeudamiento promedio (DR) durante los de los últimos 3 años de la misma 75% ≤ D.R. &lt; 100% 1.7 </x:v>
      </x:c>
      <x:c r="J876" s="43" t="str">
        <x:v>자동추출·검토필요</x:v>
      </x:c>
    </x:row>
    <x:row r="877">
      <x:c r="A877" s="43" t="str">
        <x:v>L2023-00037-1</x:v>
      </x:c>
      <x:c r="B877" s="43" t="str">
        <x:v>연면적·면적</x:v>
      </x:c>
      <x:c r="C877" s="46" t="str">
        <x:v>floor area, ㎡</x:v>
      </x:c>
      <x:c r="D877" s="46" t="str">
        <x:v>1,316.00 ㎡ | 2,983.00 ㎡</x:v>
      </x:c>
      <x:c r="E877" s="46" t="str">
        <x:v>USD 200,000</x:v>
      </x:c>
      <x:c r="F877" s="46" t="str"/>
      <x:c r="G877" s="46" t="str">
        <x:v>L2023-00037-1/영서문 입찰문서 일체_v3/2. Bid Data Sheet (BDS)_v3.pdf</x:v>
      </x:c>
      <x:c r="H877" s="43" t="str">
        <x:v>페이지 2</x:v>
      </x:c>
      <x:c r="I877" s="46" t="str">
        <x:v>1. Brief of Bidding Invitation No. L2023-0000-3 Procurement of supervision consultant for “The Project for the Bid Title Establishment of National Health Training Center of the Ministry of Health of El Salvador” in El Salvador Centro Internacional de Ferias y Concenciones (CIFCO), Salon No. Location 5, Avenida La Revolution 222, Department of San Salvador Program Educational, Office Facility Site Area 1,316.00 ㎡ Gross Floor Area 2,983.00 ㎡ - Supervision of the construction work including architectural, structural, civil, sanitary, electricity, communication and landscaping works, etc., according to the bidding documents and design documents provided by KOICA El Salvador office. - Support for building permit, approval for construction from government agency and obtaining certificate of occupancy. - Inspection of construction works - Review of documents submitted by the contractor Scope of Work • Commencement report, request for material selection, work progress report, design change report • Report on design error, omission, defects, etc. • Shop drawing • Payment request, safety management expenses • As-built drawings and operation &amp; maintenance manual, etc. - Conduct preliminary an</x:v>
      </x:c>
      <x:c r="J877" s="43" t="str">
        <x:v>자동추출·검토필요</x:v>
      </x:c>
    </x:row>
    <x:row r="878">
      <x:c r="A878" s="43" t="str">
        <x:v>L2023-00037-1</x:v>
      </x:c>
      <x:c r="B878" s="43" t="str">
        <x:v>연면적·면적</x:v>
      </x:c>
      <x:c r="C878" s="46" t="str">
        <x:v>㎡</x:v>
      </x:c>
      <x:c r="D878" s="46" t="str">
        <x:v>2,900 ㎡</x:v>
      </x:c>
      <x:c r="E878" s="46" t="str"/>
      <x:c r="F878" s="46" t="str">
        <x:v>85% | 90% | 10%</x:v>
      </x:c>
      <x:c r="G878" s="46" t="str">
        <x:v>L2023-00037-1/영서문 입찰문서 일체_v3/2. Bid Data Sheet (BDS)_v3.pdf</x:v>
      </x:c>
      <x:c r="H878" s="43" t="str">
        <x:v>페이지 3</x:v>
      </x:c>
      <x:c r="I878" s="46" t="str">
        <x:v>(b) Selection of the Successful Bidder: Contract by Negotiation (Comprehensive Evaluation of Technical and Price Proposal) o Based on KOICA [Guideline for Contracting by Negotiation], the bidder with bid price below the estimated price and at least 85% technical capability score of the score limit will be selected as the qualified bidder. o Order of negotiation will be determined in order of higher score of the qualified bidders, combined score with technical evaluation (90%) and price evaluation (10%). (When there are two or more bidders with the same combined score, the bidder with higher technical score will have the priority. When technical scores are the same, the bidder with higher score in detailed scoring items with bigger proportion will have priority.) o Negotiation will be conducted in order described in above. When agreed, the preferred bidder will be decided and the contract will be signed. - When negotiation is settled, no other negotiation will be conducted. (If the negotiation with the preferred bidder is failed, the negotiation with the next bidder in order will be conducted.) - When all negotiations fail, the bidding can be re-announced. - After completed the sele</x:v>
      </x:c>
      <x:c r="J878" s="43" t="str">
        <x:v>자동추출·검토필요</x:v>
      </x:c>
    </x:row>
    <x:row r="879">
      <x:c r="A879" s="43" t="str">
        <x:v>L2023-00037-1</x:v>
      </x:c>
      <x:c r="B879" s="43" t="str">
        <x:v>연면적·면적</x:v>
      </x:c>
      <x:c r="C879" s="46" t="str">
        <x:v>floor area, ㎡</x:v>
      </x:c>
      <x:c r="D879" s="46" t="str">
        <x:v>2,900 ㎡</x:v>
      </x:c>
      <x:c r="E879" s="46" t="str"/>
      <x:c r="F879" s="46" t="str">
        <x:v>2.5%</x:v>
      </x:c>
      <x:c r="G879" s="46" t="str">
        <x:v>L2023-00037-1/영서문 입찰문서 일체_v3/2. Bid Data Sheet (BDS)_v3.pdf</x:v>
      </x:c>
      <x:c r="H879" s="43" t="str">
        <x:v>페이지 7</x:v>
      </x:c>
      <x:c r="I879" s="46" t="str">
        <x:v>List of bid documents No List of bid documents • Letter of Bid [Bidding Form 1] 1 - Requires signature of representative and company stamp - Power of Attorney (requires notarization), if applicable • Documents evidencing the applicant’s eligibility to participate in the Bid - Commercial registration certificate issued by the Chamber of Commerce of El Salvador 2 - Tax payment certificate - Registration in CNR, Ministry of Finance and VAT card - Performance Certificate as Final Reception Acts of the projects made. 3 • Bidder’s Information Sheet [Bidding Form 2] • Performance Record [Bidding Form 3] - Project with no less than 2,900㎡ gross floor area (G.F.A.) for the last 5 years as of bid announcement. 4 - Certificate of project experience, official letter or confirmation of final payment issued by the client, or a copy of the contract • Financial Status [Bidding Form 4] - Ratio of debt and liquidity at FY 2020~2022 - Financial status with auditor’s report • Project Execution Plan [Bidding Form 5] - Understanding of Work 5 - Personnel Proposal and Operation - Work Execution Plan - Additional Propositions - Project Organization and Key Personnel [Bidding Form 6] • Price Proposal [Bidd</x:v>
      </x:c>
      <x:c r="J879" s="43" t="str">
        <x:v>자동추출·검토필요</x:v>
      </x:c>
    </x:row>
    <x:row r="880">
      <x:c r="A880" s="43" t="str">
        <x:v>L2023-00037-1</x:v>
      </x:c>
      <x:c r="B880" s="43" t="str">
        <x:v>연면적·면적</x:v>
      </x:c>
      <x:c r="C880" s="46" t="str">
        <x:v>floor area, ㎡</x:v>
      </x:c>
      <x:c r="D880" s="46" t="str">
        <x:v>2,900 ㎡ | 2,900 ㎡ | 2,900 ㎡</x:v>
      </x:c>
      <x:c r="E880" s="46" t="str"/>
      <x:c r="F880" s="46" t="str">
        <x:v>10% | 50% | 50% | 75% | 75% | 100% | 100% | 125%</x:v>
      </x:c>
      <x:c r="G880" s="46" t="str">
        <x:v>L2023-00037-1/영서문 입찰문서 일체_v3/2. Bid Data Sheet (BDS)_v3.pdf</x:v>
      </x:c>
      <x:c r="H880" s="43" t="str">
        <x:v>페이지 13</x:v>
      </x:c>
      <x:c r="I880" s="46" t="str">
        <x:v>2) Quantitative Evaluation (10% of 90 points) • Evaluator: Shall be conducted by the Secretary (the deputy director of KOICA El Salvador office) under general supervision of the Director. • Evaluation Items Description Evaluation Details Points Total Debt Ratio for last 3 years (Total liabilities/Total asset) 2 Financial Status (4 Points) Current Liquidity Ratio for last 3 years (Current asset/Current 2 liability) Sum of gross floor area (G.F.A) for the experience in construction, design, or supervision projects for a single 10 building (medical, educational, or research facility) with at Project Experience least 2,900㎡ that have been completed in El Salvador 6 (6 points) within the last 5 years. (Base Evaluation Grade (E.G.): 2,900㎡) * If related document is not submitted, the lowest point shall be applied. • Detailed criteria for evaluation of financial status Criteria Evaluation Standard Bracket Point D.R. &lt; 50% 2.0 [Debt ratio of the bidder] to the [average 50% ≤ D.R. &lt; 75% 1.85 Debt Ratio (D.R.) debt ratio for last 3 years of the same for last 3 years category of business] 75% ≤ D.R. &lt; 100% 1.7 (2 Points) ＊DR (%) = Company debt ratio ÷ 200 × 100% ≤ D.R. &lt; 125% 1.55 100 (%) 125</x:v>
      </x:c>
      <x:c r="J880" s="43" t="str">
        <x:v>자동추출·검토필요</x:v>
      </x:c>
    </x:row>
    <x:row r="881">
      <x:c r="A881" s="43" t="str">
        <x:v>L2023-00036-1</x:v>
      </x:c>
      <x:c r="B881" s="43" t="str">
        <x:v>연면적·면적</x:v>
      </x:c>
      <x:c r="C881" s="46" t="str">
        <x:v>floor area, gross area, square meter</x:v>
      </x:c>
      <x:c r="D881" s="46" t="str">
        <x:v>5,698 square meters | 1,265 square meters</x:v>
      </x:c>
      <x:c r="E881" s="46" t="str"/>
      <x:c r="F881" s="46" t="str"/>
      <x:c r="G881" s="46" t="str">
        <x:v>L2023-00036-1/붙임3_입찰관련서류_검토완_0717/Invitation_for_Bids_Bid_Announcement1.docx</x:v>
      </x:c>
      <x:c r="H881" s="43" t="str">
        <x:v>표 1 행 5</x:v>
      </x:c>
      <x:c r="I881" s="46" t="str">
        <x:v>- Gross Area | 1. Total floor area of Vocational Training Center : 5,698 square meters approx. 2. Total floor area of Teachers’ Training Center : 1,265 square meters approx.</x:v>
      </x:c>
      <x:c r="J881" s="43" t="str">
        <x:v>자동추출·검토필요</x:v>
      </x:c>
    </x:row>
    <x:row r="882">
      <x:c r="A882" s="43" t="str">
        <x:v>L2023-00036-1</x:v>
      </x:c>
      <x:c r="B882" s="43" t="str">
        <x:v>연면적·면적</x:v>
      </x:c>
      <x:c r="C882" s="46" t="str">
        <x:v>floor area, square meter</x:v>
      </x:c>
      <x:c r="D882" s="46" t="str">
        <x:v>5,698 square meters</x:v>
      </x:c>
      <x:c r="E882" s="46" t="str"/>
      <x:c r="F882" s="46" t="str"/>
      <x:c r="G882" s="46" t="str">
        <x:v>L2023-00036-1/붙임3_입찰관련서류_검토완_0717/Section 8 - Special Conditions of Contract1.docx</x:v>
      </x:c>
      <x:c r="H882" s="43" t="str">
        <x:v>문단 395</x:v>
      </x:c>
      <x:c r="I882" s="46" t="str">
        <x:v>1. Total floor area of Vocational Training Center : 5,698 square meters approx.</x:v>
      </x:c>
      <x:c r="J882" s="43" t="str">
        <x:v>자동추출·검토필요</x:v>
      </x:c>
    </x:row>
    <x:row r="883">
      <x:c r="A883" s="43" t="str">
        <x:v>L2023-00036-1</x:v>
      </x:c>
      <x:c r="B883" s="43" t="str">
        <x:v>연면적·면적</x:v>
      </x:c>
      <x:c r="C883" s="46" t="str">
        <x:v>floor area, square meter</x:v>
      </x:c>
      <x:c r="D883" s="46" t="str">
        <x:v>1,265 square meters</x:v>
      </x:c>
      <x:c r="E883" s="46" t="str"/>
      <x:c r="F883" s="46" t="str"/>
      <x:c r="G883" s="46" t="str">
        <x:v>L2023-00036-1/붙임3_입찰관련서류_검토완_0717/Section 8 - Special Conditions of Contract1.docx</x:v>
      </x:c>
      <x:c r="H883" s="43" t="str">
        <x:v>문단 396</x:v>
      </x:c>
      <x:c r="I883" s="46" t="str">
        <x:v>2. Total floor area of Teachers’ Training Center : 1,265 square meters approx.</x:v>
      </x:c>
      <x:c r="J883" s="43" t="str">
        <x:v>자동추출·검토필요</x:v>
      </x:c>
    </x:row>
    <x:row r="884">
      <x:c r="A884" s="43" t="str">
        <x:v>L2023-00036-1</x:v>
      </x:c>
      <x:c r="B884" s="43" t="str">
        <x:v>연면적·면적</x:v>
      </x:c>
      <x:c r="C884" s="46" t="str">
        <x:v>연면적</x:v>
      </x:c>
      <x:c r="D884" s="46" t="str">
        <x:v>6,963 m2</x:v>
      </x:c>
      <x:c r="E884" s="46" t="str"/>
      <x:c r="F884" s="46" t="str"/>
      <x:c r="G884" s="46" t="str">
        <x:v>L2023-00036-1/붙임3_입찰관련서류_검토완_0717/Urgench_VTC_Bid Annoncement(The Daily Korean News for Korean Residents).docx</x:v>
      </x:c>
      <x:c r="H884" s="43" t="str">
        <x:v>문단 10</x:v>
      </x:c>
      <x:c r="I884" s="46" t="str">
        <x:v>■ 건축규모 : 연면적 총 6,963m2, 지상 2층 3개동, 1층 2개동 및 부속 건물</x:v>
      </x:c>
      <x:c r="J884" s="43" t="str">
        <x:v>자동추출·검토필요</x:v>
      </x:c>
    </x:row>
    <x:row r="885">
      <x:c r="A885" s="43" t="str">
        <x:v>L2023-00035-1</x:v>
      </x:c>
      <x:c r="B885" s="43" t="str">
        <x:v>연면적·면적</x:v>
      </x:c>
      <x:c r="C885" s="46" t="str">
        <x:v>building area</x:v>
      </x:c>
      <x:c r="D885" s="46" t="str">
        <x:v>414.16 m2 | 414.16 m2</x:v>
      </x:c>
      <x:c r="E885" s="46" t="str"/>
      <x:c r="F885" s="46" t="str"/>
      <x:c r="G885" s="46" t="str">
        <x:v>L2023-00035-1/DOC/OPSC_eng/ENG_Section 2 - Bid Data Sheet (BDS)_Kyrgyzstan_OPSC_22 JUNE_CM reviewed.docx</x:v>
      </x:c>
      <x:c r="H885" s="43" t="str">
        <x:v>표 3 행 7</x:v>
      </x:c>
      <x:c r="I885" s="46" t="str">
        <x:v>- Building area | 414.16m2 | 414.16m2</x:v>
      </x:c>
      <x:c r="J885" s="43" t="str">
        <x:v>자동추출·검토필요</x:v>
      </x:c>
    </x:row>
    <x:row r="886">
      <x:c r="A886" s="43" t="str">
        <x:v>L2023-00035-1</x:v>
      </x:c>
      <x:c r="B886" s="43" t="str">
        <x:v>연면적·면적</x:v>
      </x:c>
      <x:c r="C886" s="46" t="str">
        <x:v>floor area</x:v>
      </x:c>
      <x:c r="D886" s="46" t="str">
        <x:v>1,739.82 m2 | 1,739.82 m2</x:v>
      </x:c>
      <x:c r="E886" s="46" t="str"/>
      <x:c r="F886" s="46" t="str"/>
      <x:c r="G886" s="46" t="str">
        <x:v>L2023-00035-1/DOC/OPSC_eng/ENG_Section 2 - Bid Data Sheet (BDS)_Kyrgyzstan_OPSC_22 JUNE_CM reviewed.docx</x:v>
      </x:c>
      <x:c r="H886" s="43" t="str">
        <x:v>표 3 행 8</x:v>
      </x:c>
      <x:c r="I886" s="46" t="str">
        <x:v>- Gross floor area | 1,739.82m2 | 1,739.82m2</x:v>
      </x:c>
      <x:c r="J886" s="43" t="str">
        <x:v>자동추출·검토필요</x:v>
      </x:c>
    </x:row>
    <x:row r="887">
      <x:c r="A887" s="43" t="str">
        <x:v>L2023-00035-1</x:v>
      </x:c>
      <x:c r="B887" s="43" t="str">
        <x:v>연면적·면적</x:v>
      </x:c>
      <x:c r="C887" s="46" t="str">
        <x:v>building area</x:v>
      </x:c>
      <x:c r="D887" s="46" t="str">
        <x:v>2084.5 m2</x:v>
      </x:c>
      <x:c r="E887" s="46" t="str"/>
      <x:c r="F887" s="46" t="str"/>
      <x:c r="G887" s="46" t="str">
        <x:v>L2023-00035-1/DOC/OPSC_eng/ENG_Section 8 - Special Conditions of Contract_Kyrgyz_OPSC_22 JUNE_CM reviewed.docx</x:v>
      </x:c>
      <x:c r="H887" s="43" t="str">
        <x:v>문단 391</x:v>
      </x:c>
      <x:c r="I887" s="46" t="str">
        <x:v>Building Area: 2084.5m2</x:v>
      </x:c>
      <x:c r="J887" s="43" t="str">
        <x:v>자동추출·검토필요</x:v>
      </x:c>
    </x:row>
    <x:row r="888">
      <x:c r="A888" s="43" t="str">
        <x:v>L2023-00032-1</x:v>
      </x:c>
      <x:c r="B888" s="43" t="str">
        <x:v>연면적·면적</x:v>
      </x:c>
      <x:c r="C888" s="46" t="str">
        <x:v>floor area</x:v>
      </x:c>
      <x:c r="D888" s="46" t="str">
        <x:v>1.5 m2 | 1.5 m2 | 4 m2</x:v>
      </x:c>
      <x:c r="E888" s="46" t="str"/>
      <x:c r="F888" s="46" t="str">
        <x:v>25%</x:v>
      </x:c>
      <x:c r="G888" s="46" t="str">
        <x:v>L2023-00032-1/2. 입찰서류(영문)/Section 6 - Technical Specifications.pdf</x:v>
      </x:c>
      <x:c r="H888" s="43" t="str">
        <x:v>페이지 25</x:v>
      </x:c>
      <x:c r="I888" s="46" t="str">
        <x:v>SERIES 1000 : GENERAL the Engineer. SECTION 1400 : H O U S I N G , O F F I C E S AN D (b) Offices LABORATORIES FOR THE ENGINEER'S SITE PERSONNEL The various types of offices required shall be as shown on the Drawings and schedules. Unless otherwise specified or detailed, the fittings, furniture and equipment provided in CONTENTS accordance with the Schedule of Quantities shall conform to the following requirements: 1401 SCOPE 1402 OFFICES AND LABORATORIES (i) Each office desk shall have a surface area of at least 1.5 m2 and shall be provided with at least three drawers, one of which can be locked. 1401 SCOPE (ii) General-purpose steel cabinets shall have at least 1.5 m2 shelf area and a volume of 0.70 m3 each. Each This Section covers the provision of accommodation for the cabinet shall have a lock with two keys. Engineer's supervisory staff. This accommodation shall include the necessary office and laboratory accommodation, (iii) Steel filing cabinets shall each be fitted with four houses and quarters for employees, and the provision of all drawers on runners. Each cabinet shall be fitted with a lock the necessary services. and shall be approximately 1 300 mm high, 460 mm wide and</x:v>
      </x:c>
      <x:c r="J888" s="43" t="str">
        <x:v>자동추출·검토필요</x:v>
      </x:c>
    </x:row>
    <x:row r="889">
      <x:c r="A889" s="43" t="str">
        <x:v>L2023-00030-1</x:v>
      </x:c>
      <x:c r="B889" s="43" t="str">
        <x:v>연면적·면적</x:v>
      </x:c>
      <x:c r="C889" s="46" t="str">
        <x:v>floor area, ㎡</x:v>
      </x:c>
      <x:c r="D889" s="46" t="str">
        <x:v>1,100 ㎡</x:v>
      </x:c>
      <x:c r="E889" s="46" t="str"/>
      <x:c r="F889" s="46" t="str"/>
      <x:c r="G889" s="46" t="str">
        <x:v>L2023-00030-1/1. Invitation for Bids(Design &amp; Construction Supervision Services_Ovalau_KOICA)_v3.docx</x:v>
      </x:c>
      <x:c r="H889" s="43" t="str">
        <x:v>표 1 행 2</x:v>
      </x:c>
      <x:c r="I889" s="46" t="str">
        <x:v>• Summary of Services | ∙ Location of the site: Bureta Village, Ovalau Island, Fiji ∙Scope of work: Design and Construction Supervision a. Design - One (1)-story building - Total floor area: 1,100㎡ - Site Layout, DD (Design Development), CD (Construction Document) b. Construction Supervision. - During the entire construction, one resident civil engineer should be placed on the site. - Mechanical, electrical and other experts should be timely dispatched on the site according to work progress. c. Construction Bidding Assistance and others</x:v>
      </x:c>
      <x:c r="J889" s="43" t="str">
        <x:v>자동추출·검토필요</x:v>
      </x:c>
    </x:row>
    <x:row r="890">
      <x:c r="A890" s="43" t="str">
        <x:v>L2023-00030-1</x:v>
      </x:c>
      <x:c r="B890" s="43" t="str">
        <x:v>연면적·면적</x:v>
      </x:c>
      <x:c r="C890" s="46" t="str">
        <x:v>floor area, ㎡</x:v>
      </x:c>
      <x:c r="D890" s="46" t="str">
        <x:v>1,100 ㎡</x:v>
      </x:c>
      <x:c r="E890" s="46" t="str"/>
      <x:c r="F890" s="46" t="str"/>
      <x:c r="G890" s="46" t="str">
        <x:v>L2023-00030-1/2. Bid Data Sheet(Design &amp; Construction Supervision Services_Ovalau_KOICA)_v2.docx</x:v>
      </x:c>
      <x:c r="H890" s="43" t="str">
        <x:v>표 1 행 2</x:v>
      </x:c>
      <x:c r="I890" s="46" t="str">
        <x:v>• Summary of Services | ∙ Location of the site: Bureta Village, Ovalau Island, Fiji ∙Scope of work: Design and Construction Supervision a. Design - One (1)-story building - Total floor area: 1,100㎡ - Site Layout, DD (Design Development), CD (Construction Document) b. Construction Supervision. - During the entire construction, one resident civil engineer should be placed on the site. - Mechanical, electrical and other experts should be timely dispatched on the site according to work progress. c. Construction Bidding Assistance and others</x:v>
      </x:c>
      <x:c r="J890" s="43" t="str">
        <x:v>자동추출·검토필요</x:v>
      </x:c>
    </x:row>
    <x:row r="891">
      <x:c r="A891" s="43" t="str">
        <x:v>L2023-00028-1</x:v>
      </x:c>
      <x:c r="B891" s="43" t="str">
        <x:v>연면적·면적</x:v>
      </x:c>
      <x:c r="C891" s="46" t="str">
        <x:v>연면적, ㎡</x:v>
      </x:c>
      <x:c r="D891" s="46" t="str">
        <x:v>3,772 ㎡</x:v>
      </x:c>
      <x:c r="E891" s="46" t="str"/>
      <x:c r="F891" s="46" t="str">
        <x:v>5%</x:v>
      </x:c>
      <x:c r="G891" s="46" t="str">
        <x:v>L2023-00028-1/1. 입찰계획안(국, 영문)/1-1. Bidding Guideline_KOR_230622.docx</x:v>
      </x:c>
      <x:c r="H891" s="43" t="str">
        <x:v>문단 53</x:v>
      </x:c>
      <x:c r="I891" s="46" t="str">
        <x:v>연면적 : 3,772㎡ (± 5% 범위 내에서 조정 가능)</x:v>
      </x:c>
      <x:c r="J891" s="43" t="str">
        <x:v>자동추출·검토필요</x:v>
      </x:c>
    </x:row>
    <x:row r="892">
      <x:c r="A892" s="43" t="str">
        <x:v>L2023-00028-1</x:v>
      </x:c>
      <x:c r="B892" s="43" t="str">
        <x:v>연면적·면적</x:v>
      </x:c>
      <x:c r="C892" s="46" t="str">
        <x:v>floor area</x:v>
      </x:c>
      <x:c r="D892" s="46" t="str">
        <x:v>3,772 m2</x:v>
      </x:c>
      <x:c r="E892" s="46" t="str"/>
      <x:c r="F892" s="46" t="str">
        <x:v>5%</x:v>
      </x:c>
      <x:c r="G892" s="46" t="str">
        <x:v>L2023-00028-1/1. 입찰계획안(국, 영문)/1-2. Bidding Guideline_ENG_230622.docx</x:v>
      </x:c>
      <x:c r="H892" s="43" t="str">
        <x:v>문단 54</x:v>
      </x:c>
      <x:c r="I892" s="46" t="str">
        <x:v>Gross floor area: 3,772m2 (can be adjusted within the range of ±5%)</x:v>
      </x:c>
      <x:c r="J892" s="43" t="str">
        <x:v>자동추출·검토필요</x:v>
      </x:c>
    </x:row>
    <x:row r="893">
      <x:c r="A893" s="43" t="str">
        <x:v>L2023-00028-1</x:v>
      </x:c>
      <x:c r="B893" s="43" t="str">
        <x:v>연면적·면적</x:v>
      </x:c>
      <x:c r="C893" s="46" t="str">
        <x:v>floor area</x:v>
      </x:c>
      <x:c r="D893" s="46" t="str">
        <x:v>3,772 m2</x:v>
      </x:c>
      <x:c r="E893" s="46" t="str"/>
      <x:c r="F893" s="46" t="str">
        <x:v>5%</x:v>
      </x:c>
      <x:c r="G893" s="46" t="str">
        <x:v>L2023-00028-1/2. 입찰서류(영문)/1. Bidding Guideline_ENG_230622.docx</x:v>
      </x:c>
      <x:c r="H893" s="43" t="str">
        <x:v>문단 54</x:v>
      </x:c>
      <x:c r="I893" s="46" t="str">
        <x:v>Gross floor area: 3,772m2 (can be adjusted within the range of ±5%)</x:v>
      </x:c>
      <x:c r="J893" s="43" t="str">
        <x:v>자동추출·검토필요</x:v>
      </x:c>
    </x:row>
    <x:row r="894">
      <x:c r="A894" s="43" t="str">
        <x:v>L2023-00027-1</x:v>
      </x:c>
      <x:c r="B894" s="43" t="str">
        <x:v>연면적·면적</x:v>
      </x:c>
      <x:c r="C894" s="46" t="str">
        <x:v>대지면적, ㎡</x:v>
      </x:c>
      <x:c r="D894" s="46" t="str">
        <x:v>1,316 ㎡</x:v>
      </x:c>
      <x:c r="E894" s="46" t="str"/>
      <x:c r="F894" s="46" t="str"/>
      <x:c r="G894" s="46" t="str">
        <x:v>L2023-00027-1/1. 입찰계획 (국문)_v2.hwp</x:v>
      </x:c>
      <x:c r="H894" s="43" t="str">
        <x:v>문단 69</x:v>
      </x:c>
      <x:c r="I894" s="46" t="str">
        <x:v>ㅇ 대지면적 : 1,316 ㎡</x:v>
      </x:c>
      <x:c r="J894" s="43" t="str">
        <x:v>자동추출·검토필요</x:v>
      </x:c>
    </x:row>
    <x:row r="895">
      <x:c r="A895" s="43" t="str">
        <x:v>L2023-00027-1</x:v>
      </x:c>
      <x:c r="B895" s="43" t="str">
        <x:v>연면적·면적</x:v>
      </x:c>
      <x:c r="C895" s="46" t="str">
        <x:v>건축면적, ㎡</x:v>
      </x:c>
      <x:c r="D895" s="46" t="str">
        <x:v>1,142 ㎡</x:v>
      </x:c>
      <x:c r="E895" s="46" t="str"/>
      <x:c r="F895" s="46" t="str"/>
      <x:c r="G895" s="46" t="str">
        <x:v>L2023-00027-1/1. 입찰계획 (국문)_v2.hwp</x:v>
      </x:c>
      <x:c r="H895" s="43" t="str">
        <x:v>문단 70</x:v>
      </x:c>
      <x:c r="I895" s="46" t="str">
        <x:v>ㅇ 건축면적 : 1,142 ㎡</x:v>
      </x:c>
      <x:c r="J895" s="43" t="str">
        <x:v>자동추출·검토필요</x:v>
      </x:c>
    </x:row>
    <x:row r="896">
      <x:c r="A896" s="43" t="str">
        <x:v>L2023-00027-1</x:v>
      </x:c>
      <x:c r="B896" s="43" t="str">
        <x:v>연면적·면적</x:v>
      </x:c>
      <x:c r="C896" s="46" t="str">
        <x:v>연면적, ㎡</x:v>
      </x:c>
      <x:c r="D896" s="46" t="str">
        <x:v>2,983 ㎡</x:v>
      </x:c>
      <x:c r="E896" s="46" t="str"/>
      <x:c r="F896" s="46" t="str"/>
      <x:c r="G896" s="46" t="str">
        <x:v>L2023-00027-1/1. 입찰계획 (국문)_v2.hwp</x:v>
      </x:c>
      <x:c r="H896" s="43" t="str">
        <x:v>문단 71</x:v>
      </x:c>
      <x:c r="I896" s="46" t="str">
        <x:v>ㅇ 연면적 : 2,983 ㎡</x:v>
      </x:c>
      <x:c r="J896" s="43" t="str">
        <x:v>자동추출·검토필요</x:v>
      </x:c>
    </x:row>
    <x:row r="897">
      <x:c r="A897" s="43" t="str">
        <x:v>L2023-00027-1</x:v>
      </x:c>
      <x:c r="B897" s="43" t="str">
        <x:v>연면적·면적</x:v>
      </x:c>
      <x:c r="C897" s="46" t="str">
        <x:v>floor area, ㎡</x:v>
      </x:c>
      <x:c r="D897" s="46" t="str">
        <x:v>1,490 ㎡ | 2,983 ㎡ | 2,983 m2</x:v>
      </x:c>
      <x:c r="E897" s="46" t="str"/>
      <x:c r="F897" s="46" t="str"/>
      <x:c r="G897" s="46" t="str">
        <x:v>L2023-00027-1/입찰서류 일체(영서)/Section 2 - Bid Data Sheet.pdf</x:v>
      </x:c>
      <x:c r="H897" s="43" t="str">
        <x:v>페이지 4</x:v>
      </x:c>
      <x:c r="I897" s="46" t="str">
        <x:v>1. Brief of Bidding · Invitation No. L2023-0000-1 Construction of the National Training Center of the Ministry of · Bid Title Health of El Salvador · Summary of Construction The project is located in the facilities of the International Center for Fairs and Conventions (CIFCO), Saloon No. 5 at Avenida La Revolución 222, in the Department of San Salvador. CIFCO is located on two main roads that are; Alameda Manuel Enrique Araujo on the northeast side of El Salvador del Mundo towards La Ceiba and on the southwest side is Avenida de La Revolución, which comes from the pink zone to connect with Alameda Manuel Enrique Araujo. - Location Classrooms, Health Practice Room, Multipurpose Room, - Program Director's Office, Personnel Office, meeting room, dining room and kitchen, mechanical and electrical room (among others) - Site area 1,490㎡ - Gross floor area 2,983㎡ - Building scope Number of levels: 3 - Structure Reinforced concrete Construction of the new building to occupy health training facilities; three (3) level with a total area of 2,983 m2 - Scope of Works - Provide construction works that include, but are not limited to the following;</x:v>
      </x:c>
      <x:c r="J897" s="43" t="str">
        <x:v>자동추출·검토필요</x:v>
      </x:c>
    </x:row>
    <x:row r="898">
      <x:c r="A898" s="43" t="str">
        <x:v>L2023-00022-1</x:v>
      </x:c>
      <x:c r="B898" s="43" t="str">
        <x:v>연면적·면적</x:v>
      </x:c>
      <x:c r="C898" s="46" t="str">
        <x:v>floor area, m²</x:v>
      </x:c>
      <x:c r="D898" s="46" t="str">
        <x:v>1,983 m² | 2,738.6 m² | 3,172 m² | 245.7 m² | 245.7 m²</x:v>
      </x:c>
      <x:c r="E898" s="46" t="str"/>
      <x:c r="F898" s="46" t="str"/>
      <x:c r="G898" s="46" t="str">
        <x:v>L2023-00022-1/1. Section 2,3 (2)/Section 2 - Bid Data Sheet (BDS)_230503.pdf</x:v>
      </x:c>
      <x:c r="H898" s="43" t="str">
        <x:v>페이지 4</x:v>
      </x:c>
      <x:c r="I898" s="46" t="str">
        <x:v>1. Brief of Bidding Invitation No. KOICA/TL/2023-B-003 Construction of Agricultural Infrastructure for The Value Chain Bid Title Improvement Project Through Farmer's Participation in Timor-Leste. Summary of Construction of APCS(Agricultural Products Collection Stations) building, access Construction road, site pavement, and agricultural water supply system for three municipality Three project sites in Timor-Leste - Location Aileu Ainaro Liquica - Program Agricultural Products Collection Stations - Site area 1,983m² 2,738.6m² 3,172m² - Gross floor area 245.7m² 335.4m 245.7m² - Scale 1st story building from the ground - Structure Reinforced Concrete + Steel Roof Truss Construction of infrastructure for APCS, such as Site Earthwork with Pavement, Drainage structures, and Water tank with pipe for water supply (Work may vary by site). Aileu Ainaro Liquica 1) Civil 1) Civil 1) Civil - Site Earthwork with - Site Earthwork with - Site Earthwork with Concrete Pavement, Concrete Pavement and Concrete Pavement and Gabion wall, and Drainage structures Drainage structures Drainage structures 2) Water supply 2) Water supply - access road 400m - Installation of one - Groundwater (Concrete) collec</x:v>
      </x:c>
      <x:c r="J898" s="43" t="str">
        <x:v>자동추출·검토필요</x:v>
      </x:c>
    </x:row>
    <x:row r="899">
      <x:c r="A899" s="43" t="str">
        <x:v>L2023-00022-1</x:v>
      </x:c>
      <x:c r="B899" s="43" t="str">
        <x:v>연면적·면적</x:v>
      </x:c>
      <x:c r="C899" s="46" t="str">
        <x:v>floor area, m²</x:v>
      </x:c>
      <x:c r="D899" s="46" t="str">
        <x:v>1,000 m²</x:v>
      </x:c>
      <x:c r="E899" s="46" t="str">
        <x:v>USD 1 million</x:v>
      </x:c>
      <x:c r="F899" s="46" t="str"/>
      <x:c r="G899" s="46" t="str">
        <x:v>L2023-00022-1/3. KOICA Safty Mangement Manual (1)/KOICA Safety Management Manual(ENG).pdf</x:v>
      </x:c>
      <x:c r="H899" s="43" t="str">
        <x:v>페이지 6</x:v>
      </x:c>
      <x:c r="I899" s="46" t="str">
        <x:v>CHAPTER 1 General Conditions 1. Purpose The purpose of these guidelines is to systematically set out the roles and scope of work for the KOICA, architects, construction managers, contractors, etc. through all stages from the planning stage for the construction project by KOICA to construction completion and to publish and disseminate a manual regarding the safety management work throughout the construction. 2. Scope of Application A. This manual shall be applied to construction projects corresponding to one or more of the following criteria which are required to devise safety management plans such as safety inspections and safety management organizations to secure safety under Article 62 of the Construction Technology Promotion Act. 1) Projects containing constructions with a budget of USD 1 million or more or with a gross floor area of 1,000 m² or more 2) Construction projects other than those in Paragraph 1 above, which are recognized explicitly by KOICA as requiring safety management B. KOICA may separately determine matters other than those prescribed in this manual in connection with the safety management work of those participating in the safety management of a construction p</x:v>
      </x:c>
      <x:c r="J899" s="43" t="str">
        <x:v>자동추출·검토필요</x:v>
      </x:c>
    </x:row>
    <x:row r="900">
      <x:c r="A900" s="43" t="str">
        <x:v>L2023-00022-1</x:v>
      </x:c>
      <x:c r="B900" s="43" t="str">
        <x:v>연면적·면적</x:v>
      </x:c>
      <x:c r="C900" s="46" t="str">
        <x:v>연면적, ㎡</x:v>
      </x:c>
      <x:c r="D900" s="46" t="str">
        <x:v>1,000 ㎡</x:v>
      </x:c>
      <x:c r="E900" s="46" t="str"/>
      <x:c r="F900" s="46" t="str"/>
      <x:c r="G900" s="46" t="str">
        <x:v>L2023-00022-1/3. KOICA Safty Mangement Manual (1)/KOICA_░╟╝│░°╗τ ╛╚└ⁿ░ⁿ╕«╛≈╣½ ╕┼┤║╛≤(▒╣╣«).pdf</x:v>
      </x:c>
      <x:c r="H900" s="43" t="str">
        <x:v>페이지 7</x:v>
      </x:c>
      <x:c r="I900" s="46" t="str">
        <x:v>제1장 일반사항 1. 목적 KOICA 건설공사의 계획 단계부터 준공에 이르기까지 KOICA, 설계자, 건설사업관리기술자 및 시공자 등 건설공사 안전관리 참여자의 역할과 업 무범위를 체계적으로 정립하고, 건설공사 전반의 안전관리업무에 대한 매뉴 얼을 발간․보급하고자 함 2. 적용범위 가. 이 매뉴얼은「건설기술 진흥법」제62조에 따라 건설공사의 안전을 확 보하기 위하여 안전점검 및 안전관리조직 등 건설공사의 안전관리계 획을 수립하여야 하는 다음 중 1개 이상항목에 해당하는 건설공사에 적용된다. 1) 프로젝트 사업 내 건축공사비가 100만불 이상이거나 연면적 1,000㎡ 이상인 건축이 포함된 사업 2) 1) 항 건설공사 외의 건설공사로서 KOICA가 특히 안전관리가 필요 하다고 인정하는 건설공사 나. 건설공사 안전관리 참여자의 안전관리업무에 관련하여 본 매뉴얼 이 외의 사항은 건설공사의 특성에 따라 KOICA가 별도로 정하여 적용 할 수 있으며, 이 매뉴얼에 명시되지 않은 사항은 관계법령, 규정 및 지침 등을 따라야 한다. 3. 용어설명 가. 건설공사:「한국국제협력단법」대외무상협력사업에 관한 조달 및 계 약규정 제3조 제4호에서 정하는 병원, 학교, 주택, 도로, 공항, 철도, －2－</x:v>
      </x:c>
      <x:c r="J900" s="43" t="str">
        <x:v>자동추출·검토필요</x:v>
      </x:c>
    </x:row>
    <x:row r="901">
      <x:c r="A901" s="43" t="str">
        <x:v>L2023-00022-1</x:v>
      </x:c>
      <x:c r="B901" s="43" t="str">
        <x:v>연면적·면적</x:v>
      </x:c>
      <x:c r="C901" s="46" t="str">
        <x:v>m²</x:v>
      </x:c>
      <x:c r="D901" s="46" t="str">
        <x:v>1,983 m² | 1,983 m² | 1,983 m² | 2,738.6 m² | 2,738.6 m² | 3,172 m²</x:v>
      </x:c>
      <x:c r="E901" s="46" t="str"/>
      <x:c r="F901" s="46" t="str"/>
      <x:c r="G901" s="46" t="str">
        <x:v>L2023-00022-1/Notice of Bid for Construction_230503.docx</x:v>
      </x:c>
      <x:c r="H901" s="43" t="str">
        <x:v>표 1 행 7</x:v>
      </x:c>
      <x:c r="I901" s="46" t="str">
        <x:v>Site area | 1,983m² | 1,983m² | 1,983m² | 2,738.6m² | 2,738.6m² | 3,172m²</x:v>
      </x:c>
      <x:c r="J901" s="43" t="str">
        <x:v>자동추출·검토필요</x:v>
      </x:c>
    </x:row>
    <x:row r="902">
      <x:c r="A902" s="43" t="str">
        <x:v>L2023-00022-1</x:v>
      </x:c>
      <x:c r="B902" s="43" t="str">
        <x:v>연면적·면적</x:v>
      </x:c>
      <x:c r="C902" s="46" t="str">
        <x:v>floor area, m²</x:v>
      </x:c>
      <x:c r="D902" s="46" t="str">
        <x:v>245.7 m² | 245.7 m² | 245.7 m² | 245.7 m²</x:v>
      </x:c>
      <x:c r="E902" s="46" t="str"/>
      <x:c r="F902" s="46" t="str"/>
      <x:c r="G902" s="46" t="str">
        <x:v>L2023-00022-1/Notice of Bid for Construction_230503.docx</x:v>
      </x:c>
      <x:c r="H902" s="43" t="str">
        <x:v>표 1 행 8</x:v>
      </x:c>
      <x:c r="I902" s="46" t="str">
        <x:v>Gross floor area | 245.7m² | 245.7m² | 245.7m² | 335.4m | 335.4m | 245.7m²</x:v>
      </x:c>
      <x:c r="J902" s="43" t="str">
        <x:v>자동추출·검토필요</x:v>
      </x:c>
    </x:row>
    <x:row r="903">
      <x:c r="A903" s="43" t="str">
        <x:v>L2023-00021-1</x:v>
      </x:c>
      <x:c r="B903" s="43" t="str">
        <x:v>연면적·면적</x:v>
      </x:c>
      <x:c r="C903" s="46" t="str">
        <x:v>대지면적, ㎡</x:v>
      </x:c>
      <x:c r="D903" s="46" t="str">
        <x:v>1,161.70 ㎡</x:v>
      </x:c>
      <x:c r="E903" s="46" t="str"/>
      <x:c r="F903" s="46" t="str"/>
      <x:c r="G903" s="46" t="str">
        <x:v>L2023-00021-1/붙임1. 파라과이 멀티미디어 센터 설계용역 입찰설명서(국문본)_최종_230130_기평팀.hwp</x:v>
      </x:c>
      <x:c r="H903" s="43" t="str">
        <x:v>문단 103</x:v>
      </x:c>
      <x:c r="I903" s="46" t="str">
        <x:v>ㅇ 대지면적 : 1,161.70㎡</x:v>
      </x:c>
      <x:c r="J903" s="43" t="str">
        <x:v>자동추출·검토필요</x:v>
      </x:c>
    </x:row>
    <x:row r="904">
      <x:c r="A904" s="43" t="str">
        <x:v>L2023-00021-1</x:v>
      </x:c>
      <x:c r="B904" s="43" t="str">
        <x:v>연면적·면적</x:v>
      </x:c>
      <x:c r="C904" s="46" t="str">
        <x:v>연면적, ㎡</x:v>
      </x:c>
      <x:c r="D904" s="46" t="str">
        <x:v>1,000 ㎡</x:v>
      </x:c>
      <x:c r="E904" s="46" t="str"/>
      <x:c r="F904" s="46" t="str">
        <x:v>10%</x:v>
      </x:c>
      <x:c r="G904" s="46" t="str">
        <x:v>L2023-00021-1/붙임1. 파라과이 멀티미디어 센터 설계용역 입찰설명서(국문본)_최종_230130_기평팀.hwp</x:v>
      </x:c>
      <x:c r="H904" s="43" t="str">
        <x:v>문단 104</x:v>
      </x:c>
      <x:c r="I904" s="46" t="str">
        <x:v>ㅇ 계획 연면적 : 1,000㎡ (±10% 이내 조정 가능)</x:v>
      </x:c>
      <x:c r="J904" s="43" t="str">
        <x:v>자동추출·검토필요</x:v>
      </x:c>
    </x:row>
    <x:row r="905">
      <x:c r="A905" s="43" t="str">
        <x:v>L2023-00021-1</x:v>
      </x:c>
      <x:c r="B905" s="43" t="str">
        <x:v>연면적·면적</x:v>
      </x:c>
      <x:c r="C905" s="46" t="str">
        <x:v>㎡</x:v>
      </x:c>
      <x:c r="D905" s="46" t="str">
        <x:v>1,000 ㎡</x:v>
      </x:c>
      <x:c r="E905" s="46" t="str"/>
      <x:c r="F905" s="46" t="str"/>
      <x:c r="G905" s="46" t="str">
        <x:v>L2023-00021-1/붙임1. 파라과이 멀티미디어 센터 설계용역 입찰설명서(국문본)_최종_230130_기평팀.hwp</x:v>
      </x:c>
      <x:c r="H905" s="43" t="str">
        <x:v>문단 241</x:v>
      </x:c>
      <x:c r="I905" s="46" t="str">
        <x:v>- 입찰공고일 기준, 최근 10년간 수행했던 1,000㎡ 이상인 단일 건물의 유사시설 설계 실적의 합계</x:v>
      </x:c>
      <x:c r="J905" s="43" t="str">
        <x:v>자동추출·검토필요</x:v>
      </x:c>
    </x:row>
    <x:row r="906">
      <x:c r="A906" s="43" t="str">
        <x:v>L2023-00021-1</x:v>
      </x:c>
      <x:c r="B906" s="43" t="str">
        <x:v>연면적·면적</x:v>
      </x:c>
      <x:c r="C906" s="46" t="str">
        <x:v>㎡</x:v>
      </x:c>
      <x:c r="D906" s="46" t="str">
        <x:v>1,000 ㎡</x:v>
      </x:c>
      <x:c r="E906" s="46" t="str"/>
      <x:c r="F906" s="46" t="str"/>
      <x:c r="G906" s="46" t="str">
        <x:v>L2023-00021-1/붙임1. 파라과이 멀티미디어 센터 설계용역 입찰설명서(국문본)_최종_230130_기평팀.hwp</x:v>
      </x:c>
      <x:c r="H906" s="43" t="str">
        <x:v>문단 448</x:v>
      </x:c>
      <x:c r="I906" s="46" t="str">
        <x:v>(평가기준 : 1,000㎡)</x:v>
      </x:c>
      <x:c r="J906" s="43" t="str">
        <x:v>자동추출·검토필요</x:v>
      </x:c>
    </x:row>
    <x:row r="907">
      <x:c r="A907" s="43" t="str">
        <x:v>L2023-00021-1</x:v>
      </x:c>
      <x:c r="B907" s="43" t="str">
        <x:v>연면적·면적</x:v>
      </x:c>
      <x:c r="C907" s="46" t="str">
        <x:v>㎡</x:v>
      </x:c>
      <x:c r="D907" s="46" t="str">
        <x:v>2,000 ㎡</x:v>
      </x:c>
      <x:c r="E907" s="46" t="str"/>
      <x:c r="F907" s="46" t="str"/>
      <x:c r="G907" s="46" t="str">
        <x:v>L2023-00021-1/붙임1. 파라과이 멀티미디어 센터 설계용역 입찰설명서(국문본)_최종_230130_기평팀.hwp</x:v>
      </x:c>
      <x:c r="H907" s="43" t="str">
        <x:v>문단 449</x:v>
      </x:c>
      <x:c r="I907" s="46" t="str">
        <x:v>2,000㎡ 이상</x:v>
      </x:c>
      <x:c r="J907" s="43" t="str">
        <x:v>자동추출·검토필요</x:v>
      </x:c>
    </x:row>
    <x:row r="908">
      <x:c r="A908" s="43" t="str">
        <x:v>L2023-00021-1</x:v>
      </x:c>
      <x:c r="B908" s="43" t="str">
        <x:v>연면적·면적</x:v>
      </x:c>
      <x:c r="C908" s="46" t="str">
        <x:v>㎡</x:v>
      </x:c>
      <x:c r="D908" s="46" t="str">
        <x:v>1,700 ㎡ | 2,000 ㎡</x:v>
      </x:c>
      <x:c r="E908" s="46" t="str"/>
      <x:c r="F908" s="46" t="str"/>
      <x:c r="G908" s="46" t="str">
        <x:v>L2023-00021-1/붙임1. 파라과이 멀티미디어 센터 설계용역 입찰설명서(국문본)_최종_230130_기평팀.hwp</x:v>
      </x:c>
      <x:c r="H908" s="43" t="str">
        <x:v>문단 453</x:v>
      </x:c>
      <x:c r="I908" s="46" t="str">
        <x:v>1,700㎡이상 ~ 2,000㎡미만</x:v>
      </x:c>
      <x:c r="J908" s="43" t="str">
        <x:v>자동추출·검토필요</x:v>
      </x:c>
    </x:row>
    <x:row r="909">
      <x:c r="A909" s="43" t="str">
        <x:v>L2023-00021-1</x:v>
      </x:c>
      <x:c r="B909" s="43" t="str">
        <x:v>연면적·면적</x:v>
      </x:c>
      <x:c r="C909" s="46" t="str">
        <x:v>㎡</x:v>
      </x:c>
      <x:c r="D909" s="46" t="str">
        <x:v>1,400 ㎡ | 1,700 ㎡</x:v>
      </x:c>
      <x:c r="E909" s="46" t="str"/>
      <x:c r="F909" s="46" t="str"/>
      <x:c r="G909" s="46" t="str">
        <x:v>L2023-00021-1/붙임1. 파라과이 멀티미디어 센터 설계용역 입찰설명서(국문본)_최종_230130_기평팀.hwp</x:v>
      </x:c>
      <x:c r="H909" s="43" t="str">
        <x:v>문단 455</x:v>
      </x:c>
      <x:c r="I909" s="46" t="str">
        <x:v>1,400㎡이상 ~ 1,700㎡미만</x:v>
      </x:c>
      <x:c r="J909" s="43" t="str">
        <x:v>자동추출·검토필요</x:v>
      </x:c>
    </x:row>
    <x:row r="910">
      <x:c r="A910" s="43" t="str">
        <x:v>L2023-00021-1</x:v>
      </x:c>
      <x:c r="B910" s="43" t="str">
        <x:v>연면적·면적</x:v>
      </x:c>
      <x:c r="C910" s="46" t="str">
        <x:v>㎡</x:v>
      </x:c>
      <x:c r="D910" s="46" t="str">
        <x:v>1,000 ㎡ | 1,400 ㎡</x:v>
      </x:c>
      <x:c r="E910" s="46" t="str"/>
      <x:c r="F910" s="46" t="str"/>
      <x:c r="G910" s="46" t="str">
        <x:v>L2023-00021-1/붙임1. 파라과이 멀티미디어 센터 설계용역 입찰설명서(국문본)_최종_230130_기평팀.hwp</x:v>
      </x:c>
      <x:c r="H910" s="43" t="str">
        <x:v>문단 457</x:v>
      </x:c>
      <x:c r="I910" s="46" t="str">
        <x:v>1,000㎡이상 ~ 1,400㎡미만</x:v>
      </x:c>
      <x:c r="J910" s="43" t="str">
        <x:v>자동추출·검토필요</x:v>
      </x:c>
    </x:row>
    <x:row r="911">
      <x:c r="A911" s="43" t="str">
        <x:v>L2023-00021-1</x:v>
      </x:c>
      <x:c r="B911" s="43" t="str">
        <x:v>연면적·면적</x:v>
      </x:c>
      <x:c r="C911" s="46" t="str">
        <x:v>㎡</x:v>
      </x:c>
      <x:c r="D911" s="46" t="str">
        <x:v>1,000 ㎡</x:v>
      </x:c>
      <x:c r="E911" s="46" t="str"/>
      <x:c r="F911" s="46" t="str"/>
      <x:c r="G911" s="46" t="str">
        <x:v>L2023-00021-1/붙임1. 파라과이 멀티미디어 센터 설계용역 입찰설명서(국문본)_최종_230130_기평팀.hwp</x:v>
      </x:c>
      <x:c r="H911" s="43" t="str">
        <x:v>문단 459</x:v>
      </x:c>
      <x:c r="I911" s="46" t="str">
        <x:v>1,000㎡미만</x:v>
      </x:c>
      <x:c r="J911" s="43" t="str">
        <x:v>자동추출·검토필요</x:v>
      </x:c>
    </x:row>
    <x:row r="912">
      <x:c r="A912" s="43" t="str">
        <x:v>L2023-00021-1</x:v>
      </x:c>
      <x:c r="B912" s="43" t="str">
        <x:v>연면적·면적</x:v>
      </x:c>
      <x:c r="C912" s="46" t="str">
        <x:v>floor area</x:v>
      </x:c>
      <x:c r="D912" s="46" t="str">
        <x:v>1,000 m2</x:v>
      </x:c>
      <x:c r="E912" s="46" t="str"/>
      <x:c r="F912" s="46" t="str">
        <x:v>10%</x:v>
      </x:c>
      <x:c r="G912" s="46" t="str">
        <x:v>L2023-00021-1/붙임2. 파라과이 멀티미디어 센터 설계용역 입찰설명서(영문본) 1식/1. Paraguay MULTI-MEDIA Center_Bidding Guideline.docx</x:v>
      </x:c>
      <x:c r="H912" s="43" t="str">
        <x:v>문단 51</x:v>
      </x:c>
      <x:c r="I912" s="46" t="str">
        <x:v>Gross floor area: 1,000 m2 (GFA can be adjusted within the range of ±10%)</x:v>
      </x:c>
      <x:c r="J912" s="43" t="str">
        <x:v>자동추출·검토필요</x:v>
      </x:c>
    </x:row>
    <x:row r="913">
      <x:c r="A913" s="43" t="str">
        <x:v>L2023-00021-1</x:v>
      </x:c>
      <x:c r="B913" s="43" t="str">
        <x:v>연면적·면적</x:v>
      </x:c>
      <x:c r="C913" s="46" t="str">
        <x:v>floor area, ㎡</x:v>
      </x:c>
      <x:c r="D913" s="46" t="str">
        <x:v>1,000 ㎡</x:v>
      </x:c>
      <x:c r="E913" s="46" t="str"/>
      <x:c r="F913" s="46" t="str"/>
      <x:c r="G913" s="46" t="str">
        <x:v>L2023-00021-1/붙임2. 파라과이 멀티미디어 센터 설계용역 입찰설명서(영문본) 1식/1. Paraguay MULTI-MEDIA Center_Bidding Guideline.docx</x:v>
      </x:c>
      <x:c r="H913" s="43" t="str">
        <x:v>표 5 행 7</x:v>
      </x:c>
      <x:c r="I913" s="46" t="str">
        <x:v>6 | 6-1 Technical Proposal #1 (Quantitative) | Proof of Financial Status (Debt Ratio and Current Liquidity Ratio for last 3 years) Financial status with auditor’s report (Last 3 years) issued by CPA (Certified Public Accountant) (Fiscal year: 2019 ~ 2021) Certificate of similar project experience (gross floor area of projects with no less than 1,000㎡ for the last 10 years upon bid announce date) * Similar project: Education and research facilities, Broadcasting and communication facilities, Business facilities, Commercial facilities (Medical/Residential/Factory/Parking buildings/Remodeling Design, etc are not allowed). Certificate of project experience, official letter or confirmation of final payment issued by the client, and a copy of the contract (requires notarization) The lowest score will be given when related documents are not submitted</x:v>
      </x:c>
      <x:c r="J913" s="43" t="str">
        <x:v>자동추출·검토필요</x:v>
      </x:c>
    </x:row>
    <x:row r="914">
      <x:c r="A914" s="43" t="str">
        <x:v>L2023-00021-1</x:v>
      </x:c>
      <x:c r="B914" s="43" t="str">
        <x:v>연면적·면적</x:v>
      </x:c>
      <x:c r="C914" s="46" t="str">
        <x:v>floor area, ㎡</x:v>
      </x:c>
      <x:c r="D914" s="46" t="str">
        <x:v>1,000 ㎡ | 2,000 ㎡</x:v>
      </x:c>
      <x:c r="E914" s="46" t="str"/>
      <x:c r="F914" s="46" t="str"/>
      <x:c r="G914" s="46" t="str">
        <x:v>L2023-00021-1/붙임2. 파라과이 멀티미디어 센터 설계용역 입찰설명서(영문본) 1식/1. Paraguay MULTI-MEDIA Center_Bidding Guideline.docx</x:v>
      </x:c>
      <x:c r="H914" s="43" t="str">
        <x:v>표 9 행 2</x:v>
      </x:c>
      <x:c r="I914" s="46" t="str">
        <x:v>Project Experience (6 Points) | Sum of gross floor Area (G.A) of Similar Projects completed in Paraguay within last 10 years (Base Evaluation Grade (E.G.): 1,000㎡) | 2,000㎡ ≤ G.A. | 6.00 | From Mar. 2014 to Feb. 2023</x:v>
      </x:c>
      <x:c r="J914" s="43" t="str">
        <x:v>자동추출·검토필요</x:v>
      </x:c>
    </x:row>
    <x:row r="915">
      <x:c r="A915" s="43" t="str">
        <x:v>L2023-00021-1</x:v>
      </x:c>
      <x:c r="B915" s="43" t="str">
        <x:v>연면적·면적</x:v>
      </x:c>
      <x:c r="C915" s="46" t="str">
        <x:v>floor area, ㎡</x:v>
      </x:c>
      <x:c r="D915" s="46" t="str">
        <x:v>1,000 ㎡ | 1,700 ㎡ | 2,000 ㎡</x:v>
      </x:c>
      <x:c r="E915" s="46" t="str"/>
      <x:c r="F915" s="46" t="str"/>
      <x:c r="G915" s="46" t="str">
        <x:v>L2023-00021-1/붙임2. 파라과이 멀티미디어 센터 설계용역 입찰설명서(영문본) 1식/1. Paraguay MULTI-MEDIA Center_Bidding Guideline.docx</x:v>
      </x:c>
      <x:c r="H915" s="43" t="str">
        <x:v>표 9 행 3</x:v>
      </x:c>
      <x:c r="I915" s="46" t="str">
        <x:v>Project Experience (6 Points) | Sum of gross floor Area (G.A) of Similar Projects completed in Paraguay within last 10 years (Base Evaluation Grade (E.G.): 1,000㎡) | 1,700㎡ ≤ G.A. &lt; 2,000㎡ | 5.55 | From Mar. 2014 to Feb. 2023</x:v>
      </x:c>
      <x:c r="J915" s="43" t="str">
        <x:v>자동추출·검토필요</x:v>
      </x:c>
    </x:row>
    <x:row r="916">
      <x:c r="A916" s="43" t="str">
        <x:v>L2023-00021-1</x:v>
      </x:c>
      <x:c r="B916" s="43" t="str">
        <x:v>연면적·면적</x:v>
      </x:c>
      <x:c r="C916" s="46" t="str">
        <x:v>floor area, ㎡</x:v>
      </x:c>
      <x:c r="D916" s="46" t="str">
        <x:v>1,000 ㎡ | 1,400 ㎡ | 1,700 ㎡</x:v>
      </x:c>
      <x:c r="E916" s="46" t="str"/>
      <x:c r="F916" s="46" t="str"/>
      <x:c r="G916" s="46" t="str">
        <x:v>L2023-00021-1/붙임2. 파라과이 멀티미디어 센터 설계용역 입찰설명서(영문본) 1식/1. Paraguay MULTI-MEDIA Center_Bidding Guideline.docx</x:v>
      </x:c>
      <x:c r="H916" s="43" t="str">
        <x:v>표 9 행 4</x:v>
      </x:c>
      <x:c r="I916" s="46" t="str">
        <x:v>Project Experience (6 Points) | Sum of gross floor Area (G.A) of Similar Projects completed in Paraguay within last 10 years (Base Evaluation Grade (E.G.): 1,000㎡) | 1,400㎡ ≤ G.A. &lt; 1,700㎡ | 5.10 | From Mar. 2014 to Feb. 2023</x:v>
      </x:c>
      <x:c r="J916" s="43" t="str">
        <x:v>자동추출·검토필요</x:v>
      </x:c>
    </x:row>
    <x:row r="917">
      <x:c r="A917" s="43" t="str">
        <x:v>L2023-00021-1</x:v>
      </x:c>
      <x:c r="B917" s="43" t="str">
        <x:v>연면적·면적</x:v>
      </x:c>
      <x:c r="C917" s="46" t="str">
        <x:v>floor area, ㎡</x:v>
      </x:c>
      <x:c r="D917" s="46" t="str">
        <x:v>1,000 ㎡ | 1,000 ㎡ | 1,400 ㎡</x:v>
      </x:c>
      <x:c r="E917" s="46" t="str"/>
      <x:c r="F917" s="46" t="str"/>
      <x:c r="G917" s="46" t="str">
        <x:v>L2023-00021-1/붙임2. 파라과이 멀티미디어 센터 설계용역 입찰설명서(영문본) 1식/1. Paraguay MULTI-MEDIA Center_Bidding Guideline.docx</x:v>
      </x:c>
      <x:c r="H917" s="43" t="str">
        <x:v>표 9 행 5</x:v>
      </x:c>
      <x:c r="I917" s="46" t="str">
        <x:v>Project Experience (6 Points) | Sum of gross floor Area (G.A) of Similar Projects completed in Paraguay within last 10 years (Base Evaluation Grade (E.G.): 1,000㎡) | 1,000㎡ ≤ G.A. &lt; 1,400㎡ | 4.65 | From Mar. 2014 to Feb. 2023</x:v>
      </x:c>
      <x:c r="J917" s="43" t="str">
        <x:v>자동추출·검토필요</x:v>
      </x:c>
    </x:row>
    <x:row r="918">
      <x:c r="A918" s="43" t="str">
        <x:v>L2023-00021-1</x:v>
      </x:c>
      <x:c r="B918" s="43" t="str">
        <x:v>연면적·면적</x:v>
      </x:c>
      <x:c r="C918" s="46" t="str">
        <x:v>floor area, ㎡</x:v>
      </x:c>
      <x:c r="D918" s="46" t="str">
        <x:v>1,000 ㎡ | 1,000 ㎡</x:v>
      </x:c>
      <x:c r="E918" s="46" t="str"/>
      <x:c r="F918" s="46" t="str"/>
      <x:c r="G918" s="46" t="str">
        <x:v>L2023-00021-1/붙임2. 파라과이 멀티미디어 센터 설계용역 입찰설명서(영문본) 1식/1. Paraguay MULTI-MEDIA Center_Bidding Guideline.docx</x:v>
      </x:c>
      <x:c r="H918" s="43" t="str">
        <x:v>표 9 행 6</x:v>
      </x:c>
      <x:c r="I918" s="46" t="str">
        <x:v>Project Experience (6 Points) | Sum of gross floor Area (G.A) of Similar Projects completed in Paraguay within last 10 years (Base Evaluation Grade (E.G.): 1,000㎡) | G.A. &lt; 1,000㎡ | 4.20 | From Mar. 2014 to Feb. 2023</x:v>
      </x:c>
      <x:c r="J918" s="43" t="str">
        <x:v>자동추출·검토필요</x:v>
      </x:c>
    </x:row>
    <x:row r="919">
      <x:c r="A919" s="43" t="str">
        <x:v>L2023-00021-1</x:v>
      </x:c>
      <x:c r="B919" s="43" t="str">
        <x:v>연면적·면적</x:v>
      </x:c>
      <x:c r="C919" s="46" t="str">
        <x:v>㎡</x:v>
      </x:c>
      <x:c r="D919" s="46" t="str">
        <x:v>1,161.70 ㎡</x:v>
      </x:c>
      <x:c r="E919" s="46" t="str"/>
      <x:c r="F919" s="46" t="str"/>
      <x:c r="G919" s="46" t="str">
        <x:v>L2023-00021-1/붙임2. 파라과이 멀티미디어 센터 설계용역 입찰설명서(영문본) 1식/4. Paraguay MULTI-MEDIA Center_Terms of Reference.docx</x:v>
      </x:c>
      <x:c r="H919" s="43" t="str">
        <x:v>표 1 행 3</x:v>
      </x:c>
      <x:c r="I919" s="46" t="str">
        <x:v>Site Area | 1,161.70㎡</x:v>
      </x:c>
      <x:c r="J919" s="43" t="str">
        <x:v>자동추출·검토필요</x:v>
      </x:c>
    </x:row>
    <x:row r="920">
      <x:c r="A920" s="43" t="str">
        <x:v>L2023-00021-1</x:v>
      </x:c>
      <x:c r="B920" s="43" t="str">
        <x:v>연면적·면적</x:v>
      </x:c>
      <x:c r="C920" s="46" t="str">
        <x:v>floor area, ㎡</x:v>
      </x:c>
      <x:c r="D920" s="46" t="str">
        <x:v>1,000 ㎡</x:v>
      </x:c>
      <x:c r="E920" s="46" t="str"/>
      <x:c r="F920" s="46" t="str"/>
      <x:c r="G920" s="46" t="str">
        <x:v>L2023-00021-1/붙임2. 파라과이 멀티미디어 센터 설계용역 입찰설명서(영문본) 1식/4. Paraguay MULTI-MEDIA Center_Terms of Reference.docx</x:v>
      </x:c>
      <x:c r="H920" s="43" t="str">
        <x:v>표 1 행 4</x:v>
      </x:c>
      <x:c r="I920" s="46" t="str">
        <x:v>Gross Floor Area | Approximately 1,000㎡</x:v>
      </x:c>
      <x:c r="J920" s="43" t="str">
        <x:v>자동추출·검토필요</x:v>
      </x:c>
    </x:row>
    <x:row r="921">
      <x:c r="A921" s="43" t="str">
        <x:v>L2023-00021-1</x:v>
      </x:c>
      <x:c r="B921" s="43" t="str">
        <x:v>연면적·면적</x:v>
      </x:c>
      <x:c r="C921" s="46" t="str">
        <x:v>㎡</x:v>
      </x:c>
      <x:c r="D921" s="46" t="str">
        <x:v>1,161.70 ㎡</x:v>
      </x:c>
      <x:c r="E921" s="46" t="str"/>
      <x:c r="F921" s="46" t="str"/>
      <x:c r="G921" s="46" t="str">
        <x:v>L2023-00021-1/붙임3. 파라과이 멀티미디어센터_설계계약서 초안/3-2. Paraguay MULTI-MEDIA Center_Terms of Reference.docx</x:v>
      </x:c>
      <x:c r="H921" s="43" t="str">
        <x:v>표 1 행 3</x:v>
      </x:c>
      <x:c r="I921" s="46" t="str">
        <x:v>Site Area | 1,161.70㎡</x:v>
      </x:c>
      <x:c r="J921" s="43" t="str">
        <x:v>자동추출·검토필요</x:v>
      </x:c>
    </x:row>
    <x:row r="922">
      <x:c r="A922" s="43" t="str">
        <x:v>L2023-00021-1</x:v>
      </x:c>
      <x:c r="B922" s="43" t="str">
        <x:v>연면적·면적</x:v>
      </x:c>
      <x:c r="C922" s="46" t="str">
        <x:v>floor area, ㎡</x:v>
      </x:c>
      <x:c r="D922" s="46" t="str">
        <x:v>1,000 ㎡</x:v>
      </x:c>
      <x:c r="E922" s="46" t="str"/>
      <x:c r="F922" s="46" t="str"/>
      <x:c r="G922" s="46" t="str">
        <x:v>L2023-00021-1/붙임3. 파라과이 멀티미디어센터_설계계약서 초안/3-2. Paraguay MULTI-MEDIA Center_Terms of Reference.docx</x:v>
      </x:c>
      <x:c r="H922" s="43" t="str">
        <x:v>표 1 행 4</x:v>
      </x:c>
      <x:c r="I922" s="46" t="str">
        <x:v>Gross Floor Area | Approximately 1,000㎡</x:v>
      </x:c>
      <x:c r="J922" s="43" t="str">
        <x:v>자동추출·검토필요</x:v>
      </x:c>
    </x:row>
    <x:row r="923">
      <x:c r="A923" s="43" t="str">
        <x:v>L2023-00021-1</x:v>
      </x:c>
      <x:c r="B923" s="43" t="str">
        <x:v>연면적·면적</x:v>
      </x:c>
      <x:c r="C923" s="46" t="str">
        <x:v>floor area</x:v>
      </x:c>
      <x:c r="D923" s="46" t="str">
        <x:v>1,000 m2</x:v>
      </x:c>
      <x:c r="E923" s="46" t="str"/>
      <x:c r="F923" s="46" t="str">
        <x:v>10%</x:v>
      </x:c>
      <x:c r="G923" s="46" t="str">
        <x:v>L2023-00021-1/붙임3. 파라과이 멀티미디어센터_설계계약서 초안/3-3. Paraguay MULTI-MEDIA Center_Bidding Guideline.docx</x:v>
      </x:c>
      <x:c r="H923" s="43" t="str">
        <x:v>문단 51</x:v>
      </x:c>
      <x:c r="I923" s="46" t="str">
        <x:v>Gross floor area: 1,000 m2 (GFA can be adjusted within the range of ±10%)</x:v>
      </x:c>
      <x:c r="J923" s="43" t="str">
        <x:v>자동추출·검토필요</x:v>
      </x:c>
    </x:row>
    <x:row r="924">
      <x:c r="A924" s="43" t="str">
        <x:v>L2023-00021-1</x:v>
      </x:c>
      <x:c r="B924" s="43" t="str">
        <x:v>연면적·면적</x:v>
      </x:c>
      <x:c r="C924" s="46" t="str">
        <x:v>floor area, ㎡</x:v>
      </x:c>
      <x:c r="D924" s="46" t="str">
        <x:v>1,000 ㎡</x:v>
      </x:c>
      <x:c r="E924" s="46" t="str"/>
      <x:c r="F924" s="46" t="str"/>
      <x:c r="G924" s="46" t="str">
        <x:v>L2023-00021-1/붙임3. 파라과이 멀티미디어센터_설계계약서 초안/3-3. Paraguay MULTI-MEDIA Center_Bidding Guideline.docx</x:v>
      </x:c>
      <x:c r="H924" s="43" t="str">
        <x:v>표 5 행 7</x:v>
      </x:c>
      <x:c r="I924" s="46" t="str">
        <x:v>6 | 6-1 Technical Proposal #1 (Quantitative) | Proof of Financial Status (Debt Ratio and Current Liquidity Ratio for last 3 years) Financial status with auditor’s report (Last 3 years) issued by CPA (Certified Public Accountant) (Fiscal year: 2019 ~ 2021) Certificate of similar project experience (gross floor area of projects with no less than 1,000㎡ for the last 10 years upon bid announce date) * Similar project: Education and research facilities, Broadcasting and communication facilities, Business facilities, Commercial facilities (Medical/Residential/Factory/Parking buildings/Remodeling Design, etc are not allowed). Certificate of project experience, official letter or confirmation of final payment issued by the client, and a copy of the contract (requires notarization) The lowest score will be given when related documents are not submitted</x:v>
      </x:c>
      <x:c r="J924" s="43" t="str">
        <x:v>자동추출·검토필요</x:v>
      </x:c>
    </x:row>
    <x:row r="925">
      <x:c r="A925" s="43" t="str">
        <x:v>L2023-00021-1</x:v>
      </x:c>
      <x:c r="B925" s="43" t="str">
        <x:v>연면적·면적</x:v>
      </x:c>
      <x:c r="C925" s="46" t="str">
        <x:v>floor area, ㎡</x:v>
      </x:c>
      <x:c r="D925" s="46" t="str">
        <x:v>1,000 ㎡ | 2,000 ㎡</x:v>
      </x:c>
      <x:c r="E925" s="46" t="str"/>
      <x:c r="F925" s="46" t="str"/>
      <x:c r="G925" s="46" t="str">
        <x:v>L2023-00021-1/붙임3. 파라과이 멀티미디어센터_설계계약서 초안/3-3. Paraguay MULTI-MEDIA Center_Bidding Guideline.docx</x:v>
      </x:c>
      <x:c r="H925" s="43" t="str">
        <x:v>표 9 행 2</x:v>
      </x:c>
      <x:c r="I925" s="46" t="str">
        <x:v>Project Experience (6 Points) | Sum of gross floor Area (G.A) of Similar Projects completed in Paraguay within last 10 years (Base Evaluation Grade (E.G.): 1,000㎡) | 2,000㎡ ≤ G.A. | 6.00 | From Mar. 2014 to Feb. 2023</x:v>
      </x:c>
      <x:c r="J925" s="43" t="str">
        <x:v>자동추출·검토필요</x:v>
      </x:c>
    </x:row>
    <x:row r="926">
      <x:c r="A926" s="43" t="str">
        <x:v>L2023-00021-1</x:v>
      </x:c>
      <x:c r="B926" s="43" t="str">
        <x:v>연면적·면적</x:v>
      </x:c>
      <x:c r="C926" s="46" t="str">
        <x:v>floor area, ㎡</x:v>
      </x:c>
      <x:c r="D926" s="46" t="str">
        <x:v>1,000 ㎡ | 1,700 ㎡ | 2,000 ㎡</x:v>
      </x:c>
      <x:c r="E926" s="46" t="str"/>
      <x:c r="F926" s="46" t="str"/>
      <x:c r="G926" s="46" t="str">
        <x:v>L2023-00021-1/붙임3. 파라과이 멀티미디어센터_설계계약서 초안/3-3. Paraguay MULTI-MEDIA Center_Bidding Guideline.docx</x:v>
      </x:c>
      <x:c r="H926" s="43" t="str">
        <x:v>표 9 행 3</x:v>
      </x:c>
      <x:c r="I926" s="46" t="str">
        <x:v>Project Experience (6 Points) | Sum of gross floor Area (G.A) of Similar Projects completed in Paraguay within last 10 years (Base Evaluation Grade (E.G.): 1,000㎡) | 1,700㎡ ≤ G.A. &lt; 2,000㎡ | 5.55 | From Mar. 2014 to Feb. 2023</x:v>
      </x:c>
      <x:c r="J926" s="43" t="str">
        <x:v>자동추출·검토필요</x:v>
      </x:c>
    </x:row>
    <x:row r="927">
      <x:c r="A927" s="43" t="str">
        <x:v>L2023-00021-1</x:v>
      </x:c>
      <x:c r="B927" s="43" t="str">
        <x:v>연면적·면적</x:v>
      </x:c>
      <x:c r="C927" s="46" t="str">
        <x:v>floor area, ㎡</x:v>
      </x:c>
      <x:c r="D927" s="46" t="str">
        <x:v>1,000 ㎡ | 1,400 ㎡ | 1,700 ㎡</x:v>
      </x:c>
      <x:c r="E927" s="46" t="str"/>
      <x:c r="F927" s="46" t="str"/>
      <x:c r="G927" s="46" t="str">
        <x:v>L2023-00021-1/붙임3. 파라과이 멀티미디어센터_설계계약서 초안/3-3. Paraguay MULTI-MEDIA Center_Bidding Guideline.docx</x:v>
      </x:c>
      <x:c r="H927" s="43" t="str">
        <x:v>표 9 행 4</x:v>
      </x:c>
      <x:c r="I927" s="46" t="str">
        <x:v>Project Experience (6 Points) | Sum of gross floor Area (G.A) of Similar Projects completed in Paraguay within last 10 years (Base Evaluation Grade (E.G.): 1,000㎡) | 1,400㎡ ≤ G.A. &lt; 1,700㎡ | 5.10 | From Mar. 2014 to Feb. 2023</x:v>
      </x:c>
      <x:c r="J927" s="43" t="str">
        <x:v>자동추출·검토필요</x:v>
      </x:c>
    </x:row>
    <x:row r="928">
      <x:c r="A928" s="43" t="str">
        <x:v>L2023-00021-1</x:v>
      </x:c>
      <x:c r="B928" s="43" t="str">
        <x:v>연면적·면적</x:v>
      </x:c>
      <x:c r="C928" s="46" t="str">
        <x:v>floor area, ㎡</x:v>
      </x:c>
      <x:c r="D928" s="46" t="str">
        <x:v>1,000 ㎡ | 1,000 ㎡ | 1,400 ㎡</x:v>
      </x:c>
      <x:c r="E928" s="46" t="str"/>
      <x:c r="F928" s="46" t="str"/>
      <x:c r="G928" s="46" t="str">
        <x:v>L2023-00021-1/붙임3. 파라과이 멀티미디어센터_설계계약서 초안/3-3. Paraguay MULTI-MEDIA Center_Bidding Guideline.docx</x:v>
      </x:c>
      <x:c r="H928" s="43" t="str">
        <x:v>표 9 행 5</x:v>
      </x:c>
      <x:c r="I928" s="46" t="str">
        <x:v>Project Experience (6 Points) | Sum of gross floor Area (G.A) of Similar Projects completed in Paraguay within last 10 years (Base Evaluation Grade (E.G.): 1,000㎡) | 1,000㎡ ≤ G.A. &lt; 1,400㎡ | 4.65 | From Mar. 2014 to Feb. 2023</x:v>
      </x:c>
      <x:c r="J928" s="43" t="str">
        <x:v>자동추출·검토필요</x:v>
      </x:c>
    </x:row>
    <x:row r="929">
      <x:c r="A929" s="43" t="str">
        <x:v>L2023-00021-1</x:v>
      </x:c>
      <x:c r="B929" s="43" t="str">
        <x:v>연면적·면적</x:v>
      </x:c>
      <x:c r="C929" s="46" t="str">
        <x:v>floor area, ㎡</x:v>
      </x:c>
      <x:c r="D929" s="46" t="str">
        <x:v>1,000 ㎡ | 1,000 ㎡</x:v>
      </x:c>
      <x:c r="E929" s="46" t="str"/>
      <x:c r="F929" s="46" t="str"/>
      <x:c r="G929" s="46" t="str">
        <x:v>L2023-00021-1/붙임3. 파라과이 멀티미디어센터_설계계약서 초안/3-3. Paraguay MULTI-MEDIA Center_Bidding Guideline.docx</x:v>
      </x:c>
      <x:c r="H929" s="43" t="str">
        <x:v>표 9 행 6</x:v>
      </x:c>
      <x:c r="I929" s="46" t="str">
        <x:v>Project Experience (6 Points) | Sum of gross floor Area (G.A) of Similar Projects completed in Paraguay within last 10 years (Base Evaluation Grade (E.G.): 1,000㎡) | G.A. &lt; 1,000㎡ | 4.20 | From Mar. 2014 to Feb. 2023</x:v>
      </x:c>
      <x:c r="J929" s="43" t="str">
        <x:v>자동추출·검토필요</x:v>
      </x:c>
    </x:row>
    <x:row r="930">
      <x:c r="A930" s="43" t="str">
        <x:v>L2023-00019-1</x:v>
      </x:c>
      <x:c r="B930" s="43" t="str">
        <x:v>연면적·면적</x:v>
      </x:c>
      <x:c r="C930" s="46" t="str">
        <x:v>floor area, m²</x:v>
      </x:c>
      <x:c r="D930" s="46" t="str">
        <x:v>1,983 m² | 2,738.6 m² | 3,172 m² | 245.7 m² | 245.7 m²</x:v>
      </x:c>
      <x:c r="E930" s="46" t="str"/>
      <x:c r="F930" s="46" t="str"/>
      <x:c r="G930" s="46" t="str">
        <x:v>L2023-00019-1/1. Section 2,3 (1)/Section 2 - Bid Data Sheet (BDS)_230411_rev..pdf</x:v>
      </x:c>
      <x:c r="H930" s="43" t="str">
        <x:v>페이지 4</x:v>
      </x:c>
      <x:c r="I930" s="46" t="str">
        <x:v>1. Brief of Bidding Invitation No. KOICA/TL/2023-B-002 Construction of Agricultural Infrastructure for The Value Chain Bid Title Improvement Project Through Farmer's Participation in Timor-Leste. Summary of Construction of APCS(Agricultural Products Collection Stations) building, access Construction road, site pavement, and agricultural water supply system for three municipality Three project sites in Timor-Leste - Location Aileu Ainaro Liquica - Program Agricultural Products Collection Stations - Site area 1,983m² 2,738.6m² 3,172m² - Gross floor area 245.7m² 335.4m 245.7m² - Scale 1st story building from the ground - Structure Reinforced Concrete + Steel Roof Truss Construction of infrastructure for APCS, such as Site Earthwork with Pavement, Drainage structures, and Water tank with pipe for water supply (Work may vary by site). Aileu Ainaro Liquica 1) Civil 1) Civil 1) Civil - Site Earthwork with - Site Earthwork with - Site Earthwork with Concrete Pavement, Concrete Pavement and Concrete Pavement and Gabion wall, and Drainage structures Drainage structures Drainage structures 2) Water supply 2) Water supply - access road 400m - Installation of one - Groundwater (Concrete) collec</x:v>
      </x:c>
      <x:c r="J930" s="43" t="str">
        <x:v>자동추출·검토필요</x:v>
      </x:c>
    </x:row>
    <x:row r="931">
      <x:c r="A931" s="43" t="str">
        <x:v>L2023-00019-1</x:v>
      </x:c>
      <x:c r="B931" s="43" t="str">
        <x:v>연면적·면적</x:v>
      </x:c>
      <x:c r="C931" s="46" t="str">
        <x:v>floor area, m²</x:v>
      </x:c>
      <x:c r="D931" s="46" t="str">
        <x:v>1,000 m²</x:v>
      </x:c>
      <x:c r="E931" s="46" t="str">
        <x:v>USD 1 million</x:v>
      </x:c>
      <x:c r="F931" s="46" t="str"/>
      <x:c r="G931" s="46" t="str">
        <x:v>L2023-00019-1/3. KOICA Safty Mangement Manual/KOICA Safety Management Manual(ENG).pdf</x:v>
      </x:c>
      <x:c r="H931" s="43" t="str">
        <x:v>페이지 6</x:v>
      </x:c>
      <x:c r="I931" s="46" t="str">
        <x:v>CHAPTER 1 General Conditions 1. Purpose The purpose of these guidelines is to systematically set out the roles and scope of work for the KOICA, architects, construction managers, contractors, etc. through all stages from the planning stage for the construction project by KOICA to construction completion and to publish and disseminate a manual regarding the safety management work throughout the construction. 2. Scope of Application A. This manual shall be applied to construction projects corresponding to one or more of the following criteria which are required to devise safety management plans such as safety inspections and safety management organizations to secure safety under Article 62 of the Construction Technology Promotion Act. 1) Projects containing constructions with a budget of USD 1 million or more or with a gross floor area of 1,000 m² or more 2) Construction projects other than those in Paragraph 1 above, which are recognized explicitly by KOICA as requiring safety management B. KOICA may separately determine matters other than those prescribed in this manual in connection with the safety management work of those participating in the safety management of a construction p</x:v>
      </x:c>
      <x:c r="J931" s="43" t="str">
        <x:v>자동추출·검토필요</x:v>
      </x:c>
    </x:row>
    <x:row r="932">
      <x:c r="A932" s="43" t="str">
        <x:v>L2023-00019-1</x:v>
      </x:c>
      <x:c r="B932" s="43" t="str">
        <x:v>연면적·면적</x:v>
      </x:c>
      <x:c r="C932" s="46" t="str">
        <x:v>연면적, ㎡</x:v>
      </x:c>
      <x:c r="D932" s="46" t="str">
        <x:v>1,000 ㎡</x:v>
      </x:c>
      <x:c r="E932" s="46" t="str"/>
      <x:c r="F932" s="46" t="str"/>
      <x:c r="G932" s="46" t="str">
        <x:v>L2023-00019-1/3. KOICA Safty Mangement Manual/KOICA_░╟╝│░°╗τ ╛╚└ⁿ░ⁿ╕«╛≈╣½ ╕┼┤║╛≤(▒╣╣«).pdf</x:v>
      </x:c>
      <x:c r="H932" s="43" t="str">
        <x:v>페이지 7</x:v>
      </x:c>
      <x:c r="I932" s="46" t="str">
        <x:v>제1장 일반사항 1. 목적 KOICA 건설공사의 계획 단계부터 준공에 이르기까지 KOICA, 설계자, 건설사업관리기술자 및 시공자 등 건설공사 안전관리 참여자의 역할과 업 무범위를 체계적으로 정립하고, 건설공사 전반의 안전관리업무에 대한 매뉴 얼을 발간․보급하고자 함 2. 적용범위 가. 이 매뉴얼은「건설기술 진흥법」제62조에 따라 건설공사의 안전을 확 보하기 위하여 안전점검 및 안전관리조직 등 건설공사의 안전관리계 획을 수립하여야 하는 다음 중 1개 이상항목에 해당하는 건설공사에 적용된다. 1) 프로젝트 사업 내 건축공사비가 100만불 이상이거나 연면적 1,000㎡ 이상인 건축이 포함된 사업 2) 1) 항 건설공사 외의 건설공사로서 KOICA가 특히 안전관리가 필요 하다고 인정하는 건설공사 나. 건설공사 안전관리 참여자의 안전관리업무에 관련하여 본 매뉴얼 이 외의 사항은 건설공사의 특성에 따라 KOICA가 별도로 정하여 적용 할 수 있으며, 이 매뉴얼에 명시되지 않은 사항은 관계법령, 규정 및 지침 등을 따라야 한다. 3. 용어설명 가. 건설공사:「한국국제협력단법」대외무상협력사업에 관한 조달 및 계 약규정 제3조 제4호에서 정하는 병원, 학교, 주택, 도로, 공항, 철도, －2－</x:v>
      </x:c>
      <x:c r="J932" s="43" t="str">
        <x:v>자동추출·검토필요</x:v>
      </x:c>
    </x:row>
    <x:row r="933">
      <x:c r="A933" s="43" t="str">
        <x:v>L2023-00018-1</x:v>
      </x:c>
      <x:c r="B933" s="43" t="str">
        <x:v>연면적·면적</x:v>
      </x:c>
      <x:c r="C933" s="46" t="str">
        <x:v>㎡</x:v>
      </x:c>
      <x:c r="D933" s="46" t="str">
        <x:v>6,149 ㎡</x:v>
      </x:c>
      <x:c r="E933" s="46" t="str"/>
      <x:c r="F933" s="46" t="str"/>
      <x:c r="G933" s="46" t="str">
        <x:v>L2023-00018-1/(붙임1) 취약계층 청소년 사회복귀 지원사업 시공사 선정 입찰계획(안) - v2.5.hwp</x:v>
      </x:c>
      <x:c r="H933" s="43" t="str">
        <x:v>문단 67</x:v>
      </x:c>
      <x:c r="I933" s="46" t="str">
        <x:v> 연 면 적 : 6,149㎡</x:v>
      </x:c>
      <x:c r="J933" s="43" t="str">
        <x:v>자동추출·검토필요</x:v>
      </x:c>
    </x:row>
    <x:row r="934">
      <x:c r="A934" s="43" t="str">
        <x:v>L2023-00018-1</x:v>
      </x:c>
      <x:c r="B934" s="43" t="str">
        <x:v>연면적·면적</x:v>
      </x:c>
      <x:c r="C934" s="46" t="str">
        <x:v>㎡</x:v>
      </x:c>
      <x:c r="D934" s="46" t="str">
        <x:v>7,166 ㎡</x:v>
      </x:c>
      <x:c r="E934" s="46" t="str"/>
      <x:c r="F934" s="46" t="str"/>
      <x:c r="G934" s="46" t="str">
        <x:v>L2023-00018-1/(붙임2) 입찰공고문 - Section 2 - Bid Data Sheet (BDS) - v1.6.hwp</x:v>
      </x:c>
      <x:c r="H934" s="43" t="str">
        <x:v>문단 26</x:v>
      </x:c>
      <x:c r="I934" s="46" t="str">
        <x:v>7,166 ㎡</x:v>
      </x:c>
      <x:c r="J934" s="43" t="str">
        <x:v>자동추출·검토필요</x:v>
      </x:c>
    </x:row>
    <x:row r="935">
      <x:c r="A935" s="43" t="str">
        <x:v>L2023-00018-1</x:v>
      </x:c>
      <x:c r="B935" s="43" t="str">
        <x:v>연면적·면적</x:v>
      </x:c>
      <x:c r="C935" s="46" t="str">
        <x:v>㎡</x:v>
      </x:c>
      <x:c r="D935" s="46" t="str">
        <x:v>3,240 ㎡</x:v>
      </x:c>
      <x:c r="E935" s="46" t="str"/>
      <x:c r="F935" s="46" t="str"/>
      <x:c r="G935" s="46" t="str">
        <x:v>L2023-00018-1/(붙임2) 입찰공고문 - Section 2 - Bid Data Sheet (BDS) - v1.6.hwp</x:v>
      </x:c>
      <x:c r="H935" s="43" t="str">
        <x:v>문단 28</x:v>
      </x:c>
      <x:c r="I935" s="46" t="str">
        <x:v>3,240 ㎡</x:v>
      </x:c>
      <x:c r="J935" s="43" t="str">
        <x:v>자동추출·검토필요</x:v>
      </x:c>
    </x:row>
    <x:row r="936">
      <x:c r="A936" s="43" t="str">
        <x:v>L2023-00018-1</x:v>
      </x:c>
      <x:c r="B936" s="43" t="str">
        <x:v>연면적·면적</x:v>
      </x:c>
      <x:c r="C936" s="46" t="str">
        <x:v>㎡</x:v>
      </x:c>
      <x:c r="D936" s="46" t="str">
        <x:v>6,149 ㎡</x:v>
      </x:c>
      <x:c r="E936" s="46" t="str"/>
      <x:c r="F936" s="46" t="str"/>
      <x:c r="G936" s="46" t="str">
        <x:v>L2023-00018-1/(붙임2) 입찰공고문 - Section 2 - Bid Data Sheet (BDS) - v1.6.hwp</x:v>
      </x:c>
      <x:c r="H936" s="43" t="str">
        <x:v>문단 30</x:v>
      </x:c>
      <x:c r="I936" s="46" t="str">
        <x:v>6,149 ㎡</x:v>
      </x:c>
      <x:c r="J936" s="43" t="str">
        <x:v>자동추출·검토필요</x:v>
      </x:c>
    </x:row>
    <x:row r="937">
      <x:c r="A937" s="43" t="str">
        <x:v>L2023-00018-1</x:v>
      </x:c>
      <x:c r="B937" s="43" t="str">
        <x:v>연면적·면적</x:v>
      </x:c>
      <x:c r="C937" s="46" t="str">
        <x:v>㎡</x:v>
      </x:c>
      <x:c r="D937" s="46" t="str">
        <x:v>1,500 ㎡</x:v>
      </x:c>
      <x:c r="E937" s="46" t="str"/>
      <x:c r="F937" s="46" t="str"/>
      <x:c r="G937" s="46" t="str">
        <x:v>L2023-00018-1/(붙임2) 입찰공고문 - Section 2 - Bid Data Sheet (BDS) - v1.6.hwp</x:v>
      </x:c>
      <x:c r="H937" s="43" t="str">
        <x:v>문단 37</x:v>
      </x:c>
      <x:c r="I937" s="46" t="str">
        <x:v>- Building A (2-story 1,500㎡)</x:v>
      </x:c>
      <x:c r="J937" s="43" t="str">
        <x:v>자동추출·검토필요</x:v>
      </x:c>
    </x:row>
    <x:row r="938">
      <x:c r="A938" s="43" t="str">
        <x:v>L2023-00018-1</x:v>
      </x:c>
      <x:c r="B938" s="43" t="str">
        <x:v>연면적·면적</x:v>
      </x:c>
      <x:c r="C938" s="46" t="str">
        <x:v>㎡</x:v>
      </x:c>
      <x:c r="D938" s="46" t="str">
        <x:v>3,073 ㎡</x:v>
      </x:c>
      <x:c r="E938" s="46" t="str"/>
      <x:c r="F938" s="46" t="str"/>
      <x:c r="G938" s="46" t="str">
        <x:v>L2023-00018-1/(붙임2) 입찰공고문 - Section 2 - Bid Data Sheet (BDS) - v1.6.hwp</x:v>
      </x:c>
      <x:c r="H938" s="43" t="str">
        <x:v>문단 38</x:v>
      </x:c>
      <x:c r="I938" s="46" t="str">
        <x:v>- Building B (3-story 3,073㎡)</x:v>
      </x:c>
      <x:c r="J938" s="43" t="str">
        <x:v>자동추출·검토필요</x:v>
      </x:c>
    </x:row>
    <x:row r="939">
      <x:c r="A939" s="43" t="str">
        <x:v>L2023-00015-1</x:v>
      </x:c>
      <x:c r="B939" s="43" t="str">
        <x:v>연면적·면적</x:v>
      </x:c>
      <x:c r="C939" s="46" t="str">
        <x:v>㎡</x:v>
      </x:c>
      <x:c r="D939" s="46" t="str">
        <x:v>83,750.75 ㎡</x:v>
      </x:c>
      <x:c r="E939" s="46" t="str"/>
      <x:c r="F939" s="46" t="str"/>
      <x:c r="G939" s="46" t="str">
        <x:v>L2023-00015-1/붙임 1. (국문) 감리입찰계획(안).hwp</x:v>
      </x:c>
      <x:c r="H939" s="43" t="str">
        <x:v>문단 73</x:v>
      </x:c>
      <x:c r="I939" s="46" t="str">
        <x:v>83,750.75 ㎡</x:v>
      </x:c>
      <x:c r="J939" s="43" t="str">
        <x:v>자동추출·검토필요</x:v>
      </x:c>
    </x:row>
    <x:row r="940">
      <x:c r="A940" s="43" t="str">
        <x:v>L2023-00015-1</x:v>
      </x:c>
      <x:c r="B940" s="43" t="str">
        <x:v>연면적·면적</x:v>
      </x:c>
      <x:c r="C940" s="46" t="str">
        <x:v>㎡</x:v>
      </x:c>
      <x:c r="D940" s="46" t="str">
        <x:v>1,671.45 ㎡</x:v>
      </x:c>
      <x:c r="E940" s="46" t="str"/>
      <x:c r="F940" s="46" t="str"/>
      <x:c r="G940" s="46" t="str">
        <x:v>L2023-00015-1/붙임 1. (국문) 감리입찰계획(안).hwp</x:v>
      </x:c>
      <x:c r="H940" s="43" t="str">
        <x:v>문단 75</x:v>
      </x:c>
      <x:c r="I940" s="46" t="str">
        <x:v>1,671.45 ㎡</x:v>
      </x:c>
      <x:c r="J940" s="43" t="str">
        <x:v>자동추출·검토필요</x:v>
      </x:c>
    </x:row>
    <x:row r="941">
      <x:c r="A941" s="43" t="str">
        <x:v>L2023-00015-1</x:v>
      </x:c>
      <x:c r="B941" s="43" t="str">
        <x:v>연면적·면적</x:v>
      </x:c>
      <x:c r="C941" s="46" t="str">
        <x:v>㎡</x:v>
      </x:c>
      <x:c r="D941" s="46" t="str">
        <x:v>83,750.75 ㎡</x:v>
      </x:c>
      <x:c r="E941" s="46" t="str"/>
      <x:c r="F941" s="46" t="str"/>
      <x:c r="G941" s="46" t="str">
        <x:v>L2023-00015-1/붙임 3. 입찰 관련 부속서류 일체/20230320_Section 2 - Bid Data Sheet (BDS).docx</x:v>
      </x:c>
      <x:c r="H941" s="43" t="str">
        <x:v>표 2 행 5</x:v>
      </x:c>
      <x:c r="I941" s="46" t="str">
        <x:v>- Site area | 83,750.75 ㎡</x:v>
      </x:c>
      <x:c r="J941" s="43" t="str">
        <x:v>자동추출·검토필요</x:v>
      </x:c>
    </x:row>
    <x:row r="942">
      <x:c r="A942" s="43" t="str">
        <x:v>L2023-00015-1</x:v>
      </x:c>
      <x:c r="B942" s="43" t="str">
        <x:v>연면적·면적</x:v>
      </x:c>
      <x:c r="C942" s="46" t="str">
        <x:v>floor area, ㎡</x:v>
      </x:c>
      <x:c r="D942" s="46" t="str">
        <x:v>1,691.45 ㎡</x:v>
      </x:c>
      <x:c r="E942" s="46" t="str"/>
      <x:c r="F942" s="46" t="str"/>
      <x:c r="G942" s="46" t="str">
        <x:v>L2023-00015-1/붙임 3. 입찰 관련 부속서류 일체/20230320_Section 2 - Bid Data Sheet (BDS).docx</x:v>
      </x:c>
      <x:c r="H942" s="43" t="str">
        <x:v>표 2 행 6</x:v>
      </x:c>
      <x:c r="I942" s="46" t="str">
        <x:v>- Gross floor area | 1,691.45 ㎡</x:v>
      </x:c>
      <x:c r="J942" s="43" t="str">
        <x:v>자동추출·검토필요</x:v>
      </x:c>
    </x:row>
    <x:row r="943">
      <x:c r="A943" s="43" t="str">
        <x:v>L2023-00012-1</x:v>
      </x:c>
      <x:c r="B943" s="43" t="str">
        <x:v>연면적·면적</x:v>
      </x:c>
      <x:c r="C943" s="46" t="str">
        <x:v>㎡</x:v>
      </x:c>
      <x:c r="D943" s="46" t="str">
        <x:v>83,750.75 ㎡</x:v>
      </x:c>
      <x:c r="E943" s="46" t="str"/>
      <x:c r="F943" s="46" t="str"/>
      <x:c r="G943" s="46" t="str">
        <x:v>L2023-00012-1/붙임 2. (국문) 입찰 계획서.hwp</x:v>
      </x:c>
      <x:c r="H943" s="43" t="str">
        <x:v>문단 83</x:v>
      </x:c>
      <x:c r="I943" s="46" t="str">
        <x:v>83,750.75 ㎡,</x:v>
      </x:c>
      <x:c r="J943" s="43" t="str">
        <x:v>자동추출·검토필요</x:v>
      </x:c>
    </x:row>
    <x:row r="944">
      <x:c r="A944" s="43" t="str">
        <x:v>L2023-00012-1</x:v>
      </x:c>
      <x:c r="B944" s="43" t="str">
        <x:v>연면적·면적</x:v>
      </x:c>
      <x:c r="C944" s="46" t="str">
        <x:v>㎡</x:v>
      </x:c>
      <x:c r="D944" s="46" t="str">
        <x:v>1,671.45 ㎡</x:v>
      </x:c>
      <x:c r="E944" s="46" t="str"/>
      <x:c r="F944" s="46" t="str"/>
      <x:c r="G944" s="46" t="str">
        <x:v>L2023-00012-1/붙임 2. (국문) 입찰 계획서.hwp</x:v>
      </x:c>
      <x:c r="H944" s="43" t="str">
        <x:v>문단 85</x:v>
      </x:c>
      <x:c r="I944" s="46" t="str">
        <x:v>1,671.45 ㎡</x:v>
      </x:c>
      <x:c r="J944" s="43" t="str">
        <x:v>자동추출·검토필요</x:v>
      </x:c>
    </x:row>
    <x:row r="945">
      <x:c r="A945" s="43" t="str">
        <x:v>L2023-00012-1</x:v>
      </x:c>
      <x:c r="B945" s="43" t="str">
        <x:v>연면적·면적</x:v>
      </x:c>
      <x:c r="C945" s="46" t="str">
        <x:v>㎡</x:v>
      </x:c>
      <x:c r="D945" s="46" t="str">
        <x:v>1,671.45 ㎡</x:v>
      </x:c>
      <x:c r="E945" s="46" t="str"/>
      <x:c r="F945" s="46" t="str"/>
      <x:c r="G945" s="46" t="str">
        <x:v>L2023-00012-1/붙임 2. (국문) 입찰 계획서.hwp</x:v>
      </x:c>
      <x:c r="H945" s="43" t="str">
        <x:v>문단 87</x:v>
      </x:c>
      <x:c r="I945" s="46" t="str">
        <x:v>1,671.45 ㎡,</x:v>
      </x:c>
      <x:c r="J945" s="43" t="str">
        <x:v>자동추출·검토필요</x:v>
      </x:c>
    </x:row>
    <x:row r="946">
      <x:c r="A946" s="43" t="str">
        <x:v>L2023-00012-1</x:v>
      </x:c>
      <x:c r="B946" s="43" t="str">
        <x:v>연면적·면적</x:v>
      </x:c>
      <x:c r="C946" s="46" t="str">
        <x:v>floor area</x:v>
      </x:c>
      <x:c r="D946" s="46" t="str">
        <x:v>1,691.45 m2</x:v>
      </x:c>
      <x:c r="E946" s="46" t="str"/>
      <x:c r="F946" s="46" t="str"/>
      <x:c r="G946" s="46" t="str">
        <x:v>L2023-00012-1/붙임 2. (영문) 입찰 공고(안).doc</x:v>
      </x:c>
      <x:c r="H946" s="43" t="str">
        <x:v>문단 3</x:v>
      </x:c>
      <x:c r="I946" s="46" t="str">
        <x:v>Service Scope (Summary) Construction of the new Quinoa Laboratory: Sivingany, 1 story, 6 buildings, total floor area of 1,691.45 m2 Division Sivingani</x:v>
      </x:c>
      <x:c r="J946" s="43" t="str">
        <x:v>자동추출·검토필요</x:v>
      </x:c>
    </x:row>
    <x:row r="947">
      <x:c r="A947" s="43" t="str">
        <x:v>L2023-00012-1</x:v>
      </x:c>
      <x:c r="B947" s="43" t="str">
        <x:v>연면적·면적</x:v>
      </x:c>
      <x:c r="C947" s="46" t="str">
        <x:v>㎡</x:v>
      </x:c>
      <x:c r="D947" s="46" t="str">
        <x:v>83,750.75 ㎡</x:v>
      </x:c>
      <x:c r="E947" s="46" t="str"/>
      <x:c r="F947" s="46" t="str"/>
      <x:c r="G947" s="46" t="str">
        <x:v>L2023-00012-1/붙임 3. 부속서류 일체/Section 2 - Bid Data Sheet (BDS).docx</x:v>
      </x:c>
      <x:c r="H947" s="43" t="str">
        <x:v>표 2 행 6</x:v>
      </x:c>
      <x:c r="I947" s="46" t="str">
        <x:v>- Site area | 83,750.75 ㎡</x:v>
      </x:c>
      <x:c r="J947" s="43" t="str">
        <x:v>자동추출·검토필요</x:v>
      </x:c>
    </x:row>
    <x:row r="948">
      <x:c r="A948" s="43" t="str">
        <x:v>L2023-00012-1</x:v>
      </x:c>
      <x:c r="B948" s="43" t="str">
        <x:v>연면적·면적</x:v>
      </x:c>
      <x:c r="C948" s="46" t="str">
        <x:v>floor area, ㎡</x:v>
      </x:c>
      <x:c r="D948" s="46" t="str">
        <x:v>1,691.45 ㎡</x:v>
      </x:c>
      <x:c r="E948" s="46" t="str"/>
      <x:c r="F948" s="46" t="str"/>
      <x:c r="G948" s="46" t="str">
        <x:v>L2023-00012-1/붙임 3. 부속서류 일체/Section 2 - Bid Data Sheet (BDS).docx</x:v>
      </x:c>
      <x:c r="H948" s="43" t="str">
        <x:v>표 2 행 7</x:v>
      </x:c>
      <x:c r="I948" s="46" t="str">
        <x:v>- Gross floor area | 1,691.45 ㎡</x:v>
      </x:c>
      <x:c r="J948" s="43" t="str">
        <x:v>자동추출·검토필요</x:v>
      </x:c>
    </x:row>
    <x:row r="949">
      <x:c r="A949" s="43" t="str">
        <x:v>L2023-00011-1</x:v>
      </x:c>
      <x:c r="B949" s="43" t="str">
        <x:v>연면적·면적</x:v>
      </x:c>
      <x:c r="C949" s="46" t="str">
        <x:v>floor area, building area</x:v>
      </x:c>
      <x:c r="D949" s="46" t="str">
        <x:v>5,544 m2 | 720 m2 | 192 m2 | 5,544 m2 | 720 m2 | 192 m2</x:v>
      </x:c>
      <x:c r="E949" s="46" t="str"/>
      <x:c r="F949" s="46" t="str"/>
      <x:c r="G949" s="46" t="str">
        <x:v>L2023-00011-1/Section 2 - Bid Data Sheet (BDS).docx</x:v>
      </x:c>
      <x:c r="H949" s="43" t="str">
        <x:v>표 5 행 8</x:v>
      </x:c>
      <x:c r="I949" s="46" t="str">
        <x:v>Building Area (Gross floor area) | Greenhouses (5,544m2), Warehouses (720m2), and Compost house (192m2) | Greenhouses (5,544m2), Warehouses (720m2), and Compost house (192m2)</x:v>
      </x:c>
      <x:c r="J949" s="43" t="str">
        <x:v>자동추출·검토필요</x:v>
      </x:c>
    </x:row>
    <x:row r="950">
      <x:c r="A950" s="43" t="str">
        <x:v>L2023-00011-1</x:v>
      </x:c>
      <x:c r="B950" s="43" t="str">
        <x:v>연면적·면적</x:v>
      </x:c>
      <x:c r="C950" s="46" t="str">
        <x:v>㎡</x:v>
      </x:c>
      <x:c r="D950" s="46" t="str">
        <x:v>5,544 ㎡ | 720 ㎡ | 192 ㎡</x:v>
      </x:c>
      <x:c r="E950" s="46" t="str"/>
      <x:c r="F950" s="46" t="str"/>
      <x:c r="G950" s="46" t="str">
        <x:v>L2023-00011-1/입찰계획안(국문)_230321.hwp</x:v>
      </x:c>
      <x:c r="H950" s="43" t="str">
        <x:v>문단 101</x:v>
      </x:c>
      <x:c r="I950" s="46" t="str">
        <x:v>온실(5,544㎡), 농기계보관실(720㎡), 퇴비사(192㎡)</x:v>
      </x:c>
      <x:c r="J950" s="43" t="str">
        <x:v>자동추출·검토필요</x:v>
      </x:c>
    </x:row>
    <x:row r="951">
      <x:c r="A951" s="43" t="str">
        <x:v>L2023-00009-1</x:v>
      </x:c>
      <x:c r="B951" s="43" t="str">
        <x:v>연면적·면적</x:v>
      </x:c>
      <x:c r="C951" s="46" t="str">
        <x:v>floor area, building area</x:v>
      </x:c>
      <x:c r="D951" s="46" t="str">
        <x:v>827.40 m2 | 827.40 m2 | 827.40 m2 | 827.40 m2</x:v>
      </x:c>
      <x:c r="E951" s="46" t="str"/>
      <x:c r="F951" s="46" t="str"/>
      <x:c r="G951" s="46" t="str">
        <x:v>L2023-00009-1/1. 입찰계획안(국영문)/└╘┬√░Φ╚╣╛╚(┐╡╣«)_0314.docx</x:v>
      </x:c>
      <x:c r="H951" s="43" t="str">
        <x:v>표 5 행 8</x:v>
      </x:c>
      <x:c r="I951" s="46" t="str">
        <x:v>- Building area (Gross floor area) | 827.40m2 (827.40m2) | 827.40m2 (827.40m2)</x:v>
      </x:c>
      <x:c r="J951" s="43" t="str">
        <x:v>자동추출·검토필요</x:v>
      </x:c>
    </x:row>
    <x:row r="952">
      <x:c r="A952" s="43" t="str">
        <x:v>L2023-00009-1</x:v>
      </x:c>
      <x:c r="B952" s="43" t="str">
        <x:v>연면적·면적</x:v>
      </x:c>
      <x:c r="C952" s="46" t="str">
        <x:v>㎡</x:v>
      </x:c>
      <x:c r="D952" s="46" t="str">
        <x:v>6,070.35 ㎡</x:v>
      </x:c>
      <x:c r="E952" s="46" t="str"/>
      <x:c r="F952" s="46" t="str"/>
      <x:c r="G952" s="46" t="str">
        <x:v>L2023-00009-1/1. 입찰계획안(국영문)/└╘┬√░Φ╚╣╛╚(▒╣╣«)_0314.hwp</x:v>
      </x:c>
      <x:c r="H952" s="43" t="str">
        <x:v>문단 90</x:v>
      </x:c>
      <x:c r="I952" s="46" t="str">
        <x:v>6,070.35㎡</x:v>
      </x:c>
      <x:c r="J952" s="43" t="str">
        <x:v>자동추출·검토필요</x:v>
      </x:c>
    </x:row>
    <x:row r="953">
      <x:c r="A953" s="43" t="str">
        <x:v>L2023-00009-1</x:v>
      </x:c>
      <x:c r="B953" s="43" t="str">
        <x:v>연면적·면적</x:v>
      </x:c>
      <x:c r="C953" s="46" t="str">
        <x:v>㎡</x:v>
      </x:c>
      <x:c r="D953" s="46" t="str">
        <x:v>835.67 ㎡ | 835.67 ㎡</x:v>
      </x:c>
      <x:c r="E953" s="46" t="str"/>
      <x:c r="F953" s="46" t="str"/>
      <x:c r="G953" s="46" t="str">
        <x:v>L2023-00009-1/1. 입찰계획안(국영문)/└╘┬√░Φ╚╣╛╚(▒╣╣«)_0314.hwp</x:v>
      </x:c>
      <x:c r="H953" s="43" t="str">
        <x:v>문단 92</x:v>
      </x:c>
      <x:c r="I953" s="46" t="str">
        <x:v>835.67㎡ (835.67㎡)</x:v>
      </x:c>
      <x:c r="J953" s="43" t="str">
        <x:v>자동추출·검토필요</x:v>
      </x:c>
    </x:row>
    <x:row r="954">
      <x:c r="A954" s="43" t="str">
        <x:v>L2023-00009-1</x:v>
      </x:c>
      <x:c r="B954" s="43" t="str">
        <x:v>연면적·면적</x:v>
      </x:c>
      <x:c r="C954" s="46" t="str">
        <x:v>floor area, building area</x:v>
      </x:c>
      <x:c r="D954" s="46" t="str">
        <x:v>827.40 m2 | 827.40 m2 | 827.40 m2 | 827.40 m2</x:v>
      </x:c>
      <x:c r="E954" s="46" t="str"/>
      <x:c r="F954" s="46" t="str"/>
      <x:c r="G954" s="46" t="str">
        <x:v>L2023-00009-1/2. 입찰서류(영문)/Part 1(└╘┬√ └²┬≈)/Section 2 - Bid Data Sheet.docx</x:v>
      </x:c>
      <x:c r="H954" s="43" t="str">
        <x:v>표 5 행 8</x:v>
      </x:c>
      <x:c r="I954" s="46" t="str">
        <x:v>- Building area (Gross floor area) | 827.40m2 (827.40m2) | 827.40m2 (827.40m2)</x:v>
      </x:c>
      <x:c r="J954" s="43" t="str">
        <x:v>자동추출·검토필요</x:v>
      </x:c>
    </x:row>
    <x:row r="955">
      <x:c r="A955" s="43" t="str">
        <x:v>L2023-00007-1</x:v>
      </x:c>
      <x:c r="B955" s="43" t="str">
        <x:v>연면적·면적</x:v>
      </x:c>
      <x:c r="C955" s="46" t="str">
        <x:v>연면적</x:v>
      </x:c>
      <x:c r="D955" s="46" t="str">
        <x:v>6,963 m2</x:v>
      </x:c>
      <x:c r="E955" s="46" t="str"/>
      <x:c r="F955" s="46" t="str"/>
      <x:c r="G955" s="46" t="str">
        <x:v>L2023-00007-1/붙임1_우르겐치_시공사선정_입찰공고문_20230228최종수정본.docx</x:v>
      </x:c>
      <x:c r="H955" s="43" t="str">
        <x:v>문단 10</x:v>
      </x:c>
      <x:c r="I955" s="46" t="str">
        <x:v>■ 건축규모 : 연면적 총 6,963m2, 지상 2층 3개동, 1층 2개동 및 부속 건물</x:v>
      </x:c>
      <x:c r="J955" s="43" t="str">
        <x:v>자동추출·검토필요</x:v>
      </x:c>
    </x:row>
    <x:row r="956">
      <x:c r="A956" s="43" t="str">
        <x:v>L2023-00007-1</x:v>
      </x:c>
      <x:c r="B956" s="43" t="str">
        <x:v>연면적·면적</x:v>
      </x:c>
      <x:c r="C956" s="46" t="str">
        <x:v>floor area, gross area, square meter</x:v>
      </x:c>
      <x:c r="D956" s="46" t="str">
        <x:v>5,698 square meters | 1,265 square meters</x:v>
      </x:c>
      <x:c r="E956" s="46" t="str"/>
      <x:c r="F956" s="46" t="str"/>
      <x:c r="G956" s="46" t="str">
        <x:v>L2023-00007-1/붙임2_우르겐치_시공_입찰공고_첨부서류_모음_수정/Invitation_for_Bids_Bid_Announcement1.docx</x:v>
      </x:c>
      <x:c r="H956" s="43" t="str">
        <x:v>표 1 행 5</x:v>
      </x:c>
      <x:c r="I956" s="46" t="str">
        <x:v>- Gross Area | 1. Total floor area of Vocational Training Center : 5,698 square meters approx. 2. Total floor area of Teachers’ Training Center : 1,265 square meters approx.</x:v>
      </x:c>
      <x:c r="J956" s="43" t="str">
        <x:v>자동추출·검토필요</x:v>
      </x:c>
    </x:row>
    <x:row r="957">
      <x:c r="A957" s="43" t="str">
        <x:v>L2023-00007-1</x:v>
      </x:c>
      <x:c r="B957" s="43" t="str">
        <x:v>연면적·면적</x:v>
      </x:c>
      <x:c r="C957" s="46" t="str">
        <x:v>floor area, square meter</x:v>
      </x:c>
      <x:c r="D957" s="46" t="str">
        <x:v>5,698 square meters</x:v>
      </x:c>
      <x:c r="E957" s="46" t="str"/>
      <x:c r="F957" s="46" t="str"/>
      <x:c r="G957" s="46" t="str">
        <x:v>L2023-00007-1/붙임2_우르겐치_시공_입찰공고_첨부서류_모음_수정/Section 8 - Special Conditions of Contract1.docx</x:v>
      </x:c>
      <x:c r="H957" s="43" t="str">
        <x:v>문단 395</x:v>
      </x:c>
      <x:c r="I957" s="46" t="str">
        <x:v>1. Total floor area of Vocational Training Center : 5,698 square meters approx.</x:v>
      </x:c>
      <x:c r="J957" s="43" t="str">
        <x:v>자동추출·검토필요</x:v>
      </x:c>
    </x:row>
    <x:row r="958">
      <x:c r="A958" s="43" t="str">
        <x:v>L2023-00007-1</x:v>
      </x:c>
      <x:c r="B958" s="43" t="str">
        <x:v>연면적·면적</x:v>
      </x:c>
      <x:c r="C958" s="46" t="str">
        <x:v>floor area, square meter</x:v>
      </x:c>
      <x:c r="D958" s="46" t="str">
        <x:v>1,265 square meters</x:v>
      </x:c>
      <x:c r="E958" s="46" t="str"/>
      <x:c r="F958" s="46" t="str"/>
      <x:c r="G958" s="46" t="str">
        <x:v>L2023-00007-1/붙임2_우르겐치_시공_입찰공고_첨부서류_모음_수정/Section 8 - Special Conditions of Contract1.docx</x:v>
      </x:c>
      <x:c r="H958" s="43" t="str">
        <x:v>문단 396</x:v>
      </x:c>
      <x:c r="I958" s="46" t="str">
        <x:v>2. Total floor area of Teachers’ Training Center : 1,265 square meters approx.</x:v>
      </x:c>
      <x:c r="J958" s="43" t="str">
        <x:v>자동추출·검토필요</x:v>
      </x:c>
    </x:row>
    <x:row r="959">
      <x:c r="A959" s="43" t="str">
        <x:v>L2023-00006-1</x:v>
      </x:c>
      <x:c r="B959" s="43" t="str">
        <x:v>연면적·면적</x:v>
      </x:c>
      <x:c r="C959" s="46" t="str">
        <x:v>floor area, m²</x:v>
      </x:c>
      <x:c r="D959" s="46" t="str">
        <x:v>1,983 m² | 2,738.6 m² | 3,172 m² | 245.7 m² | 245.7 m²</x:v>
      </x:c>
      <x:c r="E959" s="46" t="str"/>
      <x:c r="F959" s="46" t="str"/>
      <x:c r="G959" s="46" t="str">
        <x:v>L2023-00006-1/1. Section 2,3/Section 2 - Bid Data Sheet (BDS)_230223_eng.pdf</x:v>
      </x:c>
      <x:c r="H959" s="43" t="str">
        <x:v>페이지 4</x:v>
      </x:c>
      <x:c r="I959" s="46" t="str">
        <x:v>1. Brief of Bidding Invitation No. KOICA/TL/2023-B-001 Construction of Agricultural Infrastrcture for The Value Chain Bid Title Improvement Project Through Farmer's Participation in Timor-Leste. Summary of Construction of APCS(Agricultural Products Collection Stations) building, access Construction road, site pavement, and agricultural water supply system for three municipality Three project sites in Timor-Leste - Location Aileu Ainaro Liquica - Program Agricultural Products Collection Stations - Site area 1,983m² 2,738.6m² 3,172m² - Gross floor area 245.7m² 335.4m 245.7m² - Scale 1st story building from the ground - Structure Reinforced Concrete + Steel Roof Truss Construction of infrastructure for APCS, such as Site Earthwork with Pavement, Drainage structures, and Water tank with pipe for water supply (Work may vary by site). Aileu Ainaro Liquica 1) Civil 1) Civil 1) Civil - Site Earthwork with - Site Earthwork with - Site Earthwork with Concrete Pavement, Concrete Pavement and Concrete Pavement and Gabion wall, and Drainage structures Drainage structures Drainage structures 2) Water supply 2) Water supply - access road 400m - Installation of one - Groundwater (Concrete) collect</x:v>
      </x:c>
      <x:c r="J959" s="43" t="str">
        <x:v>자동추출·검토필요</x:v>
      </x:c>
    </x:row>
    <x:row r="960">
      <x:c r="A960" s="43" t="str">
        <x:v>L2023-00006-1</x:v>
      </x:c>
      <x:c r="B960" s="43" t="str">
        <x:v>연면적·면적</x:v>
      </x:c>
      <x:c r="C960" s="46" t="str">
        <x:v>연면적, 건축면적, 대지면적, m², ㎡</x:v>
      </x:c>
      <x:c r="D960" s="46" t="str">
        <x:v>1,983 m² | 2,738.6 m² | 3,172 m² | 245.7 ㎡ | 335.4 ㎡ | 245.7 ㎡</x:v>
      </x:c>
      <x:c r="E960" s="46" t="str">
        <x:v>USD 1,570,000 | USD 1,526,954</x:v>
      </x:c>
      <x:c r="F960" s="46" t="str"/>
      <x:c r="G960" s="46" t="str">
        <x:v>L2023-00006-1/1. Section 2,3/Section 2 - Bid Data Sheet (BDS)_230223_kor.pdf</x:v>
      </x:c>
      <x:c r="H960" s="43" t="str">
        <x:v>페이지 5</x:v>
      </x:c>
      <x:c r="I960" s="46" t="str">
        <x:v>1. 입찰에 부치는 사항(입찰개요) 가. 공고번호 추후 부여 KOICA/TL/2023-B-001 (전자조달시스템 현지입찰공고번호) 나. 입찰건명 동티모르 농민참여형 가치사슬 개선사업을 위한 농업용 인프라 설치 공사 3개 사업지역 내 Agricultural Products Collection Stations (APCS) 다. 공사개요 농산물 집하장 건설을 위한 농업용수시설, 농업도로 및 건축공사 동티모르 프로젝트 수행 3개 지역 - 위치 아일레우 아이나로 리키사 - 용도 농산물 집하장 - 대지면적 1,983m² 2,738.6m² 3,172m² - 건축면적/연면적 (동일) 245.7㎡ 335.4㎡ 245.7㎡ - 규모 지상1층 - 구조 RC조+ST’L ROOF TRUSS 농산물 집하장 건설을 위한 건축 및 부지정지, 포장, 배수구조물 설치, 집수탱크 및 공급 파이프 설치 등 관련 인프라 일체 아일레우 아이나로 리키사 토목: 토목: 토목: - 토공 및 부지포장, - 토공 및 부지포장, - 토공 및 부지포장, 배수구조물 설치 배수구조물 설치 배수구조물 설치 - 진입도로 (400m) 용수공급: 용수공급: 포장 - 메인탱크 1개 - 수중펌프 (심도 - 공사내용 용수공급: - 보조탱크 6개 80~100m) - 지표수 집수정 설치 - 파이프 약 1,700m - 메인탱크 1개 - 메인탱크 2개 건축: - 보조탱크 7개 - 보조탱크 5개 - 사무실,편의시설 - 파이프 약 2,100m - 파이프 약 1,700m 집하/포장할 수 건축: 건축: 있는 시설 - 사무실,편의시설 - 사무실,편의시설 - 정화조 포함 집하/포장할 수 집하/포장할 수 있는 있는 시설 시설 - 정화조 포함 - 정화조 포함 착공일로부터 12개월 (인프라 시공 8개월 + 시운전 4개월) - 동티모르 특성상 12월~3월 우기에는 공사를 진행할 수 없어 금년 우기 - 공사기간 시작 전(23년 12월) 준공을 목표로 함 - 예정공정표 제출 시 2023년 이내 준공하도록 일정 수립 라. 계약기간 계약체결일로부터 13개월 (계약체결 후 30일 이내 착공) 마. 집행한도액 USD 1,570,000 (부가세 등 제비용 미포함) - 기초금액 USD 1,526,954 - 5 -</x:v>
      </x:c>
      <x:c r="J960" s="43" t="str">
        <x:v>자동추출·검토필요</x:v>
      </x:c>
    </x:row>
    <x:row r="961">
      <x:c r="A961" s="43" t="str">
        <x:v>L2023-00006-1</x:v>
      </x:c>
      <x:c r="B961" s="43" t="str">
        <x:v>연면적·면적</x:v>
      </x:c>
      <x:c r="C961" s="46" t="str">
        <x:v>floor area, m²</x:v>
      </x:c>
      <x:c r="D961" s="46" t="str">
        <x:v>1,000 m²</x:v>
      </x:c>
      <x:c r="E961" s="46" t="str">
        <x:v>USD 1 million</x:v>
      </x:c>
      <x:c r="F961" s="46" t="str"/>
      <x:c r="G961" s="46" t="str">
        <x:v>L2023-00006-1/3. KOICA Safty Management Manual/KOICA Safety Management Manual(ENG).pdf</x:v>
      </x:c>
      <x:c r="H961" s="43" t="str">
        <x:v>페이지 6</x:v>
      </x:c>
      <x:c r="I961" s="46" t="str">
        <x:v>CHAPTER 1 General Conditions 1. Purpose The purpose of these guidelines is to systematically set out the roles and scope of work for the KOICA, architects, construction managers, contractors, etc. through all stages from the planning stage for the construction project by KOICA to construction completion and to publish and disseminate a manual regarding the safety management work throughout the construction. 2. Scope of Application A. This manual shall be applied to construction projects corresponding to one or more of the following criteria which are required to devise safety management plans such as safety inspections and safety management organizations to secure safety under Article 62 of the Construction Technology Promotion Act. 1) Projects containing constructions with a budget of USD 1 million or more or with a gross floor area of 1,000 m² or more 2) Construction projects other than those in Paragraph 1 above, which are recognized explicitly by KOICA as requiring safety management B. KOICA may separately determine matters other than those prescribed in this manual in connection with the safety management work of those participating in the safety management of a construction p</x:v>
      </x:c>
      <x:c r="J961" s="43" t="str">
        <x:v>자동추출·검토필요</x:v>
      </x:c>
    </x:row>
    <x:row r="962">
      <x:c r="A962" s="43" t="str">
        <x:v>L2023-00006-1</x:v>
      </x:c>
      <x:c r="B962" s="43" t="str">
        <x:v>연면적·면적</x:v>
      </x:c>
      <x:c r="C962" s="46" t="str">
        <x:v>연면적, ㎡</x:v>
      </x:c>
      <x:c r="D962" s="46" t="str">
        <x:v>1,000 ㎡</x:v>
      </x:c>
      <x:c r="E962" s="46" t="str"/>
      <x:c r="F962" s="46" t="str"/>
      <x:c r="G962" s="46" t="str">
        <x:v>L2023-00006-1/3. KOICA Safty Management Manual/KOICA_░╟╝│░°╗τ ╛╚└ⁿ░ⁿ╕«╛≈╣½ ╕┼┤║╛≤(▒╣╣«).pdf</x:v>
      </x:c>
      <x:c r="H962" s="43" t="str">
        <x:v>페이지 7</x:v>
      </x:c>
      <x:c r="I962" s="46" t="str">
        <x:v>제1장 일반사항 1. 목적 KOICA 건설공사의 계획 단계부터 준공에 이르기까지 KOICA, 설계자, 건설사업관리기술자 및 시공자 등 건설공사 안전관리 참여자의 역할과 업 무범위를 체계적으로 정립하고, 건설공사 전반의 안전관리업무에 대한 매뉴 얼을 발간․보급하고자 함 2. 적용범위 가. 이 매뉴얼은「건설기술 진흥법」제62조에 따라 건설공사의 안전을 확 보하기 위하여 안전점검 및 안전관리조직 등 건설공사의 안전관리계 획을 수립하여야 하는 다음 중 1개 이상항목에 해당하는 건설공사에 적용된다. 1) 프로젝트 사업 내 건축공사비가 100만불 이상이거나 연면적 1,000㎡ 이상인 건축이 포함된 사업 2) 1) 항 건설공사 외의 건설공사로서 KOICA가 특히 안전관리가 필요 하다고 인정하는 건설공사 나. 건설공사 안전관리 참여자의 안전관리업무에 관련하여 본 매뉴얼 이 외의 사항은 건설공사의 특성에 따라 KOICA가 별도로 정하여 적용 할 수 있으며, 이 매뉴얼에 명시되지 않은 사항은 관계법령, 규정 및 지침 등을 따라야 한다. 3. 용어설명 가. 건설공사:「한국국제협력단법」대외무상협력사업에 관한 조달 및 계 약규정 제3조 제4호에서 정하는 병원, 학교, 주택, 도로, 공항, 철도, －2－</x:v>
      </x:c>
      <x:c r="J962" s="43" t="str">
        <x:v>자동추출·검토필요</x:v>
      </x:c>
    </x:row>
    <x:row r="963">
      <x:c r="A963" s="43" t="str">
        <x:v>L2023-00004-1</x:v>
      </x:c>
      <x:c r="B963" s="43" t="str">
        <x:v>연면적·면적</x:v>
      </x:c>
      <x:c r="C963" s="46" t="str">
        <x:v>㎡</x:v>
      </x:c>
      <x:c r="D963" s="46" t="str">
        <x:v>1,246 ㎡</x:v>
      </x:c>
      <x:c r="E963" s="46" t="str"/>
      <x:c r="F963" s="46" t="str"/>
      <x:c r="G963" s="46" t="str">
        <x:v>L2023-00004-1/붙임 1. 에티오피아 ICT 센터 입찰 계획.hwp</x:v>
      </x:c>
      <x:c r="H963" s="43" t="str">
        <x:v>문단 114</x:v>
      </x:c>
      <x:c r="I963" s="46" t="str">
        <x:v>ㅇ 1st Floor (면적 약 1,246㎡)</x:v>
      </x:c>
      <x:c r="J963" s="43" t="str">
        <x:v>자동추출·검토필요</x:v>
      </x:c>
    </x:row>
    <x:row r="964">
      <x:c r="A964" s="43" t="str">
        <x:v>L2023-00004-1</x:v>
      </x:c>
      <x:c r="B964" s="43" t="str">
        <x:v>연면적·면적</x:v>
      </x:c>
      <x:c r="C964" s="46" t="str">
        <x:v>㎡</x:v>
      </x:c>
      <x:c r="D964" s="46" t="str">
        <x:v>1,197 ㎡</x:v>
      </x:c>
      <x:c r="E964" s="46" t="str"/>
      <x:c r="F964" s="46" t="str"/>
      <x:c r="G964" s="46" t="str">
        <x:v>L2023-00004-1/붙임 1. 에티오피아 ICT 센터 입찰 계획.hwp</x:v>
      </x:c>
      <x:c r="H964" s="43" t="str">
        <x:v>문단 116</x:v>
      </x:c>
      <x:c r="I964" s="46" t="str">
        <x:v>ㅇ 2nd Floor (면적 약 1,197㎡)</x:v>
      </x:c>
      <x:c r="J964" s="43" t="str">
        <x:v>자동추출·검토필요</x:v>
      </x:c>
    </x:row>
    <x:row r="965">
      <x:c r="A965" s="43" t="str">
        <x:v>L2023-00004-1</x:v>
      </x:c>
      <x:c r="B965" s="43" t="str">
        <x:v>연면적·면적</x:v>
      </x:c>
      <x:c r="C965" s="46" t="str">
        <x:v>연면적, ㎡</x:v>
      </x:c>
      <x:c r="D965" s="46" t="str">
        <x:v>1,000 ㎡</x:v>
      </x:c>
      <x:c r="E965" s="46" t="str"/>
      <x:c r="F965" s="46" t="str"/>
      <x:c r="G965" s="46" t="str">
        <x:v>L2023-00004-1/붙임 1. 에티오피아 ICT 센터 입찰 계획.hwp</x:v>
      </x:c>
      <x:c r="H965" s="43" t="str">
        <x:v>문단 154</x:v>
      </x:c>
      <x:c r="I965" s="46" t="str">
        <x:v>(연면적 1,000㎡ 이상 또는 KOICA가 필요하다고 인정하는 건설공사)</x:v>
      </x:c>
      <x:c r="J965" s="43" t="str">
        <x:v>자동추출·검토필요</x:v>
      </x:c>
    </x:row>
    <x:row r="966">
      <x:c r="A966" s="43" t="str">
        <x:v>L2023-00004-1</x:v>
      </x:c>
      <x:c r="B966" s="43" t="str">
        <x:v>연면적·면적</x:v>
      </x:c>
      <x:c r="C966" s="46" t="str">
        <x:v>square meter</x:v>
      </x:c>
      <x:c r="D966" s="46" t="str">
        <x:v>16 square meters</x:v>
      </x:c>
      <x:c r="E966" s="46" t="str"/>
      <x:c r="F966" s="46" t="str"/>
      <x:c r="G966" s="46" t="str">
        <x:v>L2023-00004-1/붙임 2. 입찰 서류/02_Part2(░·╛≈┴÷╜├╝¡)/Section_4_Employer's Requirement/Section_04_Employer Requirement.docx</x:v>
      </x:c>
      <x:c r="H966" s="43" t="str">
        <x:v>문단 31</x:v>
      </x:c>
      <x:c r="I966" s="46" t="str">
        <x:v>However, this office is to be removed from the site after the completion of works. This Site office should be taken out of the site after completing the construction unless the Employer agree to maintain it for his needs upon contractor’s request. The office shall consist of the 16 square meters (m2) spaces as a minimum. Each space shall be separated with partitions up to the ceiling.</x:v>
      </x:c>
      <x:c r="J966" s="43" t="str">
        <x:v>자동추출·검토필요</x:v>
      </x:c>
    </x:row>
    <x:row r="967">
      <x:c r="A967" s="43" t="str">
        <x:v>L2023-00004-1</x:v>
      </x:c>
      <x:c r="B967" s="43" t="str">
        <x:v>연면적·면적</x:v>
      </x:c>
      <x:c r="C967" s="46" t="str">
        <x:v>floor area, m²</x:v>
      </x:c>
      <x:c r="D967" s="46" t="str">
        <x:v>1,000 m²</x:v>
      </x:c>
      <x:c r="E967" s="46" t="str">
        <x:v>USD 1 million</x:v>
      </x:c>
      <x:c r="F967" s="46" t="str"/>
      <x:c r="G967" s="46" t="str">
        <x:v>L2023-00004-1/붙임 2. 입찰 서류/03_Part3(░Φ╛α╝¡ ╣╫ ▒Γ┼╕ └┌╖ß)/Section_12_Other Form/Reference1_KOICA Safety Management Manual.docx</x:v>
      </x:c>
      <x:c r="H967" s="43" t="str">
        <x:v>문단 120</x:v>
      </x:c>
      <x:c r="I967" s="46" t="str">
        <x:v>1) Projects containing constructions with a budget of USD 1 million or more or with a gross floor area of 1,000 m² or more</x:v>
      </x:c>
      <x:c r="J967" s="43" t="str">
        <x:v>자동추출·검토필요</x:v>
      </x:c>
    </x:row>
    <x:row r="968">
      <x:c r="A968" s="43" t="str">
        <x:v>L2023-00003-1</x:v>
      </x:c>
      <x:c r="B968" s="43" t="str">
        <x:v>연면적·면적</x:v>
      </x:c>
      <x:c r="C968" s="46" t="str">
        <x:v>floor area, building area</x:v>
      </x:c>
      <x:c r="D968" s="46" t="str">
        <x:v>827.40 m2 | 827.40 m2 | 827.40 m2 | 827.40 m2</x:v>
      </x:c>
      <x:c r="E968" s="46" t="str"/>
      <x:c r="F968" s="46" t="str"/>
      <x:c r="G968" s="46" t="str">
        <x:v>L2023-00003-1/Bid Document(ESMV II)_separately attached/Bid Document(ESMV II).docx</x:v>
      </x:c>
      <x:c r="H968" s="43" t="str">
        <x:v>표 5 행 8</x:v>
      </x:c>
      <x:c r="I968" s="46" t="str">
        <x:v>- Building area (Gross floor area) | 827.40m2 (827.40m2) | 827.40m2 (827.40m2)</x:v>
      </x:c>
      <x:c r="J968" s="43" t="str">
        <x:v>자동추출·검토필요</x:v>
      </x:c>
    </x:row>
    <x:row r="969">
      <x:c r="A969" s="43" t="str">
        <x:v>L2022-00068-1</x:v>
      </x:c>
      <x:c r="B969" s="43" t="str">
        <x:v>연면적·면적</x:v>
      </x:c>
      <x:c r="C969" s="46" t="str">
        <x:v>㎡</x:v>
      </x:c>
      <x:c r="D969" s="46" t="str">
        <x:v>1,246 ㎡</x:v>
      </x:c>
      <x:c r="E969" s="46" t="str"/>
      <x:c r="F969" s="46" t="str"/>
      <x:c r="G969" s="46" t="str">
        <x:v>L2022-00068-1/붙임 1. 입찰 계획서.hwp</x:v>
      </x:c>
      <x:c r="H969" s="43" t="str">
        <x:v>문단 115</x:v>
      </x:c>
      <x:c r="I969" s="46" t="str">
        <x:v>ㅇ 1st Floor (면적 약 1,246㎡)</x:v>
      </x:c>
      <x:c r="J969" s="43" t="str">
        <x:v>자동추출·검토필요</x:v>
      </x:c>
    </x:row>
    <x:row r="970">
      <x:c r="A970" s="43" t="str">
        <x:v>L2022-00068-1</x:v>
      </x:c>
      <x:c r="B970" s="43" t="str">
        <x:v>연면적·면적</x:v>
      </x:c>
      <x:c r="C970" s="46" t="str">
        <x:v>㎡</x:v>
      </x:c>
      <x:c r="D970" s="46" t="str">
        <x:v>1,197 ㎡</x:v>
      </x:c>
      <x:c r="E970" s="46" t="str"/>
      <x:c r="F970" s="46" t="str"/>
      <x:c r="G970" s="46" t="str">
        <x:v>L2022-00068-1/붙임 1. 입찰 계획서.hwp</x:v>
      </x:c>
      <x:c r="H970" s="43" t="str">
        <x:v>문단 117</x:v>
      </x:c>
      <x:c r="I970" s="46" t="str">
        <x:v>ㅇ 2nd Floor (면적 약 1,197㎡)</x:v>
      </x:c>
      <x:c r="J970" s="43" t="str">
        <x:v>자동추출·검토필요</x:v>
      </x:c>
    </x:row>
    <x:row r="971">
      <x:c r="A971" s="43" t="str">
        <x:v>L2022-00068-1</x:v>
      </x:c>
      <x:c r="B971" s="43" t="str">
        <x:v>연면적·면적</x:v>
      </x:c>
      <x:c r="C971" s="46" t="str">
        <x:v>연면적, ㎡</x:v>
      </x:c>
      <x:c r="D971" s="46" t="str">
        <x:v>1,000 ㎡</x:v>
      </x:c>
      <x:c r="E971" s="46" t="str"/>
      <x:c r="F971" s="46" t="str"/>
      <x:c r="G971" s="46" t="str">
        <x:v>L2022-00068-1/붙임 1. 입찰 계획서.hwp</x:v>
      </x:c>
      <x:c r="H971" s="43" t="str">
        <x:v>문단 155</x:v>
      </x:c>
      <x:c r="I971" s="46" t="str">
        <x:v>(연면적 1,000㎡ 이상 또는 KOICA가 필요하다고 인정하는 건설공사)</x:v>
      </x:c>
      <x:c r="J971" s="43" t="str">
        <x:v>자동추출·검토필요</x:v>
      </x:c>
    </x:row>
    <x:row r="972">
      <x:c r="A972" s="43" t="str">
        <x:v>L2022-00068-1</x:v>
      </x:c>
      <x:c r="B972" s="43" t="str">
        <x:v>연면적·면적</x:v>
      </x:c>
      <x:c r="C972" s="46" t="str">
        <x:v>square meter</x:v>
      </x:c>
      <x:c r="D972" s="46" t="str">
        <x:v>16 square meters</x:v>
      </x:c>
      <x:c r="E972" s="46" t="str"/>
      <x:c r="F972" s="46" t="str"/>
      <x:c r="G972" s="46" t="str">
        <x:v>L2022-00068-1/붙임 2. 입찰 관련 서류/02_Part2(░·╛≈┴÷╜├╝¡)/Section_4_Employer's Requirement/Section_04_Employer Requirement.docx</x:v>
      </x:c>
      <x:c r="H972" s="43" t="str">
        <x:v>문단 31</x:v>
      </x:c>
      <x:c r="I972" s="46" t="str">
        <x:v>However, this office is to be removed from the site after the completion of works. This Site office should be taken out of the site after completing the construction unless the Employer agree to maintain it for his needs upon contractor’s request. The office shall consist of the 16 square meters (m2) spaces as a minimum. Each space shall be separated with partitions up to the ceiling.</x:v>
      </x:c>
      <x:c r="J972" s="43" t="str">
        <x:v>자동추출·검토필요</x:v>
      </x:c>
    </x:row>
    <x:row r="973">
      <x:c r="A973" s="43" t="str">
        <x:v>L2022-00068-1</x:v>
      </x:c>
      <x:c r="B973" s="43" t="str">
        <x:v>연면적·면적</x:v>
      </x:c>
      <x:c r="C973" s="46" t="str">
        <x:v>floor area, m²</x:v>
      </x:c>
      <x:c r="D973" s="46" t="str">
        <x:v>1,000 m²</x:v>
      </x:c>
      <x:c r="E973" s="46" t="str">
        <x:v>USD 1 million</x:v>
      </x:c>
      <x:c r="F973" s="46" t="str"/>
      <x:c r="G973" s="46" t="str">
        <x:v>L2022-00068-1/붙임 2. 입찰 관련 서류/03_Part3(░Φ╛α╝¡ ╣╫ ▒Γ┼╕ └┌╖ß)/Section_12_Other Form/Reference1_KOICA Safety Management Manual.docx</x:v>
      </x:c>
      <x:c r="H973" s="43" t="str">
        <x:v>문단 120</x:v>
      </x:c>
      <x:c r="I973" s="46" t="str">
        <x:v>1) Projects containing constructions with a budget of USD 1 million or more or with a gross floor area of 1,000 m² or more</x:v>
      </x:c>
      <x:c r="J973" s="43" t="str">
        <x:v>자동추출·검토필요</x:v>
      </x:c>
    </x:row>
    <x:row r="974">
      <x:c r="A974" s="43" t="str">
        <x:v>L2022-00060-1</x:v>
      </x:c>
      <x:c r="B974" s="43" t="str">
        <x:v>연면적·면적</x:v>
      </x:c>
      <x:c r="C974" s="46" t="str">
        <x:v>㎡</x:v>
      </x:c>
      <x:c r="D974" s="46" t="str">
        <x:v>1,284 ㎡</x:v>
      </x:c>
      <x:c r="E974" s="46" t="str"/>
      <x:c r="F974" s="46" t="str"/>
      <x:c r="G974" s="46" t="str">
        <x:v>L2022-00060-1/(붙임2) 입찰안내서(영문)/01. Dominican Rep Guideline.docx</x:v>
      </x:c>
      <x:c r="H974" s="43" t="str">
        <x:v>문단 49</x:v>
      </x:c>
      <x:c r="I974" s="46" t="str">
        <x:v>Site area: 1,284㎡</x:v>
      </x:c>
      <x:c r="J974" s="43" t="str">
        <x:v>자동추출·검토필요</x:v>
      </x:c>
    </x:row>
    <x:row r="975">
      <x:c r="A975" s="43" t="str">
        <x:v>L2022-00060-1</x:v>
      </x:c>
      <x:c r="B975" s="43" t="str">
        <x:v>연면적·면적</x:v>
      </x:c>
      <x:c r="C975" s="46" t="str">
        <x:v>floor area, ㎡</x:v>
      </x:c>
      <x:c r="D975" s="46" t="str">
        <x:v>858 ㎡</x:v>
      </x:c>
      <x:c r="E975" s="46" t="str"/>
      <x:c r="F975" s="46" t="str"/>
      <x:c r="G975" s="46" t="str">
        <x:v>L2022-00060-1/(붙임2) 입찰안내서(영문)/01. Dominican Rep Guideline.docx</x:v>
      </x:c>
      <x:c r="H975" s="43" t="str">
        <x:v>문단 50</x:v>
      </x:c>
      <x:c r="I975" s="46" t="str">
        <x:v>Gross floor area: 858㎡</x:v>
      </x:c>
      <x:c r="J975" s="43" t="str">
        <x:v>자동추출·검토필요</x:v>
      </x:c>
    </x:row>
    <x:row r="976">
      <x:c r="A976" s="43" t="str">
        <x:v>L2022-00060-1</x:v>
      </x:c>
      <x:c r="B976" s="43" t="str">
        <x:v>연면적·면적</x:v>
      </x:c>
      <x:c r="C976" s="46" t="str">
        <x:v>대지면적, ㎡</x:v>
      </x:c>
      <x:c r="D976" s="46" t="str">
        <x:v>1,284 ㎡</x:v>
      </x:c>
      <x:c r="E976" s="46" t="str"/>
      <x:c r="F976" s="46" t="str"/>
      <x:c r="G976" s="46" t="str">
        <x:v>L2022-00060-1/(붙임4) 감리 입찰계획서(국문).hwp</x:v>
      </x:c>
      <x:c r="H976" s="43" t="str">
        <x:v>문단 61</x:v>
      </x:c>
      <x:c r="I976" s="46" t="str">
        <x:v>ㅇ 대지면적 : 1,284㎡</x:v>
      </x:c>
      <x:c r="J976" s="43" t="str">
        <x:v>자동추출·검토필요</x:v>
      </x:c>
    </x:row>
    <x:row r="977">
      <x:c r="A977" s="43" t="str">
        <x:v>L2022-00060-1</x:v>
      </x:c>
      <x:c r="B977" s="43" t="str">
        <x:v>연면적·면적</x:v>
      </x:c>
      <x:c r="C977" s="46" t="str">
        <x:v>연면적, ㎡</x:v>
      </x:c>
      <x:c r="D977" s="46" t="str">
        <x:v>858 ㎡</x:v>
      </x:c>
      <x:c r="E977" s="46" t="str"/>
      <x:c r="F977" s="46" t="str"/>
      <x:c r="G977" s="46" t="str">
        <x:v>L2022-00060-1/(붙임4) 감리 입찰계획서(국문).hwp</x:v>
      </x:c>
      <x:c r="H977" s="43" t="str">
        <x:v>문단 62</x:v>
      </x:c>
      <x:c r="I977" s="46" t="str">
        <x:v>ㅇ 연면적 : 858㎡</x:v>
      </x:c>
      <x:c r="J977" s="43" t="str">
        <x:v>자동추출·검토필요</x:v>
      </x:c>
    </x:row>
    <x:row r="978">
      <x:c r="A978" s="43" t="str">
        <x:v>L2022-00059-1</x:v>
      </x:c>
      <x:c r="B978" s="43" t="str">
        <x:v>연면적·면적</x:v>
      </x:c>
      <x:c r="C978" s="46" t="str">
        <x:v>대지면적, ㎡</x:v>
      </x:c>
      <x:c r="D978" s="46" t="str">
        <x:v>1,078 ㎡</x:v>
      </x:c>
      <x:c r="E978" s="46" t="str"/>
      <x:c r="F978" s="46" t="str"/>
      <x:c r="G978" s="46" t="str">
        <x:v>L2022-00059-1/입찰설명서(국문).hwp</x:v>
      </x:c>
      <x:c r="H978" s="43" t="str">
        <x:v>문단 107</x:v>
      </x:c>
      <x:c r="I978" s="46" t="str">
        <x:v>ㅇ 대지면적 : 1,078㎡</x:v>
      </x:c>
      <x:c r="J978" s="43" t="str">
        <x:v>자동추출·검토필요</x:v>
      </x:c>
    </x:row>
    <x:row r="979">
      <x:c r="A979" s="43" t="str">
        <x:v>L2022-00059-1</x:v>
      </x:c>
      <x:c r="B979" s="43" t="str">
        <x:v>연면적·면적</x:v>
      </x:c>
      <x:c r="C979" s="46" t="str">
        <x:v>연면적, ㎡</x:v>
      </x:c>
      <x:c r="D979" s="46" t="str">
        <x:v>920 ㎡</x:v>
      </x:c>
      <x:c r="E979" s="46" t="str"/>
      <x:c r="F979" s="46" t="str">
        <x:v>5%</x:v>
      </x:c>
      <x:c r="G979" s="46" t="str">
        <x:v>L2022-00059-1/입찰설명서(국문).hwp</x:v>
      </x:c>
      <x:c r="H979" s="43" t="str">
        <x:v>문단 108</x:v>
      </x:c>
      <x:c r="I979" s="46" t="str">
        <x:v>ㅇ 계획 연면적 : 920㎡(±5% 이내 조정 가능)</x:v>
      </x:c>
      <x:c r="J979" s="43" t="str">
        <x:v>자동추출·검토필요</x:v>
      </x:c>
    </x:row>
    <x:row r="980">
      <x:c r="A980" s="43" t="str">
        <x:v>L2022-00059-1</x:v>
      </x:c>
      <x:c r="B980" s="43" t="str">
        <x:v>연면적·면적</x:v>
      </x:c>
      <x:c r="C980" s="46" t="str">
        <x:v>대지면적, ㎡</x:v>
      </x:c>
      <x:c r="D980" s="46" t="str">
        <x:v>2,339 ㎡</x:v>
      </x:c>
      <x:c r="E980" s="46" t="str"/>
      <x:c r="F980" s="46" t="str"/>
      <x:c r="G980" s="46" t="str">
        <x:v>L2022-00059-1/입찰설명서(국문).hwp</x:v>
      </x:c>
      <x:c r="H980" s="43" t="str">
        <x:v>문단 114</x:v>
      </x:c>
      <x:c r="I980" s="46" t="str">
        <x:v>ㅇ 대지면적 : 2,339㎡</x:v>
      </x:c>
      <x:c r="J980" s="43" t="str">
        <x:v>자동추출·검토필요</x:v>
      </x:c>
    </x:row>
    <x:row r="981">
      <x:c r="A981" s="43" t="str">
        <x:v>L2022-00059-1</x:v>
      </x:c>
      <x:c r="B981" s="43" t="str">
        <x:v>연면적·면적</x:v>
      </x:c>
      <x:c r="C981" s="46" t="str">
        <x:v>연면적, ㎡</x:v>
      </x:c>
      <x:c r="D981" s="46" t="str">
        <x:v>660 ㎡</x:v>
      </x:c>
      <x:c r="E981" s="46" t="str"/>
      <x:c r="F981" s="46" t="str">
        <x:v>5%</x:v>
      </x:c>
      <x:c r="G981" s="46" t="str">
        <x:v>L2022-00059-1/입찰설명서(국문).hwp</x:v>
      </x:c>
      <x:c r="H981" s="43" t="str">
        <x:v>문단 115</x:v>
      </x:c>
      <x:c r="I981" s="46" t="str">
        <x:v>ㅇ 계획 연면적 : 660㎡(±5% 이내 조정 가능)</x:v>
      </x:c>
      <x:c r="J981" s="43" t="str">
        <x:v>자동추출·검토필요</x:v>
      </x:c>
    </x:row>
    <x:row r="982">
      <x:c r="A982" s="43" t="str">
        <x:v>L2022-00059-1</x:v>
      </x:c>
      <x:c r="B982" s="43" t="str">
        <x:v>연면적·면적</x:v>
      </x:c>
      <x:c r="C982" s="46" t="str">
        <x:v>floor area</x:v>
      </x:c>
      <x:c r="D982" s="46" t="str">
        <x:v>920 m2</x:v>
      </x:c>
      <x:c r="E982" s="46" t="str"/>
      <x:c r="F982" s="46" t="str">
        <x:v>5%</x:v>
      </x:c>
      <x:c r="G982" s="46" t="str">
        <x:v>L2022-00059-1/입찰안내자료(영문)/1. Dominican Rep Haina n Monte Cristi CCPP Bidding  Guideline.docx</x:v>
      </x:c>
      <x:c r="H982" s="43" t="str">
        <x:v>문단 55</x:v>
      </x:c>
      <x:c r="I982" s="46" t="str">
        <x:v>Gross floor area: 920 m2 (GFA can be adjusted within the range of ±5%)</x:v>
      </x:c>
      <x:c r="J982" s="43" t="str">
        <x:v>자동추출·검토필요</x:v>
      </x:c>
    </x:row>
    <x:row r="983">
      <x:c r="A983" s="43" t="str">
        <x:v>L2022-00059-1</x:v>
      </x:c>
      <x:c r="B983" s="43" t="str">
        <x:v>연면적·면적</x:v>
      </x:c>
      <x:c r="C983" s="46" t="str">
        <x:v>floor area</x:v>
      </x:c>
      <x:c r="D983" s="46" t="str">
        <x:v>660 m2</x:v>
      </x:c>
      <x:c r="E983" s="46" t="str"/>
      <x:c r="F983" s="46" t="str">
        <x:v>5%</x:v>
      </x:c>
      <x:c r="G983" s="46" t="str">
        <x:v>L2022-00059-1/입찰안내자료(영문)/1. Dominican Rep Haina n Monte Cristi CCPP Bidding  Guideline.docx</x:v>
      </x:c>
      <x:c r="H983" s="43" t="str">
        <x:v>문단 63</x:v>
      </x:c>
      <x:c r="I983" s="46" t="str">
        <x:v>Gross floor area: 660 m2 (GFA can be adjusted within the range of ±5%)</x:v>
      </x:c>
      <x:c r="J983" s="43" t="str">
        <x:v>자동추출·검토필요</x:v>
      </x:c>
    </x:row>
    <x:row r="984">
      <x:c r="A984" s="43" t="str">
        <x:v>L2022-00059-1</x:v>
      </x:c>
      <x:c r="B984" s="43" t="str">
        <x:v>연면적·면적</x:v>
      </x:c>
      <x:c r="C984" s="46" t="str">
        <x:v>floor area</x:v>
      </x:c>
      <x:c r="D984" s="46" t="str">
        <x:v>920 m2 | 660 m2</x:v>
      </x:c>
      <x:c r="E984" s="46" t="str"/>
      <x:c r="F984" s="46" t="str"/>
      <x:c r="G984" s="46" t="str">
        <x:v>L2022-00059-1/입찰안내자료(영문)/4. Dominican Rep Haina n Monte Cristi CCPP Terms of Reference.docx</x:v>
      </x:c>
      <x:c r="H984" s="43" t="str">
        <x:v>표 1 행 4</x:v>
      </x:c>
      <x:c r="I984" s="46" t="str">
        <x:v>Gross Floor Area | 920 m2 | 660 m2</x:v>
      </x:c>
      <x:c r="J984" s="43" t="str">
        <x:v>자동추출·검토필요</x:v>
      </x:c>
    </x:row>
    <x:row r="985">
      <x:c r="A985" s="43" t="str">
        <x:v>L2022-00055-1</x:v>
      </x:c>
      <x:c r="B985" s="43" t="str">
        <x:v>연면적·면적</x:v>
      </x:c>
      <x:c r="C985" s="46" t="str">
        <x:v>㎡</x:v>
      </x:c>
      <x:c r="D985" s="46" t="str">
        <x:v>449.72 ㎡</x:v>
      </x:c>
      <x:c r="E985" s="46" t="str"/>
      <x:c r="F985" s="46" t="str"/>
      <x:c r="G985" s="46" t="str">
        <x:v>L2022-00055-1/(붙임1) 키르기즈 약초건조장 신축공사 현지 입찰 계획서(안) 국문_v4_0914_추가수정.hwp</x:v>
      </x:c>
      <x:c r="H985" s="43" t="str">
        <x:v>문단 103</x:v>
      </x:c>
      <x:c r="I985" s="46" t="str">
        <x:v>449.72㎡</x:v>
      </x:c>
      <x:c r="J985" s="43" t="str">
        <x:v>자동추출·검토필요</x:v>
      </x:c>
    </x:row>
    <x:row r="986">
      <x:c r="A986" s="43" t="str">
        <x:v>L2022-00055-1</x:v>
      </x:c>
      <x:c r="B986" s="43" t="str">
        <x:v>연면적·면적</x:v>
      </x:c>
      <x:c r="C986" s="46" t="str">
        <x:v>㎡</x:v>
      </x:c>
      <x:c r="D986" s="46" t="str">
        <x:v>449.72 ㎡</x:v>
      </x:c>
      <x:c r="E986" s="46" t="str"/>
      <x:c r="F986" s="46" t="str"/>
      <x:c r="G986" s="46" t="str">
        <x:v>L2022-00055-1/(붙임1) 키르기즈 약초건조장 신축공사 현지 입찰 계획서(안) 국문_v4_0914_추가수정.hwp</x:v>
      </x:c>
      <x:c r="H986" s="43" t="str">
        <x:v>문단 105</x:v>
      </x:c>
      <x:c r="I986" s="46" t="str">
        <x:v>449.72㎡</x:v>
      </x:c>
      <x:c r="J986" s="43" t="str">
        <x:v>자동추출·검토필요</x:v>
      </x:c>
    </x:row>
    <x:row r="987">
      <x:c r="A987" s="43" t="str">
        <x:v>L2022-00055-1</x:v>
      </x:c>
      <x:c r="B987" s="43" t="str">
        <x:v>연면적·면적</x:v>
      </x:c>
      <x:c r="C987" s="46" t="str">
        <x:v>floor area</x:v>
      </x:c>
      <x:c r="D987" s="46" t="str">
        <x:v>449,72 m2</x:v>
      </x:c>
      <x:c r="E987" s="46" t="str"/>
      <x:c r="F987" s="46" t="str"/>
      <x:c r="G987" s="46" t="str">
        <x:v>L2022-00055-1/[ENG]_Bidding_DOCs_HDES/[ENG]_21092022_bidding notice_HDES.docx</x:v>
      </x:c>
      <x:c r="H987" s="43" t="str">
        <x:v>표 1 행 5</x:v>
      </x:c>
      <x:c r="I987" s="46" t="str">
        <x:v>Scope of Works | Construction works to complete the Herb Dryer Equipment Storage building(floor area: 449,72m2) and required engineering &amp; infra-service installation as per the design document. All required administration and authority permit for building completion As-built drawings, O&amp;M manual</x:v>
      </x:c>
      <x:c r="J987" s="43" t="str">
        <x:v>자동추출·검토필요</x:v>
      </x:c>
    </x:row>
    <x:row r="988">
      <x:c r="A988" s="43" t="str">
        <x:v>L2022-00055-1</x:v>
      </x:c>
      <x:c r="B988" s="43" t="str">
        <x:v>연면적·면적</x:v>
      </x:c>
      <x:c r="C988" s="46" t="str">
        <x:v>square meter</x:v>
      </x:c>
      <x:c r="D988" s="46" t="str">
        <x:v>16 square meters</x:v>
      </x:c>
      <x:c r="E988" s="46" t="str"/>
      <x:c r="F988" s="46" t="str"/>
      <x:c r="G988" s="46" t="str">
        <x:v>L2022-00055-1/[ENG]_Bidding_DOCs_HDES/[ENG]_21092022_Part II. Requirements (Section 4,5,6,7,8)_HDES.docx</x:v>
      </x:c>
      <x:c r="H988" s="43" t="str">
        <x:v>문단 22</x:v>
      </x:c>
      <x:c r="I988" s="46" t="str">
        <x:v>However, this office is to be removed from the site after the completion of works. This Site office should be taken out of the site after completing the construction unless the Employer agree to maintain it for his needs upon contractor’s request. The office shall consist of the 16 square meters (m2) spaces as a minimum. Each space shall be separated with partitions up to the ceiling.</x:v>
      </x:c>
      <x:c r="J988" s="43" t="str">
        <x:v>자동추출·검토필요</x:v>
      </x:c>
    </x:row>
    <x:row r="989">
      <x:c r="A989" s="43" t="str">
        <x:v>L2022-00046-1</x:v>
      </x:c>
      <x:c r="B989" s="43" t="str">
        <x:v>연면적·면적</x:v>
      </x:c>
      <x:c r="C989" s="46" t="str">
        <x:v>㎡</x:v>
      </x:c>
      <x:c r="D989" s="46" t="str">
        <x:v>1,284 ㎡</x:v>
      </x:c>
      <x:c r="E989" s="46" t="str"/>
      <x:c r="F989" s="46" t="str"/>
      <x:c r="G989" s="46" t="str">
        <x:v>L2022-00046-1/(붙임2) 입찰안내서(영문)_최종/Section I_Bidding Guideline for Procurement of Contractor.docx</x:v>
      </x:c>
      <x:c r="H989" s="43" t="str">
        <x:v>문단 56</x:v>
      </x:c>
      <x:c r="I989" s="46" t="str">
        <x:v>Site area: 1,284㎡</x:v>
      </x:c>
      <x:c r="J989" s="43" t="str">
        <x:v>자동추출·검토필요</x:v>
      </x:c>
    </x:row>
    <x:row r="990">
      <x:c r="A990" s="43" t="str">
        <x:v>L2022-00046-1</x:v>
      </x:c>
      <x:c r="B990" s="43" t="str">
        <x:v>연면적·면적</x:v>
      </x:c>
      <x:c r="C990" s="46" t="str">
        <x:v>floor area, ㎡</x:v>
      </x:c>
      <x:c r="D990" s="46" t="str">
        <x:v>858 ㎡</x:v>
      </x:c>
      <x:c r="E990" s="46" t="str"/>
      <x:c r="F990" s="46" t="str"/>
      <x:c r="G990" s="46" t="str">
        <x:v>L2022-00046-1/(붙임2) 입찰안내서(영문)_최종/Section I_Bidding Guideline for Procurement of Contractor.docx</x:v>
      </x:c>
      <x:c r="H990" s="43" t="str">
        <x:v>문단 57</x:v>
      </x:c>
      <x:c r="I990" s="46" t="str">
        <x:v>Gross floor area: 858㎡</x:v>
      </x:c>
      <x:c r="J990" s="43" t="str">
        <x:v>자동추출·검토필요</x:v>
      </x:c>
    </x:row>
    <x:row r="991">
      <x:c r="A991" s="43" t="str">
        <x:v>L2022-00046-1</x:v>
      </x:c>
      <x:c r="B991" s="43" t="str">
        <x:v>연면적·면적</x:v>
      </x:c>
      <x:c r="C991" s="46" t="str">
        <x:v>㎡</x:v>
      </x:c>
      <x:c r="D991" s="46" t="str">
        <x:v>1,284 ㎡</x:v>
      </x:c>
      <x:c r="E991" s="46" t="str"/>
      <x:c r="F991" s="46" t="str"/>
      <x:c r="G991" s="46" t="str">
        <x:v>L2022-00046-1/(붙임2) 입찰안내서(영문)_최종/Section IV_Scope of Works.docx</x:v>
      </x:c>
      <x:c r="H991" s="43" t="str">
        <x:v>문단 9</x:v>
      </x:c>
      <x:c r="I991" s="46" t="str">
        <x:v>Site area: 1,284㎡</x:v>
      </x:c>
      <x:c r="J991" s="43" t="str">
        <x:v>자동추출·검토필요</x:v>
      </x:c>
    </x:row>
    <x:row r="992">
      <x:c r="A992" s="43" t="str">
        <x:v>L2022-00046-1</x:v>
      </x:c>
      <x:c r="B992" s="43" t="str">
        <x:v>연면적·면적</x:v>
      </x:c>
      <x:c r="C992" s="46" t="str">
        <x:v>floor area, ㎡</x:v>
      </x:c>
      <x:c r="D992" s="46" t="str">
        <x:v>858 ㎡</x:v>
      </x:c>
      <x:c r="E992" s="46" t="str"/>
      <x:c r="F992" s="46" t="str"/>
      <x:c r="G992" s="46" t="str">
        <x:v>L2022-00046-1/(붙임2) 입찰안내서(영문)_최종/Section IV_Scope of Works.docx</x:v>
      </x:c>
      <x:c r="H992" s="43" t="str">
        <x:v>문단 11</x:v>
      </x:c>
      <x:c r="I992" s="46" t="str">
        <x:v>Gross floor area: 858㎡</x:v>
      </x:c>
      <x:c r="J992" s="43" t="str">
        <x:v>자동추출·검토필요</x:v>
      </x:c>
    </x:row>
    <x:row r="993">
      <x:c r="A993" s="43" t="str">
        <x:v>L2022-00046-1</x:v>
      </x:c>
      <x:c r="B993" s="43" t="str">
        <x:v>연면적·면적</x:v>
      </x:c>
      <x:c r="C993" s="46" t="str">
        <x:v>대지면적, ㎡</x:v>
      </x:c>
      <x:c r="D993" s="46" t="str">
        <x:v>1,284 ㎡</x:v>
      </x:c>
      <x:c r="E993" s="46" t="str"/>
      <x:c r="F993" s="46" t="str"/>
      <x:c r="G993" s="46" t="str">
        <x:v>L2022-00046-1/(붙임4) 도미니카공화국 성보건센터 시공 입찰계획서.hwp</x:v>
      </x:c>
      <x:c r="H993" s="43" t="str">
        <x:v>문단 78</x:v>
      </x:c>
      <x:c r="I993" s="46" t="str">
        <x:v>ㅇ 대지면적 : 1,284 ㎡</x:v>
      </x:c>
      <x:c r="J993" s="43" t="str">
        <x:v>자동추출·검토필요</x:v>
      </x:c>
    </x:row>
    <x:row r="994">
      <x:c r="A994" s="43" t="str">
        <x:v>L2022-00046-1</x:v>
      </x:c>
      <x:c r="B994" s="43" t="str">
        <x:v>연면적·면적</x:v>
      </x:c>
      <x:c r="C994" s="46" t="str">
        <x:v>㎡</x:v>
      </x:c>
      <x:c r="D994" s="46" t="str">
        <x:v>858 ㎡</x:v>
      </x:c>
      <x:c r="E994" s="46" t="str"/>
      <x:c r="F994" s="46" t="str"/>
      <x:c r="G994" s="46" t="str">
        <x:v>L2022-00046-1/(붙임4) 도미니카공화국 성보건센터 시공 입찰계획서.hwp</x:v>
      </x:c>
      <x:c r="H994" s="43" t="str">
        <x:v>문단 79</x:v>
      </x:c>
      <x:c r="I994" s="46" t="str">
        <x:v>ㅇ 연 면 적 : 858 ㎡</x:v>
      </x:c>
      <x:c r="J994" s="43" t="str">
        <x:v>자동추출·검토필요</x:v>
      </x:c>
    </x:row>
    <x:row r="995">
      <x:c r="A995" s="43" t="str">
        <x:v>L2022-00043-1</x:v>
      </x:c>
      <x:c r="B995" s="43" t="str">
        <x:v>연면적·면적</x:v>
      </x:c>
      <x:c r="C995" s="46" t="str">
        <x:v>floor area, ㎡</x:v>
      </x:c>
      <x:c r="D995" s="46" t="str">
        <x:v>2,194 ㎡</x:v>
      </x:c>
      <x:c r="E995" s="46" t="str">
        <x:v>USD 1,559,175</x:v>
      </x:c>
      <x:c r="F995" s="46" t="str"/>
      <x:c r="G995" s="46" t="str">
        <x:v>L2022-00043-1/붙임. 사이버안전을 위한 디지털 수사 역량 확산 사업 사이버 경찰센터 시공 입.doc</x:v>
      </x:c>
      <x:c r="H995" s="43" t="str">
        <x:v>문단 3</x:v>
      </x:c>
      <x:c r="I995" s="46" t="str">
        <x:v>Description of Project - Bid Title: Construction Works for Cyber Police Center in Chattogram for the Project for “Safer Cyberspace for Digital Bangladesh: Enhancing National &amp; Regional Digital Investigation Capability of Bangladesh Police” - Bidding No.: KOICA Bangladesh 2022-02 - Summary of Construction: Four (4) stories new building, floor area 2,194 ㎡ - Duration: 20 Months from the effective date - Site: Dampara Metropolition Police Line, Dampara, Chitiagong. Bangladesh. - Approx. Budget: USD 1,559,175 (VAT included) * KOICA has no authority or responsibility in relation to any taxes or VAT incurred from the tender and contract. ① Employer: Korea International Cooperation Agency (KOICA) Bangladesh Office ② Bid Type: International Open Competitive Bidding with Pre-Qualification (PQ) process * Joint venture is not allowed. ③ Selection of the Successful Bidder: - Evaluation of the Bid Proposal of Prequalified Bidders - Bid Proposal Evaluation Criteria i. Performance Capacity (30 scores) ii. Bid Price (70 scores) * Details of bid proposal evaluation will be provided. ④ Applicants are required to send a Letter of Interest (LOI) to KOICA Bangladesh Office via E-mail (below no.9. atten</x:v>
      </x:c>
      <x:c r="J995" s="43" t="str">
        <x:v>자동추출·검토필요</x:v>
      </x:c>
    </x:row>
    <x:row r="996">
      <x:c r="A996" s="43" t="str">
        <x:v>L2022-00042-1</x:v>
      </x:c>
      <x:c r="B996" s="43" t="str">
        <x:v>연면적·면적</x:v>
      </x:c>
      <x:c r="C996" s="46" t="str">
        <x:v>연면적, ㎡</x:v>
      </x:c>
      <x:c r="D996" s="46" t="str">
        <x:v>1,000 ㎡</x:v>
      </x:c>
      <x:c r="E996" s="46" t="str"/>
      <x:c r="F996" s="46" t="str"/>
      <x:c r="G996" s="46" t="str">
        <x:v>L2022-00042-1/1.1 잔여공사 입찰계획서_QIRDP_220817_v2.docx</x:v>
      </x:c>
      <x:c r="H996" s="43" t="str">
        <x:v>문단 60</x:v>
      </x:c>
      <x:c r="I996" s="46" t="str">
        <x:v>- 연면적 1,000㎡ 이상 또는 KOICA가 필요하다고 인정하는 건설공사로 총공사비</x:v>
      </x:c>
      <x:c r="J996" s="43" t="str">
        <x:v>자동추출·검토필요</x:v>
      </x:c>
    </x:row>
    <x:row r="997">
      <x:c r="A997" s="43" t="str">
        <x:v>L2022-00042-1</x:v>
      </x:c>
      <x:c r="B997" s="43" t="str">
        <x:v>연면적·면적</x:v>
      </x:c>
      <x:c r="C997" s="46" t="str">
        <x:v>연면적, ㎡</x:v>
      </x:c>
      <x:c r="D997" s="46" t="str">
        <x:v>6,635 ㎡ | 820 ㎡ | 660 ㎡ | 12 ㎡ | 28 ㎡ | 2,091 ㎡</x:v>
      </x:c>
      <x:c r="E997" s="46" t="str"/>
      <x:c r="F997" s="46" t="str"/>
      <x:c r="G997" s="46" t="str">
        <x:v>L2022-00042-1/1.1 잔여공사 입찰계획서_QIRDP_220817_v2.docx</x:v>
      </x:c>
      <x:c r="H997" s="43" t="str">
        <x:v>표 3 행 4</x:v>
      </x:c>
      <x:c r="I997" s="46" t="str">
        <x:v>공사 규모 | - Cattle Breeding Center 및 Q-Life Center - 동수: 6개동 - 연면적: 6,635㎡ ① 축사: 3,024 (1층, 2개동) ② 축사 관리동: 820㎡ (2층) ③ 축사동 사료 창고: 660㎡ (1층) ④ 축사동의 경비실: 12㎡ (1층)) ⑤ 축사동의 발전기실(Genset House): 28㎡ (1층) ⑥ Q-Life센터: 2,091㎡ (B1/4층) ⑦ 옥외 콘크리트 포장</x:v>
      </x:c>
      <x:c r="J997" s="43" t="str">
        <x:v>자동추출·검토필요</x:v>
      </x:c>
    </x:row>
    <x:row r="998">
      <x:c r="A998" s="43" t="str">
        <x:v>L2022-00040-1</x:v>
      </x:c>
      <x:c r="B998" s="43" t="str">
        <x:v>연면적·면적</x:v>
      </x:c>
      <x:c r="C998" s="46" t="str">
        <x:v>㎡</x:v>
      </x:c>
      <x:c r="D998" s="46" t="str">
        <x:v>1,284 ㎡</x:v>
      </x:c>
      <x:c r="E998" s="46" t="str"/>
      <x:c r="F998" s="46" t="str"/>
      <x:c r="G998" s="46" t="str">
        <x:v>L2022-00040-1/(붙임2) 입찰안내서(영문)/1. Dominican Rep Guideline.docx</x:v>
      </x:c>
      <x:c r="H998" s="43" t="str">
        <x:v>문단 49</x:v>
      </x:c>
      <x:c r="I998" s="46" t="str">
        <x:v>Site area: 1,284㎡</x:v>
      </x:c>
      <x:c r="J998" s="43" t="str">
        <x:v>자동추출·검토필요</x:v>
      </x:c>
    </x:row>
    <x:row r="999">
      <x:c r="A999" s="43" t="str">
        <x:v>L2022-00040-1</x:v>
      </x:c>
      <x:c r="B999" s="43" t="str">
        <x:v>연면적·면적</x:v>
      </x:c>
      <x:c r="C999" s="46" t="str">
        <x:v>floor area, ㎡</x:v>
      </x:c>
      <x:c r="D999" s="46" t="str">
        <x:v>858 ㎡</x:v>
      </x:c>
      <x:c r="E999" s="46" t="str"/>
      <x:c r="F999" s="46" t="str"/>
      <x:c r="G999" s="46" t="str">
        <x:v>L2022-00040-1/(붙임2) 입찰안내서(영문)/1. Dominican Rep Guideline.docx</x:v>
      </x:c>
      <x:c r="H999" s="43" t="str">
        <x:v>문단 50</x:v>
      </x:c>
      <x:c r="I999" s="46" t="str">
        <x:v>Gross floor area: 858㎡</x:v>
      </x:c>
      <x:c r="J999" s="43" t="str">
        <x:v>자동추출·검토필요</x:v>
      </x:c>
    </x:row>
    <x:row r="1000">
      <x:c r="A1000" s="43" t="str">
        <x:v>L2022-00040-1</x:v>
      </x:c>
      <x:c r="B1000" s="43" t="str">
        <x:v>연면적·면적</x:v>
      </x:c>
      <x:c r="C1000" s="46" t="str">
        <x:v>대지면적, ㎡</x:v>
      </x:c>
      <x:c r="D1000" s="46" t="str">
        <x:v>1,284 ㎡</x:v>
      </x:c>
      <x:c r="E1000" s="46" t="str"/>
      <x:c r="F1000" s="46" t="str"/>
      <x:c r="G1000" s="46" t="str">
        <x:v>L2022-00040-1/(붙임4) 감리 입찰계획서(국문).hwp</x:v>
      </x:c>
      <x:c r="H1000" s="43" t="str">
        <x:v>문단 61</x:v>
      </x:c>
      <x:c r="I1000" s="46" t="str">
        <x:v>ㅇ 대지면적 : 1,284㎡</x:v>
      </x:c>
      <x:c r="J1000" s="43" t="str">
        <x:v>자동추출·검토필요</x:v>
      </x:c>
    </x:row>
    <x:row r="1001">
      <x:c r="A1001" s="43" t="str">
        <x:v>L2022-00040-1</x:v>
      </x:c>
      <x:c r="B1001" s="43" t="str">
        <x:v>연면적·면적</x:v>
      </x:c>
      <x:c r="C1001" s="46" t="str">
        <x:v>연면적, ㎡</x:v>
      </x:c>
      <x:c r="D1001" s="46" t="str">
        <x:v>858 ㎡</x:v>
      </x:c>
      <x:c r="E1001" s="46" t="str"/>
      <x:c r="F1001" s="46" t="str"/>
      <x:c r="G1001" s="46" t="str">
        <x:v>L2022-00040-1/(붙임4) 감리 입찰계획서(국문).hwp</x:v>
      </x:c>
      <x:c r="H1001" s="43" t="str">
        <x:v>문단 62</x:v>
      </x:c>
      <x:c r="I1001" s="46" t="str">
        <x:v>ㅇ 연면적 : 858㎡</x:v>
      </x:c>
      <x:c r="J1001" s="43" t="str">
        <x:v>자동추출·검토필요</x:v>
      </x:c>
    </x:row>
    <x:row r="1002">
      <x:c r="A1002" s="43" t="str">
        <x:v>L2022-00037-1</x:v>
      </x:c>
      <x:c r="B1002" s="43" t="str">
        <x:v>연면적·면적</x:v>
      </x:c>
      <x:c r="C1002" s="46" t="str">
        <x:v>㎡</x:v>
      </x:c>
      <x:c r="D1002" s="46" t="str">
        <x:v>1,140 m2 | 42 ㎡</x:v>
      </x:c>
      <x:c r="E1002" s="46" t="str"/>
      <x:c r="F1002" s="46" t="str"/>
      <x:c r="G1002" s="46" t="str">
        <x:v>L2022-00037-1/입찰공고문(최종).docx</x:v>
      </x:c>
      <x:c r="H1002" s="43" t="str">
        <x:v>표 1 행 5</x:v>
      </x:c>
      <x:c r="I1002" s="46" t="str">
        <x:v>Scope of Works | Becora Site - New Building Construction for Sports Center (1,140m2) - Two Football Fields 2) 3 Local Fields (Comoro, Kampo Alor, Bintang Sites) - Renovation of Local Football Fields - New Storage Construction (3 Buildings: 42㎡ each) * The Scope of Works includes RC structures and building finishes, Electromechanical works, External Landscaping, Communications and Firefighting facilities, Test &amp; Commissioning etc.</x:v>
      </x:c>
      <x:c r="J1002" s="43" t="str">
        <x:v>자동추출·검토필요</x:v>
      </x:c>
    </x:row>
    <x:row r="1003">
      <x:c r="A1003" s="43" t="str">
        <x:v>L2022-00034-1</x:v>
      </x:c>
      <x:c r="B1003" s="43" t="str">
        <x:v>연면적·면적</x:v>
      </x:c>
      <x:c r="C1003" s="46" t="str">
        <x:v>㎡</x:v>
      </x:c>
      <x:c r="D1003" s="46" t="str">
        <x:v>3,000.00 ㎡</x:v>
      </x:c>
      <x:c r="E1003" s="46" t="str"/>
      <x:c r="F1003" s="46" t="str"/>
      <x:c r="G1003" s="46" t="str">
        <x:v>L2022-00034-1/1. 영양교육센터 시공업체 선정 국문 입찰계획안.hwp</x:v>
      </x:c>
      <x:c r="H1003" s="43" t="str">
        <x:v>문단 99</x:v>
      </x:c>
      <x:c r="I1003" s="46" t="str">
        <x:v>3,000.00㎡ (322,927.88sq.ft)</x:v>
      </x:c>
      <x:c r="J1003" s="43" t="str">
        <x:v>자동추출·검토필요</x:v>
      </x:c>
    </x:row>
    <x:row r="1004">
      <x:c r="A1004" s="43" t="str">
        <x:v>L2022-00034-1</x:v>
      </x:c>
      <x:c r="B1004" s="43" t="str">
        <x:v>연면적·면적</x:v>
      </x:c>
      <x:c r="C1004" s="46" t="str">
        <x:v>㎡</x:v>
      </x:c>
      <x:c r="D1004" s="46" t="str">
        <x:v>3,046.75 ㎡</x:v>
      </x:c>
      <x:c r="E1004" s="46" t="str"/>
      <x:c r="F1004" s="46" t="str"/>
      <x:c r="G1004" s="46" t="str">
        <x:v>L2022-00034-1/1. 영양교육센터 시공업체 선정 국문 입찰계획안.hwp</x:v>
      </x:c>
      <x:c r="H1004" s="43" t="str">
        <x:v>문단 101</x:v>
      </x:c>
      <x:c r="I1004" s="46" t="str">
        <x:v>3,046.75㎡ (32,796 sq.ft)</x:v>
      </x:c>
      <x:c r="J1004" s="43" t="str">
        <x:v>자동추출·검토필요</x:v>
      </x:c>
    </x:row>
    <x:row r="1005">
      <x:c r="A1005" s="43" t="str">
        <x:v>L2022-00034-1</x:v>
      </x:c>
      <x:c r="B1005" s="43" t="str">
        <x:v>연면적·면적</x:v>
      </x:c>
      <x:c r="C1005" s="46" t="str">
        <x:v>㎡</x:v>
      </x:c>
      <x:c r="D1005" s="46" t="str">
        <x:v>3,000.00 ㎡</x:v>
      </x:c>
      <x:c r="E1005" s="46" t="str"/>
      <x:c r="F1005" s="46" t="str"/>
      <x:c r="G1005" s="46" t="str">
        <x:v>L2022-00034-1/2. 영양교육센터 설립사업 입찰관련 서류/Chapter 1. Invitation for Pre-Qualification.docx</x:v>
      </x:c>
      <x:c r="H1005" s="43" t="str">
        <x:v>표 2 행 4</x:v>
      </x:c>
      <x:c r="I1005" s="46" t="str">
        <x:v>- Site Area | 3,000.00㎡ (322,927.88sq.ft)</x:v>
      </x:c>
      <x:c r="J1005" s="43" t="str">
        <x:v>자동추출·검토필요</x:v>
      </x:c>
    </x:row>
    <x:row r="1006">
      <x:c r="A1006" s="43" t="str">
        <x:v>L2022-00034-1</x:v>
      </x:c>
      <x:c r="B1006" s="43" t="str">
        <x:v>연면적·면적</x:v>
      </x:c>
      <x:c r="C1006" s="46" t="str">
        <x:v>floor area, ㎡</x:v>
      </x:c>
      <x:c r="D1006" s="46" t="str">
        <x:v>3,046.75 ㎡</x:v>
      </x:c>
      <x:c r="E1006" s="46" t="str"/>
      <x:c r="F1006" s="46" t="str"/>
      <x:c r="G1006" s="46" t="str">
        <x:v>L2022-00034-1/2. 영양교육센터 설립사업 입찰관련 서류/Chapter 1. Invitation for Pre-Qualification.docx</x:v>
      </x:c>
      <x:c r="H1006" s="43" t="str">
        <x:v>표 2 행 6</x:v>
      </x:c>
      <x:c r="I1006" s="46" t="str">
        <x:v>- Gross Floor Area | 3,046.75㎡ (32,796 sq.ft)</x:v>
      </x:c>
      <x:c r="J1006" s="43" t="str">
        <x:v>자동추출·검토필요</x:v>
      </x:c>
    </x:row>
    <x:row r="1007">
      <x:c r="A1007" s="43" t="str">
        <x:v>L2022-00034-1</x:v>
      </x:c>
      <x:c r="B1007" s="43" t="str">
        <x:v>연면적·면적</x:v>
      </x:c>
      <x:c r="C1007" s="46" t="str">
        <x:v>floor area, m²</x:v>
      </x:c>
      <x:c r="D1007" s="46" t="str">
        <x:v>1,000 m²</x:v>
      </x:c>
      <x:c r="E1007" s="46" t="str">
        <x:v>USD 1 million</x:v>
      </x:c>
      <x:c r="F1007" s="46" t="str"/>
      <x:c r="G1007" s="46" t="str">
        <x:v>L2022-00034-1/2. 영양교육센터 설립사업 입찰관련 서류/Chapter 8. Safety Management Manual(ENG).pdf</x:v>
      </x:c>
      <x:c r="H1007" s="43" t="str">
        <x:v>페이지 6</x:v>
      </x:c>
      <x:c r="I1007" s="46" t="str">
        <x:v>CHAPTER 1 General Conditions 1. Purpose The purpose of these guidelines is to systematically set out the roles and scope of work for the KOICA, architects, construction managers, contractors, etc. through all stages from the planning stage for the construction project by KOICA to construction completion and to publish and disseminate a manual regarding the safety management work throughout the construction. 2. Scope of Application A. This manual shall be applied to construction projects corresponding to one or more of the following criteria which are required to devise safety management plans such as safety inspections and safety management organizations to secure safety under Article 62 of the Construction Technology Promotion Act. 1) Projects containing constructions with a budget of USD 1 million or more or with a gross floor area of 1,000 m² or more 2) Construction projects other than those in Paragraph 1 above, which are recognized explicitly by KOICA as requiring safety management B. KOICA may separately determine matters other than those prescribed in this manual in connection with the safety management work of those participating in the safety management of a construction p</x:v>
      </x:c>
      <x:c r="J1007" s="43" t="str">
        <x:v>자동추출·검토필요</x:v>
      </x:c>
    </x:row>
    <x:row r="1008">
      <x:c r="A1008" s="43" t="str">
        <x:v>L2022-00032-1</x:v>
      </x:c>
      <x:c r="B1008" s="43" t="str">
        <x:v>연면적·면적</x:v>
      </x:c>
      <x:c r="C1008" s="46" t="str">
        <x:v>㎡</x:v>
      </x:c>
      <x:c r="D1008" s="46" t="str">
        <x:v>1,284 ㎡</x:v>
      </x:c>
      <x:c r="E1008" s="46" t="str"/>
      <x:c r="F1008" s="46" t="str"/>
      <x:c r="G1008" s="46" t="str">
        <x:v>L2022-00032-1/(붙임2) 입찰안내서(영문)_최종/Section I_Bidding Guideline for Procurement of Contractor.docx</x:v>
      </x:c>
      <x:c r="H1008" s="43" t="str">
        <x:v>문단 56</x:v>
      </x:c>
      <x:c r="I1008" s="46" t="str">
        <x:v>Site area: 1,284㎡</x:v>
      </x:c>
      <x:c r="J1008" s="43" t="str">
        <x:v>자동추출·검토필요</x:v>
      </x:c>
    </x:row>
    <x:row r="1009">
      <x:c r="A1009" s="43" t="str">
        <x:v>L2022-00032-1</x:v>
      </x:c>
      <x:c r="B1009" s="43" t="str">
        <x:v>연면적·면적</x:v>
      </x:c>
      <x:c r="C1009" s="46" t="str">
        <x:v>floor area, ㎡</x:v>
      </x:c>
      <x:c r="D1009" s="46" t="str">
        <x:v>858 ㎡</x:v>
      </x:c>
      <x:c r="E1009" s="46" t="str"/>
      <x:c r="F1009" s="46" t="str"/>
      <x:c r="G1009" s="46" t="str">
        <x:v>L2022-00032-1/(붙임2) 입찰안내서(영문)_최종/Section I_Bidding Guideline for Procurement of Contractor.docx</x:v>
      </x:c>
      <x:c r="H1009" s="43" t="str">
        <x:v>문단 57</x:v>
      </x:c>
      <x:c r="I1009" s="46" t="str">
        <x:v>Gross floor area: 858㎡</x:v>
      </x:c>
      <x:c r="J1009" s="43" t="str">
        <x:v>자동추출·검토필요</x:v>
      </x:c>
    </x:row>
    <x:row r="1010">
      <x:c r="A1010" s="43" t="str">
        <x:v>L2022-00032-1</x:v>
      </x:c>
      <x:c r="B1010" s="43" t="str">
        <x:v>연면적·면적</x:v>
      </x:c>
      <x:c r="C1010" s="46" t="str">
        <x:v>㎡</x:v>
      </x:c>
      <x:c r="D1010" s="46" t="str">
        <x:v>1,284 ㎡</x:v>
      </x:c>
      <x:c r="E1010" s="46" t="str"/>
      <x:c r="F1010" s="46" t="str"/>
      <x:c r="G1010" s="46" t="str">
        <x:v>L2022-00032-1/(붙임2) 입찰안내서(영문)_최종/Section IV_Scope of Works.docx</x:v>
      </x:c>
      <x:c r="H1010" s="43" t="str">
        <x:v>문단 9</x:v>
      </x:c>
      <x:c r="I1010" s="46" t="str">
        <x:v>Site area: 1,284㎡</x:v>
      </x:c>
      <x:c r="J1010" s="43" t="str">
        <x:v>자동추출·검토필요</x:v>
      </x:c>
    </x:row>
    <x:row r="1011">
      <x:c r="A1011" s="43" t="str">
        <x:v>L2022-00032-1</x:v>
      </x:c>
      <x:c r="B1011" s="43" t="str">
        <x:v>연면적·면적</x:v>
      </x:c>
      <x:c r="C1011" s="46" t="str">
        <x:v>floor area, ㎡</x:v>
      </x:c>
      <x:c r="D1011" s="46" t="str">
        <x:v>858 ㎡</x:v>
      </x:c>
      <x:c r="E1011" s="46" t="str"/>
      <x:c r="F1011" s="46" t="str"/>
      <x:c r="G1011" s="46" t="str">
        <x:v>L2022-00032-1/(붙임2) 입찰안내서(영문)_최종/Section IV_Scope of Works.docx</x:v>
      </x:c>
      <x:c r="H1011" s="43" t="str">
        <x:v>문단 11</x:v>
      </x:c>
      <x:c r="I1011" s="46" t="str">
        <x:v>Gross floor area: 858㎡</x:v>
      </x:c>
      <x:c r="J1011" s="43" t="str">
        <x:v>자동추출·검토필요</x:v>
      </x:c>
    </x:row>
    <x:row r="1012">
      <x:c r="A1012" s="43" t="str">
        <x:v>L2022-00032-1</x:v>
      </x:c>
      <x:c r="B1012" s="43" t="str">
        <x:v>연면적·면적</x:v>
      </x:c>
      <x:c r="C1012" s="46" t="str">
        <x:v>대지면적, ㎡</x:v>
      </x:c>
      <x:c r="D1012" s="46" t="str">
        <x:v>1,284 ㎡</x:v>
      </x:c>
      <x:c r="E1012" s="46" t="str"/>
      <x:c r="F1012" s="46" t="str"/>
      <x:c r="G1012" s="46" t="str">
        <x:v>L2022-00032-1/(붙임4) 도미니카공화국 성보건센터 시공 입찰계획서.hwp</x:v>
      </x:c>
      <x:c r="H1012" s="43" t="str">
        <x:v>문단 78</x:v>
      </x:c>
      <x:c r="I1012" s="46" t="str">
        <x:v>ㅇ 대지면적 : 1,284 ㎡</x:v>
      </x:c>
      <x:c r="J1012" s="43" t="str">
        <x:v>자동추출·검토필요</x:v>
      </x:c>
    </x:row>
    <x:row r="1013">
      <x:c r="A1013" s="43" t="str">
        <x:v>L2022-00032-1</x:v>
      </x:c>
      <x:c r="B1013" s="43" t="str">
        <x:v>연면적·면적</x:v>
      </x:c>
      <x:c r="C1013" s="46" t="str">
        <x:v>㎡</x:v>
      </x:c>
      <x:c r="D1013" s="46" t="str">
        <x:v>858 ㎡</x:v>
      </x:c>
      <x:c r="E1013" s="46" t="str"/>
      <x:c r="F1013" s="46" t="str"/>
      <x:c r="G1013" s="46" t="str">
        <x:v>L2022-00032-1/(붙임4) 도미니카공화국 성보건센터 시공 입찰계획서.hwp</x:v>
      </x:c>
      <x:c r="H1013" s="43" t="str">
        <x:v>문단 79</x:v>
      </x:c>
      <x:c r="I1013" s="46" t="str">
        <x:v>ㅇ 연 면 적 : 858 ㎡</x:v>
      </x:c>
      <x:c r="J1013" s="43" t="str">
        <x:v>자동추출·검토필요</x:v>
      </x:c>
    </x:row>
    <x:row r="1014">
      <x:c r="A1014" s="43" t="str">
        <x:v>L2022-00029-1</x:v>
      </x:c>
      <x:c r="B1014" s="43" t="str">
        <x:v>연면적·면적</x:v>
      </x:c>
      <x:c r="C1014" s="46" t="str">
        <x:v>연면적</x:v>
      </x:c>
      <x:c r="D1014" s="46" t="str">
        <x:v>5,640.10 m2</x:v>
      </x:c>
      <x:c r="E1014" s="46" t="str"/>
      <x:c r="F1014" s="46" t="str"/>
      <x:c r="G1014" s="46" t="str">
        <x:v>L2022-00029-1/1. 국문입찰계획서 (네팔사무소 조정안)_0531.hwp</x:v>
      </x:c>
      <x:c r="H1014" s="43" t="str">
        <x:v>문단 92</x:v>
      </x:c>
      <x:c r="I1014" s="46" t="str">
        <x:v>1.6 공사개요 : 건축 연면적 5,640.10 m2</x:v>
      </x:c>
      <x:c r="J1014" s="43" t="str">
        <x:v>자동추출·검토필요</x:v>
      </x:c>
    </x:row>
    <x:row r="1015">
      <x:c r="A1015" s="43" t="str">
        <x:v>L2022-00029-1</x:v>
      </x:c>
      <x:c r="B1015" s="43" t="str">
        <x:v>연면적·면적</x:v>
      </x:c>
      <x:c r="C1015" s="46" t="str">
        <x:v>floor area</x:v>
      </x:c>
      <x:c r="D1015" s="46" t="str">
        <x:v>5,640.10 m2</x:v>
      </x:c>
      <x:c r="E1015" s="46" t="str"/>
      <x:c r="F1015" s="46" t="str"/>
      <x:c r="G1015" s="46" t="str">
        <x:v>L2022-00029-1/2. 영문입찰계획서(네팔사무소 조정안)_0531.docx</x:v>
      </x:c>
      <x:c r="H1015" s="43" t="str">
        <x:v>표 1 행 4</x:v>
      </x:c>
      <x:c r="I1015" s="46" t="str">
        <x:v>Total Gross Floor Area | 5,640.10m2</x:v>
      </x:c>
      <x:c r="J1015" s="43" t="str">
        <x:v>자동추출·검토필요</x:v>
      </x:c>
    </x:row>
    <x:row r="1016">
      <x:c r="A1016" s="43" t="str">
        <x:v>L2022-00027-1</x:v>
      </x:c>
      <x:c r="B1016" s="43" t="str">
        <x:v>연면적·면적</x:v>
      </x:c>
      <x:c r="C1016" s="46" t="str">
        <x:v>연면적</x:v>
      </x:c>
      <x:c r="D1016" s="46" t="str">
        <x:v>3,100 m2 | 1950 m2</x:v>
      </x:c>
      <x:c r="E1016" s="46" t="str"/>
      <x:c r="F1016" s="46" t="str">
        <x:v>6%</x:v>
      </x:c>
      <x:c r="G1016" s="46" t="str">
        <x:v>L2022-00027-1/1. 입찰계획안(국문)_키토혁신센터 설계_220601.hwp</x:v>
      </x:c>
      <x:c r="H1016" s="43" t="str">
        <x:v>문단 31</x:v>
      </x:c>
      <x:c r="I1016" s="46" t="str">
        <x:v>1) 정림CM2135-66(2022.04.26./에콰도르 키토시 혁신센터 건축사업 규모 변경 실정보고) 참조. 연면적 3,100m2 및 외벽 면적 1950m2 기준, 리모델링 공사비(267만불)의 6% 설계비 적용</x:v>
      </x:c>
      <x:c r="J1016" s="43" t="str">
        <x:v>자동추출·검토필요</x:v>
      </x:c>
    </x:row>
    <x:row r="1017">
      <x:c r="A1017" s="43" t="str">
        <x:v>L2022-00027-1</x:v>
      </x:c>
      <x:c r="B1017" s="43" t="str">
        <x:v>연면적·면적</x:v>
      </x:c>
      <x:c r="C1017" s="46" t="str">
        <x:v>연면적, ㎡</x:v>
      </x:c>
      <x:c r="D1017" s="46" t="str">
        <x:v>3,100 ㎡</x:v>
      </x:c>
      <x:c r="E1017" s="46" t="str"/>
      <x:c r="F1017" s="46" t="str">
        <x:v>5%</x:v>
      </x:c>
      <x:c r="G1017" s="46" t="str">
        <x:v>L2022-00027-1/1. 입찰계획안(국문)_키토혁신센터 설계_220601.hwp</x:v>
      </x:c>
      <x:c r="H1017" s="43" t="str">
        <x:v>문단 76</x:v>
      </x:c>
      <x:c r="I1017" s="46" t="str">
        <x:v>ㅇ 계획 연면적 : 3,100㎡ (±5% 이내 조정 가능)</x:v>
      </x:c>
      <x:c r="J1017" s="43" t="str">
        <x:v>자동추출·검토필요</x:v>
      </x:c>
    </x:row>
    <x:row r="1018">
      <x:c r="A1018" s="43" t="str">
        <x:v>L2022-00027-1</x:v>
      </x:c>
      <x:c r="B1018" s="43" t="str">
        <x:v>연면적·면적</x:v>
      </x:c>
      <x:c r="C1018" s="46" t="str">
        <x:v>㎡</x:v>
      </x:c>
      <x:c r="D1018" s="46" t="str">
        <x:v>3,100 ㎡ | 1,950 ㎡</x:v>
      </x:c>
      <x:c r="E1018" s="46" t="str">
        <x:v>USD 2,670,000.</x:v>
      </x:c>
      <x:c r="F1018" s="46" t="str">
        <x:v>6%</x:v>
      </x:c>
      <x:c r="G1018" s="46" t="str">
        <x:v>L2022-00027-1/2. 입찰서류(영문)_키토혁신센터 설계_220531/1. Ecuador Bidding Guideline 20220531.docx</x:v>
      </x:c>
      <x:c r="H1018" s="43" t="str">
        <x:v>문단 57</x:v>
      </x:c>
      <x:c r="I1018" s="46" t="str">
        <x:v>* Reference to Junglim CM 2135-66 (Apr. 26, 2022 / Report on Adjusting the Volume of Construction Project for QIC, Ecuador). Based on GFA of 3,100㎡ and exterior wall area of 1,950㎡, design fee is set at 6% of the estimated construction cost of USD2,670,000.</x:v>
      </x:c>
      <x:c r="J1018" s="43" t="str">
        <x:v>자동추출·검토필요</x:v>
      </x:c>
    </x:row>
    <x:row r="1019">
      <x:c r="A1019" s="43" t="str">
        <x:v>L2022-00027-1</x:v>
      </x:c>
      <x:c r="B1019" s="43" t="str">
        <x:v>연면적·면적</x:v>
      </x:c>
      <x:c r="C1019" s="46" t="str">
        <x:v>floor area</x:v>
      </x:c>
      <x:c r="D1019" s="46" t="str">
        <x:v>3,100 m2</x:v>
      </x:c>
      <x:c r="E1019" s="46" t="str"/>
      <x:c r="F1019" s="46" t="str">
        <x:v>5%</x:v>
      </x:c>
      <x:c r="G1019" s="46" t="str">
        <x:v>L2022-00027-1/2. 입찰서류(영문)_키토혁신센터 설계_220531/1. Ecuador Bidding Guideline 20220531.docx</x:v>
      </x:c>
      <x:c r="H1019" s="43" t="str">
        <x:v>문단 67</x:v>
      </x:c>
      <x:c r="I1019" s="46" t="str">
        <x:v>Gross floor area (for this project): 3,100 m2 (GFA can be adjusted within the range of ±5%)</x:v>
      </x:c>
      <x:c r="J1019" s="43" t="str">
        <x:v>자동추출·검토필요</x:v>
      </x:c>
    </x:row>
    <x:row r="1020">
      <x:c r="A1020" s="43" t="str">
        <x:v>L2022-00027-1</x:v>
      </x:c>
      <x:c r="B1020" s="43" t="str">
        <x:v>연면적·면적</x:v>
      </x:c>
      <x:c r="C1020" s="46" t="str">
        <x:v>square meter</x:v>
      </x:c>
      <x:c r="D1020" s="46" t="str">
        <x:v>2,800 square meter | 3,100 square meter</x:v>
      </x:c>
      <x:c r="E1020" s="46" t="str"/>
      <x:c r="F1020" s="46" t="str"/>
      <x:c r="G1020" s="46" t="str">
        <x:v>L2022-00027-1/2. 입찰서류(영문)_키토혁신센터 설계_220531/4. Ecuador Terms of Reference 20220601.docx</x:v>
      </x:c>
      <x:c r="H1020" s="43" t="str">
        <x:v>문단 33</x:v>
      </x:c>
      <x:c r="I1020" s="46" t="str">
        <x:v>To this effect, KOICA (the Employer) solicits an architectural firm (the Consultant) to work with the existing structure of space and surrounding environment to design functional, efficient and aesthetic QIC. On a current footprint of nearly 2,800 square meter with double height ceiling with the exception of underneath of North American Ecuador Center, KOICA and CONQUITO intend to create the QIC of 3,100 square meter that includes start-up incubation center, research laboratories and related facilities. Façade refurbish work ensuing reinforcement of the existing building and the main plaza for the QIC shall be part of the Consultant’s work</x:v>
      </x:c>
      <x:c r="J1020" s="43" t="str">
        <x:v>자동추출·검토필요</x:v>
      </x:c>
    </x:row>
    <x:row r="1021">
      <x:c r="A1021" s="43" t="str">
        <x:v>L2022-00019-1</x:v>
      </x:c>
      <x:c r="B1021" s="43" t="str">
        <x:v>연면적·면적</x:v>
      </x:c>
      <x:c r="C1021" s="46" t="str">
        <x:v>건축면적, ㎡</x:v>
      </x:c>
      <x:c r="D1021" s="46" t="str">
        <x:v>514 ㎡ | 313 ㎡</x:v>
      </x:c>
      <x:c r="E1021" s="46" t="str"/>
      <x:c r="F1021" s="46" t="str"/>
      <x:c r="G1021" s="46" t="str">
        <x:v>L2022-00019-1/01. RMNCH &amp; EVAW의 시공업체 선정 입찰계획(220523).hwp</x:v>
      </x:c>
      <x:c r="H1021" s="43" t="str">
        <x:v>문단 67</x:v>
      </x:c>
      <x:c r="I1021" s="46" t="str">
        <x:v> 건축면적: 514㎡(RMNCH) / 313㎡(EVAW)</x:v>
      </x:c>
      <x:c r="J1021" s="43" t="str">
        <x:v>자동추출·검토필요</x:v>
      </x:c>
    </x:row>
    <x:row r="1022">
      <x:c r="A1022" s="43" t="str">
        <x:v>L2022-00019-1</x:v>
      </x:c>
      <x:c r="B1022" s="43" t="str">
        <x:v>연면적·면적</x:v>
      </x:c>
      <x:c r="C1022" s="46" t="str">
        <x:v>㎡</x:v>
      </x:c>
      <x:c r="D1022" s="46" t="str">
        <x:v>989 ㎡ | 889 ㎡</x:v>
      </x:c>
      <x:c r="E1022" s="46" t="str"/>
      <x:c r="F1022" s="46" t="str"/>
      <x:c r="G1022" s="46" t="str">
        <x:v>L2022-00019-1/01. RMNCH &amp; EVAW의 시공업체 선정 입찰계획(220523).hwp</x:v>
      </x:c>
      <x:c r="H1022" s="43" t="str">
        <x:v>문단 68</x:v>
      </x:c>
      <x:c r="I1022" s="46" t="str">
        <x:v> 연 면 적: 989㎡(RMNCH) / 889㎡(EVAW)</x:v>
      </x:c>
      <x:c r="J1022" s="43" t="str">
        <x:v>자동추출·검토필요</x:v>
      </x:c>
    </x:row>
    <x:row r="1023">
      <x:c r="A1023" s="43" t="str">
        <x:v>L2022-00019-1</x:v>
      </x:c>
      <x:c r="B1023" s="43" t="str">
        <x:v>연면적·면적</x:v>
      </x:c>
      <x:c r="C1023" s="46" t="str">
        <x:v>building area</x:v>
      </x:c>
      <x:c r="D1023" s="46" t="str">
        <x:v>514 m2 | 313 m2</x:v>
      </x:c>
      <x:c r="E1023" s="46" t="str"/>
      <x:c r="F1023" s="46" t="str"/>
      <x:c r="G1023" s="46" t="str">
        <x:v>L2022-00019-1/02. Notice of Tender For New Construction Project(As of May 20 2022).docx</x:v>
      </x:c>
      <x:c r="H1023" s="43" t="str">
        <x:v>표 1 행 3</x:v>
      </x:c>
      <x:c r="I1023" s="46" t="str">
        <x:v>Building Area | 514 m2 | 313 m2 |</x:v>
      </x:c>
      <x:c r="J1023" s="43" t="str">
        <x:v>자동추출·검토필요</x:v>
      </x:c>
    </x:row>
    <x:row r="1024">
      <x:c r="A1024" s="43" t="str">
        <x:v>L2022-00019-1</x:v>
      </x:c>
      <x:c r="B1024" s="43" t="str">
        <x:v>연면적·면적</x:v>
      </x:c>
      <x:c r="C1024" s="46" t="str">
        <x:v>gross area</x:v>
      </x:c>
      <x:c r="D1024" s="46" t="str">
        <x:v>989 m2 | 889 m2</x:v>
      </x:c>
      <x:c r="E1024" s="46" t="str"/>
      <x:c r="F1024" s="46" t="str"/>
      <x:c r="G1024" s="46" t="str">
        <x:v>L2022-00019-1/02. Notice of Tender For New Construction Project(As of May 20 2022).docx</x:v>
      </x:c>
      <x:c r="H1024" s="43" t="str">
        <x:v>표 1 행 5</x:v>
      </x:c>
      <x:c r="I1024" s="46" t="str">
        <x:v>Total Gross Area | 989 m2 | 889 m2 |</x:v>
      </x:c>
      <x:c r="J1024" s="43" t="str">
        <x:v>자동추출·검토필요</x:v>
      </x:c>
    </x:row>
    <x:row r="1025">
      <x:c r="A1025" s="43" t="str">
        <x:v>L2022-00019-1</x:v>
      </x:c>
      <x:c r="B1025" s="43" t="str">
        <x:v>연면적·면적</x:v>
      </x:c>
      <x:c r="C1025" s="46" t="str">
        <x:v>building area</x:v>
      </x:c>
      <x:c r="D1025" s="46" t="str">
        <x:v>514 m2 | 313 m2</x:v>
      </x:c>
      <x:c r="E1025" s="46" t="str"/>
      <x:c r="F1025" s="46" t="str"/>
      <x:c r="G1025" s="46" t="str">
        <x:v>L2022-00019-1/03. RFP for RMNCH Project &amp; EVAW Project-Final of Final(As of May 20 2022).docx</x:v>
      </x:c>
      <x:c r="H1025" s="43" t="str">
        <x:v>표 1 행 4</x:v>
      </x:c>
      <x:c r="I1025" s="46" t="str">
        <x:v>Building Area | RMNCH Project : 514 m2 LWU, EVAW Project : 313m2</x:v>
      </x:c>
      <x:c r="J1025" s="43" t="str">
        <x:v>자동추출·검토필요</x:v>
      </x:c>
    </x:row>
    <x:row r="1026">
      <x:c r="A1026" s="43" t="str">
        <x:v>L2022-00019-1</x:v>
      </x:c>
      <x:c r="B1026" s="43" t="str">
        <x:v>연면적·면적</x:v>
      </x:c>
      <x:c r="C1026" s="46" t="str">
        <x:v>floor area, building area</x:v>
      </x:c>
      <x:c r="D1026" s="46" t="str">
        <x:v>870 m2 | 514 m2 | 989 m2</x:v>
      </x:c>
      <x:c r="E1026" s="46" t="str"/>
      <x:c r="F1026" s="46" t="str"/>
      <x:c r="G1026" s="46" t="str">
        <x:v>L2022-00019-1/05. Bidding Documents (220523).docx</x:v>
      </x:c>
      <x:c r="H1026" s="43" t="str">
        <x:v>표 32 행 5</x:v>
      </x:c>
      <x:c r="I1026" s="46" t="str">
        <x:v>RMNCH | ▪ New Construction ▪ Site Area: approx. 870 m2 | ▪ Building Area: approx. 514 m2 ▪ Gross Floor Area: approx. 989 m2</x:v>
      </x:c>
      <x:c r="J1026" s="43" t="str">
        <x:v>자동추출·검토필요</x:v>
      </x:c>
    </x:row>
    <x:row r="1027">
      <x:c r="A1027" s="43" t="str">
        <x:v>L2022-00019-1</x:v>
      </x:c>
      <x:c r="B1027" s="43" t="str">
        <x:v>연면적·면적</x:v>
      </x:c>
      <x:c r="C1027" s="46" t="str">
        <x:v>floor area, building area</x:v>
      </x:c>
      <x:c r="D1027" s="46" t="str">
        <x:v>313 m2 | 889 m2</x:v>
      </x:c>
      <x:c r="E1027" s="46" t="str"/>
      <x:c r="F1027" s="46" t="str"/>
      <x:c r="G1027" s="46" t="str">
        <x:v>L2022-00019-1/05. Bidding Documents (220523).docx</x:v>
      </x:c>
      <x:c r="H1027" s="43" t="str">
        <x:v>표 32 행 7</x:v>
      </x:c>
      <x:c r="I1027" s="46" t="str">
        <x:v>EVAW | ▪ New Construction ▪ Site Area: approx.455m2 | ▪ Building Area: approx. 313 m2 ▪ Gross Floor Area: approx. 889 m2</x:v>
      </x:c>
      <x:c r="J1027" s="43" t="str">
        <x:v>자동추출·검토필요</x:v>
      </x:c>
    </x:row>
    <x:row r="1028">
      <x:c r="A1028" s="43" t="str">
        <x:v>L2022-00009-1</x:v>
      </x:c>
      <x:c r="B1028" s="43" t="str">
        <x:v>연면적·면적</x:v>
      </x:c>
      <x:c r="C1028" s="46" t="str">
        <x:v>㎡</x:v>
      </x:c>
      <x:c r="D1028" s="46" t="str">
        <x:v>3,400 ㎡ | 600 ㎡</x:v>
      </x:c>
      <x:c r="E1028" s="46" t="str"/>
      <x:c r="F1028" s="46" t="str"/>
      <x:c r="G1028" s="46" t="str">
        <x:v>L2022-00009-1/Bid Announcement_KOICA-UPLB Project.docx</x:v>
      </x:c>
      <x:c r="H1028" s="43" t="str">
        <x:v>표 1 행 4</x:v>
      </x:c>
      <x:c r="I1028" s="46" t="str">
        <x:v>Summary of Research Center | Center: 3,400㎡, 3 story Green House: 600㎡</x:v>
      </x:c>
      <x:c r="J1028" s="43" t="str">
        <x:v>자동추출·검토필요</x:v>
      </x:c>
    </x:row>
    <x:row r="1029">
      <x:c r="A1029" s="43" t="str">
        <x:v>L2022-00007-2</x:v>
      </x:c>
      <x:c r="B1029" s="43" t="str">
        <x:v>연면적·면적</x:v>
      </x:c>
      <x:c r="C1029" s="46" t="str">
        <x:v>㎡</x:v>
      </x:c>
      <x:c r="D1029" s="46" t="str">
        <x:v>1,458 ㎡</x:v>
      </x:c>
      <x:c r="E1029" s="46" t="str"/>
      <x:c r="F1029" s="46" t="str"/>
      <x:c r="G1029" s="46" t="str">
        <x:v>L2022-00007-2/(붙임1) 220525인도네시아 경찰청사이버범죄수사 교육센타 시공사 선정 입찰계획(안) - 재공고.hwp</x:v>
      </x:c>
      <x:c r="H1029" s="43" t="str">
        <x:v>문단 64</x:v>
      </x:c>
      <x:c r="I1029" s="46" t="str">
        <x:v> 연 면 적: 1,458㎡</x:v>
      </x:c>
      <x:c r="J1029" s="43" t="str">
        <x:v>자동추출·검토필요</x:v>
      </x:c>
    </x:row>
    <x:row r="1030">
      <x:c r="A1030" s="43" t="str">
        <x:v>L2022-00007-2</x:v>
      </x:c>
      <x:c r="B1030" s="43" t="str">
        <x:v>연면적·면적</x:v>
      </x:c>
      <x:c r="C1030" s="46" t="str">
        <x:v>㎡</x:v>
      </x:c>
      <x:c r="D1030" s="46" t="str">
        <x:v>606 ㎡ | 852 ㎡</x:v>
      </x:c>
      <x:c r="E1030" s="46" t="str"/>
      <x:c r="F1030" s="46" t="str"/>
      <x:c r="G1030" s="46" t="str">
        <x:v>L2022-00007-2/(붙임2) Bidding Announcement for Police Cybercrime Investigation Education Center - 30 May 2022 - v1.2.docx</x:v>
      </x:c>
      <x:c r="H1030" s="43" t="str">
        <x:v>표 1 행 5</x:v>
      </x:c>
      <x:c r="I1030" s="46" t="str">
        <x:v>Scope of Works | 1) Design development of Remodeling works 2) Remodeling works for Existing Building at Ground floor - Lecture Building (606㎡) - Laboratory Building (852㎡) * Remodeling Works shall include, but not limited to, the followings; Removal of a part of existing works, new drywall partitions, exterior and interior painting, air-conditioning system, internal electrical works, FF&amp;E(furniture and fixtures, equipment)</x:v>
      </x:c>
      <x:c r="J1030" s="43" t="str">
        <x:v>자동추출·검토필요</x:v>
      </x:c>
    </x:row>
    <x:row r="1031">
      <x:c r="A1031" s="43" t="str">
        <x:v>L2022-00007-1</x:v>
      </x:c>
      <x:c r="B1031" s="43" t="str">
        <x:v>연면적·면적</x:v>
      </x:c>
      <x:c r="C1031" s="46" t="str">
        <x:v>㎡</x:v>
      </x:c>
      <x:c r="D1031" s="46" t="str">
        <x:v>606 ㎡ | 852 ㎡</x:v>
      </x:c>
      <x:c r="E1031" s="46" t="str"/>
      <x:c r="F1031" s="46" t="str"/>
      <x:c r="G1031" s="46" t="str">
        <x:v>L2022-00007-1/Final - Bidding Announcement for Police Cybercrime Investigation Education Center - 5 April 2022.docx</x:v>
      </x:c>
      <x:c r="H1031" s="43" t="str">
        <x:v>표 1 행 5</x:v>
      </x:c>
      <x:c r="I1031" s="46" t="str">
        <x:v>Scope of Works | 1) Design development of Remodeling works 2) Remodeling works for Existing Building at Ground floor - Lecture Building (606㎡) - Laboratory Building (852㎡) * Remodeling Works shall include, but not limited to, the followings; Removal of a part of existing works, new drywall partitions, exterior and interior painting, air-conditioning system, internal electrical works, FF&amp;E(furniture and fixtures, equipment)</x:v>
      </x:c>
      <x:c r="J1031" s="43" t="str">
        <x:v>자동추출·검토필요</x:v>
      </x:c>
    </x:row>
    <x:row r="1032">
      <x:c r="A1032" s="43" t="str">
        <x:v>L2022-00006-1</x:v>
      </x:c>
      <x:c r="B1032" s="43" t="str">
        <x:v>연면적·면적</x:v>
      </x:c>
      <x:c r="C1032" s="46" t="str">
        <x:v>연면적</x:v>
      </x:c>
      <x:c r="D1032" s="46" t="str">
        <x:v>2,500 M2 | 470 M2 | 470 M2 | 470 M2 | 455 M2 | 635 M2</x:v>
      </x:c>
      <x:c r="E1032" s="46" t="str"/>
      <x:c r="F1032" s="46" t="str"/>
      <x:c r="G1032" s="46" t="str">
        <x:v>L2022-00006-1/붙임 1. 네팔경찰 역량강화를 위한 사이버안전국 설립사업 -국문본(조달실 반영분).hwp</x:v>
      </x:c>
      <x:c r="H1032" s="43" t="str">
        <x:v>문단 45</x:v>
      </x:c>
      <x:c r="I1032" s="46" t="str">
        <x:v>ㅇ건축 연면적 – 2,500 M2(1층 470M2/2층 470M2/3층 470M2/4층 455M2/공통면적 635M2)</x:v>
      </x:c>
      <x:c r="J1032" s="43" t="str">
        <x:v>자동추출·검토필요</x:v>
      </x:c>
    </x:row>
    <x:row r="1033">
      <x:c r="A1033" s="43" t="str">
        <x:v>L2022-00006-1</x:v>
      </x:c>
      <x:c r="B1033" s="43" t="str">
        <x:v>연면적·면적</x:v>
      </x:c>
      <x:c r="C1033" s="46" t="str">
        <x:v>floor area</x:v>
      </x:c>
      <x:c r="D1033" s="46" t="str">
        <x:v>1,500 m2</x:v>
      </x:c>
      <x:c r="E1033" s="46" t="str">
        <x:v>200,000 USD</x:v>
      </x:c>
      <x:c r="F1033" s="46" t="str"/>
      <x:c r="G1033" s="46" t="str">
        <x:v>L2022-00006-1/붙임 1. 네팔경찰 역량강화를 위한 사이버안전국 설립사업 -국문본(조달실 반영분).hwp</x:v>
      </x:c>
      <x:c r="H1033" s="43" t="str">
        <x:v>문단 638</x:v>
      </x:c>
      <x:c r="I1033" s="46" t="str">
        <x:v>2. Qualification Criteria in similar experience in school building, Office Building, IT Building, Hospital, Bank, Shopping Mall, Hotel, R&amp;DCenter for the last 3 years. The gross floor area(GFA) of the completed and ongoing projects shall be more than two(2) projects with 1,500m2 for each of the above mentioned buildings and total contract amount for the design and supervision services is more than 200,000USD for the last 3years.</x:v>
      </x:c>
      <x:c r="J1033" s="43" t="str">
        <x:v>자동추출·검토필요</x:v>
      </x:c>
    </x:row>
    <x:row r="1034">
      <x:c r="A1034" s="43" t="str">
        <x:v>L2022-00006-1</x:v>
      </x:c>
      <x:c r="B1034" s="43" t="str">
        <x:v>연면적·면적</x:v>
      </x:c>
      <x:c r="C1034" s="46" t="str">
        <x:v>연면적</x:v>
      </x:c>
      <x:c r="D1034" s="46" t="str">
        <x:v>1,500 M2</x:v>
      </x:c>
      <x:c r="E1034" s="46" t="str">
        <x:v>200,000 USD</x:v>
      </x:c>
      <x:c r="F1034" s="46" t="str"/>
      <x:c r="G1034" s="46" t="str">
        <x:v>L2022-00006-1/붙임 1. 네팔경찰 역량강화를 위한 사이버안전국 설립사업 -국문본(조달실 반영분).hwp</x:v>
      </x:c>
      <x:c r="H1034" s="43" t="str">
        <x:v>문단 830</x:v>
      </x:c>
      <x:c r="I1034" s="46" t="str">
        <x:v>- ①최근 3년 이내(19/20/21년) 네팔 국내 및 해외의 학교, 사무실, 호텔, R&amp;D Center, IT빌딩, Shopping Mall, 병원, 은행 등으로 건축 연면적 1,500M2 이상의 설계 완료 실적 2건 이상 과 최근 3년 이내 설계 및 건축 감리 완료 실적 의 합계금액이 200,000 USD 이상 실적만 인정</x:v>
      </x:c>
      <x:c r="J1034" s="43" t="str">
        <x:v>자동추출·검토필요</x:v>
      </x:c>
    </x:row>
    <x:row r="1035">
      <x:c r="A1035" s="43" t="str">
        <x:v>L2022-00006-1</x:v>
      </x:c>
      <x:c r="B1035" s="43" t="str">
        <x:v>연면적·면적</x:v>
      </x:c>
      <x:c r="C1035" s="46" t="str">
        <x:v>floor area</x:v>
      </x:c>
      <x:c r="D1035" s="46" t="str">
        <x:v>4,563 m2</x:v>
      </x:c>
      <x:c r="E1035" s="46" t="str"/>
      <x:c r="F1035" s="46" t="str"/>
      <x:c r="G1035" s="46" t="str">
        <x:v>L2022-00006-1/붙임 2. 입찰공고.docx</x:v>
      </x:c>
      <x:c r="H1035" s="43" t="str">
        <x:v>표 2 행 2</x:v>
      </x:c>
      <x:c r="I1035" s="46" t="str">
        <x:v>Summary of Services | Design and Construction Supervision Consultant Services 1) Bardibas Municipality, Province 2 2) Total floor area: 4,563m2 3) Construction Supervision: 24 Months</x:v>
      </x:c>
      <x:c r="J1035" s="43" t="str">
        <x:v>자동추출·검토필요</x:v>
      </x:c>
    </x:row>
    <x:row r="1036">
      <x:c r="A1036" s="43" t="str">
        <x:v>L2022-00006-1</x:v>
      </x:c>
      <x:c r="B1036" s="43" t="str">
        <x:v>연면적·면적</x:v>
      </x:c>
      <x:c r="C1036" s="46" t="str">
        <x:v>floor area</x:v>
      </x:c>
      <x:c r="D1036" s="46" t="str">
        <x:v>1,500 m2</x:v>
      </x:c>
      <x:c r="E1036" s="46" t="str">
        <x:v>USD 200,000.</x:v>
      </x:c>
      <x:c r="F1036" s="46" t="str"/>
      <x:c r="G1036" s="46" t="str">
        <x:v>L2022-00006-1/붙임 3. 입찰계획안 -영문본.docx</x:v>
      </x:c>
      <x:c r="H1036" s="43" t="str">
        <x:v>문단 96</x:v>
      </x:c>
      <x:c r="I1036" s="46" t="str">
        <x:v>Qualification criteria for similar performance track record of completed and ongoing projects in School, Office, IT, Bank, Hospital, Hotel and R&amp;D Center shall be not less than 1,500m2 of gross floor area(GFA) per each building with total contract price of 3 years for both design and supervision service only USD 200,000.</x:v>
      </x:c>
      <x:c r="J1036" s="43" t="str">
        <x:v>자동추출·검토필요</x:v>
      </x:c>
    </x:row>
    <x:row r="1037">
      <x:c r="A1037" s="43" t="str">
        <x:v>L2022-00006-1</x:v>
      </x:c>
      <x:c r="B1037" s="43" t="str">
        <x:v>연면적·면적</x:v>
      </x:c>
      <x:c r="C1037" s="46" t="str">
        <x:v>floor area</x:v>
      </x:c>
      <x:c r="D1037" s="46" t="str">
        <x:v>1,500 M2</x:v>
      </x:c>
      <x:c r="E1037" s="46" t="str">
        <x:v>200,000 USD</x:v>
      </x:c>
      <x:c r="F1037" s="46" t="str"/>
      <x:c r="G1037" s="46" t="str">
        <x:v>L2022-00006-1/붙임 3. 입찰계획안 -영문본.docx</x:v>
      </x:c>
      <x:c r="H1037" s="43" t="str">
        <x:v>문단 210</x:v>
      </x:c>
      <x:c r="I1037" s="46" t="str">
        <x:v>2.Qualification Criteria on similar experience in school building, Office Building, IT Building, Hospital, Bank, Shopping mall, Hotel, R&amp;D Center during the last 3 years. The gross floor area(GFA) of the completed and ongoing projects shall be more than two(2)projects with 1,500 M2 for each of the above mentioned buildings and total contract amount for the design and supervision services id more than 200,000USD for the last 3years.</x:v>
      </x:c>
      <x:c r="J1037" s="43" t="str">
        <x:v>자동추출·검토필요</x:v>
      </x:c>
    </x:row>
    <x:row r="1038">
      <x:c r="A1038" s="43" t="str">
        <x:v>L2022-00003-1</x:v>
      </x:c>
      <x:c r="B1038" s="43" t="str">
        <x:v>연면적·면적</x:v>
      </x:c>
      <x:c r="C1038" s="46" t="str">
        <x:v>floor area</x:v>
      </x:c>
      <x:c r="D1038" s="46" t="str">
        <x:v>5,741 M2 | 1,280 M2 | 7,021 M2</x:v>
      </x:c>
      <x:c r="E1038" s="46" t="str"/>
      <x:c r="F1038" s="46" t="str"/>
      <x:c r="G1038" s="46" t="str">
        <x:v>L2022-00003-1/KOICA URGENCH BID DOCUMENTS-FINAL(FINAL)/Attachment 1. KOICA_BID Announcement.docx</x:v>
      </x:c>
      <x:c r="H1038" s="43" t="str">
        <x:v>표 2 행 5</x:v>
      </x:c>
      <x:c r="I1038" s="46" t="str">
        <x:v>Service Scope | * Design Service (SD, DD, CD) 1) Architectural, Structural, Civil, Electrical, Mechanical, Sanitary, Water Supply, Communication, Firefighting and External design and Soil Investigation (minimum Urgench 4 bore holes, Tashkent 2 bore holes required ) etc. 2) Survey, Drawing, Specification, Bill of Quantity, Calculation for structure, Mechanical, electrical and sanitary and others, Construction Documentations and Bid Documents for selection of Contractor. - For the Construction of Vocational Training Center in Urgench district of Khorezm region : Total Floor Area 5,741 M2. 2 Story Building - For construction of Teachers’ Training Center in at Tashkent : 1,280 M2 Total 7,021M2, 2 Story Building 3) Construction Supervision - Construction of Vocational Training Center in Urgench district of Khorezm region : 25 months for the construction period and monitoring from mobilization of manpower &amp; machinery to completion of the Project - Teachers’ Training Center in at Tashkent : 13 months for the construction period and monitoring from mobilization of manpower &amp; machinery to completion of the Project 4) Bidding support for selecting the contractors *Works include but are not l</x:v>
      </x:c>
      <x:c r="J1038" s="43" t="str">
        <x:v>자동추출·검토필요</x:v>
      </x:c>
    </x:row>
    <x:row r="1039">
      <x:c r="A1039" s="43" t="str">
        <x:v>L2022-00003-1</x:v>
      </x:c>
      <x:c r="B1039" s="43" t="str">
        <x:v>연면적·면적</x:v>
      </x:c>
      <x:c r="C1039" s="46" t="str">
        <x:v>floor area</x:v>
      </x:c>
      <x:c r="D1039" s="46" t="str">
        <x:v>5,741 m2 | 1,280 m2 | 7,021 m2</x:v>
      </x:c>
      <x:c r="E1039" s="46" t="str"/>
      <x:c r="F1039" s="46" t="str"/>
      <x:c r="G1039" s="46" t="str">
        <x:v>L2022-00003-1/KOICA URGENCH BID DOCUMENTS-FINAL(FINAL)/Attachment 2. Scope of Services.docx</x:v>
      </x:c>
      <x:c r="H1039" s="43" t="str">
        <x:v>표 1 행 3</x:v>
      </x:c>
      <x:c r="I1039" s="46" t="str">
        <x:v>3 | Total Floor Area | Urgench VTC : 5,741 m2 Tashkent TTC : 1,280 m2 Total 7,021 m2 (Appproximately)</x:v>
      </x:c>
      <x:c r="J1039" s="43" t="str">
        <x:v>자동추출·검토필요</x:v>
      </x:c>
    </x:row>
    <x:row r="1040">
      <x:c r="A1040" s="43" t="str">
        <x:v>L2022-00003-1</x:v>
      </x:c>
      <x:c r="B1040" s="43" t="str">
        <x:v>연면적·면적</x:v>
      </x:c>
      <x:c r="C1040" s="46" t="str">
        <x:v>㎡</x:v>
      </x:c>
      <x:c r="D1040" s="46" t="str">
        <x:v>18,000 ㎡</x:v>
      </x:c>
      <x:c r="E1040" s="46" t="str"/>
      <x:c r="F1040" s="46" t="str"/>
      <x:c r="G1040" s="46" t="str">
        <x:v>L2022-00003-1/KOICA URGENCH BID DOCUMENTS-FINAL(FINAL)/Attachment 9. Technical Proposal  Reference Data.pdf</x:v>
      </x:c>
      <x:c r="H1040" s="43" t="str">
        <x:v>페이지 4</x:v>
      </x:c>
      <x:c r="I1040" s="46" t="str">
        <x:v>○ 제안받은 4개의 부지는 모두 우르겐치 시내에 위치한 나대지이며, 기존 건축물이 없는 신축 ○ 대상 사업지는 우르겐치 국제공항에서 차량으로 약 15분거리(직선거리 약 5.5km), 우르겐 을 위한 부지임. 현장 방문 결과 4개의 부지 중 우르겐치 기차역 맞은 편에 위치한 2개의 치 기차역에서 도보 2분거리(약 0.3km)에 위치하고 있어, 우르겐치 시내 중심에 위치하고 부지를 최종 후보지로 결정하고, 수원국 고용노동부 측에 기존 양기바자르 부지의 부적합 있을 뿐 아니라, 타 도시에서의 접근성도 매우 우수함. 인근 부지 전체가 주택가였으나, 사유와 신규 부지의 승인을 요청하는 공문 발송(21.04.12) 2019년 7월 도시계획에 의해 전면 철거 후 현재와 같은 나대지로 조성되어 있음. 북측으로 는 기차역과 연결되는 육교가 위치하고, 서측에는 약 1년 전 산업시설(테크노 파크)이 입주 ○ 우르겐치 기차역 맞은 편에 위치한 후보 부지 2개 중 우선 순위로 요청한 부지(약 1.8ha)에 하여 현재는 의류가공업체가 입주해 있음. 대한 우르겐치 시의 승인 서류 수신(21.04.17) 받았으며, 이 후보지를 우르겐치 직업훈련원 부지로 확정 나. 사업대상지역 관련 법령 ○ 본 대지에 최고 높이 약 8M의 교육시설을 건립하기 위한 도시계획법, 건축법, 환경법, 소방 2. 사업부지 정보 법, 고도제한, 문화재 관리법 등의 저촉되는 법령이 없음을 우르겐치 공무원을 통해 확인하 였음. 또한, 우르겐치 시의 부지 사용 허가 문서 상 호레즘 주 건축관리국, 호레즘 주 위생 1) 우르겐치 직업훈련원 역학 및 공중보건부, 환경 및 자연보호관리국 등의 약 10여개의 관련 부처와의 협의를 통 해 본 대지 1.8ha를 직업훈련 시설로 사용하는데 관련법 상 저촉되는 사항이 없음을 기 확 가. 위치 및 주소 인하였음. 다. 지적도 및 측량도면 ○ 수원국을 통해서 제공받은 지적도나 측량도면은 없음. ○ 사업 대지는 가로 약 200, 세로 약 94M의 직사각형에 가까운 형태 중 기차역과 연결되는 육교 인근 모서리 부분의 가각전제(街角剪除) 삼각형 부분을 제외한 약 1.8ha(18,000㎡)이 며, 대지 내 고도차는 약 1M 내외임. 현재 대지는 지상에 건축물이 없는 나대지 상태이며, 2019년 도시계획에 의해 전면 철거되기 전까지는 인근 부지 전체가 주택가였음. 따라서, 현 재 확정된 1.8ha의 대지도 위성 사진을 토대로 개략적인 대지 경계선을 </x:v>
      </x:c>
      <x:c r="J1040" s="43" t="str">
        <x:v>자동추출·검토필요</x:v>
      </x:c>
    </x:row>
    <x:row r="1041">
      <x:c r="A1041" s="43" t="str">
        <x:v>L2022-00003-1</x:v>
      </x:c>
      <x:c r="B1041" s="43" t="str">
        <x:v>연면적·면적</x:v>
      </x:c>
      <x:c r="C1041" s="46" t="str">
        <x:v>연면적, ㎡</x:v>
      </x:c>
      <x:c r="D1041" s="46" t="str">
        <x:v>1,280 ㎡</x:v>
      </x:c>
      <x:c r="E1041" s="46" t="str"/>
      <x:c r="F1041" s="46" t="str"/>
      <x:c r="G1041" s="46" t="str">
        <x:v>L2022-00003-1/KOICA URGENCH BID DOCUMENTS-FINAL(FINAL)/Attachment 9. Technical Proposal  Reference Data.pdf</x:v>
      </x:c>
      <x:c r="H1041" s="43" t="str">
        <x:v>페이지 5</x:v>
      </x:c>
      <x:c r="I1041" s="46" t="str">
        <x:v>2) 교사 연수 센터 ○ 본 대지에 설립 예정인 ‘교사 연수센터’는 지상 2층, 연면적 약 1,280㎡의 규모로 건설될 예정이며, 최고 높이 또한 기존의 직훈원 건물 이하 높이임을 고려할 때 건설을 위한 법적 가. 위치 및 주소 제약조건은 없을 것으로 판단되나, 추후 착공 이전 현지 설계사를 통한 관련 건설 규정의 저촉 여부 판단 필요. 다. 지적도 및 측량도면 ○ 이미 코이카가 기 지원한 시설인 까닭에 지적도는 하드카피로 보관중이며, 대지 내 ‘교사연 수 센터’ 예정 부지 구간의 하수관로 및 전기 케이블 매설관련 정보 또한 보유하고 있음. 다만, ‘교사연수센터’의 계획설계가 완료되어 정확한 위치가 확정되면 추가 측량등은 별도 로 수행되어야 함. ○ 주소: Tashkent Institute, Sergeli-8, 100085, Uzbekistan 지하 하수관로 매설도 전기 케이블 인입도 ○ 경위도 좌표: 41 13’19.9“N, 69 13’04.5“E 라. 대지 소유권 및 기존 건축의 소유권 ○ 대상 사업지는 타쉬켄트 국제공항에서 차량으로 약 15분거리(직선거리 약 5.0km), 타쉬켄 ○ 본 대지는 이미 타슈켄트시에서 수원국 고용노동부로 이관되어 고용노동부 소유의 대지임. 트 시청에서 차량 약 30분(직선거리 약 9.0km)에 위치하고 있으며, 코이카에서 기 지원한 타쉬켄트 직업훈련원 사이트 내에 사업부지가 위치하고 있음. 3. 사업부지 및 인근지역 분석 나. 사업대상지역 관련 법령 ○ 본 대지는 타쉬켄트 시 소유의 부지인 타쉬켄트 직훈원 내에 포함되어 있어 별도의 저촉되 가. 인근부지 현황 및 주변시설관계 는 법적 제약요소는 없을 것으로 판단됨. 타쉬켄트 시내의 부지는 원칙적으로 시청에서 그 ○ (우르겐치 직훈원) 부지 인근이 약 2년전 주택가 전체를 철거하고 산업 인프라 시설 구축을 소유권을 행사하며, 기관 간의 협약에 의해 소유권을 이전하고 있으며, 증축등의 행위가 발 위해 재개발된 지역이므로 별도의 보전이 필요한 시설은 없음. 다만 부지 남측에 쓰레기 처 생할 경우 기본계획에 대한 자료를 수요 기관에서 타슈켄트 시청에 제출하면 건축 심의 위 리장이 있으며, 기차역으로부터는 도보로 접근이 가능하나, 차량의 접근은 불가하여 기차역 원회를 통해 건폐율과 용적율을 결정하게 됨. 반대 방면에서 접근해야 하고, 대로변에서는 시인성이 떨어지는 한계가 있음. - 15 - - 16 -</x:v>
      </x:c>
      <x:c r="J1041" s="43" t="str">
        <x:v>자동추출·검토필요</x:v>
      </x:c>
    </x:row>
    <x:row r="1042">
      <x:c r="A1042" s="43" t="str">
        <x:v>L2022-00003-1</x:v>
      </x:c>
      <x:c r="B1042" s="43" t="str">
        <x:v>연면적·면적</x:v>
      </x:c>
      <x:c r="C1042" s="46" t="str">
        <x:v>건축면적, ㎡</x:v>
      </x:c>
      <x:c r="D1042" s="46" t="str">
        <x:v>730 ㎡</x:v>
      </x:c>
      <x:c r="E1042" s="46" t="str">
        <x:v>5 1 20 20 원</x:v>
      </x:c>
      <x:c r="F1042" s="46" t="str">
        <x:v>27.5% | 38 %</x:v>
      </x:c>
      <x:c r="G1042" s="46" t="str">
        <x:v>L2022-00003-1/KOICA URGENCH BID DOCUMENTS-FINAL(FINAL)/Attachment 9. Technical Proposal  Reference Data.pdf</x:v>
      </x:c>
      <x:c r="H1042" s="43" t="str">
        <x:v>페이지 6</x:v>
      </x:c>
      <x:c r="I1042" s="46" t="str">
        <x:v>○ 직업훈련원의 5개 공과(자동차 정비, 용접 배관, 전기, 호텔서비스, 미용) 중 소음과 분진, ② 교사 연수 센터 진동의 발생 가능성이 높은 자동차 정비, 용접배관, 전기 공과는 별도의 실습동에 배치하 기준인원 소요실수 실당면적 면적 고, 호텔 서비스 및 미용공과는 본관에 배치하여 쾌적한 학습 환경을 확보할 필요가 있음. 구 분 비고 (인) (실) (㎡/실) (㎡) 강의실1 Lecture room 1 30 1 60 60 ○ 또한, 인근 기차선로로부터의 소음을 고려하여 가급적 기차선로 방면에는 소음 발생 가능성 강의실2 Lecture room 2 30 1 48 48 이 높은 시설들을 배치하고, 자동차 정비 공과에는 실습용 자동차의 접근 및 외부 보관이 컴퓨터실 Computer lab 30 1 48 48 용이하도록 고려 세미나실1 Seminar room 1 30 1 30 30 ○ 학생들의 운동 시설 및 편의시설에 대한 고려가 필요하며, 향후 증축을 고려하여 운동장이 세미나실2 Seminar room 2 30 1 30 30 나 녹지 공간등의 유휴공간 확보 필요. 또한, 남녀 기숙사를 층이 아닌 별도의 동으로 구분 세미나실3 Seminar room 3 50 1 48 48 하고, 물리적, 시각적인 분리를 요구. 식당+주방 Dinning hall + Kitchen 200 1 192 192 로비라운지 Lobby Lounge 10 1 15 15 행정실 Administration room 15 1 40 40 연 수 회의실 Meeting room 20 1 40 40 센 출제실 Question making room 15 1 48 48 터 작업실 Working room 10 1 40 40 자격제도실장실 Qualification chief room 1 1 20 20 자격제도행정실 Qualification admin, room 5 1 20 20 원장실 Head room 1 1 25 25 코이카룸 Koica room 4 1 25 25 강사대기실 Instructor’s room 3 1 20 20 창고 Storage - 3 15 45 소계 Sub Total 794 전용면적 합계 (a) 794 위성 지도 상 대지의 개략적 위치 공용면적 합계 (b = a x 27.5%) 486 38 % 연수센터 건축면적 합계 (A=a+b) 1,280 라. 배치 계획 시 고려사항 및 제안 ① 우르겐치 직업훈련원 ○ 수원국으로부터 승인받은 부지는 가로 약 20</x:v>
      </x:c>
      <x:c r="J1042" s="43" t="str">
        <x:v>자동추출·검토필요</x:v>
      </x:c>
    </x:row>
    <x:row r="1043">
      <x:c r="A1043" s="43" t="str">
        <x:v>L2022-00003-1</x:v>
      </x:c>
      <x:c r="B1043" s="43" t="str">
        <x:v>연면적·면적</x:v>
      </x:c>
      <x:c r="C1043" s="46" t="str">
        <x:v>floor area</x:v>
      </x:c>
      <x:c r="D1043" s="46" t="str">
        <x:v>3,000 M2</x:v>
      </x:c>
      <x:c r="E1043" s="46" t="str">
        <x:v>14,754 USD | 10,080 USD | USD 14,754 | USD 10,080</x:v>
      </x:c>
      <x:c r="F1043" s="46" t="str"/>
      <x:c r="G1043" s="46" t="str">
        <x:v>L2022-00003-1/KOICA URGENCH BID DOCUMENTS-FINAL(FINAL)/Form 5. Form of Technical Proposal.doc</x:v>
      </x:c>
      <x:c r="H1043" s="43" t="str">
        <x:v>문단 11</x:v>
      </x:c>
      <x:c r="I1043" s="46" t="str">
        <x:v>Experience in Similar Projects completed in the Last 5 years Similar projects refer to the performance of more than 14,754 USD in design and 10,080 USD In construction supervision Contract of educational research facilities, school buildings, or business facilities. Bidders should provide the names of suitably service experience to meet the requirements specified in Evaluation and Qualification Criteria. The data on their experience should be supplied using the Form below for each candidate. Similar Performances: Recent 5 years. Similar performances shall be shall be total floor area of 3,000M2 or above for one of Vocational Training Center, University, Office Building, IT Building, Hospital, Bank, Shopping Mall, Movie Theater, Auditorium, Convention Center, and accumulated contract amount of design USD 14,754 or above and accumulated construction supervision contract amount of USD 10,080 for last 5 years project in above mentioned.</x:v>
      </x:c>
      <x:c r="J1043" s="43" t="str">
        <x:v>자동추출·검토필요</x:v>
      </x:c>
    </x:row>
    <x:row r="1044">
      <x:c r="A1044" s="43" t="str">
        <x:v>L2022-00003-1</x:v>
      </x:c>
      <x:c r="B1044" s="43" t="str">
        <x:v>연면적·면적</x:v>
      </x:c>
      <x:c r="C1044" s="46" t="str">
        <x:v>floor area</x:v>
      </x:c>
      <x:c r="D1044" s="46" t="str">
        <x:v>3,000 M2</x:v>
      </x:c>
      <x:c r="E1044" s="46" t="str"/>
      <x:c r="F1044" s="46" t="str"/>
      <x:c r="G1044" s="46" t="str">
        <x:v>L2022-00003-1/KOICA URGENCH BID DOCUMENTS-FINAL(FINAL)/Form 5. Form of Technical Proposal.doc</x:v>
      </x:c>
      <x:c r="H1044" s="43" t="str">
        <x:v>문단 12</x:v>
      </x:c>
      <x:c r="I1044" s="46" t="str">
        <x:v>Proposed Experience in University, Office Building, IT Building, Hospital, Bank, Shopping Mall, Movie Theater, Auditorium, Convention Center for 5 years. Similar performance shall be total floor area of 3,000M2 one of above mentioned in domestic and abroad areas..</x:v>
      </x:c>
      <x:c r="J1044" s="43" t="str">
        <x:v>자동추출·검토필요</x:v>
      </x:c>
    </x:row>
    <x:row r="1045">
      <x:c r="A1045" s="43" t="str">
        <x:v>L2022-00003-1</x:v>
      </x:c>
      <x:c r="B1045" s="43" t="str">
        <x:v>연면적·면적</x:v>
      </x:c>
      <x:c r="C1045" s="46" t="str">
        <x:v>연면적</x:v>
      </x:c>
      <x:c r="D1045" s="46" t="str">
        <x:v>7,021 M2</x:v>
      </x:c>
      <x:c r="E1045" s="46" t="str">
        <x:v>USD 248,335 | USD 147,535, | USD 100,800,</x:v>
      </x:c>
      <x:c r="F1045" s="46" t="str">
        <x:v>90% | 10% | 10% | 90% | 2.5%</x:v>
      </x:c>
      <x:c r="G1045" s="46" t="str">
        <x:v>L2022-00003-1/코이카사무소_우르겐치직훈원 입찰공고문(홈페이지게시).pdf</x:v>
      </x:c>
      <x:c r="H1045" s="43" t="str">
        <x:v>페이지 1</x:v>
      </x:c>
      <x:c r="I1045" s="46" t="str">
        <x:v>KOICA 사무소 우르겐치 직업훈련원 설계 및 감리사 선정 입찰 공고 2022.02.21.(월) KOICA(Korea International Cooperation Agency, 한국국제협력단) 우즈베키스탄 사무소에서는 우르겐치 직업훈련원 및 타슈켄트 교사연수센터 설계 및 감리 용역업체 선정을 위한 입찰 공고를 하오니, 관심있는 업체의 많은 참여 바랍니다. ■ 입찰형태 : 국제 일반경쟁입찰(입찰번호 : KOICA-P-UZB-2022-1) ■ 집행한도액 : USD 248,335 (설계용역 : USD 147,535, 감리용역: USD 100,800, 부가가치세 미포함) ■ 계약기간 : 계약일로부터 33개월(설계 6개월 + 시공사입찰지원 2개월 + 시공감리 25개월) ■ 부지위치 : (우르겐치 직훈원) 우르겐치 기차역 인접, (교사연수센터) 타슈켄트 직업훈련원 부지 내 ■ 건축규모 : 연면적 총 7,021M2, 지상 2층 3개동, 1층 2개동 및 부속 건물 ■ 참가자격 : 우즈베키스탄 법률과 규정에 따라 건설공사의 설계 및 시공감리 용역업무 수행관련 합법적인 자격 보유한 국내외 업체 (공동수급은 허용하지 않습니다) ■ 낙찰업체 선정 방식 : 기술평가 90% + 가격평가 10% (기술평가 : 정량 10%+ 정성 90%) ■ 입찰일정(우즈베키스탄 시간 기준) 구 분 일정(안) 비 고 02.28. ~ 1. 입찰참가 신청 ㅇ KOICA 공용메일로 접수(tender.uzkoica@gmail.com) 03.22. 16:30 ㅇ 설명회 참가희망 업체 사전신청(02.25 16:30까지) ㅇ 신청업체대상 설명회 및 영문 입찰안내서류 이메일 송부 2. 온라인 입찰설명회 02.28. 10:00 - 입찰안내서류는 사무소 홈페이지 및 페이스북 內 게재 https://www.koica.go.kr/sites/uzb_kr https://www.facebook.com/koica.uzbek 03.07. ~ 3. 질의기간 ㅇ KOICA 공용메일로 접수(tender.uzkoica@gmail.com) 03.14. 16:30 ㅇ 설명회 참가자 및 질의자 전원대상 이메일 회신(15:00) 4. 질의응답자료 게재 03.16. 15:00 - 사무소 홈페이지 및 페이스북에 게재 5. 입찰서 접수마감 03.24. 16:30 ㅇ 입찰서 밀봉 후, 제출처에 방문제출(우편제출 불가) ㅇ 시간과 장소 사전 통보: 03.28. 16:30 6. 온라인 평가위원회 개최 03.</x:v>
      </x:c>
      <x:c r="J1045" s="43" t="str">
        <x:v>자동추출·검토필요</x:v>
      </x:c>
    </x:row>
    <x:row r="1046">
      <x:c r="A1046" s="43" t="str">
        <x:v>L2022-00002-1</x:v>
      </x:c>
      <x:c r="B1046" s="43" t="str">
        <x:v>연면적·면적</x:v>
      </x:c>
      <x:c r="C1046" s="46" t="str">
        <x:v>㎡</x:v>
      </x:c>
      <x:c r="D1046" s="46" t="str">
        <x:v>2,702 ㎡</x:v>
      </x:c>
      <x:c r="E1046" s="46" t="str"/>
      <x:c r="F1046" s="46" t="str"/>
      <x:c r="G1046" s="46" t="str">
        <x:v>L2022-00002-1/0 Bidding Guideline for supervision service.docx</x:v>
      </x:c>
      <x:c r="H1046" s="43" t="str">
        <x:v>문단 91</x:v>
      </x:c>
      <x:c r="I1046" s="46" t="str">
        <x:v>Site area: 2,702㎡</x:v>
      </x:c>
      <x:c r="J1046" s="43" t="str">
        <x:v>자동추출·검토필요</x:v>
      </x:c>
    </x:row>
    <x:row r="1047">
      <x:c r="A1047" s="43" t="str">
        <x:v>L2022-00002-1</x:v>
      </x:c>
      <x:c r="B1047" s="43" t="str">
        <x:v>연면적·면적</x:v>
      </x:c>
      <x:c r="C1047" s="46" t="str">
        <x:v>floor area, ㎡</x:v>
      </x:c>
      <x:c r="D1047" s="46" t="str">
        <x:v>2,866.41 ㎡</x:v>
      </x:c>
      <x:c r="E1047" s="46" t="str"/>
      <x:c r="F1047" s="46" t="str"/>
      <x:c r="G1047" s="46" t="str">
        <x:v>L2022-00002-1/0 Bidding Guideline for supervision service.docx</x:v>
      </x:c>
      <x:c r="H1047" s="43" t="str">
        <x:v>문단 93</x:v>
      </x:c>
      <x:c r="I1047" s="46" t="str">
        <x:v>Gross floor area: 2,866.41㎡, 3 stories – Reinforced Concrete Structure, Pile Foundation</x:v>
      </x:c>
      <x:c r="J1047" s="43" t="str">
        <x:v>자동추출·검토필요</x:v>
      </x:c>
    </x:row>
    <x:row r="1048">
      <x:c r="A1048" s="43" t="str">
        <x:v>L2022-00002-1</x:v>
      </x:c>
      <x:c r="B1048" s="43" t="str">
        <x:v>연면적·면적</x:v>
      </x:c>
      <x:c r="C1048" s="46" t="str">
        <x:v>㎡</x:v>
      </x:c>
      <x:c r="D1048" s="46" t="str">
        <x:v>2,800 ㎡</x:v>
      </x:c>
      <x:c r="E1048" s="46" t="str"/>
      <x:c r="F1048" s="46" t="str"/>
      <x:c r="G1048" s="46" t="str">
        <x:v>L2022-00002-1/0 Bidding Guideline for supervision service.docx</x:v>
      </x:c>
      <x:c r="H1048" s="43" t="str">
        <x:v>문단 107</x:v>
      </x:c>
      <x:c r="I1048" s="46" t="str">
        <x:v>The Bidder shall have participated in Supervision or Construction or Detailed Design in at least One (1) Similar Project for a Single Building (Reinforced Concrete Structure + at least Two Floors) with at least 2,800㎡ that has been successfully completed in Paraguay within last 10 years.</x:v>
      </x:c>
      <x:c r="J1048" s="43" t="str">
        <x:v>자동추출·검토필요</x:v>
      </x:c>
    </x:row>
    <x:row r="1049">
      <x:c r="A1049" s="43" t="str">
        <x:v>L2022-00002-1</x:v>
      </x:c>
      <x:c r="B1049" s="43" t="str">
        <x:v>연면적·면적</x:v>
      </x:c>
      <x:c r="C1049" s="46" t="str">
        <x:v>㎡</x:v>
      </x:c>
      <x:c r="D1049" s="46" t="str">
        <x:v>2,800 ㎡</x:v>
      </x:c>
      <x:c r="E1049" s="46" t="str"/>
      <x:c r="F1049" s="46" t="str"/>
      <x:c r="G1049" s="46" t="str">
        <x:v>L2022-00002-1/0 Bidding Guideline for supervision service.docx</x:v>
      </x:c>
      <x:c r="H1049" s="43" t="str">
        <x:v>표 4 행 7</x:v>
      </x:c>
      <x:c r="I1049" s="46" t="str">
        <x:v>3-3 | Experience Proof Documents | The Bidder shall have participated in Supervision or Construction or Detailed Design in at least One (1) Similar Project for a Single Building (Reinforced Concrete Structure + at least Two Floors) with at least 2,800㎡ that has been successfully completed in Paraguay within last 10 years. In the case of public institution performance, the client's performance certificate required, and in the case of private sector performance, the client's performance certificate and contract submission required.</x:v>
      </x:c>
      <x:c r="J1049" s="43" t="str">
        <x:v>자동추출·검토필요</x:v>
      </x:c>
    </x:row>
    <x:row r="1050">
      <x:c r="A1050" s="43" t="str">
        <x:v>L2022-00002-1</x:v>
      </x:c>
      <x:c r="B1050" s="43" t="str">
        <x:v>연면적·면적</x:v>
      </x:c>
      <x:c r="C1050" s="46" t="str">
        <x:v>㎡</x:v>
      </x:c>
      <x:c r="D1050" s="46" t="str">
        <x:v>2,800 ㎡</x:v>
      </x:c>
      <x:c r="E1050" s="46" t="str"/>
      <x:c r="F1050" s="46" t="str"/>
      <x:c r="G1050" s="46" t="str">
        <x:v>L2022-00002-1/0 Bidding Guideline for supervision service.docx</x:v>
      </x:c>
      <x:c r="H1050" s="43" t="str">
        <x:v>표 4 행 13</x:v>
      </x:c>
      <x:c r="I1050" s="46" t="str">
        <x:v>4-1 | Technical Proposal #1 (Quantitative) | Performance Record Experience in Supervision or Construction or Detailed Design of Similar Projects for a Single Building (Reinforced Concrete Structure + at least Two Floors) with at least 2,800㎡ that have been successfully completed in Paraguay within last 10 years, from the date of the bidding announcement. In the case of public institution performance, the client's performance certificate required, and in the case of private sector performance, the client's performance certificate and contract submission required. Financial Status with Auditor’s Report (FY2018-FY2020) issued by Ministry of Treasury Submit the notarized documents by a registered accountant</x:v>
      </x:c>
      <x:c r="J1050" s="43" t="str">
        <x:v>자동추출·검토필요</x:v>
      </x:c>
    </x:row>
    <x:row r="1051">
      <x:c r="A1051" s="43" t="str">
        <x:v>L2022-00002-1</x:v>
      </x:c>
      <x:c r="B1051" s="43" t="str">
        <x:v>연면적·면적</x:v>
      </x:c>
      <x:c r="C1051" s="46" t="str">
        <x:v>floor area, ㎡</x:v>
      </x:c>
      <x:c r="D1051" s="46" t="str">
        <x:v>2,800 ㎡</x:v>
      </x:c>
      <x:c r="E1051" s="46" t="str"/>
      <x:c r="F1051" s="46" t="str"/>
      <x:c r="G1051" s="46" t="str">
        <x:v>L2022-00002-1/0 Bidding Guideline for supervision service.docx</x:v>
      </x:c>
      <x:c r="H1051" s="43" t="str">
        <x:v>표 7 행 4</x:v>
      </x:c>
      <x:c r="I1051" s="46" t="str">
        <x:v>Project Performance (6 Points) | Sum of gross floor area for the experience in Supervision or Construction or Detailed Design of Similar Projects for a Single Building (Reinforced Concrete Structure + at least Two Floors) with at least 2,800㎡for last 10 years | 6 | 10</x:v>
      </x:c>
      <x:c r="J1051" s="43" t="str">
        <x:v>자동추출·검토필요</x:v>
      </x:c>
    </x:row>
    <x:row r="1052">
      <x:c r="A1052" s="43" t="str">
        <x:v>L2022-00002-1</x:v>
      </x:c>
      <x:c r="B1052" s="43" t="str">
        <x:v>연면적·면적</x:v>
      </x:c>
      <x:c r="C1052" s="46" t="str">
        <x:v>floor area, ㎡</x:v>
      </x:c>
      <x:c r="D1052" s="46" t="str">
        <x:v>2,800 ㎡ | 2,800 ㎡</x:v>
      </x:c>
      <x:c r="E1052" s="46" t="str"/>
      <x:c r="F1052" s="46" t="str">
        <x:v>200%</x:v>
      </x:c>
      <x:c r="G1052" s="46" t="str">
        <x:v>L2022-00002-1/0 Bidding Guideline for supervision service.docx</x:v>
      </x:c>
      <x:c r="H1052" s="43" t="str">
        <x:v>표 9 행 2</x:v>
      </x:c>
      <x:c r="I1052" s="46" t="str">
        <x:v>Project Experience for last 10 years (6 Points) | Sum of gross floor Area (G.A) for the experience in Supervision or Construction or Detailed Design of Similar Projects for a Single Building (Reinforced Concrete Structure + at least Two Floors) with at least 2,800㎡ that have been successfully completed in Paraguay within last 10 years.\ Sum of the gross floor area. (Base Evaluation Grade (E.G.): 2,800㎡) | Greater than or equal to 200% | 6.0 |</x:v>
      </x:c>
      <x:c r="J1052" s="43" t="str">
        <x:v>자동추출·검토필요</x:v>
      </x:c>
    </x:row>
    <x:row r="1053">
      <x:c r="A1053" s="43" t="str">
        <x:v>L2022-00002-1</x:v>
      </x:c>
      <x:c r="B1053" s="43" t="str">
        <x:v>연면적·면적</x:v>
      </x:c>
      <x:c r="C1053" s="46" t="str">
        <x:v>floor area, ㎡</x:v>
      </x:c>
      <x:c r="D1053" s="46" t="str">
        <x:v>2,800 ㎡ | 2,800 ㎡</x:v>
      </x:c>
      <x:c r="E1053" s="46" t="str"/>
      <x:c r="F1053" s="46" t="str">
        <x:v>175% | 200%</x:v>
      </x:c>
      <x:c r="G1053" s="46" t="str">
        <x:v>L2022-00002-1/0 Bidding Guideline for supervision service.docx</x:v>
      </x:c>
      <x:c r="H1053" s="43" t="str">
        <x:v>표 9 행 3</x:v>
      </x:c>
      <x:c r="I1053" s="46" t="str">
        <x:v>Project Experience for last 10 years (6 Points) | Sum of gross floor Area (G.A) for the experience in Supervision or Construction or Detailed Design of Similar Projects for a Single Building (Reinforced Concrete Structure + at least Two Floors) with at least 2,800㎡ that have been successfully completed in Paraguay within last 10 years.\ Sum of the gross floor area. (Base Evaluation Grade (E.G.): 2,800㎡) | 175%≤ E.G. &lt;200% | 5.55 |</x:v>
      </x:c>
      <x:c r="J1053" s="43" t="str">
        <x:v>자동추출·검토필요</x:v>
      </x:c>
    </x:row>
    <x:row r="1054">
      <x:c r="A1054" s="43" t="str">
        <x:v>L2022-00002-1</x:v>
      </x:c>
      <x:c r="B1054" s="43" t="str">
        <x:v>연면적·면적</x:v>
      </x:c>
      <x:c r="C1054" s="46" t="str">
        <x:v>floor area, ㎡</x:v>
      </x:c>
      <x:c r="D1054" s="46" t="str">
        <x:v>2,800 ㎡ | 2,800 ㎡</x:v>
      </x:c>
      <x:c r="E1054" s="46" t="str"/>
      <x:c r="F1054" s="46" t="str">
        <x:v>150% | 175%</x:v>
      </x:c>
      <x:c r="G1054" s="46" t="str">
        <x:v>L2022-00002-1/0 Bidding Guideline for supervision service.docx</x:v>
      </x:c>
      <x:c r="H1054" s="43" t="str">
        <x:v>표 9 행 4</x:v>
      </x:c>
      <x:c r="I1054" s="46" t="str">
        <x:v>Project Experience for last 10 years (6 Points) | Sum of gross floor Area (G.A) for the experience in Supervision or Construction or Detailed Design of Similar Projects for a Single Building (Reinforced Concrete Structure + at least Two Floors) with at least 2,800㎡ that have been successfully completed in Paraguay within last 10 years.\ Sum of the gross floor area. (Base Evaluation Grade (E.G.): 2,800㎡) | 150%≤ E.G. &lt;175% | 5.10 |</x:v>
      </x:c>
      <x:c r="J1054" s="43" t="str">
        <x:v>자동추출·검토필요</x:v>
      </x:c>
    </x:row>
    <x:row r="1055">
      <x:c r="A1055" s="43" t="str">
        <x:v>L2022-00002-1</x:v>
      </x:c>
      <x:c r="B1055" s="43" t="str">
        <x:v>연면적·면적</x:v>
      </x:c>
      <x:c r="C1055" s="46" t="str">
        <x:v>floor area, ㎡</x:v>
      </x:c>
      <x:c r="D1055" s="46" t="str">
        <x:v>2,800 ㎡ | 2,800 ㎡</x:v>
      </x:c>
      <x:c r="E1055" s="46" t="str"/>
      <x:c r="F1055" s="46" t="str">
        <x:v>125% | 150%</x:v>
      </x:c>
      <x:c r="G1055" s="46" t="str">
        <x:v>L2022-00002-1/0 Bidding Guideline for supervision service.docx</x:v>
      </x:c>
      <x:c r="H1055" s="43" t="str">
        <x:v>표 9 행 5</x:v>
      </x:c>
      <x:c r="I1055" s="46" t="str">
        <x:v>Project Experience for last 10 years (6 Points) | Sum of gross floor Area (G.A) for the experience in Supervision or Construction or Detailed Design of Similar Projects for a Single Building (Reinforced Concrete Structure + at least Two Floors) with at least 2,800㎡ that have been successfully completed in Paraguay within last 10 years.\ Sum of the gross floor area. (Base Evaluation Grade (E.G.): 2,800㎡) | 125%≤ E.G. &lt;150% | 4.65 |</x:v>
      </x:c>
      <x:c r="J1055" s="43" t="str">
        <x:v>자동추출·검토필요</x:v>
      </x:c>
    </x:row>
    <x:row r="1056">
      <x:c r="A1056" s="43" t="str">
        <x:v>L2022-00002-1</x:v>
      </x:c>
      <x:c r="B1056" s="43" t="str">
        <x:v>연면적·면적</x:v>
      </x:c>
      <x:c r="C1056" s="46" t="str">
        <x:v>floor area, ㎡</x:v>
      </x:c>
      <x:c r="D1056" s="46" t="str">
        <x:v>2,800 ㎡ | 2,800 ㎡</x:v>
      </x:c>
      <x:c r="E1056" s="46" t="str"/>
      <x:c r="F1056" s="46" t="str">
        <x:v>125%</x:v>
      </x:c>
      <x:c r="G1056" s="46" t="str">
        <x:v>L2022-00002-1/0 Bidding Guideline for supervision service.docx</x:v>
      </x:c>
      <x:c r="H1056" s="43" t="str">
        <x:v>표 9 행 6</x:v>
      </x:c>
      <x:c r="I1056" s="46" t="str">
        <x:v>Project Experience for last 10 years (6 Points) | Sum of gross floor Area (G.A) for the experience in Supervision or Construction or Detailed Design of Similar Projects for a Single Building (Reinforced Concrete Structure + at least Two Floors) with at least 2,800㎡ that have been successfully completed in Paraguay within last 10 years.\ Sum of the gross floor area. (Base Evaluation Grade (E.G.): 2,800㎡) | Below 125% | 4.20 |</x:v>
      </x:c>
      <x:c r="J1056" s="43" t="str">
        <x:v>자동추출·검토필요</x:v>
      </x:c>
    </x:row>
    <x:row r="1057">
      <x:c r="A1057" s="43" t="str">
        <x:v>L2022-00002-1</x:v>
      </x:c>
      <x:c r="B1057" s="43" t="str">
        <x:v>연면적·면적</x:v>
      </x:c>
      <x:c r="C1057" s="46" t="str">
        <x:v>㎡</x:v>
      </x:c>
      <x:c r="D1057" s="46" t="str">
        <x:v>2,800 ㎡</x:v>
      </x:c>
      <x:c r="E1057" s="46" t="str"/>
      <x:c r="F1057" s="46" t="str"/>
      <x:c r="G1057" s="46" t="str">
        <x:v>L2022-00002-1/1.0 Section I. Invitation for Bids.docx</x:v>
      </x:c>
      <x:c r="H1057" s="43" t="str">
        <x:v>문단 129</x:v>
      </x:c>
      <x:c r="I1057" s="46" t="str">
        <x:v>The Bidder shall have participated in Supervision or Construction or Detailed Design in at least One (1) Similar Project for a Single Building (Reinforced Concrete Structure + at least Two Floors) with at least 2,800㎡ that has been successfully completed in Paraguay within last 10 years.</x:v>
      </x:c>
      <x:c r="J1057" s="43" t="str">
        <x:v>자동추출·검토필요</x:v>
      </x:c>
    </x:row>
    <x:row r="1058">
      <x:c r="A1058" s="43" t="str">
        <x:v>L2022-00002-1</x:v>
      </x:c>
      <x:c r="B1058" s="43" t="str">
        <x:v>연면적·면적</x:v>
      </x:c>
      <x:c r="C1058" s="46" t="str">
        <x:v>floor area, ㎡</x:v>
      </x:c>
      <x:c r="D1058" s="46" t="str">
        <x:v>2,702 ㎡ | 2,866.41 ㎡</x:v>
      </x:c>
      <x:c r="E1058" s="46" t="str"/>
      <x:c r="F1058" s="46" t="str"/>
      <x:c r="G1058" s="46" t="str">
        <x:v>L2022-00002-1/1.0 Section I. Invitation for Bids.docx</x:v>
      </x:c>
      <x:c r="H1058" s="43" t="str">
        <x:v>표 2 행 4</x:v>
      </x:c>
      <x:c r="I1058" s="46" t="str">
        <x:v>Scope of Supervision Service | New Building Site area: 2,702㎡ Gross floor area: 2,866.41㎡ 3 stories – Reinforced Concrete Structure, Pile Construction Main Facility: Educational Facilities (classroom, practice room), Administrative Facilities (teacher room, conference room), Common Facilities (kitchen, cafe, locker), Other Facilities (machine room, generator room, hazardous material storage, washing room)</x:v>
      </x:c>
      <x:c r="J1058" s="43" t="str">
        <x:v>자동추출·검토필요</x:v>
      </x:c>
    </x:row>
    <x:row r="1059">
      <x:c r="A1059" s="43" t="str">
        <x:v>L2022-00001-1</x:v>
      </x:c>
      <x:c r="B1059" s="43" t="str">
        <x:v>연면적·면적</x:v>
      </x:c>
      <x:c r="C1059" s="46" t="str">
        <x:v>square meter</x:v>
      </x:c>
      <x:c r="D1059" s="46" t="str">
        <x:v>16 square meters</x:v>
      </x:c>
      <x:c r="E1059" s="46" t="str"/>
      <x:c r="F1059" s="46" t="str"/>
      <x:c r="G1059" s="46" t="str">
        <x:v>L2022-00001-1/Section_04_Employer Requirement.docx</x:v>
      </x:c>
      <x:c r="H1059" s="43" t="str">
        <x:v>문단 31</x:v>
      </x:c>
      <x:c r="I1059" s="46" t="str">
        <x:v>However, this office is to be removed from the site after the completion of works. This Site office should be taken out of the site after completing the construction unless the Employer agree to maintain it for his needs upon contractor’s request. The office shall consist of the 16 square meters (m2) spaces as a minimum. Each space shall be separated with partitions up to the ceiling.</x:v>
      </x:c>
      <x:c r="J1059" s="43" t="str">
        <x:v>자동추출·검토필요</x:v>
      </x:c>
    </x:row>
    <x:row r="1060">
      <x:c r="A1060" s="43" t="str">
        <x:v>L2022-00001-1</x:v>
      </x:c>
      <x:c r="B1060" s="43" t="str">
        <x:v>연면적·면적</x:v>
      </x:c>
      <x:c r="C1060" s="46" t="str">
        <x:v>㎡</x:v>
      </x:c>
      <x:c r="D1060" s="46" t="str">
        <x:v>7,030 ㎡</x:v>
      </x:c>
      <x:c r="E1060" s="46" t="str"/>
      <x:c r="F1060" s="46" t="str"/>
      <x:c r="G1060" s="46" t="str">
        <x:v>L2022-00001-1/모잠비크 직훈사업 시공업체 선정 입찰계획.hwp</x:v>
      </x:c>
      <x:c r="H1060" s="43" t="str">
        <x:v>문단 63</x:v>
      </x:c>
      <x:c r="I1060" s="46" t="str">
        <x:v>1. Workshop zone : 9 buildings, 약 7,030㎡</x:v>
      </x:c>
      <x:c r="J1060" s="43" t="str">
        <x:v>자동추출·검토필요</x:v>
      </x:c>
    </x:row>
    <x:row r="1061">
      <x:c r="A1061" s="43" t="str">
        <x:v>L2022-00001-1</x:v>
      </x:c>
      <x:c r="B1061" s="43" t="str">
        <x:v>연면적·면적</x:v>
      </x:c>
      <x:c r="C1061" s="46" t="str">
        <x:v>㎡</x:v>
      </x:c>
      <x:c r="D1061" s="46" t="str">
        <x:v>5,480 ㎡</x:v>
      </x:c>
      <x:c r="E1061" s="46" t="str"/>
      <x:c r="F1061" s="46" t="str"/>
      <x:c r="G1061" s="46" t="str">
        <x:v>L2022-00001-1/모잠비크 직훈사업 시공업체 선정 입찰계획.hwp</x:v>
      </x:c>
      <x:c r="H1061" s="43" t="str">
        <x:v>문단 64</x:v>
      </x:c>
      <x:c r="I1061" s="46" t="str">
        <x:v>2. Dormitory zone : 12 buildings, 약 5,480㎡</x:v>
      </x:c>
      <x:c r="J1061" s="43" t="str">
        <x:v>자동추출·검토필요</x:v>
      </x:c>
    </x:row>
    <x:row r="1062">
      <x:c r="A1062" s="43" t="str">
        <x:v>L2022-00001-1</x:v>
      </x:c>
      <x:c r="B1062" s="43" t="str">
        <x:v>연면적·면적</x:v>
      </x:c>
      <x:c r="C1062" s="46" t="str">
        <x:v>㎡</x:v>
      </x:c>
      <x:c r="D1062" s="46" t="str">
        <x:v>70 ㎡</x:v>
      </x:c>
      <x:c r="E1062" s="46" t="str"/>
      <x:c r="F1062" s="46" t="str"/>
      <x:c r="G1062" s="46" t="str">
        <x:v>L2022-00001-1/모잠비크 직훈사업 시공업체 선정 입찰계획.hwp</x:v>
      </x:c>
      <x:c r="H1062" s="43" t="str">
        <x:v>문단 348</x:v>
      </x:c>
      <x:c r="I1062" s="46" t="str">
        <x:v>- Lecture B/D-2내, 회계 교사실(1층) 내 칸막이 공사(70㎡)</x:v>
      </x:c>
      <x:c r="J1062" s="43" t="str">
        <x:v>자동추출·검토필요</x:v>
      </x:c>
    </x:row>
    <x:row r="1063">
      <x:c r="A1063" s="43" t="str">
        <x:v>L2022-00001-1</x:v>
      </x:c>
      <x:c r="B1063" s="43" t="str">
        <x:v>연면적·면적</x:v>
      </x:c>
      <x:c r="C1063" s="46" t="str">
        <x:v>㎡</x:v>
      </x:c>
      <x:c r="D1063" s="46" t="str">
        <x:v>1,300 ㎡</x:v>
      </x:c>
      <x:c r="E1063" s="46" t="str"/>
      <x:c r="F1063" s="46" t="str"/>
      <x:c r="G1063" s="46" t="str">
        <x:v>L2022-00001-1/모잠비크 직훈사업 시공업체 선정 입찰계획.hwp</x:v>
      </x:c>
      <x:c r="H1063" s="43" t="str">
        <x:v>문단 350</x:v>
      </x:c>
      <x:c r="I1063" s="46" t="str">
        <x:v>- 체육관 지붕, 바닥, 조명 보수 및 탈의실 설치(체육관 전체 1,300㎡)</x:v>
      </x:c>
      <x:c r="J1063" s="43" t="str">
        <x:v>자동추출·검토필요</x:v>
      </x:c>
    </x:row>
    <x:row r="1064">
      <x:c r="A1064" s="43" t="str">
        <x:v>L2022-00001-1</x:v>
      </x:c>
      <x:c r="B1064" s="43" t="str">
        <x:v>연면적·면적</x:v>
      </x:c>
      <x:c r="C1064" s="46" t="str">
        <x:v>㎡</x:v>
      </x:c>
      <x:c r="D1064" s="46" t="str">
        <x:v>120 ㎡</x:v>
      </x:c>
      <x:c r="E1064" s="46" t="str"/>
      <x:c r="F1064" s="46" t="str"/>
      <x:c r="G1064" s="46" t="str">
        <x:v>L2022-00001-1/모잠비크 직훈사업 시공업체 선정 입찰계획.hwp</x:v>
      </x:c>
      <x:c r="H1064" s="43" t="str">
        <x:v>문단 351</x:v>
      </x:c>
      <x:c r="I1064" s="46" t="str">
        <x:v>- 자동차과 차량 출입 슬로프 및 주차장 설치(120㎡)</x:v>
      </x:c>
      <x:c r="J1064" s="43" t="str">
        <x:v>자동추출·검토필요</x:v>
      </x:c>
    </x:row>
    <x:row r="1065">
      <x:c r="A1065" s="43" t="str">
        <x:v>L2022-00001-1</x:v>
      </x:c>
      <x:c r="B1065" s="43" t="str">
        <x:v>연면적·면적</x:v>
      </x:c>
      <x:c r="C1065" s="46" t="str">
        <x:v>㎡</x:v>
      </x:c>
      <x:c r="D1065" s="46" t="str">
        <x:v>95 ㎡</x:v>
      </x:c>
      <x:c r="E1065" s="46" t="str"/>
      <x:c r="F1065" s="46" t="str"/>
      <x:c r="G1065" s="46" t="str">
        <x:v>L2022-00001-1/모잠비크 직훈사업 시공업체 선정 입찰계획.hwp</x:v>
      </x:c>
      <x:c r="H1065" s="43" t="str">
        <x:v>문단 352</x:v>
      </x:c>
      <x:c r="I1065" s="46" t="str">
        <x:v>- 기계과 CNC 실습실 설치 위한 내벽공사, 바닥 및 출입문 개보수(95㎡)</x:v>
      </x:c>
      <x:c r="J1065" s="43" t="str">
        <x:v>자동추출·검토필요</x:v>
      </x:c>
    </x:row>
    <x:row r="1066">
      <x:c r="A1066" s="43" t="str">
        <x:v>L2022-00001-1</x:v>
      </x:c>
      <x:c r="B1066" s="43" t="str">
        <x:v>연면적·면적</x:v>
      </x:c>
      <x:c r="C1066" s="46" t="str">
        <x:v>㎡</x:v>
      </x:c>
      <x:c r="D1066" s="46" t="str">
        <x:v>350 ㎡</x:v>
      </x:c>
      <x:c r="E1066" s="46" t="str"/>
      <x:c r="F1066" s="46" t="str"/>
      <x:c r="G1066" s="46" t="str">
        <x:v>L2022-00001-1/모잠비크 직훈사업 시공업체 선정 입찰계획.hwp</x:v>
      </x:c>
      <x:c r="H1066" s="43" t="str">
        <x:v>문단 353</x:v>
      </x:c>
      <x:c r="I1066" s="46" t="str">
        <x:v>- 용접과 용접부스 전원케이블 교체(350㎡)</x:v>
      </x:c>
      <x:c r="J1066" s="43" t="str">
        <x:v>자동추출·검토필요</x:v>
      </x:c>
    </x:row>
    <x:row r="1067">
      <x:c r="A1067" s="43" t="str">
        <x:v>L2021-00045-1</x:v>
      </x:c>
      <x:c r="B1067" s="43" t="str">
        <x:v>연면적·면적</x:v>
      </x:c>
      <x:c r="C1067" s="46" t="str">
        <x:v>㎡</x:v>
      </x:c>
      <x:c r="D1067" s="46" t="str">
        <x:v>2,702 ㎡</x:v>
      </x:c>
      <x:c r="E1067" s="46" t="str"/>
      <x:c r="F1067" s="46" t="str"/>
      <x:c r="G1067" s="46" t="str">
        <x:v>L2021-00045-1/0 Bidding Guideline for Construction_ATC.docx</x:v>
      </x:c>
      <x:c r="H1067" s="43" t="str">
        <x:v>문단 90</x:v>
      </x:c>
      <x:c r="I1067" s="46" t="str">
        <x:v>Site area: 2,702㎡</x:v>
      </x:c>
      <x:c r="J1067" s="43" t="str">
        <x:v>자동추출·검토필요</x:v>
      </x:c>
    </x:row>
    <x:row r="1068">
      <x:c r="A1068" s="43" t="str">
        <x:v>L2021-00045-1</x:v>
      </x:c>
      <x:c r="B1068" s="43" t="str">
        <x:v>연면적·면적</x:v>
      </x:c>
      <x:c r="C1068" s="46" t="str">
        <x:v>floor area, ㎡</x:v>
      </x:c>
      <x:c r="D1068" s="46" t="str">
        <x:v>2,866.41 ㎡</x:v>
      </x:c>
      <x:c r="E1068" s="46" t="str"/>
      <x:c r="F1068" s="46" t="str"/>
      <x:c r="G1068" s="46" t="str">
        <x:v>L2021-00045-1/0 Bidding Guideline for Construction_ATC.docx</x:v>
      </x:c>
      <x:c r="H1068" s="43" t="str">
        <x:v>문단 92</x:v>
      </x:c>
      <x:c r="I1068" s="46" t="str">
        <x:v>Gross floor area: 2,866.41㎡, 3 stories – Reinforced Concrete Structure, Pile Foundation</x:v>
      </x:c>
      <x:c r="J1068" s="43" t="str">
        <x:v>자동추출·검토필요</x:v>
      </x:c>
    </x:row>
    <x:row r="1069">
      <x:c r="A1069" s="43" t="str">
        <x:v>L2021-00045-1</x:v>
      </x:c>
      <x:c r="B1069" s="43" t="str">
        <x:v>연면적·면적</x:v>
      </x:c>
      <x:c r="C1069" s="46" t="str">
        <x:v>floor area, ㎡</x:v>
      </x:c>
      <x:c r="D1069" s="46" t="str">
        <x:v>2,702 ㎡ | 2,866.41 ㎡</x:v>
      </x:c>
      <x:c r="E1069" s="46" t="str"/>
      <x:c r="F1069" s="46" t="str"/>
      <x:c r="G1069" s="46" t="str">
        <x:v>L2021-00045-1/1.0 Section I. Invitation for Bids_ATC.docx</x:v>
      </x:c>
      <x:c r="H1069" s="43" t="str">
        <x:v>표 2 행 4</x:v>
      </x:c>
      <x:c r="I1069" s="46" t="str">
        <x:v>Scope of Work | New Building Site area: 2,702㎡ Gross floor area: 2,866.41㎡ 3 stories – Reinforced Concrete Structure, Pile Foundation Main facility: Educational Facilities (classroom, practice room), Administrative Facilities (teacher room, conference room), Common Facilities (kitchen, cafe, locker), Other Facilities (machine room, generator room, hazardous material storage, washing room)</x:v>
      </x:c>
      <x:c r="J1069" s="43" t="str">
        <x:v>자동추출·검토필요</x:v>
      </x:c>
    </x:row>
    <x:row r="1070">
      <x:c r="A1070" s="43" t="str">
        <x:v>L2021-00045-1</x:v>
      </x:c>
      <x:c r="B1070" s="43" t="str">
        <x:v>연면적·면적</x:v>
      </x:c>
      <x:c r="C1070" s="46" t="str">
        <x:v>㎡</x:v>
      </x:c>
      <x:c r="D1070" s="46" t="str">
        <x:v>2,702 ㎡</x:v>
      </x:c>
      <x:c r="E1070" s="46" t="str"/>
      <x:c r="F1070" s="46" t="str"/>
      <x:c r="G1070" s="46" t="str">
        <x:v>L2021-00045-1/4.0 Section IV. Scope of Works_ATC.docx</x:v>
      </x:c>
      <x:c r="H1070" s="43" t="str">
        <x:v>문단 16</x:v>
      </x:c>
      <x:c r="I1070" s="46" t="str">
        <x:v>Site area: 2,702㎡</x:v>
      </x:c>
      <x:c r="J1070" s="43" t="str">
        <x:v>자동추출·검토필요</x:v>
      </x:c>
    </x:row>
    <x:row r="1071">
      <x:c r="A1071" s="43" t="str">
        <x:v>L2021-00045-1</x:v>
      </x:c>
      <x:c r="B1071" s="43" t="str">
        <x:v>연면적·면적</x:v>
      </x:c>
      <x:c r="C1071" s="46" t="str">
        <x:v>floor area, ㎡</x:v>
      </x:c>
      <x:c r="D1071" s="46" t="str">
        <x:v>2,866.41 ㎡</x:v>
      </x:c>
      <x:c r="E1071" s="46" t="str"/>
      <x:c r="F1071" s="46" t="str"/>
      <x:c r="G1071" s="46" t="str">
        <x:v>L2021-00045-1/4.0 Section IV. Scope of Works_ATC.docx</x:v>
      </x:c>
      <x:c r="H1071" s="43" t="str">
        <x:v>문단 18</x:v>
      </x:c>
      <x:c r="I1071" s="46" t="str">
        <x:v>Gross floor area: 2,866.41㎡</x:v>
      </x:c>
      <x:c r="J1071" s="43" t="str">
        <x:v>자동추출·검토필요</x:v>
      </x:c>
    </x:row>
    <x:row r="1072">
      <x:c r="A1072" s="43" t="str">
        <x:v>L2021-00045-1</x:v>
      </x:c>
      <x:c r="B1072" s="43" t="str">
        <x:v>연면적·면적</x:v>
      </x:c>
      <x:c r="C1072" s="46" t="str">
        <x:v>연면적, ㎡</x:v>
      </x:c>
      <x:c r="D1072" s="46" t="str">
        <x:v>1,000 ㎡</x:v>
      </x:c>
      <x:c r="E1072" s="46" t="str"/>
      <x:c r="F1072" s="46" t="str"/>
      <x:c r="G1072" s="46" t="str">
        <x:v>L2021-00045-1/붙임5. 입찰계획안.hwp</x:v>
      </x:c>
      <x:c r="H1072" s="43" t="str">
        <x:v>문단 36</x:v>
      </x:c>
      <x:c r="I1072" s="46" t="str">
        <x:v>ㅇ 안전관리비(연면적 1,000㎡이상 또는 KOICA가 필요하다고 인정하는 건설공사)</x:v>
      </x:c>
      <x:c r="J1072" s="43" t="str">
        <x:v>자동추출·검토필요</x:v>
      </x:c>
    </x:row>
    <x:row r="1073">
      <x:c r="A1073" s="43" t="str">
        <x:v>L2021-00045-1</x:v>
      </x:c>
      <x:c r="B1073" s="43" t="str">
        <x:v>연면적·면적</x:v>
      </x:c>
      <x:c r="C1073" s="46" t="str">
        <x:v>대지면적</x:v>
      </x:c>
      <x:c r="D1073" s="46" t="str">
        <x:v>2,702 m2</x:v>
      </x:c>
      <x:c r="E1073" s="46" t="str"/>
      <x:c r="F1073" s="46" t="str"/>
      <x:c r="G1073" s="46" t="str">
        <x:v>L2021-00045-1/붙임5. 입찰계획안.hwp</x:v>
      </x:c>
      <x:c r="H1073" s="43" t="str">
        <x:v>문단 48</x:v>
      </x:c>
      <x:c r="I1073" s="46" t="str">
        <x:v>2 ㅇ 대지면적 : 2,702m2</x:v>
      </x:c>
      <x:c r="J1073" s="43" t="str">
        <x:v>자동추출·검토필요</x:v>
      </x:c>
    </x:row>
    <x:row r="1074">
      <x:c r="A1074" s="43" t="str">
        <x:v>L2021-00045-1</x:v>
      </x:c>
      <x:c r="B1074" s="43" t="str">
        <x:v>연면적·면적</x:v>
      </x:c>
      <x:c r="C1074" s="46" t="str">
        <x:v>연면적</x:v>
      </x:c>
      <x:c r="D1074" s="46" t="str">
        <x:v>2,866.41 m2</x:v>
      </x:c>
      <x:c r="E1074" s="46" t="str"/>
      <x:c r="F1074" s="46" t="str"/>
      <x:c r="G1074" s="46" t="str">
        <x:v>L2021-00045-1/붙임5. 입찰계획안.hwp</x:v>
      </x:c>
      <x:c r="H1074" s="43" t="str">
        <x:v>문단 49</x:v>
      </x:c>
      <x:c r="I1074" s="46" t="str">
        <x:v>ㅇ 연면적 : 2,866.41m2</x:v>
      </x:c>
      <x:c r="J1074" s="43" t="str">
        <x:v>자동추출·검토필요</x:v>
      </x:c>
    </x:row>
    <x:row r="1075">
      <x:c r="A1075" s="43" t="str">
        <x:v>L2021-00042-1</x:v>
      </x:c>
      <x:c r="B1075" s="43" t="str">
        <x:v>연면적·면적</x:v>
      </x:c>
      <x:c r="C1075" s="46" t="str">
        <x:v>㎡</x:v>
      </x:c>
      <x:c r="D1075" s="46" t="str">
        <x:v>900 ㎡</x:v>
      </x:c>
      <x:c r="E1075" s="46" t="str"/>
      <x:c r="F1075" s="46" t="str"/>
      <x:c r="G1075" s="46" t="str">
        <x:v>L2021-00042-1/0.0 입찰공고문(영문).docx</x:v>
      </x:c>
      <x:c r="H1075" s="43" t="str">
        <x:v>문단 129</x:v>
      </x:c>
      <x:c r="I1075" s="46" t="str">
        <x:v>The Bidder shall have participated in Supervision or Construction or Detailed Design in at least One (1) Hangar or/and Similar Projects with at least 900㎡ that have been successfully completed in Paraguay within last 12 years.</x:v>
      </x:c>
      <x:c r="J1075" s="43" t="str">
        <x:v>자동추출·검토필요</x:v>
      </x:c>
    </x:row>
    <x:row r="1076">
      <x:c r="A1076" s="43" t="str">
        <x:v>L2021-00042-1</x:v>
      </x:c>
      <x:c r="B1076" s="43" t="str">
        <x:v>연면적·면적</x:v>
      </x:c>
      <x:c r="C1076" s="46" t="str">
        <x:v>floor area, ㎡</x:v>
      </x:c>
      <x:c r="D1076" s="46" t="str">
        <x:v>4,494.92 ㎡ | 945 ㎡</x:v>
      </x:c>
      <x:c r="E1076" s="46" t="str"/>
      <x:c r="F1076" s="46" t="str"/>
      <x:c r="G1076" s="46" t="str">
        <x:v>L2021-00042-1/0.0 입찰공고문(영문).docx</x:v>
      </x:c>
      <x:c r="H1076" s="43" t="str">
        <x:v>표 2 행 4</x:v>
      </x:c>
      <x:c r="I1076" s="46" t="str">
        <x:v>Scope of Supervision Service | New Building Site area: 4,494.92㎡ Gross floor area: Hangar 945㎡ + Apron and Access Road Office: 2 stories – Reinforced Concrete Structure Hangar: Steel Structure Main function: Hangar, training</x:v>
      </x:c>
      <x:c r="J1076" s="43" t="str">
        <x:v>자동추출·검토필요</x:v>
      </x:c>
    </x:row>
    <x:row r="1077">
      <x:c r="A1077" s="43" t="str">
        <x:v>L2021-00042-1</x:v>
      </x:c>
      <x:c r="B1077" s="43" t="str">
        <x:v>연면적·면적</x:v>
      </x:c>
      <x:c r="C1077" s="46" t="str">
        <x:v>㎡</x:v>
      </x:c>
      <x:c r="D1077" s="46" t="str">
        <x:v>4,494.92 ㎡</x:v>
      </x:c>
      <x:c r="E1077" s="46" t="str"/>
      <x:c r="F1077" s="46" t="str"/>
      <x:c r="G1077" s="46" t="str">
        <x:v>L2021-00042-1/1.0 입찰안내서(영문).docx</x:v>
      </x:c>
      <x:c r="H1077" s="43" t="str">
        <x:v>문단 91</x:v>
      </x:c>
      <x:c r="I1077" s="46" t="str">
        <x:v>Site area: 4,494.92㎡</x:v>
      </x:c>
      <x:c r="J1077" s="43" t="str">
        <x:v>자동추출·검토필요</x:v>
      </x:c>
    </x:row>
    <x:row r="1078">
      <x:c r="A1078" s="43" t="str">
        <x:v>L2021-00042-1</x:v>
      </x:c>
      <x:c r="B1078" s="43" t="str">
        <x:v>연면적·면적</x:v>
      </x:c>
      <x:c r="C1078" s="46" t="str">
        <x:v>floor area, ㎡</x:v>
      </x:c>
      <x:c r="D1078" s="46" t="str">
        <x:v>945 ㎡</x:v>
      </x:c>
      <x:c r="E1078" s="46" t="str"/>
      <x:c r="F1078" s="46" t="str"/>
      <x:c r="G1078" s="46" t="str">
        <x:v>L2021-00042-1/1.0 입찰안내서(영문).docx</x:v>
      </x:c>
      <x:c r="H1078" s="43" t="str">
        <x:v>문단 93</x:v>
      </x:c>
      <x:c r="I1078" s="46" t="str">
        <x:v>Gross floor area: 945㎡ + Apron and Access Road</x:v>
      </x:c>
      <x:c r="J1078" s="43" t="str">
        <x:v>자동추출·검토필요</x:v>
      </x:c>
    </x:row>
    <x:row r="1079">
      <x:c r="A1079" s="43" t="str">
        <x:v>L2021-00042-1</x:v>
      </x:c>
      <x:c r="B1079" s="43" t="str">
        <x:v>연면적·면적</x:v>
      </x:c>
      <x:c r="C1079" s="46" t="str">
        <x:v>㎡</x:v>
      </x:c>
      <x:c r="D1079" s="46" t="str">
        <x:v>900 ㎡</x:v>
      </x:c>
      <x:c r="E1079" s="46" t="str"/>
      <x:c r="F1079" s="46" t="str"/>
      <x:c r="G1079" s="46" t="str">
        <x:v>L2021-00042-1/1.0 입찰안내서(영문).docx</x:v>
      </x:c>
      <x:c r="H1079" s="43" t="str">
        <x:v>문단 109</x:v>
      </x:c>
      <x:c r="I1079" s="46" t="str">
        <x:v>The Bidder shall have participated in Supervision or Construction or Detailed Design in at least One (1) Hangar or/and Similar Projects with at least 900㎡ that have been successfully completed in Paraguay within last 12 years.</x:v>
      </x:c>
      <x:c r="J1079" s="43" t="str">
        <x:v>자동추출·검토필요</x:v>
      </x:c>
    </x:row>
    <x:row r="1080">
      <x:c r="A1080" s="43" t="str">
        <x:v>L2021-00042-1</x:v>
      </x:c>
      <x:c r="B1080" s="43" t="str">
        <x:v>연면적·면적</x:v>
      </x:c>
      <x:c r="C1080" s="46" t="str">
        <x:v>㎡</x:v>
      </x:c>
      <x:c r="D1080" s="46" t="str">
        <x:v>900 ㎡</x:v>
      </x:c>
      <x:c r="E1080" s="46" t="str"/>
      <x:c r="F1080" s="46" t="str"/>
      <x:c r="G1080" s="46" t="str">
        <x:v>L2021-00042-1/1.0 입찰안내서(영문).docx</x:v>
      </x:c>
      <x:c r="H1080" s="43" t="str">
        <x:v>표 4 행 7</x:v>
      </x:c>
      <x:c r="I1080" s="46" t="str">
        <x:v>3-3 | Experience Proof Documents | The Bidder shall have participated in Supervision or Construction or Detailed Design in at least One (1) Hangar or/and Similar Projects with at least 900㎡ that have been successfully completed in Paraguay within last 12 years. In the case of public institution performance, the client's performance certificate required, and in the case of private sector performance, the client's performance certificate and contract submission required.</x:v>
      </x:c>
      <x:c r="J1080" s="43" t="str">
        <x:v>자동추출·검토필요</x:v>
      </x:c>
    </x:row>
    <x:row r="1081">
      <x:c r="A1081" s="43" t="str">
        <x:v>L2021-00042-1</x:v>
      </x:c>
      <x:c r="B1081" s="43" t="str">
        <x:v>연면적·면적</x:v>
      </x:c>
      <x:c r="C1081" s="46" t="str">
        <x:v>㎡</x:v>
      </x:c>
      <x:c r="D1081" s="46" t="str">
        <x:v>900 ㎡</x:v>
      </x:c>
      <x:c r="E1081" s="46" t="str"/>
      <x:c r="F1081" s="46" t="str"/>
      <x:c r="G1081" s="46" t="str">
        <x:v>L2021-00042-1/1.0 입찰안내서(영문).docx</x:v>
      </x:c>
      <x:c r="H1081" s="43" t="str">
        <x:v>표 4 행 12</x:v>
      </x:c>
      <x:c r="I1081" s="46" t="str">
        <x:v>4-1 | Technical Proposal #1 (Quantitative) | Performance Record Experience in Supervision or Construction or Detailed Design of Hangar or/and Similar Projects with at least 900㎡ for last 12 years from the date of the bidding announcement. Copy of contract or certificate of invoice of last progress payment of the contract issued by the Employer. If applicable, submit the confirmation of transaction issued by the Employer (private or corporation) Financial Status with Auditor’s Report (FY2018-FY2020) issued by Ministry of Treasury Submit the notarized documents by a registered accountant</x:v>
      </x:c>
      <x:c r="J1081" s="43" t="str">
        <x:v>자동추출·검토필요</x:v>
      </x:c>
    </x:row>
    <x:row r="1082">
      <x:c r="A1082" s="43" t="str">
        <x:v>L2021-00042-1</x:v>
      </x:c>
      <x:c r="B1082" s="43" t="str">
        <x:v>연면적·면적</x:v>
      </x:c>
      <x:c r="C1082" s="46" t="str">
        <x:v>floor area, ㎡</x:v>
      </x:c>
      <x:c r="D1082" s="46" t="str">
        <x:v>900 ㎡</x:v>
      </x:c>
      <x:c r="E1082" s="46" t="str"/>
      <x:c r="F1082" s="46" t="str"/>
      <x:c r="G1082" s="46" t="str">
        <x:v>L2021-00042-1/1.0 입찰안내서(영문).docx</x:v>
      </x:c>
      <x:c r="H1082" s="43" t="str">
        <x:v>표 7 행 4</x:v>
      </x:c>
      <x:c r="I1082" s="46" t="str">
        <x:v>Project Performance (6 Points) | Sum of floor area for the experience in Supervision or Construction or Detailed Design of Hangar or/and Similar Projects with at least 900㎡for last 12 years | 6 | 10</x:v>
      </x:c>
      <x:c r="J1082" s="43" t="str">
        <x:v>자동추출·검토필요</x:v>
      </x:c>
    </x:row>
    <x:row r="1083">
      <x:c r="A1083" s="43" t="str">
        <x:v>L2021-00042-1</x:v>
      </x:c>
      <x:c r="B1083" s="43" t="str">
        <x:v>연면적·면적</x:v>
      </x:c>
      <x:c r="C1083" s="46" t="str">
        <x:v>floor area, ㎡</x:v>
      </x:c>
      <x:c r="D1083" s="46" t="str">
        <x:v>900 ㎡ | 900 ㎡</x:v>
      </x:c>
      <x:c r="E1083" s="46" t="str"/>
      <x:c r="F1083" s="46" t="str"/>
      <x:c r="G1083" s="46" t="str">
        <x:v>L2021-00042-1/1.0 입찰안내서(영문).docx</x:v>
      </x:c>
      <x:c r="H1083" s="43" t="str">
        <x:v>표 9 행 2</x:v>
      </x:c>
      <x:c r="I1083" s="46" t="str">
        <x:v>Project Experience for last 12 years (6 Points) | Sum of gross floor Area (G.A) for the experience in Supervision or Construction or Detailed Design of Hangar or/and Similar Projects with at least 900㎡for last 12 years | Greater than or equal to 900 ㎡ | 6.0 |</x:v>
      </x:c>
      <x:c r="J1083" s="43" t="str">
        <x:v>자동추출·검토필요</x:v>
      </x:c>
    </x:row>
    <x:row r="1084">
      <x:c r="A1084" s="43" t="str">
        <x:v>L2021-00042-1</x:v>
      </x:c>
      <x:c r="B1084" s="43" t="str">
        <x:v>연면적·면적</x:v>
      </x:c>
      <x:c r="C1084" s="46" t="str">
        <x:v>floor area, ㎡</x:v>
      </x:c>
      <x:c r="D1084" s="46" t="str">
        <x:v>900 ㎡ | 800 ㎡ | 900 ㎡</x:v>
      </x:c>
      <x:c r="E1084" s="46" t="str"/>
      <x:c r="F1084" s="46" t="str"/>
      <x:c r="G1084" s="46" t="str">
        <x:v>L2021-00042-1/1.0 입찰안내서(영문).docx</x:v>
      </x:c>
      <x:c r="H1084" s="43" t="str">
        <x:v>표 9 행 3</x:v>
      </x:c>
      <x:c r="I1084" s="46" t="str">
        <x:v>Project Experience for last 12 years (6 Points) | Sum of gross floor Area (G.A) for the experience in Supervision or Construction or Detailed Design of Hangar or/and Similar Projects with at least 900㎡for last 12 years | 800㎡≤ G.A &lt;900㎡ | 5.55 |</x:v>
      </x:c>
      <x:c r="J1084" s="43" t="str">
        <x:v>자동추출·검토필요</x:v>
      </x:c>
    </x:row>
    <x:row r="1085">
      <x:c r="A1085" s="43" t="str">
        <x:v>L2021-00042-1</x:v>
      </x:c>
      <x:c r="B1085" s="43" t="str">
        <x:v>연면적·면적</x:v>
      </x:c>
      <x:c r="C1085" s="46" t="str">
        <x:v>floor area, ㎡</x:v>
      </x:c>
      <x:c r="D1085" s="46" t="str">
        <x:v>900 ㎡ | 700 ㎡ | 800 ㎡</x:v>
      </x:c>
      <x:c r="E1085" s="46" t="str"/>
      <x:c r="F1085" s="46" t="str"/>
      <x:c r="G1085" s="46" t="str">
        <x:v>L2021-00042-1/1.0 입찰안내서(영문).docx</x:v>
      </x:c>
      <x:c r="H1085" s="43" t="str">
        <x:v>표 9 행 4</x:v>
      </x:c>
      <x:c r="I1085" s="46" t="str">
        <x:v>Project Experience for last 12 years (6 Points) | Sum of gross floor Area (G.A) for the experience in Supervision or Construction or Detailed Design of Hangar or/and Similar Projects with at least 900㎡for last 12 years | 700㎡≤ G.A &lt;800㎡ | 5.10 |</x:v>
      </x:c>
      <x:c r="J1085" s="43" t="str">
        <x:v>자동추출·검토필요</x:v>
      </x:c>
    </x:row>
    <x:row r="1086">
      <x:c r="A1086" s="43" t="str">
        <x:v>L2021-00042-1</x:v>
      </x:c>
      <x:c r="B1086" s="43" t="str">
        <x:v>연면적·면적</x:v>
      </x:c>
      <x:c r="C1086" s="46" t="str">
        <x:v>floor area, ㎡</x:v>
      </x:c>
      <x:c r="D1086" s="46" t="str">
        <x:v>900 ㎡ | 600 ㎡ | 700 ㎡</x:v>
      </x:c>
      <x:c r="E1086" s="46" t="str"/>
      <x:c r="F1086" s="46" t="str"/>
      <x:c r="G1086" s="46" t="str">
        <x:v>L2021-00042-1/1.0 입찰안내서(영문).docx</x:v>
      </x:c>
      <x:c r="H1086" s="43" t="str">
        <x:v>표 9 행 5</x:v>
      </x:c>
      <x:c r="I1086" s="46" t="str">
        <x:v>Project Experience for last 12 years (6 Points) | Sum of gross floor Area (G.A) for the experience in Supervision or Construction or Detailed Design of Hangar or/and Similar Projects with at least 900㎡for last 12 years | 600㎡≤ G.A &lt;700㎡ | 4.65 |</x:v>
      </x:c>
      <x:c r="J1086" s="43" t="str">
        <x:v>자동추출·검토필요</x:v>
      </x:c>
    </x:row>
    <x:row r="1087">
      <x:c r="A1087" s="43" t="str">
        <x:v>L2021-00042-1</x:v>
      </x:c>
      <x:c r="B1087" s="43" t="str">
        <x:v>연면적·면적</x:v>
      </x:c>
      <x:c r="C1087" s="46" t="str">
        <x:v>floor area, ㎡</x:v>
      </x:c>
      <x:c r="D1087" s="46" t="str">
        <x:v>900 ㎡ | 600 ㎡</x:v>
      </x:c>
      <x:c r="E1087" s="46" t="str"/>
      <x:c r="F1087" s="46" t="str"/>
      <x:c r="G1087" s="46" t="str">
        <x:v>L2021-00042-1/1.0 입찰안내서(영문).docx</x:v>
      </x:c>
      <x:c r="H1087" s="43" t="str">
        <x:v>표 9 행 6</x:v>
      </x:c>
      <x:c r="I1087" s="46" t="str">
        <x:v>Project Experience for last 12 years (6 Points) | Sum of gross floor Area (G.A) for the experience in Supervision or Construction or Detailed Design of Hangar or/and Similar Projects with at least 900㎡for last 12 years | Below 600㎡ | 4.20 |</x:v>
      </x:c>
      <x:c r="J1087" s="43" t="str">
        <x:v>자동추출·검토필요</x:v>
      </x:c>
    </x:row>
    <x:row r="1088">
      <x:c r="A1088" s="43" t="str">
        <x:v>L2021-00037-1</x:v>
      </x:c>
      <x:c r="B1088" s="43" t="str">
        <x:v>연면적·면적</x:v>
      </x:c>
      <x:c r="C1088" s="46" t="str">
        <x:v>floor area</x:v>
      </x:c>
      <x:c r="D1088" s="46" t="str">
        <x:v>1,325.32 m2</x:v>
      </x:c>
      <x:c r="E1088" s="46" t="str"/>
      <x:c r="F1088" s="46" t="str"/>
      <x:c r="G1088" s="46" t="str">
        <x:v>L2021-00037-1/00. Bid announcemet(20.11.04)_(Maternal &amp; Child Health)_REV.2.docx</x:v>
      </x:c>
      <x:c r="H1088" s="43" t="str">
        <x:v>문단 18</x:v>
      </x:c>
      <x:c r="I1088" s="46" t="str">
        <x:v>- Gross Floor Area: approx. 1,325.32 m2</x:v>
      </x:c>
      <x:c r="J1088" s="43" t="str">
        <x:v>자동추출·검토필요</x:v>
      </x:c>
    </x:row>
    <x:row r="1089">
      <x:c r="A1089" s="43" t="str">
        <x:v>L2021-00037-1</x:v>
      </x:c>
      <x:c r="B1089" s="43" t="str">
        <x:v>연면적·면적</x:v>
      </x:c>
      <x:c r="C1089" s="46" t="str">
        <x:v>floor area, building area</x:v>
      </x:c>
      <x:c r="D1089" s="46" t="str">
        <x:v>66,209.28 m2 | 1,325.32 m2 | 1,325.32 m2</x:v>
      </x:c>
      <x:c r="E1089" s="46" t="str"/>
      <x:c r="F1089" s="46" t="str"/>
      <x:c r="G1089" s="46" t="str">
        <x:v>L2021-00037-1/3. Bid Document-1_(21.11.04_Maternal &amp; Child Health).docx</x:v>
      </x:c>
      <x:c r="H1089" s="43" t="str">
        <x:v>표 17 행 5</x:v>
      </x:c>
      <x:c r="I1089" s="46" t="str">
        <x:v>| ▪ New Construction ▪ Site Area: approx. 66,209.28 m2 | ▪ Building Area: approx. 1,325.32 m2 ▪ Gross Floor Area: approx. 1,325.32 m2</x:v>
      </x:c>
      <x:c r="J1089" s="43" t="str">
        <x:v>자동추출·검토필요</x:v>
      </x:c>
    </x:row>
    <x:row r="1090">
      <x:c r="A1090" s="43" t="str">
        <x:v>L2021-00037-1</x:v>
      </x:c>
      <x:c r="B1090" s="43" t="str">
        <x:v>연면적·면적</x:v>
      </x:c>
      <x:c r="C1090" s="46" t="str">
        <x:v>floor area, building area</x:v>
      </x:c>
      <x:c r="D1090" s="46" t="str">
        <x:v>66,209.28 sqm | 1,325.32 sqm | 1,325.32 sqm</x:v>
      </x:c>
      <x:c r="E1090" s="46" t="str"/>
      <x:c r="F1090" s="46" t="str"/>
      <x:c r="G1090" s="46" t="str">
        <x:v>L2021-00037-1/5. Pre-Bid Meeting_(21.11.04_Maternal &amp; Child Health).pdf</x:v>
      </x:c>
      <x:c r="H1090" s="43" t="str">
        <x:v>페이지 7</x:v>
      </x:c>
      <x:c r="I1090" s="46" t="str">
        <x:v>PROJECT TITLE - 2 Project for Strengthening Maternal and Child Health in North-Eastern Region, Cambodia Project. Location: Ratanakiri &amp; Mondulkiri Site Area: approx. 66,209.28 sqm. Total Building Area: approx. 1,325.32 sqm. Gross Floor Area: approx. 1,325.32 sqm. Program: - Electrical room - Generator room - Water Tank - Moto Parking - Delivery Room - Newborn Baby Room and etc. Summary of Contract Condition 1</x:v>
      </x:c>
      <x:c r="J1090" s="43" t="str">
        <x:v>자동추출·검토필요</x:v>
      </x:c>
    </x:row>
    <x:row r="1091">
      <x:c r="A1091" s="43" t="str">
        <x:v>L2021-00036-1</x:v>
      </x:c>
      <x:c r="B1091" s="43" t="str">
        <x:v>연면적·면적</x:v>
      </x:c>
      <x:c r="C1091" s="46" t="str">
        <x:v>㎡</x:v>
      </x:c>
      <x:c r="D1091" s="46" t="str">
        <x:v>900 ㎡</x:v>
      </x:c>
      <x:c r="E1091" s="46" t="str"/>
      <x:c r="F1091" s="46" t="str"/>
      <x:c r="G1091" s="46" t="str">
        <x:v>L2021-00036-1/[붙임] 입찰 서류_11.1.docx</x:v>
      </x:c>
      <x:c r="H1091" s="43" t="str">
        <x:v>문단 276</x:v>
      </x:c>
      <x:c r="I1091" s="46" t="str">
        <x:v>Site Area : 900㎡</x:v>
      </x:c>
      <x:c r="J1091" s="43" t="str">
        <x:v>자동추출·검토필요</x:v>
      </x:c>
    </x:row>
    <x:row r="1092">
      <x:c r="A1092" s="43" t="str">
        <x:v>L2021-00036-1</x:v>
      </x:c>
      <x:c r="B1092" s="43" t="str">
        <x:v>연면적·면적</x:v>
      </x:c>
      <x:c r="C1092" s="46" t="str">
        <x:v>floor area, ㎡</x:v>
      </x:c>
      <x:c r="D1092" s="46" t="str">
        <x:v>487 ㎡</x:v>
      </x:c>
      <x:c r="E1092" s="46" t="str"/>
      <x:c r="F1092" s="46" t="str"/>
      <x:c r="G1092" s="46" t="str">
        <x:v>L2021-00036-1/[붙임] 입찰 서류_11.1.docx</x:v>
      </x:c>
      <x:c r="H1092" s="43" t="str">
        <x:v>문단 277</x:v>
      </x:c>
      <x:c r="I1092" s="46" t="str">
        <x:v>Gross Floor Area : 487㎡</x:v>
      </x:c>
      <x:c r="J1092" s="43" t="str">
        <x:v>자동추출·검토필요</x:v>
      </x:c>
    </x:row>
    <x:row r="1093">
      <x:c r="A1093" s="43" t="str">
        <x:v>L2021-00031-1</x:v>
      </x:c>
      <x:c r="B1093" s="43" t="str">
        <x:v>연면적·면적</x:v>
      </x:c>
      <x:c r="C1093" s="46" t="str">
        <x:v>floor area</x:v>
      </x:c>
      <x:c r="D1093" s="46" t="str">
        <x:v>2,349.20 m2</x:v>
      </x:c>
      <x:c r="E1093" s="46" t="str"/>
      <x:c r="F1093" s="46" t="str"/>
      <x:c r="G1093" s="46" t="str">
        <x:v>L2021-00031-1/2. Chapters/Chapter 1. Invitation for Pre-Qualification_1020.docx</x:v>
      </x:c>
      <x:c r="H1093" s="43" t="str">
        <x:v>표 2 행 7</x:v>
      </x:c>
      <x:c r="I1093" s="46" t="str">
        <x:v>- Gross Floor Area | 2,349.20 m2 (25,286.60 Sq.ft)</x:v>
      </x:c>
      <x:c r="J1093" s="43" t="str">
        <x:v>자동추출·검토필요</x:v>
      </x:c>
    </x:row>
    <x:row r="1094">
      <x:c r="A1094" s="43" t="str">
        <x:v>L2021-00031-1</x:v>
      </x:c>
      <x:c r="B1094" s="43" t="str">
        <x:v>연면적·면적</x:v>
      </x:c>
      <x:c r="C1094" s="46" t="str">
        <x:v>floor area, m²</x:v>
      </x:c>
      <x:c r="D1094" s="46" t="str">
        <x:v>1,000 m²</x:v>
      </x:c>
      <x:c r="E1094" s="46" t="str">
        <x:v>USD 1 million</x:v>
      </x:c>
      <x:c r="F1094" s="46" t="str"/>
      <x:c r="G1094" s="46" t="str">
        <x:v>L2021-00031-1/2. Chapters/Chapter 8. Safety Management Manual(ENG).pdf</x:v>
      </x:c>
      <x:c r="H1094" s="43" t="str">
        <x:v>페이지 6</x:v>
      </x:c>
      <x:c r="I1094" s="46" t="str">
        <x:v>CHAPTER 1 General Conditions 1. Purpose The purpose of these guidelines is to systematically set out the roles and scope of work for the KOICA, architects, construction managers, contractors, etc. through all stages from the planning stage for the construction project by KOICA to construction completion and to publish and disseminate a manual regarding the safety management work throughout the construction. 2. Scope of Application A. This manual shall be applied to construction projects corresponding to one or more of the following criteria which are required to devise safety management plans such as safety inspections and safety management organizations to secure safety under Article 62 of the Construction Technology Promotion Act. 1) Projects containing constructions with a budget of USD 1 million or more or with a gross floor area of 1,000 m² or more 2) Construction projects other than those in Paragraph 1 above, which are recognized explicitly by KOICA as requiring safety management B. KOICA may separately determine matters other than those prescribed in this manual in connection with the safety management work of those participating in the safety management of a construction p</x:v>
      </x:c>
      <x:c r="J1094" s="43" t="str">
        <x:v>자동추출·검토필요</x:v>
      </x:c>
    </x:row>
    <x:row r="1095">
      <x:c r="A1095" s="43" t="str">
        <x:v>L2021-00031-1</x:v>
      </x:c>
      <x:c r="B1095" s="43" t="str">
        <x:v>연면적·면적</x:v>
      </x:c>
      <x:c r="C1095" s="46" t="str">
        <x:v>㎡</x:v>
      </x:c>
      <x:c r="D1095" s="46" t="str">
        <x:v>4,094.98 ㎡</x:v>
      </x:c>
      <x:c r="E1095" s="46" t="str"/>
      <x:c r="F1095" s="46" t="str"/>
      <x:c r="G1095" s="46" t="str">
        <x:v>L2021-00031-1/붙임1. 태양전지 인증시험소 시공업체 선정 국문 입찰계획안_최종.hwp</x:v>
      </x:c>
      <x:c r="H1095" s="43" t="str">
        <x:v>문단 64</x:v>
      </x:c>
      <x:c r="I1095" s="46" t="str">
        <x:v>4,094.98㎡ (44,078.00 sq.ft)</x:v>
      </x:c>
      <x:c r="J1095" s="43" t="str">
        <x:v>자동추출·검토필요</x:v>
      </x:c>
    </x:row>
    <x:row r="1096">
      <x:c r="A1096" s="43" t="str">
        <x:v>L2021-00031-1</x:v>
      </x:c>
      <x:c r="B1096" s="43" t="str">
        <x:v>연면적·면적</x:v>
      </x:c>
      <x:c r="C1096" s="46" t="str">
        <x:v>㎡</x:v>
      </x:c>
      <x:c r="D1096" s="46" t="str">
        <x:v>2,349.20 ㎡</x:v>
      </x:c>
      <x:c r="E1096" s="46" t="str"/>
      <x:c r="F1096" s="46" t="str"/>
      <x:c r="G1096" s="46" t="str">
        <x:v>L2021-00031-1/붙임1. 태양전지 인증시험소 시공업체 선정 국문 입찰계획안_최종.hwp</x:v>
      </x:c>
      <x:c r="H1096" s="43" t="str">
        <x:v>문단 66</x:v>
      </x:c>
      <x:c r="I1096" s="46" t="str">
        <x:v>2,349.20㎡ (25,286.60 sq.ft)</x:v>
      </x:c>
      <x:c r="J1096" s="43" t="str">
        <x:v>자동추출·검토필요</x:v>
      </x:c>
    </x:row>
    <x:row r="1097">
      <x:c r="A1097" s="43" t="str">
        <x:v>L2021-00030-1</x:v>
      </x:c>
      <x:c r="B1097" s="43" t="str">
        <x:v>연면적·면적</x:v>
      </x:c>
      <x:c r="C1097" s="46" t="str">
        <x:v>㎡</x:v>
      </x:c>
      <x:c r="D1097" s="46" t="str">
        <x:v>4,494.92 ㎡</x:v>
      </x:c>
      <x:c r="E1097" s="46" t="str"/>
      <x:c r="F1097" s="46" t="str"/>
      <x:c r="G1097" s="46" t="str">
        <x:v>L2021-00030-1/0 Bidding Guideline for Construction Contractor_Hangar.docx</x:v>
      </x:c>
      <x:c r="H1097" s="43" t="str">
        <x:v>문단 90</x:v>
      </x:c>
      <x:c r="I1097" s="46" t="str">
        <x:v>Site area: 4,494.92㎡</x:v>
      </x:c>
      <x:c r="J1097" s="43" t="str">
        <x:v>자동추출·검토필요</x:v>
      </x:c>
    </x:row>
    <x:row r="1098">
      <x:c r="A1098" s="43" t="str">
        <x:v>L2021-00030-1</x:v>
      </x:c>
      <x:c r="B1098" s="43" t="str">
        <x:v>연면적·면적</x:v>
      </x:c>
      <x:c r="C1098" s="46" t="str">
        <x:v>floor area, ㎡</x:v>
      </x:c>
      <x:c r="D1098" s="46" t="str">
        <x:v>945 ㎡</x:v>
      </x:c>
      <x:c r="E1098" s="46" t="str"/>
      <x:c r="F1098" s="46" t="str"/>
      <x:c r="G1098" s="46" t="str">
        <x:v>L2021-00030-1/0 Bidding Guideline for Construction Contractor_Hangar.docx</x:v>
      </x:c>
      <x:c r="H1098" s="43" t="str">
        <x:v>문단 92</x:v>
      </x:c>
      <x:c r="I1098" s="46" t="str">
        <x:v>Gross floor area: 945㎡ + Apron and Access Road</x:v>
      </x:c>
      <x:c r="J1098" s="43" t="str">
        <x:v>자동추출·검토필요</x:v>
      </x:c>
    </x:row>
    <x:row r="1099">
      <x:c r="A1099" s="43" t="str">
        <x:v>L2021-00030-1</x:v>
      </x:c>
      <x:c r="B1099" s="43" t="str">
        <x:v>연면적·면적</x:v>
      </x:c>
      <x:c r="C1099" s="46" t="str">
        <x:v>floor area, ㎡</x:v>
      </x:c>
      <x:c r="D1099" s="46" t="str">
        <x:v>4,494.92 ㎡ | 945 ㎡</x:v>
      </x:c>
      <x:c r="E1099" s="46" t="str"/>
      <x:c r="F1099" s="46" t="str"/>
      <x:c r="G1099" s="46" t="str">
        <x:v>L2021-00030-1/1.0 Section I. Invitation for Bids_Hangar_Contractor.docx</x:v>
      </x:c>
      <x:c r="H1099" s="43" t="str">
        <x:v>표 2 행 4</x:v>
      </x:c>
      <x:c r="I1099" s="46" t="str">
        <x:v>Scope of Work | New Building Site area: 4,494.92㎡ Gross floor area: Hangar 945㎡ + Apron and Access Road Office: 2 stories – Reinforced Concrete Structure Hangar: Steel Structure Main function: Hangar, training</x:v>
      </x:c>
      <x:c r="J1099" s="43" t="str">
        <x:v>자동추출·검토필요</x:v>
      </x:c>
    </x:row>
    <x:row r="1100">
      <x:c r="A1100" s="43" t="str">
        <x:v>L2021-00030-1</x:v>
      </x:c>
      <x:c r="B1100" s="43" t="str">
        <x:v>연면적·면적</x:v>
      </x:c>
      <x:c r="C1100" s="46" t="str">
        <x:v>㎡</x:v>
      </x:c>
      <x:c r="D1100" s="46" t="str">
        <x:v>4,494.92 ㎡</x:v>
      </x:c>
      <x:c r="E1100" s="46" t="str"/>
      <x:c r="F1100" s="46" t="str"/>
      <x:c r="G1100" s="46" t="str">
        <x:v>L2021-00030-1/4.0 Section IV. Scope of Works_Hangar_Contractor.docx</x:v>
      </x:c>
      <x:c r="H1100" s="43" t="str">
        <x:v>문단 16</x:v>
      </x:c>
      <x:c r="I1100" s="46" t="str">
        <x:v>Site area: 4,494.92㎡</x:v>
      </x:c>
      <x:c r="J1100" s="43" t="str">
        <x:v>자동추출·검토필요</x:v>
      </x:c>
    </x:row>
    <x:row r="1101">
      <x:c r="A1101" s="43" t="str">
        <x:v>L2021-00030-1</x:v>
      </x:c>
      <x:c r="B1101" s="43" t="str">
        <x:v>연면적·면적</x:v>
      </x:c>
      <x:c r="C1101" s="46" t="str">
        <x:v>floor area, ㎡</x:v>
      </x:c>
      <x:c r="D1101" s="46" t="str">
        <x:v>945 ㎡</x:v>
      </x:c>
      <x:c r="E1101" s="46" t="str"/>
      <x:c r="F1101" s="46" t="str"/>
      <x:c r="G1101" s="46" t="str">
        <x:v>L2021-00030-1/4.0 Section IV. Scope of Works_Hangar_Contractor.docx</x:v>
      </x:c>
      <x:c r="H1101" s="43" t="str">
        <x:v>문단 18</x:v>
      </x:c>
      <x:c r="I1101" s="46" t="str">
        <x:v>Gross floor area: 945㎡ + Apron and Access Road</x:v>
      </x:c>
      <x:c r="J1101" s="43" t="str">
        <x:v>자동추출·검토필요</x:v>
      </x:c>
    </x:row>
    <x:row r="1102">
      <x:c r="A1102" s="43" t="str">
        <x:v>L2021-00030-1</x:v>
      </x:c>
      <x:c r="B1102" s="43" t="str">
        <x:v>연면적·면적</x:v>
      </x:c>
      <x:c r="C1102" s="46" t="str">
        <x:v>연면적, ㎡</x:v>
      </x:c>
      <x:c r="D1102" s="46" t="str">
        <x:v>1,000 ㎡</x:v>
      </x:c>
      <x:c r="E1102" s="46" t="str"/>
      <x:c r="F1102" s="46" t="str"/>
      <x:c r="G1102" s="46" t="str">
        <x:v>L2021-00030-1/파라과이 항공교육센터 격납고_시공 입찰계획서.hwp</x:v>
      </x:c>
      <x:c r="H1102" s="43" t="str">
        <x:v>문단 40</x:v>
      </x:c>
      <x:c r="I1102" s="46" t="str">
        <x:v>ㅇ 안전관리비(연면적 1,000㎡ 이상 또는 KOICA가 필요하다고 인정하는 건설공사)</x:v>
      </x:c>
      <x:c r="J1102" s="43" t="str">
        <x:v>자동추출·검토필요</x:v>
      </x:c>
    </x:row>
    <x:row r="1103">
      <x:c r="A1103" s="43" t="str">
        <x:v>L2021-00030-1</x:v>
      </x:c>
      <x:c r="B1103" s="43" t="str">
        <x:v>연면적·면적</x:v>
      </x:c>
      <x:c r="C1103" s="46" t="str">
        <x:v>대지면적</x:v>
      </x:c>
      <x:c r="D1103" s="46" t="str">
        <x:v>4,494.92 m2</x:v>
      </x:c>
      <x:c r="E1103" s="46" t="str"/>
      <x:c r="F1103" s="46" t="str"/>
      <x:c r="G1103" s="46" t="str">
        <x:v>L2021-00030-1/파라과이 항공교육센터 격납고_시공 입찰계획서.hwp</x:v>
      </x:c>
      <x:c r="H1103" s="43" t="str">
        <x:v>문단 53</x:v>
      </x:c>
      <x:c r="I1103" s="46" t="str">
        <x:v>ㅇ 대지면적 : 4,494.92m2</x:v>
      </x:c>
      <x:c r="J1103" s="43" t="str">
        <x:v>자동추출·검토필요</x:v>
      </x:c>
    </x:row>
    <x:row r="1104">
      <x:c r="A1104" s="43" t="str">
        <x:v>L2021-00030-1</x:v>
      </x:c>
      <x:c r="B1104" s="43" t="str">
        <x:v>연면적·면적</x:v>
      </x:c>
      <x:c r="C1104" s="46" t="str">
        <x:v>연면적</x:v>
      </x:c>
      <x:c r="D1104" s="46" t="str">
        <x:v>945 m2</x:v>
      </x:c>
      <x:c r="E1104" s="46" t="str"/>
      <x:c r="F1104" s="46" t="str"/>
      <x:c r="G1104" s="46" t="str">
        <x:v>L2021-00030-1/파라과이 항공교육센터 격납고_시공 입찰계획서.hwp</x:v>
      </x:c>
      <x:c r="H1104" s="43" t="str">
        <x:v>문단 55</x:v>
      </x:c>
      <x:c r="I1104" s="46" t="str">
        <x:v>- 신축 : ① 연면적 945m2 ② 격납고 철골조 + 사무동 지상 2층 철근 콘크리트조 + Apron 및 Access Road ③ 주요시설 : 격납고(비행기 3대) 및 사무실 포함 신축</x:v>
      </x:c>
      <x:c r="J1104" s="43" t="str">
        <x:v>자동추출·검토필요</x:v>
      </x:c>
    </x:row>
    <x:row r="1105">
      <x:c r="A1105" s="43" t="str">
        <x:v>L2021-00029-1</x:v>
      </x:c>
      <x:c r="B1105" s="43" t="str">
        <x:v>연면적·면적</x:v>
      </x:c>
      <x:c r="C1105" s="46" t="str">
        <x:v>연면적</x:v>
      </x:c>
      <x:c r="D1105" s="46" t="str">
        <x:v>1,120.30 M2 | 833.20 m2 | 287.10 m2</x:v>
      </x:c>
      <x:c r="E1105" s="46" t="str">
        <x:v>USD 953,460 | USD 929,600</x:v>
      </x:c>
      <x:c r="F1105" s="46" t="str">
        <x:v>97.5% | 0.5% | 86.745%</x:v>
      </x:c>
      <x:c r="G1105" s="46" t="str">
        <x:v>L2021-00029-1/국문 입찰계획서(Rev02).pdf</x:v>
      </x:c>
      <x:c r="H1105" s="43" t="str">
        <x:v>페이지 2</x:v>
      </x:c>
      <x:c r="I1105" s="46" t="str">
        <x:v>I. 시공업체 선정 입찰방안 - 옹벽공사, Site clearing, Paving, Gate, Fence 주차장 외 설계도서에 명기된 사항 1. 입찰 개요(입찰에 부치는 사항) - Landscape, 내.외부 Signage, Apron drain, Ramp 등 1.1. 입찰건명 : “네팔 보건 및 소득증대를 통한 통합적 농촌지역 역량간화사업“ 시공업체 - 외부 전기공사, 기계공사, 우수관로 공사 선정 현지 입찰 - 화단을 포함한 내부 조경공사 기타 관련된 공사. (The Construction of Outreach Center (ORC) for Empowering Rural Communities in Nepal through an integrated approach Health and Income growth. 1.2. 집행한도액 ○ 필요시 착공신고, 준공검사 등 시공 관련 인허가 사항 지원 1) 집행한도액: USD 953,460 (VAT 제외) ○ As-Built Drawings 및 Operation Manual (O&amp;M) 작성, 준공 후 하자보수 2) 기초금액 : USD 929,600 (VAT제외)/ 집행한도액의 97.5%적용 행정절차상 민원발생, 안전사고, 사업 참여자 및 주변인과의 분쟁 등 시공 시 3) 안전관리비 발생하는 모든 제반사항 ○ 안전관리비 비용 반영 의무 : 입찰금액의 0.5% 이상 ○ 안전관리비 사용계획서 제출 및 분기별(3개월) 정산보고 의무 ○ 제외공사(수원국 공사범위 기타) - 전기 인입공사(공사용) 부가가치세와 관련하여 KOICA는 동 입찰 및 계약에 대해 발생하는 VAT포함 그 어떠한 세 - 전화, 인터넷 인입공사(공사용) 금과 관련해서도 아무런 권한이나 책임이 없으며, 주재국의 법규에 따라 세금징수 및 환급 - 급수 및 오수라인 및 진입도로(공사용) 과 관련한 책임기관은 재무부(Ministry of Finance)이다. - 가구 및 각종 비품 * VAT는 시공사에서 선 납부 후 네팔 국세청에서 환급 1.3 계약방식 : 총액 계약방식 (Lump-sum Contract) 2. 입찰방법 및 낙찰자 선정방법 1.4 계약기간 : 계약일로부터 16개월(계약체결 후 14일이내 착공 ) 2.1 입찰방법 : (긴급)국제입찰, 일반경쟁입찰 ○ Puttar현장 공사기간 : 계약체결일로부터 16개월 ○ 긴급입찰사유 : 국가계약법 시행령 제4항 제1의2호 : ”국가의 재정정책 상 예산의 조 ○ Hind</x:v>
      </x:c>
      <x:c r="J1105" s="43" t="str">
        <x:v>자동추출·검토필요</x:v>
      </x:c>
    </x:row>
    <x:row r="1106">
      <x:c r="A1106" s="43" t="str">
        <x:v>L2021-00029-1</x:v>
      </x:c>
      <x:c r="B1106" s="43" t="str">
        <x:v>연면적·면적</x:v>
      </x:c>
      <x:c r="C1106" s="46" t="str">
        <x:v>floor area</x:v>
      </x:c>
      <x:c r="D1106" s="46" t="str">
        <x:v>948.45 m2 | 566.9 m2 | 381.55 m2 | 1,120.30 m2</x:v>
      </x:c>
      <x:c r="E1106" s="46" t="str">
        <x:v>USD 929,600</x:v>
      </x:c>
      <x:c r="F1106" s="46" t="str"/>
      <x:c r="G1106" s="46" t="str">
        <x:v>L2021-00029-1/네팔 ORC시공업체선정 영문 RFP.pdf</x:v>
      </x:c>
      <x:c r="H1106" s="43" t="str">
        <x:v>페이지 3</x:v>
      </x:c>
      <x:c r="I1106" s="46" t="str">
        <x:v>1.SUMMARY OF PROJECT: 1.1 Project Summary The Construction of Outreach Center(ORC) for Empowering Bid Title Rural Communities in Nepal through an integrated approach to Health and income Growth Summary of Construction Site Area 948.45m2 (Puttar -566.9m2/Hindi -381.55m2) Total Gross Floor Area 1,120.30m2 Floors 1~2 Floors Structure Reinforced Concrete (RC) Tanahun District in Province-4/Bhotekoshi Rural Municipality Location Ward 4(2places) Duration 16 months and 14months from contract signing date Construction Budget USD 929,600(VAT excluded) Type of Contract Fixed Lump Sum contract with Priced BOQ 1.2 Scope of Works: 1.2.1 The construction of ORC building as shown on the design documents such as Structural works, Architectural works, Plumbing, Sanitary and Mechanical works including Ventilation and Heating system, Electrical works, Communication works including telephone and internet, External works and others. (Drawing, Engineering calculation, Specifications, Bill of Quantity, Geotechnical investigation report). 1.2.2 External works; a) All the civil works including site leveling, site clearing, paving and others; b) Landscape and signboards, apron drain, Ramps etc. c) Outdoor f</x:v>
      </x:c>
      <x:c r="J1106" s="43" t="str">
        <x:v>자동추출·검토필요</x:v>
      </x:c>
    </x:row>
    <x:row r="1107">
      <x:c r="A1107" s="43" t="str">
        <x:v>L2021-00025-1</x:v>
      </x:c>
      <x:c r="B1107" s="43" t="str">
        <x:v>연면적·면적</x:v>
      </x:c>
      <x:c r="C1107" s="46" t="str">
        <x:v>floor area</x:v>
      </x:c>
      <x:c r="D1107" s="46" t="str">
        <x:v>1,325.32 m2</x:v>
      </x:c>
      <x:c r="E1107" s="46" t="str"/>
      <x:c r="F1107" s="46" t="str"/>
      <x:c r="G1107" s="46" t="str">
        <x:v>L2021-00025-1/2. Bid announcemet(20.08.27)_(Maternal &amp; Child Health)1.docx</x:v>
      </x:c>
      <x:c r="H1107" s="43" t="str">
        <x:v>문단 18</x:v>
      </x:c>
      <x:c r="I1107" s="46" t="str">
        <x:v>- Gross Floor Area: approx. 1,325.32 m2</x:v>
      </x:c>
      <x:c r="J1107" s="43" t="str">
        <x:v>자동추출·검토필요</x:v>
      </x:c>
    </x:row>
    <x:row r="1108">
      <x:c r="A1108" s="43" t="str">
        <x:v>L2021-00025-1</x:v>
      </x:c>
      <x:c r="B1108" s="43" t="str">
        <x:v>연면적·면적</x:v>
      </x:c>
      <x:c r="C1108" s="46" t="str">
        <x:v>floor area, building area</x:v>
      </x:c>
      <x:c r="D1108" s="46" t="str">
        <x:v>66,209.28 m2 | 1,325.32 m2 | 1,325.32 m2</x:v>
      </x:c>
      <x:c r="E1108" s="46" t="str"/>
      <x:c r="F1108" s="46" t="str"/>
      <x:c r="G1108" s="46" t="str">
        <x:v>L2021-00025-1/5. Bid Document-1_(20.08.27_Maternal &amp; Child Health).docx</x:v>
      </x:c>
      <x:c r="H1108" s="43" t="str">
        <x:v>표 17 행 5</x:v>
      </x:c>
      <x:c r="I1108" s="46" t="str">
        <x:v>| ▪ New Construction ▪ Site Area: approx. 66,209.28 m2 | ▪ Building Area: approx. 1,325.32 m2 ▪ Gross Floor Area: approx. 1,325.32 m2</x:v>
      </x:c>
      <x:c r="J1108" s="43" t="str">
        <x:v>자동추출·검토필요</x:v>
      </x:c>
    </x:row>
    <x:row r="1109">
      <x:c r="A1109" s="43" t="str">
        <x:v>L2021-00025-1</x:v>
      </x:c>
      <x:c r="B1109" s="43" t="str">
        <x:v>연면적·면적</x:v>
      </x:c>
      <x:c r="C1109" s="46" t="str">
        <x:v>floor area, building area</x:v>
      </x:c>
      <x:c r="D1109" s="46" t="str">
        <x:v>66,209.28 sqm | 1,325.32 sqm | 1,325.32 sqm</x:v>
      </x:c>
      <x:c r="E1109" s="46" t="str"/>
      <x:c r="F1109" s="46" t="str"/>
      <x:c r="G1109" s="46" t="str">
        <x:v>L2021-00025-1/7. Pre-Bid Meeting_(20.08.27_Maternal &amp; Child Health).pdf</x:v>
      </x:c>
      <x:c r="H1109" s="43" t="str">
        <x:v>페이지 7</x:v>
      </x:c>
      <x:c r="I1109" s="46" t="str">
        <x:v>PROJECT TITLE - 2 Project for Strengthening Maternal and Child Health in North-Eastern Region, Cambodia Project. Location: Ratanakiri &amp; Mondulkiri Site Area: approx. 66,209.28 sqm. Total Building Area: approx. 1,325.32 sqm. Gross Floor Area: approx. 1,325.32 sqm. Program: - Electrical room - Generator room - Water Tank - Moto Parking - Groundwater Development - Delivery Room - Newborn Baby Room and etc. Summary of Contract Condition 1</x:v>
      </x:c>
      <x:c r="J1109" s="43" t="str">
        <x:v>자동추출·검토필요</x:v>
      </x:c>
    </x:row>
    <x:row r="1110">
      <x:c r="A1110" s="43" t="str">
        <x:v>L2021-00019-1</x:v>
      </x:c>
      <x:c r="B1110" s="43" t="str">
        <x:v>연면적·면적</x:v>
      </x:c>
      <x:c r="C1110" s="46" t="str">
        <x:v>㎡</x:v>
      </x:c>
      <x:c r="D1110" s="46" t="str">
        <x:v>776 ㎡ | 791 ㎡</x:v>
      </x:c>
      <x:c r="E1110" s="46" t="str">
        <x:v>USD 88,965</x:v>
      </x:c>
      <x:c r="F1110" s="46" t="str">
        <x:v>5% | 5%</x:v>
      </x:c>
      <x:c r="G1110" s="46" t="str">
        <x:v>L2021-00019-1/02 라오스_RMNCH&amp;GENDER Bid Announcement Rev03 (20210528).doc</x:v>
      </x:c>
      <x:c r="H1110" s="43" t="str">
        <x:v>문단 4</x:v>
      </x:c>
      <x:c r="I1110" s="46" t="str">
        <x:v>2. Brief of Bidding Bid Title Design for Construction of RMNCH Training &amp; Nutrition Service Center (Luangnamtha) and LWU EVAW Center (Vientian), Lao PDR. Duration 4 Months Estimated Price USD 88,965 (Excluding V.A.T) Summary of Project Training &amp; Nutrition Service Center - GFA Approx. 776㎡± 5% - 2 stories - Reinforced Concrete Structure - Al. Window &amp; Glass Counselling Center for Prevention and Elimination of Violence Against Women - GFA: Approx. 791㎡ ±5% - 3 stories - Reinforced Concrete Structure - Al. Window &amp; Glass * KOICA will distribute the “ Design Instruction” in Pre Bid Meeting</x:v>
      </x:c>
      <x:c r="J1110" s="43" t="str">
        <x:v>자동추출·검토필요</x:v>
      </x:c>
    </x:row>
    <x:row r="1111">
      <x:c r="A1111" s="43" t="str">
        <x:v>L2021-00017-1</x:v>
      </x:c>
      <x:c r="B1111" s="43" t="str">
        <x:v>연면적·면적</x:v>
      </x:c>
      <x:c r="C1111" s="46" t="str">
        <x:v>㎡</x:v>
      </x:c>
      <x:c r="D1111" s="46" t="str">
        <x:v>6,070 ㎡</x:v>
      </x:c>
      <x:c r="E1111" s="46" t="str"/>
      <x:c r="F1111" s="46" t="str"/>
      <x:c r="G1111" s="46" t="str">
        <x:v>L2021-00017-1/붙임1. 건조농대 및 수자원센터 사후지원공사 입찰계획서_0505.hwp</x:v>
      </x:c>
      <x:c r="H1111" s="43" t="str">
        <x:v>문단 71</x:v>
      </x:c>
      <x:c r="I1111" s="46" t="str">
        <x:v>6,070㎡ (65,337 sq.ft)</x:v>
      </x:c>
      <x:c r="J1111" s="43" t="str">
        <x:v>자동추출·검토필요</x:v>
      </x:c>
    </x:row>
    <x:row r="1112">
      <x:c r="A1112" s="43" t="str">
        <x:v>L2021-00017-1</x:v>
      </x:c>
      <x:c r="B1112" s="43" t="str">
        <x:v>연면적·면적</x:v>
      </x:c>
      <x:c r="C1112" s="46" t="str">
        <x:v>㎡</x:v>
      </x:c>
      <x:c r="D1112" s="46" t="str">
        <x:v>7,688 ㎡</x:v>
      </x:c>
      <x:c r="E1112" s="46" t="str"/>
      <x:c r="F1112" s="46" t="str"/>
      <x:c r="G1112" s="46" t="str">
        <x:v>L2021-00017-1/붙임1. 건조농대 및 수자원센터 사후지원공사 입찰계획서_0505.hwp</x:v>
      </x:c>
      <x:c r="H1112" s="43" t="str">
        <x:v>문단 72</x:v>
      </x:c>
      <x:c r="I1112" s="46" t="str">
        <x:v>7,688㎡ (82,753 sq.ft)</x:v>
      </x:c>
      <x:c r="J1112" s="43" t="str">
        <x:v>자동추출·검토필요</x:v>
      </x:c>
    </x:row>
    <x:row r="1113">
      <x:c r="A1113" s="43" t="str">
        <x:v>L2021-00017-1</x:v>
      </x:c>
      <x:c r="B1113" s="43" t="str">
        <x:v>연면적·면적</x:v>
      </x:c>
      <x:c r="C1113" s="46" t="str">
        <x:v>㎡</x:v>
      </x:c>
      <x:c r="D1113" s="46" t="str">
        <x:v>3,555.03 ㎡</x:v>
      </x:c>
      <x:c r="E1113" s="46" t="str"/>
      <x:c r="F1113" s="46" t="str"/>
      <x:c r="G1113" s="46" t="str">
        <x:v>L2021-00017-1/붙임1. 건조농대 및 수자원센터 사후지원공사 입찰계획서_0505.hwp</x:v>
      </x:c>
      <x:c r="H1113" s="43" t="str">
        <x:v>문단 74</x:v>
      </x:c>
      <x:c r="I1113" s="46" t="str">
        <x:v>3,555.03㎡ (38,266 sq.ft)</x:v>
      </x:c>
      <x:c r="J1113" s="43" t="str">
        <x:v>자동추출·검토필요</x:v>
      </x:c>
    </x:row>
    <x:row r="1114">
      <x:c r="A1114" s="43" t="str">
        <x:v>L2021-00017-1</x:v>
      </x:c>
      <x:c r="B1114" s="43" t="str">
        <x:v>연면적·면적</x:v>
      </x:c>
      <x:c r="C1114" s="46" t="str">
        <x:v>㎡</x:v>
      </x:c>
      <x:c r="D1114" s="46" t="str">
        <x:v>2,707.47 ㎡</x:v>
      </x:c>
      <x:c r="E1114" s="46" t="str"/>
      <x:c r="F1114" s="46" t="str"/>
      <x:c r="G1114" s="46" t="str">
        <x:v>L2021-00017-1/붙임1. 건조농대 및 수자원센터 사후지원공사 입찰계획서_0505.hwp</x:v>
      </x:c>
      <x:c r="H1114" s="43" t="str">
        <x:v>문단 75</x:v>
      </x:c>
      <x:c r="I1114" s="46" t="str">
        <x:v>2,707.47㎡ (29,143 sq.ft)</x:v>
      </x:c>
      <x:c r="J1114" s="43" t="str">
        <x:v>자동추출·검토필요</x:v>
      </x:c>
    </x:row>
    <x:row r="1115">
      <x:c r="A1115" s="43" t="str">
        <x:v>L2021-00016-2</x:v>
      </x:c>
      <x:c r="B1115" s="43" t="str">
        <x:v>연면적·면적</x:v>
      </x:c>
      <x:c r="C1115" s="46" t="str">
        <x:v>대지면적, ㎡</x:v>
      </x:c>
      <x:c r="D1115" s="46" t="str">
        <x:v>66,209.28 ㎡</x:v>
      </x:c>
      <x:c r="E1115" s="46" t="str"/>
      <x:c r="F1115" s="46" t="str"/>
      <x:c r="G1115" s="46" t="str">
        <x:v>L2021-00016-2/1. 모자보건 입찰계획(최종)_입찰기간단축(적격+가격입찰).hwp</x:v>
      </x:c>
      <x:c r="H1115" s="43" t="str">
        <x:v>문단 60</x:v>
      </x:c>
      <x:c r="I1115" s="46" t="str">
        <x:v> 대지면적: 66,209.28㎡</x:v>
      </x:c>
      <x:c r="J1115" s="43" t="str">
        <x:v>자동추출·검토필요</x:v>
      </x:c>
    </x:row>
    <x:row r="1116">
      <x:c r="A1116" s="43" t="str">
        <x:v>L2021-00016-2</x:v>
      </x:c>
      <x:c r="B1116" s="43" t="str">
        <x:v>연면적·면적</x:v>
      </x:c>
      <x:c r="C1116" s="46" t="str">
        <x:v>건축면적, ㎡</x:v>
      </x:c>
      <x:c r="D1116" s="46" t="str">
        <x:v>1,325.32 ㎡</x:v>
      </x:c>
      <x:c r="E1116" s="46" t="str"/>
      <x:c r="F1116" s="46" t="str"/>
      <x:c r="G1116" s="46" t="str">
        <x:v>L2021-00016-2/1. 모자보건 입찰계획(최종)_입찰기간단축(적격+가격입찰).hwp</x:v>
      </x:c>
      <x:c r="H1116" s="43" t="str">
        <x:v>문단 61</x:v>
      </x:c>
      <x:c r="I1116" s="46" t="str">
        <x:v> 건축면적: 1,325.32㎡</x:v>
      </x:c>
      <x:c r="J1116" s="43" t="str">
        <x:v>자동추출·검토필요</x:v>
      </x:c>
    </x:row>
    <x:row r="1117">
      <x:c r="A1117" s="43" t="str">
        <x:v>L2021-00016-2</x:v>
      </x:c>
      <x:c r="B1117" s="43" t="str">
        <x:v>연면적·면적</x:v>
      </x:c>
      <x:c r="C1117" s="46" t="str">
        <x:v>㎡</x:v>
      </x:c>
      <x:c r="D1117" s="46" t="str">
        <x:v>1,325.32 ㎡</x:v>
      </x:c>
      <x:c r="E1117" s="46" t="str"/>
      <x:c r="F1117" s="46" t="str"/>
      <x:c r="G1117" s="46" t="str">
        <x:v>L2021-00016-2/1. 모자보건 입찰계획(최종)_입찰기간단축(적격+가격입찰).hwp</x:v>
      </x:c>
      <x:c r="H1117" s="43" t="str">
        <x:v>문단 62</x:v>
      </x:c>
      <x:c r="I1117" s="46" t="str">
        <x:v> 연 면 적: 1,325.32㎡</x:v>
      </x:c>
      <x:c r="J1117" s="43" t="str">
        <x:v>자동추출·검토필요</x:v>
      </x:c>
    </x:row>
    <x:row r="1118">
      <x:c r="A1118" s="43" t="str">
        <x:v>L2021-00016-2</x:v>
      </x:c>
      <x:c r="B1118" s="43" t="str">
        <x:v>연면적·면적</x:v>
      </x:c>
      <x:c r="C1118" s="46" t="str">
        <x:v>floor area</x:v>
      </x:c>
      <x:c r="D1118" s="46" t="str">
        <x:v>1,325.32 m2</x:v>
      </x:c>
      <x:c r="E1118" s="46" t="str"/>
      <x:c r="F1118" s="46" t="str"/>
      <x:c r="G1118" s="46" t="str">
        <x:v>L2021-00016-2/2. Bid announcemet_(Maternal &amp; Child Health).docx</x:v>
      </x:c>
      <x:c r="H1118" s="43" t="str">
        <x:v>문단 17</x:v>
      </x:c>
      <x:c r="I1118" s="46" t="str">
        <x:v>- Gross Floor Area: approx. 1,325.32 m2</x:v>
      </x:c>
      <x:c r="J1118" s="43" t="str">
        <x:v>자동추출·검토필요</x:v>
      </x:c>
    </x:row>
    <x:row r="1119">
      <x:c r="A1119" s="43" t="str">
        <x:v>L2021-00016-1</x:v>
      </x:c>
      <x:c r="B1119" s="43" t="str">
        <x:v>연면적·면적</x:v>
      </x:c>
      <x:c r="C1119" s="46" t="str">
        <x:v>floor area</x:v>
      </x:c>
      <x:c r="D1119" s="46" t="str">
        <x:v>1,325.32 m2</x:v>
      </x:c>
      <x:c r="E1119" s="46" t="str">
        <x:v>USD 1,022,588</x:v>
      </x:c>
      <x:c r="F1119" s="46" t="str">
        <x:v>2.5%</x:v>
      </x:c>
      <x:c r="G1119" s="46" t="str">
        <x:v>L2021-00016-1/캄보디아 동북부 소외지역 모자보건 프로그램 시공업체 선정 입찰 공고문.pdf</x:v>
      </x:c>
      <x:c r="H1119" s="43" t="str">
        <x:v>페이지 1</x:v>
      </x:c>
      <x:c r="I1119" s="46" t="str">
        <x:v>NOTICE OF TENDER For Construction Work Date: 11th May, 2021 1. The Korea International Cooperation Agency (KOICA) 3. Price proposal shall be equal or less than the ‘Estimat- Cambodia Office invites prospective bidders for the Con- ed Price’ and equal or more than the ‘Minimum Price’. struction of “Project for Strengthening Maternal and Any bid exceeding the above limitation may result in Child Health in North-Eastern Region, Cambodia”. rejection of its bid. 2. The Project is to be constructed with the grant aid of the - ‘Estimated Price’ will be announced at the Bid Opening Government of Republic of Korea by a random draw and ‘Minimum Price’ will be deter- mined based on the announced ‘Estimated Price’. Brief of Bidding - Details of Selection of the Successful Bidder, Eligibil- - Bid Title: Project for Strengthening Maternal and ity Evaluation, Determination of ‘Estimated Price’ and Child Health in North-Eastern Region, Cambodia. ‘Minimum Price’ will be explained during the Pre-Bid - Contract Duration: 13 months from the effective(con- Meeting. tract) date 4. Price proposal by bidders and final contract price shall - Estimated Budget: Approx. USD 1,022,588 (VAT ex- be exclusive of </x:v>
      </x:c>
      <x:c r="J1119" s="43" t="str">
        <x:v>자동추출·검토필요</x:v>
      </x:c>
    </x:row>
    <x:row r="1120">
      <x:c r="A1120" s="43" t="str">
        <x:v>L2021-00015-1</x:v>
      </x:c>
      <x:c r="B1120" s="43" t="str">
        <x:v>연면적·면적</x:v>
      </x:c>
      <x:c r="C1120" s="46" t="str">
        <x:v>floor area</x:v>
      </x:c>
      <x:c r="D1120" s="46" t="str">
        <x:v>2,299.26 m2</x:v>
      </x:c>
      <x:c r="E1120" s="46" t="str"/>
      <x:c r="F1120" s="46" t="str"/>
      <x:c r="G1120" s="46" t="str">
        <x:v>L2021-00015-1/1-2 (REV.2_영문본) 입찰공고(인큐베이팅 센터_영문)_최종버젼.docx</x:v>
      </x:c>
      <x:c r="H1120" s="43" t="str">
        <x:v>문단 18</x:v>
      </x:c>
      <x:c r="I1120" s="46" t="str">
        <x:v>- Gross Floor Area: approx. 2,299.26 m2</x:v>
      </x:c>
      <x:c r="J1120" s="43" t="str">
        <x:v>자동추출·검토필요</x:v>
      </x:c>
    </x:row>
    <x:row r="1121">
      <x:c r="A1121" s="43" t="str">
        <x:v>L2021-00014-1</x:v>
      </x:c>
      <x:c r="B1121" s="43" t="str">
        <x:v>연면적·면적</x:v>
      </x:c>
      <x:c r="C1121" s="46" t="str">
        <x:v>연면적, 대지면적, ㎡</x:v>
      </x:c>
      <x:c r="D1121" s="46" t="str">
        <x:v>2,000 m2 | 2,000 ㎡</x:v>
      </x:c>
      <x:c r="E1121" s="46" t="str">
        <x:v>95,200 USD</x:v>
      </x:c>
      <x:c r="F1121" s="46" t="str"/>
      <x:c r="G1121" s="46" t="str">
        <x:v>L2021-00014-1/붙임1. 210209_기술+가격_PhilMech_설계업체 선정 입찰계획(안)_본부의견반영_Rev.02.doc</x:v>
      </x:c>
      <x:c r="H1121" s="43" t="str">
        <x:v>문단 13</x:v>
      </x:c>
      <x:c r="I1121" s="46" t="str">
        <x:v>건축개요 및 입찰범위 3.1 건축개요 구 분 내 용 용역명 필리핀 농기계현대화센터 구축 및 역량강화 사업 건축 설계용역 Design Work for the Agricultural Machineries Development Center in Nueva Ecija, Philippines 위 치 CLSU Compound, Science City of Munoz, Nueva Ecija, Philippines 대지면적 약 2,000 m2 연면적 약 2,000㎡ 건축종별 신축 건축규모 사무연구 동 및 Workshop, 2층 기간 및 예산 설계 5개월 95,200 USD 주요구조 철근콘크리트(RC, 사무연구동) + 철골조(Workshop) 분담사항 KOICA 건물 신축(설계 및 시공) PhilMech 건축부지 제공, 감리, 건축 인허가 행정 지원 지반조사, 부지정지공사, 내부보행자도로, 조경공사 각종 인프라 공급 및 연결공사(전기, 상하수, 통신, 가스)</x:v>
      </x:c>
      <x:c r="J1121" s="43" t="str">
        <x:v>자동추출·검토필요</x:v>
      </x:c>
    </x:row>
    <x:row r="1122">
      <x:c r="A1122" s="43" t="str">
        <x:v>L2021-00014-1</x:v>
      </x:c>
      <x:c r="B1122" s="43" t="str">
        <x:v>연면적·면적</x:v>
      </x:c>
      <x:c r="C1122" s="46" t="str">
        <x:v>연면적</x:v>
      </x:c>
      <x:c r="D1122" s="46" t="str">
        <x:v>2,000 m2</x:v>
      </x:c>
      <x:c r="E1122" s="46" t="str"/>
      <x:c r="F1122" s="46" t="str">
        <x:v>90% | 100% | 80% | 90% | 70% | 80% | 70% | 150%</x:v>
      </x:c>
      <x:c r="G1122" s="46" t="str">
        <x:v>L2021-00014-1/붙임1. 210209_기술+가격_PhilMech_설계업체 선정 입찰계획(안)_본부의견반영_Rev.02.doc</x:v>
      </x:c>
      <x:c r="H1122" s="43" t="str">
        <x:v>문단 42</x:v>
      </x:c>
      <x:c r="I1122" s="46" t="str">
        <x:v>90%이상~100%미만 5.1 80%이상~90%미만 4.2 70%이상~80%미만 3.3 70%미만 2.4 7 유사사업 설계업무 실적 집행한도액 대비 최근 5년(2016-2020)간 국내외유사사업(학교, 교육시설, 문화시설, 공장 등 건축설계 실적) 150%이상 7.0 130%이상~150%미만 6.0 110%이상~130%미만 4.9 100%이상~110%미만 3.9 100%미만 2.8 7 특정규모 설계업무 실적 집행한도액대비 최근5년(2016-2020)간 필리핀 내 연면적 2,000m2이상 유사사업 설계실적 150%이상 7.0 130%이상~150%미만 6.0 110%이상~130%미만 4.9 100%이상~110%미만 3.9 100%미만 2.8 정성평가 (80점) 20 설계업무수행계획서 제안내용의 충실도 사업목표 및 사업의 이해도 매우 우수 20.0</x:v>
      </x:c>
      <x:c r="J1122" s="43" t="str">
        <x:v>자동추출·검토필요</x:v>
      </x:c>
    </x:row>
    <x:row r="1123">
      <x:c r="A1123" s="43" t="str">
        <x:v>L2021-00014-1</x:v>
      </x:c>
      <x:c r="B1123" s="43" t="str">
        <x:v>연면적·면적</x:v>
      </x:c>
      <x:c r="C1123" s="46" t="str">
        <x:v>floor area</x:v>
      </x:c>
      <x:c r="D1123" s="46" t="str">
        <x:v>2,000 m2</x:v>
      </x:c>
      <x:c r="E1123" s="46" t="str"/>
      <x:c r="F1123" s="46" t="str">
        <x:v>5%</x:v>
      </x:c>
      <x:c r="G1123" s="46" t="str">
        <x:v>L2021-00014-1/붙임2. 입찰부속서류_03.30/01_Chapter 1. Invitation for Bids_Rev00.docx</x:v>
      </x:c>
      <x:c r="H1123" s="43" t="str">
        <x:v>표 2 행 4</x:v>
      </x:c>
      <x:c r="I1123" s="46" t="str">
        <x:v>- Scale | Total Floor Area 2,000 m2 ± 5%</x:v>
      </x:c>
      <x:c r="J1123" s="43" t="str">
        <x:v>자동추출·검토필요</x:v>
      </x:c>
    </x:row>
    <x:row r="1124">
      <x:c r="A1124" s="43" t="str">
        <x:v>L2021-00014-1</x:v>
      </x:c>
      <x:c r="B1124" s="43" t="str">
        <x:v>연면적·면적</x:v>
      </x:c>
      <x:c r="C1124" s="46" t="str">
        <x:v>floor area</x:v>
      </x:c>
      <x:c r="D1124" s="46" t="str">
        <x:v>2,000 m2</x:v>
      </x:c>
      <x:c r="E1124" s="46" t="str"/>
      <x:c r="F1124" s="46" t="str">
        <x:v>5%</x:v>
      </x:c>
      <x:c r="G1124" s="46" t="str">
        <x:v>L2021-00014-1/붙임2. 입찰부속서류_03.30/Addendum 1. Scope of Works.docx</x:v>
      </x:c>
      <x:c r="H1124" s="43" t="str">
        <x:v>문단 13</x:v>
      </x:c>
      <x:c r="I1124" s="46" t="str">
        <x:v>- Total Floor Area: 2,000 m2 ± 5%</x:v>
      </x:c>
      <x:c r="J1124" s="43" t="str">
        <x:v>자동추출·검토필요</x:v>
      </x:c>
    </x:row>
    <x:row r="1125">
      <x:c r="A1125" s="43" t="str">
        <x:v>L2021-00013-1</x:v>
      </x:c>
      <x:c r="B1125" s="43" t="str">
        <x:v>연면적·면적</x:v>
      </x:c>
      <x:c r="C1125" s="46" t="str">
        <x:v>연면적</x:v>
      </x:c>
      <x:c r="D1125" s="46" t="str">
        <x:v>4,563 M2</x:v>
      </x:c>
      <x:c r="E1125" s="46" t="str"/>
      <x:c r="F1125" s="46" t="str"/>
      <x:c r="G1125" s="46" t="str">
        <x:v>L2021-00013-1/첨부1. 설계 및 감리사 선정 국문입찰계획(안)(1).hwp</x:v>
      </x:c>
      <x:c r="H1125" s="43" t="str">
        <x:v>문단 64</x:v>
      </x:c>
      <x:c r="I1125" s="46" t="str">
        <x:v>ㅇ건축 연면적 – 4,563M2</x:v>
      </x:c>
      <x:c r="J1125" s="43" t="str">
        <x:v>자동추출·검토필요</x:v>
      </x:c>
    </x:row>
    <x:row r="1126">
      <x:c r="A1126" s="43" t="str">
        <x:v>L2021-00013-1</x:v>
      </x:c>
      <x:c r="B1126" s="43" t="str">
        <x:v>연면적·면적</x:v>
      </x:c>
      <x:c r="C1126" s="46" t="str">
        <x:v>floor area</x:v>
      </x:c>
      <x:c r="D1126" s="46" t="str">
        <x:v>3,0000 M2</x:v>
      </x:c>
      <x:c r="E1126" s="46" t="str"/>
      <x:c r="F1126" s="46" t="str"/>
      <x:c r="G1126" s="46" t="str">
        <x:v>L2021-00013-1/첨부1. 설계 및 감리사 선정 국문입찰계획(안)(1).hwp</x:v>
      </x:c>
      <x:c r="H1126" s="43" t="str">
        <x:v>문단 564</x:v>
      </x:c>
      <x:c r="I1126" s="46" t="str">
        <x:v>1.1.Proposed experience in University building, Office Building, IT Building, Hospital, Bank, Shopping Mall, School, Auditorium, Convention Center during the last 3 years. The gross floor area of the completed project shall be not less than 3,0000 M2 for each of the above mentioned buildings.</x:v>
      </x:c>
      <x:c r="J1126" s="43" t="str">
        <x:v>자동추출·검토필요</x:v>
      </x:c>
    </x:row>
    <x:row r="1127">
      <x:c r="A1127" s="43" t="str">
        <x:v>L2021-00013-1</x:v>
      </x:c>
      <x:c r="B1127" s="43" t="str">
        <x:v>연면적·면적</x:v>
      </x:c>
      <x:c r="C1127" s="46" t="str">
        <x:v>연면적</x:v>
      </x:c>
      <x:c r="D1127" s="46" t="str">
        <x:v>3,000 M2</x:v>
      </x:c>
      <x:c r="E1127" s="46" t="str">
        <x:v>270,000 USD</x:v>
      </x:c>
      <x:c r="F1127" s="46" t="str"/>
      <x:c r="G1127" s="46" t="str">
        <x:v>L2021-00013-1/첨부1. 설계 및 감리사 선정 국문입찰계획(안)(1).hwp</x:v>
      </x:c>
      <x:c r="H1127" s="43" t="str">
        <x:v>문단 758</x:v>
      </x:c>
      <x:c r="I1127" s="46" t="str">
        <x:v>유사사업은 대학교, 사무실빌딩, Research Center, IT빌딩, Shopping Mall, 병원, 은행, 학교, Auditorium 공사로 단일 건축 연면적 3,000M2 이상의 실적으로 3년간 설계 및 감리 합계금액이 270,000USD이상인 자</x:v>
      </x:c>
      <x:c r="J1127" s="43" t="str">
        <x:v>자동추출·검토필요</x:v>
      </x:c>
    </x:row>
    <x:row r="1128">
      <x:c r="A1128" s="43" t="str">
        <x:v>L2021-00013-1</x:v>
      </x:c>
      <x:c r="B1128" s="43" t="str">
        <x:v>연면적·면적</x:v>
      </x:c>
      <x:c r="C1128" s="46" t="str">
        <x:v>floor area</x:v>
      </x:c>
      <x:c r="D1128" s="46" t="str">
        <x:v>3,000 M2</x:v>
      </x:c>
      <x:c r="E1128" s="46" t="str"/>
      <x:c r="F1128" s="46" t="str"/>
      <x:c r="G1128" s="46" t="str">
        <x:v>L2021-00013-1/첨부2. 설계 및 감리사 선정 영문 RFP(1).docx</x:v>
      </x:c>
      <x:c r="H1128" s="43" t="str">
        <x:v>문단 205</x:v>
      </x:c>
      <x:c r="I1128" s="46" t="str">
        <x:v>Proposed experience in University building, Office Building, IT Building, Hospital, Bank, Shopping Mall, Auditorium, Convention Center and school during the last 3 years. The gross floor area of the completed project shall be not less than 3,000 M2 for each of the above mentioned buildings.</x:v>
      </x:c>
      <x:c r="J1128" s="43" t="str">
        <x:v>자동추출·검토필요</x:v>
      </x:c>
    </x:row>
    <x:row r="1129">
      <x:c r="A1129" s="43" t="str">
        <x:v>L2021-00012-1</x:v>
      </x:c>
      <x:c r="B1129" s="43" t="str">
        <x:v>연면적·면적</x:v>
      </x:c>
      <x:c r="C1129" s="46" t="str">
        <x:v>floor area, ㎡</x:v>
      </x:c>
      <x:c r="D1129" s="46" t="str">
        <x:v>3,047 ㎡</x:v>
      </x:c>
      <x:c r="E1129" s="46" t="str"/>
      <x:c r="F1129" s="46" t="str"/>
      <x:c r="G1129" s="46" t="str">
        <x:v>L2021-00012-1/Bid Documents for Distribution_PKNC final/Chapter 1. Invitation for Bids_0429.docx</x:v>
      </x:c>
      <x:c r="H1129" s="43" t="str">
        <x:v>표 1 행 2</x:v>
      </x:c>
      <x:c r="I1129" s="46" t="str">
        <x:v>• Summary of Services | ∙ Location of the site: University of Agriculture, Faisalabad (UAF), Pakistan ∙Scope of work: Design and Construction Supervision a. Design - Three (3)-storey Building - Total floor area: 3,047㎡ b. Construction Supervision. - During the entire construction, one resident civil engineer should be placed on the site. - Mechanical, electrical and other experts should be timely dispatched on the site according to work progress. c. Construction Bidding Assistance and others</x:v>
      </x:c>
      <x:c r="J1129" s="43" t="str">
        <x:v>자동추출·검토필요</x:v>
      </x:c>
    </x:row>
    <x:row r="1130">
      <x:c r="A1130" s="43" t="str">
        <x:v>L2021-00012-1</x:v>
      </x:c>
      <x:c r="B1130" s="43" t="str">
        <x:v>연면적·면적</x:v>
      </x:c>
      <x:c r="C1130" s="46" t="str">
        <x:v>floor area, ㎡</x:v>
      </x:c>
      <x:c r="D1130" s="46" t="str">
        <x:v>3,047 ㎡</x:v>
      </x:c>
      <x:c r="E1130" s="46" t="str"/>
      <x:c r="F1130" s="46" t="str"/>
      <x:c r="G1130" s="46" t="str">
        <x:v>L2021-00012-1/Bid Documents for Distribution_PKNC final/Chapter 2. Bid Data Sheet_0429.docx</x:v>
      </x:c>
      <x:c r="H1130" s="43" t="str">
        <x:v>표 1 행 2</x:v>
      </x:c>
      <x:c r="I1130" s="46" t="str">
        <x:v>• Summary of Services | ∙Location of the site: University of Agriculture, Faisalabad (UAF), Pakistan ∙Scope of work: Design and Construction Supervision a. Design - Three (3)-storey Building - Total floor area: 3,047㎡ b. Construction Supervision. - During the entire construction, one resident civil engineer should be placed on the site. - Mechanical, electrical and other experts should be timely dispatched on the site according to work progress. c. Construction Bidding Assistance and others</x:v>
      </x:c>
      <x:c r="J1130" s="43" t="str">
        <x:v>자동추출·검토필요</x:v>
      </x:c>
    </x:row>
    <x:row r="1131">
      <x:c r="A1131" s="43" t="str">
        <x:v>L2021-00012-1</x:v>
      </x:c>
      <x:c r="B1131" s="43" t="str">
        <x:v>연면적·면적</x:v>
      </x:c>
      <x:c r="C1131" s="46" t="str">
        <x:v>floor area, square meter, ㎡</x:v>
      </x:c>
      <x:c r="D1131" s="46" t="str">
        <x:v>3,047 ㎡</x:v>
      </x:c>
      <x:c r="E1131" s="46" t="str"/>
      <x:c r="F1131" s="46" t="str"/>
      <x:c r="G1131" s="46" t="str">
        <x:v>L2021-00012-1/Bid Documents for Distribution_PKNC final/Chapter 6. Terms of Reference for Consultant Services_0429.doc</x:v>
      </x:c>
      <x:c r="H1131" s="43" t="str">
        <x:v>문단 12</x:v>
      </x:c>
      <x:c r="I1131" s="46" t="str">
        <x:v>Existing structures and buildings within the site &amp; in the vicinity of the site Site boundaries Existing underground and over ground services : water, gas, electricity, drainage telephone and others Roads in the vicinity of the site, their size, existing elevation and conditions and planned elevations Setbacks approved by the local and related authority Contour lines with an interval of every 2 feet height contour or less. Status of all adjacent lands and their elevations related to the site Photographs B. Soil test report, analysis and evaluation of the soil condition and recommended type of foundation according to the international codes or the Pakistan codes. 5.1.2 The assignment consists of Design Service for the construction of the project mentioned below: 1 Project Title Design and Construction Supervision Consultant Services for Establishment of PAK-Korea Nutrition Center (PKNC) to improve child and community nutrition 2 Location of the Site Near CAS, University of Agriculture, Faisalabad (UAF) Pakistan. 3 Total Floor Area - Three (3)-storey Building - Total floor area: 3,047㎡(Square Meter)</x:v>
      </x:c>
      <x:c r="J1131" s="43" t="str">
        <x:v>자동추출·검토필요</x:v>
      </x:c>
    </x:row>
    <x:row r="1132">
      <x:c r="A1132" s="43" t="str">
        <x:v>L2021-00012-1</x:v>
      </x:c>
      <x:c r="B1132" s="43" t="str">
        <x:v>연면적·면적</x:v>
      </x:c>
      <x:c r="C1132" s="46" t="str">
        <x:v>square meter</x:v>
      </x:c>
      <x:c r="D1132" s="46" t="str">
        <x:v>3,047 square meters</x:v>
      </x:c>
      <x:c r="E1132" s="46" t="str"/>
      <x:c r="F1132" s="46" t="str">
        <x:v>2%</x:v>
      </x:c>
      <x:c r="G1132" s="46" t="str">
        <x:v>L2021-00012-1/Bid Documents for Distribution_PKNC final/Chapter 6. Terms of Reference for Consultant Services_0429.doc</x:v>
      </x:c>
      <x:c r="H1132" s="43" t="str">
        <x:v>문단 13</x:v>
      </x:c>
      <x:c r="I1132" s="46" t="str">
        <x:v>5.1.3 Design and Construction Document Services A. Preparation of design and other engineering services necessary to bring the work to the construction readiness state for the projects mentioned in the Agreement. B. Preparation of all the developed construction bidding documents including the Drawings, Specifications (technical and general), Bill of Quantities, and Cost Estimate for the construction works including civil engineering works, structural works, architectural works, plumbing, sanitary, and mechanical works, electrical works, information and communication works, firefighting works, and other necessary exterior works, the interior and exterior signage work, planting of the landscape works in accordance with the furnished design criteria. 5.1.4 Considerations for Space Program A. Refer to the Chapter 7. Design Reference with Space Program B. The space program provided by the Employer serves only guidelines for room space needed. Any necessary adjustments to room space need and common space need may be made in consultation with the Construction Manager, Project Management Consultant hired by KOICA and UAF. C. The total space shall not exceed more than 2% of the given space </x:v>
      </x:c>
      <x:c r="J1132" s="43" t="str">
        <x:v>자동추출·검토필요</x:v>
      </x:c>
    </x:row>
    <x:row r="1133">
      <x:c r="A1133" s="43" t="str">
        <x:v>L2021-00011-1</x:v>
      </x:c>
      <x:c r="B1133" s="43" t="str">
        <x:v>연면적·면적</x:v>
      </x:c>
      <x:c r="C1133" s="46" t="str">
        <x:v>대지면적, ㎡</x:v>
      </x:c>
      <x:c r="D1133" s="46" t="str">
        <x:v>1,284 ㎡</x:v>
      </x:c>
      <x:c r="E1133" s="46" t="str"/>
      <x:c r="F1133" s="46" t="str"/>
      <x:c r="G1133" s="46" t="str">
        <x:v>L2021-00011-1/국문_입찰계획서.hwp</x:v>
      </x:c>
      <x:c r="H1133" s="43" t="str">
        <x:v>문단 76</x:v>
      </x:c>
      <x:c r="I1133" s="46" t="str">
        <x:v>ㅇ 대지면적 : 1,284 ㎡</x:v>
      </x:c>
      <x:c r="J1133" s="43" t="str">
        <x:v>자동추출·검토필요</x:v>
      </x:c>
    </x:row>
    <x:row r="1134">
      <x:c r="A1134" s="43" t="str">
        <x:v>L2021-00011-1</x:v>
      </x:c>
      <x:c r="B1134" s="43" t="str">
        <x:v>연면적·면적</x:v>
      </x:c>
      <x:c r="C1134" s="46" t="str">
        <x:v>㎡</x:v>
      </x:c>
      <x:c r="D1134" s="46" t="str">
        <x:v>850 ㎡</x:v>
      </x:c>
      <x:c r="E1134" s="46" t="str"/>
      <x:c r="F1134" s="46" t="str">
        <x:v>5 %</x:v>
      </x:c>
      <x:c r="G1134" s="46" t="str">
        <x:v>L2021-00011-1/국문_입찰계획서.hwp</x:v>
      </x:c>
      <x:c r="H1134" s="43" t="str">
        <x:v>문단 77</x:v>
      </x:c>
      <x:c r="I1134" s="46" t="str">
        <x:v>ㅇ 연 면 적 : 850 ㎡ (±5 % 이내 조정 가능)</x:v>
      </x:c>
      <x:c r="J1134" s="43" t="str">
        <x:v>자동추출·검토필요</x:v>
      </x:c>
    </x:row>
    <x:row r="1135">
      <x:c r="A1135" s="43" t="str">
        <x:v>L2021-00011-1</x:v>
      </x:c>
      <x:c r="B1135" s="43" t="str">
        <x:v>연면적·면적</x:v>
      </x:c>
      <x:c r="C1135" s="46" t="str">
        <x:v>㎡</x:v>
      </x:c>
      <x:c r="D1135" s="46" t="str">
        <x:v>1,284 ㎡</x:v>
      </x:c>
      <x:c r="E1135" s="46" t="str"/>
      <x:c r="F1135" s="46" t="str"/>
      <x:c r="G1135" s="46" t="str">
        <x:v>L2021-00011-1/영문 서류 일체/Dominica San Juan_0.0_Bidding Guideline(ENG)_2021 0412.docx</x:v>
      </x:c>
      <x:c r="H1135" s="43" t="str">
        <x:v>문단 73</x:v>
      </x:c>
      <x:c r="I1135" s="46" t="str">
        <x:v>Site area: 1,284㎡</x:v>
      </x:c>
      <x:c r="J1135" s="43" t="str">
        <x:v>자동추출·검토필요</x:v>
      </x:c>
    </x:row>
    <x:row r="1136">
      <x:c r="A1136" s="43" t="str">
        <x:v>L2021-00011-1</x:v>
      </x:c>
      <x:c r="B1136" s="43" t="str">
        <x:v>연면적·면적</x:v>
      </x:c>
      <x:c r="C1136" s="46" t="str">
        <x:v>floor area, ㎡</x:v>
      </x:c>
      <x:c r="D1136" s="46" t="str">
        <x:v>850 ㎡</x:v>
      </x:c>
      <x:c r="E1136" s="46" t="str"/>
      <x:c r="F1136" s="46" t="str">
        <x:v>5%</x:v>
      </x:c>
      <x:c r="G1136" s="46" t="str">
        <x:v>L2021-00011-1/영문 서류 일체/Dominica San Juan_0.0_Bidding Guideline(ENG)_2021 0412.docx</x:v>
      </x:c>
      <x:c r="H1136" s="43" t="str">
        <x:v>문단 74</x:v>
      </x:c>
      <x:c r="I1136" s="46" t="str">
        <x:v>Gross floor area: 850㎡ (can be adjusted within the range of ±5%)</x:v>
      </x:c>
      <x:c r="J1136" s="43" t="str">
        <x:v>자동추출·검토필요</x:v>
      </x:c>
    </x:row>
    <x:row r="1137">
      <x:c r="A1137" s="43" t="str">
        <x:v>L2021-00011-1</x:v>
      </x:c>
      <x:c r="B1137" s="43" t="str">
        <x:v>연면적·면적</x:v>
      </x:c>
      <x:c r="C1137" s="46" t="str">
        <x:v>㎡</x:v>
      </x:c>
      <x:c r="D1137" s="46" t="str">
        <x:v>1,284 ㎡</x:v>
      </x:c>
      <x:c r="E1137" s="46" t="str"/>
      <x:c r="F1137" s="46" t="str"/>
      <x:c r="G1137" s="46" t="str">
        <x:v>L2021-00011-1/영문 서류 일체/Dominica San Juan_1.0 IFB_2021 0412.docx</x:v>
      </x:c>
      <x:c r="H1137" s="43" t="str">
        <x:v>문단 49</x:v>
      </x:c>
      <x:c r="I1137" s="46" t="str">
        <x:v>Site Area : 1,284 ㎡</x:v>
      </x:c>
      <x:c r="J1137" s="43" t="str">
        <x:v>자동추출·검토필요</x:v>
      </x:c>
    </x:row>
    <x:row r="1138">
      <x:c r="A1138" s="43" t="str">
        <x:v>L2021-00011-1</x:v>
      </x:c>
      <x:c r="B1138" s="43" t="str">
        <x:v>연면적·면적</x:v>
      </x:c>
      <x:c r="C1138" s="46" t="str">
        <x:v>floor area, ㎡</x:v>
      </x:c>
      <x:c r="D1138" s="46" t="str">
        <x:v>850 ㎡</x:v>
      </x:c>
      <x:c r="E1138" s="46" t="str"/>
      <x:c r="F1138" s="46" t="str"/>
      <x:c r="G1138" s="46" t="str">
        <x:v>L2021-00011-1/영문 서류 일체/Dominica San Juan_1.0 IFB_2021 0412.docx</x:v>
      </x:c>
      <x:c r="H1138" s="43" t="str">
        <x:v>문단 50</x:v>
      </x:c>
      <x:c r="I1138" s="46" t="str">
        <x:v>Gross Floor Area: 850㎡</x:v>
      </x:c>
      <x:c r="J1138" s="43" t="str">
        <x:v>자동추출·검토필요</x:v>
      </x:c>
    </x:row>
    <x:row r="1139">
      <x:c r="A1139" s="43" t="str">
        <x:v>L2021-00011-1</x:v>
      </x:c>
      <x:c r="B1139" s="43" t="str">
        <x:v>연면적·면적</x:v>
      </x:c>
      <x:c r="C1139" s="46" t="str">
        <x:v>㎡</x:v>
      </x:c>
      <x:c r="D1139" s="46" t="str">
        <x:v>1,284 ㎡</x:v>
      </x:c>
      <x:c r="E1139" s="46" t="str"/>
      <x:c r="F1139" s="46" t="str"/>
      <x:c r="G1139" s="46" t="str">
        <x:v>L2021-00011-1/영문 서류 일체/Dominica San Juan_4.0 Terms of Reference_2021 0412.docx</x:v>
      </x:c>
      <x:c r="H1139" s="43" t="str">
        <x:v>표 1 행 4</x:v>
      </x:c>
      <x:c r="I1139" s="46" t="str">
        <x:v>Site Area | 1,284 ㎡</x:v>
      </x:c>
      <x:c r="J1139" s="43" t="str">
        <x:v>자동추출·검토필요</x:v>
      </x:c>
    </x:row>
    <x:row r="1140">
      <x:c r="A1140" s="43" t="str">
        <x:v>L2021-00011-1</x:v>
      </x:c>
      <x:c r="B1140" s="43" t="str">
        <x:v>연면적·면적</x:v>
      </x:c>
      <x:c r="C1140" s="46" t="str">
        <x:v>floor area, ㎡</x:v>
      </x:c>
      <x:c r="D1140" s="46" t="str">
        <x:v>850 ㎡</x:v>
      </x:c>
      <x:c r="E1140" s="46" t="str"/>
      <x:c r="F1140" s="46" t="str"/>
      <x:c r="G1140" s="46" t="str">
        <x:v>L2021-00011-1/영문 서류 일체/Dominica San Juan_4.0 Terms of Reference_2021 0412.docx</x:v>
      </x:c>
      <x:c r="H1140" s="43" t="str">
        <x:v>표 1 행 5</x:v>
      </x:c>
      <x:c r="I1140" s="46" t="str">
        <x:v>Gross Floor Area | 850 ㎡</x:v>
      </x:c>
      <x:c r="J1140" s="43" t="str">
        <x:v>자동추출·검토필요</x:v>
      </x:c>
    </x:row>
    <x:row r="1141">
      <x:c r="A1141" s="43" t="str">
        <x:v>L2021-00005-1</x:v>
      </x:c>
      <x:c r="B1141" s="43" t="str">
        <x:v>연면적·면적</x:v>
      </x:c>
      <x:c r="C1141" s="46" t="str">
        <x:v>대지면적, ㎡</x:v>
      </x:c>
      <x:c r="D1141" s="46" t="str">
        <x:v>83,750.75 ㎡</x:v>
      </x:c>
      <x:c r="E1141" s="46" t="str"/>
      <x:c r="F1141" s="46" t="str"/>
      <x:c r="G1141" s="46" t="str">
        <x:v>L2021-00005-1/붙임1. 입찰 계획서(국문)_20210201.hwp</x:v>
      </x:c>
      <x:c r="H1141" s="43" t="str">
        <x:v>문단 76</x:v>
      </x:c>
      <x:c r="I1141" s="46" t="str">
        <x:v>ㅇ 대지면적 : 83,750.75 ㎡</x:v>
      </x:c>
      <x:c r="J1141" s="43" t="str">
        <x:v>자동추출·검토필요</x:v>
      </x:c>
    </x:row>
    <x:row r="1142">
      <x:c r="A1142" s="43" t="str">
        <x:v>L2021-00005-1</x:v>
      </x:c>
      <x:c r="B1142" s="43" t="str">
        <x:v>연면적·면적</x:v>
      </x:c>
      <x:c r="C1142" s="46" t="str">
        <x:v>㎡</x:v>
      </x:c>
      <x:c r="D1142" s="46" t="str">
        <x:v>1,620 ㎡</x:v>
      </x:c>
      <x:c r="E1142" s="46" t="str"/>
      <x:c r="F1142" s="46" t="str">
        <x:v>5 %</x:v>
      </x:c>
      <x:c r="G1142" s="46" t="str">
        <x:v>L2021-00005-1/붙임1. 입찰 계획서(국문)_20210201.hwp</x:v>
      </x:c>
      <x:c r="H1142" s="43" t="str">
        <x:v>문단 77</x:v>
      </x:c>
      <x:c r="I1142" s="46" t="str">
        <x:v>ㅇ 연 면 적 : 1,620 ㎡ (±5 % 이내 조정 가능)</x:v>
      </x:c>
      <x:c r="J1142" s="43" t="str">
        <x:v>자동추출·검토필요</x:v>
      </x:c>
    </x:row>
    <x:row r="1143">
      <x:c r="A1143" s="43" t="str">
        <x:v>L2021-00005-1</x:v>
      </x:c>
      <x:c r="B1143" s="43" t="str">
        <x:v>연면적·면적</x:v>
      </x:c>
      <x:c r="C1143" s="46" t="str">
        <x:v>대지면적, ㎡</x:v>
      </x:c>
      <x:c r="D1143" s="46" t="str">
        <x:v>17,312.58 ㎡</x:v>
      </x:c>
      <x:c r="E1143" s="46" t="str"/>
      <x:c r="F1143" s="46" t="str"/>
      <x:c r="G1143" s="46" t="str">
        <x:v>L2021-00005-1/붙임1. 입찰 계획서(국문)_20210201.hwp</x:v>
      </x:c>
      <x:c r="H1143" s="43" t="str">
        <x:v>문단 83</x:v>
      </x:c>
      <x:c r="I1143" s="46" t="str">
        <x:v>ㅇ 대지면적 : 17,312.58 ㎡ (위치 미정_추후 결정)</x:v>
      </x:c>
      <x:c r="J1143" s="43" t="str">
        <x:v>자동추출·검토필요</x:v>
      </x:c>
    </x:row>
    <x:row r="1144">
      <x:c r="A1144" s="43" t="str">
        <x:v>L2021-00005-1</x:v>
      </x:c>
      <x:c r="B1144" s="43" t="str">
        <x:v>연면적·면적</x:v>
      </x:c>
      <x:c r="C1144" s="46" t="str">
        <x:v>㎡</x:v>
      </x:c>
      <x:c r="D1144" s="46" t="str">
        <x:v>80 ㎡</x:v>
      </x:c>
      <x:c r="E1144" s="46" t="str"/>
      <x:c r="F1144" s="46" t="str">
        <x:v>5 %</x:v>
      </x:c>
      <x:c r="G1144" s="46" t="str">
        <x:v>L2021-00005-1/붙임1. 입찰 계획서(국문)_20210201.hwp</x:v>
      </x:c>
      <x:c r="H1144" s="43" t="str">
        <x:v>문단 84</x:v>
      </x:c>
      <x:c r="I1144" s="46" t="str">
        <x:v>ㅇ 연 면 적 : 80 ㎡ (±5 % 이내 조정 가능)</x:v>
      </x:c>
      <x:c r="J1144" s="43" t="str">
        <x:v>자동추출·검토필요</x:v>
      </x:c>
    </x:row>
    <x:row r="1145">
      <x:c r="A1145" s="43" t="str">
        <x:v>L2021-00005-1</x:v>
      </x:c>
      <x:c r="B1145" s="43" t="str">
        <x:v>연면적·면적</x:v>
      </x:c>
      <x:c r="C1145" s="46" t="str">
        <x:v>㎡</x:v>
      </x:c>
      <x:c r="D1145" s="46" t="str">
        <x:v>2,000 ㎡</x:v>
      </x:c>
      <x:c r="E1145" s="46" t="str"/>
      <x:c r="F1145" s="46" t="str"/>
      <x:c r="G1145" s="46" t="str">
        <x:v>L2021-00005-1/붙임1. 입찰 계획서(국문)_20210201.hwp</x:v>
      </x:c>
      <x:c r="H1145" s="43" t="str">
        <x:v>문단 370</x:v>
      </x:c>
      <x:c r="I1145" s="46" t="str">
        <x:v>2,000㎡≤G.A.</x:v>
      </x:c>
      <x:c r="J1145" s="43" t="str">
        <x:v>자동추출·검토필요</x:v>
      </x:c>
    </x:row>
    <x:row r="1146">
      <x:c r="A1146" s="43" t="str">
        <x:v>L2021-00005-1</x:v>
      </x:c>
      <x:c r="B1146" s="43" t="str">
        <x:v>연면적·면적</x:v>
      </x:c>
      <x:c r="C1146" s="46" t="str">
        <x:v>㎡</x:v>
      </x:c>
      <x:c r="D1146" s="46" t="str">
        <x:v>1,600 ㎡ | 2,000 ㎡</x:v>
      </x:c>
      <x:c r="E1146" s="46" t="str"/>
      <x:c r="F1146" s="46" t="str"/>
      <x:c r="G1146" s="46" t="str">
        <x:v>L2021-00005-1/붙임1. 입찰 계획서(국문)_20210201.hwp</x:v>
      </x:c>
      <x:c r="H1146" s="43" t="str">
        <x:v>문단 372</x:v>
      </x:c>
      <x:c r="I1146" s="46" t="str">
        <x:v>1,600㎡≤G.A.&lt; 2,000㎡</x:v>
      </x:c>
      <x:c r="J1146" s="43" t="str">
        <x:v>자동추출·검토필요</x:v>
      </x:c>
    </x:row>
    <x:row r="1147">
      <x:c r="A1147" s="43" t="str">
        <x:v>L2021-00005-1</x:v>
      </x:c>
      <x:c r="B1147" s="43" t="str">
        <x:v>연면적·면적</x:v>
      </x:c>
      <x:c r="C1147" s="46" t="str">
        <x:v>㎡</x:v>
      </x:c>
      <x:c r="D1147" s="46" t="str">
        <x:v>1,200 ㎡ | 1,600 ㎡</x:v>
      </x:c>
      <x:c r="E1147" s="46" t="str"/>
      <x:c r="F1147" s="46" t="str"/>
      <x:c r="G1147" s="46" t="str">
        <x:v>L2021-00005-1/붙임1. 입찰 계획서(국문)_20210201.hwp</x:v>
      </x:c>
      <x:c r="H1147" s="43" t="str">
        <x:v>문단 374</x:v>
      </x:c>
      <x:c r="I1147" s="46" t="str">
        <x:v>1,200㎡≤G.A.&lt; 1,600㎡</x:v>
      </x:c>
      <x:c r="J1147" s="43" t="str">
        <x:v>자동추출·검토필요</x:v>
      </x:c>
    </x:row>
    <x:row r="1148">
      <x:c r="A1148" s="43" t="str">
        <x:v>L2021-00005-1</x:v>
      </x:c>
      <x:c r="B1148" s="43" t="str">
        <x:v>연면적·면적</x:v>
      </x:c>
      <x:c r="C1148" s="46" t="str">
        <x:v>㎡</x:v>
      </x:c>
      <x:c r="D1148" s="46" t="str">
        <x:v>850 ㎡ | 1,200 ㎡</x:v>
      </x:c>
      <x:c r="E1148" s="46" t="str"/>
      <x:c r="F1148" s="46" t="str"/>
      <x:c r="G1148" s="46" t="str">
        <x:v>L2021-00005-1/붙임1. 입찰 계획서(국문)_20210201.hwp</x:v>
      </x:c>
      <x:c r="H1148" s="43" t="str">
        <x:v>문단 376</x:v>
      </x:c>
      <x:c r="I1148" s="46" t="str">
        <x:v>850㎡≤G.A.&lt; 1,200㎡</x:v>
      </x:c>
      <x:c r="J1148" s="43" t="str">
        <x:v>자동추출·검토필요</x:v>
      </x:c>
    </x:row>
    <x:row r="1149">
      <x:c r="A1149" s="43" t="str">
        <x:v>L2021-00005-1</x:v>
      </x:c>
      <x:c r="B1149" s="43" t="str">
        <x:v>연면적·면적</x:v>
      </x:c>
      <x:c r="C1149" s="46" t="str">
        <x:v>㎡</x:v>
      </x:c>
      <x:c r="D1149" s="46" t="str">
        <x:v>850 ㎡</x:v>
      </x:c>
      <x:c r="E1149" s="46" t="str"/>
      <x:c r="F1149" s="46" t="str"/>
      <x:c r="G1149" s="46" t="str">
        <x:v>L2021-00005-1/붙임1. 입찰 계획서(국문)_20210201.hwp</x:v>
      </x:c>
      <x:c r="H1149" s="43" t="str">
        <x:v>문단 378</x:v>
      </x:c>
      <x:c r="I1149" s="46" t="str">
        <x:v>G.A.&lt; 850㎡</x:v>
      </x:c>
      <x:c r="J1149" s="43" t="str">
        <x:v>자동추출·검토필요</x:v>
      </x:c>
    </x:row>
    <x:row r="1150">
      <x:c r="A1150" s="43" t="str">
        <x:v>L2021-00005-1</x:v>
      </x:c>
      <x:c r="B1150" s="43" t="str">
        <x:v>연면적·면적</x:v>
      </x:c>
      <x:c r="C1150" s="46" t="str">
        <x:v>㎡</x:v>
      </x:c>
      <x:c r="D1150" s="46" t="str">
        <x:v>83,750.75 ㎡</x:v>
      </x:c>
      <x:c r="E1150" s="46" t="str"/>
      <x:c r="F1150" s="46" t="str"/>
      <x:c r="G1150" s="46" t="str">
        <x:v>L2021-00005-1/붙임2. 입찰 계획서(영문) 및 관련 양식/Bolivia quinoa_0.0_Bidding Guideline(ENG)_2021 0121.docx</x:v>
      </x:c>
      <x:c r="H1150" s="43" t="str">
        <x:v>문단 72</x:v>
      </x:c>
      <x:c r="I1150" s="46" t="str">
        <x:v>Site area : 83,750.75㎡</x:v>
      </x:c>
      <x:c r="J1150" s="43" t="str">
        <x:v>자동추출·검토필요</x:v>
      </x:c>
    </x:row>
    <x:row r="1151">
      <x:c r="A1151" s="43" t="str">
        <x:v>L2021-00005-1</x:v>
      </x:c>
      <x:c r="B1151" s="43" t="str">
        <x:v>연면적·면적</x:v>
      </x:c>
      <x:c r="C1151" s="46" t="str">
        <x:v>floor area, ㎡</x:v>
      </x:c>
      <x:c r="D1151" s="46" t="str">
        <x:v>1,620 ㎡</x:v>
      </x:c>
      <x:c r="E1151" s="46" t="str"/>
      <x:c r="F1151" s="46" t="str">
        <x:v>5%</x:v>
      </x:c>
      <x:c r="G1151" s="46" t="str">
        <x:v>L2021-00005-1/붙임2. 입찰 계획서(영문) 및 관련 양식/Bolivia quinoa_0.0_Bidding Guideline(ENG)_2021 0121.docx</x:v>
      </x:c>
      <x:c r="H1151" s="43" t="str">
        <x:v>문단 73</x:v>
      </x:c>
      <x:c r="I1151" s="46" t="str">
        <x:v>Gross floor area : 1,620㎡ (Gross floor area can be adjusted within the range of ±5%)</x:v>
      </x:c>
      <x:c r="J1151" s="43" t="str">
        <x:v>자동추출·검토필요</x:v>
      </x:c>
    </x:row>
    <x:row r="1152">
      <x:c r="A1152" s="43" t="str">
        <x:v>L2021-00005-1</x:v>
      </x:c>
      <x:c r="B1152" s="43" t="str">
        <x:v>연면적·면적</x:v>
      </x:c>
      <x:c r="C1152" s="46" t="str">
        <x:v>㎡</x:v>
      </x:c>
      <x:c r="D1152" s="46" t="str">
        <x:v>17,312.58 ㎡</x:v>
      </x:c>
      <x:c r="E1152" s="46" t="str"/>
      <x:c r="F1152" s="46" t="str"/>
      <x:c r="G1152" s="46" t="str">
        <x:v>L2021-00005-1/붙임2. 입찰 계획서(영문) 및 관련 양식/Bolivia quinoa_0.0_Bidding Guideline(ENG)_2021 0121.docx</x:v>
      </x:c>
      <x:c r="H1152" s="43" t="str">
        <x:v>문단 80</x:v>
      </x:c>
      <x:c r="I1152" s="46" t="str">
        <x:v>Site area : 17,312.58㎡</x:v>
      </x:c>
      <x:c r="J1152" s="43" t="str">
        <x:v>자동추출·검토필요</x:v>
      </x:c>
    </x:row>
    <x:row r="1153">
      <x:c r="A1153" s="43" t="str">
        <x:v>L2021-00005-1</x:v>
      </x:c>
      <x:c r="B1153" s="43" t="str">
        <x:v>연면적·면적</x:v>
      </x:c>
      <x:c r="C1153" s="46" t="str">
        <x:v>floor area, ㎡</x:v>
      </x:c>
      <x:c r="D1153" s="46" t="str">
        <x:v>80 ㎡</x:v>
      </x:c>
      <x:c r="E1153" s="46" t="str"/>
      <x:c r="F1153" s="46" t="str">
        <x:v>5%</x:v>
      </x:c>
      <x:c r="G1153" s="46" t="str">
        <x:v>L2021-00005-1/붙임2. 입찰 계획서(영문) 및 관련 양식/Bolivia quinoa_0.0_Bidding Guideline(ENG)_2021 0121.docx</x:v>
      </x:c>
      <x:c r="H1153" s="43" t="str">
        <x:v>문단 81</x:v>
      </x:c>
      <x:c r="I1153" s="46" t="str">
        <x:v>Gross floor area : 80㎡ (Gross floor area can be adjusted within the range of ±5%)</x:v>
      </x:c>
      <x:c r="J1153" s="43" t="str">
        <x:v>자동추출·검토필요</x:v>
      </x:c>
    </x:row>
    <x:row r="1154">
      <x:c r="A1154" s="43" t="str">
        <x:v>L2021-00005-1</x:v>
      </x:c>
      <x:c r="B1154" s="43" t="str">
        <x:v>연면적·면적</x:v>
      </x:c>
      <x:c r="C1154" s="46" t="str">
        <x:v>floor area, ㎡</x:v>
      </x:c>
      <x:c r="D1154" s="46" t="str">
        <x:v>2,000 ㎡</x:v>
      </x:c>
      <x:c r="E1154" s="46" t="str"/>
      <x:c r="F1154" s="46" t="str"/>
      <x:c r="G1154" s="46" t="str">
        <x:v>L2021-00005-1/붙임2. 입찰 계획서(영문) 및 관련 양식/Bolivia quinoa_0.0_Bidding Guideline(ENG)_2021 0121.docx</x:v>
      </x:c>
      <x:c r="H1154" s="43" t="str">
        <x:v>표 7 행 2</x:v>
      </x:c>
      <x:c r="I1154" s="46" t="str">
        <x:v>Project Experience (6 Points) | Sum of gross floor area(G.A.) of Office, Research, Educational building projects designed by the consultant for last 5 years | 2,000㎡ ≤ G.A. | 6.0 |</x:v>
      </x:c>
      <x:c r="J1154" s="43" t="str">
        <x:v>자동추출·검토필요</x:v>
      </x:c>
    </x:row>
    <x:row r="1155">
      <x:c r="A1155" s="43" t="str">
        <x:v>L2021-00005-1</x:v>
      </x:c>
      <x:c r="B1155" s="43" t="str">
        <x:v>연면적·면적</x:v>
      </x:c>
      <x:c r="C1155" s="46" t="str">
        <x:v>floor area, ㎡</x:v>
      </x:c>
      <x:c r="D1155" s="46" t="str">
        <x:v>1,600 ㎡ | 2,000 ㎡</x:v>
      </x:c>
      <x:c r="E1155" s="46" t="str"/>
      <x:c r="F1155" s="46" t="str"/>
      <x:c r="G1155" s="46" t="str">
        <x:v>L2021-00005-1/붙임2. 입찰 계획서(영문) 및 관련 양식/Bolivia quinoa_0.0_Bidding Guideline(ENG)_2021 0121.docx</x:v>
      </x:c>
      <x:c r="H1155" s="43" t="str">
        <x:v>표 7 행 3</x:v>
      </x:c>
      <x:c r="I1155" s="46" t="str">
        <x:v>Project Experience (6 Points) | Sum of gross floor area(G.A.) of Office, Research, Educational building projects designed by the consultant for last 5 years | 1,600㎡ ≤ G.A. &lt; 2,000㎡ | 5.55 |</x:v>
      </x:c>
      <x:c r="J1155" s="43" t="str">
        <x:v>자동추출·검토필요</x:v>
      </x:c>
    </x:row>
    <x:row r="1156">
      <x:c r="A1156" s="43" t="str">
        <x:v>L2021-00005-1</x:v>
      </x:c>
      <x:c r="B1156" s="43" t="str">
        <x:v>연면적·면적</x:v>
      </x:c>
      <x:c r="C1156" s="46" t="str">
        <x:v>floor area, ㎡</x:v>
      </x:c>
      <x:c r="D1156" s="46" t="str">
        <x:v>1,200 ㎡ | 1,600 ㎡</x:v>
      </x:c>
      <x:c r="E1156" s="46" t="str"/>
      <x:c r="F1156" s="46" t="str"/>
      <x:c r="G1156" s="46" t="str">
        <x:v>L2021-00005-1/붙임2. 입찰 계획서(영문) 및 관련 양식/Bolivia quinoa_0.0_Bidding Guideline(ENG)_2021 0121.docx</x:v>
      </x:c>
      <x:c r="H1156" s="43" t="str">
        <x:v>표 7 행 4</x:v>
      </x:c>
      <x:c r="I1156" s="46" t="str">
        <x:v>Project Experience (6 Points) | Sum of gross floor area(G.A.) of Office, Research, Educational building projects designed by the consultant for last 5 years | 1,200㎡ ≤ G.A. &lt; 1,600㎡ | 5.10 |</x:v>
      </x:c>
      <x:c r="J1156" s="43" t="str">
        <x:v>자동추출·검토필요</x:v>
      </x:c>
    </x:row>
    <x:row r="1157">
      <x:c r="A1157" s="43" t="str">
        <x:v>L2021-00005-1</x:v>
      </x:c>
      <x:c r="B1157" s="43" t="str">
        <x:v>연면적·면적</x:v>
      </x:c>
      <x:c r="C1157" s="46" t="str">
        <x:v>floor area, ㎡</x:v>
      </x:c>
      <x:c r="D1157" s="46" t="str">
        <x:v>850 ㎡ | 1,200 ㎡</x:v>
      </x:c>
      <x:c r="E1157" s="46" t="str"/>
      <x:c r="F1157" s="46" t="str"/>
      <x:c r="G1157" s="46" t="str">
        <x:v>L2021-00005-1/붙임2. 입찰 계획서(영문) 및 관련 양식/Bolivia quinoa_0.0_Bidding Guideline(ENG)_2021 0121.docx</x:v>
      </x:c>
      <x:c r="H1157" s="43" t="str">
        <x:v>표 7 행 5</x:v>
      </x:c>
      <x:c r="I1157" s="46" t="str">
        <x:v>Project Experience (6 Points) | Sum of gross floor area(G.A.) of Office, Research, Educational building projects designed by the consultant for last 5 years | 850㎡ ≤ G.A. &lt; 1,200㎡ | 4.65 |</x:v>
      </x:c>
      <x:c r="J1157" s="43" t="str">
        <x:v>자동추출·검토필요</x:v>
      </x:c>
    </x:row>
    <x:row r="1158">
      <x:c r="A1158" s="43" t="str">
        <x:v>L2021-00005-1</x:v>
      </x:c>
      <x:c r="B1158" s="43" t="str">
        <x:v>연면적·면적</x:v>
      </x:c>
      <x:c r="C1158" s="46" t="str">
        <x:v>floor area, ㎡</x:v>
      </x:c>
      <x:c r="D1158" s="46" t="str">
        <x:v>850 ㎡</x:v>
      </x:c>
      <x:c r="E1158" s="46" t="str"/>
      <x:c r="F1158" s="46" t="str"/>
      <x:c r="G1158" s="46" t="str">
        <x:v>L2021-00005-1/붙임2. 입찰 계획서(영문) 및 관련 양식/Bolivia quinoa_0.0_Bidding Guideline(ENG)_2021 0121.docx</x:v>
      </x:c>
      <x:c r="H1158" s="43" t="str">
        <x:v>표 7 행 6</x:v>
      </x:c>
      <x:c r="I1158" s="46" t="str">
        <x:v>Project Experience (6 Points) | Sum of gross floor area(G.A.) of Office, Research, Educational building projects designed by the consultant for last 5 years | G.A. &lt; 850㎡ | 4.20 |</x:v>
      </x:c>
      <x:c r="J1158" s="43" t="str">
        <x:v>자동추출·검토필요</x:v>
      </x:c>
    </x:row>
    <x:row r="1159">
      <x:c r="A1159" s="43" t="str">
        <x:v>L2021-00005-1</x:v>
      </x:c>
      <x:c r="B1159" s="43" t="str">
        <x:v>연면적·면적</x:v>
      </x:c>
      <x:c r="C1159" s="46" t="str">
        <x:v>㎡</x:v>
      </x:c>
      <x:c r="D1159" s="46" t="str">
        <x:v>83,750.75 ㎡</x:v>
      </x:c>
      <x:c r="E1159" s="46" t="str"/>
      <x:c r="F1159" s="46" t="str"/>
      <x:c r="G1159" s="46" t="str">
        <x:v>L2021-00005-1/붙임2. 입찰 계획서(영문) 및 관련 양식/Bolivia quinoa_1.0 IFB_2021 0121.docx</x:v>
      </x:c>
      <x:c r="H1159" s="43" t="str">
        <x:v>문단 55</x:v>
      </x:c>
      <x:c r="I1159" s="46" t="str">
        <x:v>1) Sivingani : 83,750.75㎡</x:v>
      </x:c>
      <x:c r="J1159" s="43" t="str">
        <x:v>자동추출·검토필요</x:v>
      </x:c>
    </x:row>
    <x:row r="1160">
      <x:c r="A1160" s="43" t="str">
        <x:v>L2021-00005-1</x:v>
      </x:c>
      <x:c r="B1160" s="43" t="str">
        <x:v>연면적·면적</x:v>
      </x:c>
      <x:c r="C1160" s="46" t="str">
        <x:v>㎡</x:v>
      </x:c>
      <x:c r="D1160" s="46" t="str">
        <x:v>17,312.58 ㎡</x:v>
      </x:c>
      <x:c r="E1160" s="46" t="str"/>
      <x:c r="F1160" s="46" t="str"/>
      <x:c r="G1160" s="46" t="str">
        <x:v>L2021-00005-1/붙임2. 입찰 계획서(영문) 및 관련 양식/Bolivia quinoa_1.0 IFB_2021 0121.docx</x:v>
      </x:c>
      <x:c r="H1160" s="43" t="str">
        <x:v>문단 56</x:v>
      </x:c>
      <x:c r="I1160" s="46" t="str">
        <x:v>2) Chacala : 17,312.58 ㎡ (Undefined_To be decided)</x:v>
      </x:c>
      <x:c r="J1160" s="43" t="str">
        <x:v>자동추출·검토필요</x:v>
      </x:c>
    </x:row>
    <x:row r="1161">
      <x:c r="A1161" s="43" t="str">
        <x:v>L2021-00005-1</x:v>
      </x:c>
      <x:c r="B1161" s="43" t="str">
        <x:v>연면적·면적</x:v>
      </x:c>
      <x:c r="C1161" s="46" t="str">
        <x:v>㎡</x:v>
      </x:c>
      <x:c r="D1161" s="46" t="str">
        <x:v>1,620 ㎡</x:v>
      </x:c>
      <x:c r="E1161" s="46" t="str"/>
      <x:c r="F1161" s="46" t="str"/>
      <x:c r="G1161" s="46" t="str">
        <x:v>L2021-00005-1/붙임2. 입찰 계획서(영문) 및 관련 양식/Bolivia quinoa_1.0 IFB_2021 0121.docx</x:v>
      </x:c>
      <x:c r="H1161" s="43" t="str">
        <x:v>문단 59</x:v>
      </x:c>
      <x:c r="I1161" s="46" t="str">
        <x:v>1) Sivingani : 1,620㎡</x:v>
      </x:c>
      <x:c r="J1161" s="43" t="str">
        <x:v>자동추출·검토필요</x:v>
      </x:c>
    </x:row>
    <x:row r="1162">
      <x:c r="A1162" s="43" t="str">
        <x:v>L2021-00005-1</x:v>
      </x:c>
      <x:c r="B1162" s="43" t="str">
        <x:v>연면적·면적</x:v>
      </x:c>
      <x:c r="C1162" s="46" t="str">
        <x:v>㎡</x:v>
      </x:c>
      <x:c r="D1162" s="46" t="str">
        <x:v>80 ㎡</x:v>
      </x:c>
      <x:c r="E1162" s="46" t="str"/>
      <x:c r="F1162" s="46" t="str"/>
      <x:c r="G1162" s="46" t="str">
        <x:v>L2021-00005-1/붙임2. 입찰 계획서(영문) 및 관련 양식/Bolivia quinoa_1.0 IFB_2021 0121.docx</x:v>
      </x:c>
      <x:c r="H1162" s="43" t="str">
        <x:v>문단 60</x:v>
      </x:c>
      <x:c r="I1162" s="46" t="str">
        <x:v>2) Chacala : 80 ㎡</x:v>
      </x:c>
      <x:c r="J1162" s="43" t="str">
        <x:v>자동추출·검토필요</x:v>
      </x:c>
    </x:row>
    <x:row r="1163">
      <x:c r="A1163" s="43" t="str">
        <x:v>L2021-00005-1</x:v>
      </x:c>
      <x:c r="B1163" s="43" t="str">
        <x:v>연면적·면적</x:v>
      </x:c>
      <x:c r="C1163" s="46" t="str">
        <x:v>㎡</x:v>
      </x:c>
      <x:c r="D1163" s="46" t="str">
        <x:v>83,750.75 ㎡ | 17,312.58 ㎡</x:v>
      </x:c>
      <x:c r="E1163" s="46" t="str"/>
      <x:c r="F1163" s="46" t="str"/>
      <x:c r="G1163" s="46" t="str">
        <x:v>L2021-00005-1/붙임2. 입찰 계획서(영문) 및 관련 양식/Bolivia quinoa_4.0 Terms of Reference_2021 0121.docx</x:v>
      </x:c>
      <x:c r="H1163" s="43" t="str">
        <x:v>표 1 행 4</x:v>
      </x:c>
      <x:c r="I1163" s="46" t="str">
        <x:v>Site Area | 1. Sivingani : 83,750.75㎡ 2. Chacala : 17,312.58㎡ (Undefined_To be decided)</x:v>
      </x:c>
      <x:c r="J1163" s="43" t="str">
        <x:v>자동추출·검토필요</x:v>
      </x:c>
    </x:row>
    <x:row r="1164">
      <x:c r="A1164" s="43" t="str">
        <x:v>L2021-00005-1</x:v>
      </x:c>
      <x:c r="B1164" s="43" t="str">
        <x:v>연면적·면적</x:v>
      </x:c>
      <x:c r="C1164" s="46" t="str">
        <x:v>floor area, ㎡</x:v>
      </x:c>
      <x:c r="D1164" s="46" t="str">
        <x:v>1,620 ㎡ | 80 ㎡</x:v>
      </x:c>
      <x:c r="E1164" s="46" t="str"/>
      <x:c r="F1164" s="46" t="str"/>
      <x:c r="G1164" s="46" t="str">
        <x:v>L2021-00005-1/붙임2. 입찰 계획서(영문) 및 관련 양식/Bolivia quinoa_4.0 Terms of Reference_2021 0121.docx</x:v>
      </x:c>
      <x:c r="H1164" s="43" t="str">
        <x:v>표 1 행 5</x:v>
      </x:c>
      <x:c r="I1164" s="46" t="str">
        <x:v>Gross Floor Area | 1. Sivingani : 1,620 ㎡ 2. Chacala : 80㎡</x:v>
      </x:c>
      <x:c r="J1164" s="43" t="str">
        <x:v>자동추출·검토필요</x:v>
      </x:c>
    </x:row>
    <x:row r="1165">
      <x:c r="A1165" s="43" t="str">
        <x:v>L2021-00004-1</x:v>
      </x:c>
      <x:c r="B1165" s="43" t="str">
        <x:v>연면적·면적</x:v>
      </x:c>
      <x:c r="C1165" s="46" t="str">
        <x:v>floor area</x:v>
      </x:c>
      <x:c r="D1165" s="46" t="str">
        <x:v>769 M2 | 279 m2</x:v>
      </x:c>
      <x:c r="E1165" s="46" t="str">
        <x:v>USD 125,000</x:v>
      </x:c>
      <x:c r="F1165" s="46" t="str">
        <x:v>60%</x:v>
      </x:c>
      <x:c r="G1165" s="46" t="str">
        <x:v>L2021-00004-1/1. 설계 및 감리사 선정 영문 RFP.pdf</x:v>
      </x:c>
      <x:c r="H1165" s="43" t="str">
        <x:v>페이지 2</x:v>
      </x:c>
      <x:c r="I1165" s="46" t="str">
        <x:v>1. BID SUMMARY 1. SYNOPSIS Design and Construction Supervision Services of Outreach Center for BIDDING TITLE Empowering Rural Communities in Nepal through an integrated approach to Health and Income Growth Putter/Tanahun District in Province -4 and Hindi / Bhotekoshi Rural LOCATION Municipality Ward 4 (2 Places) - Putter ORC (Total Floor Area : 769M2/2 story) WORK SCALE - Hindi ORC (Total Floor Area : 279 m2/2 story) STRUCTURE Reinforced Concrete(RC) Structure 2. BIDDING TITLE : DESIGN AND CONSTRUCTION SUPERVISION SERVICES 2.1 DESIGN SERVICE 1) Architectural (including signage), Structural, Civil, Electrical, Mechanical, Sanitary, Water Supply, Communication, Firefighting and External works. 2) Survey, Drawing, Specification, BOQ, Calculation for Structure, Mechanical, Electrical and Sanitary and others, Construction Documentations and Bid Documents for the selection of Contractor. 2.2. CONSTRUCTION SUPERVISION SERVICE 2.2.1 Construction Supervision services on Site 2.3. - PROJECT BUDGET [ESTIMATED AMOUNT] : USD 125,000 (Exclude VAT) Note : The respective bid price for the Design or for the Supervision shall not exceed 60% of the total budget for bid announced by KOICA. 2.4 .CONTRA</x:v>
      </x:c>
      <x:c r="J1165" s="43" t="str">
        <x:v>자동추출·검토필요</x:v>
      </x:c>
    </x:row>
    <x:row r="1166">
      <x:c r="A1166" s="43" t="str">
        <x:v>L2021-00004-1</x:v>
      </x:c>
      <x:c r="B1166" s="43" t="str">
        <x:v>연면적·면적</x:v>
      </x:c>
      <x:c r="C1166" s="46" t="str">
        <x:v>floor area</x:v>
      </x:c>
      <x:c r="D1166" s="46" t="str">
        <x:v>1,500 M2</x:v>
      </x:c>
      <x:c r="E1166" s="46" t="str"/>
      <x:c r="F1166" s="46" t="str"/>
      <x:c r="G1166" s="46" t="str">
        <x:v>L2021-00004-1/1. 설계 및 감리사 선정 영문 RFP.pdf</x:v>
      </x:c>
      <x:c r="H1166" s="43" t="str">
        <x:v>페이지 18</x:v>
      </x:c>
      <x:c r="I1166" s="46" t="str">
        <x:v>6 7 8 9 10 Total Man-Month 첨부#4). PERFORMANCE TRACK RECORD IN SIMILAR COMPLETED PROJECTS LAST 3 YEARS [최근3년 유사사업 실적] Bidders should provide the project name of suitably service experience to meet the requirements specified in Evaluation and Qualification Criteria. The data on their experience should be filled out by using the Form below for each candidate. 1.1.Proposed experience in University building, Office Building, IT Building, Hospital, Bank, Shopping Mall, Auditorium, Convention Center during the last 3 years. The gross floor area of the completed project shall be not less than 1,500 M2 for each of the above mentioned buildings. 1).Name of Project : 2). Contract period : 1 3).Project Location : 4).Gross Floor Area : M2 5). Contract Amount : 1).Name of Project : 2).Contract period : 2 3).Project Location : 4).Gross Floor Area : M2 5).Contract Amount: 1).Name of Project: 2).Contract period : 3 3).Project Location : 4).Gross Floor Area : M2 5).Contract Amount: 1).Name of Project: 2).Contract period : 4 3).Project Location 4).Gross Floor Area : M2 5).Contract Amount: 5 6 7 8 18</x:v>
      </x:c>
      <x:c r="J1166" s="43" t="str">
        <x:v>자동추출·검토필요</x:v>
      </x:c>
    </x:row>
    <x:row r="1167">
      <x:c r="A1167" s="43" t="str">
        <x:v>L2021-00004-1</x:v>
      </x:c>
      <x:c r="B1167" s="43" t="str">
        <x:v>연면적·면적</x:v>
      </x:c>
      <x:c r="C1167" s="46" t="str">
        <x:v>floor area</x:v>
      </x:c>
      <x:c r="D1167" s="46" t="str">
        <x:v>769 M2 | 279 M2</x:v>
      </x:c>
      <x:c r="E1167" s="46" t="str"/>
      <x:c r="F1167" s="46" t="str"/>
      <x:c r="G1167" s="46" t="str">
        <x:v>L2021-00004-1/2. 입찰공고.docx</x:v>
      </x:c>
      <x:c r="H1167" s="43" t="str">
        <x:v>문단 11</x:v>
      </x:c>
      <x:c r="I1167" s="46" t="str">
        <x:v>1.3 Total Floor Area: 769 M2 (puttar) and 279M2(Hindi)</x:v>
      </x:c>
      <x:c r="J1167" s="43" t="str">
        <x:v>자동추출·검토필요</x:v>
      </x:c>
    </x:row>
    <x:row r="1168">
      <x:c r="A1168" s="43" t="str">
        <x:v>L2021-00004-1</x:v>
      </x:c>
      <x:c r="B1168" s="43" t="str">
        <x:v>연면적·면적</x:v>
      </x:c>
      <x:c r="C1168" s="46" t="str">
        <x:v>floor area</x:v>
      </x:c>
      <x:c r="D1168" s="46" t="str">
        <x:v>769 M2 | 279 M2</x:v>
      </x:c>
      <x:c r="E1168" s="46" t="str"/>
      <x:c r="F1168" s="46" t="str"/>
      <x:c r="G1168" s="46" t="str">
        <x:v>L2021-00004-1/3. 입찰서류 세트/05_Chapter 5. Invitation to Bid_.docx</x:v>
      </x:c>
      <x:c r="H1168" s="43" t="str">
        <x:v>표 2 행 2</x:v>
      </x:c>
      <x:c r="I1168" s="46" t="str">
        <x:v>Summary of Services | Design and Construction Supervision Consultant Services 1) 2places (Puttar &amp; Hindi) 2) Total floor area: puttar(769 M2)/hindi(279M2) approximately 3) Construction Supervision: 16 &amp; 14 Months</x:v>
      </x:c>
      <x:c r="J1168" s="43" t="str">
        <x:v>자동추출·검토필요</x:v>
      </x:c>
    </x:row>
    <x:row r="1169">
      <x:c r="A1169" s="43" t="str">
        <x:v>L2021-00004-1</x:v>
      </x:c>
      <x:c r="B1169" s="43" t="str">
        <x:v>연면적·면적</x:v>
      </x:c>
      <x:c r="C1169" s="46" t="str">
        <x:v>floor area</x:v>
      </x:c>
      <x:c r="D1169" s="46" t="str">
        <x:v>769 M2 | 279 M2</x:v>
      </x:c>
      <x:c r="E1169" s="46" t="str"/>
      <x:c r="F1169" s="46" t="str"/>
      <x:c r="G1169" s="46" t="str">
        <x:v>L2021-00004-1/3. 입찰서류 세트/Addendum No.1_Scope of the services .docx</x:v>
      </x:c>
      <x:c r="H1169" s="43" t="str">
        <x:v>표 1 행 3</x:v>
      </x:c>
      <x:c r="I1169" s="46" t="str">
        <x:v>3 | Total Floor Area | 769M2(PUTTAR) / 279M2(HINDI)</x:v>
      </x:c>
      <x:c r="J1169" s="43" t="str">
        <x:v>자동추출·검토필요</x:v>
      </x:c>
    </x:row>
    <x:row r="1170">
      <x:c r="A1170" s="43" t="str">
        <x:v>L2021-00004-1</x:v>
      </x:c>
      <x:c r="B1170" s="43" t="str">
        <x:v>연면적·면적</x:v>
      </x:c>
      <x:c r="C1170" s="46" t="str">
        <x:v>floor area</x:v>
      </x:c>
      <x:c r="D1170" s="46" t="str">
        <x:v>769 M2 | 279 M2</x:v>
      </x:c>
      <x:c r="E1170" s="46" t="str"/>
      <x:c r="F1170" s="46" t="str"/>
      <x:c r="G1170" s="46" t="str">
        <x:v>L2021-00004-1/3. 입찰서류 세트/Attachment4.BID ANNOUNCEMENT.docx</x:v>
      </x:c>
      <x:c r="H1170" s="43" t="str">
        <x:v>문단 11</x:v>
      </x:c>
      <x:c r="I1170" s="46" t="str">
        <x:v>1.3 Total Floor Area: 769 M2 (puttar) and 279M2(Hindi)</x:v>
      </x:c>
      <x:c r="J1170" s="43" t="str">
        <x:v>자동추출·검토필요</x:v>
      </x:c>
    </x:row>
    <x:row r="1171">
      <x:c r="A1171" s="43" t="str">
        <x:v>L2025-00099-1</x:v>
      </x:c>
      <x:c r="B1171" s="43" t="str">
        <x:v>총사업비·예산</x:v>
      </x:c>
      <x:c r="C1171" s="46" t="str">
        <x:v>project budget</x:v>
      </x:c>
      <x:c r="D1171" s="46" t="str"/>
      <x:c r="E1171" s="46" t="str">
        <x:v>USD 200,000 | USD 200,000</x:v>
      </x:c>
      <x:c r="F1171" s="46" t="str"/>
      <x:c r="G1171" s="46" t="str">
        <x:v>L2025-00099-1/KG-2025-11/KG-2025-11/Section 2 - Bid Data Sheet (영문)_WaSH.docx</x:v>
      </x:c>
      <x:c r="H1171" s="43" t="str">
        <x:v>표 4 행 14</x:v>
      </x:c>
      <x:c r="I1171" s="46" t="str">
        <x:v>․ Project Budget | USD 200,000 (Be exclusive of VAT and other applicable indirect taxes) | USD 200,000 (Be exclusive of VAT and other applicable indirect taxes)</x:v>
      </x:c>
      <x:c r="J1171" s="43" t="str">
        <x:v>자동추출·검토필요</x:v>
      </x:c>
    </x:row>
    <x:row r="1172">
      <x:c r="A1172" s="43" t="str">
        <x:v>L2025-00099-1</x:v>
      </x:c>
      <x:c r="B1172" s="43" t="str">
        <x:v>총사업비·예산</x:v>
      </x:c>
      <x:c r="C1172" s="46" t="str">
        <x:v>project budget</x:v>
      </x:c>
      <x:c r="D1172" s="46" t="str"/>
      <x:c r="E1172" s="46" t="str">
        <x:v>USD 200,000 | USD 200,000</x:v>
      </x:c>
      <x:c r="F1172" s="46" t="str"/>
      <x:c r="G1172" s="46" t="str">
        <x:v>L2025-00099-1/KG-2025-11/KG-2025-11/Section 4_5_6 -Requirements_WaSH.docx</x:v>
      </x:c>
      <x:c r="H1172" s="43" t="str">
        <x:v>표 3 행 23</x:v>
      </x:c>
      <x:c r="I1172" s="46" t="str">
        <x:v>- Project Budget | USD 200,000 (Be exclusive of VAT and other applicable indirect taxes) | USD 200,000 (Be exclusive of VAT and other applicable indirect taxes)</x:v>
      </x:c>
      <x:c r="J1172" s="43" t="str">
        <x:v>자동추출·검토필요</x:v>
      </x:c>
    </x:row>
    <x:row r="1173">
      <x:c r="A1173" s="43" t="str">
        <x:v>L2025-00087-1</x:v>
      </x:c>
      <x:c r="B1173" s="43" t="str">
        <x:v>총사업비·예산</x:v>
      </x:c>
      <x:c r="C1173" s="46" t="str">
        <x:v>total budget</x:v>
      </x:c>
      <x:c r="D1173" s="46" t="str"/>
      <x:c r="E1173" s="46" t="str">
        <x:v>USD 2,336,848</x:v>
      </x:c>
      <x:c r="F1173" s="46" t="str"/>
      <x:c r="G1173" s="46" t="str">
        <x:v>L2025-00087-1/01. Invitation for Bids_Summary of Bidding.docx</x:v>
      </x:c>
      <x:c r="H1173" s="43" t="str">
        <x:v>문단 13</x:v>
      </x:c>
      <x:c r="I1173" s="46" t="str">
        <x:v>A single contract construction performance record of the energy construction works completed within the last five (5) years, with a total budget USD 2,336,848 as of the bid submission deadline</x:v>
      </x:c>
      <x:c r="J1173" s="43" t="str">
        <x:v>자동추출·검토필요</x:v>
      </x:c>
    </x:row>
    <x:row r="1174">
      <x:c r="A1174" s="43" t="str">
        <x:v>L2025-00087-1</x:v>
      </x:c>
      <x:c r="B1174" s="43" t="str">
        <x:v>총사업비·예산</x:v>
      </x:c>
      <x:c r="C1174" s="46" t="str">
        <x:v>project budget</x:v>
      </x:c>
      <x:c r="D1174" s="46" t="str"/>
      <x:c r="E1174" s="46" t="str">
        <x:v>USD 2,336,848</x:v>
      </x:c>
      <x:c r="F1174" s="46" t="str"/>
      <x:c r="G1174" s="46" t="str">
        <x:v>L2025-00087-1/01. Invitation for Bids_Summary of Bidding.docx</x:v>
      </x:c>
      <x:c r="H1174" s="43" t="str">
        <x:v>문단 26</x:v>
      </x:c>
      <x:c r="I1174" s="46" t="str">
        <x:v>The available budget for this procurement assignment is USD 2,336,848 and Bidders’ Proposals should not exceed this budget. Any bid exceeding the project budget may result in rejection of its bid.</x:v>
      </x:c>
      <x:c r="J1174" s="43" t="str">
        <x:v>자동추출·검토필요</x:v>
      </x:c>
    </x:row>
    <x:row r="1175">
      <x:c r="A1175" s="43" t="str">
        <x:v>L2025-00085-1</x:v>
      </x:c>
      <x:c r="B1175" s="43" t="str">
        <x:v>총사업비·예산</x:v>
      </x:c>
      <x:c r="C1175" s="46" t="str">
        <x:v>예산</x:v>
      </x:c>
      <x:c r="D1175" s="46" t="str"/>
      <x:c r="E1175" s="46" t="str">
        <x:v>USD 6,646,000</x:v>
      </x:c>
      <x:c r="F1175" s="46" t="str"/>
      <x:c r="G1175" s="46" t="str">
        <x:v>L2025-00085-1/붙임1. 이라크 한-이라크 심장병 어린이 전문 병원 현지시공 신규 입찰 계획(안)-.hwp</x:v>
      </x:c>
      <x:c r="H1175" s="43" t="str">
        <x:v>문단 272</x:v>
      </x:c>
      <x:c r="I1175" s="46" t="str">
        <x:v>입찰자의 총 병원실적 금액/ 예상하는 예산 USD 6,646,000</x:v>
      </x:c>
      <x:c r="J1175" s="43" t="str">
        <x:v>자동추출·검토필요</x:v>
      </x:c>
    </x:row>
    <x:row r="1176">
      <x:c r="A1176" s="43" t="str">
        <x:v>L2025-00085-1</x:v>
      </x:c>
      <x:c r="B1176" s="43" t="str">
        <x:v>총사업비·예산</x:v>
      </x:c>
      <x:c r="C1176" s="46" t="str">
        <x:v>예산</x:v>
      </x:c>
      <x:c r="D1176" s="46" t="str"/>
      <x:c r="E1176" s="46" t="str">
        <x:v>USD 13,293,000</x:v>
      </x:c>
      <x:c r="F1176" s="46" t="str"/>
      <x:c r="G1176" s="46" t="str">
        <x:v>L2025-00085-1/붙임1. 이라크 한-이라크 심장병 어린이 전문 병원 현지시공 신규 입찰 계획(안)-.hwp</x:v>
      </x:c>
      <x:c r="H1176" s="43" t="str">
        <x:v>문단 291</x:v>
      </x:c>
      <x:c r="I1176" s="46" t="str">
        <x:v>입찰자의 총 일반건물 실적 금액/ 예상하는 예산 USD 13,293,000</x:v>
      </x:c>
      <x:c r="J1176" s="43" t="str">
        <x:v>자동추출·검토필요</x:v>
      </x:c>
    </x:row>
    <x:row r="1177">
      <x:c r="A1177" s="43" t="str">
        <x:v>L2025-00085-1</x:v>
      </x:c>
      <x:c r="B1177" s="43" t="str">
        <x:v>총사업비·예산</x:v>
      </x:c>
      <x:c r="C1177" s="46" t="str">
        <x:v>project budget</x:v>
      </x:c>
      <x:c r="D1177" s="46" t="str"/>
      <x:c r="E1177" s="46" t="str">
        <x:v>USD 13,292,831</x:v>
      </x:c>
      <x:c r="F1177" s="46" t="str"/>
      <x:c r="G1177" s="46" t="str">
        <x:v>L2025-00085-1/붙임2. 현지입찰(신규입찰) 서류 및 계약서류(안)/★Summary of Bidding _공고용 최종.docx</x:v>
      </x:c>
      <x:c r="H1177" s="43" t="str">
        <x:v>문단 17</x:v>
      </x:c>
      <x:c r="I1177" s="46" t="str">
        <x:v>The available budget for this procurement assignment is USD 13,292,831 and Bidders’ Proposals should not exceed this budget. Any bid exceeding the project budget will result in rejection of its bid.</x:v>
      </x:c>
      <x:c r="J1177" s="43" t="str">
        <x:v>자동추출·검토필요</x:v>
      </x:c>
    </x:row>
    <x:row r="1178">
      <x:c r="A1178" s="43" t="str">
        <x:v>L2025-00085-1</x:v>
      </x:c>
      <x:c r="B1178" s="43" t="str">
        <x:v>총사업비·예산</x:v>
      </x:c>
      <x:c r="C1178" s="46" t="str">
        <x:v>project budget</x:v>
      </x:c>
      <x:c r="D1178" s="46" t="str"/>
      <x:c r="E1178" s="46" t="str">
        <x:v>USD 13,292,831</x:v>
      </x:c>
      <x:c r="F1178" s="46" t="str"/>
      <x:c r="G1178" s="46" t="str">
        <x:v>L2025-00085-1/붙임2. 현지입찰(신규입찰) 서류 및 계약서류(안)/★Summary of Bidding _공고용 최종.docx</x:v>
      </x:c>
      <x:c r="H1178" s="43" t="str">
        <x:v>표 2 행 4</x:v>
      </x:c>
      <x:c r="I1178" s="46" t="str">
        <x:v>․ Project Budget | USD 13,292,831 (VAT not included, various indirect cost included.)</x:v>
      </x:c>
      <x:c r="J1178" s="43" t="str">
        <x:v>자동추출·검토필요</x:v>
      </x:c>
    </x:row>
    <x:row r="1179">
      <x:c r="A1179" s="43" t="str">
        <x:v>L2025-00084-1</x:v>
      </x:c>
      <x:c r="B1179" s="43" t="str">
        <x:v>총사업비·예산</x:v>
      </x:c>
      <x:c r="C1179" s="46" t="str">
        <x:v>project budget</x:v>
      </x:c>
      <x:c r="D1179" s="46" t="str"/>
      <x:c r="E1179" s="46" t="str">
        <x:v>USD 4,383,000 | USD 4,383,000</x:v>
      </x:c>
      <x:c r="F1179" s="46" t="str"/>
      <x:c r="G1179" s="46" t="str">
        <x:v>L2025-00084-1/Section 2 - Bid Data Sheet (EN)_vr8.docx</x:v>
      </x:c>
      <x:c r="H1179" s="43" t="str">
        <x:v>표 4 행 13</x:v>
      </x:c>
      <x:c r="I1179" s="46" t="str">
        <x:v>․ Project Budget | USD 4,383,000 (Be exclusive of VAT and other applicable indirect taxes) | USD 4,383,000 (Be exclusive of VAT and other applicable indirect taxes)</x:v>
      </x:c>
      <x:c r="J1179" s="43" t="str">
        <x:v>자동추출·검토필요</x:v>
      </x:c>
    </x:row>
    <x:row r="1180">
      <x:c r="A1180" s="43" t="str">
        <x:v>L2025-00078-1</x:v>
      </x:c>
      <x:c r="B1180" s="43" t="str">
        <x:v>총사업비·예산</x:v>
      </x:c>
      <x:c r="C1180" s="46" t="str">
        <x:v>집행한도</x:v>
      </x:c>
      <x:c r="D1180" s="46" t="str"/>
      <x:c r="E1180" s="46" t="str">
        <x:v>$ 1</x:v>
      </x:c>
      <x:c r="F1180" s="46" t="str">
        <x:v>7%</x:v>
      </x:c>
      <x:c r="G1180" s="46" t="str">
        <x:v>L2025-00078-1/1. 국문 입찰계획서.hwp</x:v>
      </x:c>
      <x:c r="H1180" s="43" t="str">
        <x:v>문단 81</x:v>
      </x:c>
      <x:c r="I1180" s="46" t="str">
        <x:v>* 공식환율($1 = 6.96 bs) 및 추정공사비의 7% 적용하여 설계 집행한도액 산정</x:v>
      </x:c>
      <x:c r="J1180" s="43" t="str">
        <x:v>자동추출·검토필요</x:v>
      </x:c>
    </x:row>
    <x:row r="1181">
      <x:c r="A1181" s="43" t="str">
        <x:v>L2025-00075-1</x:v>
      </x:c>
      <x:c r="B1181" s="43" t="str">
        <x:v>총사업비·예산</x:v>
      </x:c>
      <x:c r="C1181" s="46" t="str">
        <x:v>project budget</x:v>
      </x:c>
      <x:c r="D1181" s="46" t="str"/>
      <x:c r="E1181" s="46" t="str">
        <x:v>USD 153,695</x:v>
      </x:c>
      <x:c r="F1181" s="46" t="str"/>
      <x:c r="G1181" s="46" t="str">
        <x:v>L2025-00075-1/Summary of Bidding_Invitation to Bid_250913.docx</x:v>
      </x:c>
      <x:c r="H1181" s="43" t="str">
        <x:v>문단 21</x:v>
      </x:c>
      <x:c r="I1181" s="46" t="str">
        <x:v>The available budget for this procurement assignment is USD 153,695 and Bidders’ Proposals should not exceed this budget. Any bid exceeding the project budget may result in rejection of its bid.</x:v>
      </x:c>
      <x:c r="J1181" s="43" t="str">
        <x:v>자동추출·검토필요</x:v>
      </x:c>
    </x:row>
    <x:row r="1182">
      <x:c r="A1182" s="43" t="str">
        <x:v>L2025-00075-1</x:v>
      </x:c>
      <x:c r="B1182" s="43" t="str">
        <x:v>총사업비·예산</x:v>
      </x:c>
      <x:c r="C1182" s="46" t="str">
        <x:v>project budget</x:v>
      </x:c>
      <x:c r="D1182" s="46" t="str"/>
      <x:c r="E1182" s="46" t="str">
        <x:v>USD 153,695</x:v>
      </x:c>
      <x:c r="F1182" s="46" t="str"/>
      <x:c r="G1182" s="46" t="str">
        <x:v>L2025-00075-1/Summary of Bidding_Invitation to Bid_250913.docx</x:v>
      </x:c>
      <x:c r="H1182" s="43" t="str">
        <x:v>표 2 행 4</x:v>
      </x:c>
      <x:c r="I1182" s="46" t="str">
        <x:v>․ Project Budget | ▪ Design Fee : USD 153,695 (Including value-added taxes, other fees and permit from Authorities)</x:v>
      </x:c>
      <x:c r="J1182" s="43" t="str">
        <x:v>자동추출·검토필요</x:v>
      </x:c>
    </x:row>
    <x:row r="1183">
      <x:c r="A1183" s="43" t="str">
        <x:v>L2025-00073-1</x:v>
      </x:c>
      <x:c r="B1183" s="43" t="str">
        <x:v>총사업비·예산</x:v>
      </x:c>
      <x:c r="C1183" s="46" t="str">
        <x:v>집행한도</x:v>
      </x:c>
      <x:c r="D1183" s="46" t="str">
        <x:v>6,000 m2 | 9,053 m2</x:v>
      </x:c>
      <x:c r="E1183" s="46" t="str">
        <x:v>USD 11,277,000 | USD 10,995,000</x:v>
      </x:c>
      <x:c r="F1183" s="46" t="str"/>
      <x:c r="G1183" s="46" t="str">
        <x:v>L2025-00073-1/(붙임1) 입찰공고문(국문).pdf</x:v>
      </x:c>
      <x:c r="H1183" s="43" t="str">
        <x:v>페이지 5</x:v>
      </x:c>
      <x:c r="I1183" s="46" t="str">
        <x:v>1. 입찰에 부치는 사항 (입찰개요) 가. 공고번호 KOICA L2025-00072-1 나. 입찰건명 캄보디아 국립 어린이병원 내과계 병동 신축공사 시공사 선정 다. 공사개요 캄보디아 국립 어린이병원 내과계 병동 신축공사 - 위치 St.122, Phnom Penh, National Pediatric Hospital - 용도 의료시설 - 대지면적/연면적 6,000m2 / 9,053m2 - 구조/높이/층수 RC / 5층 / 24.7m - 공사 기간 착공일로부터 26개월 설계도서 및 계약도서에 의한 모든 건설 공사를 포함한다. - 공사 범위 인접 병동 포함 병원 단지내 공사 영향에 대한 안전 조치를 취하며 시공한다. 자세한 공사 범위는 입찰 관련 서류 파일을 참조한다. 1. 시공자는 계약기간내에 완료해야 한다. - 입찰 단계부터 시공 및 유지보수 전 과정에 걸쳐 캄보디아의 모든 법률 및 규정을 준수해야 한다. - 현장으로 반입하는 모든 자재의 운송 비용을 부담해야 한다. - 자재 및 성과물의 납품, 설치 및 테스트와 관련된 국제 및 현지 규정을 준수하고 보고해야 합니다. - 모든 자재는 신품이어야 하며 국제 표준을 준수해야 한다. 2. 건설공사 관련한 모든 허가 및 승인, 관리(문서화, 관련 정보 - 일반 사항 작성 및 신청 지원)작업과 책임은 계약자에게 있다. 3. 시공자는 대상 시설에 대하여 철저한 현장 조사를 실시하고 안전 관리 및 시공 관리 계획를 포함한 문서를 작성 및 제출하여, 발주자의 승인을 받고 공사를 수행 해야 한다. - 현황 조사 보고서 신축 병동과 연결 예정인 기존 건물의 현재 상태에 대한 상세하고 종합적인 조사(전기,통신 등 각종 설비)와 관련 시설의 연결등을 포함하여 기존 건물과의 호환성 조사 보고서. - 안전관리 및 시공 관리 계획서(공정표 포함) 공사 수행을 위한 안전 관리 대책, 시공 관리 절차 및 종합적인 공정표를 상세히 기술한 계획서를 작성한다. 계약일로부터 공사 완료일까지로 한다. 공사 완료일은 착공일로부터 라. 계약기간 26개월이며, 계약자는 계약일로부터 14일 이내에 착공한다. 마. 계약방식 총액계약(Lump Sum Contract) * 물가변동에 의한 계약금액 조정 불가능 바. 집행한도액 USD 11,277,000 (부가세 제외) - 기초금액 USD 10,995,000 (부가세 제외) - 2 -</x:v>
      </x:c>
      <x:c r="J1183" s="43" t="str">
        <x:v>자동추출·검토필요</x:v>
      </x:c>
    </x:row>
    <x:row r="1184">
      <x:c r="A1184" s="43" t="str">
        <x:v>L2025-00073-1</x:v>
      </x:c>
      <x:c r="B1184" s="43" t="str">
        <x:v>총사업비·예산</x:v>
      </x:c>
      <x:c r="C1184" s="46" t="str">
        <x:v>집행한도</x:v>
      </x:c>
      <x:c r="D1184" s="46" t="str"/>
      <x:c r="E1184" s="46" t="str">
        <x:v>USD 7,000,000</x:v>
      </x:c>
      <x:c r="F1184" s="46" t="str">
        <x:v>200% | 250% | 275% | 300% | 300% | 80% | 70% | 60%</x:v>
      </x:c>
      <x:c r="G1184" s="46" t="str">
        <x:v>L2025-00073-1/(붙임1) 입찰공고문(국문).pdf</x:v>
      </x:c>
      <x:c r="H1184" s="43" t="str">
        <x:v>페이지 15</x:v>
      </x:c>
      <x:c r="I1184" s="46" t="str">
        <x:v>만족하지 못하면 총 4인 이상의 경력기술자 보유 시에도 3인 이상의 평가 점수(3점)를 부여함. 주2) 일반기술자는 입찰공고일 기준 회사 소속으로 당해 공사와 동일 및 유사한 종류의 공사(건축공사)에 2년 이상 종사한 자로 경력기술자가 아닌 자 주3) 제출서류 : 건설기술자 경력사항 확인서(입찰서식4-4), 학위 증명서, 발주처 또는 공공기관에서 발급한 실적증명서 또는 참여자 명단, 발주처에서 발급한 인력 동원 확인 공문 ③ 경영상태(14점): 경영상태 평가기준에 의한 종합평점 x 14/45 심사항목 평가요소 배 점 평가등급 평 점 A: 200%이하 22.0 B: 250%이하 19.7 최근 3년도 부채비율 1. 부채비율 22 C: 275%이하 17.5 (부채총계/자기자본) D: 300%이하 15.2 E: 300%초과 13.0 A: 80%이상 12.0 1) 연간매출액 B: 70%이상 10.7 최근 3년간 연평균 매출액 12 C: 60%이상 9.4 2. 최근년도 (기준금액:USD 7,000,000) D: 50%이상 8.1 유동비율 E: 50%초과 6.9 A: 집행한도액의 7%이상 9.0 2) 현금유동성 B: 집행한도액의 6%이상 8.0 입찰공고일 기준 법인 명의 계좌의 9 C: 집행한도액의 5%이상 7.1 잔고 비율 D: 집행한도액의 4%이상 6.1 (동일 법인명 계좌 잔고합산 가능) E: 집행한도액의 4%미만 5.1 5년이상 2.0 3. 영업기간 2 5년미만 3년이상 1.8 3년미만 1.5 계 45 * 평가기준(최근년도 유동비율) 개정사유 1. 기업 경영상태 평가를 위하여 통상적으로는 ‘유동비율’을 사용하나, 현지의 업종별 적정 유동비율 기준이 없어, 2. 유동 비율 대신 연간매출액(해외 MDB에서 사용하는 유동비율 평가)과 현금유동성(공사수행 가능성 여부 평가)을 평가기준으로 설정. 3. 연간매출액=(집행한도액÷공사기간)x안전계수(1.5)={11,277,00÷(26÷12)}x1.5=7,807,153 4. 계좌잔고=집행한도액의 3~7% 5. ADB와 캄보디아 보건부(MOH)에서 주관한 [Establishing the University of Health Science Teaching Hospital Project(13 Dec. 2023)] 시공사 선정 입찰 사례 참고. 주1) 제출서류 : 입찰서식5 및 증빙자료, 입찰공고일 기준 법인 명의 통장 사본 - 12 -</x:v>
      </x:c>
      <x:c r="J1184" s="43" t="str">
        <x:v>자동추출·검토필요</x:v>
      </x:c>
    </x:row>
    <x:row r="1185">
      <x:c r="A1185" s="43" t="str">
        <x:v>L2025-00073-1</x:v>
      </x:c>
      <x:c r="B1185" s="43" t="str">
        <x:v>총사업비·예산</x:v>
      </x:c>
      <x:c r="C1185" s="46" t="str">
        <x:v>project budget</x:v>
      </x:c>
      <x:c r="D1185" s="46" t="str"/>
      <x:c r="E1185" s="46" t="str">
        <x:v>USD 11,277,000 | USD 11,277,000</x:v>
      </x:c>
      <x:c r="F1185" s="46" t="str"/>
      <x:c r="G1185" s="46" t="str">
        <x:v>L2025-00073-1/(붙임2) 입찰서류(영문)_도면, 시방서, 프로젝트리포트 제외/Section 2_Bid Data Sheet(BDS).docx</x:v>
      </x:c>
      <x:c r="H1185" s="43" t="str">
        <x:v>표 3 행 13</x:v>
      </x:c>
      <x:c r="I1185" s="46" t="str">
        <x:v>F. Project Budget | USD 11,277,000 (Exclusive of VAT) | USD 11,277,000 (Exclusive of VAT)</x:v>
      </x:c>
      <x:c r="J1185" s="43" t="str">
        <x:v>자동추출·검토필요</x:v>
      </x:c>
    </x:row>
    <x:row r="1186">
      <x:c r="A1186" s="43" t="str">
        <x:v>L2025-00071-1</x:v>
      </x:c>
      <x:c r="B1186" s="43" t="str">
        <x:v>총사업비·예산</x:v>
      </x:c>
      <x:c r="C1186" s="46" t="str">
        <x:v>project budget</x:v>
      </x:c>
      <x:c r="D1186" s="46" t="str"/>
      <x:c r="E1186" s="46" t="str">
        <x:v>USD 13,292,831</x:v>
      </x:c>
      <x:c r="F1186" s="46" t="str"/>
      <x:c r="G1186" s="46" t="str">
        <x:v>L2025-00071-1/붙임2. 현지입찰(재공고입찰) 서류 및 계약서류(안)/í┌Summary of Bidding IKHCC_250903_final revised(╟÷┴÷ ░°░φ┐δ).docx</x:v>
      </x:c>
      <x:c r="H1186" s="43" t="str">
        <x:v>문단 18</x:v>
      </x:c>
      <x:c r="I1186" s="46" t="str">
        <x:v>The available budget for this procurement assignment is USD 13,292,831 and Bidders’ Proposals should not exceed this budget. Any bid exceeding the project budget will result in rejection of its bid.</x:v>
      </x:c>
      <x:c r="J1186" s="43" t="str">
        <x:v>자동추출·검토필요</x:v>
      </x:c>
    </x:row>
    <x:row r="1187">
      <x:c r="A1187" s="43" t="str">
        <x:v>L2025-00071-1</x:v>
      </x:c>
      <x:c r="B1187" s="43" t="str">
        <x:v>총사업비·예산</x:v>
      </x:c>
      <x:c r="C1187" s="46" t="str">
        <x:v>project budget</x:v>
      </x:c>
      <x:c r="D1187" s="46" t="str"/>
      <x:c r="E1187" s="46" t="str">
        <x:v>USD 13,292,831</x:v>
      </x:c>
      <x:c r="F1187" s="46" t="str"/>
      <x:c r="G1187" s="46" t="str">
        <x:v>L2025-00071-1/붙임2. 현지입찰(재공고입찰) 서류 및 계약서류(안)/í┌Summary of Bidding IKHCC_250903_final revised(╟÷┴÷ ░°░φ┐δ).docx</x:v>
      </x:c>
      <x:c r="H1187" s="43" t="str">
        <x:v>표 2 행 4</x:v>
      </x:c>
      <x:c r="I1187" s="46" t="str">
        <x:v>․ Project Budget | USD 13,292,831 (VAT not included, various indirect cost included.)</x:v>
      </x:c>
      <x:c r="J1187" s="43" t="str">
        <x:v>자동추출·검토필요</x:v>
      </x:c>
    </x:row>
    <x:row r="1188">
      <x:c r="A1188" s="43" t="str">
        <x:v>L2025-00070-1</x:v>
      </x:c>
      <x:c r="B1188" s="43" t="str">
        <x:v>총사업비·예산</x:v>
      </x:c>
      <x:c r="C1188" s="46" t="str">
        <x:v>project budget</x:v>
      </x:c>
      <x:c r="D1188" s="46" t="str"/>
      <x:c r="E1188" s="46" t="str">
        <x:v>USD 13,293,000</x:v>
      </x:c>
      <x:c r="F1188" s="46" t="str"/>
      <x:c r="G1188" s="46" t="str">
        <x:v>L2025-00070-1/붙임3. 현지입찰 서류 및 계약서류(안)/Summary of Bidding IKHCC_final.docx</x:v>
      </x:c>
      <x:c r="H1188" s="43" t="str">
        <x:v>문단 18</x:v>
      </x:c>
      <x:c r="I1188" s="46" t="str">
        <x:v>The available budget for this procurement assignment is USD 13,293,000 and Bidders’ Proposals should not exceed this budget. Any bid exceeding the project budget will result in rejection of its bid.</x:v>
      </x:c>
      <x:c r="J1188" s="43" t="str">
        <x:v>자동추출·검토필요</x:v>
      </x:c>
    </x:row>
    <x:row r="1189">
      <x:c r="A1189" s="43" t="str">
        <x:v>L2025-00070-1</x:v>
      </x:c>
      <x:c r="B1189" s="43" t="str">
        <x:v>총사업비·예산</x:v>
      </x:c>
      <x:c r="C1189" s="46" t="str">
        <x:v>project budget</x:v>
      </x:c>
      <x:c r="D1189" s="46" t="str"/>
      <x:c r="E1189" s="46" t="str">
        <x:v>USD 13,293,000</x:v>
      </x:c>
      <x:c r="F1189" s="46" t="str"/>
      <x:c r="G1189" s="46" t="str">
        <x:v>L2025-00070-1/붙임3. 현지입찰 서류 및 계약서류(안)/Summary of Bidding IKHCC_final.docx</x:v>
      </x:c>
      <x:c r="H1189" s="43" t="str">
        <x:v>표 2 행 4</x:v>
      </x:c>
      <x:c r="I1189" s="46" t="str">
        <x:v>․ Project Budget | USD 13,293,000 (VAT not included, various indirect cost included.)</x:v>
      </x:c>
      <x:c r="J1189" s="43" t="str">
        <x:v>자동추출·검토필요</x:v>
      </x:c>
    </x:row>
    <x:row r="1190">
      <x:c r="A1190" s="43" t="str">
        <x:v>L2025-00066-1</x:v>
      </x:c>
      <x:c r="B1190" s="43" t="str">
        <x:v>총사업비·예산</x:v>
      </x:c>
      <x:c r="C1190" s="46" t="str">
        <x:v>project budget</x:v>
      </x:c>
      <x:c r="D1190" s="46" t="str"/>
      <x:c r="E1190" s="46" t="str">
        <x:v>USD 260,000</x:v>
      </x:c>
      <x:c r="F1190" s="46" t="str"/>
      <x:c r="G1190" s="46" t="str">
        <x:v>L2025-00066-1/붙임2. 입찰 부속서류 일체.fin/Section 1 - Instructions to Bidders (ITB).docx</x:v>
      </x:c>
      <x:c r="H1190" s="43" t="str">
        <x:v>문단 19</x:v>
      </x:c>
      <x:c r="I1190" s="46" t="str">
        <x:v>The available budget for this procurement assignment is USD 260,000 and Bidders’ Proposals should not exceed this budget. Any bid exceeding the project budget may result in rejection of its bid.</x:v>
      </x:c>
      <x:c r="J1190" s="43" t="str">
        <x:v>자동추출·검토필요</x:v>
      </x:c>
    </x:row>
    <x:row r="1191">
      <x:c r="A1191" s="43" t="str">
        <x:v>L2025-00066-1</x:v>
      </x:c>
      <x:c r="B1191" s="43" t="str">
        <x:v>총사업비·예산</x:v>
      </x:c>
      <x:c r="C1191" s="46" t="str">
        <x:v>project budget</x:v>
      </x:c>
      <x:c r="D1191" s="46" t="str"/>
      <x:c r="E1191" s="46" t="str">
        <x:v>USD 260,000</x:v>
      </x:c>
      <x:c r="F1191" s="46" t="str"/>
      <x:c r="G1191" s="46" t="str">
        <x:v>L2025-00066-1/붙임2. 입찰 부속서류 일체.fin/Section 1 - Instructions to Bidders (ITB).docx</x:v>
      </x:c>
      <x:c r="H1191" s="43" t="str">
        <x:v>표 2 행 4</x:v>
      </x:c>
      <x:c r="I1191" s="46" t="str">
        <x:v>․ Project Budget | USD 260,000 (including GST and VAT)</x:v>
      </x:c>
      <x:c r="J1191" s="43" t="str">
        <x:v>자동추출·검토필요</x:v>
      </x:c>
    </x:row>
    <x:row r="1192">
      <x:c r="A1192" s="43" t="str">
        <x:v>L2025-00062-1</x:v>
      </x:c>
      <x:c r="B1192" s="43" t="str">
        <x:v>총사업비·예산</x:v>
      </x:c>
      <x:c r="C1192" s="46" t="str">
        <x:v>project budget</x:v>
      </x:c>
      <x:c r="D1192" s="46" t="str"/>
      <x:c r="E1192" s="46" t="str">
        <x:v>USD 1,123,590.01 | USD 1,123,590.01</x:v>
      </x:c>
      <x:c r="F1192" s="46" t="str"/>
      <x:c r="G1192" s="46" t="str">
        <x:v>L2025-00062-1/1-2. 입찰공고문(영문)_시범농장 신축.docx</x:v>
      </x:c>
      <x:c r="H1192" s="43" t="str">
        <x:v>표 4 행 14</x:v>
      </x:c>
      <x:c r="I1192" s="46" t="str">
        <x:v>Project Budget | USD 1,123,590.01 (Exclusive of VAT and other applicable indirect taxes) | USD 1,123,590.01 (Exclusive of VAT and other applicable indirect taxes)</x:v>
      </x:c>
      <x:c r="J1192" s="43" t="str">
        <x:v>자동추출·검토필요</x:v>
      </x:c>
    </x:row>
    <x:row r="1193">
      <x:c r="A1193" s="43" t="str">
        <x:v>L2025-00062-1</x:v>
      </x:c>
      <x:c r="B1193" s="43" t="str">
        <x:v>총사업비·예산</x:v>
      </x:c>
      <x:c r="C1193" s="46" t="str">
        <x:v>project budget</x:v>
      </x:c>
      <x:c r="D1193" s="46" t="str"/>
      <x:c r="E1193" s="46" t="str">
        <x:v>USD 1,123,590.01 | USD 1,123,590.01</x:v>
      </x:c>
      <x:c r="F1193" s="46" t="str"/>
      <x:c r="G1193" s="46" t="str">
        <x:v>L2025-00062-1/붙임 2. 입찰 첨부서류 각 1부(Part II 제외)/붙임 2. 입찰 첨부서류 각 1부(Part II 제외)/Section 2 - Bid Data Sheet (New Farm).docx</x:v>
      </x:c>
      <x:c r="H1193" s="43" t="str">
        <x:v>표 4 행 14</x:v>
      </x:c>
      <x:c r="I1193" s="46" t="str">
        <x:v>Project Budget | USD 1,123,590.01 (Exclusive of VAT and other applicable indirect taxes) | USD 1,123,590.01 (Exclusive of VAT and other applicable indirect taxes)</x:v>
      </x:c>
      <x:c r="J1193" s="43" t="str">
        <x:v>자동추출·검토필요</x:v>
      </x:c>
    </x:row>
    <x:row r="1194">
      <x:c r="A1194" s="43" t="str">
        <x:v>L2025-00058-1</x:v>
      </x:c>
      <x:c r="B1194" s="43" t="str">
        <x:v>총사업비·예산</x:v>
      </x:c>
      <x:c r="C1194" s="46" t="str">
        <x:v>total budget</x:v>
      </x:c>
      <x:c r="D1194" s="46" t="str"/>
      <x:c r="E1194" s="46" t="str">
        <x:v>USD 150,000</x:v>
      </x:c>
      <x:c r="F1194" s="46" t="str"/>
      <x:c r="G1194" s="46" t="str">
        <x:v>L2025-00058-1/(붙임1) 공고내역 (KG_2025_07)/Re-Bid_Document_Digitalization_of_the_Parliament_KG_2025_07/Bid document (Eng)/ENG_Section 2 - Bid Data Sheet Digitalization Parliament_2025 07(final).docx</x:v>
      </x:c>
      <x:c r="H1194" s="43" t="str">
        <x:v>문단 72</x:v>
      </x:c>
      <x:c r="I1194" s="46" t="str">
        <x:v>A single contract construction performance record of similar project* completed within the last ten(10) years, with a total budget at least USD 150,000) as of the Application Submission Deadline</x:v>
      </x:c>
      <x:c r="J1194" s="43" t="str">
        <x:v>자동추출·검토필요</x:v>
      </x:c>
    </x:row>
    <x:row r="1195">
      <x:c r="A1195" s="43" t="str">
        <x:v>L2025-00058-1</x:v>
      </x:c>
      <x:c r="B1195" s="43" t="str">
        <x:v>총사업비·예산</x:v>
      </x:c>
      <x:c r="C1195" s="46" t="str">
        <x:v>project budget</x:v>
      </x:c>
      <x:c r="D1195" s="46" t="str"/>
      <x:c r="E1195" s="46" t="str">
        <x:v>USD 1,700,000 | USD 1,700,000</x:v>
      </x:c>
      <x:c r="F1195" s="46" t="str"/>
      <x:c r="G1195" s="46" t="str">
        <x:v>L2025-00058-1/(붙임1) 공고내역 (KG_2025_07)/Re-Bid_Document_Digitalization_of_the_Parliament_KG_2025_07/Bid document (Eng)/ENG_Section 2 - Bid Data Sheet Digitalization Parliament_2025 07(final).docx</x:v>
      </x:c>
      <x:c r="H1195" s="43" t="str">
        <x:v>표 5 행 14</x:v>
      </x:c>
      <x:c r="I1195" s="46" t="str">
        <x:v>․ Project Budget | USD 1,700,000 (Be exclusive of VAT and other applicable indirect taxes) | USD 1,700,000 (Be exclusive of VAT and other applicable indirect taxes)</x:v>
      </x:c>
      <x:c r="J1195" s="43" t="str">
        <x:v>자동추출·검토필요</x:v>
      </x:c>
    </x:row>
    <x:row r="1196">
      <x:c r="A1196" s="43" t="str">
        <x:v>L2025-00058-1</x:v>
      </x:c>
      <x:c r="B1196" s="43" t="str">
        <x:v>총사업비·예산</x:v>
      </x:c>
      <x:c r="C1196" s="46" t="str">
        <x:v>total budget</x:v>
      </x:c>
      <x:c r="D1196" s="46" t="str"/>
      <x:c r="E1196" s="46" t="str">
        <x:v>USD 150,000</x:v>
      </x:c>
      <x:c r="F1196" s="46" t="str"/>
      <x:c r="G1196" s="46" t="str">
        <x:v>L2025-00058-1/(붙임1) 공고내역 (KG_2025_07)/Re-Bid_Document_Digitalization_of_the_Parliament_KG_2025_07/Bid document (Eng)/ENG_Section 3 - Bidding Forms_Digitalization Parliament_2025_07.doc</x:v>
      </x:c>
      <x:c r="H1196" s="43" t="str">
        <x:v>문단 186</x:v>
      </x:c>
      <x:c r="I1196" s="46" t="str">
        <x:v>Name of Candidate _________________LLC _________________LLC _________________LLC No.DescriptionOriginal or Stamped Yes or NoEnglish Yes or No Check √ or - Original or Stamped Yes or NoEnglish Yes or No Check √ or - Original or Stamped Yes or NoEnglish Yes or No Check √ or - 1.Annex2. Bidder's Information Sheet2. A statement from the bank about the existence of a settlement account3.Certificate from the bank about the availability of money to start construction4.The order for the foreman and the certificate5. Annex 3: Bid price (Sealed)6.Annex 4: Experience Form (General Experience) *A single contract construction performance record of similar project completed within the last ten (10) years, with a total budget USD 150,000) as of the bid submission deadline7. Annex 4: Proposal Personnel8.Form FIN1: Financial Situation (Historical Financial Performance)9.Financial Statements (Balance sheet for the Financial Year 2024)10.Annex 6: Sworn Statement on Company Being a Non-Blacklisted Entity11.Annex 7: Declaration of Anti-Corruption in ODA Business Participa</x:v>
      </x:c>
      <x:c r="J1196" s="43" t="str">
        <x:v>자동추출·검토필요</x:v>
      </x:c>
    </x:row>
    <x:row r="1197">
      <x:c r="A1197" s="43" t="str">
        <x:v>L2025-00054-1</x:v>
      </x:c>
      <x:c r="B1197" s="43" t="str">
        <x:v>총사업비·예산</x:v>
      </x:c>
      <x:c r="C1197" s="46" t="str">
        <x:v>total budget</x:v>
      </x:c>
      <x:c r="D1197" s="46" t="str"/>
      <x:c r="E1197" s="46" t="str">
        <x:v>USD 150,000</x:v>
      </x:c>
      <x:c r="F1197" s="46" t="str"/>
      <x:c r="G1197" s="46" t="str">
        <x:v>L2025-00054-1/(붙임1) 공고내역_Bid_Document_Digitalization_of_the_Parliament_KG_2025_05 (2)/Bid_Document_Digitalization_of_the_Parliament_KG_2025_05/Bid Document (Eng)/ENG_Section_2 - Bid_Data_Sheet_Digitalization_Parliament.docx</x:v>
      </x:c>
      <x:c r="H1197" s="43" t="str">
        <x:v>문단 71</x:v>
      </x:c>
      <x:c r="I1197" s="46" t="str">
        <x:v>A single contract construction performance record of similar project* completed within the last ten(10) years, with a total budget of at least USD 150,000) as of the Application Submission Deadline</x:v>
      </x:c>
      <x:c r="J1197" s="43" t="str">
        <x:v>자동추출·검토필요</x:v>
      </x:c>
    </x:row>
    <x:row r="1198">
      <x:c r="A1198" s="43" t="str">
        <x:v>L2025-00054-1</x:v>
      </x:c>
      <x:c r="B1198" s="43" t="str">
        <x:v>총사업비·예산</x:v>
      </x:c>
      <x:c r="C1198" s="46" t="str">
        <x:v>project budget</x:v>
      </x:c>
      <x:c r="D1198" s="46" t="str"/>
      <x:c r="E1198" s="46" t="str">
        <x:v>USD 1,700,000 | USD 1,700,000</x:v>
      </x:c>
      <x:c r="F1198" s="46" t="str"/>
      <x:c r="G1198" s="46" t="str">
        <x:v>L2025-00054-1/(붙임1) 공고내역_Bid_Document_Digitalization_of_the_Parliament_KG_2025_05 (2)/Bid_Document_Digitalization_of_the_Parliament_KG_2025_05/Bid Document (Eng)/ENG_Section_2 - Bid_Data_Sheet_Digitalization_Parliament.docx</x:v>
      </x:c>
      <x:c r="H1198" s="43" t="str">
        <x:v>표 5 행 14</x:v>
      </x:c>
      <x:c r="I1198" s="46" t="str">
        <x:v>․ Project Budget | USD 1,700,000 (Be exclusive of VAT and other applicable indirect taxes) | USD 1,700,000 (Be exclusive of VAT and other applicable indirect taxes)</x:v>
      </x:c>
      <x:c r="J1198" s="43" t="str">
        <x:v>자동추출·검토필요</x:v>
      </x:c>
    </x:row>
    <x:row r="1199">
      <x:c r="A1199" s="43" t="str">
        <x:v>L2025-00054-1</x:v>
      </x:c>
      <x:c r="B1199" s="43" t="str">
        <x:v>총사업비·예산</x:v>
      </x:c>
      <x:c r="C1199" s="46" t="str">
        <x:v>total budget</x:v>
      </x:c>
      <x:c r="D1199" s="46" t="str"/>
      <x:c r="E1199" s="46" t="str">
        <x:v>USD 150,000</x:v>
      </x:c>
      <x:c r="F1199" s="46" t="str"/>
      <x:c r="G1199" s="46" t="str">
        <x:v>L2025-00054-1/(붙임1) 공고내역_Bid_Document_Digitalization_of_the_Parliament_KG_2025_05 (2)/Bid_Document_Digitalization_of_the_Parliament_KG_2025_05/Bid Document (Eng)/ENG_Section_3 - Bidding Forms_Digitalization Parliament.doc</x:v>
      </x:c>
      <x:c r="H1199" s="43" t="str">
        <x:v>문단 186</x:v>
      </x:c>
      <x:c r="I1199" s="46" t="str">
        <x:v>Name of Candidate _________________LLC _________________LLC _________________LLC No.DescriptionOriginal or Stamped Yes or NoEnglish Yes or No Check √ or - Original or Stamped Yes or NoEnglish Yes or No Check √ or - Original or Stamped Yes or NoEnglish Yes or No Check √ or - 1.Annex2. Bidder's Information Sheet2. A statement from the bank about the existence of a settlement account3.Certificate from the bank about the availability of money to start construction4.The order for the foreman and the certificate5. Annex 3: Bid price (Sealed)6.Annex 4: Experience Form (General Experience) *A single contract construction performance record of similar project completed within the last ten (10) years, with a total budget USD 150,000) as of the bid submission deadline7. Annex 4: Proposal Personnel8.Form FIN1: Financial Situation (Historical Financial Performance)9.Financial Statements (Balance sheet for the Financial Year 2024)10.Annex 6: Sworn Statement on Company Being a Non-Blacklisted Entity11.Annex 7: Declaration of Anti-Corruption in ODA Business Participa</x:v>
      </x:c>
      <x:c r="J1199" s="43" t="str">
        <x:v>자동추출·검토필요</x:v>
      </x:c>
    </x:row>
    <x:row r="1200">
      <x:c r="A1200" s="43" t="str">
        <x:v>L2025-00052-1</x:v>
      </x:c>
      <x:c r="B1200" s="43" t="str">
        <x:v>총사업비·예산</x:v>
      </x:c>
      <x:c r="C1200" s="46" t="str">
        <x:v>project budget</x:v>
      </x:c>
      <x:c r="D1200" s="46" t="str"/>
      <x:c r="E1200" s="46" t="str">
        <x:v>USD 1,963,286 | USD 1 | USD 1,963,286 | USD 1</x:v>
      </x:c>
      <x:c r="F1200" s="46" t="str"/>
      <x:c r="G1200" s="46" t="str">
        <x:v>L2025-00052-1/(붙임 2) 영문 입찰 계획 서류_KOICA FHBU Construction_정정본/Section 2 - Bid Data Sheet(English)_KOICA FHBU Construction.docx</x:v>
      </x:c>
      <x:c r="H1200" s="43" t="str">
        <x:v>표 4 행 11</x:v>
      </x:c>
      <x:c r="I1200" s="46" t="str">
        <x:v>․ Project Budget | FCFA 1,111,710,698(USD 1,963,286 / USD 1 = 566.250 FCFA) (Be Exclusive of VAT and other applicable indirect taxes) | FCFA 1,111,710,698(USD 1,963,286 / USD 1 = 566.250 FCFA) (Be Exclusive of VAT and other applicable indirect taxes)</x:v>
      </x:c>
      <x:c r="J1200" s="43" t="str">
        <x:v>자동추출·검토필요</x:v>
      </x:c>
    </x:row>
    <x:row r="1201">
      <x:c r="A1201" s="43" t="str">
        <x:v>L2025-00047-1</x:v>
      </x:c>
      <x:c r="B1201" s="43" t="str">
        <x:v>총사업비·예산</x:v>
      </x:c>
      <x:c r="C1201" s="46" t="str">
        <x:v>집행한도</x:v>
      </x:c>
      <x:c r="D1201" s="46" t="str"/>
      <x:c r="E1201" s="46" t="str">
        <x:v>USD 1,916.342</x:v>
      </x:c>
      <x:c r="F1201" s="46" t="str">
        <x:v>97.56%</x:v>
      </x:c>
      <x:c r="G1201" s="46" t="str">
        <x:v>L2025-00047-1/Section 2 - Bid Data Sheet (국문).hwp</x:v>
      </x:c>
      <x:c r="H1201" s="43" t="str">
        <x:v>문단 101</x:v>
      </x:c>
      <x:c r="I1201" s="46" t="str">
        <x:v>USD 1,916.342 (집행한도액의 97.56%)</x:v>
      </x:c>
      <x:c r="J1201" s="43" t="str">
        <x:v>자동추출·검토필요</x:v>
      </x:c>
    </x:row>
    <x:row r="1202">
      <x:c r="A1202" s="43" t="str">
        <x:v>L2025-00047-1</x:v>
      </x:c>
      <x:c r="B1202" s="43" t="str">
        <x:v>총사업비·예산</x:v>
      </x:c>
      <x:c r="C1202" s="46" t="str">
        <x:v>project budget</x:v>
      </x:c>
      <x:c r="D1202" s="46" t="str"/>
      <x:c r="E1202" s="46" t="str">
        <x:v>USD 980,000</x:v>
      </x:c>
      <x:c r="F1202" s="46" t="str"/>
      <x:c r="G1202" s="46" t="str">
        <x:v>L2025-00047-1/붙임2. 영문 입찰서류_섬유센터 2차사업 시공 재입찰 (2025.06.20)/Section 2 - Bid Data Sheet.docx</x:v>
      </x:c>
      <x:c r="H1202" s="43" t="str">
        <x:v>문단 39</x:v>
      </x:c>
      <x:c r="I1202" s="46" t="str">
        <x:v>(Past performance) Must have performed at least one (1) Building Construction project (education/laboratory or office purpose) valued at not less than USD 980,000 (1/2 of Project Budget) in the past 5 years (2020.06.20.~2025.06.21.).</x:v>
      </x:c>
      <x:c r="J1202" s="43" t="str">
        <x:v>자동추출·검토필요</x:v>
      </x:c>
    </x:row>
    <x:row r="1203">
      <x:c r="A1203" s="43" t="str">
        <x:v>L2025-00047-1</x:v>
      </x:c>
      <x:c r="B1203" s="43" t="str">
        <x:v>총사업비·예산</x:v>
      </x:c>
      <x:c r="C1203" s="46" t="str">
        <x:v>project budget</x:v>
      </x:c>
      <x:c r="D1203" s="46" t="str"/>
      <x:c r="E1203" s="46" t="str">
        <x:v>USD 1,964,270 | USD 1,964,270</x:v>
      </x:c>
      <x:c r="F1203" s="46" t="str"/>
      <x:c r="G1203" s="46" t="str">
        <x:v>L2025-00047-1/붙임2. 영문 입찰서류_섬유센터 2차사업 시공 재입찰 (2025.06.20)/Section 2 - Bid Data Sheet.docx</x:v>
      </x:c>
      <x:c r="H1203" s="43" t="str">
        <x:v>표 4 행 14</x:v>
      </x:c>
      <x:c r="I1203" s="46" t="str">
        <x:v>․ Project Budget | USD 1,964,270 (included GST, VAT and other applicable indirect taxes) | USD 1,964,270 (included GST, VAT and other applicable indirect taxes)</x:v>
      </x:c>
      <x:c r="J1203" s="43" t="str">
        <x:v>자동추출·검토필요</x:v>
      </x:c>
    </x:row>
    <x:row r="1204">
      <x:c r="A1204" s="43" t="str">
        <x:v>L2025-00047-1</x:v>
      </x:c>
      <x:c r="B1204" s="43" t="str">
        <x:v>총사업비·예산</x:v>
      </x:c>
      <x:c r="C1204" s="46" t="str">
        <x:v>project budget</x:v>
      </x:c>
      <x:c r="D1204" s="46" t="str"/>
      <x:c r="E1204" s="46" t="str">
        <x:v>USD 1,916,342 | USD 1,916,342</x:v>
      </x:c>
      <x:c r="F1204" s="46" t="str">
        <x:v>97.56% | 97.56%</x:v>
      </x:c>
      <x:c r="G1204" s="46" t="str">
        <x:v>L2025-00047-1/붙임2. 영문 입찰서류_섬유센터 2차사업 시공 재입찰 (2025.06.20)/Section 2 - Bid Data Sheet.docx</x:v>
      </x:c>
      <x:c r="H1204" s="43" t="str">
        <x:v>표 4 행 15</x:v>
      </x:c>
      <x:c r="I1204" s="46" t="str">
        <x:v>․ Project Base Price | USD 1,916,342 (97.56% of Project Budget) | USD 1,916,342 (97.56% of Project Budget)</x:v>
      </x:c>
      <x:c r="J1204" s="43" t="str">
        <x:v>자동추출·검토필요</x:v>
      </x:c>
    </x:row>
    <x:row r="1205">
      <x:c r="A1205" s="43" t="str">
        <x:v>L2025-00036-1</x:v>
      </x:c>
      <x:c r="B1205" s="43" t="str">
        <x:v>총사업비·예산</x:v>
      </x:c>
      <x:c r="C1205" s="46" t="str">
        <x:v>project budget</x:v>
      </x:c>
      <x:c r="D1205" s="46" t="str"/>
      <x:c r="E1205" s="46" t="str">
        <x:v>USD 500,000</x:v>
      </x:c>
      <x:c r="F1205" s="46" t="str"/>
      <x:c r="G1205" s="46" t="str">
        <x:v>L2025-00036-1/붙임2. 입찰서류 영문본 일체/Section 0. Summary_of_Bidding.docx</x:v>
      </x:c>
      <x:c r="H1205" s="43" t="str">
        <x:v>문단 19</x:v>
      </x:c>
      <x:c r="I1205" s="46" t="str">
        <x:v>The available budget for this procurement assignment is USD 500,000 and Bidders’ Proposals should not exceed this budget. Any bid exceeding the project budget may result in rejection of its bid.</x:v>
      </x:c>
      <x:c r="J1205" s="43" t="str">
        <x:v>자동추출·검토필요</x:v>
      </x:c>
    </x:row>
    <x:row r="1206">
      <x:c r="A1206" s="43" t="str">
        <x:v>L2025-00036-1</x:v>
      </x:c>
      <x:c r="B1206" s="43" t="str">
        <x:v>총사업비·예산</x:v>
      </x:c>
      <x:c r="C1206" s="46" t="str">
        <x:v>project budget</x:v>
      </x:c>
      <x:c r="D1206" s="46" t="str"/>
      <x:c r="E1206" s="46" t="str">
        <x:v>USD 500,000 | USD 300,000 | USD 200,000</x:v>
      </x:c>
      <x:c r="F1206" s="46" t="str"/>
      <x:c r="G1206" s="46" t="str">
        <x:v>L2025-00036-1/붙임2. 입찰서류 영문본 일체/Section 0. Summary_of_Bidding.docx</x:v>
      </x:c>
      <x:c r="H1206" s="43" t="str">
        <x:v>표 2 행 4</x:v>
      </x:c>
      <x:c r="I1206" s="46" t="str">
        <x:v>․ Project Budget | Total USD 500,000 (Design: USD 300,000/ Supervision USD 200,000) (including value-added taxes and other fees)</x:v>
      </x:c>
      <x:c r="J1206" s="43" t="str">
        <x:v>자동추출·검토필요</x:v>
      </x:c>
    </x:row>
    <x:row r="1207">
      <x:c r="A1207" s="43" t="str">
        <x:v>L2025-00036-1</x:v>
      </x:c>
      <x:c r="B1207" s="43" t="str">
        <x:v>총사업비·예산</x:v>
      </x:c>
      <x:c r="C1207" s="46" t="str">
        <x:v>project budget</x:v>
      </x:c>
      <x:c r="D1207" s="46" t="str"/>
      <x:c r="E1207" s="46" t="str">
        <x:v>USD 500,000 | USD 300,000 | USD 200,000</x:v>
      </x:c>
      <x:c r="F1207" s="46" t="str"/>
      <x:c r="G1207" s="46" t="str">
        <x:v>L2025-00036-1/붙임2. 입찰서류 영문본 일체/Section 2_ Bid_Data_Sheet(BDS).docx</x:v>
      </x:c>
      <x:c r="H1207" s="43" t="str">
        <x:v>표 5 행 5</x:v>
      </x:c>
      <x:c r="I1207" s="46" t="str">
        <x:v>․ Project Budget | Total USD 500,000 (Design: USD 300,000/ Supervision USD 200,000) (including value-added taxes and other fees)</x:v>
      </x:c>
      <x:c r="J1207" s="43" t="str">
        <x:v>자동추출·검토필요</x:v>
      </x:c>
    </x:row>
    <x:row r="1208">
      <x:c r="A1208" s="43" t="str">
        <x:v>L2025-00036-1</x:v>
      </x:c>
      <x:c r="B1208" s="43" t="str">
        <x:v>총사업비·예산</x:v>
      </x:c>
      <x:c r="C1208" s="46" t="str">
        <x:v>project budget</x:v>
      </x:c>
      <x:c r="D1208" s="46" t="str"/>
      <x:c r="E1208" s="46" t="str">
        <x:v>USD 500,000 | USD 300,000 | USD 200,000</x:v>
      </x:c>
      <x:c r="F1208" s="46" t="str"/>
      <x:c r="G1208" s="46" t="str">
        <x:v>L2025-00036-1/붙임2. 입찰서류 영문본 일체/Section 4 - Request for Proposal (RFP).docx</x:v>
      </x:c>
      <x:c r="H1208" s="43" t="str">
        <x:v>표 1 행 4</x:v>
      </x:c>
      <x:c r="I1208" s="46" t="str">
        <x:v>․ Project Budget | Total USD 500,000 (Design: USD 300,000/ Supervision USD 200,000) (including value-added taxes and other fees)</x:v>
      </x:c>
      <x:c r="J1208" s="43" t="str">
        <x:v>자동추출·검토필요</x:v>
      </x:c>
    </x:row>
    <x:row r="1209">
      <x:c r="A1209" s="43" t="str">
        <x:v>L2025-00036-1</x:v>
      </x:c>
      <x:c r="B1209" s="43" t="str">
        <x:v>총사업비·예산</x:v>
      </x:c>
      <x:c r="C1209" s="46" t="str">
        <x:v>project budget</x:v>
      </x:c>
      <x:c r="D1209" s="46" t="str"/>
      <x:c r="E1209" s="46" t="str">
        <x:v>USD 500,000</x:v>
      </x:c>
      <x:c r="F1209" s="46" t="str"/>
      <x:c r="G1209" s="46" t="str">
        <x:v>L2025-00036-1/정정공고서류/Section 0. Summary_of_Bidding-rev.docx</x:v>
      </x:c>
      <x:c r="H1209" s="43" t="str">
        <x:v>문단 19</x:v>
      </x:c>
      <x:c r="I1209" s="46" t="str">
        <x:v>The available budget for this procurement assignment is USD 500,000 and Bidders’ Proposals should not exceed this budget. Any bid exceeding the project budget may result in rejection of its bid.</x:v>
      </x:c>
      <x:c r="J1209" s="43" t="str">
        <x:v>자동추출·검토필요</x:v>
      </x:c>
    </x:row>
    <x:row r="1210">
      <x:c r="A1210" s="43" t="str">
        <x:v>L2025-00036-1</x:v>
      </x:c>
      <x:c r="B1210" s="43" t="str">
        <x:v>총사업비·예산</x:v>
      </x:c>
      <x:c r="C1210" s="46" t="str">
        <x:v>project budget</x:v>
      </x:c>
      <x:c r="D1210" s="46" t="str"/>
      <x:c r="E1210" s="46" t="str">
        <x:v>USD 500,000 | USD 300,000 | USD 200,000</x:v>
      </x:c>
      <x:c r="F1210" s="46" t="str"/>
      <x:c r="G1210" s="46" t="str">
        <x:v>L2025-00036-1/정정공고서류/Section 0. Summary_of_Bidding-rev.docx</x:v>
      </x:c>
      <x:c r="H1210" s="43" t="str">
        <x:v>표 2 행 4</x:v>
      </x:c>
      <x:c r="I1210" s="46" t="str">
        <x:v>․ Project Budget | Total USD 500,000 (Design: USD 300,000/ Supervision USD 200,000) (VAT Not included, other taxes included)</x:v>
      </x:c>
      <x:c r="J1210" s="43" t="str">
        <x:v>자동추출·검토필요</x:v>
      </x:c>
    </x:row>
    <x:row r="1211">
      <x:c r="A1211" s="43" t="str">
        <x:v>L2025-00036-1</x:v>
      </x:c>
      <x:c r="B1211" s="43" t="str">
        <x:v>총사업비·예산</x:v>
      </x:c>
      <x:c r="C1211" s="46" t="str">
        <x:v>project budget</x:v>
      </x:c>
      <x:c r="D1211" s="46" t="str"/>
      <x:c r="E1211" s="46" t="str">
        <x:v>USD 500,000 | USD 300,000 | USD 200,000</x:v>
      </x:c>
      <x:c r="F1211" s="46" t="str"/>
      <x:c r="G1211" s="46" t="str">
        <x:v>L2025-00036-1/정정공고서류/Section 2_ Bid_Data_Sheet(BDS)-rev.docx</x:v>
      </x:c>
      <x:c r="H1211" s="43" t="str">
        <x:v>표 5 행 5</x:v>
      </x:c>
      <x:c r="I1211" s="46" t="str">
        <x:v>․ Project Budget | Total USD 500,000 (Design: USD 300,000/ Supervision USD 200,000) (VAT Not included, other taxes included)</x:v>
      </x:c>
      <x:c r="J1211" s="43" t="str">
        <x:v>자동추출·검토필요</x:v>
      </x:c>
    </x:row>
    <x:row r="1212">
      <x:c r="A1212" s="43" t="str">
        <x:v>L2025-00028-1</x:v>
      </x:c>
      <x:c r="B1212" s="43" t="str">
        <x:v>총사업비·예산</x:v>
      </x:c>
      <x:c r="C1212" s="46" t="str">
        <x:v>total budget</x:v>
      </x:c>
      <x:c r="D1212" s="46" t="str"/>
      <x:c r="E1212" s="46" t="str">
        <x:v>USD 150,000</x:v>
      </x:c>
      <x:c r="F1212" s="46" t="str"/>
      <x:c r="G1212" s="46" t="str">
        <x:v>L2025-00028-1/Bid_Document_Digitalization_of_the_Parliament_KG_2025_04_May/[2RE] (Bid Document) Digitalization of the Parliament_KG-2025-04_May 20,2025/Eng/ENG_Section 2 -Bid_Data_Sheet_Digitalization_Parliament.docx</x:v>
      </x:c>
      <x:c r="H1212" s="43" t="str">
        <x:v>문단 58</x:v>
      </x:c>
      <x:c r="I1212" s="46" t="str">
        <x:v>A single contract construction performance record of similar project completed within the last ten(10) years, with a total budget USD 150,000) as of the bid submission deadline</x:v>
      </x:c>
      <x:c r="J1212" s="43" t="str">
        <x:v>자동추출·검토필요</x:v>
      </x:c>
    </x:row>
    <x:row r="1213">
      <x:c r="A1213" s="43" t="str">
        <x:v>L2025-00028-1</x:v>
      </x:c>
      <x:c r="B1213" s="43" t="str">
        <x:v>총사업비·예산</x:v>
      </x:c>
      <x:c r="C1213" s="46" t="str">
        <x:v>project budget</x:v>
      </x:c>
      <x:c r="D1213" s="46" t="str"/>
      <x:c r="E1213" s="46" t="str">
        <x:v>USD 1,700,000 | USD 1,700,000</x:v>
      </x:c>
      <x:c r="F1213" s="46" t="str"/>
      <x:c r="G1213" s="46" t="str">
        <x:v>L2025-00028-1/Bid_Document_Digitalization_of_the_Parliament_KG_2025_04_May/[2RE] (Bid Document) Digitalization of the Parliament_KG-2025-04_May 20,2025/Eng/ENG_Section 2 -Bid_Data_Sheet_Digitalization_Parliament.docx</x:v>
      </x:c>
      <x:c r="H1213" s="43" t="str">
        <x:v>표 5 행 14</x:v>
      </x:c>
      <x:c r="I1213" s="46" t="str">
        <x:v>․ Project Budget | USD 1,700,000 (Be exclusive of VAT and other applicable indirect taxes) | USD 1,700,000 (Be exclusive of VAT and other applicable indirect taxes)</x:v>
      </x:c>
      <x:c r="J1213" s="43" t="str">
        <x:v>자동추출·검토필요</x:v>
      </x:c>
    </x:row>
    <x:row r="1214">
      <x:c r="A1214" s="43" t="str">
        <x:v>L2025-00028-1</x:v>
      </x:c>
      <x:c r="B1214" s="43" t="str">
        <x:v>총사업비·예산</x:v>
      </x:c>
      <x:c r="C1214" s="46" t="str">
        <x:v>total budget</x:v>
      </x:c>
      <x:c r="D1214" s="46" t="str"/>
      <x:c r="E1214" s="46" t="str">
        <x:v>USD 150,000</x:v>
      </x:c>
      <x:c r="F1214" s="46" t="str"/>
      <x:c r="G1214" s="46" t="str">
        <x:v>L2025-00028-1/Bid_Document_Digitalization_of_the_Parliament_KG_2025_04_May/[2RE] (Bid Document) Digitalization of the Parliament_KG-2025-04_May 20,2025/Eng/ENG_Section 3 - Bidding_Forms_Digitalization_Parliament.doc</x:v>
      </x:c>
      <x:c r="H1214" s="43" t="str">
        <x:v>문단 184</x:v>
      </x:c>
      <x:c r="I1214" s="46" t="str">
        <x:v>Name of Candidate _________________LLC _________________LLC _________________LLC No.DescriptionOriginal or Stamped Yes or NoEnglish Yes or No Check √ or - Original or Stamped Yes or NoEnglish Yes or No Check √ or - Original or Stamped Yes or NoEnglish Yes or No Check √ or - 1.Annex 1. Bid Application Form 2. Annex2. Bidder's Information Sheet3.A copy of the minutes of the general meeting (the decision of the participant) on the creation, on the election of the head4.Certificate of business Registration5. A copy of the license for construction and design works (*The license should be valid until the end of the contract) 6.A certificate from the tax inspectorate on the absence of debt7. A certificate from the social fund on the absence of debt8.A statement from the bank about the existence of a settlement account9.A letter of recommendation from three customers10.Certificate from the bank about the availability of money to start construction11.The order for the foreman and the certificate12.Annex 3: Bid price (Sealed)13.Annex 4: </x:v>
      </x:c>
      <x:c r="J1214" s="43" t="str">
        <x:v>자동추출·검토필요</x:v>
      </x:c>
    </x:row>
    <x:row r="1215">
      <x:c r="A1215" s="43" t="str">
        <x:v>L2025-00025-1</x:v>
      </x:c>
      <x:c r="B1215" s="43" t="str">
        <x:v>총사업비·예산</x:v>
      </x:c>
      <x:c r="C1215" s="46" t="str">
        <x:v>집행한도</x:v>
      </x:c>
      <x:c r="D1215" s="46" t="str"/>
      <x:c r="E1215" s="46" t="str">
        <x:v>USD 130,000</x:v>
      </x:c>
      <x:c r="F1215" s="46" t="str"/>
      <x:c r="G1215" s="46" t="str">
        <x:v>L2025-00025-1/Attach01_(붙임1) 입찰공고문 (BDS)_페루 제3 한페 의료센터 설계입찰_250416.hwp</x:v>
      </x:c>
      <x:c r="H1215" s="43" t="str">
        <x:v>문단 270</x:v>
      </x:c>
      <x:c r="I1215" s="46" t="str">
        <x:v>USD 130,000(집행한도액)</x:v>
      </x:c>
      <x:c r="J1215" s="43" t="str">
        <x:v>자동추출·검토필요</x:v>
      </x:c>
    </x:row>
    <x:row r="1216">
      <x:c r="A1216" s="43" t="str">
        <x:v>L2025-00021-1</x:v>
      </x:c>
      <x:c r="B1216" s="43" t="str">
        <x:v>총사업비·예산</x:v>
      </x:c>
      <x:c r="C1216" s="46" t="str">
        <x:v>project budget</x:v>
      </x:c>
      <x:c r="D1216" s="46" t="str"/>
      <x:c r="E1216" s="46" t="str">
        <x:v>USD 10,000</x:v>
      </x:c>
      <x:c r="F1216" s="46" t="str"/>
      <x:c r="G1216" s="46" t="str">
        <x:v>L2025-00021-1/1. (세네갈) 입찰 요약본 (Summary of Bidding) (요약본).docx</x:v>
      </x:c>
      <x:c r="H1216" s="43" t="str">
        <x:v>문단 23</x:v>
      </x:c>
      <x:c r="I1216" s="46" t="str">
        <x:v>The available budget for this procurement assignment is USD 10,000 and Bidders’ Proposals should not exceed this budget. Any bid exceeding the project budget may result in rejection of its bid.</x:v>
      </x:c>
      <x:c r="J1216" s="43" t="str">
        <x:v>자동추출·검토필요</x:v>
      </x:c>
    </x:row>
    <x:row r="1217">
      <x:c r="A1217" s="43" t="str">
        <x:v>L2025-00021-1</x:v>
      </x:c>
      <x:c r="B1217" s="43" t="str">
        <x:v>총사업비·예산</x:v>
      </x:c>
      <x:c r="C1217" s="46" t="str">
        <x:v>project budget</x:v>
      </x:c>
      <x:c r="D1217" s="46" t="str"/>
      <x:c r="E1217" s="46" t="str">
        <x:v>USD 100,000</x:v>
      </x:c>
      <x:c r="F1217" s="46" t="str"/>
      <x:c r="G1217" s="46" t="str">
        <x:v>L2025-00021-1/1. (세네갈) 입찰 요약본 (Summary of Bidding) (요약본).docx</x:v>
      </x:c>
      <x:c r="H1217" s="43" t="str">
        <x:v>표 2 행 4</x:v>
      </x:c>
      <x:c r="I1217" s="46" t="str">
        <x:v>․ Project Budget | USD 100,000 (Be exclusive of VAT and other applicable indirect taxes)</x:v>
      </x:c>
      <x:c r="J1217" s="43" t="str">
        <x:v>자동추출·검토필요</x:v>
      </x:c>
    </x:row>
    <x:row r="1218">
      <x:c r="A1218" s="43" t="str">
        <x:v>L2025-00018-1</x:v>
      </x:c>
      <x:c r="B1218" s="43" t="str">
        <x:v>총사업비·예산</x:v>
      </x:c>
      <x:c r="C1218" s="46" t="str">
        <x:v>project budget</x:v>
      </x:c>
      <x:c r="D1218" s="46" t="str"/>
      <x:c r="E1218" s="46" t="str">
        <x:v>USD 4,333,427 | USD 4,333,427</x:v>
      </x:c>
      <x:c r="F1218" s="46" t="str"/>
      <x:c r="G1218" s="46" t="str">
        <x:v>L2025-00018-1/1-2. Bid Data Sheet _영문.docx</x:v>
      </x:c>
      <x:c r="H1218" s="43" t="str">
        <x:v>표 4 행 14</x:v>
      </x:c>
      <x:c r="I1218" s="46" t="str">
        <x:v>․ Project Budget | USD 4,333,427 (Be inclusive of VAT and other applicable indirect taxes) | USD 4,333,427 (Be inclusive of VAT and other applicable indirect taxes)</x:v>
      </x:c>
      <x:c r="J1218" s="43" t="str">
        <x:v>자동추출·검토필요</x:v>
      </x:c>
    </x:row>
    <x:row r="1219">
      <x:c r="A1219" s="43" t="str">
        <x:v>L2025-00017-1</x:v>
      </x:c>
      <x:c r="B1219" s="43" t="str">
        <x:v>총사업비·예산</x:v>
      </x:c>
      <x:c r="C1219" s="46" t="str">
        <x:v>예산</x:v>
      </x:c>
      <x:c r="D1219" s="46" t="str"/>
      <x:c r="E1219" s="46" t="str">
        <x:v>$ 990,805</x:v>
      </x:c>
      <x:c r="F1219" s="46" t="str"/>
      <x:c r="G1219" s="46" t="str">
        <x:v>L2025-00017-1/[붙임4] 토펙중동중앙아제2025-002호 (이크라 자이툰 도서관 리노베이션 수원국 조달시스.pdf</x:v>
      </x:c>
      <x:c r="H1219" s="43" t="str">
        <x:v>페이지 2</x:v>
      </x:c>
      <x:c r="I1219" s="46" t="str">
        <x:v>라. 리노베이션 시공 과업 범위를 위해 내역서, 사진 및 도면이 붙임자료로 제출되었는데, 내역서의 총금액이 예산 한도인 백만 불 이내인 $990,805로 작성되었으며, 현장의 이해를 도울 수 있는 수준의 현황사진과 당초 2007년 작성된 도면이 제출되었음. 그러나 아래 내용을 추가로 보완 후 코이카의 승인을 얻도록 해야 할 것으로 판단됨. ①내역서 보완: 설치/시공비, 간접비/이윤 및 세금 포함여부 명시하고, 1식으로 표현된 비목 중 일부는 구체적으로 분개하여 정리 필요 ②공사용 도면: 내역서의 각 비목에 따른 공사 범위와 수량을 확인할 수 있는 리노베이션 공사용 도면(또는 다이어그램)의 작성이 필요하고, 일부 비목에서 언급하는 상세도면도 추가해야 함. 마. 상기 라.②항 관련, 수원국이 현지관례상 리모델링 공사도면을 제공하기가 어려운 여건이라면, 코이카의 기성 지급 승인할 때 리모델링 공사 범위를 확인할 수 있도록 단순한 수준의 스케치도면(2007년 작성된 당초 현황 도면 위에 수기로 표현 또는 명시한 것이어도 무방함)이라도 제공받을 필요가 있다고 판단됨. 끝. ※첨부: 1. Addendum to the R/D 및 붙임자료 1식. 끝. ㈜토펙엔지니어링건축사사무소 중동중앙아지역 건설사업관리단 총괄CM단장 김 철 중 (인)</x:v>
      </x:c>
      <x:c r="J1219" s="43" t="str">
        <x:v>자동추출·검토필요</x:v>
      </x:c>
    </x:row>
    <x:row r="1220">
      <x:c r="A1220" s="43" t="str">
        <x:v>L2025-00016-2</x:v>
      </x:c>
      <x:c r="B1220" s="43" t="str">
        <x:v>총사업비·예산</x:v>
      </x:c>
      <x:c r="C1220" s="46" t="str">
        <x:v>project budget</x:v>
      </x:c>
      <x:c r="D1220" s="46" t="str"/>
      <x:c r="E1220" s="46" t="str">
        <x:v>KRW 2 billion</x:v>
      </x:c>
      <x:c r="F1220" s="46" t="str"/>
      <x:c r="G1220" s="46" t="str">
        <x:v>L2025-00016-2/KOICA bidding regulation/Guidelines for Technical Evaluation(▒Γ╝·╞≥░í┴÷─º)_20210408.pdf</x:v>
      </x:c>
      <x:c r="H1220" s="43" t="str">
        <x:v>페이지 13</x:v>
      </x:c>
      <x:c r="I1220"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1220" s="43" t="str">
        <x:v>자동추출·검토필요</x:v>
      </x:c>
    </x:row>
    <x:row r="1221">
      <x:c r="A1221" s="43" t="str">
        <x:v>L2025-00016-2</x:v>
      </x:c>
      <x:c r="B1221" s="43" t="str">
        <x:v>총사업비·예산</x:v>
      </x:c>
      <x:c r="C1221" s="46" t="str">
        <x:v>project budget</x:v>
      </x:c>
      <x:c r="D1221" s="46" t="str"/>
      <x:c r="E1221" s="46" t="str">
        <x:v>KRW 2 billion</x:v>
      </x:c>
      <x:c r="F1221" s="46" t="str"/>
      <x:c r="G1221" s="46" t="str">
        <x:v>L2025-00016-2/KOICA bidding regulation/Guidelines for Technical Evaluation(▒Γ╝·╞≥░í┴÷─º)_20210408.pdf</x:v>
      </x:c>
      <x:c r="H1221" s="43" t="str">
        <x:v>페이지 33</x:v>
      </x:c>
      <x:c r="I1221"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221" s="43" t="str">
        <x:v>자동추출·검토필요</x:v>
      </x:c>
    </x:row>
    <x:row r="1222">
      <x:c r="A1222" s="43" t="str">
        <x:v>L2025-00016-2</x:v>
      </x:c>
      <x:c r="B1222" s="43" t="str">
        <x:v>총사업비·예산</x:v>
      </x:c>
      <x:c r="C1222" s="46" t="str">
        <x:v>project budget</x:v>
      </x:c>
      <x:c r="D1222" s="46" t="str"/>
      <x:c r="E1222" s="46" t="str">
        <x:v>USD 230,586 | USD 230,586</x:v>
      </x:c>
      <x:c r="F1222" s="46" t="str"/>
      <x:c r="G1222" s="46" t="str">
        <x:v>L2025-00016-2/Section 2 - Bid Data Sheet (eng).docx</x:v>
      </x:c>
      <x:c r="H1222" s="43" t="str">
        <x:v>표 4 행 14</x:v>
      </x:c>
      <x:c r="I1222" s="46" t="str">
        <x:v>․ Project Budget | USD 230,586 (Be exclusive of VAT and other applicable indirect taxes) | USD 230,586 (Be exclusive of VAT and other applicable indirect taxes)</x:v>
      </x:c>
      <x:c r="J1222" s="43" t="str">
        <x:v>자동추출·검토필요</x:v>
      </x:c>
    </x:row>
    <x:row r="1223">
      <x:c r="A1223" s="43" t="str">
        <x:v>L2025-00016-1</x:v>
      </x:c>
      <x:c r="B1223" s="43" t="str">
        <x:v>총사업비·예산</x:v>
      </x:c>
      <x:c r="C1223" s="46" t="str">
        <x:v>project budget</x:v>
      </x:c>
      <x:c r="D1223" s="46" t="str"/>
      <x:c r="E1223" s="46" t="str">
        <x:v>KRW 2 billion</x:v>
      </x:c>
      <x:c r="F1223" s="46" t="str"/>
      <x:c r="G1223" s="46" t="str">
        <x:v>L2025-00016-1/KOICA 입찰 관련 규정 및 지침/Guidelines for Technical Evaluation(▒Γ╝·╞≥░í┴÷─º)_20210408.pdf</x:v>
      </x:c>
      <x:c r="H1223" s="43" t="str">
        <x:v>페이지 13</x:v>
      </x:c>
      <x:c r="I1223"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1223" s="43" t="str">
        <x:v>자동추출·검토필요</x:v>
      </x:c>
    </x:row>
    <x:row r="1224">
      <x:c r="A1224" s="43" t="str">
        <x:v>L2025-00016-1</x:v>
      </x:c>
      <x:c r="B1224" s="43" t="str">
        <x:v>총사업비·예산</x:v>
      </x:c>
      <x:c r="C1224" s="46" t="str">
        <x:v>project budget</x:v>
      </x:c>
      <x:c r="D1224" s="46" t="str"/>
      <x:c r="E1224" s="46" t="str">
        <x:v>KRW 2 billion</x:v>
      </x:c>
      <x:c r="F1224" s="46" t="str"/>
      <x:c r="G1224" s="46" t="str">
        <x:v>L2025-00016-1/KOICA 입찰 관련 규정 및 지침/Guidelines for Technical Evaluation(▒Γ╝·╞≥░í┴÷─º)_20210408.pdf</x:v>
      </x:c>
      <x:c r="H1224" s="43" t="str">
        <x:v>페이지 33</x:v>
      </x:c>
      <x:c r="I1224"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224" s="43" t="str">
        <x:v>자동추출·검토필요</x:v>
      </x:c>
    </x:row>
    <x:row r="1225">
      <x:c r="A1225" s="43" t="str">
        <x:v>L2025-00016-1</x:v>
      </x:c>
      <x:c r="B1225" s="43" t="str">
        <x:v>총사업비·예산</x:v>
      </x:c>
      <x:c r="C1225" s="46" t="str">
        <x:v>project budget</x:v>
      </x:c>
      <x:c r="D1225" s="46" t="str"/>
      <x:c r="E1225" s="46" t="str">
        <x:v>USD 230,586 | USD 230,586</x:v>
      </x:c>
      <x:c r="F1225" s="46" t="str"/>
      <x:c r="G1225" s="46" t="str">
        <x:v>L2025-00016-1/Section 2 - Bid Data Sheet (eng).docx</x:v>
      </x:c>
      <x:c r="H1225" s="43" t="str">
        <x:v>표 4 행 14</x:v>
      </x:c>
      <x:c r="I1225" s="46" t="str">
        <x:v>․ Project Budget | USD 230,586 (Be exclusive of VAT and other applicable indirect taxes) | USD 230,586 (Be exclusive of VAT and other applicable indirect taxes)</x:v>
      </x:c>
      <x:c r="J1225" s="43" t="str">
        <x:v>자동추출·검토필요</x:v>
      </x:c>
    </x:row>
    <x:row r="1226">
      <x:c r="A1226" s="43" t="str">
        <x:v>L2025-00014-1</x:v>
      </x:c>
      <x:c r="B1226" s="43" t="str">
        <x:v>총사업비·예산</x:v>
      </x:c>
      <x:c r="C1226" s="46" t="str">
        <x:v>project budget</x:v>
      </x:c>
      <x:c r="D1226" s="46" t="str"/>
      <x:c r="E1226" s="46" t="str">
        <x:v>USD 60,000 | USD 60,000</x:v>
      </x:c>
      <x:c r="F1226" s="46" t="str"/>
      <x:c r="G1226" s="46" t="str">
        <x:v>L2025-00014-1/Section 2-Bid Data Sheet.docx</x:v>
      </x:c>
      <x:c r="H1226" s="43" t="str">
        <x:v>표 4 행 14</x:v>
      </x:c>
      <x:c r="I1226" s="46" t="str">
        <x:v>․ Project Budget | USD 60,000 (included GST, VAT and other applicable indirect taxes) | USD 60,000 (included GST, VAT and other applicable indirect taxes)</x:v>
      </x:c>
      <x:c r="J1226" s="43" t="str">
        <x:v>자동추출·검토필요</x:v>
      </x:c>
    </x:row>
    <x:row r="1227">
      <x:c r="A1227" s="43" t="str">
        <x:v>L2025-00014-1</x:v>
      </x:c>
      <x:c r="B1227" s="43" t="str">
        <x:v>총사업비·예산</x:v>
      </x:c>
      <x:c r="C1227" s="46" t="str">
        <x:v>집행한도</x:v>
      </x:c>
      <x:c r="D1227" s="46" t="str"/>
      <x:c r="E1227" s="46" t="str">
        <x:v>USD 60,000</x:v>
      </x:c>
      <x:c r="F1227" s="46" t="str"/>
      <x:c r="G1227" s="46" t="str">
        <x:v>L2025-00014-1/Section 2-입찰공고문(국문)_섬유센터 감리.pdf</x:v>
      </x:c>
      <x:c r="H1227" s="43" t="str">
        <x:v>페이지 4</x:v>
      </x:c>
      <x:c r="I1227" s="46" t="str">
        <x:v>[Section 2] 입찰공고문 다음과 같이 입찰에 부치고자 공고합니다. 2025.03.15. KOICA 파키스탄 사무소 &lt; 유의사항 &gt; ◈ 본 입찰에 참여하는 자는 입찰ㆍ낙찰, 계약체결 또는 계약이행 등의 과정에서 (준공ㆍ납품 이후를 포함한다) 청렴계약특수조건을 숙지하고 입찰에 참여하여야 하며, 입찰서 제출 시 청렴계약서(이행서약서)를 제출해야 합니다. ◈ 본 입찰과 관련하여 비리ㆍ불공정행위가 있는 경우 KOICA 파키스탄 사무소 (jilly21@koica.go.kr)를 통하여 신고할 수 있습니다. ◈ 본 입찰 및 계약과 관련하여 KOICA 직원이 금품, 향응 등 부당한 요구를 할 경우 KOICA 감사실(clean@koica.go.kr)에 신고하여 주시기 바랍니다. 1. 입찰에 부치는 사항(입찰개요) ․ 공고번호 L2025-0000-1 KOICA-PAK-2025-02 (전자조달시스템 현지입찰공고번호) ․ 입찰건명 파키스탄 국립섬유대학 산업용 섬유센터 설립사업 2차사업 감리용역 ․ 과업범위 감리용역 ․ 계약기간 계약체결일로부터 22개월 ․ 집행한도액 USD 60,000 (GST 및 부가가치세 포함) ㅇ 통화 : USD ㅇ 부가세관련 유의사항: - 주재국의 법규에 따라 면세승인을 취득하는 경우, 발주자는 해당 비용을 계약자에게 제공하지 않음. 단, 면세승인 취득 불가시 발주자는 계약자에게 해당 비용을 제공함. - 부가가치세와 관련하여 KOICA는 동 입찰 및 계약에 대해 발생하는 GST 포함 그 어떠한 세금과 관련해서 아무런 권한이나 책임이 없으며, 주재국의 법규에 따라 세금징수 및 환급과 관련한 책임기관은 연방세무국(Federal Board of Revenue)임. - 1 -</x:v>
      </x:c>
      <x:c r="J1227" s="43" t="str">
        <x:v>자동추출·검토필요</x:v>
      </x:c>
    </x:row>
    <x:row r="1228">
      <x:c r="A1228" s="43" t="str">
        <x:v>L2025-00014-1</x:v>
      </x:c>
      <x:c r="B1228" s="43" t="str">
        <x:v>총사업비·예산</x:v>
      </x:c>
      <x:c r="C1228" s="46" t="str">
        <x:v>집행한도</x:v>
      </x:c>
      <x:c r="D1228" s="46" t="str"/>
      <x:c r="E1228" s="46" t="str">
        <x:v>USD 30.000 | USD 30,000</x:v>
      </x:c>
      <x:c r="F1228" s="46" t="str">
        <x:v>30% | 100% | 130% | 160% | 190% | 190% | 100% | 90%</x:v>
      </x:c>
      <x:c r="G1228" s="46" t="str">
        <x:v>L2025-00014-1/Section 2-입찰공고문(국문)_섬유센터 감리.pdf</x:v>
      </x:c>
      <x:c r="H1228" s="43" t="str">
        <x:v>페이지 14</x:v>
      </x:c>
      <x:c r="I1228" s="46" t="str">
        <x:v>ㅇ 정량평가 세부 기준표(10점) ☞ 정량평가 항목별 평점 구간의 최고 점수와 최저 점수의 차이는 배점한도의 30%를 초과할 수 없음 ☞ 회사 유사사업 수행실적 상 ‘사업규모’는 집행한도액과 유사한 수준으로 설정 평가 항목(배점) 배점기준 A. Less than 100% : 2.0점 부채비율 B. Less than 130% : 1.9점 Debt Ratio C. Less than 160% : 1.8점 [Total Liability/Net Equity] D. Less than 190% : 1.6점 경영상태 E. Over 190% : 1.4점 (4점) A. 100% or more : 2.0점 유동비율 B. 90% or more : 1.9점 Liquidity Ratio C. 80% or more : 1.8점 [Liquidity Asset/Liquidity Liability] D. 70% or more : 1.6점 E. Less than 70% : 1.4점 A. 100%이상 : 6.0점 (해당 사업규모* 대비) 회사 B. 70%이상～100%미만 : 5.5점 회사 국내외 유사사업 유사사업 감리수행실적** 비율 C. 40%이상～70%미만 : 5.0점 수행실적 * USD 30.000 D. 10%이상～40%미만 : 4.5점 (6점) ** 이행완료 기준 E. 10%미만 : 4.2점 ※ 경영상태 제출서류(Section3, Annex 5) : 입찰자는 최근 회계연도(2023.7월~2024.6월) 1년에 대한 회계감사보고서(또는 재 무제표)를 다음 조건에 따라 제출해야 한다. 1) 모회사가 아닌 입찰자의 재무 정보를 반영해야 한다. 2) 재무제표는 공인회계사의 감사를 받아야 한다. 3) 재무제표는 부분 기간에 대해서는 인정되지 않는다. ※ 회사 유사사업 수행실적 제출서류(Section3,Annex4) : 실적리스트, 실적증명서, 계약서 등 1) 유사사업: (입찰공고일 기준 회계연도 3개년(2021.7월~2024년 6월) 이내 국내외 용역 수행 완료 실적 중) 감리 종료한 국내외 총 사업실적 비율(USD 30,000 기준) 2) 미달러화로 변환: 환율은 현지 중앙은행이 고시한 입찰공고일의 매도환율 적용 ㅇ 정성평가(90점) - 기술제안서 목차 및 작성지침에 따름 - 11 -</x:v>
      </x:c>
      <x:c r="J1228" s="43" t="str">
        <x:v>자동추출·검토필요</x:v>
      </x:c>
    </x:row>
    <x:row r="1229">
      <x:c r="A1229" s="43" t="str">
        <x:v>L2025-00012-2</x:v>
      </x:c>
      <x:c r="B1229" s="43" t="str">
        <x:v>총사업비·예산</x:v>
      </x:c>
      <x:c r="C1229" s="46" t="str">
        <x:v>project budget</x:v>
      </x:c>
      <x:c r="D1229" s="46" t="str"/>
      <x:c r="E1229" s="46" t="str">
        <x:v>USD 98,954.86</x:v>
      </x:c>
      <x:c r="F1229" s="46" t="str">
        <x:v>2% | 0.5%</x:v>
      </x:c>
      <x:c r="G1229" s="46" t="str">
        <x:v>L2025-00012-2/(붙임1-2) 영문입찰계획서_Q-Lab_Chacala_Bid Data Sheet (BDS)_20250502.docx</x:v>
      </x:c>
      <x:c r="H1229" s="43" t="str">
        <x:v>표 3 행 13</x:v>
      </x:c>
      <x:c r="I1229" s="46" t="str">
        <x:v>ㅇ Project budget | USD 98,954.86 - Including VAT and other applicable indirect taxes. - Including provisional sums(2%) and safety management costs(0.5%).</x:v>
      </x:c>
      <x:c r="J1229" s="43" t="str">
        <x:v>자동추출·검토필요</x:v>
      </x:c>
    </x:row>
    <x:row r="1230">
      <x:c r="A1230" s="43" t="str">
        <x:v>L2025-00012-2</x:v>
      </x:c>
      <x:c r="B1230" s="43" t="str">
        <x:v>총사업비·예산</x:v>
      </x:c>
      <x:c r="C1230" s="46" t="str">
        <x:v>project budget</x:v>
      </x:c>
      <x:c r="D1230" s="46" t="str"/>
      <x:c r="E1230" s="46" t="str">
        <x:v>USD 98,954.86</x:v>
      </x:c>
      <x:c r="F1230" s="46" t="str">
        <x:v>2% | 0.5%</x:v>
      </x:c>
      <x:c r="G1230" s="46" t="str">
        <x:v>L2025-00012-2/(붙임2) 입찰 관련 부속서류/Q-Lab_Chacala_Bidding Doc/Section 2._Q-Lab_Chacala_Bid Data Sheet (BDS)_20250502.docx</x:v>
      </x:c>
      <x:c r="H1230" s="43" t="str">
        <x:v>표 3 행 13</x:v>
      </x:c>
      <x:c r="I1230" s="46" t="str">
        <x:v>ㅇ Project budget | USD 98,954.86 - Including VAT and other applicable indirect taxes. - Including provisional sums(2%) and safety management costs(0.5%).</x:v>
      </x:c>
      <x:c r="J1230" s="43" t="str">
        <x:v>자동추출·검토필요</x:v>
      </x:c>
    </x:row>
    <x:row r="1231">
      <x:c r="A1231" s="43" t="str">
        <x:v>L2025-00012-1</x:v>
      </x:c>
      <x:c r="B1231" s="43" t="str">
        <x:v>총사업비·예산</x:v>
      </x:c>
      <x:c r="C1231" s="46" t="str">
        <x:v>project budget</x:v>
      </x:c>
      <x:c r="D1231" s="46" t="str"/>
      <x:c r="E1231" s="46" t="str">
        <x:v>USD 98,954.86</x:v>
      </x:c>
      <x:c r="F1231" s="46" t="str">
        <x:v>2% | 0.5%</x:v>
      </x:c>
      <x:c r="G1231" s="46" t="str">
        <x:v>L2025-00012-1/(붙임1-2) 영문입찰계획서_Q-Lab_Chacala_Bid Data Sheet (BDS)_20250502.docx</x:v>
      </x:c>
      <x:c r="H1231" s="43" t="str">
        <x:v>표 3 행 13</x:v>
      </x:c>
      <x:c r="I1231" s="46" t="str">
        <x:v>ㅇ Project budget | USD 98,954.86 - Including VAT and other applicable indirect taxes. - Including provisional sums(2%) and safety management costs(0.5%).</x:v>
      </x:c>
      <x:c r="J1231" s="43" t="str">
        <x:v>자동추출·검토필요</x:v>
      </x:c>
    </x:row>
    <x:row r="1232">
      <x:c r="A1232" s="43" t="str">
        <x:v>L2025-00012-1</x:v>
      </x:c>
      <x:c r="B1232" s="43" t="str">
        <x:v>총사업비·예산</x:v>
      </x:c>
      <x:c r="C1232" s="46" t="str">
        <x:v>project budget</x:v>
      </x:c>
      <x:c r="D1232" s="46" t="str"/>
      <x:c r="E1232" s="46" t="str">
        <x:v>USD 98,954.86</x:v>
      </x:c>
      <x:c r="F1232" s="46" t="str">
        <x:v>2% | 0.5%</x:v>
      </x:c>
      <x:c r="G1232" s="46" t="str">
        <x:v>L2025-00012-1/(붙임2) 입찰 관련 부속서류/Q-Lab_Chacala_Bidding Doc/Section 2._Q-Lab_Chacala_Bid Data Sheet (BDS)_20250502.docx</x:v>
      </x:c>
      <x:c r="H1232" s="43" t="str">
        <x:v>표 3 행 13</x:v>
      </x:c>
      <x:c r="I1232" s="46" t="str">
        <x:v>ㅇ Project budget | USD 98,954.86 - Including VAT and other applicable indirect taxes. - Including provisional sums(2%) and safety management costs(0.5%).</x:v>
      </x:c>
      <x:c r="J1232" s="43" t="str">
        <x:v>자동추출·검토필요</x:v>
      </x:c>
    </x:row>
    <x:row r="1233">
      <x:c r="A1233" s="43" t="str">
        <x:v>L2025-00011-1</x:v>
      </x:c>
      <x:c r="B1233" s="43" t="str">
        <x:v>총사업비·예산</x:v>
      </x:c>
      <x:c r="C1233" s="46" t="str">
        <x:v>집행한도</x:v>
      </x:c>
      <x:c r="D1233" s="46" t="str"/>
      <x:c r="E1233" s="46" t="str">
        <x:v>USD 1,916.342</x:v>
      </x:c>
      <x:c r="F1233" s="46" t="str">
        <x:v>97.56%</x:v>
      </x:c>
      <x:c r="G1233" s="46" t="str">
        <x:v>L2025-00011-1/1. Section 2 - Bid Data Sheet (국문) (수정).hwp</x:v>
      </x:c>
      <x:c r="H1233" s="43" t="str">
        <x:v>문단 100</x:v>
      </x:c>
      <x:c r="I1233" s="46" t="str">
        <x:v>USD 1,916.342 (집행한도액의 97.56%)</x:v>
      </x:c>
      <x:c r="J1233" s="43" t="str">
        <x:v>자동추출·검토필요</x:v>
      </x:c>
    </x:row>
    <x:row r="1234">
      <x:c r="A1234" s="43" t="str">
        <x:v>L2025-00011-1</x:v>
      </x:c>
      <x:c r="B1234" s="43" t="str">
        <x:v>총사업비·예산</x:v>
      </x:c>
      <x:c r="C1234" s="46" t="str">
        <x:v>project budget</x:v>
      </x:c>
      <x:c r="D1234" s="46" t="str"/>
      <x:c r="E1234" s="46" t="str">
        <x:v>USD 980,000</x:v>
      </x:c>
      <x:c r="F1234" s="46" t="str"/>
      <x:c r="G1234" s="46" t="str">
        <x:v>L2025-00011-1/2. 영문 입찰서류(수정)/Section 2 - Bid Data Sheet.docx</x:v>
      </x:c>
      <x:c r="H1234" s="43" t="str">
        <x:v>문단 38</x:v>
      </x:c>
      <x:c r="I1234" s="46" t="str">
        <x:v>(Past performance) Must have performed at least one (1) Building Construction project (education/laboratory or office purpose) valued at not less than USD 980,000 (1/2 of project budget) in the past 5 years (2020.3.9.~2025.3.8.).</x:v>
      </x:c>
      <x:c r="J1234" s="43" t="str">
        <x:v>자동추출·검토필요</x:v>
      </x:c>
    </x:row>
    <x:row r="1235">
      <x:c r="A1235" s="43" t="str">
        <x:v>L2025-00011-1</x:v>
      </x:c>
      <x:c r="B1235" s="43" t="str">
        <x:v>총사업비·예산</x:v>
      </x:c>
      <x:c r="C1235" s="46" t="str">
        <x:v>project budget</x:v>
      </x:c>
      <x:c r="D1235" s="46" t="str"/>
      <x:c r="E1235" s="46" t="str">
        <x:v>USD 1,964,270 | USD 1,964,270</x:v>
      </x:c>
      <x:c r="F1235" s="46" t="str"/>
      <x:c r="G1235" s="46" t="str">
        <x:v>L2025-00011-1/2. 영문 입찰서류(수정)/Section 2 - Bid Data Sheet.docx</x:v>
      </x:c>
      <x:c r="H1235" s="43" t="str">
        <x:v>표 4 행 14</x:v>
      </x:c>
      <x:c r="I1235" s="46" t="str">
        <x:v>․ Project Budget | USD 1,964,270 (included GST, VAT and other applicable indirect taxes) | USD 1,964,270 (included GST, VAT and other applicable indirect taxes)</x:v>
      </x:c>
      <x:c r="J1235" s="43" t="str">
        <x:v>자동추출·검토필요</x:v>
      </x:c>
    </x:row>
    <x:row r="1236">
      <x:c r="A1236" s="43" t="str">
        <x:v>L2025-00011-1</x:v>
      </x:c>
      <x:c r="B1236" s="43" t="str">
        <x:v>총사업비·예산</x:v>
      </x:c>
      <x:c r="C1236" s="46" t="str">
        <x:v>project budget</x:v>
      </x:c>
      <x:c r="D1236" s="46" t="str"/>
      <x:c r="E1236" s="46" t="str">
        <x:v>USD 1,916,342 | USD 1,916,342</x:v>
      </x:c>
      <x:c r="F1236" s="46" t="str">
        <x:v>97.56% | 97.56%</x:v>
      </x:c>
      <x:c r="G1236" s="46" t="str">
        <x:v>L2025-00011-1/2. 영문 입찰서류(수정)/Section 2 - Bid Data Sheet.docx</x:v>
      </x:c>
      <x:c r="H1236" s="43" t="str">
        <x:v>표 4 행 15</x:v>
      </x:c>
      <x:c r="I1236" s="46" t="str">
        <x:v>․ Projected Estimated Price | USD 1,916,342 (97.56% of Project Budget) | USD 1,916,342 (97.56% of Project Budget)</x:v>
      </x:c>
      <x:c r="J1236" s="43" t="str">
        <x:v>자동추출·검토필요</x:v>
      </x:c>
    </x:row>
    <x:row r="1237">
      <x:c r="A1237" s="43" t="str">
        <x:v>L2025-00010-1</x:v>
      </x:c>
      <x:c r="B1237" s="43" t="str">
        <x:v>총사업비·예산</x:v>
      </x:c>
      <x:c r="C1237" s="46" t="str">
        <x:v>project budget</x:v>
      </x:c>
      <x:c r="D1237" s="46" t="str"/>
      <x:c r="E1237" s="46" t="str">
        <x:v>USD 89,787</x:v>
      </x:c>
      <x:c r="F1237" s="46" t="str"/>
      <x:c r="G1237" s="46" t="str">
        <x:v>L2025-00010-1/붙임 3. 입찰공고 게시문_fin.docx</x:v>
      </x:c>
      <x:c r="H1237" s="43" t="str">
        <x:v>문단 18</x:v>
      </x:c>
      <x:c r="I1237" s="46" t="str">
        <x:v>The available budget for this procurement assignment is USD 89,787 and Bidders’ Proposals should not exceed this budget. Any bid exceeding the project budget may result in rejection of its bid.</x:v>
      </x:c>
      <x:c r="J1237" s="43" t="str">
        <x:v>자동추출·검토필요</x:v>
      </x:c>
    </x:row>
    <x:row r="1238">
      <x:c r="A1238" s="43" t="str">
        <x:v>L2025-00010-1</x:v>
      </x:c>
      <x:c r="B1238" s="43" t="str">
        <x:v>총사업비·예산</x:v>
      </x:c>
      <x:c r="C1238" s="46" t="str">
        <x:v>project budget</x:v>
      </x:c>
      <x:c r="D1238" s="46" t="str"/>
      <x:c r="E1238" s="46" t="str">
        <x:v>89,787 USD</x:v>
      </x:c>
      <x:c r="F1238" s="46" t="str">
        <x:v>18%</x:v>
      </x:c>
      <x:c r="G1238" s="46" t="str">
        <x:v>L2025-00010-1/붙임 3. 입찰공고 게시문_fin.docx</x:v>
      </x:c>
      <x:c r="H1238" s="43" t="str">
        <x:v>표 2 행 4</x:v>
      </x:c>
      <x:c r="I1238" s="46" t="str">
        <x:v>․ Project Budget | 89,787 USD (including value-added tax (18%) and other fees)</x:v>
      </x:c>
      <x:c r="J1238" s="43" t="str">
        <x:v>자동추출·검토필요</x:v>
      </x:c>
    </x:row>
    <x:row r="1239">
      <x:c r="A1239" s="43" t="str">
        <x:v>L2025-00009-1</x:v>
      </x:c>
      <x:c r="B1239" s="43" t="str">
        <x:v>총사업비·예산</x:v>
      </x:c>
      <x:c r="C1239" s="46" t="str">
        <x:v>집행한도</x:v>
      </x:c>
      <x:c r="D1239" s="46" t="str"/>
      <x:c r="E1239" s="46" t="str">
        <x:v>USD 130,000</x:v>
      </x:c>
      <x:c r="F1239" s="46" t="str"/>
      <x:c r="G1239" s="46" t="str">
        <x:v>L2025-00009-1/(붙임1) 입찰공고문 (BDS)_페루 제3 한페 의료센터 설계입찰_조달팀 의견 반영_클린ᄇ.hwp</x:v>
      </x:c>
      <x:c r="H1239" s="43" t="str">
        <x:v>문단 270</x:v>
      </x:c>
      <x:c r="I1239" s="46" t="str">
        <x:v>USD 130,000(집행한도액)</x:v>
      </x:c>
      <x:c r="J1239" s="43" t="str">
        <x:v>자동추출·검토필요</x:v>
      </x:c>
    </x:row>
    <x:row r="1240">
      <x:c r="A1240" s="43" t="str">
        <x:v>L2025-00009-1</x:v>
      </x:c>
      <x:c r="B1240" s="43" t="str">
        <x:v>총사업비·예산</x:v>
      </x:c>
      <x:c r="C1240" s="46" t="str">
        <x:v>집행한도</x:v>
      </x:c>
      <x:c r="D1240" s="46" t="str"/>
      <x:c r="E1240" s="46" t="str">
        <x:v>USD 130,000</x:v>
      </x:c>
      <x:c r="F1240" s="46" t="str"/>
      <x:c r="G1240" s="46" t="str">
        <x:v>L2025-00009-1/(붙임2) 입찰공고문 (BDS)_페루 제3 한페 의료센터 설계입찰_조달팀 의견 반영_사무소 .hwp</x:v>
      </x:c>
      <x:c r="H1240" s="43" t="str">
        <x:v>문단 275</x:v>
      </x:c>
      <x:c r="I1240" s="46" t="str">
        <x:v>USD 130,000(집행한도액)</x:v>
      </x:c>
      <x:c r="J1240" s="43" t="str">
        <x:v>자동추출·검토필요</x:v>
      </x:c>
    </x:row>
    <x:row r="1241">
      <x:c r="A1241" s="43" t="str">
        <x:v>L2025-00008-1</x:v>
      </x:c>
      <x:c r="B1241" s="43" t="str">
        <x:v>총사업비·예산</x:v>
      </x:c>
      <x:c r="C1241" s="46" t="str">
        <x:v>project budget</x:v>
      </x:c>
      <x:c r="D1241" s="46" t="str"/>
      <x:c r="E1241" s="46" t="str">
        <x:v>USD 552,385 | USD 552,385</x:v>
      </x:c>
      <x:c r="F1241" s="46" t="str"/>
      <x:c r="G1241" s="46" t="str">
        <x:v>L2025-00008-1/Tender document full set_Kajiado_0219 rev/Section 2 - Bid Data Sheet (eng)_0219.docx</x:v>
      </x:c>
      <x:c r="H1241" s="43" t="str">
        <x:v>표 4 행 14</x:v>
      </x:c>
      <x:c r="I1241" s="46" t="str">
        <x:v>․ Project Budget | USD 552,385 (Be exclusive of VAT and other applicable indirect taxes) | USD 552,385 (Be exclusive of VAT and other applicable indirect taxes)</x:v>
      </x:c>
      <x:c r="J1241" s="43" t="str">
        <x:v>자동추출·검토필요</x:v>
      </x:c>
    </x:row>
    <x:row r="1242">
      <x:c r="A1242" s="43" t="str">
        <x:v>L2025-00006-1</x:v>
      </x:c>
      <x:c r="B1242" s="43" t="str">
        <x:v>총사업비·예산</x:v>
      </x:c>
      <x:c r="C1242" s="46" t="str">
        <x:v>project budget</x:v>
      </x:c>
      <x:c r="D1242" s="46" t="str"/>
      <x:c r="E1242" s="46" t="str">
        <x:v>USD 124,148</x:v>
      </x:c>
      <x:c r="F1242" s="46" t="str"/>
      <x:c r="G1242" s="46" t="str">
        <x:v>L2025-00006-1/상수도 설계 현지입찰 제반서류/(┼║└┌┤╧╛╞ ╗τ╣½╝╥)Summary of Bidding (┐Σ╛α║╗)_TZ Dodoma(Draft).docx</x:v>
      </x:c>
      <x:c r="H1242" s="43" t="str">
        <x:v>문단 24</x:v>
      </x:c>
      <x:c r="I1242" s="46" t="str">
        <x:v>The available budget for this procurement assignment is USD 124,148 and Bidders’ Proposals should not exceed this budget. Any bid exceeding the project budget may result in rejection of its bid.</x:v>
      </x:c>
      <x:c r="J1242" s="43" t="str">
        <x:v>자동추출·검토필요</x:v>
      </x:c>
    </x:row>
    <x:row r="1243">
      <x:c r="A1243" s="43" t="str">
        <x:v>L2025-00006-1</x:v>
      </x:c>
      <x:c r="B1243" s="43" t="str">
        <x:v>총사업비·예산</x:v>
      </x:c>
      <x:c r="C1243" s="46" t="str">
        <x:v>project budget</x:v>
      </x:c>
      <x:c r="D1243" s="46" t="str"/>
      <x:c r="E1243" s="46" t="str">
        <x:v>USD 124,148 | $ 5,912,</x:v>
      </x:c>
      <x:c r="F1243" s="46" t="str">
        <x:v>4.75%</x:v>
      </x:c>
      <x:c r="G1243" s="46" t="str">
        <x:v>L2025-00006-1/상수도 설계 현지입찰 제반서류/(┼║└┌┤╧╛╞ ╗τ╣½╝╥)Summary of Bidding (┐Σ╛α║╗)_TZ Dodoma(Draft).docx</x:v>
      </x:c>
      <x:c r="H1243" s="43" t="str">
        <x:v>표 2 행 4</x:v>
      </x:c>
      <x:c r="I1243" s="46" t="str">
        <x:v>․ Project Budget | USD 124,148 (including value-added taxes and other fees) * A fixed bid of $5,912, which is 4.75% of the total contract amount, must be included and submitted as a reserve.</x:v>
      </x:c>
      <x:c r="J1243" s="43" t="str">
        <x:v>자동추출·검토필요</x:v>
      </x:c>
    </x:row>
    <x:row r="1244">
      <x:c r="A1244" s="43" t="str">
        <x:v>L2025-00003-2</x:v>
      </x:c>
      <x:c r="B1244" s="43" t="str">
        <x:v>총사업비·예산</x:v>
      </x:c>
      <x:c r="C1244" s="46" t="str">
        <x:v>total budget</x:v>
      </x:c>
      <x:c r="D1244" s="46" t="str"/>
      <x:c r="E1244" s="46" t="str">
        <x:v>USD 150,000</x:v>
      </x:c>
      <x:c r="F1244" s="46" t="str"/>
      <x:c r="G1244" s="46" t="str">
        <x:v>L2025-00003-2/[RE] (Bid Document) Digitalization of the Parliament/(Bid Document) Digitalization of the Parliament/Eng/ENG_Section 2 - Bid Data Sheet_Digitalization_Parliament.docx</x:v>
      </x:c>
      <x:c r="H1244" s="43" t="str">
        <x:v>문단 58</x:v>
      </x:c>
      <x:c r="I1244" s="46" t="str">
        <x:v>A single contract construction performance record of similar project completed within the last ten(10) years, with a total budget USD 150,000) as of the bid submission deadline</x:v>
      </x:c>
      <x:c r="J1244" s="43" t="str">
        <x:v>자동추출·검토필요</x:v>
      </x:c>
    </x:row>
    <x:row r="1245">
      <x:c r="A1245" s="43" t="str">
        <x:v>L2025-00003-2</x:v>
      </x:c>
      <x:c r="B1245" s="43" t="str">
        <x:v>총사업비·예산</x:v>
      </x:c>
      <x:c r="C1245" s="46" t="str">
        <x:v>project budget</x:v>
      </x:c>
      <x:c r="D1245" s="46" t="str"/>
      <x:c r="E1245" s="46" t="str">
        <x:v>USD 1,700,000 | USD 1,700,000</x:v>
      </x:c>
      <x:c r="F1245" s="46" t="str"/>
      <x:c r="G1245" s="46" t="str">
        <x:v>L2025-00003-2/[RE] (Bid Document) Digitalization of the Parliament/(Bid Document) Digitalization of the Parliament/Eng/ENG_Section 2 - Bid Data Sheet_Digitalization_Parliament.docx</x:v>
      </x:c>
      <x:c r="H1245" s="43" t="str">
        <x:v>표 5 행 14</x:v>
      </x:c>
      <x:c r="I1245" s="46" t="str">
        <x:v>․ Project Budget | USD 1,700,000 (Be exclusive of VAT and other applicable indirect taxes) | USD 1,700,000 (Be exclusive of VAT and other applicable indirect taxes)</x:v>
      </x:c>
      <x:c r="J1245" s="43" t="str">
        <x:v>자동추출·검토필요</x:v>
      </x:c>
    </x:row>
    <x:row r="1246">
      <x:c r="A1246" s="43" t="str">
        <x:v>L2025-00003-1</x:v>
      </x:c>
      <x:c r="B1246" s="43" t="str">
        <x:v>총사업비·예산</x:v>
      </x:c>
      <x:c r="C1246" s="46" t="str">
        <x:v>total budget</x:v>
      </x:c>
      <x:c r="D1246" s="46" t="str"/>
      <x:c r="E1246" s="46" t="str">
        <x:v>USD 150,000</x:v>
      </x:c>
      <x:c r="F1246" s="46" t="str"/>
      <x:c r="G1246" s="46" t="str">
        <x:v>L2025-00003-1/Parliament Bidding Document (Eng, Rus)/Eng/ENG_Section 2 - Bid Data Sheet_Digitalization_Parliament.docx</x:v>
      </x:c>
      <x:c r="H1246" s="43" t="str">
        <x:v>문단 58</x:v>
      </x:c>
      <x:c r="I1246" s="46" t="str">
        <x:v>A single contract construction performance record of similar project completed within the last ten(10) years, with a total budget USD 150,000) as of the bid submission deadline</x:v>
      </x:c>
      <x:c r="J1246" s="43" t="str">
        <x:v>자동추출·검토필요</x:v>
      </x:c>
    </x:row>
    <x:row r="1247">
      <x:c r="A1247" s="43" t="str">
        <x:v>L2025-00003-1</x:v>
      </x:c>
      <x:c r="B1247" s="43" t="str">
        <x:v>총사업비·예산</x:v>
      </x:c>
      <x:c r="C1247" s="46" t="str">
        <x:v>project budget</x:v>
      </x:c>
      <x:c r="D1247" s="46" t="str"/>
      <x:c r="E1247" s="46" t="str">
        <x:v>USD 1,700,000 | USD 1,700,000</x:v>
      </x:c>
      <x:c r="F1247" s="46" t="str"/>
      <x:c r="G1247" s="46" t="str">
        <x:v>L2025-00003-1/Parliament Bidding Document (Eng, Rus)/Eng/ENG_Section 2 - Bid Data Sheet_Digitalization_Parliament.docx</x:v>
      </x:c>
      <x:c r="H1247" s="43" t="str">
        <x:v>표 5 행 14</x:v>
      </x:c>
      <x:c r="I1247" s="46" t="str">
        <x:v>․ Project Budget | USD 1,700,000 (Be exclusive of VAT and other applicable indirect taxes) | USD 1,700,000 (Be exclusive of VAT and other applicable indirect taxes)</x:v>
      </x:c>
      <x:c r="J1247" s="43" t="str">
        <x:v>자동추출·검토필요</x:v>
      </x:c>
    </x:row>
    <x:row r="1248">
      <x:c r="A1248" s="43" t="str">
        <x:v>L2025-00002-1</x:v>
      </x:c>
      <x:c r="B1248" s="43" t="str">
        <x:v>총사업비·예산</x:v>
      </x:c>
      <x:c r="C1248" s="46" t="str">
        <x:v>project budget</x:v>
      </x:c>
      <x:c r="D1248" s="46" t="str"/>
      <x:c r="E1248" s="46" t="str">
        <x:v>USD 2,361,000</x:v>
      </x:c>
      <x:c r="F1248" s="46" t="str"/>
      <x:c r="G1248" s="46" t="str">
        <x:v>L2025-00002-1/Section 2 - Bid Data Sheet_Final.docx</x:v>
      </x:c>
      <x:c r="H1248" s="43" t="str">
        <x:v>표 4 행 14</x:v>
      </x:c>
      <x:c r="I1248" s="46" t="str">
        <x:v>․ Project Budget | USD 2,361,000 (Be exclusive of VAT and other applicable indirect taxes)</x:v>
      </x:c>
      <x:c r="J1248" s="43" t="str">
        <x:v>자동추출·검토필요</x:v>
      </x:c>
    </x:row>
    <x:row r="1249">
      <x:c r="A1249" s="43" t="str">
        <x:v>L2025-00002-1</x:v>
      </x:c>
      <x:c r="B1249" s="43" t="str">
        <x:v>총사업비·예산</x:v>
      </x:c>
      <x:c r="C1249" s="46" t="str">
        <x:v>project budget</x:v>
      </x:c>
      <x:c r="D1249" s="46" t="str">
        <x:v>2,571.00 m2 | 929.58 m2 | 2,457.53 m2</x:v>
      </x:c>
      <x:c r="E1249" s="46" t="str">
        <x:v>USD 2,361,000 | USD 2,337,390</x:v>
      </x:c>
      <x:c r="F1249" s="46" t="str"/>
      <x:c r="G1249" s="46" t="str">
        <x:v>L2025-00002-1/Section 2 - Bid Data Sheet_Final.pdf</x:v>
      </x:c>
      <x:c r="H1249" s="43" t="str">
        <x:v>페이지 6</x:v>
      </x:c>
      <x:c r="I1249" s="46" t="str">
        <x:v>A. Brief of Bidding ․ Invitation No. L2025-00002-1 Bidding for the General Contract for Construction Works of Cyber ․ Bid Title Security Vocational Center in Indonesia ․ Summary of Construction PSSN, Jl. Raya H. Usa, Putat Nutug, Kec. Ciseeng, Kabupaten - Location Bogor, Jawa Barat, Indonesia 16120 - Program Education - Site area 2,571.00m2 - Building area 929.58m2 - Gross floor area 2,457.53m2 3 Story Main building, 1 Story Ancillary Building with Basement - Building scale STPM - Structure RC 1) Structure, Architecture, Interior, MEPF, Civil, Landscape works 2) Connecting of Power, Telecom, Portable Water, Sewer Line, etc. - Scope of Works 3) Overall construction works based on the design 4) Providing the shop drawings and as-built drawings for the construction works - Scheduled Construction Period 13 months after commencement work Until 14 months from the date of signing the contract ․ Duration (Shall commence within 14 days from the date of signing the contract) ․ Project Budget USD 2,361,000 (Be exclusive of VAT and other applicable indirect taxes) USD 2,337,390(Final Estimated Price will be decided on the ․ Project Estimated Price bid opening) ○ Currency: United States Dollar </x:v>
      </x:c>
      <x:c r="J1249" s="43" t="str">
        <x:v>자동추출·검토필요</x:v>
      </x:c>
    </x:row>
    <x:row r="1250">
      <x:c r="A1250" s="43" t="str">
        <x:v>L2024-00078-1</x:v>
      </x:c>
      <x:c r="B1250" s="43" t="str">
        <x:v>총사업비·예산</x:v>
      </x:c>
      <x:c r="C1250" s="46" t="str">
        <x:v>project budget</x:v>
      </x:c>
      <x:c r="D1250" s="46" t="str"/>
      <x:c r="E1250" s="46" t="str">
        <x:v>USD 1,187,000 | USD 1,187,000</x:v>
      </x:c>
      <x:c r="F1250" s="46" t="str">
        <x:v>0.5% | 0.5%</x:v>
      </x:c>
      <x:c r="G1250" s="46" t="str">
        <x:v>L2024-00078-1/★ Field Orientation Information.docx</x:v>
      </x:c>
      <x:c r="H1250" s="43" t="str">
        <x:v>표 1 행 11</x:v>
      </x:c>
      <x:c r="I1250" s="46" t="str">
        <x:v>Project Budget | USD 1,187,000 (including VAT and other taxes, 0.5% of safety management cost) | USD 1,187,000 (including VAT and other taxes, 0.5% of safety management cost)</x:v>
      </x:c>
      <x:c r="J1250" s="43" t="str">
        <x:v>자동추출·검토필요</x:v>
      </x:c>
    </x:row>
    <x:row r="1251">
      <x:c r="A1251" s="43" t="str">
        <x:v>L2024-00078-1</x:v>
      </x:c>
      <x:c r="B1251" s="43" t="str">
        <x:v>총사업비·예산</x:v>
      </x:c>
      <x:c r="C1251" s="46" t="str">
        <x:v>project budget</x:v>
      </x:c>
      <x:c r="D1251" s="46" t="str"/>
      <x:c r="E1251" s="46" t="str">
        <x:v>USD 1,187,000</x:v>
      </x:c>
      <x:c r="F1251" s="46" t="str"/>
      <x:c r="G1251" s="46" t="str">
        <x:v>L2024-00078-1/Section 2 Bid data sheet_MVC Construction_v05_CLEAN.docx</x:v>
      </x:c>
      <x:c r="H1251" s="43" t="str">
        <x:v>문단 111</x:v>
      </x:c>
      <x:c r="I1251" s="46" t="str">
        <x:v>The final estimated price should not exceed the project budget (USD 1,187,000)</x:v>
      </x:c>
      <x:c r="J1251" s="43" t="str">
        <x:v>자동추출·검토필요</x:v>
      </x:c>
    </x:row>
    <x:row r="1252">
      <x:c r="A1252" s="43" t="str">
        <x:v>L2024-00078-1</x:v>
      </x:c>
      <x:c r="B1252" s="43" t="str">
        <x:v>총사업비·예산</x:v>
      </x:c>
      <x:c r="C1252" s="46" t="str">
        <x:v>project budget</x:v>
      </x:c>
      <x:c r="D1252" s="46" t="str"/>
      <x:c r="E1252" s="46" t="str">
        <x:v>USD 1,187,000 | USD 1,187,000</x:v>
      </x:c>
      <x:c r="F1252" s="46" t="str">
        <x:v>0.5% | 0.5%</x:v>
      </x:c>
      <x:c r="G1252" s="46" t="str">
        <x:v>L2024-00078-1/Section 2 Bid data sheet_MVC Construction_v05_CLEAN.docx</x:v>
      </x:c>
      <x:c r="H1252" s="43" t="str">
        <x:v>표 2 행 11</x:v>
      </x:c>
      <x:c r="I1252" s="46" t="str">
        <x:v>Project Budget | USD 1,187,000 (including VAT and other taxes, 0.5% of safety management cost) | USD 1,187,000 (including VAT and other taxes, 0.5% of safety management cost)</x:v>
      </x:c>
      <x:c r="J1252" s="43" t="str">
        <x:v>자동추출·검토필요</x:v>
      </x:c>
    </x:row>
    <x:row r="1253">
      <x:c r="A1253" s="43" t="str">
        <x:v>L2024-00076-1</x:v>
      </x:c>
      <x:c r="B1253" s="43" t="str">
        <x:v>총사업비·예산</x:v>
      </x:c>
      <x:c r="C1253" s="46" t="str">
        <x:v>집행한도</x:v>
      </x:c>
      <x:c r="D1253" s="46" t="str"/>
      <x:c r="E1253" s="46" t="str">
        <x:v>USD 52,000</x:v>
      </x:c>
      <x:c r="F1253" s="46" t="str"/>
      <x:c r="G1253" s="46" t="str">
        <x:v>L2024-00076-1/1. 페루 시험 퇴비화 플랜트 국문입찰공고문.hwp</x:v>
      </x:c>
      <x:c r="H1253" s="43" t="str">
        <x:v>문단 292</x:v>
      </x:c>
      <x:c r="I1253" s="46" t="str">
        <x:v>USD 52,000(집행한도액)</x:v>
      </x:c>
      <x:c r="J1253" s="43" t="str">
        <x:v>자동추출·검토필요</x:v>
      </x:c>
    </x:row>
    <x:row r="1254">
      <x:c r="A1254" s="43" t="str">
        <x:v>L2024-00075-1</x:v>
      </x:c>
      <x:c r="B1254" s="43" t="str">
        <x:v>총사업비·예산</x:v>
      </x:c>
      <x:c r="C1254" s="46" t="str">
        <x:v>project budget</x:v>
      </x:c>
      <x:c r="D1254" s="46" t="str"/>
      <x:c r="E1254" s="46" t="str">
        <x:v>USD 624,034 | USD 624,034</x:v>
      </x:c>
      <x:c r="F1254" s="46" t="str"/>
      <x:c r="G1254" s="46" t="str">
        <x:v>L2024-00075-1/Section 2 - Bid Data Sheet (영문)_수정_1118.docx</x:v>
      </x:c>
      <x:c r="H1254" s="43" t="str">
        <x:v>표 4 행 14</x:v>
      </x:c>
      <x:c r="I1254" s="46" t="str">
        <x:v>․ Project Budget | USD 624,034 (Be exclusive of VAT and other applicable indirect taxes) | USD 624,034 (Be exclusive of VAT and other applicable indirect taxes)</x:v>
      </x:c>
      <x:c r="J1254" s="43" t="str">
        <x:v>자동추출·검토필요</x:v>
      </x:c>
    </x:row>
    <x:row r="1255">
      <x:c r="A1255" s="43" t="str">
        <x:v>L2024-00075-1</x:v>
      </x:c>
      <x:c r="B1255" s="43" t="str">
        <x:v>총사업비·예산</x:v>
      </x:c>
      <x:c r="C1255" s="46" t="str">
        <x:v>project budget</x:v>
      </x:c>
      <x:c r="D1255" s="46" t="str">
        <x:v>8,069 m2 | 700 m2 | 700 m2</x:v>
      </x:c>
      <x:c r="E1255" s="46" t="str">
        <x:v>USD 624,034 | USD 608,433</x:v>
      </x:c>
      <x:c r="F1255" s="46" t="str"/>
      <x:c r="G1255" s="46" t="str">
        <x:v>L2024-00075-1/Section 2 - Bid Data Sheet_1120.pdf</x:v>
      </x:c>
      <x:c r="H1255" s="43" t="str">
        <x:v>페이지 5</x:v>
      </x:c>
      <x:c r="I1255" s="46" t="str">
        <x:v>A. Brief of Bidding ․ Invitation No. KOICALAO-2024-15-1 L2022-0000-1 Construction of the Southern Agricultural Training Center ․ Bid Title (SATC) ․ Summary of Construction - Location Lak 35 village Paksong District, Champasak Province, Lao PDR - Programme Southern Agricultural Training Center - Site area 8,069m2 - Building area 700m2 - Gross floor area 700m2 Training Building including Director room, Reception room, pantry, staff office, Equipment storage, divisional Discussion 1 &amp;2, - Building scope Men &amp; female toilet, Accessible toilet, janitor, Technical, Dish- washing room, kitchen, Gas, storage 1 &amp; 2 Dining room, lecture room, corridor, terrace, pump area and water tank. - Structure Reinforced Concrete Structure, Steel Structure (Roof) The Contractor shall implement all of works described and designed in contract documents including Design Drawings, - Scope of Works Technical Specifications, Special Condition of Contract and Bill of Quantities as a duty and obligation of the Fixed Lump Sum Contract. - Scheduled Construction Period 300 days Until 330 days from the date of signing the contract -Shall commence 30 days from the date of signing the contract -construction period: 3</x:v>
      </x:c>
      <x:c r="J1255" s="43" t="str">
        <x:v>자동추출·검토필요</x:v>
      </x:c>
    </x:row>
    <x:row r="1256">
      <x:c r="A1256" s="43" t="str">
        <x:v>L2024-00075-1</x:v>
      </x:c>
      <x:c r="B1256" s="43" t="str">
        <x:v>총사업비·예산</x:v>
      </x:c>
      <x:c r="C1256" s="46" t="str">
        <x:v>project budget</x:v>
      </x:c>
      <x:c r="D1256" s="46" t="str"/>
      <x:c r="E1256" s="46" t="str">
        <x:v>USD 624,034</x:v>
      </x:c>
      <x:c r="F1256" s="46" t="str"/>
      <x:c r="G1256" s="46" t="str">
        <x:v>L2024-00075-1/Summary of Bidding (요약본).docx</x:v>
      </x:c>
      <x:c r="H1256" s="43" t="str">
        <x:v>표 2 행 4</x:v>
      </x:c>
      <x:c r="I1256" s="46" t="str">
        <x:v>․Project Budget | USD 624,034 (exclusive of VAT and other applicable indirect taxes) - Any price proposal exceeding the budget may result in rejection of its bid</x:v>
      </x:c>
      <x:c r="J1256" s="43" t="str">
        <x:v>자동추출·검토필요</x:v>
      </x:c>
    </x:row>
    <x:row r="1257">
      <x:c r="A1257" s="43" t="str">
        <x:v>L2024-00074-1</x:v>
      </x:c>
      <x:c r="B1257" s="43" t="str">
        <x:v>총사업비·예산</x:v>
      </x:c>
      <x:c r="C1257" s="46" t="str">
        <x:v>project budget</x:v>
      </x:c>
      <x:c r="D1257" s="46" t="str"/>
      <x:c r="E1257" s="46" t="str">
        <x:v>USD 101,702</x:v>
      </x:c>
      <x:c r="F1257" s="46" t="str"/>
      <x:c r="G1257" s="46" t="str">
        <x:v>L2024-00074-1/2.Bidding Summary 2024_ KOICA.docx</x:v>
      </x:c>
      <x:c r="H1257" s="43" t="str">
        <x:v>문단 22</x:v>
      </x:c>
      <x:c r="I1257" s="46" t="str">
        <x:v>The available budget for this procurement assignment is USD 101,702 and Bidders’ Proposals should not exceed this budget. Any bid exceeding the project budget may result in rejection of its bid.</x:v>
      </x:c>
      <x:c r="J1257" s="43" t="str">
        <x:v>자동추출·검토필요</x:v>
      </x:c>
    </x:row>
    <x:row r="1258">
      <x:c r="A1258" s="43" t="str">
        <x:v>L2024-00074-1</x:v>
      </x:c>
      <x:c r="B1258" s="43" t="str">
        <x:v>총사업비·예산</x:v>
      </x:c>
      <x:c r="C1258" s="46" t="str">
        <x:v>project budget</x:v>
      </x:c>
      <x:c r="D1258" s="46" t="str"/>
      <x:c r="E1258" s="46" t="str">
        <x:v>USD 103,630 | USD 103,630</x:v>
      </x:c>
      <x:c r="F1258" s="46" t="str"/>
      <x:c r="G1258" s="46" t="str">
        <x:v>L2024-00074-1/3.Section 2 - Bid Data Sheet (영문)_1031.docx</x:v>
      </x:c>
      <x:c r="H1258" s="43" t="str">
        <x:v>표 4 행 7</x:v>
      </x:c>
      <x:c r="I1258" s="46" t="str">
        <x:v>․ Project Budget | USD 103,630 (including VAT) | USD 103,630 (including VAT)</x:v>
      </x:c>
      <x:c r="J1258" s="43" t="str">
        <x:v>자동추출·검토필요</x:v>
      </x:c>
    </x:row>
    <x:row r="1259">
      <x:c r="A1259" s="43" t="str">
        <x:v>L2024-00072-1</x:v>
      </x:c>
      <x:c r="B1259" s="43" t="str">
        <x:v>총사업비·예산</x:v>
      </x:c>
      <x:c r="C1259" s="46" t="str">
        <x:v>project budget</x:v>
      </x:c>
      <x:c r="D1259" s="46" t="str"/>
      <x:c r="E1259" s="46" t="str">
        <x:v>USD 390,500</x:v>
      </x:c>
      <x:c r="F1259" s="46" t="str"/>
      <x:c r="G1259" s="46" t="str">
        <x:v>L2024-00072-1/2. 입찰문서 각 1부 우간다 마케레레/Summary of Bidding (요약본)_수정.docx</x:v>
      </x:c>
      <x:c r="H1259" s="43" t="str">
        <x:v>문단 19</x:v>
      </x:c>
      <x:c r="I1259" s="46" t="str">
        <x:v>The available budget for this procurement assignment is USD 390,500 and Bidders’ Proposals should not exceed this budget. Any bid exceeding the project budget may result in rejection of its bid.</x:v>
      </x:c>
      <x:c r="J1259" s="43" t="str">
        <x:v>자동추출·검토필요</x:v>
      </x:c>
    </x:row>
    <x:row r="1260">
      <x:c r="A1260" s="43" t="str">
        <x:v>L2024-00072-1</x:v>
      </x:c>
      <x:c r="B1260" s="43" t="str">
        <x:v>총사업비·예산</x:v>
      </x:c>
      <x:c r="C1260" s="46" t="str">
        <x:v>project budget</x:v>
      </x:c>
      <x:c r="D1260" s="46" t="str"/>
      <x:c r="E1260" s="46" t="str">
        <x:v>USD 390,500 | USD 213,000 | USD 177,500</x:v>
      </x:c>
      <x:c r="F1260" s="46" t="str"/>
      <x:c r="G1260" s="46" t="str">
        <x:v>L2024-00072-1/2. 입찰문서 각 1부 우간다 마케레레/Summary of Bidding (요약본)_수정.docx</x:v>
      </x:c>
      <x:c r="H1260" s="43" t="str">
        <x:v>표 2 행 4</x:v>
      </x:c>
      <x:c r="I1260" s="46" t="str">
        <x:v>․ Project Budget | USD 390,500 (VAT excluded) (Design) USD 213,000 (Construction supervision) USD 177,500</x:v>
      </x:c>
      <x:c r="J1260" s="43" t="str">
        <x:v>자동추출·검토필요</x:v>
      </x:c>
    </x:row>
    <x:row r="1261">
      <x:c r="A1261" s="43" t="str">
        <x:v>L2024-00068-2</x:v>
      </x:c>
      <x:c r="B1261" s="43" t="str">
        <x:v>총사업비·예산</x:v>
      </x:c>
      <x:c r="C1261" s="46" t="str">
        <x:v>project budget</x:v>
      </x:c>
      <x:c r="D1261" s="46" t="str"/>
      <x:c r="E1261" s="46" t="str">
        <x:v>USD 440,000 | USD 440,000</x:v>
      </x:c>
      <x:c r="F1261" s="46" t="str"/>
      <x:c r="G1261" s="46" t="str">
        <x:v>L2024-00068-2/Section 2 - Bid Data Sheet (Written in English).docx</x:v>
      </x:c>
      <x:c r="H1261" s="43" t="str">
        <x:v>표 4 행 8</x:v>
      </x:c>
      <x:c r="I1261" s="46" t="str">
        <x:v>․ Project Budget | USD 440,000 (Be exclusive of VAT and other applicable indirect taxes) | USD 440,000 (Be exclusive of VAT and other applicable indirect taxes)</x:v>
      </x:c>
      <x:c r="J1261" s="43" t="str">
        <x:v>자동추출·검토필요</x:v>
      </x:c>
    </x:row>
    <x:row r="1262">
      <x:c r="A1262" s="43" t="str">
        <x:v>L2024-00068-1</x:v>
      </x:c>
      <x:c r="B1262" s="43" t="str">
        <x:v>총사업비·예산</x:v>
      </x:c>
      <x:c r="C1262" s="46" t="str">
        <x:v>project budget</x:v>
      </x:c>
      <x:c r="D1262" s="46" t="str"/>
      <x:c r="E1262" s="46" t="str">
        <x:v>USD 440,000 | USD 440,000</x:v>
      </x:c>
      <x:c r="F1262" s="46" t="str"/>
      <x:c r="G1262" s="46" t="str">
        <x:v>L2024-00068-1/Section 2 - Bid Data Sheet (Written in English).docx</x:v>
      </x:c>
      <x:c r="H1262" s="43" t="str">
        <x:v>표 4 행 8</x:v>
      </x:c>
      <x:c r="I1262" s="46" t="str">
        <x:v>․ Project Budget | USD 440,000 (Be exclusive of VAT and other applicable indirect taxes) | USD 440,000 (Be exclusive of VAT and other applicable indirect taxes)</x:v>
      </x:c>
      <x:c r="J1262" s="43" t="str">
        <x:v>자동추출·검토필요</x:v>
      </x:c>
    </x:row>
    <x:row r="1263">
      <x:c r="A1263" s="43" t="str">
        <x:v>L2024-00050-1</x:v>
      </x:c>
      <x:c r="B1263" s="43" t="str">
        <x:v>총사업비·예산</x:v>
      </x:c>
      <x:c r="C1263" s="46" t="str">
        <x:v>project budget</x:v>
      </x:c>
      <x:c r="D1263" s="46" t="str"/>
      <x:c r="E1263" s="46" t="str">
        <x:v>USD 3,910,000 | USD 3,910,000</x:v>
      </x:c>
      <x:c r="F1263" s="46" t="str"/>
      <x:c r="G1263" s="46" t="str">
        <x:v>L2024-00050-1/Part 1(입찰절차)/Part 1(└╘┬√└²┬≈)/Section 2 - Bid Data Sheet (┐╡╣«).docx</x:v>
      </x:c>
      <x:c r="H1263" s="43" t="str">
        <x:v>표 4 행 14</x:v>
      </x:c>
      <x:c r="I1263" s="46" t="str">
        <x:v>Project Budget | USD 3,910,000 (Exclusive of VAT and other applicable indirect taxes) | USD 3,910,000 (Exclusive of VAT and other applicable indirect taxes)</x:v>
      </x:c>
      <x:c r="J1263" s="43" t="str">
        <x:v>자동추출·검토필요</x:v>
      </x:c>
    </x:row>
    <x:row r="1264">
      <x:c r="A1264" s="43" t="str">
        <x:v>L2024-00050-1</x:v>
      </x:c>
      <x:c r="B1264" s="43" t="str">
        <x:v>총사업비·예산</x:v>
      </x:c>
      <x:c r="C1264" s="46" t="str">
        <x:v>project budget</x:v>
      </x:c>
      <x:c r="D1264" s="46" t="str"/>
      <x:c r="E1264" s="46" t="str">
        <x:v>USD 3,910,000 | USD 3,910,000</x:v>
      </x:c>
      <x:c r="F1264" s="46" t="str"/>
      <x:c r="G1264" s="46" t="str">
        <x:v>L2024-00050-1/입찰계획안(영문)_240912.docx</x:v>
      </x:c>
      <x:c r="H1264" s="43" t="str">
        <x:v>표 4 행 14</x:v>
      </x:c>
      <x:c r="I1264" s="46" t="str">
        <x:v>Project Budget | USD 3,910,000 (Exclusive of VAT and other applicable indirect taxes) | USD 3,910,000 (Exclusive of VAT and other applicable indirect taxes)</x:v>
      </x:c>
      <x:c r="J1264" s="43" t="str">
        <x:v>자동추출·검토필요</x:v>
      </x:c>
    </x:row>
    <x:row r="1265">
      <x:c r="A1265" s="43" t="str">
        <x:v>L2024-00049-2</x:v>
      </x:c>
      <x:c r="B1265" s="43" t="str">
        <x:v>총사업비·예산</x:v>
      </x:c>
      <x:c r="C1265" s="46" t="str">
        <x:v>project budget</x:v>
      </x:c>
      <x:c r="D1265" s="46" t="str"/>
      <x:c r="E1265" s="46" t="str">
        <x:v>USD 965,000</x:v>
      </x:c>
      <x:c r="F1265" s="46" t="str"/>
      <x:c r="G1265" s="46" t="str">
        <x:v>L2024-00049-2/3. Bidding Document_ITCA (Construction)/Section 2 Bid data sheet_ITCA Construction.docx</x:v>
      </x:c>
      <x:c r="H1265" s="43" t="str">
        <x:v>문단 190</x:v>
      </x:c>
      <x:c r="I1265" s="46" t="str">
        <x:v>o The final estimated price should not exceed the project budget (USD 965,000)</x:v>
      </x:c>
      <x:c r="J1265" s="43" t="str">
        <x:v>자동추출·검토필요</x:v>
      </x:c>
    </x:row>
    <x:row r="1266">
      <x:c r="A1266" s="43" t="str">
        <x:v>L2024-00049-2</x:v>
      </x:c>
      <x:c r="B1266" s="43" t="str">
        <x:v>총사업비·예산</x:v>
      </x:c>
      <x:c r="C1266" s="46" t="str">
        <x:v>project budget</x:v>
      </x:c>
      <x:c r="D1266" s="46" t="str"/>
      <x:c r="E1266" s="46" t="str">
        <x:v>USD 965,000 | USD 965,000</x:v>
      </x:c>
      <x:c r="F1266" s="46" t="str">
        <x:v>0.5% | 0.5%</x:v>
      </x:c>
      <x:c r="G1266" s="46" t="str">
        <x:v>L2024-00049-2/3. Bidding Document_ITCA (Construction)/Section 2 Bid data sheet_ITCA Construction.docx</x:v>
      </x:c>
      <x:c r="H1266" s="43" t="str">
        <x:v>표 2 행 11</x:v>
      </x:c>
      <x:c r="I1266" s="46" t="str">
        <x:v>Project Budget | USD 965,000 (excluding VAT and other taxes, Incl. 0.5% of safety management cost) | USD 965,000 (excluding VAT and other taxes, Incl. 0.5% of safety management cost)</x:v>
      </x:c>
      <x:c r="J1266" s="43" t="str">
        <x:v>자동추출·검토필요</x:v>
      </x:c>
    </x:row>
    <x:row r="1267">
      <x:c r="A1267" s="43" t="str">
        <x:v>L2024-00049-2</x:v>
      </x:c>
      <x:c r="B1267" s="43" t="str">
        <x:v>총사업비·예산</x:v>
      </x:c>
      <x:c r="C1267" s="46" t="str">
        <x:v>project budget</x:v>
      </x:c>
      <x:c r="D1267" s="46" t="str"/>
      <x:c r="E1267" s="46" t="str">
        <x:v>USD 940,875 | USD 940,875</x:v>
      </x:c>
      <x:c r="F1267" s="46" t="str">
        <x:v>97.5% | 97.5%</x:v>
      </x:c>
      <x:c r="G1267" s="46" t="str">
        <x:v>L2024-00049-2/3. Bidding Document_ITCA (Construction)/Section 2 Bid data sheet_ITCA Construction.docx</x:v>
      </x:c>
      <x:c r="H1267" s="43" t="str">
        <x:v>표 2 행 12</x:v>
      </x:c>
      <x:c r="I1267" s="46" t="str">
        <x:v>Base Price | USD 940,875 (97.5% of Project budget) | USD 940,875 (97.5% of Project budget)</x:v>
      </x:c>
      <x:c r="J1267" s="43" t="str">
        <x:v>자동추출·검토필요</x:v>
      </x:c>
    </x:row>
    <x:row r="1268">
      <x:c r="A1268" s="43" t="str">
        <x:v>L2024-00049-1</x:v>
      </x:c>
      <x:c r="B1268" s="43" t="str">
        <x:v>총사업비·예산</x:v>
      </x:c>
      <x:c r="C1268" s="46" t="str">
        <x:v>project budget</x:v>
      </x:c>
      <x:c r="D1268" s="46" t="str"/>
      <x:c r="E1268" s="46" t="str">
        <x:v>USD 965,000</x:v>
      </x:c>
      <x:c r="F1268" s="46" t="str"/>
      <x:c r="G1268" s="46" t="str">
        <x:v>L2024-00049-1/Bidding Document_ITCA(Construction)_Final/Section 2 Bid data sheet_ITCA Construction_(202409).docx</x:v>
      </x:c>
      <x:c r="H1268" s="43" t="str">
        <x:v>문단 108</x:v>
      </x:c>
      <x:c r="I1268" s="46" t="str">
        <x:v>o The final estimated price should not exceed the project budget (USD 965,000)</x:v>
      </x:c>
      <x:c r="J1268" s="43" t="str">
        <x:v>자동추출·검토필요</x:v>
      </x:c>
    </x:row>
    <x:row r="1269">
      <x:c r="A1269" s="43" t="str">
        <x:v>L2024-00049-1</x:v>
      </x:c>
      <x:c r="B1269" s="43" t="str">
        <x:v>총사업비·예산</x:v>
      </x:c>
      <x:c r="C1269" s="46" t="str">
        <x:v>project budget</x:v>
      </x:c>
      <x:c r="D1269" s="46" t="str"/>
      <x:c r="E1269" s="46" t="str">
        <x:v>USD 965,000 | USD 965,000</x:v>
      </x:c>
      <x:c r="F1269" s="46" t="str">
        <x:v>0.5% | 0.5%</x:v>
      </x:c>
      <x:c r="G1269" s="46" t="str">
        <x:v>L2024-00049-1/Bidding Document_ITCA(Construction)_Final/Section 2 Bid data sheet_ITCA Construction_(202409).docx</x:v>
      </x:c>
      <x:c r="H1269" s="43" t="str">
        <x:v>표 2 행 11</x:v>
      </x:c>
      <x:c r="I1269" s="46" t="str">
        <x:v>Project Budget | USD 965,000 (excluding VAT and other taxes, Incl. 0.5% of safety management cost) | USD 965,000 (excluding VAT and other taxes, Incl. 0.5% of safety management cost)</x:v>
      </x:c>
      <x:c r="J1269" s="43" t="str">
        <x:v>자동추출·검토필요</x:v>
      </x:c>
    </x:row>
    <x:row r="1270">
      <x:c r="A1270" s="43" t="str">
        <x:v>L2024-00049-1</x:v>
      </x:c>
      <x:c r="B1270" s="43" t="str">
        <x:v>총사업비·예산</x:v>
      </x:c>
      <x:c r="C1270" s="46" t="str">
        <x:v>project budget</x:v>
      </x:c>
      <x:c r="D1270" s="46" t="str"/>
      <x:c r="E1270" s="46" t="str">
        <x:v>USD 940,875 | USD 940,875</x:v>
      </x:c>
      <x:c r="F1270" s="46" t="str">
        <x:v>97.5% | 97.5%</x:v>
      </x:c>
      <x:c r="G1270" s="46" t="str">
        <x:v>L2024-00049-1/Bidding Document_ITCA(Construction)_Final/Section 2 Bid data sheet_ITCA Construction_(202409).docx</x:v>
      </x:c>
      <x:c r="H1270" s="43" t="str">
        <x:v>표 2 행 12</x:v>
      </x:c>
      <x:c r="I1270" s="46" t="str">
        <x:v>Base Price | USD 940,875 (97.5% of Project budget) | USD 940,875 (97.5% of Project budget)</x:v>
      </x:c>
      <x:c r="J1270" s="43" t="str">
        <x:v>자동추출·검토필요</x:v>
      </x:c>
    </x:row>
    <x:row r="1271">
      <x:c r="A1271" s="43" t="str">
        <x:v>L2024-00048-1</x:v>
      </x:c>
      <x:c r="B1271" s="43" t="str">
        <x:v>총사업비·예산</x:v>
      </x:c>
      <x:c r="C1271" s="46" t="str">
        <x:v>project budget</x:v>
      </x:c>
      <x:c r="D1271" s="46" t="str"/>
      <x:c r="E1271" s="46" t="str">
        <x:v>USD 220,000 | USD 132,000 | USD 88,000</x:v>
      </x:c>
      <x:c r="F1271" s="46" t="str"/>
      <x:c r="G1271" s="46" t="str">
        <x:v>L2024-00048-1/입찰 초청장.docx</x:v>
      </x:c>
      <x:c r="H1271" s="43" t="str">
        <x:v>표 2 행 5</x:v>
      </x:c>
      <x:c r="I1271" s="46" t="str">
        <x:v>Project Budget | USD 220,000 (VAT excluded) - Design: USD 132,000 - Construction Supervision: USD 88,000</x:v>
      </x:c>
      <x:c r="J1271" s="43" t="str">
        <x:v>자동추출·검토필요</x:v>
      </x:c>
    </x:row>
    <x:row r="1272">
      <x:c r="A1272" s="43" t="str">
        <x:v>L2024-00042-1</x:v>
      </x:c>
      <x:c r="B1272" s="43" t="str">
        <x:v>총사업비·예산</x:v>
      </x:c>
      <x:c r="C1272" s="46" t="str">
        <x:v>project budget</x:v>
      </x:c>
      <x:c r="D1272" s="46" t="str"/>
      <x:c r="E1272" s="46" t="str">
        <x:v>USD 9,406,500 | USD 9,171,338</x:v>
      </x:c>
      <x:c r="F1272" s="46" t="str"/>
      <x:c r="G1272" s="46" t="str">
        <x:v>L2024-00042-1/Section 2_Bid Data Sheet.pdf</x:v>
      </x:c>
      <x:c r="H1272" s="43" t="str">
        <x:v>페이지 6</x:v>
      </x:c>
      <x:c r="I1272" s="46" t="str">
        <x:v>1. Overview of Bid A. Bidding No. KOICALAO-2024-7-24 Construction Works for Upgrading Bridges and Road Safety B. Title of the Bid on National Road No.8 (AH15) in Lao PDR C. Summary of Construction Works - Location Bolikhamxai and Khammouane Province of Lao PDR ▪ Bridge Construction: 6 nos., L=231.0 m - Nam Khiao 2 Br. (PSC Beam), L=33.0 m - Huay Khimiang Br. (PSC Beam), L=33.0 m - Huay Mouang Br. (PSC Beam), L=33.0 m - Huay Poung Br. (PSC Beam), L=33.0 m - Nam Ngang Gnai Br. (PSC Beam), L=2@33=66.0 m - Huay Bordod Br. (PSC Beam), L=33.0 m ▪ Bridge Access Road Rehabilitation: 6 nos., L=2.11 km - Content ▪ Improvement of Black Spot: 2 nos., L=1.44 km - Black Spot #1: L=1.06 km, Road Pavement and Safety Facilities Installation - Black Spot #2: L=0.38 km, Improvement of Alignments, Road Safety Facilities Installation ▪ School Zone Installation: 4 nos. - Phontan, Khouanchanh, Lak10, Thong Napei Primary School - Line Marking, Installation of Road Safety Facilities - Duration 24 Months from the Commencement 25 Months from Contract Signing (Commencement should be D. Contract Period within 30 days from Contract Signing) Lump Sum Contract (No Price Adjustment is adopted due to E. Contract Me</x:v>
      </x:c>
      <x:c r="J1272" s="43" t="str">
        <x:v>자동추출·검토필요</x:v>
      </x:c>
    </x:row>
    <x:row r="1273">
      <x:c r="A1273" s="43" t="str">
        <x:v>L2024-00041-1</x:v>
      </x:c>
      <x:c r="B1273" s="43" t="str">
        <x:v>총사업비·예산</x:v>
      </x:c>
      <x:c r="C1273" s="46" t="str">
        <x:v>project budget</x:v>
      </x:c>
      <x:c r="D1273" s="46" t="str"/>
      <x:c r="E1273" s="46" t="str">
        <x:v>USD 166,600</x:v>
      </x:c>
      <x:c r="F1273" s="46" t="str"/>
      <x:c r="G1273" s="46" t="str">
        <x:v>L2024-00041-1/Summary of Bidding (요약본)_v1_0517.docx</x:v>
      </x:c>
      <x:c r="H1273" s="43" t="str">
        <x:v>문단 22</x:v>
      </x:c>
      <x:c r="I1273" s="46" t="str">
        <x:v>The available budget for this procurement assignment is USD 166,600 and Bidders’ Proposals should not exceed this budget. Any bid exceeding the project budget may result in rejection of its bid.</x:v>
      </x:c>
      <x:c r="J1273" s="43" t="str">
        <x:v>자동추출·검토필요</x:v>
      </x:c>
    </x:row>
    <x:row r="1274">
      <x:c r="A1274" s="43" t="str">
        <x:v>L2024-00041-1</x:v>
      </x:c>
      <x:c r="B1274" s="43" t="str">
        <x:v>총사업비·예산</x:v>
      </x:c>
      <x:c r="C1274" s="46" t="str">
        <x:v>project budget</x:v>
      </x:c>
      <x:c r="D1274" s="46" t="str"/>
      <x:c r="E1274" s="46" t="str">
        <x:v>USD 166,600 | USD 149,940, | USD 16,660</x:v>
      </x:c>
      <x:c r="F1274" s="46" t="str">
        <x:v>90% | 10%</x:v>
      </x:c>
      <x:c r="G1274" s="46" t="str">
        <x:v>L2024-00041-1/Summary of Bidding (요약본)_v1_0517.docx</x:v>
      </x:c>
      <x:c r="H1274" s="43" t="str">
        <x:v>표 2 행 4</x:v>
      </x:c>
      <x:c r="I1274" s="46" t="str">
        <x:v>․ Project Budget | USD 166,600 (Excluding value-added taxes and other fees) - Design(90%): USD149,940, - Author’s Supervision(10%): USD16,660</x:v>
      </x:c>
      <x:c r="J1274" s="43" t="str">
        <x:v>자동추출·검토필요</x:v>
      </x:c>
    </x:row>
    <x:row r="1275">
      <x:c r="A1275" s="43" t="str">
        <x:v>L2024-00041-1</x:v>
      </x:c>
      <x:c r="B1275" s="43" t="str">
        <x:v>총사업비·예산</x:v>
      </x:c>
      <x:c r="C1275" s="46" t="str">
        <x:v>project budget</x:v>
      </x:c>
      <x:c r="D1275" s="46" t="str"/>
      <x:c r="E1275" s="46" t="str">
        <x:v>USD 166,600</x:v>
      </x:c>
      <x:c r="F1275" s="46" t="str"/>
      <x:c r="G1275" s="46" t="str">
        <x:v>L2024-00041-1/Summary of Bidding (요약본)_v2_0603.docx</x:v>
      </x:c>
      <x:c r="H1275" s="43" t="str">
        <x:v>문단 22</x:v>
      </x:c>
      <x:c r="I1275" s="46" t="str">
        <x:v>The available budget for this procurement assignment is USD 166,600 and Bidders’ Proposals should not exceed this budget. Any bid exceeding the project budget may result in rejection of its bid.</x:v>
      </x:c>
      <x:c r="J1275" s="43" t="str">
        <x:v>자동추출·검토필요</x:v>
      </x:c>
    </x:row>
    <x:row r="1276">
      <x:c r="A1276" s="43" t="str">
        <x:v>L2024-00041-1</x:v>
      </x:c>
      <x:c r="B1276" s="43" t="str">
        <x:v>총사업비·예산</x:v>
      </x:c>
      <x:c r="C1276" s="46" t="str">
        <x:v>project budget</x:v>
      </x:c>
      <x:c r="D1276" s="46" t="str"/>
      <x:c r="E1276" s="46" t="str">
        <x:v>USD 166,600 | USD 149,940, | USD 16,660</x:v>
      </x:c>
      <x:c r="F1276" s="46" t="str">
        <x:v>90% | 10%</x:v>
      </x:c>
      <x:c r="G1276" s="46" t="str">
        <x:v>L2024-00041-1/Summary of Bidding (요약본)_v2_0603.docx</x:v>
      </x:c>
      <x:c r="H1276" s="43" t="str">
        <x:v>표 2 행 4</x:v>
      </x:c>
      <x:c r="I1276" s="46" t="str">
        <x:v>․ Project Budget | USD 166,600 (Excluding value-added taxes and other fees) - Design(90%): USD149,940, - Author’s Supervision(10%): USD16,660</x:v>
      </x:c>
      <x:c r="J1276" s="43" t="str">
        <x:v>자동추출·검토필요</x:v>
      </x:c>
    </x:row>
    <x:row r="1277">
      <x:c r="A1277" s="43" t="str">
        <x:v>L2024-00039-1</x:v>
      </x:c>
      <x:c r="B1277" s="43" t="str">
        <x:v>총사업비·예산</x:v>
      </x:c>
      <x:c r="C1277" s="46" t="str">
        <x:v>집행한도</x:v>
      </x:c>
      <x:c r="D1277" s="46" t="str"/>
      <x:c r="E1277" s="46" t="str">
        <x:v>USD 1,811,491</x:v>
      </x:c>
      <x:c r="F1277" s="46" t="str"/>
      <x:c r="G1277" s="46" t="str">
        <x:v>L2024-00039-1/(이라크사무소) 한-이라크 직업훈련원 2차 지원사업 리노베이션 시공업체선정 현지.hwp</x:v>
      </x:c>
      <x:c r="H1277" s="43" t="str">
        <x:v>문단 17</x:v>
      </x:c>
      <x:c r="I1277" s="46" t="str">
        <x:v>ㅇ 집행한도액: USD 1,811,491(VAT 불포함)</x:v>
      </x:c>
      <x:c r="J1277" s="43" t="str">
        <x:v>자동추출·검토필요</x:v>
      </x:c>
    </x:row>
    <x:row r="1278">
      <x:c r="A1278" s="43" t="str">
        <x:v>L2024-00039-1</x:v>
      </x:c>
      <x:c r="B1278" s="43" t="str">
        <x:v>총사업비·예산</x:v>
      </x:c>
      <x:c r="C1278" s="46" t="str">
        <x:v>집행한도</x:v>
      </x:c>
      <x:c r="D1278" s="46" t="str"/>
      <x:c r="E1278" s="46" t="str">
        <x:v>USD 1,766,203</x:v>
      </x:c>
      <x:c r="F1278" s="46" t="str">
        <x:v>97.5%</x:v>
      </x:c>
      <x:c r="G1278" s="46" t="str">
        <x:v>L2024-00039-1/(이라크사무소) 한-이라크 직업훈련원 2차 지원사업 리노베이션 시공업체선정 현지.hwp</x:v>
      </x:c>
      <x:c r="H1278" s="43" t="str">
        <x:v>문단 18</x:v>
      </x:c>
      <x:c r="I1278" s="46" t="str">
        <x:v>ㅇ 기초금액: USD 1,766,203(VAT 불포함) / * 예가범위 고려 집행한도액의 97.5% 산정</x:v>
      </x:c>
      <x:c r="J1278" s="43" t="str">
        <x:v>자동추출·검토필요</x:v>
      </x:c>
    </x:row>
    <x:row r="1279">
      <x:c r="A1279" s="43" t="str">
        <x:v>L2024-00039-1</x:v>
      </x:c>
      <x:c r="B1279" s="43" t="str">
        <x:v>총사업비·예산</x:v>
      </x:c>
      <x:c r="C1279" s="46" t="str">
        <x:v>project budget</x:v>
      </x:c>
      <x:c r="D1279" s="46" t="str"/>
      <x:c r="E1279" s="46" t="str">
        <x:v>USD 1,811,491 | USD 1,811,491</x:v>
      </x:c>
      <x:c r="F1279" s="46" t="str"/>
      <x:c r="G1279" s="46" t="str">
        <x:v>L2024-00039-1/붙임3. Bidding Documents_20240702/Section 2 - Bid Data Sheet_20240701.docx</x:v>
      </x:c>
      <x:c r="H1279" s="43" t="str">
        <x:v>표 4 행 14</x:v>
      </x:c>
      <x:c r="I1279" s="46" t="str">
        <x:v>․ Project Budget | USD 1,811,491 (Be inclusive of VAT and other applicable indirect taxes,) | USD 1,811,491 (Be inclusive of VAT and other applicable indirect taxes,)</x:v>
      </x:c>
      <x:c r="J1279" s="43" t="str">
        <x:v>자동추출·검토필요</x:v>
      </x:c>
    </x:row>
    <x:row r="1280">
      <x:c r="A1280" s="43" t="str">
        <x:v>L2024-00039-1</x:v>
      </x:c>
      <x:c r="B1280" s="43" t="str">
        <x:v>총사업비·예산</x:v>
      </x:c>
      <x:c r="C1280" s="46" t="str">
        <x:v>project budget</x:v>
      </x:c>
      <x:c r="D1280" s="46" t="str"/>
      <x:c r="E1280" s="46" t="str">
        <x:v>USD 1,811,491</x:v>
      </x:c>
      <x:c r="F1280" s="46" t="str"/>
      <x:c r="G1280" s="46" t="str">
        <x:v>L2024-00039-1/붙임3. Bidding Documents_20240702/Summary of Bidding_202405012.docx</x:v>
      </x:c>
      <x:c r="H1280" s="43" t="str">
        <x:v>문단 19</x:v>
      </x:c>
      <x:c r="I1280" s="46" t="str">
        <x:v>The available budget for this procurement assignment is USD 1,811,491 and Bidders’ Proposals should not exceed this budget. Any bid exceeding the project budget may result in rejection of its bid.</x:v>
      </x:c>
      <x:c r="J1280" s="43" t="str">
        <x:v>자동추출·검토필요</x:v>
      </x:c>
    </x:row>
    <x:row r="1281">
      <x:c r="A1281" s="43" t="str">
        <x:v>L2024-00039-1</x:v>
      </x:c>
      <x:c r="B1281" s="43" t="str">
        <x:v>총사업비·예산</x:v>
      </x:c>
      <x:c r="C1281" s="46" t="str">
        <x:v>project budget</x:v>
      </x:c>
      <x:c r="D1281" s="46" t="str"/>
      <x:c r="E1281" s="46" t="str">
        <x:v>USD 1,811,491</x:v>
      </x:c>
      <x:c r="F1281" s="46" t="str"/>
      <x:c r="G1281" s="46" t="str">
        <x:v>L2024-00039-1/붙임3. Bidding Documents_20240702/Summary of Bidding_202405012.docx</x:v>
      </x:c>
      <x:c r="H1281" s="43" t="str">
        <x:v>표 2 행 4</x:v>
      </x:c>
      <x:c r="I1281" s="46" t="str">
        <x:v>․ Project Budget | USD 1,811,491 (Be inclusive of VAT and other applicable indirect taxes)</x:v>
      </x:c>
      <x:c r="J1281" s="43" t="str">
        <x:v>자동추출·검토필요</x:v>
      </x:c>
    </x:row>
    <x:row r="1282">
      <x:c r="A1282" s="43" t="str">
        <x:v>L2024-00039-1</x:v>
      </x:c>
      <x:c r="B1282" s="43" t="str">
        <x:v>총사업비·예산</x:v>
      </x:c>
      <x:c r="C1282" s="46" t="str">
        <x:v>project budget</x:v>
      </x:c>
      <x:c r="D1282" s="46" t="str"/>
      <x:c r="E1282" s="46" t="str">
        <x:v>USD 1,811,491 | USD 1,811,491</x:v>
      </x:c>
      <x:c r="F1282" s="46" t="str"/>
      <x:c r="G1282" s="46" t="str">
        <x:v>L2024-00039-1/붙임3. 입찰서류 및 계약서류(안)_재공고(20240701)/Section 2 - Bid Data Sheet_20240701.docx</x:v>
      </x:c>
      <x:c r="H1282" s="43" t="str">
        <x:v>표 4 행 14</x:v>
      </x:c>
      <x:c r="I1282" s="46" t="str">
        <x:v>․ Project Budget | USD 1,811,491 (Be inclusive of VAT and other applicable indirect taxes,) | USD 1,811,491 (Be inclusive of VAT and other applicable indirect taxes,)</x:v>
      </x:c>
      <x:c r="J1282" s="43" t="str">
        <x:v>자동추출·검토필요</x:v>
      </x:c>
    </x:row>
    <x:row r="1283">
      <x:c r="A1283" s="43" t="str">
        <x:v>L2024-00039-1</x:v>
      </x:c>
      <x:c r="B1283" s="43" t="str">
        <x:v>총사업비·예산</x:v>
      </x:c>
      <x:c r="C1283" s="46" t="str">
        <x:v>project budget</x:v>
      </x:c>
      <x:c r="D1283" s="46" t="str"/>
      <x:c r="E1283" s="46" t="str">
        <x:v>USD 1,811,491</x:v>
      </x:c>
      <x:c r="F1283" s="46" t="str"/>
      <x:c r="G1283" s="46" t="str">
        <x:v>L2024-00039-1/붙임3. 입찰서류 및 계약서류(안)_재공고(20240701)/Summary of Bidding_202405012.docx</x:v>
      </x:c>
      <x:c r="H1283" s="43" t="str">
        <x:v>문단 19</x:v>
      </x:c>
      <x:c r="I1283" s="46" t="str">
        <x:v>The available budget for this procurement assignment is USD 1,811,491 and Bidders’ Proposals should not exceed this budget. Any bid exceeding the project budget may result in rejection of its bid.</x:v>
      </x:c>
      <x:c r="J1283" s="43" t="str">
        <x:v>자동추출·검토필요</x:v>
      </x:c>
    </x:row>
    <x:row r="1284">
      <x:c r="A1284" s="43" t="str">
        <x:v>L2024-00039-1</x:v>
      </x:c>
      <x:c r="B1284" s="43" t="str">
        <x:v>총사업비·예산</x:v>
      </x:c>
      <x:c r="C1284" s="46" t="str">
        <x:v>project budget</x:v>
      </x:c>
      <x:c r="D1284" s="46" t="str"/>
      <x:c r="E1284" s="46" t="str">
        <x:v>USD 1,811,491</x:v>
      </x:c>
      <x:c r="F1284" s="46" t="str"/>
      <x:c r="G1284" s="46" t="str">
        <x:v>L2024-00039-1/붙임3. 입찰서류 및 계약서류(안)_재공고(20240701)/Summary of Bidding_202405012.docx</x:v>
      </x:c>
      <x:c r="H1284" s="43" t="str">
        <x:v>표 2 행 4</x:v>
      </x:c>
      <x:c r="I1284" s="46" t="str">
        <x:v>․ Project Budget | USD 1,811,491 (Be inclusive of VAT and other applicable indirect taxes)</x:v>
      </x:c>
      <x:c r="J1284" s="43" t="str">
        <x:v>자동추출·검토필요</x:v>
      </x:c>
    </x:row>
    <x:row r="1285">
      <x:c r="A1285" s="43" t="str">
        <x:v>L2024-00039-1</x:v>
      </x:c>
      <x:c r="B1285" s="43" t="str">
        <x:v>총사업비·예산</x:v>
      </x:c>
      <x:c r="C1285" s="46" t="str">
        <x:v>예산</x:v>
      </x:c>
      <x:c r="D1285" s="46" t="str"/>
      <x:c r="E1285" s="46" t="str">
        <x:v>1,811,491 USD | 1,792,902 USD</x:v>
      </x:c>
      <x:c r="F1285" s="46" t="str"/>
      <x:c r="G1285" s="46" t="str">
        <x:v>L2024-00039-1/붙임3. 조달1팀 검토의견서 및 공문/2. (검토내역) 붙임1. 이라크 한-이라크 직훈원 리노베이션 시공 입찰계획(안)_20240424_최종(코이카 이라크사무소).hwp</x:v>
      </x:c>
      <x:c r="H1285" s="43" t="str">
        <x:v>문단 112</x:v>
      </x:c>
      <x:c r="I1285" s="46" t="str">
        <x:v>湯慴  이라크 한-이라크 직훈원 프로젝트 시공예산 집행 한도액 1,811,491 USD, 코이카 집행 예정금액임. (공사우선 순위에 의한 금액은 1,792,902 USD 임)</x:v>
      </x:c>
      <x:c r="J1285" s="43" t="str">
        <x:v>자동추출·검토필요</x:v>
      </x:c>
    </x:row>
    <x:row r="1286">
      <x:c r="A1286" s="43" t="str">
        <x:v>L2024-00039-1</x:v>
      </x:c>
      <x:c r="B1286" s="43" t="str">
        <x:v>총사업비·예산</x:v>
      </x:c>
      <x:c r="C1286" s="46" t="str">
        <x:v>예산</x:v>
      </x:c>
      <x:c r="D1286" s="46" t="str"/>
      <x:c r="E1286" s="46" t="str">
        <x:v>1,811,491 USD | 1,792,902 USD</x:v>
      </x:c>
      <x:c r="F1286" s="46" t="str"/>
      <x:c r="G1286" s="46" t="str">
        <x:v>L2024-00039-1/붙임3. 조달1팀 검토의견서 및 공문/3. (수정내역) 이라크 한-이라크 직훈원 리노베이션 시공 입찰계획(안)_20240505(검토메모)_사무소 작성.hwp</x:v>
      </x:c>
      <x:c r="H1286" s="43" t="str">
        <x:v>문단 111</x:v>
      </x:c>
      <x:c r="I1286" s="46" t="str">
        <x:v>湯慴  이라크 한-이라크 직훈원 프로젝트 시공예산 집행 한도액 1,811,491 USD, 코이카 집행 예정금액임. (공사우선 순위에 의한 금액은 1,792,902 USD 임)</x:v>
      </x:c>
      <x:c r="J1286" s="43" t="str">
        <x:v>자동추출·검토필요</x:v>
      </x:c>
    </x:row>
    <x:row r="1287">
      <x:c r="A1287" s="43" t="str">
        <x:v>L2024-00031-1</x:v>
      </x:c>
      <x:c r="B1287" s="43" t="str">
        <x:v>총사업비·예산</x:v>
      </x:c>
      <x:c r="C1287" s="46" t="str">
        <x:v>집행한도</x:v>
      </x:c>
      <x:c r="D1287" s="46" t="str"/>
      <x:c r="E1287" s="46" t="str">
        <x:v>USD 4,537,300</x:v>
      </x:c>
      <x:c r="F1287" s="46" t="str">
        <x:v>97.5%</x:v>
      </x:c>
      <x:c r="G1287" s="46" t="str">
        <x:v>L2024-00031-1/1-1. 네팔 박타푸르 취약지역의 빈곤층 건강수준 향상을 위한 역량강화 및 의료인프라 개선 사업-현지 시공업체 선정 입찰계획(안).hwp</x:v>
      </x:c>
      <x:c r="H1287" s="43" t="str">
        <x:v>문단 113</x:v>
      </x:c>
      <x:c r="I1287" s="46" t="str">
        <x:v>USD4,537,300*(집행한도액의 97.5% 해당액에서 100달러 미만 액수 버림처리)</x:v>
      </x:c>
      <x:c r="J1287" s="43" t="str">
        <x:v>자동추출·검토필요</x:v>
      </x:c>
    </x:row>
    <x:row r="1288">
      <x:c r="A1288" s="43" t="str">
        <x:v>L2024-00017-1</x:v>
      </x:c>
      <x:c r="B1288" s="43" t="str">
        <x:v>총사업비·예산</x:v>
      </x:c>
      <x:c r="C1288" s="46" t="str">
        <x:v>project budget</x:v>
      </x:c>
      <x:c r="D1288" s="46" t="str"/>
      <x:c r="E1288" s="46" t="str">
        <x:v>USD 2,080,000</x:v>
      </x:c>
      <x:c r="F1288" s="46" t="str"/>
      <x:c r="G1288" s="46" t="str">
        <x:v>L2024-00017-1/붙임2. 파라과이 ICT 혁신센터 시공사 선정 입찰계획서(영문) 및 관련 양식/Section 2 Bid data sheet_ICT Construction.docx</x:v>
      </x:c>
      <x:c r="H1288" s="43" t="str">
        <x:v>문단 111</x:v>
      </x:c>
      <x:c r="I1288" s="46" t="str">
        <x:v>o The final estimated price should not exceed the project budget (USD 2,080,000)</x:v>
      </x:c>
      <x:c r="J1288" s="43" t="str">
        <x:v>자동추출·검토필요</x:v>
      </x:c>
    </x:row>
    <x:row r="1289">
      <x:c r="A1289" s="43" t="str">
        <x:v>L2024-00017-1</x:v>
      </x:c>
      <x:c r="B1289" s="43" t="str">
        <x:v>총사업비·예산</x:v>
      </x:c>
      <x:c r="C1289" s="46" t="str">
        <x:v>project budget</x:v>
      </x:c>
      <x:c r="D1289" s="46" t="str"/>
      <x:c r="E1289" s="46" t="str">
        <x:v>USD 2,080,000 | USD 2,080,000</x:v>
      </x:c>
      <x:c r="F1289" s="46" t="str">
        <x:v>0.5% | 0.5%</x:v>
      </x:c>
      <x:c r="G1289" s="46" t="str">
        <x:v>L2024-00017-1/붙임2. 파라과이 ICT 혁신센터 시공사 선정 입찰계획서(영문) 및 관련 양식/Section 2 Bid data sheet_ICT Construction.docx</x:v>
      </x:c>
      <x:c r="H1289" s="43" t="str">
        <x:v>표 2 행 11</x:v>
      </x:c>
      <x:c r="I1289" s="46" t="str">
        <x:v>Project Budget | USD 2,080,000 (excluding VAT and other taxes, Incl. 0.5% of safety management cost) | USD 2,080,000 (excluding VAT and other taxes, Incl. 0.5% of safety management cost)</x:v>
      </x:c>
      <x:c r="J1289" s="43" t="str">
        <x:v>자동추출·검토필요</x:v>
      </x:c>
    </x:row>
    <x:row r="1290">
      <x:c r="A1290" s="43" t="str">
        <x:v>L2024-00013-1</x:v>
      </x:c>
      <x:c r="B1290" s="43" t="str">
        <x:v>총사업비·예산</x:v>
      </x:c>
      <x:c r="C1290" s="46" t="str">
        <x:v>project budget</x:v>
      </x:c>
      <x:c r="D1290" s="46" t="str"/>
      <x:c r="E1290" s="46" t="str">
        <x:v>USD 8,086,003 | USD 8,086,003</x:v>
      </x:c>
      <x:c r="F1290" s="46" t="str"/>
      <x:c r="G1290" s="46" t="str">
        <x:v>L2024-00013-1/2-1. Section 2 - Bid Data Sheet.docx</x:v>
      </x:c>
      <x:c r="H1290" s="43" t="str">
        <x:v>표 4 행 11</x:v>
      </x:c>
      <x:c r="I1290" s="46" t="str">
        <x:v>․ Project Budget | USD 8,086,003 (Be inclusive of VAT and other applicable indirect taxes) | USD 8,086,003 (Be inclusive of VAT and other applicable indirect taxes)</x:v>
      </x:c>
      <x:c r="J1290" s="43" t="str">
        <x:v>자동추출·검토필요</x:v>
      </x:c>
    </x:row>
    <x:row r="1291">
      <x:c r="A1291" s="43" t="str">
        <x:v>L2024-00013-1</x:v>
      </x:c>
      <x:c r="B1291" s="43" t="str">
        <x:v>총사업비·예산</x:v>
      </x:c>
      <x:c r="C1291" s="46" t="str">
        <x:v>project budget</x:v>
      </x:c>
      <x:c r="D1291" s="46" t="str"/>
      <x:c r="E1291" s="46" t="str">
        <x:v>USD 7,883,853 | USD 7,883,853</x:v>
      </x:c>
      <x:c r="F1291" s="46" t="str">
        <x:v>97.5% | 97.5%</x:v>
      </x:c>
      <x:c r="G1291" s="46" t="str">
        <x:v>L2024-00013-1/2-1. Section 2 - Bid Data Sheet.docx</x:v>
      </x:c>
      <x:c r="H1291" s="43" t="str">
        <x:v>표 4 행 12</x:v>
      </x:c>
      <x:c r="I1291" s="46" t="str">
        <x:v>․ Projected Base Price | USD 7,883,853 (97.5% of project budget) | USD 7,883,853 (97.5% of project budget)</x:v>
      </x:c>
      <x:c r="J1291" s="43" t="str">
        <x:v>자동추출·검토필요</x:v>
      </x:c>
    </x:row>
    <x:row r="1292">
      <x:c r="A1292" s="43" t="str">
        <x:v>L2024-00013-1</x:v>
      </x:c>
      <x:c r="B1292" s="43" t="str">
        <x:v>총사업비·예산</x:v>
      </x:c>
      <x:c r="C1292" s="46" t="str">
        <x:v>project budget</x:v>
      </x:c>
      <x:c r="D1292" s="46" t="str"/>
      <x:c r="E1292" s="46" t="str">
        <x:v>USD 8,086,003</x:v>
      </x:c>
      <x:c r="F1292" s="46" t="str"/>
      <x:c r="G1292" s="46" t="str">
        <x:v>L2024-00013-1/2-2. Invitation for Bids.docx</x:v>
      </x:c>
      <x:c r="H1292" s="43" t="str">
        <x:v>문단 20</x:v>
      </x:c>
      <x:c r="I1292" s="46" t="str">
        <x:v>The available budget for this procurement assignment is USD 8,086,003 and Bidders’ Proposals should not exceed this budget. Any bid exceeding the project budget may result in rejection of its bid.</x:v>
      </x:c>
      <x:c r="J1292" s="43" t="str">
        <x:v>자동추출·검토필요</x:v>
      </x:c>
    </x:row>
    <x:row r="1293">
      <x:c r="A1293" s="43" t="str">
        <x:v>L2024-00013-1</x:v>
      </x:c>
      <x:c r="B1293" s="43" t="str">
        <x:v>총사업비·예산</x:v>
      </x:c>
      <x:c r="C1293" s="46" t="str">
        <x:v>project budget</x:v>
      </x:c>
      <x:c r="D1293" s="46" t="str"/>
      <x:c r="E1293" s="46" t="str">
        <x:v>USD 8,086,003</x:v>
      </x:c>
      <x:c r="F1293" s="46" t="str"/>
      <x:c r="G1293" s="46" t="str">
        <x:v>L2024-00013-1/2-2. Invitation for Bids.docx</x:v>
      </x:c>
      <x:c r="H1293" s="43" t="str">
        <x:v>표 2 행 4</x:v>
      </x:c>
      <x:c r="I1293" s="46" t="str">
        <x:v>․ Project Budget | USD 8,086,003 (Be inclusive of VAT and other applicable indirect taxes)</x:v>
      </x:c>
      <x:c r="J1293" s="43" t="str">
        <x:v>자동추출·검토필요</x:v>
      </x:c>
    </x:row>
    <x:row r="1294">
      <x:c r="A1294" s="43" t="str">
        <x:v>L2024-00001-1</x:v>
      </x:c>
      <x:c r="B1294" s="43" t="str">
        <x:v>총사업비·예산</x:v>
      </x:c>
      <x:c r="C1294" s="46" t="str">
        <x:v>project budget</x:v>
      </x:c>
      <x:c r="D1294" s="46" t="str"/>
      <x:c r="E1294" s="46" t="str">
        <x:v>USD 127,677</x:v>
      </x:c>
      <x:c r="F1294" s="46" t="str"/>
      <x:c r="G1294" s="46" t="str">
        <x:v>L2024-00001-1/붙임 2. 입찰서류 (최종)/Section 4 - Request for Propostal.docx</x:v>
      </x:c>
      <x:c r="H1294" s="43" t="str">
        <x:v>문단 62</x:v>
      </x:c>
      <x:c r="I1294" s="46" t="str">
        <x:v>The available budget for this bid is USD 127,677 (including GST) and Bidders’ Proposals should not exceed this budget. Any bid exceeding the Project Budget may result in rejection of its bid.</x:v>
      </x:c>
      <x:c r="J1294" s="43" t="str">
        <x:v>자동추출·검토필요</x:v>
      </x:c>
    </x:row>
    <x:row r="1295">
      <x:c r="A1295" s="43" t="str">
        <x:v>L2024-00001-1</x:v>
      </x:c>
      <x:c r="B1295" s="43" t="str">
        <x:v>총사업비·예산</x:v>
      </x:c>
      <x:c r="C1295" s="46" t="str">
        <x:v>project budget</x:v>
      </x:c>
      <x:c r="D1295" s="46" t="str"/>
      <x:c r="E1295" s="46" t="str">
        <x:v>USD 127,677</x:v>
      </x:c>
      <x:c r="F1295" s="46" t="str"/>
      <x:c r="G1295" s="46" t="str">
        <x:v>L2024-00001-1/붙임 2. 입찰서류 (최종)/Section 4 - Request for Propostal.docx</x:v>
      </x:c>
      <x:c r="H1295" s="43" t="str">
        <x:v>표 1 행 4</x:v>
      </x:c>
      <x:c r="I1295" s="46" t="str">
        <x:v>• Project Budget | -USD 127,677 (including GST) ∙ Any price proposal exceeding the project budget may result in rejection of its bid. ※If the Employer provides the Consultant with the tax exemption related to the Contract, the Employer will not be responsible for paying the exempt tax. If the Employer fails to provide the Consultant with the tax exemption, the Employer will pay the applicable taxes to the Consultant. ※KOICA has no authority or responsibility for any tax, including GST, incurred by such a bid and contract. The Federal Board of Revenue (FBR) is responsible for the taxation and tax exemption in accordance with the relevant laws and regulations of Pakistan.</x:v>
      </x:c>
      <x:c r="J1295" s="43" t="str">
        <x:v>자동추출·검토필요</x:v>
      </x:c>
    </x:row>
    <x:row r="1296">
      <x:c r="A1296" s="43" t="str">
        <x:v>L2023-00077-1</x:v>
      </x:c>
      <x:c r="B1296" s="43" t="str">
        <x:v>총사업비·예산</x:v>
      </x:c>
      <x:c r="C1296" s="46" t="str">
        <x:v>예산</x:v>
      </x:c>
      <x:c r="D1296" s="46" t="str"/>
      <x:c r="E1296" s="46" t="str">
        <x:v>USD 347,000</x:v>
      </x:c>
      <x:c r="F1296" s="46" t="str"/>
      <x:c r="G1296" s="46" t="str">
        <x:v>L2023-00077-1/붙임0. 현지입찰계획_세네갈국회사업 리모델링입찰.docx</x:v>
      </x:c>
      <x:c r="H1296" s="43" t="str">
        <x:v>문단 62</x:v>
      </x:c>
      <x:c r="I1296" s="46" t="str">
        <x:v>ㅇ 예산한도액 : USD 347,000 (VAT 미포함)*</x:v>
      </x:c>
      <x:c r="J1296" s="43" t="str">
        <x:v>자동추출·검토필요</x:v>
      </x:c>
    </x:row>
    <x:row r="1297">
      <x:c r="A1297" s="43" t="str">
        <x:v>L2023-00074-1</x:v>
      </x:c>
      <x:c r="B1297" s="43" t="str">
        <x:v>총사업비·예산</x:v>
      </x:c>
      <x:c r="C1297" s="46" t="str">
        <x:v>estimated cost</x:v>
      </x:c>
      <x:c r="D1297" s="46" t="str"/>
      <x:c r="E1297" s="46" t="str">
        <x:v>2, $ | $ 75 million</x:v>
      </x:c>
      <x:c r="F1297" s="46" t="str">
        <x:v>6%</x:v>
      </x:c>
      <x:c r="G1297" s="46" t="str">
        <x:v>L2023-00074-1/붙임2. 신문공고 사본.pdf</x:v>
      </x:c>
      <x:c r="H1297" s="43" t="str">
        <x:v>페이지 2</x:v>
      </x:c>
      <x:c r="I1297" s="46" t="str">
        <x:v>THE HIMALAYAN TIMES, MONDAY, SEPTEMBER 4, 2023 www.thehimalayantimes.com PAGE 5 INTERNATIONAL s 4(% 7/2,$ /6%2 2USSIAN DRONES Scholz falls while jogging BERLIN: German Chancellor Olaf DOWNED AS -OSCOW HITS Scholz fell while jogging and sus- tained bruises to his face, prompting him to cancel some appointments this weekend, the government said on Saturday. In an emailed response to a 5KRAINE PORT query about the incident, the govern- ment said that the 65-year-old Ger- man leader had ‘a small sports acci- dent’ and cancelled appointments on Sunday in the central Hesse region, where a state election is being held on Agence France Presse October 8. But it said his appoint- ments next week wouldn’t be affected. The Hesse-based Frankfurter Rund- Kyiv, September 3 2OMANIA SLAMS schau newspaper first reported on Saturday’s incident. It cited a promi- Ukraine said today that it had destroyed 22 Russian drones on 2USSIAS $ANUBE nent lawmaker with Scholz’s cen- the southern Odesa region, as Moscow said it hit the Danube ATTACKS tre-left Social Democrats, Michael port of Reni, on the border with BUCHAREST: Romania’s Roth, who had invited the chancellor NATO member Romania. defence ministry o</x:v>
      </x:c>
      <x:c r="J1297" s="43" t="str">
        <x:v>자동추출·검토필요</x:v>
      </x:c>
    </x:row>
    <x:row r="1298">
      <x:c r="A1298" s="43" t="str">
        <x:v>L2023-00073-1</x:v>
      </x:c>
      <x:c r="B1298" s="43" t="str">
        <x:v>총사업비·예산</x:v>
      </x:c>
      <x:c r="C1298" s="46" t="str">
        <x:v>estimated cost</x:v>
      </x:c>
      <x:c r="D1298" s="46" t="str"/>
      <x:c r="E1298" s="46" t="str">
        <x:v>2, $ | $ 75 million</x:v>
      </x:c>
      <x:c r="F1298" s="46" t="str">
        <x:v>6%</x:v>
      </x:c>
      <x:c r="G1298" s="46" t="str">
        <x:v>L2023-00073-1/붙임2. 신문공고 사본.pdf</x:v>
      </x:c>
      <x:c r="H1298" s="43" t="str">
        <x:v>페이지 2</x:v>
      </x:c>
      <x:c r="I1298" s="46" t="str">
        <x:v>THE HIMALAYAN TIMES, MONDAY, SEPTEMBER 4, 2023 www.thehimalayantimes.com PAGE 5 INTERNATIONAL s 4(% 7/2,$ /6%2 2USSIAN DRONES Scholz falls while jogging BERLIN: German Chancellor Olaf DOWNED AS -OSCOW HITS Scholz fell while jogging and sus- tained bruises to his face, prompting him to cancel some appointments this weekend, the government said on Saturday. In an emailed response to a 5KRAINE PORT query about the incident, the govern- ment said that the 65-year-old Ger- man leader had ‘a small sports acci- dent’ and cancelled appointments on Sunday in the central Hesse region, where a state election is being held on Agence France Presse October 8. But it said his appoint- ments next week wouldn’t be affected. The Hesse-based Frankfurter Rund- Kyiv, September 3 2OMANIA SLAMS schau newspaper first reported on Saturday’s incident. It cited a promi- Ukraine said today that it had destroyed 22 Russian drones on 2USSIAS $ANUBE nent lawmaker with Scholz’s cen- the southern Odesa region, as Moscow said it hit the Danube ATTACKS tre-left Social Democrats, Michael port of Reni, on the border with BUCHAREST: Romania’s Roth, who had invited the chancellor NATO member Romania. defence ministry o</x:v>
      </x:c>
      <x:c r="J1298" s="43" t="str">
        <x:v>자동추출·검토필요</x:v>
      </x:c>
    </x:row>
    <x:row r="1299">
      <x:c r="A1299" s="43" t="str">
        <x:v>L2023-00071-1</x:v>
      </x:c>
      <x:c r="B1299" s="43" t="str">
        <x:v>총사업비·예산</x:v>
      </x:c>
      <x:c r="C1299" s="46" t="str">
        <x:v>project budget</x:v>
      </x:c>
      <x:c r="D1299" s="46" t="str"/>
      <x:c r="E1299" s="46" t="str">
        <x:v>USD 202,000</x:v>
      </x:c>
      <x:c r="F1299" s="46" t="str"/>
      <x:c r="G1299" s="46" t="str">
        <x:v>L2023-00071-1/붙임 2. Bid Announcement_입찰공고문(영문)_Final.docx</x:v>
      </x:c>
      <x:c r="H1299" s="43" t="str">
        <x:v>표 3 행 8</x:v>
      </x:c>
      <x:c r="I1299" s="46" t="str">
        <x:v>Project Budget | Basic Price : USD 202,000 (Be inclusive of VAT and other applicable indirect taxes)</x:v>
      </x:c>
      <x:c r="J1299" s="43" t="str">
        <x:v>자동추출·검토필요</x:v>
      </x:c>
    </x:row>
    <x:row r="1300">
      <x:c r="A1300" s="43" t="str">
        <x:v>L2023-00071-1</x:v>
      </x:c>
      <x:c r="B1300" s="43" t="str">
        <x:v>총사업비·예산</x:v>
      </x:c>
      <x:c r="C1300" s="46" t="str">
        <x:v>project budget</x:v>
      </x:c>
      <x:c r="D1300" s="46" t="str"/>
      <x:c r="E1300" s="46" t="str">
        <x:v>USD 202,000</x:v>
      </x:c>
      <x:c r="F1300" s="46" t="str"/>
      <x:c r="G1300" s="46" t="str">
        <x:v>L2023-00071-1/붙임 3. 기타 입찰서류/(║┘└╙2) Invitation to Bid_├╩├╗└σ(┐╡╣«)_final.docx</x:v>
      </x:c>
      <x:c r="H1300" s="43" t="str">
        <x:v>표 4 행 8</x:v>
      </x:c>
      <x:c r="I1300" s="46" t="str">
        <x:v>Project Budget | Basic Price : USD 202,000 (Be inclusive of VAT and other applicable indirect taxes)</x:v>
      </x:c>
      <x:c r="J1300" s="43" t="str">
        <x:v>자동추출·검토필요</x:v>
      </x:c>
    </x:row>
    <x:row r="1301">
      <x:c r="A1301" s="43" t="str">
        <x:v>L2023-00070-2</x:v>
      </x:c>
      <x:c r="B1301" s="43" t="str">
        <x:v>총사업비·예산</x:v>
      </x:c>
      <x:c r="C1301" s="46" t="str">
        <x:v>project budget</x:v>
      </x:c>
      <x:c r="D1301" s="46" t="str"/>
      <x:c r="E1301" s="46" t="str">
        <x:v>KRW 2 billion</x:v>
      </x:c>
      <x:c r="F1301" s="46" t="str"/>
      <x:c r="G1301" s="46" t="str">
        <x:v>L2023-00070-2/붙임4. (관련규정) KOICA Regulations/2. Guidelines for Technical Evaluation.pdf</x:v>
      </x:c>
      <x:c r="H1301" s="43" t="str">
        <x:v>페이지 13</x:v>
      </x:c>
      <x:c r="I1301"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1301" s="43" t="str">
        <x:v>자동추출·검토필요</x:v>
      </x:c>
    </x:row>
    <x:row r="1302">
      <x:c r="A1302" s="43" t="str">
        <x:v>L2023-00070-2</x:v>
      </x:c>
      <x:c r="B1302" s="43" t="str">
        <x:v>총사업비·예산</x:v>
      </x:c>
      <x:c r="C1302" s="46" t="str">
        <x:v>project budget</x:v>
      </x:c>
      <x:c r="D1302" s="46" t="str"/>
      <x:c r="E1302" s="46" t="str">
        <x:v>KRW 2 billion</x:v>
      </x:c>
      <x:c r="F1302" s="46" t="str"/>
      <x:c r="G1302" s="46" t="str">
        <x:v>L2023-00070-2/붙임4. (관련규정) KOICA Regulations/2. Guidelines for Technical Evaluation.pdf</x:v>
      </x:c>
      <x:c r="H1302" s="43" t="str">
        <x:v>페이지 33</x:v>
      </x:c>
      <x:c r="I1302"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302" s="43" t="str">
        <x:v>자동추출·검토필요</x:v>
      </x:c>
    </x:row>
    <x:row r="1303">
      <x:c r="A1303" s="43" t="str">
        <x:v>L2023-00070-1</x:v>
      </x:c>
      <x:c r="B1303" s="43" t="str">
        <x:v>총사업비·예산</x:v>
      </x:c>
      <x:c r="C1303" s="46" t="str">
        <x:v>project budget</x:v>
      </x:c>
      <x:c r="D1303" s="46" t="str"/>
      <x:c r="E1303" s="46" t="str">
        <x:v>KRW 2 billion</x:v>
      </x:c>
      <x:c r="F1303" s="46" t="str"/>
      <x:c r="G1303" s="46" t="str">
        <x:v>L2023-00070-1/3. (관련규정) KOICA Regulations/2. Guidelines for Technical Evaluation.pdf</x:v>
      </x:c>
      <x:c r="H1303" s="43" t="str">
        <x:v>페이지 13</x:v>
      </x:c>
      <x:c r="I1303"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1303" s="43" t="str">
        <x:v>자동추출·검토필요</x:v>
      </x:c>
    </x:row>
    <x:row r="1304">
      <x:c r="A1304" s="43" t="str">
        <x:v>L2023-00070-1</x:v>
      </x:c>
      <x:c r="B1304" s="43" t="str">
        <x:v>총사업비·예산</x:v>
      </x:c>
      <x:c r="C1304" s="46" t="str">
        <x:v>project budget</x:v>
      </x:c>
      <x:c r="D1304" s="46" t="str"/>
      <x:c r="E1304" s="46" t="str">
        <x:v>KRW 2 billion</x:v>
      </x:c>
      <x:c r="F1304" s="46" t="str"/>
      <x:c r="G1304" s="46" t="str">
        <x:v>L2023-00070-1/3. (관련규정) KOICA Regulations/2. Guidelines for Technical Evaluation.pdf</x:v>
      </x:c>
      <x:c r="H1304" s="43" t="str">
        <x:v>페이지 33</x:v>
      </x:c>
      <x:c r="I1304"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304" s="43" t="str">
        <x:v>자동추출·검토필요</x:v>
      </x:c>
    </x:row>
    <x:row r="1305">
      <x:c r="A1305" s="43" t="str">
        <x:v>L2023-00068-1</x:v>
      </x:c>
      <x:c r="B1305" s="43" t="str">
        <x:v>총사업비·예산</x:v>
      </x:c>
      <x:c r="C1305" s="46" t="str">
        <x:v>project budget</x:v>
      </x:c>
      <x:c r="D1305" s="46" t="str"/>
      <x:c r="E1305" s="46" t="str">
        <x:v>KRW 2 billion</x:v>
      </x:c>
      <x:c r="F1305" s="46" t="str"/>
      <x:c r="G1305" s="46" t="str">
        <x:v>L2023-00068-1/(Additional Attachments) KOICA Regulations and Guidelines for Procurement/Guidelines for Technical Evaluation(기술평가지침)_20210408.pdf</x:v>
      </x:c>
      <x:c r="H1305" s="43" t="str">
        <x:v>페이지 13</x:v>
      </x:c>
      <x:c r="I1305"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1305" s="43" t="str">
        <x:v>자동추출·검토필요</x:v>
      </x:c>
    </x:row>
    <x:row r="1306">
      <x:c r="A1306" s="43" t="str">
        <x:v>L2023-00068-1</x:v>
      </x:c>
      <x:c r="B1306" s="43" t="str">
        <x:v>총사업비·예산</x:v>
      </x:c>
      <x:c r="C1306" s="46" t="str">
        <x:v>project budget</x:v>
      </x:c>
      <x:c r="D1306" s="46" t="str"/>
      <x:c r="E1306" s="46" t="str">
        <x:v>KRW 2 billion</x:v>
      </x:c>
      <x:c r="F1306" s="46" t="str"/>
      <x:c r="G1306" s="46" t="str">
        <x:v>L2023-00068-1/(Additional Attachments) KOICA Regulations and Guidelines for Procurement/Guidelines for Technical Evaluation(기술평가지침)_20210408.pdf</x:v>
      </x:c>
      <x:c r="H1306" s="43" t="str">
        <x:v>페이지 33</x:v>
      </x:c>
      <x:c r="I1306"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306" s="43" t="str">
        <x:v>자동추출·검토필요</x:v>
      </x:c>
    </x:row>
    <x:row r="1307">
      <x:c r="A1307" s="43" t="str">
        <x:v>L2023-00068-1</x:v>
      </x:c>
      <x:c r="B1307" s="43" t="str">
        <x:v>총사업비·예산</x:v>
      </x:c>
      <x:c r="C1307" s="46" t="str">
        <x:v>project budget</x:v>
      </x:c>
      <x:c r="D1307" s="46" t="str"/>
      <x:c r="E1307" s="46" t="str">
        <x:v>USD 239,882 | USD 239,882</x:v>
      </x:c>
      <x:c r="F1307" s="46" t="str"/>
      <x:c r="G1307" s="46" t="str">
        <x:v>L2023-00068-1/입찰공고 관련서류 최종본/Section 2 - Bid Data Sheet (BDS).docx</x:v>
      </x:c>
      <x:c r="H1307" s="43" t="str">
        <x:v>표 5 행 14</x:v>
      </x:c>
      <x:c r="I1307" s="46" t="str">
        <x:v>․ Project Budget | USD 239,882 (Be inclusive of VAT and other applicable indirect taxes) | USD 239,882 (Be inclusive of VAT and other applicable indirect taxes)</x:v>
      </x:c>
      <x:c r="J1307" s="43" t="str">
        <x:v>자동추출·검토필요</x:v>
      </x:c>
    </x:row>
    <x:row r="1308">
      <x:c r="A1308" s="43" t="str">
        <x:v>L2023-00065-1</x:v>
      </x:c>
      <x:c r="B1308" s="43" t="str">
        <x:v>총사업비·예산</x:v>
      </x:c>
      <x:c r="C1308" s="46" t="str">
        <x:v>project budget</x:v>
      </x:c>
      <x:c r="D1308" s="46" t="str"/>
      <x:c r="E1308" s="46" t="str">
        <x:v>USD 115,668</x:v>
      </x:c>
      <x:c r="F1308" s="46" t="str"/>
      <x:c r="G1308" s="46" t="str">
        <x:v>L2023-00065-1/(attached) Pre_school_Education_Complex_Constsruction_Supervision_Contractor/Section 2 - Bid Data Sheet (BDS).docx</x:v>
      </x:c>
      <x:c r="H1308" s="43" t="str">
        <x:v>표 4 행 5</x:v>
      </x:c>
      <x:c r="I1308" s="46" t="str">
        <x:v>․ Project Budget | USD 115,668 (excluding value-added taxes and other fees)</x:v>
      </x:c>
      <x:c r="J1308" s="43" t="str">
        <x:v>자동추출·검토필요</x:v>
      </x:c>
    </x:row>
    <x:row r="1309">
      <x:c r="A1309" s="43" t="str">
        <x:v>L2023-00065-1</x:v>
      </x:c>
      <x:c r="B1309" s="43" t="str">
        <x:v>총사업비·예산</x:v>
      </x:c>
      <x:c r="C1309" s="46" t="str">
        <x:v>project budget</x:v>
      </x:c>
      <x:c r="D1309" s="46" t="str"/>
      <x:c r="E1309" s="46" t="str">
        <x:v>115,668 USD</x:v>
      </x:c>
      <x:c r="F1309" s="46" t="str"/>
      <x:c r="G1309" s="46" t="str">
        <x:v>L2023-00065-1/BID Announcement (English).docx</x:v>
      </x:c>
      <x:c r="H1309" s="43" t="str">
        <x:v>표 2 행 7</x:v>
      </x:c>
      <x:c r="I1309" s="46" t="str">
        <x:v>Project Budget | 115,668 USD (VAT Excluded)</x:v>
      </x:c>
      <x:c r="J1309" s="43" t="str">
        <x:v>자동추출·검토필요</x:v>
      </x:c>
    </x:row>
    <x:row r="1310">
      <x:c r="A1310" s="43" t="str">
        <x:v>L2023-00065-1</x:v>
      </x:c>
      <x:c r="B1310" s="43" t="str">
        <x:v>총사업비·예산</x:v>
      </x:c>
      <x:c r="C1310" s="46" t="str">
        <x:v>예산</x:v>
      </x:c>
      <x:c r="D1310" s="46" t="str"/>
      <x:c r="E1310" s="46" t="str">
        <x:v>USD 115,568</x:v>
      </x:c>
      <x:c r="F1310" s="46" t="str"/>
      <x:c r="G1310" s="46" t="str">
        <x:v>L2023-00065-1/BID_Announcement_Daily_News_of_Korean_Residents.docx</x:v>
      </x:c>
      <x:c r="H1310" s="43" t="str">
        <x:v>문단 6</x:v>
      </x:c>
      <x:c r="I1310" s="46" t="str">
        <x:v>■ 집행예산 예정금액 : USD 115,568 (부가가치세 미포함)</x:v>
      </x:c>
      <x:c r="J1310" s="43" t="str">
        <x:v>자동추출·검토필요</x:v>
      </x:c>
    </x:row>
    <x:row r="1311">
      <x:c r="A1311" s="43" t="str">
        <x:v>L2023-00065-1</x:v>
      </x:c>
      <x:c r="B1311" s="43" t="str">
        <x:v>총사업비·예산</x:v>
      </x:c>
      <x:c r="C1311" s="46" t="str">
        <x:v>project budget</x:v>
      </x:c>
      <x:c r="D1311" s="46" t="str"/>
      <x:c r="E1311" s="46" t="str">
        <x:v>US$ 115 668,00</x:v>
      </x:c>
      <x:c r="F1311" s="46" t="str"/>
      <x:c r="G1311" s="46" t="str">
        <x:v>L2023-00065-1/Pre-Bid Explaination Meeting PPT.pptx</x:v>
      </x:c>
      <x:c r="H1311" s="43" t="str">
        <x:v>슬라이드 3</x:v>
      </x:c>
      <x:c r="I1311" s="46" t="str">
        <x:v>1. SYNOPSIS OF BID | BID ANNOUNCEMEN NUMBER: | KOICA-P-UZB-2023-10 | NAME OF PROJECT | CONSTRUCTION OF PRE-SCHOOL EDUCATIONAL COMPLEX PROJECT IN UZBEKISTAN | PROJECT BUDGET (USD) | APPROXIMATELY US$ 115 668,00 (VAT EXCLUDED) | SITE LOCATION | BETWEEN NURAFSHAN AND SHAROF RASHIDOV STREETS IN YUNUSABAD DISTRICT, TASHKENT, UZBEKISTAN | CONTRACT PERIOD | 24 MONTHS FROM THE DATE OF SIGNING THE CONTRACT (INCLUDING ONE MONTH PERIOD OF ACCEPTANCE FOR COMPLETION OF CONSTRUCTION) | SCOPE OF WORK | 1) ALL WORKS RELATED TO CONSTRUCTION SUPERVISION REQUIRED FROM COMMENCEMENT TO COMPLETION 2) REVIEW AND APPROVAL OF INITIAL DRAWINGS IN CONSULTATION WITH CM, PERIODIC REPORT AFTER THE START OF CONSTRUCTION (DAILY/WEEKLY/MONTHLY), REVIEW AND APPROVAL OF MATERIAL SELECTION APPLICATION, ON-SITE INSPECTION AND APPROVAL, 3) REVIEW AND APPROVAL OF CONSTRUCTION DRAWINGS AND AS-BUILT DRAWINGS, REVIEW AND APPROVAL OF MAINTENANCE MANUALS, AND COOPERATION AND APPROVAL OF BUILDING COMPLETION AND LICENSING UNDER CM CONSULTATION 4) SUBMISSION OF CONSTRUCTION SUPERVISION COMMENCEMENT REPORT, SERVICE COMPLETION REPORT</x:v>
      </x:c>
      <x:c r="J1311" s="43" t="str">
        <x:v>자동추출·검토필요</x:v>
      </x:c>
    </x:row>
    <x:row r="1312">
      <x:c r="A1312" s="43" t="str">
        <x:v>L2023-00061-1</x:v>
      </x:c>
      <x:c r="B1312" s="43" t="str">
        <x:v>총사업비·예산</x:v>
      </x:c>
      <x:c r="C1312" s="46" t="str">
        <x:v>집행한도</x:v>
      </x:c>
      <x:c r="D1312" s="46" t="str"/>
      <x:c r="E1312" s="46" t="str">
        <x:v>USD 180,000</x:v>
      </x:c>
      <x:c r="F1312" s="46" t="str"/>
      <x:c r="G1312" s="46" t="str">
        <x:v>L2023-00061-1/붙임 1. 입찰 계획서(안).hwp</x:v>
      </x:c>
      <x:c r="H1312" s="43" t="str">
        <x:v>문단 138</x:v>
      </x:c>
      <x:c r="I1312" s="46" t="str">
        <x:v>1.3 집행한도액: USD 180,000 (VAT 미포함, 면세)</x:v>
      </x:c>
      <x:c r="J1312" s="43" t="str">
        <x:v>자동추출·검토필요</x:v>
      </x:c>
    </x:row>
    <x:row r="1313">
      <x:c r="A1313" s="43" t="str">
        <x:v>L2023-00060-1</x:v>
      </x:c>
      <x:c r="B1313" s="43" t="str">
        <x:v>총사업비·예산</x:v>
      </x:c>
      <x:c r="C1313" s="46" t="str">
        <x:v>project budget</x:v>
      </x:c>
      <x:c r="D1313" s="46" t="str">
        <x:v>1,490 ㎡ | 2,983 ㎡ | 2,983 ㎡ | 2,983 m2</x:v>
      </x:c>
      <x:c r="E1313" s="46" t="str">
        <x:v>$ 3,875,000.00 | $ 3,778,125.00</x:v>
      </x:c>
      <x:c r="F1313" s="46" t="str">
        <x:v>0.5% | 97.5%</x:v>
      </x:c>
      <x:c r="G1313" s="46" t="str">
        <x:v>L2023-00060-1/붙임 1. 입찰공고문 및 서류_영문/Section 2 - Bid data sheet_eng.doc</x:v>
      </x:c>
      <x:c r="H1313" s="43" t="str">
        <x:v>문단 24</x:v>
      </x:c>
      <x:c r="I1313" s="46" t="str">
        <x:v>- Program Classrooms, Health Practice Room, Multipurpose Room, Director's Office, Personnel Office, meeting room, dining room and kitchen, mechanical and electrical room (among others) - Site area 1,490㎡ - Building area 2,983㎡ - Gross floor area 2,983㎡ - Building scope Number of levels: 3 - Structure Reinforced concrete - Scope of Works Construction of the new building to occupy health training facilities; three (3) level with a total area of 2,983 m2 - Provide construction works that include, but are not limited to the following; - Repair work and/or circulation paving around the building if necessary - Construction of all associated infrastructure requirements such as water, sewage, rainwater drainage for new building and the connection to the existing system - Mechanics, electrical system, acoustic system, security system, fire protection and other necessary installations to make the new building functional - Reception of work with OPAMSS, firefighters, Mayor's Office, as well as the necessary institutions to deliver the respective operating records - All work and procedures related to the functionality of the building · Scheduled Construction Period 540 days · Contract Duration</x:v>
      </x:c>
      <x:c r="J1313" s="43" t="str">
        <x:v>자동추출·검토필요</x:v>
      </x:c>
    </x:row>
    <x:row r="1314">
      <x:c r="A1314" s="43" t="str">
        <x:v>L2023-00060-1</x:v>
      </x:c>
      <x:c r="B1314" s="43" t="str">
        <x:v>총사업비·예산</x:v>
      </x:c>
      <x:c r="C1314" s="46" t="str">
        <x:v>project budget</x:v>
      </x:c>
      <x:c r="D1314" s="46" t="str"/>
      <x:c r="E1314" s="46" t="str">
        <x:v>$ 3,778,125 | $ 3,875,000.00</x:v>
      </x:c>
      <x:c r="F1314" s="46" t="str">
        <x:v>2.5%</x:v>
      </x:c>
      <x:c r="G1314" s="46" t="str">
        <x:v>L2023-00060-1/붙임 1. 입찰공고문 및 서류_영문/Section 2 - Bid data sheet_eng.doc</x:v>
      </x:c>
      <x:c r="H1314" s="43" t="str">
        <x:v>문단 51</x:v>
      </x:c>
      <x:c r="I1314" s="46" t="str">
        <x:v>(f) Estimated Price (Decision of Estimated price) o KOICA will prepare fifteen sealed envelopes of different Estimated Prices. o Each number (figure) in the envelopes is randomly decided within the range of ± 2.5% of the Base Price (USD $3,778,125). o Bidders will choose four envelopes. The average of chosen numbers will be the Final Estimated Price. (If representatives from the Bidders are absent, a KOICA office staff member who is not related the bidding or an official from MINSAL will chose the numbers.) o The final estimated price should not exceed the project budget ($3,875,000.00)</x:v>
      </x:c>
      <x:c r="J1314" s="43" t="str">
        <x:v>자동추출·검토필요</x:v>
      </x:c>
    </x:row>
    <x:row r="1315">
      <x:c r="A1315" s="43" t="str">
        <x:v>L2023-00058-1</x:v>
      </x:c>
      <x:c r="B1315" s="43" t="str">
        <x:v>총사업비·예산</x:v>
      </x:c>
      <x:c r="C1315" s="46" t="str">
        <x:v>project budget</x:v>
      </x:c>
      <x:c r="D1315" s="46" t="str"/>
      <x:c r="E1315" s="46" t="str">
        <x:v>$ 3,875,000.00 | $ 3,778,125.00</x:v>
      </x:c>
      <x:c r="F1315" s="46" t="str">
        <x:v>0.5% | 85.495%</x:v>
      </x:c>
      <x:c r="G1315" s="46" t="str">
        <x:v>L2023-00058-1/Section 2 - Bid Data Sheet_reannouncement_final.pdf</x:v>
      </x:c>
      <x:c r="H1315" s="43" t="str">
        <x:v>페이지 5</x:v>
      </x:c>
      <x:c r="I1315" s="46" t="str">
        <x:v>the following; - Repair work and/or circulation paving around the building if necessary - Construction of all associated infrastructure requirements such as water, sewage, rainwater drainage for new building and the connection to the existing system - Mechanics, electrical system, acoustic system, security system, fire protection and other necessary installations to make the new building functional - Reception of work with OPAMSS, firefighters, Mayor's Office, as well as the necessary institutions to deliver the respective operating records - All work and procedures related to the functionality of the building · Scheduled Construction 540 days Period Until 600 days from the date of signing the contract · Duration (Shall commence 30 days from the date of signing the contract) USD $3,875,000.00 · Project Budget (Without VAT and other applicable indirect taxes; including 0.5% of safety management cost) · Expected Maximum Price USD $3,778,125.00 o Name of Currency: United States Dollar (USD) o KOICA has no responsibility for any tax related matter, including VAT. The collection and return of taxes will be handled by the relevant laws and regulations in El Salvador, and the agency respo</x:v>
      </x:c>
      <x:c r="J1315" s="43" t="str">
        <x:v>자동추출·검토필요</x:v>
      </x:c>
    </x:row>
    <x:row r="1316">
      <x:c r="A1316" s="43" t="str">
        <x:v>L2023-00054-2</x:v>
      </x:c>
      <x:c r="B1316" s="43" t="str">
        <x:v>총사업비·예산</x:v>
      </x:c>
      <x:c r="C1316" s="46" t="str">
        <x:v>project budget</x:v>
      </x:c>
      <x:c r="D1316" s="46" t="str"/>
      <x:c r="E1316" s="46" t="str">
        <x:v>pen 2023.11.14 10 | USD 5,107,200</x:v>
      </x:c>
      <x:c r="F1316" s="46" t="str">
        <x:v>5%</x:v>
      </x:c>
      <x:c r="G1316" s="46" t="str">
        <x:v>L2023-00054-2/Bidding Announcement_231103.pdf</x:v>
      </x:c>
      <x:c r="H1316" s="43" t="str">
        <x:v>페이지 2</x:v>
      </x:c>
      <x:c r="I1316" s="46" t="str">
        <x:v>10. Bid Schedule Event Date Remark KOICA PHILIPPINES OFFICE Website Bid Announcement 2023.11.3~11.5 (www.koica.go.kr/sites/phl_en/index.do) Registration to Participate 2023.11.6 15:00 Via e-mail Distribution of Bid Document 2023.11.7 Via e-mail Bid Inquiry Deadline 2023.11.8 15:00 Via e-mail Reply to Bid Inquiry 2023.11.9 Via e-mail Submission of Bid Document 2023.11.10 15:00 KOICA Philippines Office Bid open 2023.11.14 10:00 KOICA Philippines Office Post Qualification Evaluation 2023.11.15 KOICA Philippines Office Notify Preferred Bidder 2023.11.15 Via e-mail Negotiation 2023.11.16 KOICA Philippines Office Contract Sign 2023.11.24 KOICA Philippines Office *The dates of the bid schedule above are subject to change. 11. Bid proposal should not exceed USD 5,107,200 (including VAT). Any bid exceeding the project budget will result in rejection of bid. Details for bid price will be discussed during the pre-bid meeting. 12. Bid Security: at least 5% of bid amount; can be a bank guarantee, irrevocable credit, cash, or certified check 13. Further details regarding this bidding announcement is available in KOICA website provided above, 14. Contact Information E-mail: hwieun@koica.go.kr cop</x:v>
      </x:c>
      <x:c r="J1316" s="43" t="str">
        <x:v>자동추출·검토필요</x:v>
      </x:c>
    </x:row>
    <x:row r="1317">
      <x:c r="A1317" s="43" t="str">
        <x:v>L2023-00038-1</x:v>
      </x:c>
      <x:c r="B1317" s="43" t="str">
        <x:v>총사업비·예산</x:v>
      </x:c>
      <x:c r="C1317" s="46" t="str">
        <x:v>집행한도</x:v>
      </x:c>
      <x:c r="D1317" s="46" t="str"/>
      <x:c r="E1317" s="46" t="str">
        <x:v>USD 450,176</x:v>
      </x:c>
      <x:c r="F1317" s="46" t="str"/>
      <x:c r="G1317" s="46" t="str">
        <x:v>L2023-00038-1/1. 입찰계획서(피지국립재활센터 건립사업 설계 및 감리 용역)-김우영-230713.hwp</x:v>
      </x:c>
      <x:c r="H1317" s="43" t="str">
        <x:v>문단 52</x:v>
      </x:c>
      <x:c r="I1317" s="46" t="str">
        <x:v>다. 집행한도액 : FJD 976,882 (부가세 포함) (약 USD 450,176)</x:v>
      </x:c>
      <x:c r="J1317" s="43" t="str">
        <x:v>자동추출·검토필요</x:v>
      </x:c>
    </x:row>
    <x:row r="1318">
      <x:c r="A1318" s="43" t="str">
        <x:v>L2023-00038-1</x:v>
      </x:c>
      <x:c r="B1318" s="43" t="str">
        <x:v>총사업비·예산</x:v>
      </x:c>
      <x:c r="C1318" s="46" t="str">
        <x:v>예산</x:v>
      </x:c>
      <x:c r="D1318" s="46" t="str"/>
      <x:c r="E1318" s="46" t="str">
        <x:v>USD 5,627,206</x:v>
      </x:c>
      <x:c r="F1318" s="46" t="str"/>
      <x:c r="G1318" s="46" t="str">
        <x:v>L2023-00038-1/1. 입찰계획서(피지국립재활센터 건립사업 설계 및 감리 용역)-김우영-230713.hwp</x:v>
      </x:c>
      <x:c r="H1318" s="43" t="str">
        <x:v>문단 70</x:v>
      </x:c>
      <x:c r="I1318" s="46" t="str">
        <x:v>ㅇ 공사비 예산: USD 5,627,206</x:v>
      </x:c>
      <x:c r="J1318" s="43" t="str">
        <x:v>자동추출·검토필요</x:v>
      </x:c>
    </x:row>
    <x:row r="1319">
      <x:c r="A1319" s="43" t="str">
        <x:v>L2023-00032-1</x:v>
      </x:c>
      <x:c r="B1319" s="43" t="str">
        <x:v>총사업비·예산</x:v>
      </x:c>
      <x:c r="C1319" s="46" t="str">
        <x:v>project budget</x:v>
      </x:c>
      <x:c r="D1319" s="46" t="str"/>
      <x:c r="E1319" s="46" t="str">
        <x:v>USD 2,060,000 | USD 2,060,000</x:v>
      </x:c>
      <x:c r="F1319" s="46" t="str"/>
      <x:c r="G1319" s="46" t="str">
        <x:v>L2023-00032-1/1. 입찰공고문(국영문)_0628 수정/Section 2 - Bid Data Sheet (BDS)_╝÷┴ñ.docx</x:v>
      </x:c>
      <x:c r="H1319" s="43" t="str">
        <x:v>표 3 행 9</x:v>
      </x:c>
      <x:c r="I1319" s="46" t="str">
        <x:v>Project Budget | USD 2,060,000 (VAT and other related indirect taxes are not included) | USD 2,060,000 (VAT and other related indirect taxes are not included)</x:v>
      </x:c>
      <x:c r="J1319" s="43" t="str">
        <x:v>자동추출·검토필요</x:v>
      </x:c>
    </x:row>
    <x:row r="1320">
      <x:c r="A1320" s="43" t="str">
        <x:v>L2023-00028-1</x:v>
      </x:c>
      <x:c r="B1320" s="43" t="str">
        <x:v>총사업비·예산</x:v>
      </x:c>
      <x:c r="C1320" s="46" t="str">
        <x:v>집행한도</x:v>
      </x:c>
      <x:c r="D1320" s="46" t="str"/>
      <x:c r="E1320" s="46" t="str">
        <x:v>USD 274,330</x:v>
      </x:c>
      <x:c r="F1320" s="46" t="str"/>
      <x:c r="G1320" s="46" t="str">
        <x:v>L2023-00028-1/1. 입찰계획안(국, 영문)/1-1. Bidding Guideline_KOR_230622.docx</x:v>
      </x:c>
      <x:c r="H1320" s="43" t="str">
        <x:v>문단 33</x:v>
      </x:c>
      <x:c r="I1320" s="46" t="str">
        <x:v>1.3 집행한도액 : USD 274,330 (면세가)</x:v>
      </x:c>
      <x:c r="J1320" s="43" t="str">
        <x:v>자동추출·검토필요</x:v>
      </x:c>
    </x:row>
    <x:row r="1321">
      <x:c r="A1321" s="43" t="str">
        <x:v>L2023-00027-1</x:v>
      </x:c>
      <x:c r="B1321" s="43" t="str">
        <x:v>총사업비·예산</x:v>
      </x:c>
      <x:c r="C1321" s="46" t="str">
        <x:v>project budget</x:v>
      </x:c>
      <x:c r="D1321" s="46" t="str"/>
      <x:c r="E1321" s="46" t="str">
        <x:v>$ 3,875,000.00 | $ 3,778,125.00</x:v>
      </x:c>
      <x:c r="F1321" s="46" t="str">
        <x:v>0.5% | 85.495%</x:v>
      </x:c>
      <x:c r="G1321" s="46" t="str">
        <x:v>L2023-00027-1/입찰서류 일체(영서)/Section 2 - Bid Data Sheet.pdf</x:v>
      </x:c>
      <x:c r="H1321" s="43" t="str">
        <x:v>페이지 5</x:v>
      </x:c>
      <x:c r="I1321" s="46" t="str">
        <x:v>- Repair work and/or circulation paving around the building if necessary - Construction of all associated infrastructure requirements such as water, sewage, rainwater drainage for new building and the connection to the existing system - Mechanics, electrical system, acoustic system, security system, fire protection and other necessary installations to make the new building functional - Reception of work with OPAMSS, firefighters, Mayor's Office, as well as the necessary institutions to deliver the respective operating records - All work and procedures related to the functionality of the building · Construction Period 540 days Until 600 days from the date of signing the contract · Contract Period (Shall commence 30 days from the date of signing the contract) USD $3,875,000.00 · Project Budget (Without VAT and other applicable indirect taxes; including 0.5% of safety management cost) · Expected Maximum Price USD $3,778,125.00 o Name of Currency: United States Dollar (USD) o KOICA has no responsibility for any tax related matter, including VAT. The collection and return of taxes will be handled by the relevant laws and regulations in El Salvador, and the agency responsible for the afo</x:v>
      </x:c>
      <x:c r="J1321" s="43" t="str">
        <x:v>자동추출·검토필요</x:v>
      </x:c>
    </x:row>
    <x:row r="1322">
      <x:c r="A1322" s="43" t="str">
        <x:v>L2023-00022-1</x:v>
      </x:c>
      <x:c r="B1322" s="43" t="str">
        <x:v>총사업비·예산</x:v>
      </x:c>
      <x:c r="C1322" s="46" t="str">
        <x:v>project budget</x:v>
      </x:c>
      <x:c r="D1322" s="46" t="str"/>
      <x:c r="E1322" s="46" t="str">
        <x:v>USD 1,570,000 | USD 1,526,954</x:v>
      </x:c>
      <x:c r="F1322" s="46" t="str">
        <x:v>86.745%</x:v>
      </x:c>
      <x:c r="G1322" s="46" t="str">
        <x:v>L2023-00022-1/1. Section 2,3 (2)/Section 2 - Bid Data Sheet (BDS)_230503.pdf</x:v>
      </x:c>
      <x:c r="H1322" s="43" t="str">
        <x:v>페이지 5</x:v>
      </x:c>
      <x:c r="I1322" s="46" t="str">
        <x:v>- Scheduled 12 Months from the start of construction(Construction 8M and O&amp;M 4M) Construction Period Until 13 months from the date of signing the Contract Duration (Shall start the construction within 30 days from the date of signing the Contract) Project Budget USD 1,570,000 (VAT and other related indirect taxes are not included) - Projected USD 1,526,954 (VAT and other related indirect taxes are not included) Estimated Price ○ Currency: United States Dollar (USD) ○ KOICA has no responsibility for any matters regarding taxes, including VAT. Tax collection and refund will be managed by the relevant laws and regulations in the Ministry of Agriculture and Fisheries (MAF) 2. Bid Type, Selection of the Successful Bidders (a) Bid Type : URGENT International Bidding, Open Competitive Bidding ○ Reason for urgent bidding: Pursuant to Article 35(4)(1)(ii) of National Contract Act, "in cases where it is necessary for the early execution of the budget due to the government's fiscal policy," urgent bidding will be carried out. (b) Selection of the Successful Bidders ○ Based upon bid prices which shall be below the Estimated Price but above the floor price of 86.745% of the Estimated Price, the</x:v>
      </x:c>
      <x:c r="J1322" s="43" t="str">
        <x:v>자동추출·검토필요</x:v>
      </x:c>
    </x:row>
    <x:row r="1323">
      <x:c r="A1323" s="43" t="str">
        <x:v>L2023-00022-1</x:v>
      </x:c>
      <x:c r="B1323" s="43" t="str">
        <x:v>총사업비·예산</x:v>
      </x:c>
      <x:c r="C1323" s="46" t="str">
        <x:v>project budget</x:v>
      </x:c>
      <x:c r="D1323" s="46" t="str"/>
      <x:c r="E1323" s="46" t="str">
        <x:v>KRW 2 billion</x:v>
      </x:c>
      <x:c r="F1323" s="46" t="str"/>
      <x:c r="G1323" s="46" t="str">
        <x:v>L2023-00022-1/4. KOICA Regulations and Guidelines (2)/Guidelines for Technical Evaluation(▒Γ╝·╞≥░í┴÷─º)_20210408.pdf</x:v>
      </x:c>
      <x:c r="H1323" s="43" t="str">
        <x:v>페이지 13</x:v>
      </x:c>
      <x:c r="I1323"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1323" s="43" t="str">
        <x:v>자동추출·검토필요</x:v>
      </x:c>
    </x:row>
    <x:row r="1324">
      <x:c r="A1324" s="43" t="str">
        <x:v>L2023-00022-1</x:v>
      </x:c>
      <x:c r="B1324" s="43" t="str">
        <x:v>총사업비·예산</x:v>
      </x:c>
      <x:c r="C1324" s="46" t="str">
        <x:v>project budget</x:v>
      </x:c>
      <x:c r="D1324" s="46" t="str"/>
      <x:c r="E1324" s="46" t="str">
        <x:v>KRW 2 billion</x:v>
      </x:c>
      <x:c r="F1324" s="46" t="str"/>
      <x:c r="G1324" s="46" t="str">
        <x:v>L2023-00022-1/4. KOICA Regulations and Guidelines (2)/Guidelines for Technical Evaluation(▒Γ╝·╞≥░í┴÷─º)_20210408.pdf</x:v>
      </x:c>
      <x:c r="H1324" s="43" t="str">
        <x:v>페이지 33</x:v>
      </x:c>
      <x:c r="I1324"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324" s="43" t="str">
        <x:v>자동추출·검토필요</x:v>
      </x:c>
    </x:row>
    <x:row r="1325">
      <x:c r="A1325" s="43" t="str">
        <x:v>L2023-00022-1</x:v>
      </x:c>
      <x:c r="B1325" s="43" t="str">
        <x:v>총사업비·예산</x:v>
      </x:c>
      <x:c r="C1325" s="46" t="str">
        <x:v>project budget</x:v>
      </x:c>
      <x:c r="D1325" s="46" t="str"/>
      <x:c r="E1325" s="46" t="str">
        <x:v>USD 1,570,000 | USD 1,570,000 | USD 1,570,000 | USD 1,570,000 | USD 1,570,000 | USD 1,570,000</x:v>
      </x:c>
      <x:c r="F1325" s="46" t="str"/>
      <x:c r="G1325" s="46" t="str">
        <x:v>L2023-00022-1/Notice of Bid for Construction_230503.docx</x:v>
      </x:c>
      <x:c r="H1325" s="43" t="str">
        <x:v>표 1 행 16</x:v>
      </x:c>
      <x:c r="I1325" s="46" t="str">
        <x:v>Project Budget | USD 1,570,000 =&gt; KOICA has no responsibility for any matters regarding taxes, including VAT. Tax collection and refund will be managed by the relevant laws and regulations in the Ministry of Agriculture and Fisheries (MAF). | USD 1,570,000 =&gt; KOICA has no responsibility for any matters regarding taxes, including VAT. Tax collection and refund will be managed by the relevant laws and regulations in the Ministry of Agriculture and Fisheries (MAF). | USD 1,570,000 =&gt; KOICA has no responsibility for any matters regarding taxes, including VAT. Tax collection and refund will be managed by the relevant laws and regulations in the Ministry of Agriculture and Fisheries (MAF). | USD 1,570,000 =&gt; KOICA has no responsibility for any matters regarding taxes, including VAT. Tax collection and refund will be managed by the relevant laws and regulations in the Ministry of Agriculture and Fisheries (MAF). | USD 1,570,000 =&gt; KOICA has no responsibility for any matters regarding taxes, including VAT. Tax collection and refund will be managed by the relevant laws and regulations in the Ministry of Agriculture and Fisheries (MAF). | USD 1,570,000 =&gt; KOICA has no responsibility for any </x:v>
      </x:c>
      <x:c r="J1325" s="43" t="str">
        <x:v>자동추출·검토필요</x:v>
      </x:c>
    </x:row>
    <x:row r="1326">
      <x:c r="A1326" s="43" t="str">
        <x:v>L2023-00019-1</x:v>
      </x:c>
      <x:c r="B1326" s="43" t="str">
        <x:v>총사업비·예산</x:v>
      </x:c>
      <x:c r="C1326" s="46" t="str">
        <x:v>project budget</x:v>
      </x:c>
      <x:c r="D1326" s="46" t="str"/>
      <x:c r="E1326" s="46" t="str">
        <x:v>USD 1,570,000 | USD 1,526,954</x:v>
      </x:c>
      <x:c r="F1326" s="46" t="str">
        <x:v>86.745%</x:v>
      </x:c>
      <x:c r="G1326" s="46" t="str">
        <x:v>L2023-00019-1/1. Section 2,3 (1)/Section 2 - Bid Data Sheet (BDS)_230411_rev..pdf</x:v>
      </x:c>
      <x:c r="H1326" s="43" t="str">
        <x:v>페이지 5</x:v>
      </x:c>
      <x:c r="I1326" s="46" t="str">
        <x:v>- Scheduled 12 Months from the start of construction(Construction 8M and O&amp;M 4M) Construction Period Until 13 months from the date of signing the Contract Duration (Shall start the construction within 30 days from the date of signing the Contract) Project Budget USD 1,570,000 (VAT and other related indirect taxes are not included) - Projected USD 1,526,954 (VAT and other related indirect taxes are not included) Estimated Price ○ Currency: United States Dollar (USD) ○ KOICA has no responsibility for any matters regarding taxes, including VAT. Tax collection and refund will be managed by the relevant laws and regulations in the Ministry of Agriculture and Fisheries (MAF) 2. Bid Type, Selection of the Successful Bidders (a) Bid Type : URGENT International Bidding, Open Competitive Bidding ○ Reason for urgent bidding: Pursuant to Article 35(4)(1)(ii) of National Contract Act, "in cases where it is necessary for the early execution of the budget due to the government's fiscal policy," urgent bidding will be carried out. (b) Selection of the Successful Bidders ○ Based upon bid prices which shall be below the Estimated Price but above the floor price of 86.745% of the Estimated Price, the</x:v>
      </x:c>
      <x:c r="J1326" s="43" t="str">
        <x:v>자동추출·검토필요</x:v>
      </x:c>
    </x:row>
    <x:row r="1327">
      <x:c r="A1327" s="43" t="str">
        <x:v>L2023-00019-1</x:v>
      </x:c>
      <x:c r="B1327" s="43" t="str">
        <x:v>총사업비·예산</x:v>
      </x:c>
      <x:c r="C1327" s="46" t="str">
        <x:v>project budget</x:v>
      </x:c>
      <x:c r="D1327" s="46" t="str"/>
      <x:c r="E1327" s="46" t="str">
        <x:v>KRW 2 billion</x:v>
      </x:c>
      <x:c r="F1327" s="46" t="str"/>
      <x:c r="G1327" s="46" t="str">
        <x:v>L2023-00019-1/4. KOICA Regulations and Guidelines (1)/Guidelines for Technical Evaluation(▒Γ╝·╞≥░í┴÷─º)_20210408.pdf</x:v>
      </x:c>
      <x:c r="H1327" s="43" t="str">
        <x:v>페이지 13</x:v>
      </x:c>
      <x:c r="I1327"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1327" s="43" t="str">
        <x:v>자동추출·검토필요</x:v>
      </x:c>
    </x:row>
    <x:row r="1328">
      <x:c r="A1328" s="43" t="str">
        <x:v>L2023-00019-1</x:v>
      </x:c>
      <x:c r="B1328" s="43" t="str">
        <x:v>총사업비·예산</x:v>
      </x:c>
      <x:c r="C1328" s="46" t="str">
        <x:v>project budget</x:v>
      </x:c>
      <x:c r="D1328" s="46" t="str"/>
      <x:c r="E1328" s="46" t="str">
        <x:v>KRW 2 billion</x:v>
      </x:c>
      <x:c r="F1328" s="46" t="str"/>
      <x:c r="G1328" s="46" t="str">
        <x:v>L2023-00019-1/4. KOICA Regulations and Guidelines (1)/Guidelines for Technical Evaluation(▒Γ╝·╞≥░í┴÷─º)_20210408.pdf</x:v>
      </x:c>
      <x:c r="H1328" s="43" t="str">
        <x:v>페이지 33</x:v>
      </x:c>
      <x:c r="I1328"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328" s="43" t="str">
        <x:v>자동추출·검토필요</x:v>
      </x:c>
    </x:row>
    <x:row r="1329">
      <x:c r="A1329" s="43" t="str">
        <x:v>L2023-00012-1</x:v>
      </x:c>
      <x:c r="B1329" s="43" t="str">
        <x:v>총사업비·예산</x:v>
      </x:c>
      <x:c r="C1329" s="46" t="str">
        <x:v>project budget</x:v>
      </x:c>
      <x:c r="D1329" s="46" t="str"/>
      <x:c r="E1329" s="46" t="str">
        <x:v>USD 1,950,367.59</x:v>
      </x:c>
      <x:c r="F1329" s="46" t="str"/>
      <x:c r="G1329" s="46" t="str">
        <x:v>L2023-00012-1/붙임 3. 부속서류 일체/Section 2 - Bid Data Sheet (BDS).docx</x:v>
      </x:c>
      <x:c r="H1329" s="43" t="str">
        <x:v>표 2 행 11</x:v>
      </x:c>
      <x:c r="I1329" s="46" t="str">
        <x:v>- Project Budget | USD 1,950,367.59 (Be inclusive of VAT and other applicable indirect taxes)</x:v>
      </x:c>
      <x:c r="J1329" s="43" t="str">
        <x:v>자동추출·검토필요</x:v>
      </x:c>
    </x:row>
    <x:row r="1330">
      <x:c r="A1330" s="43" t="str">
        <x:v>L2023-00011-1</x:v>
      </x:c>
      <x:c r="B1330" s="43" t="str">
        <x:v>총사업비·예산</x:v>
      </x:c>
      <x:c r="C1330" s="46" t="str">
        <x:v>project budget</x:v>
      </x:c>
      <x:c r="D1330" s="46" t="str"/>
      <x:c r="E1330" s="46" t="str">
        <x:v>USD 1,540,000 | USD 1,540,000</x:v>
      </x:c>
      <x:c r="F1330" s="46" t="str"/>
      <x:c r="G1330" s="46" t="str">
        <x:v>L2023-00011-1/Section 2 - Bid Data Sheet (BDS).docx</x:v>
      </x:c>
      <x:c r="H1330" s="43" t="str">
        <x:v>표 5 행 15</x:v>
      </x:c>
      <x:c r="I1330" s="46" t="str">
        <x:v>Project budget | USD 1,540,000 (Exclusive of VAT and other applicable indirect taxes) | USD 1,540,000 (Exclusive of VAT and other applicable indirect taxes)</x:v>
      </x:c>
      <x:c r="J1330" s="43" t="str">
        <x:v>자동추출·검토필요</x:v>
      </x:c>
    </x:row>
    <x:row r="1331">
      <x:c r="A1331" s="43" t="str">
        <x:v>L2023-00009-1</x:v>
      </x:c>
      <x:c r="B1331" s="43" t="str">
        <x:v>총사업비·예산</x:v>
      </x:c>
      <x:c r="C1331" s="46" t="str">
        <x:v>예산</x:v>
      </x:c>
      <x:c r="D1331" s="46" t="str"/>
      <x:c r="E1331" s="46" t="str">
        <x:v>$ 600,000 | $ 240,000 | $ 360,000</x:v>
      </x:c>
      <x:c r="F1331" s="46" t="str">
        <x:v>2%</x:v>
      </x:c>
      <x:c r="G1331" s="46" t="str">
        <x:v>L2023-00009-1/1. 입찰계획안(국영문)/└╘┬√░Φ╚╣╛╚(▒╣╣«)_0314.hwp</x:v>
      </x:c>
      <x:c r="H1331" s="43" t="str">
        <x:v>문단 108</x:v>
      </x:c>
      <x:c r="I1331" s="46" t="str">
        <x:v>*집행계획 기준, 건축예산 $600,000 중 기자재 및 기타 물품 예산($240,000)을 제외한 $360,000 내에서 기초금액을 통해 산출될 예정가격 초과분을 반영해 기초금액 대비 소폭(2% 수준) 높은 금액으로 산정</x:v>
      </x:c>
      <x:c r="J1331" s="43" t="str">
        <x:v>자동추출·검토필요</x:v>
      </x:c>
    </x:row>
    <x:row r="1332">
      <x:c r="A1332" s="43" t="str">
        <x:v>L2023-00006-1</x:v>
      </x:c>
      <x:c r="B1332" s="43" t="str">
        <x:v>총사업비·예산</x:v>
      </x:c>
      <x:c r="C1332" s="46" t="str">
        <x:v>project budget</x:v>
      </x:c>
      <x:c r="D1332" s="46" t="str"/>
      <x:c r="E1332" s="46" t="str">
        <x:v>USD 1,570,000 | USD 1,526,954</x:v>
      </x:c>
      <x:c r="F1332" s="46" t="str"/>
      <x:c r="G1332" s="46" t="str">
        <x:v>L2023-00006-1/1. Section 2,3/Section 2 - Bid Data Sheet (BDS)_230223_eng.pdf</x:v>
      </x:c>
      <x:c r="H1332" s="43" t="str">
        <x:v>페이지 5</x:v>
      </x:c>
      <x:c r="I1332" s="46" t="str">
        <x:v>12 Months from the start of construction(Construction 8M and O&amp;M 4M) - Scheduled - Due to the weather condition of Timor-Leste, construction cannot be carried out during the rainy season from December to March. Therefore, the goal is to complete Construction construction before the start of this year's rainy season (December 2023). Period - When submitting the scheduled construction plan, a timeline should be established to complete the construction within 2023. Until 13 months from the date of signing the Contract Duration (Shall start the construction within 30 days from the date of signing the Contract) Project Budget USD 1,570,000 (VAT and other related indirect taxes are not included) - Projected Estimated Price USD 1,526,954 ○ Currency: United States Dollar (USD) ○ KOICA has no responsibility for any matters regarding taxes, including VAT. Tax collection and refund will be managed by the relevant laws and regulations in the Ministry of Agriculture and Fisheries (MAF). 5</x:v>
      </x:c>
      <x:c r="J1332" s="43" t="str">
        <x:v>자동추출·검토필요</x:v>
      </x:c>
    </x:row>
    <x:row r="1333">
      <x:c r="A1333" s="43" t="str">
        <x:v>L2023-00006-1</x:v>
      </x:c>
      <x:c r="B1333" s="43" t="str">
        <x:v>총사업비·예산</x:v>
      </x:c>
      <x:c r="C1333" s="46" t="str">
        <x:v>project budget</x:v>
      </x:c>
      <x:c r="D1333" s="46" t="str"/>
      <x:c r="E1333" s="46" t="str">
        <x:v>USD 150,000 | USD 300,000</x:v>
      </x:c>
      <x:c r="F1333" s="46" t="str">
        <x:v>86.745%</x:v>
      </x:c>
      <x:c r="G1333" s="46" t="str">
        <x:v>L2023-00006-1/1. Section 2,3/Section 2 - Bid Data Sheet (BDS)_230223_eng.pdf</x:v>
      </x:c>
      <x:c r="H1333" s="43" t="str">
        <x:v>페이지 6</x:v>
      </x:c>
      <x:c r="I1333" s="46" t="str">
        <x:v>2. Bid Type, Selection of the Successful Bidders (a) Bid Type : URGENT International Bidding, Open Competitive Bidding ○ Reason for urgent bidding: Pursuant to Article 35(4)(1)(ii) of National Contract Act, "in cases where it is necessary for the early execution of the budget due to the government's fiscal policy," urgent bidding will be carried out. (b)Selection of the Successful Bidders ○ Based upon bid prices which shall be below the Estimated Price but above the floor price of 86.745% of the Project Budget, the Qualification Examination will be conducted. Selection as successful Bidder is determined when the overall grade is higher than 95 points (the passing grade). ○ Qualification examination will be conducted in accordance with the Standards of Qualification Examination for Selection of Constructor (Annex 1: Evaluation Criteria). 3. Bidders' Qualifications  In the case of forming a joint venture, each member must satisfy the following requirements. The Bidders must: (a) Have submitted a bid application on or before the Application Submission Deadline and notified as eligible to bid from KOICA (b) Have the legality of registration under domestic law at the place of establish</x:v>
      </x:c>
      <x:c r="J1333" s="43" t="str">
        <x:v>자동추출·검토필요</x:v>
      </x:c>
    </x:row>
    <x:row r="1334">
      <x:c r="A1334" s="43" t="str">
        <x:v>L2023-00006-1</x:v>
      </x:c>
      <x:c r="B1334" s="43" t="str">
        <x:v>총사업비·예산</x:v>
      </x:c>
      <x:c r="C1334" s="46" t="str">
        <x:v>집행한도</x:v>
      </x:c>
      <x:c r="D1334" s="46" t="str">
        <x:v>1,983 m² | 2,738.6 m² | 3,172 m² | 245.7 ㎡ | 335.4 ㎡ | 245.7 ㎡</x:v>
      </x:c>
      <x:c r="E1334" s="46" t="str">
        <x:v>USD 1,570,000 | USD 1,526,954</x:v>
      </x:c>
      <x:c r="F1334" s="46" t="str"/>
      <x:c r="G1334" s="46" t="str">
        <x:v>L2023-00006-1/1. Section 2,3/Section 2 - Bid Data Sheet (BDS)_230223_kor.pdf</x:v>
      </x:c>
      <x:c r="H1334" s="43" t="str">
        <x:v>페이지 5</x:v>
      </x:c>
      <x:c r="I1334" s="46" t="str">
        <x:v>1. 입찰에 부치는 사항(입찰개요) 가. 공고번호 추후 부여 KOICA/TL/2023-B-001 (전자조달시스템 현지입찰공고번호) 나. 입찰건명 동티모르 농민참여형 가치사슬 개선사업을 위한 농업용 인프라 설치 공사 3개 사업지역 내 Agricultural Products Collection Stations (APCS) 다. 공사개요 농산물 집하장 건설을 위한 농업용수시설, 농업도로 및 건축공사 동티모르 프로젝트 수행 3개 지역 - 위치 아일레우 아이나로 리키사 - 용도 농산물 집하장 - 대지면적 1,983m² 2,738.6m² 3,172m² - 건축면적/연면적 (동일) 245.7㎡ 335.4㎡ 245.7㎡ - 규모 지상1층 - 구조 RC조+ST’L ROOF TRUSS 농산물 집하장 건설을 위한 건축 및 부지정지, 포장, 배수구조물 설치, 집수탱크 및 공급 파이프 설치 등 관련 인프라 일체 아일레우 아이나로 리키사 토목: 토목: 토목: - 토공 및 부지포장, - 토공 및 부지포장, - 토공 및 부지포장, 배수구조물 설치 배수구조물 설치 배수구조물 설치 - 진입도로 (400m) 용수공급: 용수공급: 포장 - 메인탱크 1개 - 수중펌프 (심도 - 공사내용 용수공급: - 보조탱크 6개 80~100m) - 지표수 집수정 설치 - 파이프 약 1,700m - 메인탱크 1개 - 메인탱크 2개 건축: - 보조탱크 7개 - 보조탱크 5개 - 사무실,편의시설 - 파이프 약 2,100m - 파이프 약 1,700m 집하/포장할 수 건축: 건축: 있는 시설 - 사무실,편의시설 - 사무실,편의시설 - 정화조 포함 집하/포장할 수 집하/포장할 수 있는 있는 시설 시설 - 정화조 포함 - 정화조 포함 착공일로부터 12개월 (인프라 시공 8개월 + 시운전 4개월) - 동티모르 특성상 12월~3월 우기에는 공사를 진행할 수 없어 금년 우기 - 공사기간 시작 전(23년 12월) 준공을 목표로 함 - 예정공정표 제출 시 2023년 이내 준공하도록 일정 수립 라. 계약기간 계약체결일로부터 13개월 (계약체결 후 30일 이내 착공) 마. 집행한도액 USD 1,570,000 (부가세 등 제비용 미포함) - 기초금액 USD 1,526,954 - 5 -</x:v>
      </x:c>
      <x:c r="J1334" s="43" t="str">
        <x:v>자동추출·검토필요</x:v>
      </x:c>
    </x:row>
    <x:row r="1335">
      <x:c r="A1335" s="43" t="str">
        <x:v>L2023-00006-1</x:v>
      </x:c>
      <x:c r="B1335" s="43" t="str">
        <x:v>총사업비·예산</x:v>
      </x:c>
      <x:c r="C1335" s="46" t="str">
        <x:v>예산</x:v>
      </x:c>
      <x:c r="D1335" s="46" t="str"/>
      <x:c r="E1335" s="46" t="str">
        <x:v>USD 150,000 | USD 300,000</x:v>
      </x:c>
      <x:c r="F1335" s="46" t="str">
        <x:v>86.745%</x:v>
      </x:c>
      <x:c r="G1335" s="46" t="str">
        <x:v>L2023-00006-1/1. Section 2,3/Section 2 - Bid Data Sheet (BDS)_230223_kor.pdf</x:v>
      </x:c>
      <x:c r="H1335" s="43" t="str">
        <x:v>페이지 7</x:v>
      </x:c>
      <x:c r="I1335" s="46" t="str">
        <x:v>2. 입찰방법 및 낙찰자 선정방법 가. 입찰방법 : (긴급) 국제일반경쟁입찰(General Competitive Bidding) ㅇ 긴급입찰 사유: 국가계약법 시행령 제35조(입찰공고의 시기) 제4항 제1의2호 ‘국가의 재정정책 상 예산의 조기집행을 위해 필요한 경우’에 의거, 긴급입찰 추진 ㅇ 공동계약방식(Joint Venture) 허용 (단, 입찰 참가신청서 제출 시 공동수급협정서 제출 및 분담 비율 명기 조건) 나. 낙찰자결정방법 : 최저가순 적격심사 ㅇ 예정가격 이하, 낙찰하한율(86.745%) 이상 투찰자 중 최저가격으로 입찰한 자의 순으로 계약이행능력(이행실적, 기술능력, 재무상태 등 정량요소)을 심사하여 적격 점수(95점) 이상인 자를 선정 ㅇ 계약이행능력심사는 [붙임1]적격심사 평가기준에 따라 평가 3. 입찰참가자격 ※공동수급체 구성할 경우 구성원 각각이 모두 아래 요건 충족해야함 가. 입찰 참가신청서를 적기에 제출하고 입찰적격자로 통보된 자 나. 설립지 국내법에 따른 설립의 적법성 ㅇ 각 업체별 해당 설립 국가 내 적법한 사업자등록증 및 건설업등록증, 납세증명 서 등 설립지의 국내법에 따른 자격조건 충족(입찰참가신청 마감일 기준). 다. 사업대상지에서 사업을 수행할 수 있는 사업자격 ㅇ 입찰참가신청 마감일 기준, 동티모르 내 현지법인 등록 업체로 건설공사 수행업 가능 자격에 대한 증빙 제출 업체 1) 사업자등록증 (SERVE- Business Registration)(2022) 2) 건설관련면허증 (SERVE-License of Construction)(2022) 3) 납세증명서 (TAX Payment Certificate)(2022) → 입찰참가신청 마감일 기준 미등록 시, 부적격 처리 라. 입찰공고일 기준 최근 10년 이내 준공된 USD 150,000 이상의 건축공사 실적과 USD 300,000 이상의 토목공사 실적을 최소 각각 1건 이상 모두 보유한 업체 &lt;결격사유&gt; 마. 국제기구 또는 외국정부로부터 입찰참가자격이 제한되거나 계약 부적격자로 공표된 자 또는 그에 해당하여 제재를 받은 자가 아닐 것 ㅇ 서약서 제출 (입증서류를 제출하기 어려운 경우에는 상기에 해당하지 아니하다는 사실을 적은 서약서를 제출, 이 경우 서약서에는 서약서에 적은 내용과 다른 사 - 7 -</x:v>
      </x:c>
      <x:c r="J1335" s="43" t="str">
        <x:v>자동추출·검토필요</x:v>
      </x:c>
    </x:row>
    <x:row r="1336">
      <x:c r="A1336" s="43" t="str">
        <x:v>L2023-00006-1</x:v>
      </x:c>
      <x:c r="B1336" s="43" t="str">
        <x:v>총사업비·예산</x:v>
      </x:c>
      <x:c r="C1336" s="46" t="str">
        <x:v>project budget</x:v>
      </x:c>
      <x:c r="D1336" s="46" t="str"/>
      <x:c r="E1336" s="46" t="str">
        <x:v>KRW 2 billion</x:v>
      </x:c>
      <x:c r="F1336" s="46" t="str"/>
      <x:c r="G1336" s="46" t="str">
        <x:v>L2023-00006-1/4. KOICA Regulations and Guidelines/Guidelines for Technical Evaluation(▒Γ╝·╞≥░í┴÷─º)_20210408.pdf</x:v>
      </x:c>
      <x:c r="H1336" s="43" t="str">
        <x:v>페이지 13</x:v>
      </x:c>
      <x:c r="I1336"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1336" s="43" t="str">
        <x:v>자동추출·검토필요</x:v>
      </x:c>
    </x:row>
    <x:row r="1337">
      <x:c r="A1337" s="43" t="str">
        <x:v>L2023-00006-1</x:v>
      </x:c>
      <x:c r="B1337" s="43" t="str">
        <x:v>총사업비·예산</x:v>
      </x:c>
      <x:c r="C1337" s="46" t="str">
        <x:v>project budget</x:v>
      </x:c>
      <x:c r="D1337" s="46" t="str"/>
      <x:c r="E1337" s="46" t="str">
        <x:v>KRW 2 billion</x:v>
      </x:c>
      <x:c r="F1337" s="46" t="str"/>
      <x:c r="G1337" s="46" t="str">
        <x:v>L2023-00006-1/4. KOICA Regulations and Guidelines/Guidelines for Technical Evaluation(▒Γ╝·╞≥░í┴÷─º)_20210408.pdf</x:v>
      </x:c>
      <x:c r="H1337" s="43" t="str">
        <x:v>페이지 33</x:v>
      </x:c>
      <x:c r="I1337"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337" s="43" t="str">
        <x:v>자동추출·검토필요</x:v>
      </x:c>
    </x:row>
    <x:row r="1338">
      <x:c r="A1338" s="43" t="str">
        <x:v>L2022-00056-1</x:v>
      </x:c>
      <x:c r="B1338" s="43" t="str">
        <x:v>총사업비·예산</x:v>
      </x:c>
      <x:c r="C1338" s="46" t="str">
        <x:v>집행한도</x:v>
      </x:c>
      <x:c r="D1338" s="46" t="str"/>
      <x:c r="E1338" s="46" t="str">
        <x:v>USD 166,241</x:v>
      </x:c>
      <x:c r="F1338" s="46" t="str"/>
      <x:c r="G1338" s="46" t="str">
        <x:v>L2022-00056-1/과테말라 웨웨떼낭고 모자병원 보수공사 공사입찰계획서-2022.09.19..hwp</x:v>
      </x:c>
      <x:c r="H1338" s="43" t="str">
        <x:v>문단 53</x:v>
      </x:c>
      <x:c r="I1338" s="46" t="str">
        <x:v>4. 집행한도액 : USD 166,241 (VAT 포함)</x:v>
      </x:c>
      <x:c r="J1338" s="43" t="str">
        <x:v>자동추출·검토필요</x:v>
      </x:c>
    </x:row>
    <x:row r="1339">
      <x:c r="A1339" s="43" t="str">
        <x:v>L2022-00042-1</x:v>
      </x:c>
      <x:c r="B1339" s="43" t="str">
        <x:v>총사업비·예산</x:v>
      </x:c>
      <x:c r="C1339" s="46" t="str">
        <x:v>예산</x:v>
      </x:c>
      <x:c r="D1339" s="46" t="str"/>
      <x:c r="E1339" s="46" t="str">
        <x:v>USD 1,406,000</x:v>
      </x:c>
      <x:c r="F1339" s="46" t="str"/>
      <x:c r="G1339" s="46" t="str">
        <x:v>L2022-00042-1/1.1 잔여공사 입찰계획서_QIRDP_220817_v2.docx</x:v>
      </x:c>
      <x:c r="H1339" s="43" t="str">
        <x:v>표 12 행 2</x:v>
      </x:c>
      <x:c r="I1339" s="46" t="str">
        <x:v>조달집행예산 | USD1,406,000 (VAT 포함) |</x:v>
      </x:c>
      <x:c r="J1339" s="43" t="str">
        <x:v>자동추출·검토필요</x:v>
      </x:c>
    </x:row>
    <x:row r="1340">
      <x:c r="A1340" s="43" t="str">
        <x:v>L2022-00038-1</x:v>
      </x:c>
      <x:c r="B1340" s="43" t="str">
        <x:v>총사업비·예산</x:v>
      </x:c>
      <x:c r="C1340" s="46" t="str">
        <x:v>집행한도</x:v>
      </x:c>
      <x:c r="D1340" s="46" t="str"/>
      <x:c r="E1340" s="46" t="str">
        <x:v>USD 35,400</x:v>
      </x:c>
      <x:c r="F1340" s="46" t="str">
        <x:v>97.5%</x:v>
      </x:c>
      <x:c r="G1340" s="46" t="str">
        <x:v>L2022-00038-1/붙임 2. 표제사업 일반기자재 공급업체 현지입찰계획(안) 일반_최최종.hwp</x:v>
      </x:c>
      <x:c r="H1340" s="43" t="str">
        <x:v>문단 193</x:v>
      </x:c>
      <x:c r="I1340" s="46" t="str">
        <x:v>- 기초 예비가격: USD 35,400 (집행한도액의 약 97.5%)</x:v>
      </x:c>
      <x:c r="J1340" s="43" t="str">
        <x:v>자동추출·검토필요</x:v>
      </x:c>
    </x:row>
    <x:row r="1341">
      <x:c r="A1341" s="43" t="str">
        <x:v>L2022-00034-1</x:v>
      </x:c>
      <x:c r="B1341" s="43" t="str">
        <x:v>총사업비·예산</x:v>
      </x:c>
      <x:c r="C1341" s="46" t="str">
        <x:v>집행한도</x:v>
      </x:c>
      <x:c r="D1341" s="46" t="str"/>
      <x:c r="E1341" s="46" t="str">
        <x:v>USD 2,462,409</x:v>
      </x:c>
      <x:c r="F1341" s="46" t="str"/>
      <x:c r="G1341" s="46" t="str">
        <x:v>L2022-00034-1/1. 영양교육센터 시공업체 선정 국문 입찰계획안.hwp</x:v>
      </x:c>
      <x:c r="H1341" s="43" t="str">
        <x:v>문단 115</x:v>
      </x:c>
      <x:c r="I1341" s="46" t="str">
        <x:v>1) 집행한도액: USD 2,462,409</x:v>
      </x:c>
      <x:c r="J1341" s="43" t="str">
        <x:v>자동추출·검토필요</x:v>
      </x:c>
    </x:row>
    <x:row r="1342">
      <x:c r="A1342" s="43" t="str">
        <x:v>L2022-00034-1</x:v>
      </x:c>
      <x:c r="B1342" s="43" t="str">
        <x:v>총사업비·예산</x:v>
      </x:c>
      <x:c r="C1342" s="46" t="str">
        <x:v>집행한도</x:v>
      </x:c>
      <x:c r="D1342" s="46" t="str"/>
      <x:c r="E1342" s="46" t="str">
        <x:v>USD 2,402,350</x:v>
      </x:c>
      <x:c r="F1342" s="46" t="str">
        <x:v>97.56%</x:v>
      </x:c>
      <x:c r="G1342" s="46" t="str">
        <x:v>L2022-00034-1/1. 영양교육센터 시공업체 선정 국문 입찰계획안.hwp</x:v>
      </x:c>
      <x:c r="H1342" s="43" t="str">
        <x:v>문단 118</x:v>
      </x:c>
      <x:c r="I1342" s="46" t="str">
        <x:v>2) 기초금액(집행한도액의 97.56%)†普 : USD 2,402,350</x:v>
      </x:c>
      <x:c r="J1342" s="43" t="str">
        <x:v>자동추출·검토필요</x:v>
      </x:c>
    </x:row>
    <x:row r="1343">
      <x:c r="A1343" s="43" t="str">
        <x:v>L2022-00034-1</x:v>
      </x:c>
      <x:c r="B1343" s="43" t="str">
        <x:v>총사업비·예산</x:v>
      </x:c>
      <x:c r="C1343" s="46" t="str">
        <x:v>집행한도</x:v>
      </x:c>
      <x:c r="D1343" s="46" t="str"/>
      <x:c r="E1343" s="46" t="str">
        <x:v>PKR 480,000,000</x:v>
      </x:c>
      <x:c r="F1343" s="46" t="str"/>
      <x:c r="G1343" s="46" t="str">
        <x:v>L2022-00034-1/1. 영양교육센터 시공업체 선정 국문 입찰계획안.hwp</x:v>
      </x:c>
      <x:c r="H1343" s="43" t="str">
        <x:v>문단 291</x:v>
      </x:c>
      <x:c r="I1343" s="46" t="str">
        <x:v>ㅇ 최근 회계연도 3년간 (2018.07.~2021.06.) 업체의 연평균 매출액이 PKR 480,000,000(약 집행한도액 규모정도 업체)</x:v>
      </x:c>
      <x:c r="J1343" s="43" t="str">
        <x:v>자동추출·검토필요</x:v>
      </x:c>
    </x:row>
    <x:row r="1344">
      <x:c r="A1344" s="43" t="str">
        <x:v>L2022-00034-1</x:v>
      </x:c>
      <x:c r="B1344" s="43" t="str">
        <x:v>총사업비·예산</x:v>
      </x:c>
      <x:c r="C1344" s="46" t="str">
        <x:v>project budget</x:v>
      </x:c>
      <x:c r="D1344" s="46" t="str"/>
      <x:c r="E1344" s="46" t="str">
        <x:v>USD 2,462,409</x:v>
      </x:c>
      <x:c r="F1344" s="46" t="str"/>
      <x:c r="G1344" s="46" t="str">
        <x:v>L2022-00034-1/2. 영양교육센터 설립사업 입찰관련 서류/Chapter 1. Invitation for Pre-Qualification.docx</x:v>
      </x:c>
      <x:c r="H1344" s="43" t="str">
        <x:v>표 2 행 10</x:v>
      </x:c>
      <x:c r="I1344" s="46" t="str">
        <x:v>∙ Project Budget (GST included) | USD 2,462,409</x:v>
      </x:c>
      <x:c r="J1344" s="43" t="str">
        <x:v>자동추출·검토필요</x:v>
      </x:c>
    </x:row>
    <x:row r="1345">
      <x:c r="A1345" s="43" t="str">
        <x:v>L2022-00031-1</x:v>
      </x:c>
      <x:c r="B1345" s="43" t="str">
        <x:v>총사업비·예산</x:v>
      </x:c>
      <x:c r="C1345" s="46" t="str">
        <x:v>집행한도</x:v>
      </x:c>
      <x:c r="D1345" s="46" t="str"/>
      <x:c r="E1345" s="46" t="str">
        <x:v>USD 302,740</x:v>
      </x:c>
      <x:c r="F1345" s="46" t="str"/>
      <x:c r="G1345" s="46" t="str">
        <x:v>L2022-00031-1/붙임 1. 설계업체 선정 국제입찰 추진계획서 (220628).hwp</x:v>
      </x:c>
      <x:c r="H1345" s="43" t="str">
        <x:v>문단 81</x:v>
      </x:c>
      <x:c r="I1345" s="46" t="str">
        <x:v>󰏚 집행한도액 : USD 302,740 (부가세 등 제비용 포함)</x:v>
      </x:c>
      <x:c r="J1345" s="43" t="str">
        <x:v>자동추출·검토필요</x:v>
      </x:c>
    </x:row>
    <x:row r="1346">
      <x:c r="A1346" s="43" t="str">
        <x:v>L2022-00031-1</x:v>
      </x:c>
      <x:c r="B1346" s="43" t="str">
        <x:v>총사업비·예산</x:v>
      </x:c>
      <x:c r="C1346" s="46" t="str">
        <x:v>집행한도</x:v>
      </x:c>
      <x:c r="D1346" s="46" t="str"/>
      <x:c r="E1346" s="46" t="str">
        <x:v>USD 302,740</x:v>
      </x:c>
      <x:c r="F1346" s="46" t="str"/>
      <x:c r="G1346" s="46" t="str">
        <x:v>L2022-00031-1/붙임 1. 설계업체 선정 국제입찰 추진계획서 (220628).hwp</x:v>
      </x:c>
      <x:c r="H1346" s="43" t="str">
        <x:v>문단 120</x:v>
      </x:c>
      <x:c r="I1346" s="46" t="str">
        <x:v>󰏚 집행한도액 : USD 302,740(GST 및 VAT 포함)</x:v>
      </x:c>
      <x:c r="J1346" s="43" t="str">
        <x:v>자동추출·검토필요</x:v>
      </x:c>
    </x:row>
    <x:row r="1347">
      <x:c r="A1347" s="43" t="str">
        <x:v>L2022-00031-1</x:v>
      </x:c>
      <x:c r="B1347" s="43" t="str">
        <x:v>총사업비·예산</x:v>
      </x:c>
      <x:c r="C1347" s="46" t="str">
        <x:v>project budget</x:v>
      </x:c>
      <x:c r="D1347" s="46" t="str"/>
      <x:c r="E1347" s="46" t="str">
        <x:v>302,740 USD</x:v>
      </x:c>
      <x:c r="F1347" s="46" t="str"/>
      <x:c r="G1347" s="46" t="str">
        <x:v>L2022-00031-1/붙임 2 입찰 관련 문서 (220628)/01. Invitation for bids.docx</x:v>
      </x:c>
      <x:c r="H1347" s="43" t="str">
        <x:v>문단 38</x:v>
      </x:c>
      <x:c r="I1347" s="46" t="str">
        <x:v>The available budget for this procurement assignment is 302,740 USD and Bidders’ Proposals should not exceed this budget. Any bid exceeding the project budget may result in rejection of its bid.</x:v>
      </x:c>
      <x:c r="J1347" s="43" t="str">
        <x:v>자동추출·검토필요</x:v>
      </x:c>
    </x:row>
    <x:row r="1348">
      <x:c r="A1348" s="43" t="str">
        <x:v>L2022-00031-1</x:v>
      </x:c>
      <x:c r="B1348" s="43" t="str">
        <x:v>총사업비·예산</x:v>
      </x:c>
      <x:c r="C1348" s="46" t="str">
        <x:v>project budget</x:v>
      </x:c>
      <x:c r="D1348" s="46" t="str"/>
      <x:c r="E1348" s="46" t="str">
        <x:v>USD 302,740</x:v>
      </x:c>
      <x:c r="F1348" s="46" t="str"/>
      <x:c r="G1348" s="46" t="str">
        <x:v>L2022-00031-1/붙임 2 입찰 관련 문서 (220628)/01. Invitation for bids.docx</x:v>
      </x:c>
      <x:c r="H1348" s="43" t="str">
        <x:v>표 2 행 7</x:v>
      </x:c>
      <x:c r="I1348" s="46" t="str">
        <x:v>Project Budget | USD 302,740 (including GST, VAT) ※ In accordance with Article 11 paragraph (1) of the regulations for procurement and contract in grant aid project, this tender does not have an estimated price and the project budget is regarded as the estimated price ※If the Employer provides the Consultant with the tax exemption related to the Contract, the Employer will not be responsible for paying the exempt tax. If the Employer fails to provide the Consultant with the tax exemption, the Employer will pay the applicable taxes to the Consultant. ※KOICA has no authority or responsibility for any tax, including GST, incurred by such a bid and contract. The Federal Board of Revenue (FBR) is responsible for the taxation and tax exemption in accordance with the relevant laws and regulations of Pakistan.</x:v>
      </x:c>
      <x:c r="J1348" s="43" t="str">
        <x:v>자동추출·검토필요</x:v>
      </x:c>
    </x:row>
    <x:row r="1349">
      <x:c r="A1349" s="43" t="str">
        <x:v>L2022-00015-1</x:v>
      </x:c>
      <x:c r="B1349" s="43" t="str">
        <x:v>총사업비·예산</x:v>
      </x:c>
      <x:c r="C1349" s="46" t="str">
        <x:v>project budget</x:v>
      </x:c>
      <x:c r="D1349" s="46" t="str"/>
      <x:c r="E1349" s="46" t="str">
        <x:v>USD 1,801,800</x:v>
      </x:c>
      <x:c r="F1349" s="46" t="str"/>
      <x:c r="G1349" s="46" t="str">
        <x:v>L2022-00015-1/01 필리핀 농기계 현대화 사업 센터 신축 ITB Rev02_20220513_edited.doc</x:v>
      </x:c>
      <x:c r="H1349" s="43" t="str">
        <x:v>문단 3</x:v>
      </x:c>
      <x:c r="I1349" s="46" t="str">
        <x:v>1) Employer: KOICA Philippines Office 2) Bid Type: International Open Competitive Bidding (Fixed Lump Sum Price Contract) 3) Selection of the Successful Bidder: Qualified Lowest Price 4) Technical Specifications of Construction: Philippine Standard 5) Eligibility to Bid: A bidder shall meet all items below in order to be eligible to bid. ① As of the date of the announcement of the bid, a company that has been legally established in accordance with the laws and regulations of the country of establishment, regardless of nationality, and can perform construction business in Philippines with a related license from Philippine government. Documents to be submitted at registration to participate in the bidding: - Enterprise Registration License (Issued by the country of establishment and the Philippine Government) - Construction License (Issued by the country of establishment) - Tax payment Certificate (Issued by the country of establishment) - PCAB General Building Registration Certification (GB-1) ② Consortium with another company is not allowed. 6) Contract Currency: USD 7) Time Schedule of Bid Event Schedule Remark Bid Announcement 2022.05.18. ~ 05.20 Local Newspaper, KOICA website (n</x:v>
      </x:c>
      <x:c r="J1349" s="43" t="str">
        <x:v>자동추출·검토필요</x:v>
      </x:c>
    </x:row>
    <x:row r="1350">
      <x:c r="A1350" s="43" t="str">
        <x:v>L2022-00006-1</x:v>
      </x:c>
      <x:c r="B1350" s="43" t="str">
        <x:v>총사업비·예산</x:v>
      </x:c>
      <x:c r="C1350" s="46" t="str">
        <x:v>예산</x:v>
      </x:c>
      <x:c r="D1350" s="46" t="str"/>
      <x:c r="E1350" s="46" t="str">
        <x:v>400 USD | $ 100</x:v>
      </x:c>
      <x:c r="F1350" s="46" t="str"/>
      <x:c r="G1350" s="46" t="str">
        <x:v>L2022-00006-1/붙임 1. 네팔경찰 역량강화를 위한 사이버안전국 설립사업 -국문본(조달실 반영분).hwp</x:v>
      </x:c>
      <x:c r="H1350" s="43" t="str">
        <x:v>문단 288</x:v>
      </x:c>
      <x:c r="I1350" s="46" t="str">
        <x:v>6.6 기술평가 소요예산(400USD) : $ 100/1인 x 4인(외부 평가 위원인 경우에만 해당)/입찰 평가사수 와 평가시간에 따라 조정될 수 있음</x:v>
      </x:c>
      <x:c r="J1350" s="43" t="str">
        <x:v>자동추출·검토필요</x:v>
      </x:c>
    </x:row>
    <x:row r="1351">
      <x:c r="A1351" s="43" t="str">
        <x:v>L2022-00006-1</x:v>
      </x:c>
      <x:c r="B1351" s="43" t="str">
        <x:v>총사업비·예산</x:v>
      </x:c>
      <x:c r="C1351" s="46" t="str">
        <x:v>project budget</x:v>
      </x:c>
      <x:c r="D1351" s="46" t="str"/>
      <x:c r="E1351" s="46" t="str">
        <x:v>USD 257,741</x:v>
      </x:c>
      <x:c r="F1351" s="46" t="str"/>
      <x:c r="G1351" s="46" t="str">
        <x:v>L2022-00006-1/붙임 2. 입찰공고.docx</x:v>
      </x:c>
      <x:c r="H1351" s="43" t="str">
        <x:v>문단 119</x:v>
      </x:c>
      <x:c r="I1351" s="46" t="str">
        <x:v>3. The available budget for this procurement assignment is USD 257,741 (VAT excluded) and Bidders’ Proposals should not exceed this budget. any bid exceeding the project budget may be negotiated within the limit of budget.</x:v>
      </x:c>
      <x:c r="J1351" s="43" t="str">
        <x:v>자동추출·검토필요</x:v>
      </x:c>
    </x:row>
    <x:row r="1352">
      <x:c r="A1352" s="43" t="str">
        <x:v>L2022-00006-1</x:v>
      </x:c>
      <x:c r="B1352" s="43" t="str">
        <x:v>총사업비·예산</x:v>
      </x:c>
      <x:c r="C1352" s="46" t="str">
        <x:v>project budget</x:v>
      </x:c>
      <x:c r="D1352" s="46" t="str"/>
      <x:c r="E1352" s="46" t="str">
        <x:v>USD 154,872</x:v>
      </x:c>
      <x:c r="F1352" s="46" t="str"/>
      <x:c r="G1352" s="46" t="str">
        <x:v>L2022-00006-1/붙임 3. 입찰계획안 -영문본.docx</x:v>
      </x:c>
      <x:c r="H1352" s="43" t="str">
        <x:v>문단 20</x:v>
      </x:c>
      <x:c r="I1352" s="46" t="str">
        <x:v>2.3. - PROJECT BUDGET : USD 154,872 (Exclude VAT)</x:v>
      </x:c>
      <x:c r="J1352" s="43" t="str">
        <x:v>자동추출·검토필요</x:v>
      </x:c>
    </x:row>
    <x:row r="1353">
      <x:c r="A1353" s="43" t="str">
        <x:v>L2022-00006-1</x:v>
      </x:c>
      <x:c r="B1353" s="43" t="str">
        <x:v>총사업비·예산</x:v>
      </x:c>
      <x:c r="C1353" s="46" t="str">
        <x:v>project budget</x:v>
      </x:c>
      <x:c r="D1353" s="46" t="str"/>
      <x:c r="E1353" s="46" t="str">
        <x:v>USD 151,000</x:v>
      </x:c>
      <x:c r="F1353" s="46" t="str"/>
      <x:c r="G1353" s="46" t="str">
        <x:v>L2022-00006-1/붙임 3. 입찰계획안 -영문본.docx</x:v>
      </x:c>
      <x:c r="H1353" s="43" t="str">
        <x:v>표 5 행 3</x:v>
      </x:c>
      <x:c r="I1353" s="46" t="str">
        <x:v>2.PROJECT BUDGET | USD 151,000 | DESIGN+SUPERVISION /VAT Excluded</x:v>
      </x:c>
      <x:c r="J1353" s="43" t="str">
        <x:v>자동추출·검토필요</x:v>
      </x:c>
    </x:row>
    <x:row r="1354">
      <x:c r="A1354" s="43" t="str">
        <x:v>L2022-00006-1</x:v>
      </x:c>
      <x:c r="B1354" s="43" t="str">
        <x:v>총사업비·예산</x:v>
      </x:c>
      <x:c r="C1354" s="46" t="str">
        <x:v>project budget</x:v>
      </x:c>
      <x:c r="D1354" s="46" t="str"/>
      <x:c r="E1354" s="46" t="str">
        <x:v>USD 151,000</x:v>
      </x:c>
      <x:c r="F1354" s="46" t="str">
        <x:v>100% | 70% | 100% | 40% | 70% | 10% | 40% | 10%</x:v>
      </x:c>
      <x:c r="G1354" s="46" t="str">
        <x:v>L2022-00006-1/붙임 3. 입찰계획안 -영문본.docx</x:v>
      </x:c>
      <x:c r="H1354" s="43" t="str">
        <x:v>표 6 행 4</x:v>
      </x:c>
      <x:c r="I1354" s="46" t="str">
        <x:v>3. Similar Performance Record in Nepal &amp; Overseas [3 years Design &amp; Supervision Only] | Compared with project budget ( USD 151,000) | 4.0 | 100% or more 70%~100% 40%~70% 10%~40% Less than 10% | 4.0 3.7 3.4 3.1 2.8</x:v>
      </x:c>
      <x:c r="J1354" s="43" t="str">
        <x:v>자동추출·검토필요</x:v>
      </x:c>
    </x:row>
    <x:row r="1355">
      <x:c r="A1355" s="43" t="str">
        <x:v>L2022-00003-1</x:v>
      </x:c>
      <x:c r="B1355" s="43" t="str">
        <x:v>총사업비·예산</x:v>
      </x:c>
      <x:c r="C1355" s="46" t="str">
        <x:v>집행한도</x:v>
      </x:c>
      <x:c r="D1355" s="46" t="str">
        <x:v>7,021 M2</x:v>
      </x:c>
      <x:c r="E1355" s="46" t="str">
        <x:v>USD 248,335 | USD 147,535, | USD 100,800,</x:v>
      </x:c>
      <x:c r="F1355" s="46" t="str">
        <x:v>90% | 10% | 10% | 90% | 2.5%</x:v>
      </x:c>
      <x:c r="G1355" s="46" t="str">
        <x:v>L2022-00003-1/코이카사무소_우르겐치직훈원 입찰공고문(홈페이지게시).pdf</x:v>
      </x:c>
      <x:c r="H1355" s="43" t="str">
        <x:v>페이지 1</x:v>
      </x:c>
      <x:c r="I1355" s="46" t="str">
        <x:v>KOICA 사무소 우르겐치 직업훈련원 설계 및 감리사 선정 입찰 공고 2022.02.21.(월) KOICA(Korea International Cooperation Agency, 한국국제협력단) 우즈베키스탄 사무소에서는 우르겐치 직업훈련원 및 타슈켄트 교사연수센터 설계 및 감리 용역업체 선정을 위한 입찰 공고를 하오니, 관심있는 업체의 많은 참여 바랍니다. ■ 입찰형태 : 국제 일반경쟁입찰(입찰번호 : KOICA-P-UZB-2022-1) ■ 집행한도액 : USD 248,335 (설계용역 : USD 147,535, 감리용역: USD 100,800, 부가가치세 미포함) ■ 계약기간 : 계약일로부터 33개월(설계 6개월 + 시공사입찰지원 2개월 + 시공감리 25개월) ■ 부지위치 : (우르겐치 직훈원) 우르겐치 기차역 인접, (교사연수센터) 타슈켄트 직업훈련원 부지 내 ■ 건축규모 : 연면적 총 7,021M2, 지상 2층 3개동, 1층 2개동 및 부속 건물 ■ 참가자격 : 우즈베키스탄 법률과 규정에 따라 건설공사의 설계 및 시공감리 용역업무 수행관련 합법적인 자격 보유한 국내외 업체 (공동수급은 허용하지 않습니다) ■ 낙찰업체 선정 방식 : 기술평가 90% + 가격평가 10% (기술평가 : 정량 10%+ 정성 90%) ■ 입찰일정(우즈베키스탄 시간 기준) 구 분 일정(안) 비 고 02.28. ~ 1. 입찰참가 신청 ㅇ KOICA 공용메일로 접수(tender.uzkoica@gmail.com) 03.22. 16:30 ㅇ 설명회 참가희망 업체 사전신청(02.25 16:30까지) ㅇ 신청업체대상 설명회 및 영문 입찰안내서류 이메일 송부 2. 온라인 입찰설명회 02.28. 10:00 - 입찰안내서류는 사무소 홈페이지 및 페이스북 內 게재 https://www.koica.go.kr/sites/uzb_kr https://www.facebook.com/koica.uzbek 03.07. ~ 3. 질의기간 ㅇ KOICA 공용메일로 접수(tender.uzkoica@gmail.com) 03.14. 16:30 ㅇ 설명회 참가자 및 질의자 전원대상 이메일 회신(15:00) 4. 질의응답자료 게재 03.16. 15:00 - 사무소 홈페이지 및 페이스북에 게재 5. 입찰서 접수마감 03.24. 16:30 ㅇ 입찰서 밀봉 후, 제출처에 방문제출(우편제출 불가) ㅇ 시간과 장소 사전 통보: 03.28. 16:30 6. 온라인 평가위원회 개최 03.</x:v>
      </x:c>
      <x:c r="J1355" s="43" t="str">
        <x:v>자동추출·검토필요</x:v>
      </x:c>
    </x:row>
    <x:row r="1356">
      <x:c r="A1356" s="43" t="str">
        <x:v>L2021-00045-1</x:v>
      </x:c>
      <x:c r="B1356" s="43" t="str">
        <x:v>총사업비·예산</x:v>
      </x:c>
      <x:c r="C1356" s="46" t="str">
        <x:v>집행한도</x:v>
      </x:c>
      <x:c r="D1356" s="46" t="str"/>
      <x:c r="E1356" s="46" t="str">
        <x:v>USD 2,415,000</x:v>
      </x:c>
      <x:c r="F1356" s="46" t="str"/>
      <x:c r="G1356" s="46" t="str">
        <x:v>L2021-00045-1/붙임5. 입찰계획안.hwp</x:v>
      </x:c>
      <x:c r="H1356" s="43" t="str">
        <x:v>문단 33</x:v>
      </x:c>
      <x:c r="I1356" s="46" t="str">
        <x:v>나. 집행한도액 : USD 2,415,000 (VAT 제외)</x:v>
      </x:c>
      <x:c r="J1356" s="43" t="str">
        <x:v>자동추출·검토필요</x:v>
      </x:c>
    </x:row>
    <x:row r="1357">
      <x:c r="A1357" s="43" t="str">
        <x:v>L2021-00036-1</x:v>
      </x:c>
      <x:c r="B1357" s="43" t="str">
        <x:v>총사업비·예산</x:v>
      </x:c>
      <x:c r="C1357" s="46" t="str">
        <x:v>project budget</x:v>
      </x:c>
      <x:c r="D1357" s="46" t="str"/>
      <x:c r="E1357" s="46" t="str">
        <x:v>USD 20,000</x:v>
      </x:c>
      <x:c r="F1357" s="46" t="str"/>
      <x:c r="G1357" s="46" t="str">
        <x:v>L2021-00036-1/[붙임] 입찰 서류_11.1.docx</x:v>
      </x:c>
      <x:c r="H1357" s="43" t="str">
        <x:v>문단 128</x:v>
      </x:c>
      <x:c r="I1357" s="46" t="str">
        <x:v>6. The available budget for this procurement is USD 20,000 (including VAT and other taxes) and Bidders’ Proposals should not exceed this budget. Any bid exceeding the project budget may result in rejection of its bid.</x:v>
      </x:c>
      <x:c r="J1357" s="43" t="str">
        <x:v>자동추출·검토필요</x:v>
      </x:c>
    </x:row>
    <x:row r="1358">
      <x:c r="A1358" s="43" t="str">
        <x:v>L2021-00036-1</x:v>
      </x:c>
      <x:c r="B1358" s="43" t="str">
        <x:v>총사업비·예산</x:v>
      </x:c>
      <x:c r="C1358" s="46" t="str">
        <x:v>project budget</x:v>
      </x:c>
      <x:c r="D1358" s="46" t="str"/>
      <x:c r="E1358" s="46" t="str">
        <x:v>USD 400 | USD 20,000</x:v>
      </x:c>
      <x:c r="F1358" s="46" t="str">
        <x:v>2%</x:v>
      </x:c>
      <x:c r="G1358" s="46" t="str">
        <x:v>L2021-00036-1/[붙임] 입찰 서류_11.1.docx</x:v>
      </x:c>
      <x:c r="H1358" s="43" t="str">
        <x:v>문단 157</x:v>
      </x:c>
      <x:c r="I1358" s="46" t="str">
        <x:v>11. All bids must be accompanied with USD 400 which is 2% of the Project budget(USD 20,000) in cash or a bond issued by bank as a bid security before 12 November 2021, 16:00 PM.</x:v>
      </x:c>
      <x:c r="J1358" s="43" t="str">
        <x:v>자동추출·검토필요</x:v>
      </x:c>
    </x:row>
    <x:row r="1359">
      <x:c r="A1359" s="43" t="str">
        <x:v>L2021-00036-1</x:v>
      </x:c>
      <x:c r="B1359" s="43" t="str">
        <x:v>총사업비·예산</x:v>
      </x:c>
      <x:c r="C1359" s="46" t="str">
        <x:v>project budget</x:v>
      </x:c>
      <x:c r="D1359" s="46" t="str"/>
      <x:c r="E1359" s="46" t="str">
        <x:v>20,000 USD</x:v>
      </x:c>
      <x:c r="F1359" s="46" t="str"/>
      <x:c r="G1359" s="46" t="str">
        <x:v>L2021-00036-1/[붙임] 입찰 서류_11.1.docx</x:v>
      </x:c>
      <x:c r="H1359" s="43" t="str">
        <x:v>문단 279</x:v>
      </x:c>
      <x:c r="I1359" s="46" t="str">
        <x:v>Project Budget : 20,000 USD(VAT and other taxes included)</x:v>
      </x:c>
      <x:c r="J1359" s="43" t="str">
        <x:v>자동추출·검토필요</x:v>
      </x:c>
    </x:row>
    <x:row r="1360">
      <x:c r="A1360" s="43" t="str">
        <x:v>L2021-00036-1</x:v>
      </x:c>
      <x:c r="B1360" s="43" t="str">
        <x:v>총사업비·예산</x:v>
      </x:c>
      <x:c r="C1360" s="46" t="str">
        <x:v>project budget</x:v>
      </x:c>
      <x:c r="D1360" s="46" t="str"/>
      <x:c r="E1360" s="46" t="str">
        <x:v>USD 400 | USD 20,000 | USD 400 | USD 400 | USD 20,000 | USD 400</x:v>
      </x:c>
      <x:c r="F1360" s="46" t="str">
        <x:v>2% | 2% | 2% | 2%</x:v>
      </x:c>
      <x:c r="G1360" s="46" t="str">
        <x:v>L2021-00036-1/[붙임] 입찰 서류_11.1.docx</x:v>
      </x:c>
      <x:c r="H1360" s="43" t="str">
        <x:v>표 7 행 8</x:v>
      </x:c>
      <x:c r="I1360" s="46" t="str">
        <x:v>2.4 2.5 2.6 2.7 2.8 2.9 | The price shall be quoted by the bidder is in USD only The bid security is USD 400 which is 2% of the bid budget(USD 20,000) shall be paid in cash or bond issued by bank when submitting the bid by 16 :00pm 12 Nov, 2021 Bidding Clarification Question is only requested by KOICA Kyrgyzstan Office emails by 18:00pm 9 November,2021. The address for requesting clarifications is: kyrgyzstan@koica.go.kr The bidder shall submit with its bid the following documents Form of Bid : Shall be sealed with the Form of Price Proposal Official Letter for Submission : - Signed by representative of the company and stamped by official seal of the company Bid Security : USD 400 in cash(2% of the project budget) License and Registration(valid as of bidding announcement date) : - Architectural Design License issued by the State Agency Architecture, Construction and Housing and Communal Services - Local/Int’l Business Registration License - Tax Clearance Certificate - Declaration of Anti-Corruption in ODA Business Participation ★ If any of documents is not submitted, the bid shall be rejected. Power of Attorney(for the signature authority) Form of Technical Proposal - Refer to para</x:v>
      </x:c>
      <x:c r="J1360" s="43" t="str">
        <x:v>자동추출·검토필요</x:v>
      </x:c>
    </x:row>
    <x:row r="1361">
      <x:c r="A1361" s="43" t="str">
        <x:v>L2021-00031-1</x:v>
      </x:c>
      <x:c r="B1361" s="43" t="str">
        <x:v>총사업비·예산</x:v>
      </x:c>
      <x:c r="C1361" s="46" t="str">
        <x:v>project budget</x:v>
      </x:c>
      <x:c r="D1361" s="46" t="str"/>
      <x:c r="E1361" s="46" t="str">
        <x:v>PKR 307,114,128</x:v>
      </x:c>
      <x:c r="F1361" s="46" t="str"/>
      <x:c r="G1361" s="46" t="str">
        <x:v>L2021-00031-1/2. Chapters/Chapter 1. Invitation for Pre-Qualification_1020.docx</x:v>
      </x:c>
      <x:c r="H1361" s="43" t="str">
        <x:v>표 2 행 11</x:v>
      </x:c>
      <x:c r="I1361" s="46" t="str">
        <x:v>∙ Project Budget (GST included) | PKR 307,114,128</x:v>
      </x:c>
      <x:c r="J1361" s="43" t="str">
        <x:v>자동추출·검토필요</x:v>
      </x:c>
    </x:row>
    <x:row r="1362">
      <x:c r="A1362" s="43" t="str">
        <x:v>L2021-00031-1</x:v>
      </x:c>
      <x:c r="B1362" s="43" t="str">
        <x:v>총사업비·예산</x:v>
      </x:c>
      <x:c r="C1362" s="46" t="str">
        <x:v>집행한도</x:v>
      </x:c>
      <x:c r="D1362" s="46" t="str"/>
      <x:c r="E1362" s="46" t="str">
        <x:v>PKR 307,114,128 | USD 1,839,007 | USD 1 | PKR 167</x:v>
      </x:c>
      <x:c r="F1362" s="46" t="str"/>
      <x:c r="G1362" s="46" t="str">
        <x:v>L2021-00031-1/붙임1. 태양전지 인증시험소 시공업체 선정 국문 입찰계획안_최종.hwp</x:v>
      </x:c>
      <x:c r="H1362" s="43" t="str">
        <x:v>문단 79</x:v>
      </x:c>
      <x:c r="I1362" s="46" t="str">
        <x:v>1) 집행한도액: PKR 307,114,128 (약 USD 1,839,007 / USD 1 = PKR 167)</x:v>
      </x:c>
      <x:c r="J1362" s="43" t="str">
        <x:v>자동추출·검토필요</x:v>
      </x:c>
    </x:row>
    <x:row r="1363">
      <x:c r="A1363" s="43" t="str">
        <x:v>L2021-00031-1</x:v>
      </x:c>
      <x:c r="B1363" s="43" t="str">
        <x:v>총사업비·예산</x:v>
      </x:c>
      <x:c r="C1363" s="46" t="str">
        <x:v>집행한도</x:v>
      </x:c>
      <x:c r="D1363" s="46" t="str"/>
      <x:c r="E1363" s="46" t="str">
        <x:v>PKR 299,620,543 | USD 1,794,135 | USD 1 | PKR 167</x:v>
      </x:c>
      <x:c r="F1363" s="46" t="str">
        <x:v>97.56%</x:v>
      </x:c>
      <x:c r="G1363" s="46" t="str">
        <x:v>L2021-00031-1/붙임1. 태양전지 인증시험소 시공업체 선정 국문 입찰계획안_최종.hwp</x:v>
      </x:c>
      <x:c r="H1363" s="43" t="str">
        <x:v>문단 82</x:v>
      </x:c>
      <x:c r="I1363" s="46" t="str">
        <x:v>2) 기초금액(집행한도액의 97.56%)†普 : PKR 299,620,543 (약 USD 1,794,135 / USD 1 = PKR 167)</x:v>
      </x:c>
      <x:c r="J1363" s="43" t="str">
        <x:v>자동추출·검토필요</x:v>
      </x:c>
    </x:row>
    <x:row r="1364">
      <x:c r="A1364" s="43" t="str">
        <x:v>L2021-00031-1</x:v>
      </x:c>
      <x:c r="B1364" s="43" t="str">
        <x:v>총사업비·예산</x:v>
      </x:c>
      <x:c r="C1364" s="46" t="str">
        <x:v>집행한도</x:v>
      </x:c>
      <x:c r="D1364" s="46" t="str"/>
      <x:c r="E1364" s="46" t="str">
        <x:v>PKR 100,000,000</x:v>
      </x:c>
      <x:c r="F1364" s="46" t="str"/>
      <x:c r="G1364" s="46" t="str">
        <x:v>L2021-00031-1/붙임1. 태양전지 인증시험소 시공업체 선정 국문 입찰계획안_최종.hwp</x:v>
      </x:c>
      <x:c r="H1364" s="43" t="str">
        <x:v>문단 243</x:v>
      </x:c>
      <x:c r="I1364" s="46" t="str">
        <x:v>ㅇ최근 3년간 (2018.07~2021.06) 업체의 연평균 시공액이 PKR 100,000,000(집행한도액의 약 1/3규모) 이상인지의 여부</x:v>
      </x:c>
      <x:c r="J1364" s="43" t="str">
        <x:v>자동추출·검토필요</x:v>
      </x:c>
    </x:row>
    <x:row r="1365">
      <x:c r="A1365" s="43" t="str">
        <x:v>L2021-00031-1</x:v>
      </x:c>
      <x:c r="B1365" s="43" t="str">
        <x:v>총사업비·예산</x:v>
      </x:c>
      <x:c r="C1365" s="46" t="str">
        <x:v>집행한도</x:v>
      </x:c>
      <x:c r="D1365" s="46" t="str"/>
      <x:c r="E1365" s="46" t="str">
        <x:v>PKR 100,000,000</x:v>
      </x:c>
      <x:c r="F1365" s="46" t="str"/>
      <x:c r="G1365" s="46" t="str">
        <x:v>L2021-00031-1/붙임1. 태양전지 인증시험소 시공업체 선정 국문 입찰계획안_최종.hwp</x:v>
      </x:c>
      <x:c r="H1365" s="43" t="str">
        <x:v>문단 248</x:v>
      </x:c>
      <x:c r="I1365" s="46" t="str">
        <x:v>ㅇ 최근 회계연도 5년간(2016.07.~2021.06.) PKR 100,000,000(집행한도액의 약 1/3규모) 이상의 단일공사 실적 유무(준공실적)</x:v>
      </x:c>
      <x:c r="J1365" s="43" t="str">
        <x:v>자동추출·검토필요</x:v>
      </x:c>
    </x:row>
    <x:row r="1366">
      <x:c r="A1366" s="43" t="str">
        <x:v>L2021-00031-1</x:v>
      </x:c>
      <x:c r="B1366" s="43" t="str">
        <x:v>총사업비·예산</x:v>
      </x:c>
      <x:c r="C1366" s="46" t="str">
        <x:v>집행한도</x:v>
      </x:c>
      <x:c r="D1366" s="46" t="str"/>
      <x:c r="E1366" s="46" t="str">
        <x:v>PKR 100,000,000</x:v>
      </x:c>
      <x:c r="F1366" s="46" t="str"/>
      <x:c r="G1366" s="46" t="str">
        <x:v>L2021-00031-1/붙임1. 태양전지 인증시험소 시공업체 선정 국문 입찰계획안_최종.hwp</x:v>
      </x:c>
      <x:c r="H1366" s="43" t="str">
        <x:v>문단 277</x:v>
      </x:c>
      <x:c r="I1366" s="46" t="str">
        <x:v>·최근 3년간(2018.07~2021.06) PKR 100,000,000(집행한도액의 약 1/3 규모) 이상의 매출액을 확인할 수 있는 회계 보고서</x:v>
      </x:c>
      <x:c r="J1366" s="43" t="str">
        <x:v>자동추출·검토필요</x:v>
      </x:c>
    </x:row>
    <x:row r="1367">
      <x:c r="A1367" s="43" t="str">
        <x:v>L2021-00031-1</x:v>
      </x:c>
      <x:c r="B1367" s="43" t="str">
        <x:v>총사업비·예산</x:v>
      </x:c>
      <x:c r="C1367" s="46" t="str">
        <x:v>집행한도</x:v>
      </x:c>
      <x:c r="D1367" s="46" t="str"/>
      <x:c r="E1367" s="46" t="str">
        <x:v>PKR 100,000,000</x:v>
      </x:c>
      <x:c r="F1367" s="46" t="str"/>
      <x:c r="G1367" s="46" t="str">
        <x:v>L2021-00031-1/붙임1. 태양전지 인증시험소 시공업체 선정 국문 입찰계획안_최종.hwp</x:v>
      </x:c>
      <x:c r="H1367" s="43" t="str">
        <x:v>문단 282</x:v>
      </x:c>
      <x:c r="I1367" s="46" t="str">
        <x:v>·최근 5년간(2016.07~2021.06) PKR 100,000,000(집행한도액의 약 1/3규모) 이상의 단일공사 준공실적(기성실적증명서 혹은 계약서+기성세금계산서)</x:v>
      </x:c>
      <x:c r="J1367" s="43" t="str">
        <x:v>자동추출·검토필요</x:v>
      </x:c>
    </x:row>
    <x:row r="1368">
      <x:c r="A1368" s="43" t="str">
        <x:v>L2021-00030-1</x:v>
      </x:c>
      <x:c r="B1368" s="43" t="str">
        <x:v>총사업비·예산</x:v>
      </x:c>
      <x:c r="C1368" s="46" t="str">
        <x:v>집행한도</x:v>
      </x:c>
      <x:c r="D1368" s="46" t="str"/>
      <x:c r="E1368" s="46" t="str">
        <x:v>USD 892,000</x:v>
      </x:c>
      <x:c r="F1368" s="46" t="str"/>
      <x:c r="G1368" s="46" t="str">
        <x:v>L2021-00030-1/파라과이 항공교육센터 격납고_시공 입찰계획서.hwp</x:v>
      </x:c>
      <x:c r="H1368" s="43" t="str">
        <x:v>문단 37</x:v>
      </x:c>
      <x:c r="I1368" s="46" t="str">
        <x:v>나. 집행한도액 : 浥┥ USD 892,000浥%！ÿ  (VAT 제외)</x:v>
      </x:c>
      <x:c r="J1368" s="43" t="str">
        <x:v>자동추출·검토필요</x:v>
      </x:c>
    </x:row>
    <x:row r="1369">
      <x:c r="A1369" s="43" t="str">
        <x:v>L2021-00029-1</x:v>
      </x:c>
      <x:c r="B1369" s="43" t="str">
        <x:v>총사업비·예산</x:v>
      </x:c>
      <x:c r="C1369" s="46" t="str">
        <x:v>예산, 집행한도</x:v>
      </x:c>
      <x:c r="D1369" s="46" t="str">
        <x:v>1,120.30 M2 | 833.20 m2 | 287.10 m2</x:v>
      </x:c>
      <x:c r="E1369" s="46" t="str">
        <x:v>USD 953,460 | USD 929,600</x:v>
      </x:c>
      <x:c r="F1369" s="46" t="str">
        <x:v>97.5% | 0.5% | 86.745%</x:v>
      </x:c>
      <x:c r="G1369" s="46" t="str">
        <x:v>L2021-00029-1/국문 입찰계획서(Rev02).pdf</x:v>
      </x:c>
      <x:c r="H1369" s="43" t="str">
        <x:v>페이지 2</x:v>
      </x:c>
      <x:c r="I1369" s="46" t="str">
        <x:v>I. 시공업체 선정 입찰방안 - 옹벽공사, Site clearing, Paving, Gate, Fence 주차장 외 설계도서에 명기된 사항 1. 입찰 개요(입찰에 부치는 사항) - Landscape, 내.외부 Signage, Apron drain, Ramp 등 1.1. 입찰건명 : “네팔 보건 및 소득증대를 통한 통합적 농촌지역 역량간화사업“ 시공업체 - 외부 전기공사, 기계공사, 우수관로 공사 선정 현지 입찰 - 화단을 포함한 내부 조경공사 기타 관련된 공사. (The Construction of Outreach Center (ORC) for Empowering Rural Communities in Nepal through an integrated approach Health and Income growth. 1.2. 집행한도액 ○ 필요시 착공신고, 준공검사 등 시공 관련 인허가 사항 지원 1) 집행한도액: USD 953,460 (VAT 제외) ○ As-Built Drawings 및 Operation Manual (O&amp;M) 작성, 준공 후 하자보수 2) 기초금액 : USD 929,600 (VAT제외)/ 집행한도액의 97.5%적용 행정절차상 민원발생, 안전사고, 사업 참여자 및 주변인과의 분쟁 등 시공 시 3) 안전관리비 발생하는 모든 제반사항 ○ 안전관리비 비용 반영 의무 : 입찰금액의 0.5% 이상 ○ 안전관리비 사용계획서 제출 및 분기별(3개월) 정산보고 의무 ○ 제외공사(수원국 공사범위 기타) - 전기 인입공사(공사용) 부가가치세와 관련하여 KOICA는 동 입찰 및 계약에 대해 발생하는 VAT포함 그 어떠한 세 - 전화, 인터넷 인입공사(공사용) 금과 관련해서도 아무런 권한이나 책임이 없으며, 주재국의 법규에 따라 세금징수 및 환급 - 급수 및 오수라인 및 진입도로(공사용) 과 관련한 책임기관은 재무부(Ministry of Finance)이다. - 가구 및 각종 비품 * VAT는 시공사에서 선 납부 후 네팔 국세청에서 환급 1.3 계약방식 : 총액 계약방식 (Lump-sum Contract) 2. 입찰방법 및 낙찰자 선정방법 1.4 계약기간 : 계약일로부터 16개월(계약체결 후 14일이내 착공 ) 2.1 입찰방법 : (긴급)국제입찰, 일반경쟁입찰 ○ Puttar현장 공사기간 : 계약체결일로부터 16개월 ○ 긴급입찰사유 : 국가계약법 시행령 제4항 제1의2호 : ”국가의 재정정책 상 예산의 조 ○ Hind</x:v>
      </x:c>
      <x:c r="J1369" s="43" t="str">
        <x:v>자동추출·검토필요</x:v>
      </x:c>
    </x:row>
    <x:row r="1370">
      <x:c r="A1370" s="43" t="str">
        <x:v>L2021-00028-1</x:v>
      </x:c>
      <x:c r="B1370" s="43" t="str">
        <x:v>총사업비·예산</x:v>
      </x:c>
      <x:c r="C1370" s="46" t="str">
        <x:v>집행한도</x:v>
      </x:c>
      <x:c r="D1370" s="46" t="str"/>
      <x:c r="E1370" s="46" t="str">
        <x:v>XOF 18,419,333</x:v>
      </x:c>
      <x:c r="F1370" s="46" t="str"/>
      <x:c r="G1370" s="46" t="str">
        <x:v>L2021-00028-1/(붙임 1) 한코센터 추가 IT 기자재 구매 입찰계획안_국문본(210915).hwp</x:v>
      </x:c>
      <x:c r="H1370" s="43" t="str">
        <x:v>문단 50</x:v>
      </x:c>
      <x:c r="I1370" s="46" t="str">
        <x:v>ㅇ (집행한도) XOF 18,419,333</x:v>
      </x:c>
      <x:c r="J1370" s="43" t="str">
        <x:v>자동추출·검토필요</x:v>
      </x:c>
    </x:row>
    <x:row r="1371">
      <x:c r="A1371" s="43" t="str">
        <x:v>L2021-00022-1</x:v>
      </x:c>
      <x:c r="B1371" s="43" t="str">
        <x:v>총사업비·예산</x:v>
      </x:c>
      <x:c r="C1371" s="46" t="str">
        <x:v>집행한도</x:v>
      </x:c>
      <x:c r="D1371" s="46" t="str"/>
      <x:c r="E1371" s="46" t="str">
        <x:v>XOF 16,990,167</x:v>
      </x:c>
      <x:c r="F1371" s="46" t="str"/>
      <x:c r="G1371" s="46" t="str">
        <x:v>L2021-00022-1/(붙임 1) 한코센터 IT 기자재 입찰계획안_국문본(210622).hwp</x:v>
      </x:c>
      <x:c r="H1371" s="43" t="str">
        <x:v>문단 50</x:v>
      </x:c>
      <x:c r="I1371" s="46" t="str">
        <x:v>ㅇ (집행한도) XOF 16,990,167</x:v>
      </x:c>
      <x:c r="J1371" s="43" t="str">
        <x:v>자동추출·검토필요</x:v>
      </x:c>
    </x:row>
    <x:row r="1372">
      <x:c r="A1372" s="43" t="str">
        <x:v>L2021-00019-1</x:v>
      </x:c>
      <x:c r="B1372" s="43" t="str">
        <x:v>총사업비·예산</x:v>
      </x:c>
      <x:c r="C1372" s="46" t="str">
        <x:v>project budget</x:v>
      </x:c>
      <x:c r="D1372" s="46" t="str"/>
      <x:c r="E1372" s="46" t="str">
        <x:v>USD 88,900</x:v>
      </x:c>
      <x:c r="F1372" s="46" t="str"/>
      <x:c r="G1372" s="46" t="str">
        <x:v>L2021-00019-1/02 라오스_RMNCH&amp;GENDER Bid Announcement Rev03 (20210528).doc</x:v>
      </x:c>
      <x:c r="H1372" s="43" t="str">
        <x:v>문단 8</x:v>
      </x:c>
      <x:c r="I1372" s="46" t="str">
        <x:v>3. The budget for this Project is estimated as USD 88,900 (Excluding V.A.T) and Bidders’ proposals shall not exceed this budget amount. Any bid exceeding the project budget may result in rejection of its bid.</x:v>
      </x:c>
      <x:c r="J1372" s="43" t="str">
        <x:v>자동추출·검토필요</x:v>
      </x:c>
    </x:row>
    <x:row r="1373">
      <x:c r="A1373" s="43" t="str">
        <x:v>L2021-00017-1</x:v>
      </x:c>
      <x:c r="B1373" s="43" t="str">
        <x:v>총사업비·예산</x:v>
      </x:c>
      <x:c r="C1373" s="46" t="str">
        <x:v>project budget</x:v>
      </x:c>
      <x:c r="D1373" s="46" t="str"/>
      <x:c r="E1373" s="46" t="str">
        <x:v>PKR 59,331,689 | PKR 51,874,225</x:v>
      </x:c>
      <x:c r="F1373" s="46" t="str"/>
      <x:c r="G1373" s="46" t="str">
        <x:v>L2021-00017-1/Bidding Documents for Distribution AAUR PCRWR_0517/Chapter 1. Invitation for Bids_0507.docx</x:v>
      </x:c>
      <x:c r="H1373" s="43" t="str">
        <x:v>표 2 행 9</x:v>
      </x:c>
      <x:c r="I1373" s="46" t="str">
        <x:v>ᆞProject Budget (GST Included) | PKR 59,331,689 | PKR 51,874,225</x:v>
      </x:c>
      <x:c r="J1373" s="43" t="str">
        <x:v>자동추출·검토필요</x:v>
      </x:c>
    </x:row>
    <x:row r="1374">
      <x:c r="A1374" s="43" t="str">
        <x:v>L2021-00017-1</x:v>
      </x:c>
      <x:c r="B1374" s="43" t="str">
        <x:v>총사업비·예산</x:v>
      </x:c>
      <x:c r="C1374" s="46" t="str">
        <x:v>project budget</x:v>
      </x:c>
      <x:c r="D1374" s="46" t="str"/>
      <x:c r="E1374" s="46" t="str">
        <x:v>PKR 111,205,914 | PKR 111,205,914</x:v>
      </x:c>
      <x:c r="F1374" s="46" t="str"/>
      <x:c r="G1374" s="46" t="str">
        <x:v>L2021-00017-1/Bidding Documents for Distribution AAUR PCRWR_0517/Chapter 1. Invitation for Bids_0507.docx</x:v>
      </x:c>
      <x:c r="H1374" s="43" t="str">
        <x:v>표 2 행 10</x:v>
      </x:c>
      <x:c r="I1374" s="46" t="str">
        <x:v>ᆞTotal Project Budget (GST Included) | PKR 111,205,914 | PKR 111,205,914</x:v>
      </x:c>
      <x:c r="J1374" s="43" t="str">
        <x:v>자동추출·검토필요</x:v>
      </x:c>
    </x:row>
    <x:row r="1375">
      <x:c r="A1375" s="43" t="str">
        <x:v>L2021-00017-1</x:v>
      </x:c>
      <x:c r="B1375" s="43" t="str">
        <x:v>총사업비·예산</x:v>
      </x:c>
      <x:c r="C1375" s="46" t="str">
        <x:v>집행한도</x:v>
      </x:c>
      <x:c r="D1375" s="46" t="str"/>
      <x:c r="E1375" s="46" t="str">
        <x:v>PKR 111,205,914 | $ 731,618</x:v>
      </x:c>
      <x:c r="F1375" s="46" t="str"/>
      <x:c r="G1375" s="46" t="str">
        <x:v>L2021-00017-1/붙임1. 건조농대 및 수자원센터 사후지원공사 입찰계획서_0505.hwp</x:v>
      </x:c>
      <x:c r="H1375" s="43" t="str">
        <x:v>문단 36</x:v>
      </x:c>
      <x:c r="I1375" s="46" t="str">
        <x:v>1) 집행한도액: PKR 111,205,914 (약$731,618)</x:v>
      </x:c>
      <x:c r="J1375" s="43" t="str">
        <x:v>자동추출·검토필요</x:v>
      </x:c>
    </x:row>
    <x:row r="1376">
      <x:c r="A1376" s="43" t="str">
        <x:v>L2021-00017-1</x:v>
      </x:c>
      <x:c r="B1376" s="43" t="str">
        <x:v>총사업비·예산</x:v>
      </x:c>
      <x:c r="C1376" s="46" t="str">
        <x:v>집행한도</x:v>
      </x:c>
      <x:c r="D1376" s="46" t="str"/>
      <x:c r="E1376" s="46" t="str">
        <x:v>PKR 108,425,766 | $ 713,327</x:v>
      </x:c>
      <x:c r="F1376" s="46" t="str">
        <x:v>97.5%</x:v>
      </x:c>
      <x:c r="G1376" s="46" t="str">
        <x:v>L2021-00017-1/붙임1. 건조농대 및 수자원센터 사후지원공사 입찰계획서_0505.hwp</x:v>
      </x:c>
      <x:c r="H1376" s="43" t="str">
        <x:v>문단 39</x:v>
      </x:c>
      <x:c r="I1376" s="46" t="str">
        <x:v>2) 기초가격(집행한도액의 97.5%)†普 : PKR 108,425,766 (약 $713,327)</x:v>
      </x:c>
      <x:c r="J1376" s="43" t="str">
        <x:v>자동추출·검토필요</x:v>
      </x:c>
    </x:row>
    <x:row r="1377">
      <x:c r="A1377" s="43" t="str">
        <x:v>L2021-00014-1</x:v>
      </x:c>
      <x:c r="B1377" s="43" t="str">
        <x:v>총사업비·예산</x:v>
      </x:c>
      <x:c r="C1377" s="46" t="str">
        <x:v>예산</x:v>
      </x:c>
      <x:c r="D1377" s="46" t="str"/>
      <x:c r="E1377" s="46" t="str">
        <x:v>USD 5,786,000</x:v>
      </x:c>
      <x:c r="F1377" s="46" t="str"/>
      <x:c r="G1377" s="46" t="str">
        <x:v>L2021-00014-1/붙임1. 210209_기술+가격_PhilMech_설계업체 선정 입찰계획(안)_본부의견반영_Rev.02.doc</x:v>
      </x:c>
      <x:c r="H1377" s="43" t="str">
        <x:v>문단 9</x:v>
      </x:c>
      <x:c r="I1377" s="46" t="str">
        <x:v>개 요 사업명(국문) ▣ 필리핀 농기계 현대화 센터 건립 사업 * 영문명은 ‘필리핀 농업의 기계화 가속화를 위한 농기계 설계, 개발 및 제조 부분의 지역 역량강화’ 임. 사업 파악 효율성 및 속독을 위해 국문명은 위와 같이 작성함. 사업명(영문) ▣ Enhancing Local Capability to Design, Develop and Manufacture Agricultural Machineries to Accelerate Mechanization of Philippine Agriculture 대상국가 및 지역 ▣ 필리핀 누에바 에시아 주(州) Nueva Ecija, Philippines 수원기관 ▣ DA-PHilMech 사업기간/ 총 사업예산 ▣ 구분 : 신규 ▣ 기간 : 2020-2023년 ▣ 총 사업예산 : USD 5,786,000 사업유형 ▣ 프로젝트 사업분야 ▣ 농림수산 사업 목적 ▣ 필리핀 농기계 현대화 센터 구축을 통한 농기계 설계 및 제작능력 강화 ▣ 농기계 자체 제작 및 보급을 통한 농업생산성 증대 * 핵심 검토사항 PCP 및 사전타당성조사 ▣ 관계기관 PCP : (O) 사업제안기관(PHilMech) 접수 완료 ▣ 수총기관 공문 : (O) 수원총괄기관(NEDA) 승인 문서 접수 완료 ▣ 사전타당성조사 : (O) 2019년 1월 15~18일</x:v>
      </x:c>
      <x:c r="J1377" s="43" t="str">
        <x:v>자동추출·검토필요</x:v>
      </x:c>
    </x:row>
    <x:row r="1378">
      <x:c r="A1378" s="43" t="str">
        <x:v>L2021-00014-1</x:v>
      </x:c>
      <x:c r="B1378" s="43" t="str">
        <x:v>총사업비·예산</x:v>
      </x:c>
      <x:c r="C1378" s="46" t="str">
        <x:v>예산, 집행한도</x:v>
      </x:c>
      <x:c r="D1378" s="46" t="str"/>
      <x:c r="E1378" s="46" t="str">
        <x:v>USD 95,200</x:v>
      </x:c>
      <x:c r="F1378" s="46" t="str"/>
      <x:c r="G1378" s="46" t="str">
        <x:v>L2021-00014-1/붙임1. 210209_기술+가격_PhilMech_설계업체 선정 입찰계획(안)_본부의견반영_Rev.02.doc</x:v>
      </x:c>
      <x:c r="H1378" s="43" t="str">
        <x:v>문단 10</x:v>
      </x:c>
      <x:c r="I1378" s="46" t="str">
        <x:v>입찰개요 2.1 입 찰 명: 필리핀 농기계현대화센터 구축 및 역량강화 사업 건축 설계업체 선정 2.2 입찰내용 건축설계업체 선정 참가대상은 국적에 상관없이 필리핀 건축설계 면허 취득업체를 대상으로 상기 용역을 수행하기에 적법한 자격의 업체를 선정토록 함. 입찰일정은 2021년 7월까지 업체 선정과 계약완료를 목표로 함. 2.3 입찰예산 가. 집행한도액: USD 95,200(V.A.T 포함) 나. 입찰가 구분 내용 금액(US$) 비고 집행한도액 설계 용역 95,200 공개 예정가격 집행한도액 95,200 공개 1) 집행한도액 기준으로 입찰공고 함. 2) 집행한도액을 초과하여 투찰한 경우, 협상적격자 제외. 3) 부가가치세 포함 금액. * 부가가치세 환급 시, KOICA에 반납 조건 * 부가가치세와 관련하여 KOICA는 동 입찰 및 계약에 대해 발생하는 VAT포함 그 어떠한 세금과 관련한 아무런 권한이나 책임이 없으며, 주재국의 법규에 따라 세금징수 및 환급과 관련한 책임기관은 PhilMech임.</x:v>
      </x:c>
      <x:c r="J1378" s="43" t="str">
        <x:v>자동추출·검토필요</x:v>
      </x:c>
    </x:row>
    <x:row r="1379">
      <x:c r="A1379" s="43" t="str">
        <x:v>L2021-00014-1</x:v>
      </x:c>
      <x:c r="B1379" s="43" t="str">
        <x:v>총사업비·예산</x:v>
      </x:c>
      <x:c r="C1379" s="46" t="str">
        <x:v>예산</x:v>
      </x:c>
      <x:c r="D1379" s="46" t="str">
        <x:v>2,000 m2 | 2,000 ㎡</x:v>
      </x:c>
      <x:c r="E1379" s="46" t="str">
        <x:v>95,200 USD</x:v>
      </x:c>
      <x:c r="F1379" s="46" t="str"/>
      <x:c r="G1379" s="46" t="str">
        <x:v>L2021-00014-1/붙임1. 210209_기술+가격_PhilMech_설계업체 선정 입찰계획(안)_본부의견반영_Rev.02.doc</x:v>
      </x:c>
      <x:c r="H1379" s="43" t="str">
        <x:v>문단 13</x:v>
      </x:c>
      <x:c r="I1379" s="46" t="str">
        <x:v>건축개요 및 입찰범위 3.1 건축개요 구 분 내 용 용역명 필리핀 농기계현대화센터 구축 및 역량강화 사업 건축 설계용역 Design Work for the Agricultural Machineries Development Center in Nueva Ecija, Philippines 위 치 CLSU Compound, Science City of Munoz, Nueva Ecija, Philippines 대지면적 약 2,000 m2 연면적 약 2,000㎡ 건축종별 신축 건축규모 사무연구 동 및 Workshop, 2층 기간 및 예산 설계 5개월 95,200 USD 주요구조 철근콘크리트(RC, 사무연구동) + 철골조(Workshop) 분담사항 KOICA 건물 신축(설계 및 시공) PhilMech 건축부지 제공, 감리, 건축 인허가 행정 지원 지반조사, 부지정지공사, 내부보행자도로, 조경공사 각종 인프라 공급 및 연결공사(전기, 상하수, 통신, 가스)</x:v>
      </x:c>
      <x:c r="J1379" s="43" t="str">
        <x:v>자동추출·검토필요</x:v>
      </x:c>
    </x:row>
    <x:row r="1380">
      <x:c r="A1380" s="43" t="str">
        <x:v>L2021-00014-1</x:v>
      </x:c>
      <x:c r="B1380" s="43" t="str">
        <x:v>총사업비·예산</x:v>
      </x:c>
      <x:c r="C1380" s="46" t="str">
        <x:v>집행한도</x:v>
      </x:c>
      <x:c r="D1380" s="46" t="str"/>
      <x:c r="E1380" s="46" t="str">
        <x:v>USD 97,200 | USD 97,200</x:v>
      </x:c>
      <x:c r="F1380" s="46" t="str"/>
      <x:c r="G1380" s="46" t="str">
        <x:v>L2021-00014-1/붙임1. 210209_기술+가격_PhilMech_설계업체 선정 입찰계획(안)_본부의견반영_Rev.02.doc</x:v>
      </x:c>
      <x:c r="H1380" s="43" t="str">
        <x:v>문단 56</x:v>
      </x:c>
      <x:c r="I1380" s="46" t="str">
        <x:v>집행한도액 USD 97,200 USD 97,200</x:v>
      </x:c>
      <x:c r="J1380" s="43" t="str">
        <x:v>자동추출·검토필요</x:v>
      </x:c>
    </x:row>
    <x:row r="1381">
      <x:c r="A1381" s="43" t="str">
        <x:v>L2021-00014-1</x:v>
      </x:c>
      <x:c r="B1381" s="43" t="str">
        <x:v>총사업비·예산</x:v>
      </x:c>
      <x:c r="C1381" s="46" t="str">
        <x:v>project budget</x:v>
      </x:c>
      <x:c r="D1381" s="46" t="str"/>
      <x:c r="E1381" s="46" t="str">
        <x:v>92,500 USD</x:v>
      </x:c>
      <x:c r="F1381" s="46" t="str"/>
      <x:c r="G1381" s="46" t="str">
        <x:v>L2021-00014-1/붙임2. 입찰부속서류_03.30/01_Chapter 1. Invitation for Bids_Rev00.docx</x:v>
      </x:c>
      <x:c r="H1381" s="43" t="str">
        <x:v>문단 18</x:v>
      </x:c>
      <x:c r="I1381" s="46" t="str">
        <x:v>2. The available budget for this procurement assignment is 92,500 USD and Bidders’ Proposals should not exceed this budget. Any bid exceeding the project budget may result in rejection of its bid.</x:v>
      </x:c>
      <x:c r="J1381" s="43" t="str">
        <x:v>자동추출·검토필요</x:v>
      </x:c>
    </x:row>
    <x:row r="1382">
      <x:c r="A1382" s="43" t="str">
        <x:v>L2021-00014-1</x:v>
      </x:c>
      <x:c r="B1382" s="43" t="str">
        <x:v>총사업비·예산</x:v>
      </x:c>
      <x:c r="C1382" s="46" t="str">
        <x:v>project budget</x:v>
      </x:c>
      <x:c r="D1382" s="46" t="str">
        <x:v>2,000 m2</x:v>
      </x:c>
      <x:c r="E1382" s="46" t="str">
        <x:v>138,750 USD | 138,750 USD</x:v>
      </x:c>
      <x:c r="F1382" s="46" t="str">
        <x:v>10% | 90% | 100% | 10% | 90% | 200% | 150% | 150%</x:v>
      </x:c>
      <x:c r="G1382" s="46" t="str">
        <x:v>L2021-00014-1/붙임2. 입찰부속서류_03.30/Addendum 4. Bid Evaluation Criterion.doc</x:v>
      </x:c>
      <x:c r="H1382" s="43" t="str">
        <x:v>문단 3</x:v>
      </x:c>
      <x:c r="I1382" s="46" t="str">
        <x:v>Price 10% + Technical ability 90% = Total 100% Criterion Distribution (Score) Description Price (10%) 10.0 Any Bid exceeding the project budget may result in rejection of its bid. Technical Ability (90%) Financial Ability 5.4 Standard: Bank Balance(Bid Posting Day) + Last year Annual Report(Asset) Max Score: over 200% of the budget Experence-1 6.3 Standard: Design Works Total Price(2016~2020) Max Score: 138,750 USD(150% of budget) Experence-2 6.3 Standard: Design Works in Philippines+TFA Over 2,000m2, Total Price(2016~2020) Max Score: 138,750 USD(150% of budget) PM’s Presentation 18 Standard: Understanding of the Project PM’s Career Concept Design 18 Standard: Quality of the Concept(A2 Size) Proposal 18 Standard: Quality of the Proposal Manpower 18 Standard: Manpower Quality &amp; Quantity Total 100</x:v>
      </x:c>
      <x:c r="J1382" s="43" t="str">
        <x:v>자동추출·검토필요</x:v>
      </x:c>
    </x:row>
    <x:row r="1383">
      <x:c r="A1383" s="43" t="str">
        <x:v>L2021-00013-1</x:v>
      </x:c>
      <x:c r="B1383" s="43" t="str">
        <x:v>총사업비·예산</x:v>
      </x:c>
      <x:c r="C1383" s="46" t="str">
        <x:v>집행한도</x:v>
      </x:c>
      <x:c r="D1383" s="46" t="str"/>
      <x:c r="E1383" s="46" t="str">
        <x:v>264,350 USD | 150,180 USD | 114,170 USD</x:v>
      </x:c>
      <x:c r="F1383" s="46" t="str"/>
      <x:c r="G1383" s="46" t="str">
        <x:v>L2021-00013-1/첨부1. 설계 및 감리사 선정 국문입찰계획(안)(1).hwp</x:v>
      </x:c>
      <x:c r="H1383" s="43" t="str">
        <x:v>문단 48</x:v>
      </x:c>
      <x:c r="I1383" s="46" t="str">
        <x:v>1.2. - 집행한도액 : 264,350 USD (설계- 150,180USD/감리- 114,170USD)/VAT제외</x:v>
      </x:c>
      <x:c r="J1383" s="43" t="str">
        <x:v>자동추출·검토필요</x:v>
      </x:c>
    </x:row>
    <x:row r="1384">
      <x:c r="A1384" s="43" t="str">
        <x:v>L2021-00013-1</x:v>
      </x:c>
      <x:c r="B1384" s="43" t="str">
        <x:v>총사업비·예산</x:v>
      </x:c>
      <x:c r="C1384" s="46" t="str">
        <x:v>집행한도</x:v>
      </x:c>
      <x:c r="D1384" s="46" t="str"/>
      <x:c r="E1384" s="46" t="str">
        <x:v>257,741 USD</x:v>
      </x:c>
      <x:c r="F1384" s="46" t="str">
        <x:v>97.5%</x:v>
      </x:c>
      <x:c r="G1384" s="46" t="str">
        <x:v>L2021-00013-1/첨부1. 설계 및 감리사 선정 국문입찰계획(안)(1).hwp</x:v>
      </x:c>
      <x:c r="H1384" s="43" t="str">
        <x:v>문단 50</x:v>
      </x:c>
      <x:c r="I1384" s="46" t="str">
        <x:v>- 기초금액 : 257,741 USD (집행한도액의 97.5%)/ VAT제외</x:v>
      </x:c>
      <x:c r="J1384" s="43" t="str">
        <x:v>자동추출·검토필요</x:v>
      </x:c>
    </x:row>
    <x:row r="1385">
      <x:c r="A1385" s="43" t="str">
        <x:v>L2021-00013-1</x:v>
      </x:c>
      <x:c r="B1385" s="43" t="str">
        <x:v>총사업비·예산</x:v>
      </x:c>
      <x:c r="C1385" s="46" t="str">
        <x:v>예산</x:v>
      </x:c>
      <x:c r="D1385" s="46" t="str"/>
      <x:c r="E1385" s="46" t="str">
        <x:v>$ 100</x:v>
      </x:c>
      <x:c r="F1385" s="46" t="str"/>
      <x:c r="G1385" s="46" t="str">
        <x:v>L2021-00013-1/첨부1. 설계 및 감리사 선정 국문입찰계획(안)(1).hwp</x:v>
      </x:c>
      <x:c r="H1385" s="43" t="str">
        <x:v>문단 163</x:v>
      </x:c>
      <x:c r="I1385" s="46" t="str">
        <x:v>3.7 기술평가 소요예산 : $ 100/1인 x 4인(외부 평가 위원인 경우에만 해당) 및 제안서 개수</x:v>
      </x:c>
      <x:c r="J1385" s="43" t="str">
        <x:v>자동추출·검토필요</x:v>
      </x:c>
    </x:row>
    <x:row r="1386">
      <x:c r="A1386" s="43" t="str">
        <x:v>L2021-00013-1</x:v>
      </x:c>
      <x:c r="B1386" s="43" t="str">
        <x:v>총사업비·예산</x:v>
      </x:c>
      <x:c r="C1386" s="46" t="str">
        <x:v>project budget</x:v>
      </x:c>
      <x:c r="D1386" s="46" t="str"/>
      <x:c r="E1386" s="46" t="str">
        <x:v>USD 257,741</x:v>
      </x:c>
      <x:c r="F1386" s="46" t="str"/>
      <x:c r="G1386" s="46" t="str">
        <x:v>L2021-00013-1/첨부2. 설계 및 감리사 선정 영문 RFP(1).docx</x:v>
      </x:c>
      <x:c r="H1386" s="43" t="str">
        <x:v>문단 19</x:v>
      </x:c>
      <x:c r="I1386" s="46" t="str">
        <x:v>2.3. - PROJECT BUDGET [ESTIMATED AMOUNT] : USD 257,741 (Exclude VAT)</x:v>
      </x:c>
      <x:c r="J1386" s="43" t="str">
        <x:v>자동추출·검토필요</x:v>
      </x:c>
    </x:row>
    <x:row r="1387">
      <x:c r="A1387" s="43" t="str">
        <x:v>L2021-00013-1</x:v>
      </x:c>
      <x:c r="B1387" s="43" t="str">
        <x:v>총사업비·예산</x:v>
      </x:c>
      <x:c r="C1387" s="46" t="str">
        <x:v>project budget</x:v>
      </x:c>
      <x:c r="D1387" s="46" t="str"/>
      <x:c r="E1387" s="46" t="str">
        <x:v>USD 257,741</x:v>
      </x:c>
      <x:c r="F1387" s="46" t="str"/>
      <x:c r="G1387" s="46" t="str">
        <x:v>L2021-00013-1/첨부2. 설계 및 감리사 선정 영문 RFP(1).docx</x:v>
      </x:c>
      <x:c r="H1387" s="43" t="str">
        <x:v>표 5 행 3</x:v>
      </x:c>
      <x:c r="I1387" s="46" t="str">
        <x:v>PROJECT BUDGET | USD 257,741 | DESIGN+SUPERVISION /VAT Excluded</x:v>
      </x:c>
      <x:c r="J1387" s="43" t="str">
        <x:v>자동추출·검토필요</x:v>
      </x:c>
    </x:row>
    <x:row r="1388">
      <x:c r="A1388" s="43" t="str">
        <x:v>L2021-00013-1</x:v>
      </x:c>
      <x:c r="B1388" s="43" t="str">
        <x:v>총사업비·예산</x:v>
      </x:c>
      <x:c r="C1388" s="46" t="str">
        <x:v>project budget</x:v>
      </x:c>
      <x:c r="D1388" s="46" t="str"/>
      <x:c r="E1388" s="46" t="str">
        <x:v>USD 257,741</x:v>
      </x:c>
      <x:c r="F1388" s="46" t="str">
        <x:v>100% | 70% | 100% | 40% | 70% | 10% | 40% | 10%</x:v>
      </x:c>
      <x:c r="G1388" s="46" t="str">
        <x:v>L2021-00013-1/첨부2. 설계 및 감리사 선정 영문 RFP(1).docx</x:v>
      </x:c>
      <x:c r="H1388" s="43" t="str">
        <x:v>표 6 행 4</x:v>
      </x:c>
      <x:c r="I1388" s="46" t="str">
        <x:v>3. Similar Performance Record in Nepal &amp; Overseas [3 years Design of Building Project Only] | Compared with project budget ( USD 257,741) | 4.0 | 100% or more 70%~100% 40%~70% 10%~40% Less than 10% | 4.0 3.7 3.4 3.1 2.8</x:v>
      </x:c>
      <x:c r="J1388" s="43" t="str">
        <x:v>자동추출·검토필요</x:v>
      </x:c>
    </x:row>
    <x:row r="1389">
      <x:c r="A1389" s="43" t="str">
        <x:v>L2021-00012-1</x:v>
      </x:c>
      <x:c r="B1389" s="43" t="str">
        <x:v>총사업비·예산</x:v>
      </x:c>
      <x:c r="C1389" s="46" t="str">
        <x:v>project budget</x:v>
      </x:c>
      <x:c r="D1389" s="46" t="str"/>
      <x:c r="E1389" s="46" t="str">
        <x:v>PKR 32,452,320</x:v>
      </x:c>
      <x:c r="F1389" s="46" t="str"/>
      <x:c r="G1389" s="46" t="str">
        <x:v>L2021-00012-1/Bid Documents for Distribution_PKNC final/Chapter 1. Invitation for Bids_0429.docx</x:v>
      </x:c>
      <x:c r="H1389" s="43" t="str">
        <x:v>문단 25</x:v>
      </x:c>
      <x:c r="I1389" s="46" t="str">
        <x:v>The available budget for this bid is PKR 32,452,320 (including GST) and Bidders’ Proposals should not exceed this budget. Any bid exceeding the Project Budget will result in rejection of its bid.</x:v>
      </x:c>
      <x:c r="J1389" s="43" t="str">
        <x:v>자동추출·검토필요</x:v>
      </x:c>
    </x:row>
    <x:row r="1390">
      <x:c r="A1390" s="43" t="str">
        <x:v>L2021-00012-1</x:v>
      </x:c>
      <x:c r="B1390" s="43" t="str">
        <x:v>총사업비·예산</x:v>
      </x:c>
      <x:c r="C1390" s="46" t="str">
        <x:v>project budget</x:v>
      </x:c>
      <x:c r="D1390" s="46" t="str"/>
      <x:c r="E1390" s="46" t="str">
        <x:v>PKR 32,452,320 | PKR 20,282,720 | PKR 12,169,600</x:v>
      </x:c>
      <x:c r="F1390" s="46" t="str"/>
      <x:c r="G1390" s="46" t="str">
        <x:v>L2021-00012-1/Bid Documents for Distribution_PKNC final/Chapter 1. Invitation for Bids_0429.docx</x:v>
      </x:c>
      <x:c r="H1390" s="43" t="str">
        <x:v>표 1 행 4</x:v>
      </x:c>
      <x:c r="I1390" s="46" t="str">
        <x:v>• Project Budget | ∙PKR 32,452,320 (including GST) ∙ Any Bid exceeding the Project Budget will result in rejection of its bid. - Design: PKR 20,282,720 / Construction Supervision: PKR 12,169,600 ※If the Employer provides the Consultant with the tax exemption related to the Contract, the Employer will not be responsible for paying the exempt tax. If the Employer fails to provide the Consultant with the tax exemption, the Employer will pay the applicable taxes to the Consultant. ※KOICA has no authority or responsibility for any tax, including GST, incurred by such a bid and contract. The Federal Board of Revenue (FBR) is responsible for the taxation and tax exemption in accordance with the relevant laws and regulations of Pakistan.</x:v>
      </x:c>
      <x:c r="J1390" s="43" t="str">
        <x:v>자동추출·검토필요</x:v>
      </x:c>
    </x:row>
    <x:row r="1391">
      <x:c r="A1391" s="43" t="str">
        <x:v>L2021-00012-1</x:v>
      </x:c>
      <x:c r="B1391" s="43" t="str">
        <x:v>총사업비·예산</x:v>
      </x:c>
      <x:c r="C1391" s="46" t="str">
        <x:v>project budget</x:v>
      </x:c>
      <x:c r="D1391" s="46" t="str"/>
      <x:c r="E1391" s="46" t="str">
        <x:v>PKR 32,452,320 | PKR 20,282,720 | PKR 12,169,600</x:v>
      </x:c>
      <x:c r="F1391" s="46" t="str"/>
      <x:c r="G1391" s="46" t="str">
        <x:v>L2021-00012-1/Bid Documents for Distribution_PKNC final/Chapter 2. Bid Data Sheet_0429.docx</x:v>
      </x:c>
      <x:c r="H1391" s="43" t="str">
        <x:v>표 1 행 4</x:v>
      </x:c>
      <x:c r="I1391" s="46" t="str">
        <x:v>• Project Budget | ∙PKR 32,452,320(including GST) ∙Any Bid exceeding the project budget will result in rejection of its bid. - Design: PKR 20,282,720 / Construction Supervision: PKR 12,169,600 ※If the Employer provides the Consultant with the tax exemption related to the Contract, the Employer will not be responsible for paying the exempt tax. If the Employer fails to provide the Consultant with the tax exemption, the Employer will pay the applicable taxes to the Consultant. ※KOICA has no authority or responsibility for any tax, including GST, incurred by such a bid and contract. The Federal Board of Revenue (FBR) is responsible for the taxation and tax exemption in accordance with the relevant laws and regulations of Pakistan.</x:v>
      </x:c>
      <x:c r="J1391" s="43" t="str">
        <x:v>자동추출·검토필요</x:v>
      </x:c>
    </x:row>
    <x:row r="1392">
      <x:c r="A1392" s="43" t="str">
        <x:v>L2021-00004-1</x:v>
      </x:c>
      <x:c r="B1392" s="43" t="str">
        <x:v>총사업비·예산</x:v>
      </x:c>
      <x:c r="C1392" s="46" t="str">
        <x:v>project budget, total budget</x:v>
      </x:c>
      <x:c r="D1392" s="46" t="str">
        <x:v>769 M2 | 279 m2</x:v>
      </x:c>
      <x:c r="E1392" s="46" t="str">
        <x:v>USD 125,000</x:v>
      </x:c>
      <x:c r="F1392" s="46" t="str">
        <x:v>60%</x:v>
      </x:c>
      <x:c r="G1392" s="46" t="str">
        <x:v>L2021-00004-1/1. 설계 및 감리사 선정 영문 RFP.pdf</x:v>
      </x:c>
      <x:c r="H1392" s="43" t="str">
        <x:v>페이지 2</x:v>
      </x:c>
      <x:c r="I1392" s="46" t="str">
        <x:v>1. BID SUMMARY 1. SYNOPSIS Design and Construction Supervision Services of Outreach Center for BIDDING TITLE Empowering Rural Communities in Nepal through an integrated approach to Health and Income Growth Putter/Tanahun District in Province -4 and Hindi / Bhotekoshi Rural LOCATION Municipality Ward 4 (2 Places) - Putter ORC (Total Floor Area : 769M2/2 story) WORK SCALE - Hindi ORC (Total Floor Area : 279 m2/2 story) STRUCTURE Reinforced Concrete(RC) Structure 2. BIDDING TITLE : DESIGN AND CONSTRUCTION SUPERVISION SERVICES 2.1 DESIGN SERVICE 1) Architectural (including signage), Structural, Civil, Electrical, Mechanical, Sanitary, Water Supply, Communication, Firefighting and External works. 2) Survey, Drawing, Specification, BOQ, Calculation for Structure, Mechanical, Electrical and Sanitary and others, Construction Documentations and Bid Documents for the selection of Contractor. 2.2. CONSTRUCTION SUPERVISION SERVICE 2.2.1 Construction Supervision services on Site 2.3. - PROJECT BUDGET [ESTIMATED AMOUNT] : USD 125,000 (Exclude VAT) Note : The respective bid price for the Design or for the Supervision shall not exceed 60% of the total budget for bid announced by KOICA. 2.4 .CONTRA</x:v>
      </x:c>
      <x:c r="J1392" s="43" t="str">
        <x:v>자동추출·검토필요</x:v>
      </x:c>
    </x:row>
    <x:row r="1393">
      <x:c r="A1393" s="43" t="str">
        <x:v>L2021-00004-1</x:v>
      </x:c>
      <x:c r="B1393" s="43" t="str">
        <x:v>총사업비·예산</x:v>
      </x:c>
      <x:c r="C1393" s="46" t="str">
        <x:v>project budget</x:v>
      </x:c>
      <x:c r="D1393" s="46" t="str"/>
      <x:c r="E1393" s="46" t="str">
        <x:v>USD 125,000</x:v>
      </x:c>
      <x:c r="F1393" s="46" t="str">
        <x:v>20% | 15% | 30% | 30% | 40% | 3% | 30% | 85%</x:v>
      </x:c>
      <x:c r="G1393" s="46" t="str">
        <x:v>L2021-00004-1/1. 설계 및 감리사 선정 영문 RFP.pdf</x:v>
      </x:c>
      <x:c r="H1393" s="43" t="str">
        <x:v>페이지 5</x:v>
      </x:c>
      <x:c r="I1393" s="46" t="str">
        <x:v>1) Duration for Design is 6 months from the Contract Date. 2) Related Authorities consent is necessary to get within the above duration. 6. SUMMARY OF CONTRACT CONDITIONS DESCRIPTION CONDITION REMARKS TYPE OF CONTRACT Fixed Lump sum PROJECT BUDGET USD 125,000 DESIGN+SUPERVISION /VAT Excluded BID SECURITY NONE Bank Guarantee ADVANCE PAYMENT 20% (Separately –Design/Supervision) ADVANCE PAYMENT BOND Bank Guarantee PERFORMANCE BOND 15% 1) Preliminary Design Phase 30% DESIGN 2) Final Design Phase 30% INTERIM PAYMENT Method 3) BID Document Phase 40% CONSTRUCTION Bimonthly (2Months) SUPERVISION ESCALATION NONE DEFECT LIABILITY BOND 3% Period : 2 Years +60 days 1.25/ 1,000 per day/ LIQUIDATE DAMAGES Max 30% of Contract Price 7. REFUND OF VAT Nepal Government will refund to the consultant, KOICA will make a process for refund of VAT from Nepal Government according to regulations. 8. SELECTION OF SUCCESSFUL BIDDER 1) Eligible bidders are selected by conducting a TECHNICAL PROPOSAL EVALUATION, a bidder who obtains over 85points out of 100 point of technical score is qualified. any technical proposal failing under 85% points will be disqualified and their PRICE PROPOSAL will be disregarded. 2)</x:v>
      </x:c>
      <x:c r="J1393" s="43" t="str">
        <x:v>자동추출·검토필요</x:v>
      </x:c>
    </x:row>
    <x:row r="1394">
      <x:c r="A1394" s="43" t="str">
        <x:v>L2021-00004-1</x:v>
      </x:c>
      <x:c r="B1394" s="43" t="str">
        <x:v>총사업비·예산</x:v>
      </x:c>
      <x:c r="C1394" s="46" t="str">
        <x:v>total budget</x:v>
      </x:c>
      <x:c r="D1394" s="46" t="str"/>
      <x:c r="E1394" s="46" t="str">
        <x:v>USD 125,000</x:v>
      </x:c>
      <x:c r="F1394" s="46" t="str">
        <x:v>60%</x:v>
      </x:c>
      <x:c r="G1394" s="46" t="str">
        <x:v>L2021-00004-1/2. 입찰공고.docx</x:v>
      </x:c>
      <x:c r="H1394" s="43" t="str">
        <x:v>문단 13</x:v>
      </x:c>
      <x:c r="I1394" s="46" t="str">
        <x:v>1.5 Estimated Price: USD 125,000 (VAT excluded) Bidder’s proposal shall not exceed the Estimate price. The individual bid price for the Design or for the Supervision shall not exceed 60% of the total budget for bid announced by KOICA.</x:v>
      </x:c>
      <x:c r="J1394" s="43" t="str">
        <x:v>자동추출·검토필요</x:v>
      </x:c>
    </x:row>
    <x:row r="1395">
      <x:c r="A1395" s="43" t="str">
        <x:v>L2021-00004-1</x:v>
      </x:c>
      <x:c r="B1395" s="43" t="str">
        <x:v>총사업비·예산</x:v>
      </x:c>
      <x:c r="C1395" s="46" t="str">
        <x:v>project budget</x:v>
      </x:c>
      <x:c r="D1395" s="46" t="str"/>
      <x:c r="E1395" s="46" t="str">
        <x:v>USD 125,000</x:v>
      </x:c>
      <x:c r="F1395" s="46" t="str"/>
      <x:c r="G1395" s="46" t="str">
        <x:v>L2021-00004-1/3. 입찰서류 세트/05_Chapter 5. Invitation to Bid_.docx</x:v>
      </x:c>
      <x:c r="H1395" s="43" t="str">
        <x:v>문단 126</x:v>
      </x:c>
      <x:c r="I1395" s="46" t="str">
        <x:v>3. The available budget for this procurement assignment is USD 125,000 (VAT excluded) and Bidders’ Proposals should not exceed this budget. Any bid exceeding the project budget may be negotiated within the limit of budget.</x:v>
      </x:c>
      <x:c r="J1395" s="43" t="str">
        <x:v>자동추출·검토필요</x:v>
      </x:c>
    </x:row>
    <x:row r="1396">
      <x:c r="A1396" s="43" t="str">
        <x:v>L2021-00004-1</x:v>
      </x:c>
      <x:c r="B1396" s="43" t="str">
        <x:v>총사업비·예산</x:v>
      </x:c>
      <x:c r="C1396" s="46" t="str">
        <x:v>total budget</x:v>
      </x:c>
      <x:c r="D1396" s="46" t="str"/>
      <x:c r="E1396" s="46" t="str">
        <x:v>USD 125,000</x:v>
      </x:c>
      <x:c r="F1396" s="46" t="str">
        <x:v>60%</x:v>
      </x:c>
      <x:c r="G1396" s="46" t="str">
        <x:v>L2021-00004-1/3. 입찰서류 세트/Attachment4.BID ANNOUNCEMENT.docx</x:v>
      </x:c>
      <x:c r="H1396" s="43" t="str">
        <x:v>문단 13</x:v>
      </x:c>
      <x:c r="I1396" s="46" t="str">
        <x:v>1.5 Estimated Price: USD 125,000 (VAT excluded) Bidder’s proposal shall not exceed the Estimate price. The individual bid price for the Design or for the Supervision shall not exceed 60% of the total budget for bid announced by KOICA.</x:v>
      </x:c>
      <x:c r="J1396" s="43" t="str">
        <x:v>자동추출·검토필요</x:v>
      </x:c>
    </x:row>
    <x:row r="1397">
      <x:c r="A1397" s="43" t="str">
        <x:v>L2025-00106-1</x:v>
      </x:c>
      <x:c r="B1397" s="43" t="str">
        <x:v>부가세·예비비</x:v>
      </x:c>
      <x:c r="C1397" s="46" t="str">
        <x:v>vat</x:v>
      </x:c>
      <x:c r="D1397" s="46" t="str"/>
      <x:c r="E1397" s="46" t="str">
        <x:v>USD 13,000</x:v>
      </x:c>
      <x:c r="F1397" s="46" t="str"/>
      <x:c r="G1397" s="46" t="str">
        <x:v>L2025-00106-1/실험실 Control office_최종/Control office_최종/ITB to Bid for Controll office_CM.docx</x:v>
      </x:c>
      <x:c r="H1397" s="43" t="str">
        <x:v>문단 18</x:v>
      </x:c>
      <x:c r="I1397" s="46" t="str">
        <x:v>Estimated Price : USD 13,000 (exclusive of VAT)</x:v>
      </x:c>
      <x:c r="J1397" s="43" t="str">
        <x:v>자동추출·검토필요</x:v>
      </x:c>
    </x:row>
    <x:row r="1398">
      <x:c r="A1398" s="43" t="str">
        <x:v>L2025-00106-1</x:v>
      </x:c>
      <x:c r="B1398" s="43" t="str">
        <x:v>부가세·예비비</x:v>
      </x:c>
      <x:c r="C1398" s="46" t="str">
        <x:v>vat</x:v>
      </x:c>
      <x:c r="D1398" s="46" t="str">
        <x:v>1,737 m²</x:v>
      </x:c>
      <x:c r="E1398" s="46" t="str"/>
      <x:c r="F1398" s="46" t="str"/>
      <x:c r="G1398" s="46" t="str">
        <x:v>L2025-00106-1/실험실 Control office_최종/Control office_최종/RFP for Controll office_CM_clean.docx</x:v>
      </x:c>
      <x:c r="H1398" s="43" t="str">
        <x:v>문단 19</x:v>
      </x:c>
      <x:c r="I1398" s="46" t="str">
        <x:v>The works focus on renovation and functional upgrade of three existing buildings (approx. 1,737 m² total):</x:v>
      </x:c>
      <x:c r="J1398" s="43" t="str">
        <x:v>자동추출·검토필요</x:v>
      </x:c>
    </x:row>
    <x:row r="1399">
      <x:c r="A1399" s="43" t="str">
        <x:v>L2025-00099-1</x:v>
      </x:c>
      <x:c r="B1399" s="43" t="str">
        <x:v>부가세·예비비</x:v>
      </x:c>
      <x:c r="C1399" s="46" t="str">
        <x:v>vat, tax</x:v>
      </x:c>
      <x:c r="D1399" s="46" t="str"/>
      <x:c r="E1399" s="46" t="str">
        <x:v>USD 200,000 | USD 200,000</x:v>
      </x:c>
      <x:c r="F1399" s="46" t="str"/>
      <x:c r="G1399" s="46" t="str">
        <x:v>L2025-00099-1/KG-2025-11/KG-2025-11/Section 2 - Bid Data Sheet (영문)_WaSH.docx</x:v>
      </x:c>
      <x:c r="H1399" s="43" t="str">
        <x:v>표 4 행 14</x:v>
      </x:c>
      <x:c r="I1399" s="46" t="str">
        <x:v>․ Project Budget | USD 200,000 (Be exclusive of VAT and other applicable indirect taxes) | USD 200,000 (Be exclusive of VAT and other applicable indirect taxes)</x:v>
      </x:c>
      <x:c r="J1399" s="43" t="str">
        <x:v>자동추출·검토필요</x:v>
      </x:c>
    </x:row>
    <x:row r="1400">
      <x:c r="A1400" s="43" t="str">
        <x:v>L2025-00099-1</x:v>
      </x:c>
      <x:c r="B1400" s="43" t="str">
        <x:v>부가세·예비비</x:v>
      </x:c>
      <x:c r="C1400" s="46" t="str">
        <x:v>vat, tax</x:v>
      </x:c>
      <x:c r="D1400" s="46" t="str"/>
      <x:c r="E1400" s="46" t="str">
        <x:v>USD 193,648 | USD 193,648</x:v>
      </x:c>
      <x:c r="F1400" s="46" t="str"/>
      <x:c r="G1400" s="46" t="str">
        <x:v>L2025-00099-1/KG-2025-11/KG-2025-11/Section 2 - Bid Data Sheet (영문)_WaSH.docx</x:v>
      </x:c>
      <x:c r="H1400" s="43" t="str">
        <x:v>표 4 행 15</x:v>
      </x:c>
      <x:c r="I1400" s="46" t="str">
        <x:v>․ Projected Estimated Price | USD 193,648 (Be exclusive of VAT and other applicable indirect taxes) | USD 193,648 (Be exclusive of VAT and other applicable indirect taxes)</x:v>
      </x:c>
      <x:c r="J1400" s="43" t="str">
        <x:v>자동추출·검토필요</x:v>
      </x:c>
    </x:row>
    <x:row r="1401">
      <x:c r="A1401" s="43" t="str">
        <x:v>L2025-00099-1</x:v>
      </x:c>
      <x:c r="B1401" s="43" t="str">
        <x:v>부가세·예비비</x:v>
      </x:c>
      <x:c r="C1401" s="46" t="str">
        <x:v>vat, tax</x:v>
      </x:c>
      <x:c r="D1401" s="46" t="str"/>
      <x:c r="E1401" s="46" t="str">
        <x:v>USD 200,000 | USD 200,000</x:v>
      </x:c>
      <x:c r="F1401" s="46" t="str"/>
      <x:c r="G1401" s="46" t="str">
        <x:v>L2025-00099-1/KG-2025-11/KG-2025-11/Section 4_5_6 -Requirements_WaSH.docx</x:v>
      </x:c>
      <x:c r="H1401" s="43" t="str">
        <x:v>표 3 행 23</x:v>
      </x:c>
      <x:c r="I1401" s="46" t="str">
        <x:v>- Project Budget | USD 200,000 (Be exclusive of VAT and other applicable indirect taxes) | USD 200,000 (Be exclusive of VAT and other applicable indirect taxes)</x:v>
      </x:c>
      <x:c r="J1401" s="43" t="str">
        <x:v>자동추출·검토필요</x:v>
      </x:c>
    </x:row>
    <x:row r="1402">
      <x:c r="A1402" s="43" t="str">
        <x:v>L2025-00099-1</x:v>
      </x:c>
      <x:c r="B1402" s="43" t="str">
        <x:v>부가세·예비비</x:v>
      </x:c>
      <x:c r="C1402" s="46" t="str">
        <x:v>reserve</x:v>
      </x:c>
      <x:c r="D1402" s="46" t="str"/>
      <x:c r="E1402" s="46" t="str"/>
      <x:c r="F1402" s="46" t="str">
        <x:v>5% | 0.5 % | 5% | 0.5 %</x:v>
      </x:c>
      <x:c r="G1402" s="46" t="str">
        <x:v>L2025-00099-1/KG-2025-11/KG-2025-11/Section 4_5_6 -Requirements_WaSH.docx</x:v>
      </x:c>
      <x:c r="H1402" s="43" t="str">
        <x:v>표 3 행 24</x:v>
      </x:c>
      <x:c r="I1402" s="46" t="str">
        <x:v>- Others | The item below shall be added in the contract bid price which shall not be paid without the Employer’s approval. * Reserve for unforeseen work and expenses (5% of the construction cost) *The safety management cost (0.5 % of the construction cost) | The item below shall be added in the contract bid price which shall not be paid without the Employer’s approval. * Reserve for unforeseen work and expenses (5% of the construction cost) *The safety management cost (0.5 % of the construction cost)</x:v>
      </x:c>
      <x:c r="J1402" s="43" t="str">
        <x:v>자동추출·검토필요</x:v>
      </x:c>
    </x:row>
    <x:row r="1403">
      <x:c r="A1403" s="43" t="str">
        <x:v>L2025-00099-1</x:v>
      </x:c>
      <x:c r="B1403" s="43" t="str">
        <x:v>부가세·예비비</x:v>
      </x:c>
      <x:c r="C1403" s="46" t="str">
        <x:v>reserve</x:v>
      </x:c>
      <x:c r="D1403" s="46" t="str"/>
      <x:c r="E1403" s="46" t="str"/>
      <x:c r="F1403" s="46" t="str">
        <x:v>0.5%</x:v>
      </x:c>
      <x:c r="G1403" s="46" t="str">
        <x:v>L2025-00099-1/KG-2025-11/KG-2025-11/Section 7 - General Conditions of Contract_WaSH.docx</x:v>
      </x:c>
      <x:c r="H1403" s="43" t="str">
        <x:v>표 4 행 109</x:v>
      </x:c>
      <x:c r="I1403"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403" s="43" t="str">
        <x:v>자동추출·검토필요</x:v>
      </x:c>
    </x:row>
    <x:row r="1404">
      <x:c r="A1404" s="43" t="str">
        <x:v>L2025-00099-1</x:v>
      </x:c>
      <x:c r="B1404" s="43" t="str">
        <x:v>부가세·예비비</x:v>
      </x:c>
      <x:c r="C1404" s="46" t="str">
        <x:v>reserve</x:v>
      </x:c>
      <x:c r="D1404" s="46" t="str"/>
      <x:c r="E1404" s="46" t="str"/>
      <x:c r="F1404" s="46" t="str">
        <x:v>50% | 50%</x:v>
      </x:c>
      <x:c r="G1404" s="46" t="str">
        <x:v>L2025-00099-1/KG-2025-11/KG-2025-11/Section 7 - General Conditions of Contract_WaSH.docx</x:v>
      </x:c>
      <x:c r="H1404" s="43" t="str">
        <x:v>표 12 행 61</x:v>
      </x:c>
      <x:c r="I1404"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404" s="43" t="str">
        <x:v>자동추출·검토필요</x:v>
      </x:c>
    </x:row>
    <x:row r="1405">
      <x:c r="A1405" s="43" t="str">
        <x:v>L2025-00099-1</x:v>
      </x:c>
      <x:c r="B1405" s="43" t="str">
        <x:v>부가세·예비비</x:v>
      </x:c>
      <x:c r="C1405" s="46" t="str">
        <x:v>reserve</x:v>
      </x:c>
      <x:c r="D1405" s="46" t="str"/>
      <x:c r="E1405" s="46" t="str"/>
      <x:c r="F1405" s="46" t="str">
        <x:v>3%</x:v>
      </x:c>
      <x:c r="G1405" s="46" t="str">
        <x:v>L2025-00099-1/KG-2025-11/KG-2025-11/Section 8 Special_Conditions_of_Contract_WaSH.docx</x:v>
      </x:c>
      <x:c r="H1405" s="43" t="str">
        <x:v>표 3 행 18</x:v>
      </x:c>
      <x:c r="I1405" s="46" t="str">
        <x:v>Security Deposit for Defects | To reserve 3% of the Contract Price, or to provide the Maintenance Security Bond for Defects as a form attached hereto, valid no less than 60 days from the date of Defect Notification Period expires.</x:v>
      </x:c>
      <x:c r="J1405" s="43" t="str">
        <x:v>자동추출·검토필요</x:v>
      </x:c>
    </x:row>
    <x:row r="1406">
      <x:c r="A1406" s="43" t="str">
        <x:v>L2025-00099-1</x:v>
      </x:c>
      <x:c r="B1406" s="43" t="str">
        <x:v>부가세·예비비</x:v>
      </x:c>
      <x:c r="C1406" s="46" t="str">
        <x:v>예비비</x:v>
      </x:c>
      <x:c r="D1406" s="46" t="str"/>
      <x:c r="E1406" s="46" t="str"/>
      <x:c r="F1406" s="46" t="str">
        <x:v>5%</x:v>
      </x:c>
      <x:c r="G1406" s="46" t="str">
        <x:v>L2025-00099-1/붙임 1. (국문) 입찰추진계획(안).hwp</x:v>
      </x:c>
      <x:c r="H1406" s="43" t="str">
        <x:v>문단 204</x:v>
      </x:c>
      <x:c r="I1406" s="46" t="str">
        <x:v>ㅇ 예비비: 총 시공비의 5%, 예기치 않은 항목 발생 시 발주자 지시 또는 사전 서면 승인 하에 집행 가능</x:v>
      </x:c>
      <x:c r="J1406" s="43" t="str">
        <x:v>자동추출·검토필요</x:v>
      </x:c>
    </x:row>
    <x:row r="1407">
      <x:c r="A1407" s="43" t="str">
        <x:v>L2025-00097-1</x:v>
      </x:c>
      <x:c r="B1407" s="43" t="str">
        <x:v>부가세·예비비</x:v>
      </x:c>
      <x:c r="C1407" s="46" t="str">
        <x:v>contingency</x:v>
      </x:c>
      <x:c r="D1407" s="46" t="str"/>
      <x:c r="E1407" s="46" t="str"/>
      <x:c r="F1407" s="46" t="str">
        <x:v>5%</x:v>
      </x:c>
      <x:c r="G1407" s="46" t="str">
        <x:v>L2025-00097-1/붙임1. 공고내역 (KG-2025-10)/ENG - final/Section 2 - Bid Data Sheet (BDS).docx</x:v>
      </x:c>
      <x:c r="H1407" s="43" t="str">
        <x:v>문단 89</x:v>
      </x:c>
      <x:c r="I1407" s="46" t="str">
        <x:v>- Contingency cost shall be fixed at 5% of the total service value and shall be spent after the approval of KOICA.</x:v>
      </x:c>
      <x:c r="J1407" s="43" t="str">
        <x:v>자동추출·검토필요</x:v>
      </x:c>
    </x:row>
    <x:row r="1408">
      <x:c r="A1408" s="43" t="str">
        <x:v>L2025-00097-1</x:v>
      </x:c>
      <x:c r="B1408" s="43" t="str">
        <x:v>부가세·예비비</x:v>
      </x:c>
      <x:c r="C1408" s="46" t="str">
        <x:v>tax</x:v>
      </x:c>
      <x:c r="D1408" s="46" t="str"/>
      <x:c r="E1408" s="46" t="str">
        <x:v>USD 110,763 | USD 99,600, | USD 11,163 | USD 110,763 | USD 99,600, | USD 11,163</x:v>
      </x:c>
      <x:c r="F1408" s="46" t="str">
        <x:v>90% | 10% | 90% | 10%</x:v>
      </x:c>
      <x:c r="G1408" s="46" t="str">
        <x:v>L2025-00097-1/붙임1. 공고내역 (KG-2025-10)/ENG - final/Section 2 - Bid Data Sheet (BDS).docx</x:v>
      </x:c>
      <x:c r="H1408" s="43" t="str">
        <x:v>표 5 행 5</x:v>
      </x:c>
      <x:c r="I1408" s="46" t="str">
        <x:v>․ Bid Limit | USD 110,763 (Excluding value-added taxes and other fees) - Design(Approx.90%): USD99,600, - Author’s Supervision(Approx.10%): USD11,163 ※During bidding and contract signing, the design fee and author’s supervision fee shall be specified separately. | USD 110,763 (Excluding value-added taxes and other fees) - Design(Approx.90%): USD99,600, - Author’s Supervision(Approx.10%): USD11,163 ※During bidding and contract signing, the design fee and author’s supervision fee shall be specified separately.</x:v>
      </x:c>
      <x:c r="J1408" s="43" t="str">
        <x:v>자동추출·검토필요</x:v>
      </x:c>
    </x:row>
    <x:row r="1409">
      <x:c r="A1409" s="43" t="str">
        <x:v>L2025-00097-1</x:v>
      </x:c>
      <x:c r="B1409" s="43" t="str">
        <x:v>부가세·예비비</x:v>
      </x:c>
      <x:c r="C1409" s="46" t="str">
        <x:v>vat</x:v>
      </x:c>
      <x:c r="D1409" s="46" t="str"/>
      <x:c r="E1409" s="46" t="str"/>
      <x:c r="F1409" s="46" t="str">
        <x:v>90%</x:v>
      </x:c>
      <x:c r="G1409" s="46" t="str">
        <x:v>L2025-00097-1/붙임1. 공고내역 (KG-2025-10)/ENG - final/Section 2 - Bid Data Sheet (BDS).docx</x:v>
      </x:c>
      <x:c r="H1409" s="43" t="str">
        <x:v>표 8 행 6</x:v>
      </x:c>
      <x:c r="I1409" s="46" t="str">
        <x:v>Qualitative (90%) | Technical | &lt;Design proposal and Action plan&gt; -The quality and creativity of architectural design proposals (including building layouts, floor plans, elevation plans, floor plans of mechanical and telecommunication rooms, and a list of building finishes) -Adequacy of design work execution plan | 30</x:v>
      </x:c>
      <x:c r="J1409" s="43" t="str">
        <x:v>자동추출·검토필요</x:v>
      </x:c>
    </x:row>
    <x:row r="1410">
      <x:c r="A1410" s="43" t="str">
        <x:v>L2025-00097-1</x:v>
      </x:c>
      <x:c r="B1410" s="43" t="str">
        <x:v>부가세·예비비</x:v>
      </x:c>
      <x:c r="C1410" s="46" t="str">
        <x:v>vat, tax</x:v>
      </x:c>
      <x:c r="D1410" s="46" t="str"/>
      <x:c r="E1410" s="46" t="str"/>
      <x:c r="F1410" s="46" t="str">
        <x:v>90% | 10%</x:v>
      </x:c>
      <x:c r="G1410" s="46" t="str">
        <x:v>L2025-00097-1/붙임1. 공고내역 (KG-2025-10)/ENG - final/Section 2 - Bid Data Sheet (BDS).docx</x:v>
      </x:c>
      <x:c r="H1410" s="43" t="str">
        <x:v>표 13 행 4</x:v>
      </x:c>
      <x:c r="I1410" s="46" t="str">
        <x:v>Contract Price (USD, VAT excluded) | Total Contract Price: USD -Design(90%): USD -Author Supervision(10%): USD Exclusive of VAT, tax and duties.</x:v>
      </x:c>
      <x:c r="J1410" s="43" t="str">
        <x:v>자동추출·검토필요</x:v>
      </x:c>
    </x:row>
    <x:row r="1411">
      <x:c r="A1411" s="43" t="str">
        <x:v>L2025-00094-1</x:v>
      </x:c>
      <x:c r="B1411" s="43" t="str">
        <x:v>부가세·예비비</x:v>
      </x:c>
      <x:c r="C1411" s="46" t="str">
        <x:v>contingency</x:v>
      </x:c>
      <x:c r="D1411" s="46" t="str"/>
      <x:c r="E1411" s="46" t="str"/>
      <x:c r="F1411" s="46" t="str">
        <x:v>5%</x:v>
      </x:c>
      <x:c r="G1411" s="46" t="str">
        <x:v>L2025-00094-1/ReBidding Documents (Guimaras_Design) 1022v2/ReBidding Documents (Guimaras_Design) 1022/Section 2 - Bid Data Sheet (BDS)_20251020v5.docx</x:v>
      </x:c>
      <x:c r="H1411" s="43" t="str">
        <x:v>문단 111</x:v>
      </x:c>
      <x:c r="I1411" s="46" t="str">
        <x:v>- Contingency cost shall be fixed at 5% of the total service value and shall be spent after the approval of KOICA.</x:v>
      </x:c>
      <x:c r="J1411" s="43" t="str">
        <x:v>자동추출·검토필요</x:v>
      </x:c>
    </x:row>
    <x:row r="1412">
      <x:c r="A1412" s="43" t="str">
        <x:v>L2025-00094-1</x:v>
      </x:c>
      <x:c r="B1412" s="43" t="str">
        <x:v>부가세·예비비</x:v>
      </x:c>
      <x:c r="C1412" s="46" t="str">
        <x:v>tax</x:v>
      </x:c>
      <x:c r="D1412" s="46" t="str"/>
      <x:c r="E1412" s="46" t="str">
        <x:v>USD 153,695 | USD 153,695</x:v>
      </x:c>
      <x:c r="F1412" s="46" t="str"/>
      <x:c r="G1412" s="46" t="str">
        <x:v>L2025-00094-1/ReBidding Documents (Guimaras_Design) 1022v2/ReBidding Documents (Guimaras_Design) 1022/Section 2 - Bid Data Sheet (BDS)_20251020v5.docx</x:v>
      </x:c>
      <x:c r="H1412" s="43" t="str">
        <x:v>표 4 행 5</x:v>
      </x:c>
      <x:c r="I1412" s="46" t="str">
        <x:v>∙ Bid Limit | Design Fee: USD153,695 (Including value-added taxes and other applicable fees, permit fees from relevant authorities) | Design Fee: USD153,695 (Including value-added taxes and other applicable fees, permit fees from relevant authorities)</x:v>
      </x:c>
      <x:c r="J1412" s="43" t="str">
        <x:v>자동추출·검토필요</x:v>
      </x:c>
    </x:row>
    <x:row r="1413">
      <x:c r="A1413" s="43" t="str">
        <x:v>L2025-00094-1</x:v>
      </x:c>
      <x:c r="B1413" s="43" t="str">
        <x:v>부가세·예비비</x:v>
      </x:c>
      <x:c r="C1413" s="46" t="str">
        <x:v>vat, tax</x:v>
      </x:c>
      <x:c r="D1413" s="46" t="str"/>
      <x:c r="E1413" s="46" t="str">
        <x:v>$ 000,000 | $ 000,000 | $ 000,000 | $ 000,000 | $ 000,000 | $ 000,000 | $ 000,000 | $ 000,000</x:v>
      </x:c>
      <x:c r="F1413" s="46" t="str"/>
      <x:c r="G1413" s="46" t="str">
        <x:v>L2025-00094-1/ReBidding Documents (Guimaras_Design) 1022v2/ReBidding Documents (Guimaras_Design) 1022/Section 3 - Bidding Forms_251020.docx</x:v>
      </x:c>
      <x:c r="H1413" s="43" t="str">
        <x:v>표 4 행 6</x:v>
      </x:c>
      <x:c r="I1413" s="46" t="str">
        <x:v>VAT and other taxes | VAT and other taxes | [numbers] U$ 000,000 [words] _________________________ | [numbers] U$ 000,000 [words] _________________________ | [numbers] U$ 000,000 [words] _________________________ | [numbers] U$ 000,000 [words] _________________________ | [numbers] U$ 000,000 [words] _________________________ | [numbers] U$ 000,000 [words] _________________________ | [numbers] U$ 000,000 [words] _________________________ | [numbers] U$ 000,000 [words] _________________________</x:v>
      </x:c>
      <x:c r="J1413" s="43" t="str">
        <x:v>자동추출·검토필요</x:v>
      </x:c>
    </x:row>
    <x:row r="1414">
      <x:c r="A1414" s="43" t="str">
        <x:v>L2025-00087-1</x:v>
      </x:c>
      <x:c r="B1414" s="43" t="str">
        <x:v>부가세·예비비</x:v>
      </x:c>
      <x:c r="C1414" s="46" t="str">
        <x:v>vat, tax</x:v>
      </x:c>
      <x:c r="D1414" s="46" t="str"/>
      <x:c r="E1414" s="46" t="str">
        <x:v>USD 2,336,848</x:v>
      </x:c>
      <x:c r="F1414" s="46" t="str"/>
      <x:c r="G1414" s="46" t="str">
        <x:v>L2025-00087-1/01. Invitation for Bids_Summary of Bidding.docx</x:v>
      </x:c>
      <x:c r="H1414" s="43" t="str">
        <x:v>표 2 행 4</x:v>
      </x:c>
      <x:c r="I1414" s="46" t="str">
        <x:v>․ Estimated Budget | USD 2,336,848 (Be exclusive of VAT and other applicable indirect taxes)</x:v>
      </x:c>
      <x:c r="J1414" s="43" t="str">
        <x:v>자동추출·검토필요</x:v>
      </x:c>
    </x:row>
    <x:row r="1415">
      <x:c r="A1415" s="43" t="str">
        <x:v>L2025-00085-1</x:v>
      </x:c>
      <x:c r="B1415" s="43" t="str">
        <x:v>부가세·예비비</x:v>
      </x:c>
      <x:c r="C1415" s="46" t="str">
        <x:v>vat</x:v>
      </x:c>
      <x:c r="D1415" s="46" t="str"/>
      <x:c r="E1415" s="46" t="str">
        <x:v>USD 13,292,831</x:v>
      </x:c>
      <x:c r="F1415" s="46" t="str"/>
      <x:c r="G1415" s="46" t="str">
        <x:v>L2025-00085-1/붙임2. 현지입찰(신규입찰) 서류 및 계약서류(안)/★Summary of Bidding _공고용 최종.docx</x:v>
      </x:c>
      <x:c r="H1415" s="43" t="str">
        <x:v>표 2 행 4</x:v>
      </x:c>
      <x:c r="I1415" s="46" t="str">
        <x:v>․ Project Budget | USD 13,292,831 (VAT not included, various indirect cost included.)</x:v>
      </x:c>
      <x:c r="J1415" s="43" t="str">
        <x:v>자동추출·검토필요</x:v>
      </x:c>
    </x:row>
    <x:row r="1416">
      <x:c r="A1416" s="43" t="str">
        <x:v>L2025-00085-1</x:v>
      </x:c>
      <x:c r="B1416" s="43" t="str">
        <x:v>부가세·예비비</x:v>
      </x:c>
      <x:c r="C1416" s="46" t="str">
        <x:v>vat</x:v>
      </x:c>
      <x:c r="D1416" s="46" t="str"/>
      <x:c r="E1416" s="46" t="str">
        <x:v>USD 13,292,831 | USD 3,823,207 2 | USD 4,652,490 3 | USD 4,817,134 | USD 13,292,831 | USD 3,823,207 2 | USD 4,652,490 3 | USD 4,817,134</x:v>
      </x:c>
      <x:c r="F1416" s="46" t="str"/>
      <x:c r="G1416" s="46" t="str">
        <x:v>L2025-00085-1/붙임2. 현지입찰(신규입찰) 서류 및 계약서류(안)/IKHCC Section 2 - Bid Data Sheet (ITB) (English)  250930 final★.docx</x:v>
      </x:c>
      <x:c r="H1416" s="43" t="str">
        <x:v>표 2 행 13</x:v>
      </x:c>
      <x:c r="I1416" s="46" t="str">
        <x:v>․ Bid maximum limit price. | USD 13,292,831(Excluding VAT.) 1st year : USD 3,823,207 2nd year : USD 4,652,490 3rd year: USD 4,817,134 | USD 13,292,831(Excluding VAT.) 1st year : USD 3,823,207 2nd year : USD 4,652,490 3rd year: USD 4,817,134</x:v>
      </x:c>
      <x:c r="J1416" s="43" t="str">
        <x:v>자동추출·검토필요</x:v>
      </x:c>
    </x:row>
    <x:row r="1417">
      <x:c r="A1417" s="43" t="str">
        <x:v>L2025-00085-1</x:v>
      </x:c>
      <x:c r="B1417" s="43" t="str">
        <x:v>부가세·예비비</x:v>
      </x:c>
      <x:c r="C1417" s="46" t="str">
        <x:v>vat</x:v>
      </x:c>
      <x:c r="D1417" s="46" t="str"/>
      <x:c r="E1417" s="46" t="str">
        <x:v>USD 12,960,510 | USD 12,960,510</x:v>
      </x:c>
      <x:c r="F1417" s="46" t="str"/>
      <x:c r="G1417" s="46" t="str">
        <x:v>L2025-00085-1/붙임2. 현지입찰(신규입찰) 서류 및 계약서류(안)/IKHCC Section 2 - Bid Data Sheet (ITB) (English)  250930 final★.docx</x:v>
      </x:c>
      <x:c r="H1417" s="43" t="str">
        <x:v>표 2 행 14</x:v>
      </x:c>
      <x:c r="I1417" s="46" t="str">
        <x:v>․ Estimated budget (Basic price) | USD 12,960,510 (Excluding VAT.) | USD 12,960,510 (Excluding VAT.)</x:v>
      </x:c>
      <x:c r="J1417" s="43" t="str">
        <x:v>자동추출·검토필요</x:v>
      </x:c>
    </x:row>
    <x:row r="1418">
      <x:c r="A1418" s="43" t="str">
        <x:v>L2025-00085-1</x:v>
      </x:c>
      <x:c r="B1418" s="43" t="str">
        <x:v>부가세·예비비</x:v>
      </x:c>
      <x:c r="C1418" s="46" t="str">
        <x:v>reserve</x:v>
      </x:c>
      <x:c r="D1418" s="46" t="str"/>
      <x:c r="E1418" s="46" t="str"/>
      <x:c r="F1418" s="46" t="str">
        <x:v>0.5%</x:v>
      </x:c>
      <x:c r="G1418" s="46" t="str">
        <x:v>L2025-00085-1/붙임2. 현지입찰(신규입찰) 서류 및 계약서류(안)/IKHCC Section 7,8 - contract conditions - General &amp; Special conditions. of contract 250903.docx</x:v>
      </x:c>
      <x:c r="H1418" s="43" t="str">
        <x:v>표 4 행 109</x:v>
      </x:c>
      <x:c r="I1418"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418" s="43" t="str">
        <x:v>자동추출·검토필요</x:v>
      </x:c>
    </x:row>
    <x:row r="1419">
      <x:c r="A1419" s="43" t="str">
        <x:v>L2025-00085-1</x:v>
      </x:c>
      <x:c r="B1419" s="43" t="str">
        <x:v>부가세·예비비</x:v>
      </x:c>
      <x:c r="C1419" s="46" t="str">
        <x:v>reserve</x:v>
      </x:c>
      <x:c r="D1419" s="46" t="str"/>
      <x:c r="E1419" s="46" t="str"/>
      <x:c r="F1419" s="46" t="str">
        <x:v>50% | 50%</x:v>
      </x:c>
      <x:c r="G1419" s="46" t="str">
        <x:v>L2025-00085-1/붙임2. 현지입찰(신규입찰) 서류 및 계약서류(안)/IKHCC Section 7,8 - contract conditions - General &amp; Special conditions. of contract 250903.docx</x:v>
      </x:c>
      <x:c r="H1419" s="43" t="str">
        <x:v>표 12 행 61</x:v>
      </x:c>
      <x:c r="I1419"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419" s="43" t="str">
        <x:v>자동추출·검토필요</x:v>
      </x:c>
    </x:row>
    <x:row r="1420">
      <x:c r="A1420" s="43" t="str">
        <x:v>L2025-00084-1</x:v>
      </x:c>
      <x:c r="B1420" s="43" t="str">
        <x:v>부가세·예비비</x:v>
      </x:c>
      <x:c r="C1420" s="46" t="str">
        <x:v>vat, tax</x:v>
      </x:c>
      <x:c r="D1420" s="46" t="str"/>
      <x:c r="E1420" s="46" t="str">
        <x:v>USD 4,383,000 | USD 4,383,000</x:v>
      </x:c>
      <x:c r="F1420" s="46" t="str"/>
      <x:c r="G1420" s="46" t="str">
        <x:v>L2025-00084-1/Section 2 - Bid Data Sheet (EN)_vr8.docx</x:v>
      </x:c>
      <x:c r="H1420" s="43" t="str">
        <x:v>표 4 행 13</x:v>
      </x:c>
      <x:c r="I1420" s="46" t="str">
        <x:v>․ Project Budget | USD 4,383,000 (Be exclusive of VAT and other applicable indirect taxes) | USD 4,383,000 (Be exclusive of VAT and other applicable indirect taxes)</x:v>
      </x:c>
      <x:c r="J1420" s="43" t="str">
        <x:v>자동추출·검토필요</x:v>
      </x:c>
    </x:row>
    <x:row r="1421">
      <x:c r="A1421" s="43" t="str">
        <x:v>L2025-00084-1</x:v>
      </x:c>
      <x:c r="B1421" s="43" t="str">
        <x:v>부가세·예비비</x:v>
      </x:c>
      <x:c r="C1421" s="46" t="str">
        <x:v>vat, tax</x:v>
      </x:c>
      <x:c r="D1421" s="46" t="str"/>
      <x:c r="E1421" s="46" t="str">
        <x:v>USD 4,273,000 | USD 4,273,000</x:v>
      </x:c>
      <x:c r="F1421" s="46" t="str"/>
      <x:c r="G1421" s="46" t="str">
        <x:v>L2025-00084-1/Section 2 - Bid Data Sheet (EN)_vr8.docx</x:v>
      </x:c>
      <x:c r="H1421" s="43" t="str">
        <x:v>표 4 행 14</x:v>
      </x:c>
      <x:c r="I1421" s="46" t="str">
        <x:v>․ Base Price | USD 4,273,000 (Be exclusive of VAT and other applicable indirect taxes) | USD 4,273,000 (Be exclusive of VAT and other applicable indirect taxes)</x:v>
      </x:c>
      <x:c r="J1421" s="43" t="str">
        <x:v>자동추출·검토필요</x:v>
      </x:c>
    </x:row>
    <x:row r="1422">
      <x:c r="A1422" s="43" t="str">
        <x:v>L2025-00084-1</x:v>
      </x:c>
      <x:c r="B1422" s="43" t="str">
        <x:v>부가세·예비비</x:v>
      </x:c>
      <x:c r="C1422" s="46" t="str">
        <x:v>vat, tax</x:v>
      </x:c>
      <x:c r="D1422" s="46" t="str"/>
      <x:c r="E1422" s="46" t="str">
        <x:v>USD 1,000,000</x:v>
      </x:c>
      <x:c r="F1422" s="46" t="str"/>
      <x:c r="G1422" s="46" t="str">
        <x:v>L2025-00084-1/Section 2 - Bid Data Sheet (EN)_vr8.docx</x:v>
      </x:c>
      <x:c r="H1422" s="43" t="str">
        <x:v>표 6 행 6</x:v>
      </x:c>
      <x:c r="I1422" s="46" t="str">
        <x:v>(e) one set of documents evidencing the applicant’s eligibility to participate in the Bid - Latest/valid Certificate of Incorporation - Copy of Valid Trading License (Construction Works) by Municipal Authority - Latest/valid PPDA Registration Certificate - Latest/valid URA Register/VAT Registration Certificate - Tax Clearance Certificate - Construction Experience (form 4) - Performance Certificate of at least one (1) same character project of not less than USD 1,000,000 in the past ten years (2016.09.29-2025.09.28)</x:v>
      </x:c>
      <x:c r="J1422" s="43" t="str">
        <x:v>자동추출·검토필요</x:v>
      </x:c>
    </x:row>
    <x:row r="1423">
      <x:c r="A1423" s="43" t="str">
        <x:v>L2025-00078-1</x:v>
      </x:c>
      <x:c r="B1423" s="43" t="str">
        <x:v>부가세·예비비</x:v>
      </x:c>
      <x:c r="C1423" s="46" t="str">
        <x:v>vat</x:v>
      </x:c>
      <x:c r="D1423" s="46" t="str"/>
      <x:c r="E1423" s="46" t="str"/>
      <x:c r="F1423" s="46" t="str">
        <x:v>13% | 3%</x:v>
      </x:c>
      <x:c r="G1423" s="46" t="str">
        <x:v>L2025-00078-1/1. 국문 입찰계획서.hwp</x:v>
      </x:c>
      <x:c r="H1423" s="43" t="str">
        <x:v>문단 79</x:v>
      </x:c>
      <x:c r="I1423" s="46" t="str">
        <x:v>마. 집행한도액: 1,572,000.00 bs (VAT 13% 거래세 3% 등 제비용 포함)</x:v>
      </x:c>
      <x:c r="J1423" s="43" t="str">
        <x:v>자동추출·검토필요</x:v>
      </x:c>
    </x:row>
    <x:row r="1424">
      <x:c r="A1424" s="43" t="str">
        <x:v>L2025-00078-1</x:v>
      </x:c>
      <x:c r="B1424" s="43" t="str">
        <x:v>부가세·예비비</x:v>
      </x:c>
      <x:c r="C1424" s="46" t="str">
        <x:v>vat, tax</x:v>
      </x:c>
      <x:c r="D1424" s="46" t="str"/>
      <x:c r="E1424" s="46" t="str"/>
      <x:c r="F1424" s="46" t="str">
        <x:v>13% | 3%</x:v>
      </x:c>
      <x:c r="G1424" s="46" t="str">
        <x:v>L2025-00078-1/2. (BDS)영문 입찰계획서.docx</x:v>
      </x:c>
      <x:c r="H1424" s="43" t="str">
        <x:v>문단 28</x:v>
      </x:c>
      <x:c r="I1424" s="46" t="str">
        <x:v>5) Bid limit: 1,572,000 bs (including VAT 13% + transaction tax 3% and other expenses)</x:v>
      </x:c>
      <x:c r="J1424" s="43" t="str">
        <x:v>자동추출·검토필요</x:v>
      </x:c>
    </x:row>
    <x:row r="1425">
      <x:c r="A1425" s="43" t="str">
        <x:v>L2025-00078-1</x:v>
      </x:c>
      <x:c r="B1425" s="43" t="str">
        <x:v>부가세·예비비</x:v>
      </x:c>
      <x:c r="C1425" s="46" t="str">
        <x:v>reserve</x:v>
      </x:c>
      <x:c r="D1425" s="46" t="str"/>
      <x:c r="E1425" s="46" t="str"/>
      <x:c r="F1425" s="46" t="str">
        <x:v>30% | 3%</x:v>
      </x:c>
      <x:c r="G1425" s="46" t="str">
        <x:v>L2025-00078-1/2. (BDS)영문 입찰계획서.docx</x:v>
      </x:c>
      <x:c r="H1425" s="43" t="str">
        <x:v>표 9 행 8</x:v>
      </x:c>
      <x:c r="I1425" s="46" t="str">
        <x:v>Payments | 1. Basic design: 30% of the contract amount - After KOICA approval of the basic design, 3% of the reserve and the down payment will be paid after deducting them according to the ratio</x:v>
      </x:c>
      <x:c r="J1425" s="43" t="str">
        <x:v>자동추출·검토필요</x:v>
      </x:c>
    </x:row>
    <x:row r="1426">
      <x:c r="A1426" s="43" t="str">
        <x:v>L2025-00078-1</x:v>
      </x:c>
      <x:c r="B1426" s="43" t="str">
        <x:v>부가세·예비비</x:v>
      </x:c>
      <x:c r="C1426" s="46" t="str">
        <x:v>reserve</x:v>
      </x:c>
      <x:c r="D1426" s="46" t="str"/>
      <x:c r="E1426" s="46" t="str"/>
      <x:c r="F1426" s="46" t="str">
        <x:v>90% | 40% | 90% | 3%</x:v>
      </x:c>
      <x:c r="G1426" s="46" t="str">
        <x:v>L2025-00078-1/2. (BDS)영문 입찰계획서.docx</x:v>
      </x:c>
      <x:c r="H1426" s="43" t="str">
        <x:v>표 9 행 9</x:v>
      </x:c>
      <x:c r="I1426" s="46" t="str">
        <x:v>Payments | 2. Detailed design 90%: 40% of the contract amount - After 90% approval of the detailed design, 3% of the reserve and the down payment will be paid after deducting them according to the ratio</x:v>
      </x:c>
      <x:c r="J1426" s="43" t="str">
        <x:v>자동추출·검토필요</x:v>
      </x:c>
    </x:row>
    <x:row r="1427">
      <x:c r="A1427" s="43" t="str">
        <x:v>L2025-00078-1</x:v>
      </x:c>
      <x:c r="B1427" s="43" t="str">
        <x:v>부가세·예비비</x:v>
      </x:c>
      <x:c r="C1427" s="46" t="str">
        <x:v>reserve</x:v>
      </x:c>
      <x:c r="D1427" s="46" t="str"/>
      <x:c r="E1427" s="46" t="str"/>
      <x:c r="F1427" s="46" t="str">
        <x:v>100% | 30% | 100% | 3%</x:v>
      </x:c>
      <x:c r="G1427" s="46" t="str">
        <x:v>L2025-00078-1/2. (BDS)영문 입찰계획서.docx</x:v>
      </x:c>
      <x:c r="H1427" s="43" t="str">
        <x:v>표 9 행 10</x:v>
      </x:c>
      <x:c r="I1427" s="46" t="str">
        <x:v>Payments | 3. Detailed design 100%: 30% of the contract amount - After 100% approval of the detailed design, 3% of the reserve and the down payment will be paid after deducting them according to the ratio</x:v>
      </x:c>
      <x:c r="J1427" s="43" t="str">
        <x:v>자동추출·검토필요</x:v>
      </x:c>
    </x:row>
    <x:row r="1428">
      <x:c r="A1428" s="43" t="str">
        <x:v>L2025-00075-1</x:v>
      </x:c>
      <x:c r="B1428" s="43" t="str">
        <x:v>부가세·예비비</x:v>
      </x:c>
      <x:c r="C1428" s="46" t="str">
        <x:v>contingency</x:v>
      </x:c>
      <x:c r="D1428" s="46" t="str"/>
      <x:c r="E1428" s="46" t="str"/>
      <x:c r="F1428" s="46" t="str">
        <x:v>5%</x:v>
      </x:c>
      <x:c r="G1428" s="46" t="str">
        <x:v>L2025-00075-1/Section 2 - Bid Data Sheet (BDS)_20250913_fin.docx</x:v>
      </x:c>
      <x:c r="H1428" s="43" t="str">
        <x:v>문단 117</x:v>
      </x:c>
      <x:c r="I1428" s="46" t="str">
        <x:v>- Contingency cost shall be fixed at 5% of the total service value and shall be spent after the approval of KOICA.</x:v>
      </x:c>
      <x:c r="J1428" s="43" t="str">
        <x:v>자동추출·검토필요</x:v>
      </x:c>
    </x:row>
    <x:row r="1429">
      <x:c r="A1429" s="43" t="str">
        <x:v>L2025-00075-1</x:v>
      </x:c>
      <x:c r="B1429" s="43" t="str">
        <x:v>부가세·예비비</x:v>
      </x:c>
      <x:c r="C1429" s="46" t="str">
        <x:v>tax</x:v>
      </x:c>
      <x:c r="D1429" s="46" t="str"/>
      <x:c r="E1429" s="46" t="str">
        <x:v>USD 153,695 | USD 153,695</x:v>
      </x:c>
      <x:c r="F1429" s="46" t="str"/>
      <x:c r="G1429" s="46" t="str">
        <x:v>L2025-00075-1/Section 2 - Bid Data Sheet (BDS)_20250913_fin.docx</x:v>
      </x:c>
      <x:c r="H1429" s="43" t="str">
        <x:v>표 4 행 5</x:v>
      </x:c>
      <x:c r="I1429" s="46" t="str">
        <x:v>∙ Bid Limit | Design Fee: USD153,695 (Including value-added tax and other applicable fees, permit fees from relevant authorities) | Design Fee: USD153,695 (Including value-added tax and other applicable fees, permit fees from relevant authorities)</x:v>
      </x:c>
      <x:c r="J1429" s="43" t="str">
        <x:v>자동추출·검토필요</x:v>
      </x:c>
    </x:row>
    <x:row r="1430">
      <x:c r="A1430" s="43" t="str">
        <x:v>L2025-00075-1</x:v>
      </x:c>
      <x:c r="B1430" s="43" t="str">
        <x:v>부가세·예비비</x:v>
      </x:c>
      <x:c r="C1430" s="46" t="str">
        <x:v>vat, tax</x:v>
      </x:c>
      <x:c r="D1430" s="46" t="str"/>
      <x:c r="E1430" s="46" t="str">
        <x:v>$ 000,000 | $ 000,000 | $ 000,000 | $ 000,000 | $ 000,000 | $ 000,000 | $ 000,000 | $ 000,000</x:v>
      </x:c>
      <x:c r="F1430" s="46" t="str"/>
      <x:c r="G1430" s="46" t="str">
        <x:v>L2025-00075-1/Section 3 - Bidding Forms_fin.docx</x:v>
      </x:c>
      <x:c r="H1430" s="43" t="str">
        <x:v>표 4 행 6</x:v>
      </x:c>
      <x:c r="I1430" s="46" t="str">
        <x:v>VAT and other taxes | VAT and other taxes | [numbers] U$ 000,000 [words] _________________________ | [numbers] U$ 000,000 [words] _________________________ | [numbers] U$ 000,000 [words] _________________________ | [numbers] U$ 000,000 [words] _________________________ | [numbers] U$ 000,000 [words] _________________________ | [numbers] U$ 000,000 [words] _________________________ | [numbers] U$ 000,000 [words] _________________________ | [numbers] U$ 000,000 [words] _________________________</x:v>
      </x:c>
      <x:c r="J1430" s="43" t="str">
        <x:v>자동추출·검토필요</x:v>
      </x:c>
    </x:row>
    <x:row r="1431">
      <x:c r="A1431" s="43" t="str">
        <x:v>L2025-00075-1</x:v>
      </x:c>
      <x:c r="B1431" s="43" t="str">
        <x:v>부가세·예비비</x:v>
      </x:c>
      <x:c r="C1431" s="46" t="str">
        <x:v>tax</x:v>
      </x:c>
      <x:c r="D1431" s="46" t="str"/>
      <x:c r="E1431" s="46" t="str">
        <x:v>USD 153,695</x:v>
      </x:c>
      <x:c r="F1431" s="46" t="str"/>
      <x:c r="G1431" s="46" t="str">
        <x:v>L2025-00075-1/Summary of Bidding_Invitation to Bid_250913.docx</x:v>
      </x:c>
      <x:c r="H1431" s="43" t="str">
        <x:v>표 2 행 4</x:v>
      </x:c>
      <x:c r="I1431" s="46" t="str">
        <x:v>․ Project Budget | ▪ Design Fee : USD 153,695 (Including value-added taxes, other fees and permit from Authorities)</x:v>
      </x:c>
      <x:c r="J1431" s="43" t="str">
        <x:v>자동추출·검토필요</x:v>
      </x:c>
    </x:row>
    <x:row r="1432">
      <x:c r="A1432" s="43" t="str">
        <x:v>L2025-00073-1</x:v>
      </x:c>
      <x:c r="B1432" s="43" t="str">
        <x:v>부가세·예비비</x:v>
      </x:c>
      <x:c r="C1432" s="46" t="str">
        <x:v>부가가치세, vat, tax</x:v>
      </x:c>
      <x:c r="D1432" s="46" t="str"/>
      <x:c r="E1432" s="46" t="str">
        <x:v>USD 1,000,000</x:v>
      </x:c>
      <x:c r="F1432" s="46" t="str">
        <x:v>79.995%</x:v>
      </x:c>
      <x:c r="G1432" s="46" t="str">
        <x:v>L2025-00073-1/(붙임1) 입찰공고문(국문).pdf</x:v>
      </x:c>
      <x:c r="H1432" s="43" t="str">
        <x:v>페이지 6</x:v>
      </x:c>
      <x:c r="I1432" s="46" t="str">
        <x:v>ㅇ 통화 : USD ㅇ 부가세관련 유의사항 : 부가가치세와 관련하여 KOICA는 동 입찰 및 계약에 대해 발생하는 VAT 포함 그 어떠한 세금과 관련해서도 아무런 권한이나 책임이 없으며, 주재국의 법규에 따라 세금납부 및 환급과 관련한 책임은 낙찰자에게 있다. ※ BoQ의 가격 계산과 관련하여 입찰자가 BoQ의 가격을 계산할 때 모든 단가에 대한 VAT 또는 세금을 제외한다. 2. 입찰방법 및 낙찰자 선정방법 가. 입찰방법 : 국제입찰, 일반경쟁입찰 나. 낙찰자결정방법 : 적격심사 낙찰제 ㅇ 예정가격 이하, 낙찰하한율(79.995%) 이상 투찰자 중 최저가격으로 입찰한 자의 순으로 계약이행능력(이행실적, 기술능력, 재무상태 등)을 심사하여 적격점수 (92점) 이상인 자를 선정한다. ㅇ 계약이행능력심사는 “현지입찰 시공자 선정 적격심사지침”에 따라 평가한다. 3. 입찰 참가 자격 가. 입찰 참가신청서를 적기에 제출하고 입찰적격자로 통보된 자 나. 설립지 국내법에 따른 설립의 적법성 ㅇ 각 업체별 해당 설립 국가 내 적법한 사업자등록증 및 건설업등록증, 납세증명서 등 설립지의 국내법에 따른 자격조건 충족(입찰참가신청 마감일 기준) ㅇ (한국업체의 경우) 해외건설 촉진법 제6조에 따라 (종합건설업-건축공사업)(나 라장터 업종코드:4915)을 신고하여야 함(입찰참가신청 마감일 기준) 다. 사업대상지에서 사업을 수행할 수 있는 사업 자격 ㅇ 캄보디아 내 건설공사 수행업 가능 자격에 대한 증빙 제출 업체(입찰참가신청 마감일 기준) 1) 사업자등록증 (Business Registration) 2) 건설관련면허증 (Business Operating License for Construction) 3) 납세증명서 (Tax Payment Certificate, 2025) 라. 입찰공고일 기준 최근 10년 이내 준공된 USD 1,000,000 이상의 의료시설 관련 공사 실적을 최소 1건 이상 보유한 업체 ㅇ 의료시설 관련 건물공사에 포함되는 실적은 종합병원, 전문병원, 보건소, 의과대 - 3 -</x:v>
      </x:c>
      <x:c r="J1432" s="43" t="str">
        <x:v>자동추출·검토필요</x:v>
      </x:c>
    </x:row>
    <x:row r="1433">
      <x:c r="A1433" s="43" t="str">
        <x:v>L2025-00073-1</x:v>
      </x:c>
      <x:c r="B1433" s="43" t="str">
        <x:v>부가세·예비비</x:v>
      </x:c>
      <x:c r="C1433" s="46" t="str">
        <x:v>tax</x:v>
      </x:c>
      <x:c r="D1433" s="46" t="str"/>
      <x:c r="E1433" s="46" t="str">
        <x:v>USD 1,000,000</x:v>
      </x:c>
      <x:c r="F1433" s="46" t="str"/>
      <x:c r="G1433" s="46" t="str">
        <x:v>L2025-00073-1/(붙임1) 입찰공고문(국문).pdf</x:v>
      </x:c>
      <x:c r="H1433" s="43" t="str">
        <x:v>페이지 9</x:v>
      </x:c>
      <x:c r="I1433" s="46" t="str">
        <x:v>- 2025년도 납세증명서(Tax Payment Certificate) 또는 면세확인서 ⑤ 유사사업 수행실적(입찰서식4) - 입찰공고일 기준 최근 10년 이내(2015.1.1.~ 2025.입찰 공고일까지) 준공 된 USD1,000,000 이상의 의료시설 관련 공사 실적 (최소 1건 이상 제출, 원 도급 실적 이외의 모든 하도급 실적은 인정하지 않는다.) - 실적증명서(입찰서식4), 계약서, 금융거래내역서, 준공확인서 ⑥ 입찰참가 자격서류 제출내역 자가점검표 ※ 모든 서류는 영문으로 제출해야 하며, 영어 외 언어인 경우 영문 공증본 함께 제출 ※ 제출되는 서류가 사본일 경우 원본대조필을 확인·날인하여 제출한다. ※ 신청서 모든 페이지는 대표자 또는 대리인이 이니셜 서명한다. ※ 전자우편 제출 업체 중 사전심사를 통과한 업체는 입찰서 제출 시 입찰참가 신청서 원본을 별도로 제출한다. ※ 모든 서류는 아래와 같은 순서대로 제출하고, 각 장별 구분이 가능하도록 한다. 제출목록 ① 입찰참가 신청서 제출 서류 목록표 ② 입찰참가 신청서(입찰서식1) ③ 입찰참가자 정보(입찰서식2) ④ (필요시) 대리인 위임장 회사 설립지 국내법에 따른 설립의 적법성 증빙서류 ⑤ - 사업자등록증, 건설업등록증, 납세증명서, (해당시) 해외건설업 신고 확인증 사업대상지 공사수행 관련 사업자격 충족 증빙서류 ⑥ - 사업자등록증, 건설관련면허증, 납세증명서 또는 면세확인서 (입찰참가신청 마감일 기준) 유사사업 수행실적(입찰서식4) ⑦ - 계약서, 실적증명서, 기성/준공금 입금내역서(계좌거래내역서)를 모두 제출 나. 입찰 참가 자격 사전심사 결과 통보 : 2025.9.17.(수) ㅇ 본 입찰에는 입찰 참가 자격 사전심사(Pass or Fail)를 통과하여 KOICA로부터 입찰 적격 통지서를 받은 자만 참여 가능하다. ㅇ 입찰서류는 입찰 참가 자격 사전심사를 통과한 입찰자에게 예정대로 통보 및 배포한다. 다. 입찰 설명회 및 입찰서류 배포 ㅇ 일시: 2025.9.18.(목) 14:00 ㅇ 장소: KOICA 캄보디아 사무소 - 6 -</x:v>
      </x:c>
      <x:c r="J1433" s="43" t="str">
        <x:v>자동추출·검토필요</x:v>
      </x:c>
    </x:row>
    <x:row r="1434">
      <x:c r="A1434" s="43" t="str">
        <x:v>L2025-00073-1</x:v>
      </x:c>
      <x:c r="B1434" s="43" t="str">
        <x:v>부가세·예비비</x:v>
      </x:c>
      <x:c r="C1434" s="46" t="str">
        <x:v>예비비</x:v>
      </x:c>
      <x:c r="D1434" s="46" t="str"/>
      <x:c r="E1434" s="46" t="str"/>
      <x:c r="F1434" s="46" t="str">
        <x:v>0.5% | 5% | 5% | 2.5%</x:v>
      </x:c>
      <x:c r="G1434" s="46" t="str">
        <x:v>L2025-00073-1/(붙임1) 입찰공고문(국문).pdf</x:v>
      </x:c>
      <x:c r="H1434" s="43" t="str">
        <x:v>페이지 11</x:v>
      </x:c>
      <x:c r="I1434" s="46" t="str">
        <x:v>ㅇ 가격입찰서는 입찰서식3에 작성하고 서명하여 제출한다. ㅇ 내역입찰로 입찰서에 산출내역서를 첨부한다.(공내역서는 입찰서류에 제공) ㅇ 안전관리비 계상 대상 공사 - 총공사비 중 예비비 제외 금액의 0.5% 이상을 고정투찰 - KOICA 건설공사 안전관리 업무 매뉴얼에 따라 사후정산 ㅇ 예비비 반영 대상 공사 - 전체 공사비의 5%를 고정투찰하며, 사전에 발주자의 승인을 받은 후 집행 ② 입찰에 관한 서류 제출 : 3부(원본 1부, 사본 2부) + 스캔본 USB 1개 ※ 원본제출 / 입찰에 제출되는 서류가 사본일 경우 원본대조필을 확인‧날인하여 제출 ※ 모든 서류는 영문으로 제출해야 하며, 영어 외 언어인 경우 영문 공증본 함께 제출 ※ 모든 서류는 아래와 같은 순서대로 제출하고, 각 장별 구분이 가능하도록 함 ※ 입찰서 표지에 원본 또는 사본 명시 ※ 적격심사서류 중 기술제안은 별권 제출 * 페이지 명기, 이니셜 불가, A3 가로양식, 표지 제외 15페이지 이내 * 표지는 별도 제공양식(입찰서식12)을 사용하며 변형 불가 * 업체명 또는 업체의 국적을 인지할 수 있는 표현 불가 제출목록 ① 입찰서 제출서류 목록표 ② 회사 소개서(입찰서식2) 입찰보증금(입찰서식9) ③ - 입찰금액의 5%(은행지급보증서, 취소불능신용장, 현금, 보증수표 등) 서명의 진위를 확인할 수 있는 서류 (본인서명사실확인서) ④ 대리인 위임장 : 입찰서 제출자가 입찰 회사의 대표가 아닌 경우 위임장 제출 - (대표자인 경우) 신분증 지참, (대표자가 아닌 경우) 신분증 + 위임장 국제기구 부적격자 관련 서약서(입찰서식6), ODA 사업 참여 반부패 서약서(입찰서식7), ⑤ 청렴서약서(입찰서식8) 적격심사서류 ⑥ - 시공경험(입찰서식4), 경영상태(입찰서식5), 하도급계획서(입찰서식11), 참여인력(입찰 서식4), 기술제안(별권 제출) 기타 입찰공고에서 요구하는 서류 등 ⑦ - 입찰적격자 통지서 ⑧ 가격입찰서/밀봉 별권제출(입찰서식3), 산출내역서 사. 예정가격 (예정가격 결정방법) ㅇ 일시 : 2025.10.20.(월) 16:00 ㅇ 기초금액의 ±2.5% 범위 내에서 서로 다른 15개의 복수예비가격을 작성하여 봉함 ㅇ 개찰 시 참여업체(입찰자) 중 희망하는 4개의 업체(추첨자)를 선정하여 1개씩 추첨 ㅇ 추첨된 복수예비가격 4개를 산술 평균하여 이를 예정가격으로 확정 - 8 -</x:v>
      </x:c>
      <x:c r="J1434" s="43" t="str">
        <x:v>자동추출·검토필요</x:v>
      </x:c>
    </x:row>
    <x:row r="1435">
      <x:c r="A1435" s="43" t="str">
        <x:v>L2025-00073-1</x:v>
      </x:c>
      <x:c r="B1435" s="43" t="str">
        <x:v>부가세·예비비</x:v>
      </x:c>
      <x:c r="C1435" s="46" t="str">
        <x:v>예비비</x:v>
      </x:c>
      <x:c r="D1435" s="46" t="str"/>
      <x:c r="E1435" s="46" t="str"/>
      <x:c r="F1435" s="46" t="str">
        <x:v>15% | 30% | 5% | 0.5% | 30% | 3%</x:v>
      </x:c>
      <x:c r="G1435" s="46" t="str">
        <x:v>L2025-00073-1/(붙임1) 입찰공고문(국문).pdf</x:v>
      </x:c>
      <x:c r="H1435" s="43" t="str">
        <x:v>페이지 19</x:v>
      </x:c>
      <x:c r="I1435" s="46" t="str">
        <x:v>[붙임2] 주요계약조건 주요계약조건 KOICA Cambodia Office (Unit 1201, 12th Floor, "Exchange Square", Building Nos.19 발주자의 상호/성명 및 주소 and 20, Street 106, Sangkat Wat Phnom, Khan Daun Penh, Phnom Penh, Cambodia) CM/감리의 상호/성명 (CM) Mr. CW Jin, HAEAHN Architecture 준공기한 착공일로부터 26개월 하자통지기간 2년 (하자보증보험 포함) - 캄보디아 현지법 준거법 - (한국업체의 경우) 국내법 계약 언어 영어 교신 언어 (보고서 및 도면) 영어 계약 및 지급통화 USD 계약이행보증 계약 금액의 15%에 대한 은행 보증 지체상금률 지체일 하루 당 계약금액의 1,000분의 0.5 지체상금 상한 최종 계약금액의 30% 기성지급조건 매 2개월마다 공정률에 따라 예비비 총공사비의 5% 고정 투찰. 사전에 발주자의 승인을 받은 후 집행 안전관리비 예비비 제외 총공사비의 0.5% 이상 고정 투찰 물가변동 반영 해당 없음 계약금액의 0∼30% 선급금 총액(낙찰 계약금액 비율) - 계약이행보증 및 선급금보증 제출 수령조건 선급금보증기간 선급금지급전∼계약종료후 60일 이상 보증금액 : 계약금액의 3% 하자보수보증 - 준공확인 일자에 제출 공사손해보험 가입(캄보디아 현지 기준에 따름) 공사보험 - CAR=Contractor’s All Risk - 16 -</x:v>
      </x:c>
      <x:c r="J1435" s="43" t="str">
        <x:v>자동추출·검토필요</x:v>
      </x:c>
    </x:row>
    <x:row r="1436">
      <x:c r="A1436" s="43" t="str">
        <x:v>L2025-00073-1</x:v>
      </x:c>
      <x:c r="B1436" s="43" t="str">
        <x:v>부가세·예비비</x:v>
      </x:c>
      <x:c r="C1436" s="46" t="str">
        <x:v>vat</x:v>
      </x:c>
      <x:c r="D1436" s="46" t="str"/>
      <x:c r="E1436" s="46" t="str">
        <x:v>USD 11,277,000 | USD 11,277,000</x:v>
      </x:c>
      <x:c r="F1436" s="46" t="str"/>
      <x:c r="G1436" s="46" t="str">
        <x:v>L2025-00073-1/(붙임2) 입찰서류(영문)_도면, 시방서, 프로젝트리포트 제외/Section 2_Bid Data Sheet(BDS).docx</x:v>
      </x:c>
      <x:c r="H1436" s="43" t="str">
        <x:v>표 3 행 13</x:v>
      </x:c>
      <x:c r="I1436" s="46" t="str">
        <x:v>F. Project Budget | USD 11,277,000 (Exclusive of VAT) | USD 11,277,000 (Exclusive of VAT)</x:v>
      </x:c>
      <x:c r="J1436" s="43" t="str">
        <x:v>자동추출·검토필요</x:v>
      </x:c>
    </x:row>
    <x:row r="1437">
      <x:c r="A1437" s="43" t="str">
        <x:v>L2025-00073-1</x:v>
      </x:c>
      <x:c r="B1437" s="43" t="str">
        <x:v>부가세·예비비</x:v>
      </x:c>
      <x:c r="C1437" s="46" t="str">
        <x:v>vat</x:v>
      </x:c>
      <x:c r="D1437" s="46" t="str"/>
      <x:c r="E1437" s="46" t="str">
        <x:v>USD 10,995,000 | USD 10,995,000</x:v>
      </x:c>
      <x:c r="F1437" s="46" t="str"/>
      <x:c r="G1437" s="46" t="str">
        <x:v>L2025-00073-1/(붙임2) 입찰서류(영문)_도면, 시방서, 프로젝트리포트 제외/Section 2_Bid Data Sheet(BDS).docx</x:v>
      </x:c>
      <x:c r="H1437" s="43" t="str">
        <x:v>표 3 행 14</x:v>
      </x:c>
      <x:c r="I1437" s="46" t="str">
        <x:v>- Project Estimate Price | USD 10,995,000 (Exclusive of VAT) | USD 10,995,000 (Exclusive of VAT)</x:v>
      </x:c>
      <x:c r="J1437" s="43" t="str">
        <x:v>자동추출·검토필요</x:v>
      </x:c>
    </x:row>
    <x:row r="1438">
      <x:c r="A1438" s="43" t="str">
        <x:v>L2025-00073-1</x:v>
      </x:c>
      <x:c r="B1438" s="43" t="str">
        <x:v>부가세·예비비</x:v>
      </x:c>
      <x:c r="C1438" s="46" t="str">
        <x:v>contingency</x:v>
      </x:c>
      <x:c r="D1438" s="46" t="str"/>
      <x:c r="E1438" s="46" t="str"/>
      <x:c r="F1438" s="46" t="str">
        <x:v>5%</x:v>
      </x:c>
      <x:c r="G1438" s="46" t="str">
        <x:v>L2025-00073-1/(붙임2) 입찰서류(영문)_도면, 시방서, 프로젝트리포트 제외/Section 2_Bid Data Sheet(BDS).docx</x:v>
      </x:c>
      <x:c r="H1438" s="43" t="str">
        <x:v>표 13 행 13</x:v>
      </x:c>
      <x:c r="I1438" s="46" t="str">
        <x:v>Contingency | Fixed rate of 5% of total construction cost. Prior approval of the Employer need for Contingency use</x:v>
      </x:c>
      <x:c r="J1438" s="43" t="str">
        <x:v>자동추출·검토필요</x:v>
      </x:c>
    </x:row>
    <x:row r="1439">
      <x:c r="A1439" s="43" t="str">
        <x:v>L2025-00073-1</x:v>
      </x:c>
      <x:c r="B1439" s="43" t="str">
        <x:v>부가세·예비비</x:v>
      </x:c>
      <x:c r="C1439" s="46" t="str">
        <x:v>contingency</x:v>
      </x:c>
      <x:c r="D1439" s="46" t="str"/>
      <x:c r="E1439" s="46" t="str"/>
      <x:c r="F1439" s="46" t="str">
        <x:v>0.5%</x:v>
      </x:c>
      <x:c r="G1439" s="46" t="str">
        <x:v>L2025-00073-1/(붙임2) 입찰서류(영문)_도면, 시방서, 프로젝트리포트 제외/Section 2_Bid Data Sheet(BDS).docx</x:v>
      </x:c>
      <x:c r="H1439" s="43" t="str">
        <x:v>표 13 행 14</x:v>
      </x:c>
      <x:c r="I1439" s="46" t="str">
        <x:v>Safety Management Cost | Fixed rate of 0.5% of total construction cost excluding contingency</x:v>
      </x:c>
      <x:c r="J1439" s="43" t="str">
        <x:v>자동추출·검토필요</x:v>
      </x:c>
    </x:row>
    <x:row r="1440">
      <x:c r="A1440" s="43" t="str">
        <x:v>L2025-00073-1</x:v>
      </x:c>
      <x:c r="B1440" s="43" t="str">
        <x:v>부가세·예비비</x:v>
      </x:c>
      <x:c r="C1440" s="46" t="str">
        <x:v>vat</x:v>
      </x:c>
      <x:c r="D1440" s="46" t="str"/>
      <x:c r="E1440" s="46" t="str">
        <x:v>$ 74</x:v>
      </x:c>
      <x:c r="F1440" s="46" t="str"/>
      <x:c r="G1440" s="46" t="str">
        <x:v>L2025-00073-1/(붙임2) 입찰서류(영문)_도면, 시방서, 프로젝트리포트 제외/Section 4_BLANK BOQ.xlsx</x:v>
      </x:c>
      <x:c r="H1440" s="43" t="str">
        <x:v>Bill 3.1!81</x:v>
      </x:c>
      <x:c r="I1440" s="46" t="str">
        <x:v>A81==A80+1 | C81==+IF(F81&lt;&gt;0,MAX($C$74:C80)+1,0) | E81=Excavation for pile cap, ground beam, ground slab, ready for structure work | F81=m3 | G81=13820 | H81= | I81= | J81==SUM(H81:I81) | K81==+ROUND(G81*J81,2)</x:v>
      </x:c>
      <x:c r="J1440" s="43" t="str">
        <x:v>자동추출·검토필요</x:v>
      </x:c>
    </x:row>
    <x:row r="1441">
      <x:c r="A1441" s="43" t="str">
        <x:v>L2025-00073-1</x:v>
      </x:c>
      <x:c r="B1441" s="43" t="str">
        <x:v>부가세·예비비</x:v>
      </x:c>
      <x:c r="C1441" s="46" t="str">
        <x:v>vat</x:v>
      </x:c>
      <x:c r="D1441" s="46" t="str"/>
      <x:c r="E1441" s="46" t="str">
        <x:v>$ 74</x:v>
      </x:c>
      <x:c r="F1441" s="46" t="str"/>
      <x:c r="G1441" s="46" t="str">
        <x:v>L2025-00073-1/(붙임2) 입찰서류(영문)_도면, 시방서, 프로젝트리포트 제외/Section 4_BLANK BOQ.xlsx</x:v>
      </x:c>
      <x:c r="H1441" s="43" t="str">
        <x:v>Bill 3.1!90</x:v>
      </x:c>
      <x:c r="I1441" s="46" t="str">
        <x:v>A90==A89+1 | C90==+IF(F90&lt;&gt;0,MAX($C$74:C89)+1,0) | E90=Removal of excavated soil off site | F90=m3 | G90=8265 | H90= | I90= | J90==SUM(H90:I90) | K90==+ROUND(G90*J90,2)</x:v>
      </x:c>
      <x:c r="J1441" s="43" t="str">
        <x:v>자동추출·검토필요</x:v>
      </x:c>
    </x:row>
    <x:row r="1442">
      <x:c r="A1442" s="43" t="str">
        <x:v>L2025-00073-1</x:v>
      </x:c>
      <x:c r="B1442" s="43" t="str">
        <x:v>부가세·예비비</x:v>
      </x:c>
      <x:c r="C1442" s="46" t="str">
        <x:v>vat</x:v>
      </x:c>
      <x:c r="D1442" s="46" t="str"/>
      <x:c r="E1442" s="46" t="str">
        <x:v>$ 74</x:v>
      </x:c>
      <x:c r="F1442" s="46" t="str"/>
      <x:c r="G1442" s="46" t="str">
        <x:v>L2025-00073-1/(붙임2) 입찰서류(영문)_도면, 시방서, 프로젝트리포트 제외/Section 4_BLANK BOQ.xlsx</x:v>
      </x:c>
      <x:c r="H1442" s="43" t="str">
        <x:v>Bill 3.2!442</x:v>
      </x:c>
      <x:c r="I1442" s="46" t="str">
        <x:v>A442==A441+1 | C442==+IF(F442&lt;&gt;0,MAX($C$74:C441)+1,0) | D442=Supply, fabricate for the roof sheet with the steel support, as 40x40x1.6T ST'L pipe @610,1220, Thk 12 Water-resistant plywood, thk 12 waterproof sheet, Sheet (Real Zink) Standing seam @ 530, plus steel sheet flashing following draiwng no. A51-001 (Exterior wall elevation &amp; section 1)</x:v>
      </x:c>
      <x:c r="J1442" s="43" t="str">
        <x:v>자동추출·검토필요</x:v>
      </x:c>
    </x:row>
    <x:row r="1443">
      <x:c r="A1443" s="43" t="str">
        <x:v>L2025-00073-1</x:v>
      </x:c>
      <x:c r="B1443" s="43" t="str">
        <x:v>부가세·예비비</x:v>
      </x:c>
      <x:c r="C1443" s="46" t="str">
        <x:v>vat</x:v>
      </x:c>
      <x:c r="D1443" s="46" t="str"/>
      <x:c r="E1443" s="46" t="str">
        <x:v>$ 74</x:v>
      </x:c>
      <x:c r="F1443" s="46" t="str"/>
      <x:c r="G1443" s="46" t="str">
        <x:v>L2025-00073-1/(붙임2) 입찰서류(영문)_도면, 시방서, 프로젝트리포트 제외/Section 4_BLANK BOQ.xlsx</x:v>
      </x:c>
      <x:c r="H1443" s="43" t="str">
        <x:v>Bill 6.1!140</x:v>
      </x:c>
      <x:c r="I1443" s="46" t="str">
        <x:v>A140==A139+1 | C140==+IF(F140&lt;&gt;0,MAX($C$74:C139)+1,0) | E140=Supply and install a Day Tank of 990 Litre capacityc/w the following and in accordance with BS 7668 - Constructed from min 3mm thick carbon steel - Externally finished with oil resistant primer &amp; paint - Calibrated contents gauge - Low fuel , Middle fuel , high fuel level senssor switch - Lockable roof manhole with one end hinged - Vent pipe with cap, Refilling pipe inlet c/w a strainer and lockable cap, Manual fuel pump c/w piping, Earth Terminal, Drain c/w lockable valve, Supply outlet c/w valve and strainer &amp; return pipe connection outlet, Lifting lug an accessories, Elevated stand, warning label, manufacturer's anme plate, bund wall | F140=lot | G140=1 | H140= | I140= | J140==SUM(H140:I140) | K140==ROUND(G140*J140,2)</x:v>
      </x:c>
      <x:c r="J1443" s="43" t="str">
        <x:v>자동추출·검토필요</x:v>
      </x:c>
    </x:row>
    <x:row r="1444">
      <x:c r="A1444" s="43" t="str">
        <x:v>L2025-00073-1</x:v>
      </x:c>
      <x:c r="B1444" s="43" t="str">
        <x:v>부가세·예비비</x:v>
      </x:c>
      <x:c r="C1444" s="46" t="str">
        <x:v>vat</x:v>
      </x:c>
      <x:c r="D1444" s="46" t="str"/>
      <x:c r="E1444" s="46" t="str">
        <x:v>$ 74</x:v>
      </x:c>
      <x:c r="F1444" s="46" t="str"/>
      <x:c r="G1444" s="46" t="str">
        <x:v>L2025-00073-1/(붙임2) 입찰서류(영문)_도면, 시방서, 프로젝트리포트 제외/Section 4_BLANK BOQ.xlsx</x:v>
      </x:c>
      <x:c r="H1444" s="43" t="str">
        <x:v>Bill 6.1!754</x:v>
      </x:c>
      <x:c r="I1444" s="46" t="str">
        <x:v>A754==A753+1 | C754==+IF(F754&lt;&gt;0,MAX($C$74:C753)+1,0) | E754=Photo Electric Smoke Detector-Elevator | F754=nos | G754=4 | H754= | I754= | J754==SUM(H754:I754) | K754==ROUND(G754*J754,2)</x:v>
      </x:c>
      <x:c r="J1444" s="43" t="str">
        <x:v>자동추출·검토필요</x:v>
      </x:c>
    </x:row>
    <x:row r="1445">
      <x:c r="A1445" s="43" t="str">
        <x:v>L2025-00073-1</x:v>
      </x:c>
      <x:c r="B1445" s="43" t="str">
        <x:v>부가세·예비비</x:v>
      </x:c>
      <x:c r="C1445" s="46" t="str">
        <x:v>vat</x:v>
      </x:c>
      <x:c r="D1445" s="46" t="str"/>
      <x:c r="E1445" s="46" t="str">
        <x:v>$ 74</x:v>
      </x:c>
      <x:c r="F1445" s="46" t="str"/>
      <x:c r="G1445" s="46" t="str">
        <x:v>L2025-00073-1/(붙임2) 입찰서류(영문)_도면, 시방서, 프로젝트리포트 제외/Section 4_BLANK BOQ.xlsx</x:v>
      </x:c>
      <x:c r="H1445" s="43" t="str">
        <x:v>Bill 6.2!229</x:v>
      </x:c>
      <x:c r="I1445" s="46" t="str">
        <x:v>A229==A228+1 | C229==+IF(F229&lt;&gt;0,MAX($C$74:C228)+1,0) | E229=EF 5 Type Duct In line, Service 1F; Flow Rate CMH 1,000 ; 160Pa Include Control Panel (On/Off); Install On/Off Switch in GF Oncology Observation RM | F229=set | G229=1 | H229= | I229= | J229==SUM(H229:I229) | K229==ROUND(G229*J229,2)</x:v>
      </x:c>
      <x:c r="J1445" s="43" t="str">
        <x:v>자동추출·검토필요</x:v>
      </x:c>
    </x:row>
    <x:row r="1446">
      <x:c r="A1446" s="43" t="str">
        <x:v>L2025-00073-1</x:v>
      </x:c>
      <x:c r="B1446" s="43" t="str">
        <x:v>부가세·예비비</x:v>
      </x:c>
      <x:c r="C1446" s="46" t="str">
        <x:v>vat</x:v>
      </x:c>
      <x:c r="D1446" s="46" t="str"/>
      <x:c r="E1446" s="46" t="str">
        <x:v>$ 74</x:v>
      </x:c>
      <x:c r="F1446" s="46" t="str"/>
      <x:c r="G1446" s="46" t="str">
        <x:v>L2025-00073-1/(붙임2) 입찰서류(영문)_도면, 시방서, 프로젝트리포트 제외/Section 4_BLANK BOQ.xlsx</x:v>
      </x:c>
      <x:c r="H1446" s="43" t="str">
        <x:v>Bill 6.2!233</x:v>
      </x:c>
      <x:c r="I1446" s="46" t="str">
        <x:v>A233==A232+1 | C233==+IF(F233&lt;&gt;0,MAX($C$74:C232)+1,0) | E233=EF 6 Type Sirocco, Service GF; Flow Rate CMH 1,200 ; 300Pa Include Control Panel (On/Off); Install On/Off Switch in GF Oncology Observation RM | F233=set | G233=1 | H233= | I233= | J233==SUM(H233:I233) | K233==ROUND(G233*J233,2)</x:v>
      </x:c>
      <x:c r="J1446" s="43" t="str">
        <x:v>자동추출·검토필요</x:v>
      </x:c>
    </x:row>
    <x:row r="1447">
      <x:c r="A1447" s="43" t="str">
        <x:v>L2025-00073-1</x:v>
      </x:c>
      <x:c r="B1447" s="43" t="str">
        <x:v>부가세·예비비</x:v>
      </x:c>
      <x:c r="C1447" s="46" t="str">
        <x:v>vat</x:v>
      </x:c>
      <x:c r="D1447" s="46" t="str"/>
      <x:c r="E1447" s="46" t="str">
        <x:v>$ 74</x:v>
      </x:c>
      <x:c r="F1447" s="46" t="str"/>
      <x:c r="G1447" s="46" t="str">
        <x:v>L2025-00073-1/(붙임2) 입찰서류(영문)_도면, 시방서, 프로젝트리포트 제외/Section 4_BLANK BOQ.xlsx</x:v>
      </x:c>
      <x:c r="H1447" s="43" t="str">
        <x:v>Bill 6.3!80</x:v>
      </x:c>
      <x:c r="I1447" s="46" t="str">
        <x:v>A80==A79+1 | C80==+IF(F80&lt;&gt;0,MAX($C$74:C79)+1,0) | E80=P1-Lift Pump for Elevated Water Tank GF Pump RM. set completed with Control Panel Automatic Float Switch all accessories ( One dutdy &amp; One standby), Capacity : Flow Rate 270 LPM, Head 350 Kpa, Motor 3.75 KW | F80=Set | G80=1 | H80= | I80= | J80==SUM(H80:I80) | K80==ROUND(G80*J80,2)</x:v>
      </x:c>
      <x:c r="J1447" s="43" t="str">
        <x:v>자동추출·검토필요</x:v>
      </x:c>
    </x:row>
    <x:row r="1448">
      <x:c r="A1448" s="43" t="str">
        <x:v>L2025-00073-1</x:v>
      </x:c>
      <x:c r="B1448" s="43" t="str">
        <x:v>부가세·예비비</x:v>
      </x:c>
      <x:c r="C1448" s="46" t="str">
        <x:v>vat</x:v>
      </x:c>
      <x:c r="D1448" s="46" t="str"/>
      <x:c r="E1448" s="46" t="str">
        <x:v>$ 74</x:v>
      </x:c>
      <x:c r="F1448" s="46" t="str"/>
      <x:c r="G1448" s="46" t="str">
        <x:v>L2025-00073-1/(붙임2) 입찰서류(영문)_도면, 시방서, 프로젝트리포트 제외/Section 4_BLANK BOQ.xlsx</x:v>
      </x:c>
      <x:c r="H1448" s="43" t="str">
        <x:v>Bill 6.3!99</x:v>
      </x:c>
      <x:c r="I1448" s="46" t="str">
        <x:v>A99==A98+1 | C99==+IF(F99&lt;&gt;0,MAX($C$74:C98)+1,0) | E99=P4 Submersible Elecator Pit pump-Elevator Pit Set include Control Panel Automatic Float Switch all accessories (4-pump), Capacity : Flow Rate 22 LPM, Head 10, Motor 0.2 KW | F99=Set | G99=1 | H99= | I99= | J99==SUM(H99:I99) | K99==ROUND(G99*J99,2)</x:v>
      </x:c>
      <x:c r="J1448" s="43" t="str">
        <x:v>자동추출·검토필요</x:v>
      </x:c>
    </x:row>
    <x:row r="1449">
      <x:c r="A1449" s="43" t="str">
        <x:v>L2025-00073-1</x:v>
      </x:c>
      <x:c r="B1449" s="43" t="str">
        <x:v>부가세·예비비</x:v>
      </x:c>
      <x:c r="C1449" s="46" t="str">
        <x:v>vat</x:v>
      </x:c>
      <x:c r="D1449" s="46" t="str"/>
      <x:c r="E1449" s="46" t="str">
        <x:v>$ 74</x:v>
      </x:c>
      <x:c r="F1449" s="46" t="str"/>
      <x:c r="G1449" s="46" t="str">
        <x:v>L2025-00073-1/(붙임2) 입찰서류(영문)_도면, 시방서, 프로젝트리포트 제외/Section 4_BLANK BOQ.xlsx</x:v>
      </x:c>
      <x:c r="H1449" s="43" t="str">
        <x:v>Bill 6.3!116</x:v>
      </x:c>
      <x:c r="I1449" s="46" t="str">
        <x:v>A116==A115+1 | C116==+IF(F116&lt;&gt;0,MAX($C$74:C115)+1,0) | E116=Supply &amp; install T2-Elevated Water Tank, RF Tank RM. Capacity 100Ton, Size 10,000 x 5,000 x 2,000), Water Quantity Sanitation 81.5 Ton, Material STS, Scour pipe, water level indicator, electrode sensor, stop valev, vent pipe, balancing pipeinternal hot dipped galv. Cat ladder, external alum. Cat ladder and accessories. (Separated 2 Parts) | F116=Set | G116=1 | H116= | I116= | J116==SUM(H116:I116) | K116==ROUND(G116*J116,2)</x:v>
      </x:c>
      <x:c r="J1449" s="43" t="str">
        <x:v>자동추출·검토필요</x:v>
      </x:c>
    </x:row>
    <x:row r="1450">
      <x:c r="A1450" s="43" t="str">
        <x:v>L2025-00073-1</x:v>
      </x:c>
      <x:c r="B1450" s="43" t="str">
        <x:v>부가세·예비비</x:v>
      </x:c>
      <x:c r="C1450" s="46" t="str">
        <x:v>vat</x:v>
      </x:c>
      <x:c r="D1450" s="46" t="str"/>
      <x:c r="E1450" s="46" t="str">
        <x:v>$ 74</x:v>
      </x:c>
      <x:c r="F1450" s="46" t="str"/>
      <x:c r="G1450" s="46" t="str">
        <x:v>L2025-00073-1/(붙임2) 입찰서류(영문)_도면, 시방서, 프로젝트리포트 제외/Section 4_BLANK BOQ.xlsx</x:v>
      </x:c>
      <x:c r="H1450" s="43" t="str">
        <x:v>Bill 6.3!131</x:v>
      </x:c>
      <x:c r="I1450" s="46" t="str">
        <x:v>A131==A130+1 | C131==+IF(F131&lt;&gt;0,MAX($C$74:C130)+1,0) | E131=Excavation works | F131=m | G131=80 | H131= | I131= | J131==SUM(H131:I131) | K131==ROUND(G131*J131,2)</x:v>
      </x:c>
      <x:c r="J1450" s="43" t="str">
        <x:v>자동추출·검토필요</x:v>
      </x:c>
    </x:row>
    <x:row r="1451">
      <x:c r="A1451" s="43" t="str">
        <x:v>L2025-00073-1</x:v>
      </x:c>
      <x:c r="B1451" s="43" t="str">
        <x:v>부가세·예비비</x:v>
      </x:c>
      <x:c r="C1451" s="46" t="str">
        <x:v>vat</x:v>
      </x:c>
      <x:c r="D1451" s="46" t="str"/>
      <x:c r="E1451" s="46" t="str">
        <x:v>$ 74</x:v>
      </x:c>
      <x:c r="F1451" s="46" t="str"/>
      <x:c r="G1451" s="46" t="str">
        <x:v>L2025-00073-1/(붙임2) 입찰서류(영문)_도면, 시방서, 프로젝트리포트 제외/Section 4_BLANK BOQ.xlsx</x:v>
      </x:c>
      <x:c r="H1451" s="43" t="str">
        <x:v>Bill 6.3!178</x:v>
      </x:c>
      <x:c r="I1451" s="46" t="str">
        <x:v>A178==A177+1 | C178==+IF(F178&lt;&gt;0,MAX($C$74:C177)+1,0) | E178=Excavation and backfill works | F178=lot | G178=1 | H178= | I178= | J178==SUM(H178:I178) | K178==ROUND(G178*J178,2)</x:v>
      </x:c>
      <x:c r="J1451" s="43" t="str">
        <x:v>자동추출·검토필요</x:v>
      </x:c>
    </x:row>
    <x:row r="1452">
      <x:c r="A1452" s="43" t="str">
        <x:v>L2025-00073-1</x:v>
      </x:c>
      <x:c r="B1452" s="43" t="str">
        <x:v>부가세·예비비</x:v>
      </x:c>
      <x:c r="C1452" s="46" t="str">
        <x:v>vat</x:v>
      </x:c>
      <x:c r="D1452" s="46" t="str"/>
      <x:c r="E1452" s="46" t="str">
        <x:v>$ 74</x:v>
      </x:c>
      <x:c r="F1452" s="46" t="str"/>
      <x:c r="G1452" s="46" t="str">
        <x:v>L2025-00073-1/(붙임2) 입찰서류(영문)_도면, 시방서, 프로젝트리포트 제외/Section 4_BLANK BOQ.xlsx</x:v>
      </x:c>
      <x:c r="H1452" s="43" t="str">
        <x:v>Bill 6.3!183</x:v>
      </x:c>
      <x:c r="I1452" s="46" t="str">
        <x:v>A183==A182+1 | C183==+IF(F183&lt;&gt;0,MAX($C$74:C182)+1,0) | E183=Excavation and backfill works | F183=m | G183=82 | H183= | I183= | J183==SUM(H183:I183) | K183==ROUND(G183*J183,2)</x:v>
      </x:c>
      <x:c r="J1452" s="43" t="str">
        <x:v>자동추출·검토필요</x:v>
      </x:c>
    </x:row>
    <x:row r="1453">
      <x:c r="A1453" s="43" t="str">
        <x:v>L2025-00073-1</x:v>
      </x:c>
      <x:c r="B1453" s="43" t="str">
        <x:v>부가세·예비비</x:v>
      </x:c>
      <x:c r="C1453" s="46" t="str">
        <x:v>vat</x:v>
      </x:c>
      <x:c r="D1453" s="46" t="str"/>
      <x:c r="E1453" s="46" t="str">
        <x:v>$ 74</x:v>
      </x:c>
      <x:c r="F1453" s="46" t="str"/>
      <x:c r="G1453" s="46" t="str">
        <x:v>L2025-00073-1/(붙임2) 입찰서류(영문)_도면, 시방서, 프로젝트리포트 제외/Section 4_BLANK BOQ.xlsx</x:v>
      </x:c>
      <x:c r="H1453" s="43" t="str">
        <x:v>Bill 6.3!218</x:v>
      </x:c>
      <x:c r="I1453" s="46" t="str">
        <x:v>A218==A217+1 | C218==+IF(F218&lt;&gt;0,MAX($C$74:C217)+1,0) | E218=- Soil Excavation &amp; Backfill | F218=lot | G218=1 | H218= | I218= | J218==SUM(H218:I218) | K218==ROUND(G218*J218,2)</x:v>
      </x:c>
      <x:c r="J1453" s="43" t="str">
        <x:v>자동추출·검토필요</x:v>
      </x:c>
    </x:row>
    <x:row r="1454">
      <x:c r="A1454" s="43" t="str">
        <x:v>L2025-00073-1</x:v>
      </x:c>
      <x:c r="B1454" s="43" t="str">
        <x:v>부가세·예비비</x:v>
      </x:c>
      <x:c r="C1454" s="46" t="str">
        <x:v>vat</x:v>
      </x:c>
      <x:c r="D1454" s="46" t="str"/>
      <x:c r="E1454" s="46" t="str">
        <x:v>$ 74</x:v>
      </x:c>
      <x:c r="F1454" s="46" t="str"/>
      <x:c r="G1454" s="46" t="str">
        <x:v>L2025-00073-1/(붙임2) 입찰서류(영문)_도면, 시방서, 프로젝트리포트 제외/Section 4_BLANK BOQ.xlsx</x:v>
      </x:c>
      <x:c r="H1454" s="43" t="str">
        <x:v>Bill 6.3!267</x:v>
      </x:c>
      <x:c r="I1454" s="46" t="str">
        <x:v>A267==A266+1 | C267==+IF(F267&lt;&gt;0,MAX($C$74:C266)+1,0) | E267=LAVATORY (SQUARE TYPE) | F267=set | G267=72 | H267= | I267= | J267==SUM(H267:I267) | K267==ROUND(G267*J267,2)</x:v>
      </x:c>
      <x:c r="J1454" s="43" t="str">
        <x:v>자동추출·검토필요</x:v>
      </x:c>
    </x:row>
    <x:row r="1455">
      <x:c r="A1455" s="43" t="str">
        <x:v>L2025-00073-1</x:v>
      </x:c>
      <x:c r="B1455" s="43" t="str">
        <x:v>부가세·예비비</x:v>
      </x:c>
      <x:c r="C1455" s="46" t="str">
        <x:v>vat</x:v>
      </x:c>
      <x:c r="D1455" s="46" t="str"/>
      <x:c r="E1455" s="46" t="str">
        <x:v>$ 74</x:v>
      </x:c>
      <x:c r="F1455" s="46" t="str"/>
      <x:c r="G1455" s="46" t="str">
        <x:v>L2025-00073-1/(붙임2) 입찰서류(영문)_도면, 시방서, 프로젝트리포트 제외/Section 4_BLANK BOQ.xlsx</x:v>
      </x:c>
      <x:c r="H1455" s="43" t="str">
        <x:v>Bill 6.3!268</x:v>
      </x:c>
      <x:c r="I1455" s="46" t="str">
        <x:v>A268==A267+1 | C268==+IF(F268&lt;&gt;0,MAX($C$74:C267)+1,0) | E268=LAVATORY (ISOATION RM, SQUARE TYPE) | F268=set | G268=4 | H268= | I268= | J268==SUM(H268:I268) | K268==ROUND(G268*J268,2)</x:v>
      </x:c>
      <x:c r="J1455" s="43" t="str">
        <x:v>자동추출·검토필요</x:v>
      </x:c>
    </x:row>
    <x:row r="1456">
      <x:c r="A1456" s="43" t="str">
        <x:v>L2025-00073-1</x:v>
      </x:c>
      <x:c r="B1456" s="43" t="str">
        <x:v>부가세·예비비</x:v>
      </x:c>
      <x:c r="C1456" s="46" t="str">
        <x:v>vat</x:v>
      </x:c>
      <x:c r="D1456" s="46" t="str"/>
      <x:c r="E1456" s="46" t="str">
        <x:v>$ 74</x:v>
      </x:c>
      <x:c r="F1456" s="46" t="str"/>
      <x:c r="G1456" s="46" t="str">
        <x:v>L2025-00073-1/(붙임2) 입찰서류(영문)_도면, 시방서, 프로젝트리포트 제외/Section 4_BLANK BOQ.xlsx</x:v>
      </x:c>
      <x:c r="H1456" s="43" t="str">
        <x:v>Bill 6.3!269</x:v>
      </x:c>
      <x:c r="I1456" s="46" t="str">
        <x:v>A269==A268+1 | C269==+IF(F269&lt;&gt;0,MAX($C$74:C268)+1,0) | E269=LAVATORY w/ SHOWER FAUCET (SQUARE TYPE) | F269=set | G269=18 | H269= | I269= | J269==SUM(H269:I269) | K269==ROUND(G269*J269,2)</x:v>
      </x:c>
      <x:c r="J1456" s="43" t="str">
        <x:v>자동추출·검토필요</x:v>
      </x:c>
    </x:row>
    <x:row r="1457">
      <x:c r="A1457" s="43" t="str">
        <x:v>L2025-00073-1</x:v>
      </x:c>
      <x:c r="B1457" s="43" t="str">
        <x:v>부가세·예비비</x:v>
      </x:c>
      <x:c r="C1457" s="46" t="str">
        <x:v>vat</x:v>
      </x:c>
      <x:c r="D1457" s="46" t="str"/>
      <x:c r="E1457" s="46" t="str">
        <x:v>$ 74</x:v>
      </x:c>
      <x:c r="F1457" s="46" t="str"/>
      <x:c r="G1457" s="46" t="str">
        <x:v>L2025-00073-1/(붙임2) 입찰서류(영문)_도면, 시방서, 프로젝트리포트 제외/Section 4_BLANK BOQ.xlsx</x:v>
      </x:c>
      <x:c r="H1457" s="43" t="str">
        <x:v>Bill 6.3!278</x:v>
      </x:c>
      <x:c r="I1457" s="46" t="str">
        <x:v>A278==A277+1 | C278==+IF(F278&lt;&gt;0,MAX($C$74:C277)+1,0) | E278=LAVATORYT (SQUARE TYPE) | F278=set | G278=34 | H278= | I278= | J278==SUM(H278:I278) | K278==ROUND(G278*J278,2)</x:v>
      </x:c>
      <x:c r="J1457" s="43" t="str">
        <x:v>자동추출·검토필요</x:v>
      </x:c>
    </x:row>
    <x:row r="1458">
      <x:c r="A1458" s="43" t="str">
        <x:v>L2025-00073-1</x:v>
      </x:c>
      <x:c r="B1458" s="43" t="str">
        <x:v>부가세·예비비</x:v>
      </x:c>
      <x:c r="C1458" s="46" t="str">
        <x:v>vat</x:v>
      </x:c>
      <x:c r="D1458" s="46" t="str"/>
      <x:c r="E1458" s="46" t="str">
        <x:v>$ 74</x:v>
      </x:c>
      <x:c r="F1458" s="46" t="str"/>
      <x:c r="G1458" s="46" t="str">
        <x:v>L2025-00073-1/(붙임2) 입찰서류(영문)_도면, 시방서, 프로젝트리포트 제외/Section 4_BLANK BOQ.xlsx</x:v>
      </x:c>
      <x:c r="H1458" s="43" t="str">
        <x:v>Bill 6.3!279</x:v>
      </x:c>
      <x:c r="I1458" s="46" t="str">
        <x:v>A279==A278+1 | C279==+IF(F279&lt;&gt;0,MAX($C$74:C278)+1,0) | E279=LAVATORYT (OVAL TYPE) | F279=set | G279= | H279= | I279= | J279==SUM(H279:I279) | K279==ROUND(G279*J279,2)</x:v>
      </x:c>
      <x:c r="J1458" s="43" t="str">
        <x:v>자동추출·검토필요</x:v>
      </x:c>
    </x:row>
    <x:row r="1459">
      <x:c r="A1459" s="43" t="str">
        <x:v>L2025-00073-1</x:v>
      </x:c>
      <x:c r="B1459" s="43" t="str">
        <x:v>부가세·예비비</x:v>
      </x:c>
      <x:c r="C1459" s="46" t="str">
        <x:v>vat</x:v>
      </x:c>
      <x:c r="D1459" s="46" t="str"/>
      <x:c r="E1459" s="46" t="str">
        <x:v>$ 74</x:v>
      </x:c>
      <x:c r="F1459" s="46" t="str"/>
      <x:c r="G1459" s="46" t="str">
        <x:v>L2025-00073-1/(붙임2) 입찰서류(영문)_도면, 시방서, 프로젝트리포트 제외/Section 4_BLANK BOQ.xlsx</x:v>
      </x:c>
      <x:c r="H1459" s="43" t="str">
        <x:v>Bill 6.3!280</x:v>
      </x:c>
      <x:c r="I1459" s="46" t="str">
        <x:v>A280==A279+1 | C280==+IF(F280&lt;&gt;0,MAX($C$74:C279)+1,0) | E280=LAVATORYT (ROUND TYPE) | F280=set | G280=3 | H280= | I280= | J280==SUM(H280:I280) | K280==ROUND(G280*J280,2)</x:v>
      </x:c>
      <x:c r="J1459" s="43" t="str">
        <x:v>자동추출·검토필요</x:v>
      </x:c>
    </x:row>
    <x:row r="1460">
      <x:c r="A1460" s="43" t="str">
        <x:v>L2025-00073-1</x:v>
      </x:c>
      <x:c r="B1460" s="43" t="str">
        <x:v>부가세·예비비</x:v>
      </x:c>
      <x:c r="C1460" s="46" t="str">
        <x:v>vat</x:v>
      </x:c>
      <x:c r="D1460" s="46" t="str"/>
      <x:c r="E1460" s="46" t="str">
        <x:v>$ 74</x:v>
      </x:c>
      <x:c r="F1460" s="46" t="str"/>
      <x:c r="G1460" s="46" t="str">
        <x:v>L2025-00073-1/(붙임2) 입찰서류(영문)_도면, 시방서, 프로젝트리포트 제외/Section 4_BLANK BOQ.xlsx</x:v>
      </x:c>
      <x:c r="H1460" s="43" t="str">
        <x:v>Bill 6.3!281</x:v>
      </x:c>
      <x:c r="I1460" s="46" t="str">
        <x:v>A281==A280+1 | C281==+IF(F281&lt;&gt;0,MAX($C$74:C280)+1,0) | E281=LAVATORY w/ SHOWER FAUCET (SQUARE TYPE) | F281=set | G281=20 | H281= | I281= | J281==SUM(H281:I281) | K281==ROUND(G281*J281,2)</x:v>
      </x:c>
      <x:c r="J1460" s="43" t="str">
        <x:v>자동추출·검토필요</x:v>
      </x:c>
    </x:row>
    <x:row r="1461">
      <x:c r="A1461" s="43" t="str">
        <x:v>L2025-00073-1</x:v>
      </x:c>
      <x:c r="B1461" s="43" t="str">
        <x:v>부가세·예비비</x:v>
      </x:c>
      <x:c r="C1461" s="46" t="str">
        <x:v>vat</x:v>
      </x:c>
      <x:c r="D1461" s="46" t="str"/>
      <x:c r="E1461" s="46" t="str">
        <x:v>$ 74</x:v>
      </x:c>
      <x:c r="F1461" s="46" t="str"/>
      <x:c r="G1461" s="46" t="str">
        <x:v>L2025-00073-1/(붙임2) 입찰서류(영문)_도면, 시방서, 프로젝트리포트 제외/Section 4_BLANK BOQ.xlsx</x:v>
      </x:c>
      <x:c r="H1461" s="43" t="str">
        <x:v>Bill 6.3!295</x:v>
      </x:c>
      <x:c r="I1461" s="46" t="str">
        <x:v>A295==A294+1 | C295==+IF(F295&lt;&gt;0,MAX($C$74:C294)+1,0) | E295=LAVATORY (OVAL TYPE) | F295=set | G295=8 | H295= | I295= | J295==SUM(H295:I295) | K295==ROUND(G295*J295,2)</x:v>
      </x:c>
      <x:c r="J1461" s="43" t="str">
        <x:v>자동추출·검토필요</x:v>
      </x:c>
    </x:row>
    <x:row r="1462">
      <x:c r="A1462" s="43" t="str">
        <x:v>L2025-00073-1</x:v>
      </x:c>
      <x:c r="B1462" s="43" t="str">
        <x:v>부가세·예비비</x:v>
      </x:c>
      <x:c r="C1462" s="46" t="str">
        <x:v>vat</x:v>
      </x:c>
      <x:c r="D1462" s="46" t="str"/>
      <x:c r="E1462" s="46" t="str">
        <x:v>$ 74</x:v>
      </x:c>
      <x:c r="F1462" s="46" t="str"/>
      <x:c r="G1462" s="46" t="str">
        <x:v>L2025-00073-1/(붙임2) 입찰서류(영문)_도면, 시방서, 프로젝트리포트 제외/Section 4_BLANK BOQ.xlsx</x:v>
      </x:c>
      <x:c r="H1462" s="43" t="str">
        <x:v>Bill 6.3!296</x:v>
      </x:c>
      <x:c r="I1462" s="46" t="str">
        <x:v>A296==A295+1 | C296==+IF(F296&lt;&gt;0,MAX($C$74:C295)+1,0) | E296=LAVATORY(SQUARE TYPE)(FOR HANDICAPPED PEOPLE) | F296=set | G296=3 | H296= | I296= | J296==SUM(H296:I296) | K296==ROUND(G296*J296,2)</x:v>
      </x:c>
      <x:c r="J1462" s="43" t="str">
        <x:v>자동추출·검토필요</x:v>
      </x:c>
    </x:row>
    <x:row r="1463">
      <x:c r="A1463" s="43" t="str">
        <x:v>L2025-00073-1</x:v>
      </x:c>
      <x:c r="B1463" s="43" t="str">
        <x:v>부가세·예비비</x:v>
      </x:c>
      <x:c r="C1463" s="46" t="str">
        <x:v>vat</x:v>
      </x:c>
      <x:c r="D1463" s="46" t="str"/>
      <x:c r="E1463" s="46" t="str">
        <x:v>$ 74</x:v>
      </x:c>
      <x:c r="F1463" s="46" t="str"/>
      <x:c r="G1463" s="46" t="str">
        <x:v>L2025-00073-1/(붙임2) 입찰서류(영문)_도면, 시방서, 프로젝트리포트 제외/Section 4_BLANK BOQ.xlsx</x:v>
      </x:c>
      <x:c r="H1463" s="43" t="str">
        <x:v>Bill 6.5!83</x:v>
      </x:c>
      <x:c r="I1463" s="46" t="str">
        <x:v>A83==A82+1 | C83==+IF(F83&lt;&gt;0,MAX($C$74:C82)+1,0) | E83=Elevator/Lift ELEC-1 Inpatient's capacity 2,000kg/26 person, Speed 1.5 m/s=90m/min, 5/5 stops, Control Type Parallel Operation, Car Size (W 1600 x D 2400 x H 2500), Door size 1200 x 2100, MRL Type, Acessible Use, Fire Rated Door Application | F83=Set | G83=2 | H83= | I83= | J83==SUM(H83:I83) | K83==ROUND(G83*J83,2)</x:v>
      </x:c>
      <x:c r="J1463" s="43" t="str">
        <x:v>자동추출·검토필요</x:v>
      </x:c>
    </x:row>
    <x:row r="1464">
      <x:c r="A1464" s="43" t="str">
        <x:v>L2025-00073-1</x:v>
      </x:c>
      <x:c r="B1464" s="43" t="str">
        <x:v>부가세·예비비</x:v>
      </x:c>
      <x:c r="C1464" s="46" t="str">
        <x:v>vat</x:v>
      </x:c>
      <x:c r="D1464" s="46" t="str"/>
      <x:c r="E1464" s="46" t="str">
        <x:v>$ 74</x:v>
      </x:c>
      <x:c r="F1464" s="46" t="str"/>
      <x:c r="G1464" s="46" t="str">
        <x:v>L2025-00073-1/(붙임2) 입찰서류(영문)_도면, 시방서, 프로젝트리포트 제외/Section 4_BLANK BOQ.xlsx</x:v>
      </x:c>
      <x:c r="H1464" s="43" t="str">
        <x:v>Bill 6.5!89</x:v>
      </x:c>
      <x:c r="I1464" s="46" t="str">
        <x:v>A89==A88+1 | C89==+IF(F89&lt;&gt;0,MAX($C$74:C88)+1,0) | E89=Elevator/Lift ELEC-2 Visitor's capacity 2,000kg/26 person, Speed 1.5 m/s=90m/min, 5/5 stops, Control Type Independent Operation, Car Size (W 1600 x D 2400 x H 2500), Door size 1200 x 2100, MRL Type, Acessible Use, Fire Rated Door Application | F89=Set | G89=1 | H89= | I89= | J89==SUM(H89:I89) | K89==ROUND(G89*J89,2)</x:v>
      </x:c>
      <x:c r="J1464" s="43" t="str">
        <x:v>자동추출·검토필요</x:v>
      </x:c>
    </x:row>
    <x:row r="1465">
      <x:c r="A1465" s="43" t="str">
        <x:v>L2025-00073-1</x:v>
      </x:c>
      <x:c r="B1465" s="43" t="str">
        <x:v>부가세·예비비</x:v>
      </x:c>
      <x:c r="C1465" s="46" t="str">
        <x:v>vat</x:v>
      </x:c>
      <x:c r="D1465" s="46" t="str"/>
      <x:c r="E1465" s="46" t="str">
        <x:v>$ 74</x:v>
      </x:c>
      <x:c r="F1465" s="46" t="str"/>
      <x:c r="G1465" s="46" t="str">
        <x:v>L2025-00073-1/(붙임2) 입찰서류(영문)_도면, 시방서, 프로젝트리포트 제외/Section 4_BLANK BOQ.xlsx</x:v>
      </x:c>
      <x:c r="H1465" s="43" t="str">
        <x:v>Bill 6.5!95</x:v>
      </x:c>
      <x:c r="I1465" s="46" t="str">
        <x:v>A95==A94+1 | C95==+IF(F95&lt;&gt;0,MAX($C$74:C94)+1,0) | E95=Elevator/Lift ELEC-3 Loading capacity 2,000kg/26 person, Speed 1.5 m/s=90m/min, 5/5 stops, Control Type Independent Operation, Car Size (W 1600 x D 2400 x H 2500), Door size 1200 x 2100, MRL Type, Acessible Use, Fire Rated Door Application | F95=Set | G95=1 | H95= | I95= | J95==SUM(H95:I95) | K95==ROUND(G95*J95,2)</x:v>
      </x:c>
      <x:c r="J1465" s="43" t="str">
        <x:v>자동추출·검토필요</x:v>
      </x:c>
    </x:row>
    <x:row r="1466">
      <x:c r="A1466" s="43" t="str">
        <x:v>L2025-00073-1</x:v>
      </x:c>
      <x:c r="B1466" s="43" t="str">
        <x:v>부가세·예비비</x:v>
      </x:c>
      <x:c r="C1466" s="46" t="str">
        <x:v>reserve</x:v>
      </x:c>
      <x:c r="D1466" s="46" t="str"/>
      <x:c r="E1466" s="46" t="str"/>
      <x:c r="F1466" s="46" t="str">
        <x:v>0.5%</x:v>
      </x:c>
      <x:c r="G1466" s="46" t="str">
        <x:v>L2025-00073-1/(붙임2) 입찰서류(영문)_도면, 시방서, 프로젝트리포트 제외/Section 7_General Conditions of Contract.docx</x:v>
      </x:c>
      <x:c r="H1466" s="43" t="str">
        <x:v>표 4 행 109</x:v>
      </x:c>
      <x:c r="I1466"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utilized.</x:v>
      </x:c>
      <x:c r="J1466" s="43" t="str">
        <x:v>자동추출·검토필요</x:v>
      </x:c>
    </x:row>
    <x:row r="1467">
      <x:c r="A1467" s="43" t="str">
        <x:v>L2025-00073-1</x:v>
      </x:c>
      <x:c r="B1467" s="43" t="str">
        <x:v>부가세·예비비</x:v>
      </x:c>
      <x:c r="C1467" s="46" t="str">
        <x:v>reserve</x:v>
      </x:c>
      <x:c r="D1467" s="46" t="str"/>
      <x:c r="E1467" s="46" t="str"/>
      <x:c r="F1467" s="46" t="str">
        <x:v>50% | 50%</x:v>
      </x:c>
      <x:c r="G1467" s="46" t="str">
        <x:v>L2025-00073-1/(붙임2) 입찰서류(영문)_도면, 시방서, 프로젝트리포트 제외/Section 7_General Conditions of Contract.docx</x:v>
      </x:c>
      <x:c r="H1467" s="43" t="str">
        <x:v>표 12 행 61</x:v>
      </x:c>
      <x:c r="I1467"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467" s="43" t="str">
        <x:v>자동추출·검토필요</x:v>
      </x:c>
    </x:row>
    <x:row r="1468">
      <x:c r="A1468" s="43" t="str">
        <x:v>L2025-00073-1</x:v>
      </x:c>
      <x:c r="B1468" s="43" t="str">
        <x:v>부가세·예비비</x:v>
      </x:c>
      <x:c r="C1468" s="46" t="str">
        <x:v>vat</x:v>
      </x:c>
      <x:c r="D1468" s="46" t="str"/>
      <x:c r="E1468" s="46" t="str">
        <x:v>US$ 0,000,000</x:v>
      </x:c>
      <x:c r="F1468" s="46" t="str"/>
      <x:c r="G1468" s="46" t="str">
        <x:v>L2025-00073-1/(붙임2) 입찰서류(영문)_도면, 시방서, 프로젝트리포트 제외/Section 8_Special Conditions of Contract.docx</x:v>
      </x:c>
      <x:c r="H1468" s="43" t="str">
        <x:v>표 3 행 5</x:v>
      </x:c>
      <x:c r="I1468" s="46" t="str">
        <x:v>Article 1.1 / Article 12.1 Contract Price | US$ 0,000,000 (VAT excluded)</x:v>
      </x:c>
      <x:c r="J1468" s="43" t="str">
        <x:v>자동추출·검토필요</x:v>
      </x:c>
    </x:row>
    <x:row r="1469">
      <x:c r="A1469" s="43" t="str">
        <x:v>L2025-00073-1</x:v>
      </x:c>
      <x:c r="B1469" s="43" t="str">
        <x:v>부가세·예비비</x:v>
      </x:c>
      <x:c r="C1469" s="46" t="str">
        <x:v>reserve</x:v>
      </x:c>
      <x:c r="D1469" s="46" t="str"/>
      <x:c r="E1469" s="46" t="str"/>
      <x:c r="F1469" s="46" t="str">
        <x:v>3%</x:v>
      </x:c>
      <x:c r="G1469" s="46" t="str">
        <x:v>L2025-00073-1/(붙임2) 입찰서류(영문)_도면, 시방서, 프로젝트리포트 제외/Section 8_Special Conditions of Contract.docx</x:v>
      </x:c>
      <x:c r="H1469" s="43" t="str">
        <x:v>표 3 행 20</x:v>
      </x:c>
      <x:c r="I1469" s="46" t="str">
        <x:v>Article 10.2(b) Security Deposit for Defects | 3% of the Contract Price May be exempted if reserves are available</x:v>
      </x:c>
      <x:c r="J1469" s="43" t="str">
        <x:v>자동추출·검토필요</x:v>
      </x:c>
    </x:row>
    <x:row r="1470">
      <x:c r="A1470" s="43" t="str">
        <x:v>L2025-00071-1</x:v>
      </x:c>
      <x:c r="B1470" s="43" t="str">
        <x:v>부가세·예비비</x:v>
      </x:c>
      <x:c r="C1470" s="46" t="str">
        <x:v>vat</x:v>
      </x:c>
      <x:c r="D1470" s="46" t="str"/>
      <x:c r="E1470" s="46" t="str">
        <x:v>USD 13,292,831</x:v>
      </x:c>
      <x:c r="F1470" s="46" t="str"/>
      <x:c r="G1470" s="46" t="str">
        <x:v>L2025-00071-1/붙임2. 현지입찰(재공고입찰) 서류 및 계약서류(안)/í┌Summary of Bidding IKHCC_250903_final revised(╟÷┴÷ ░°░φ┐δ).docx</x:v>
      </x:c>
      <x:c r="H1470" s="43" t="str">
        <x:v>표 2 행 4</x:v>
      </x:c>
      <x:c r="I1470" s="46" t="str">
        <x:v>․ Project Budget | USD 13,292,831 (VAT not included, various indirect cost included.)</x:v>
      </x:c>
      <x:c r="J1470" s="43" t="str">
        <x:v>자동추출·검토필요</x:v>
      </x:c>
    </x:row>
    <x:row r="1471">
      <x:c r="A1471" s="43" t="str">
        <x:v>L2025-00071-1</x:v>
      </x:c>
      <x:c r="B1471" s="43" t="str">
        <x:v>부가세·예비비</x:v>
      </x:c>
      <x:c r="C1471" s="46" t="str">
        <x:v>vat</x:v>
      </x:c>
      <x:c r="D1471" s="46" t="str"/>
      <x:c r="E1471" s="46" t="str">
        <x:v>USD 13,292,831 | USD 3,823,207 2 | USD 4,652,490 3 | USD 4,817,134 | USD 13,292,831 | USD 3,823,207 2 | USD 4,652,490 3 | USD 4,817,134</x:v>
      </x:c>
      <x:c r="F1471" s="46" t="str"/>
      <x:c r="G1471" s="46" t="str">
        <x:v>L2025-00071-1/붙임2. 현지입찰(재공고입찰) 서류 및 계약서류(안)/IKHCC Section 2 - Bid Data Sheet (ITB) (English)  250903_final.docx</x:v>
      </x:c>
      <x:c r="H1471" s="43" t="str">
        <x:v>표 2 행 13</x:v>
      </x:c>
      <x:c r="I1471" s="46" t="str">
        <x:v>․ Bid maximum limit price. | USD 13,292,831(Excluding VAT.) 1st year : USD 3,823,207 2nd year : USD 4,652,490 3rd year: USD 4,817,134 | USD 13,292,831(Excluding VAT.) 1st year : USD 3,823,207 2nd year : USD 4,652,490 3rd year: USD 4,817,134</x:v>
      </x:c>
      <x:c r="J1471" s="43" t="str">
        <x:v>자동추출·검토필요</x:v>
      </x:c>
    </x:row>
    <x:row r="1472">
      <x:c r="A1472" s="43" t="str">
        <x:v>L2025-00071-1</x:v>
      </x:c>
      <x:c r="B1472" s="43" t="str">
        <x:v>부가세·예비비</x:v>
      </x:c>
      <x:c r="C1472" s="46" t="str">
        <x:v>vat</x:v>
      </x:c>
      <x:c r="D1472" s="46" t="str"/>
      <x:c r="E1472" s="46" t="str">
        <x:v>USD 12,960,510 | USD 12,960,510</x:v>
      </x:c>
      <x:c r="F1472" s="46" t="str"/>
      <x:c r="G1472" s="46" t="str">
        <x:v>L2025-00071-1/붙임2. 현지입찰(재공고입찰) 서류 및 계약서류(안)/IKHCC Section 2 - Bid Data Sheet (ITB) (English)  250903_final.docx</x:v>
      </x:c>
      <x:c r="H1472" s="43" t="str">
        <x:v>표 2 행 14</x:v>
      </x:c>
      <x:c r="I1472" s="46" t="str">
        <x:v>․ Estimated budget (Basic price) | USD 12,960,510 (Excluding VAT.) | USD 12,960,510 (Excluding VAT.)</x:v>
      </x:c>
      <x:c r="J1472" s="43" t="str">
        <x:v>자동추출·검토필요</x:v>
      </x:c>
    </x:row>
    <x:row r="1473">
      <x:c r="A1473" s="43" t="str">
        <x:v>L2025-00071-1</x:v>
      </x:c>
      <x:c r="B1473" s="43" t="str">
        <x:v>부가세·예비비</x:v>
      </x:c>
      <x:c r="C1473" s="46" t="str">
        <x:v>reserve</x:v>
      </x:c>
      <x:c r="D1473" s="46" t="str"/>
      <x:c r="E1473" s="46" t="str"/>
      <x:c r="F1473" s="46" t="str">
        <x:v>0.5%</x:v>
      </x:c>
      <x:c r="G1473" s="46" t="str">
        <x:v>L2025-00071-1/붙임2. 현지입찰(재공고입찰) 서류 및 계약서류(안)/IKHCC Section 7,8 - contract conditions - General &amp; Special conditions. of contract 250903.docx</x:v>
      </x:c>
      <x:c r="H1473" s="43" t="str">
        <x:v>표 4 행 109</x:v>
      </x:c>
      <x:c r="I1473"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473" s="43" t="str">
        <x:v>자동추출·검토필요</x:v>
      </x:c>
    </x:row>
    <x:row r="1474">
      <x:c r="A1474" s="43" t="str">
        <x:v>L2025-00071-1</x:v>
      </x:c>
      <x:c r="B1474" s="43" t="str">
        <x:v>부가세·예비비</x:v>
      </x:c>
      <x:c r="C1474" s="46" t="str">
        <x:v>reserve</x:v>
      </x:c>
      <x:c r="D1474" s="46" t="str"/>
      <x:c r="E1474" s="46" t="str"/>
      <x:c r="F1474" s="46" t="str">
        <x:v>50% | 50%</x:v>
      </x:c>
      <x:c r="G1474" s="46" t="str">
        <x:v>L2025-00071-1/붙임2. 현지입찰(재공고입찰) 서류 및 계약서류(안)/IKHCC Section 7,8 - contract conditions - General &amp; Special conditions. of contract 250903.docx</x:v>
      </x:c>
      <x:c r="H1474" s="43" t="str">
        <x:v>표 12 행 61</x:v>
      </x:c>
      <x:c r="I1474"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474" s="43" t="str">
        <x:v>자동추출·검토필요</x:v>
      </x:c>
    </x:row>
    <x:row r="1475">
      <x:c r="A1475" s="43" t="str">
        <x:v>L2025-00070-1</x:v>
      </x:c>
      <x:c r="B1475" s="43" t="str">
        <x:v>부가세·예비비</x:v>
      </x:c>
      <x:c r="C1475" s="46" t="str">
        <x:v>vat</x:v>
      </x:c>
      <x:c r="D1475" s="46" t="str"/>
      <x:c r="E1475" s="46" t="str">
        <x:v>USD 13,292,831 | USD 3,823,207 2 | USD 4,652,490 3 | USD 4,817,134 | USD 13,292,831 | USD 3,823,207 2 | USD 4,652,490 3 | USD 4,817,134</x:v>
      </x:c>
      <x:c r="F1475" s="46" t="str"/>
      <x:c r="G1475" s="46" t="str">
        <x:v>L2025-00070-1/붙임3. 현지입찰 서류 및 계약서류(안)/IKHCC Section 2 - Bid Data Sheet (ITB) (English) revised final 250702.docx</x:v>
      </x:c>
      <x:c r="H1475" s="43" t="str">
        <x:v>표 2 행 13</x:v>
      </x:c>
      <x:c r="I1475" s="46" t="str">
        <x:v>․ Bid maximum limit price. | USD 13,292,831(Excluding VAT.) 1st year : USD 3,823,207 2nd year : USD 4,652,490 3rd year: USD 4,817,134 | USD 13,292,831(Excluding VAT.) 1st year : USD 3,823,207 2nd year : USD 4,652,490 3rd year: USD 4,817,134</x:v>
      </x:c>
      <x:c r="J1475" s="43" t="str">
        <x:v>자동추출·검토필요</x:v>
      </x:c>
    </x:row>
    <x:row r="1476">
      <x:c r="A1476" s="43" t="str">
        <x:v>L2025-00070-1</x:v>
      </x:c>
      <x:c r="B1476" s="43" t="str">
        <x:v>부가세·예비비</x:v>
      </x:c>
      <x:c r="C1476" s="46" t="str">
        <x:v>vat</x:v>
      </x:c>
      <x:c r="D1476" s="46" t="str"/>
      <x:c r="E1476" s="46" t="str">
        <x:v>USD 12,960,510 | USD 12,960,510</x:v>
      </x:c>
      <x:c r="F1476" s="46" t="str"/>
      <x:c r="G1476" s="46" t="str">
        <x:v>L2025-00070-1/붙임3. 현지입찰 서류 및 계약서류(안)/IKHCC Section 2 - Bid Data Sheet (ITB) (English) revised final 250702.docx</x:v>
      </x:c>
      <x:c r="H1476" s="43" t="str">
        <x:v>표 2 행 14</x:v>
      </x:c>
      <x:c r="I1476" s="46" t="str">
        <x:v>․ Estimated budget (Basic price) | USD 12,960,510 (Excluding VAT.) | USD 12,960,510 (Excluding VAT.)</x:v>
      </x:c>
      <x:c r="J1476" s="43" t="str">
        <x:v>자동추출·검토필요</x:v>
      </x:c>
    </x:row>
    <x:row r="1477">
      <x:c r="A1477" s="43" t="str">
        <x:v>L2025-00070-1</x:v>
      </x:c>
      <x:c r="B1477" s="43" t="str">
        <x:v>부가세·예비비</x:v>
      </x:c>
      <x:c r="C1477" s="46" t="str">
        <x:v>reserve</x:v>
      </x:c>
      <x:c r="D1477" s="46" t="str"/>
      <x:c r="E1477" s="46" t="str"/>
      <x:c r="F1477" s="46" t="str">
        <x:v>0.5%</x:v>
      </x:c>
      <x:c r="G1477" s="46" t="str">
        <x:v>L2025-00070-1/붙임3. 현지입찰 서류 및 계약서류(안)/IKHCC Section 7,8 - contract conditions - General &amp; Special conditions. of contract 250311.docx</x:v>
      </x:c>
      <x:c r="H1477" s="43" t="str">
        <x:v>표 4 행 109</x:v>
      </x:c>
      <x:c r="I1477"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477" s="43" t="str">
        <x:v>자동추출·검토필요</x:v>
      </x:c>
    </x:row>
    <x:row r="1478">
      <x:c r="A1478" s="43" t="str">
        <x:v>L2025-00070-1</x:v>
      </x:c>
      <x:c r="B1478" s="43" t="str">
        <x:v>부가세·예비비</x:v>
      </x:c>
      <x:c r="C1478" s="46" t="str">
        <x:v>reserve</x:v>
      </x:c>
      <x:c r="D1478" s="46" t="str"/>
      <x:c r="E1478" s="46" t="str"/>
      <x:c r="F1478" s="46" t="str">
        <x:v>50% | 50%</x:v>
      </x:c>
      <x:c r="G1478" s="46" t="str">
        <x:v>L2025-00070-1/붙임3. 현지입찰 서류 및 계약서류(안)/IKHCC Section 7,8 - contract conditions - General &amp; Special conditions. of contract 250311.docx</x:v>
      </x:c>
      <x:c r="H1478" s="43" t="str">
        <x:v>표 12 행 61</x:v>
      </x:c>
      <x:c r="I1478"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478" s="43" t="str">
        <x:v>자동추출·검토필요</x:v>
      </x:c>
    </x:row>
    <x:row r="1479">
      <x:c r="A1479" s="43" t="str">
        <x:v>L2025-00070-1</x:v>
      </x:c>
      <x:c r="B1479" s="43" t="str">
        <x:v>부가세·예비비</x:v>
      </x:c>
      <x:c r="C1479" s="46" t="str">
        <x:v>vat</x:v>
      </x:c>
      <x:c r="D1479" s="46" t="str"/>
      <x:c r="E1479" s="46" t="str">
        <x:v>USD 13,293,000</x:v>
      </x:c>
      <x:c r="F1479" s="46" t="str"/>
      <x:c r="G1479" s="46" t="str">
        <x:v>L2025-00070-1/붙임3. 현지입찰 서류 및 계약서류(안)/Summary of Bidding IKHCC_final.docx</x:v>
      </x:c>
      <x:c r="H1479" s="43" t="str">
        <x:v>표 2 행 4</x:v>
      </x:c>
      <x:c r="I1479" s="46" t="str">
        <x:v>․ Project Budget | USD 13,293,000 (VAT not included, various indirect cost included.)</x:v>
      </x:c>
      <x:c r="J1479" s="43" t="str">
        <x:v>자동추출·검토필요</x:v>
      </x:c>
    </x:row>
    <x:row r="1480">
      <x:c r="A1480" s="43" t="str">
        <x:v>L2025-00066-1</x:v>
      </x:c>
      <x:c r="B1480" s="43" t="str">
        <x:v>부가세·예비비</x:v>
      </x:c>
      <x:c r="C1480" s="46" t="str">
        <x:v>vat</x:v>
      </x:c>
      <x:c r="D1480" s="46" t="str"/>
      <x:c r="E1480" s="46" t="str">
        <x:v>USD 260,000</x:v>
      </x:c>
      <x:c r="F1480" s="46" t="str"/>
      <x:c r="G1480" s="46" t="str">
        <x:v>L2025-00066-1/붙임1. Section 2 - 입찰공고문 (BDS)_파키스탄_물탄_설계_최종.hwp</x:v>
      </x:c>
      <x:c r="H1480" s="43" t="str">
        <x:v>문단 86</x:v>
      </x:c>
      <x:c r="I1480" s="46" t="str">
        <x:v>USD 260,000 (GST 및 VAT 포함)</x:v>
      </x:c>
      <x:c r="J1480" s="43" t="str">
        <x:v>자동추출·검토필요</x:v>
      </x:c>
    </x:row>
    <x:row r="1481">
      <x:c r="A1481" s="43" t="str">
        <x:v>L2025-00066-1</x:v>
      </x:c>
      <x:c r="B1481" s="43" t="str">
        <x:v>부가세·예비비</x:v>
      </x:c>
      <x:c r="C1481" s="46" t="str">
        <x:v>vat</x:v>
      </x:c>
      <x:c r="D1481" s="46" t="str"/>
      <x:c r="E1481" s="46" t="str">
        <x:v>USD 260,000</x:v>
      </x:c>
      <x:c r="F1481" s="46" t="str"/>
      <x:c r="G1481" s="46" t="str">
        <x:v>L2025-00066-1/붙임2. 입찰 부속서류 일체.fin/Section 1 - Instructions to Bidders (ITB).docx</x:v>
      </x:c>
      <x:c r="H1481" s="43" t="str">
        <x:v>표 2 행 4</x:v>
      </x:c>
      <x:c r="I1481" s="46" t="str">
        <x:v>․ Project Budget | USD 260,000 (including GST and VAT)</x:v>
      </x:c>
      <x:c r="J1481" s="43" t="str">
        <x:v>자동추출·검토필요</x:v>
      </x:c>
    </x:row>
    <x:row r="1482">
      <x:c r="A1482" s="43" t="str">
        <x:v>L2025-00066-1</x:v>
      </x:c>
      <x:c r="B1482" s="43" t="str">
        <x:v>부가세·예비비</x:v>
      </x:c>
      <x:c r="C1482" s="46" t="str">
        <x:v>vat</x:v>
      </x:c>
      <x:c r="D1482" s="46" t="str"/>
      <x:c r="E1482" s="46" t="str">
        <x:v>USD 260,000 | USD 260,000</x:v>
      </x:c>
      <x:c r="F1482" s="46" t="str"/>
      <x:c r="G1482" s="46" t="str">
        <x:v>L2025-00066-1/붙임2. 입찰 부속서류 일체.fin/Section 2 - Bid Data Sheet (BDS)_ver.fin.docx</x:v>
      </x:c>
      <x:c r="H1482" s="43" t="str">
        <x:v>표 5 행 5</x:v>
      </x:c>
      <x:c r="I1482" s="46" t="str">
        <x:v>․ Bid Limit | USD 260,000 (including GST and VAT) | USD 260,000 (including GST and VAT)</x:v>
      </x:c>
      <x:c r="J1482" s="43" t="str">
        <x:v>자동추출·검토필요</x:v>
      </x:c>
    </x:row>
    <x:row r="1483">
      <x:c r="A1483" s="43" t="str">
        <x:v>L2025-00066-1</x:v>
      </x:c>
      <x:c r="B1483" s="43" t="str">
        <x:v>부가세·예비비</x:v>
      </x:c>
      <x:c r="C1483" s="46" t="str">
        <x:v>contingency</x:v>
      </x:c>
      <x:c r="D1483" s="46" t="str"/>
      <x:c r="E1483" s="46" t="str"/>
      <x:c r="F1483" s="46" t="str">
        <x:v>5%</x:v>
      </x:c>
      <x:c r="G1483" s="46" t="str">
        <x:v>L2025-00066-1/붙임2. 입찰 부속서류 일체.fin/Section 4 - Request for Proposal (RFP).docx</x:v>
      </x:c>
      <x:c r="H1483" s="43" t="str">
        <x:v>문단 43</x:v>
      </x:c>
      <x:c r="I1483" s="46" t="str">
        <x:v>- Contingency cost shall be fixed at 5% of the total service value and shall be spent after the approval of KOICA.</x:v>
      </x:c>
      <x:c r="J1483" s="43" t="str">
        <x:v>자동추출·검토필요</x:v>
      </x:c>
    </x:row>
    <x:row r="1484">
      <x:c r="A1484" s="43" t="str">
        <x:v>L2025-00066-1</x:v>
      </x:c>
      <x:c r="B1484" s="43" t="str">
        <x:v>부가세·예비비</x:v>
      </x:c>
      <x:c r="C1484" s="46" t="str">
        <x:v>vat</x:v>
      </x:c>
      <x:c r="D1484" s="46" t="str"/>
      <x:c r="E1484" s="46" t="str">
        <x:v>USD 260,000</x:v>
      </x:c>
      <x:c r="F1484" s="46" t="str"/>
      <x:c r="G1484" s="46" t="str">
        <x:v>L2025-00066-1/붙임2. 입찰 부속서류 일체.fin/Section 4 - Request for Proposal (RFP).docx</x:v>
      </x:c>
      <x:c r="H1484" s="43" t="str">
        <x:v>표 1 행 5</x:v>
      </x:c>
      <x:c r="I1484" s="46" t="str">
        <x:v>․ Bid Limit | USD 260,000 (including GST and VAT)</x:v>
      </x:c>
      <x:c r="J1484" s="43" t="str">
        <x:v>자동추출·검토필요</x:v>
      </x:c>
    </x:row>
    <x:row r="1485">
      <x:c r="A1485" s="43" t="str">
        <x:v>L2025-00063-1</x:v>
      </x:c>
      <x:c r="B1485" s="43" t="str">
        <x:v>부가세·예비비</x:v>
      </x:c>
      <x:c r="C1485" s="46" t="str">
        <x:v>reserve</x:v>
      </x:c>
      <x:c r="D1485" s="46" t="str"/>
      <x:c r="E1485" s="46" t="str"/>
      <x:c r="F1485" s="46" t="str">
        <x:v>5%</x:v>
      </x:c>
      <x:c r="G1485" s="46" t="str">
        <x:v>L2025-00063-1/2. (영문) 현지 입찰공고문.docx</x:v>
      </x:c>
      <x:c r="H1485" s="43" t="str">
        <x:v>표 1 행 1</x:v>
      </x:c>
      <x:c r="I1485" s="46" t="str">
        <x:v>Korea International Cooperation Agency (KOICA) Ghana Office invites eligible Bidders from eligible source countries to submit sealed bids for (Urgent) Construction Supervision Services for the Ghana-Korea Center of Excellence (GK-IMPACT) for ICT based Startups and Asian Research. Tendering process is open to all eligible tenders as defined in the Public Procurement Act 2003 (Act 663) as amended in Act 2016 (Act 914). Bidders must hold a valid certification of at least D2/K2 classification issued by the Ministry of Works and Housing. This notice is a summary, and detailed information can be found in the original bid notice. The original bid notice refers to the Bid Data Sheets (BDS). The scope for this contract is described in the table below. Employer: KOICA Ghana Office Bid Type: International Open Competitive Bidder's qualification requirement: Refer to Bid Data Sheet (BDS) Name of Currency: USD Language of Proposal: English Bid Schedule Bid Announcement: 8th August (Friday) Bid Registration Period: 20th August (Wednesday) - 22nd August (Friday) by 14:00 Inquiry Submission Period: 8th August (Friday) – 18th August (Monday) (via email to koicaghana@gmail.com ONLY) Publication of R</x:v>
      </x:c>
      <x:c r="J1485" s="43" t="str">
        <x:v>자동추출·검토필요</x:v>
      </x:c>
    </x:row>
    <x:row r="1486">
      <x:c r="A1486" s="43" t="str">
        <x:v>L2025-00063-1</x:v>
      </x:c>
      <x:c r="B1486" s="43" t="str">
        <x:v>부가세·예비비</x:v>
      </x:c>
      <x:c r="C1486" s="46" t="str">
        <x:v>tax</x:v>
      </x:c>
      <x:c r="D1486" s="46" t="str"/>
      <x:c r="E1486" s="46" t="str">
        <x:v>USD 207,230</x:v>
      </x:c>
      <x:c r="F1486" s="46" t="str"/>
      <x:c r="G1486" s="46" t="str">
        <x:v>L2025-00063-1/4. 현지 입찰 안내문(영문)_vF.docx</x:v>
      </x:c>
      <x:c r="H1486" s="43" t="str">
        <x:v>표 5 행 8</x:v>
      </x:c>
      <x:c r="I1486" s="46" t="str">
        <x:v>․ Bid Limit | USD 207,230 is the maximum ceiling (inclusive of taxes, levies, charges and fees)</x:v>
      </x:c>
      <x:c r="J1486" s="43" t="str">
        <x:v>자동추출·검토필요</x:v>
      </x:c>
    </x:row>
    <x:row r="1487">
      <x:c r="A1487" s="43" t="str">
        <x:v>L2025-00063-1</x:v>
      </x:c>
      <x:c r="B1487" s="43" t="str">
        <x:v>부가세·예비비</x:v>
      </x:c>
      <x:c r="C1487" s="46" t="str">
        <x:v>tax</x:v>
      </x:c>
      <x:c r="D1487" s="46" t="str"/>
      <x:c r="E1487" s="46" t="str">
        <x:v>USD 207,230</x:v>
      </x:c>
      <x:c r="F1487" s="46" t="str"/>
      <x:c r="G1487" s="46" t="str">
        <x:v>L2025-00063-1/5. 현지 입찰 필수 서류(조감도 미포함)/Section 2 - Bid Data Sheet (BDS)_vF.docx</x:v>
      </x:c>
      <x:c r="H1487" s="43" t="str">
        <x:v>표 5 행 8</x:v>
      </x:c>
      <x:c r="I1487" s="46" t="str">
        <x:v>․ Bid Limit | USD 207,230 is the maximum ceiling (inclusive of taxes, levies, charges and fees)</x:v>
      </x:c>
      <x:c r="J1487" s="43" t="str">
        <x:v>자동추출·검토필요</x:v>
      </x:c>
    </x:row>
    <x:row r="1488">
      <x:c r="A1488" s="43" t="str">
        <x:v>L2025-00062-1</x:v>
      </x:c>
      <x:c r="B1488" s="43" t="str">
        <x:v>부가세·예비비</x:v>
      </x:c>
      <x:c r="C1488" s="46" t="str">
        <x:v>vat, tax</x:v>
      </x:c>
      <x:c r="D1488" s="46" t="str"/>
      <x:c r="E1488" s="46" t="str">
        <x:v>USD 1,123,590.01 | USD 1,123,590.01</x:v>
      </x:c>
      <x:c r="F1488" s="46" t="str"/>
      <x:c r="G1488" s="46" t="str">
        <x:v>L2025-00062-1/1-2. 입찰공고문(영문)_시범농장 신축.docx</x:v>
      </x:c>
      <x:c r="H1488" s="43" t="str">
        <x:v>표 4 행 14</x:v>
      </x:c>
      <x:c r="I1488" s="46" t="str">
        <x:v>Project Budget | USD 1,123,590.01 (Exclusive of VAT and other applicable indirect taxes) | USD 1,123,590.01 (Exclusive of VAT and other applicable indirect taxes)</x:v>
      </x:c>
      <x:c r="J1488" s="43" t="str">
        <x:v>자동추출·검토필요</x:v>
      </x:c>
    </x:row>
    <x:row r="1489">
      <x:c r="A1489" s="43" t="str">
        <x:v>L2025-00062-1</x:v>
      </x:c>
      <x:c r="B1489" s="43" t="str">
        <x:v>부가세·예비비</x:v>
      </x:c>
      <x:c r="C1489" s="46" t="str">
        <x:v>vat, tax</x:v>
      </x:c>
      <x:c r="D1489" s="46" t="str"/>
      <x:c r="E1489" s="46" t="str">
        <x:v>USD 1,095,500.26 | USD 1,095,500.26</x:v>
      </x:c>
      <x:c r="F1489" s="46" t="str"/>
      <x:c r="G1489" s="46" t="str">
        <x:v>L2025-00062-1/1-2. 입찰공고문(영문)_시범농장 신축.docx</x:v>
      </x:c>
      <x:c r="H1489" s="43" t="str">
        <x:v>표 4 행 15</x:v>
      </x:c>
      <x:c r="I1489" s="46" t="str">
        <x:v>Base Price | USD 1,095,500.26 (Exclusive of VAT and other applicable indirect taxes) | USD 1,095,500.26 (Exclusive of VAT and other applicable indirect taxes)</x:v>
      </x:c>
      <x:c r="J1489" s="43" t="str">
        <x:v>자동추출·검토필요</x:v>
      </x:c>
    </x:row>
    <x:row r="1490">
      <x:c r="A1490" s="43" t="str">
        <x:v>L2025-00062-1</x:v>
      </x:c>
      <x:c r="B1490" s="43" t="str">
        <x:v>부가세·예비비</x:v>
      </x:c>
      <x:c r="C1490" s="46" t="str">
        <x:v>vat, tax</x:v>
      </x:c>
      <x:c r="D1490" s="46" t="str"/>
      <x:c r="E1490" s="46" t="str">
        <x:v>USD 400,000</x:v>
      </x:c>
      <x:c r="F1490" s="46" t="str"/>
      <x:c r="G1490" s="46" t="str">
        <x:v>L2025-00062-1/1-2. 입찰공고문(영문)_시범농장 신축.docx</x:v>
      </x:c>
      <x:c r="H1490" s="43" t="str">
        <x:v>표 6 행 6</x:v>
      </x:c>
      <x:c r="I1490" s="46" t="str">
        <x:v>(e) One (1) set of documents evidencing the applicant’s eligibility to participate in the Bid - Latest/valid Certificate of Business Registration(Certificate of Incorporation) - Copy of Valid Trading License issued by Municipal Authority - Valid PPDA Registration Certificate - URA Register (VAT Registration Certificate) - Tax Clearance Certificate - Company Form 20 or Form 7 to show the company directors - Articles of Association and Memorandum of Association - Performance Certificate of one (1) similar project of not less than USD 400,000 in the past five years (August 7th, 2020 ~ August 6th, 2025) * Similar Project is construction works that related to animal and plant facilities (livestock barns, livestock facilities, slaughterhouses, poultry slaughterhouses, etc.)</x:v>
      </x:c>
      <x:c r="J1490" s="43" t="str">
        <x:v>자동추출·검토필요</x:v>
      </x:c>
    </x:row>
    <x:row r="1491">
      <x:c r="A1491" s="43" t="str">
        <x:v>L2025-00062-1</x:v>
      </x:c>
      <x:c r="B1491" s="43" t="str">
        <x:v>부가세·예비비</x:v>
      </x:c>
      <x:c r="C1491" s="46" t="str">
        <x:v>vat, tax</x:v>
      </x:c>
      <x:c r="D1491" s="46" t="str"/>
      <x:c r="E1491" s="46" t="str">
        <x:v>USD 1,123,590.01 | USD 1,123,590.01</x:v>
      </x:c>
      <x:c r="F1491" s="46" t="str"/>
      <x:c r="G1491" s="46" t="str">
        <x:v>L2025-00062-1/붙임 2. 입찰 첨부서류 각 1부(Part II 제외)/붙임 2. 입찰 첨부서류 각 1부(Part II 제외)/Section 2 - Bid Data Sheet (New Farm).docx</x:v>
      </x:c>
      <x:c r="H1491" s="43" t="str">
        <x:v>표 4 행 14</x:v>
      </x:c>
      <x:c r="I1491" s="46" t="str">
        <x:v>Project Budget | USD 1,123,590.01 (Exclusive of VAT and other applicable indirect taxes) | USD 1,123,590.01 (Exclusive of VAT and other applicable indirect taxes)</x:v>
      </x:c>
      <x:c r="J1491" s="43" t="str">
        <x:v>자동추출·검토필요</x:v>
      </x:c>
    </x:row>
    <x:row r="1492">
      <x:c r="A1492" s="43" t="str">
        <x:v>L2025-00062-1</x:v>
      </x:c>
      <x:c r="B1492" s="43" t="str">
        <x:v>부가세·예비비</x:v>
      </x:c>
      <x:c r="C1492" s="46" t="str">
        <x:v>vat, tax</x:v>
      </x:c>
      <x:c r="D1492" s="46" t="str"/>
      <x:c r="E1492" s="46" t="str">
        <x:v>USD 1,095,500.26 | USD 1,095,500.26</x:v>
      </x:c>
      <x:c r="F1492" s="46" t="str"/>
      <x:c r="G1492" s="46" t="str">
        <x:v>L2025-00062-1/붙임 2. 입찰 첨부서류 각 1부(Part II 제외)/붙임 2. 입찰 첨부서류 각 1부(Part II 제외)/Section 2 - Bid Data Sheet (New Farm).docx</x:v>
      </x:c>
      <x:c r="H1492" s="43" t="str">
        <x:v>표 4 행 15</x:v>
      </x:c>
      <x:c r="I1492" s="46" t="str">
        <x:v>Base Price | USD 1,095,500.26 (Exclusive of VAT and other applicable indirect taxes) | USD 1,095,500.26 (Exclusive of VAT and other applicable indirect taxes)</x:v>
      </x:c>
      <x:c r="J1492" s="43" t="str">
        <x:v>자동추출·검토필요</x:v>
      </x:c>
    </x:row>
    <x:row r="1493">
      <x:c r="A1493" s="43" t="str">
        <x:v>L2025-00062-1</x:v>
      </x:c>
      <x:c r="B1493" s="43" t="str">
        <x:v>부가세·예비비</x:v>
      </x:c>
      <x:c r="C1493" s="46" t="str">
        <x:v>vat, tax</x:v>
      </x:c>
      <x:c r="D1493" s="46" t="str"/>
      <x:c r="E1493" s="46" t="str">
        <x:v>USD 400,000</x:v>
      </x:c>
      <x:c r="F1493" s="46" t="str"/>
      <x:c r="G1493" s="46" t="str">
        <x:v>L2025-00062-1/붙임 2. 입찰 첨부서류 각 1부(Part II 제외)/붙임 2. 입찰 첨부서류 각 1부(Part II 제외)/Section 2 - Bid Data Sheet (New Farm).docx</x:v>
      </x:c>
      <x:c r="H1493" s="43" t="str">
        <x:v>표 6 행 6</x:v>
      </x:c>
      <x:c r="I1493" s="46" t="str">
        <x:v>(e) One (1) set of documents evidencing the applicant’s eligibility to participate in the Bid - Latest/valid Certificate of Business Registration(Certificate of Incorporation) - Copy of Valid Trading License issued by Municipal Authority - Valid PPDA Registration Certificate - URA Register (VAT Registration Certificate) - Tax Clearance Certificate - Company Form 20 or Form 7 to show the company directors - Articles of Association and Memorandum of Association - Performance Certificate of one (1) similar project of not less than USD 400,000 in the past five years (August 7th, 2020 ~ August 6th, 2025) * Similar Project is construction works that related to animal and plant facilities (livestock barns, livestock facilities, slaughterhouses, poultry slaughterhouses, etc.)</x:v>
      </x:c>
      <x:c r="J1493" s="43" t="str">
        <x:v>자동추출·검토필요</x:v>
      </x:c>
    </x:row>
    <x:row r="1494">
      <x:c r="A1494" s="43" t="str">
        <x:v>L2025-00062-1</x:v>
      </x:c>
      <x:c r="B1494" s="43" t="str">
        <x:v>부가세·예비비</x:v>
      </x:c>
      <x:c r="C1494" s="46" t="str">
        <x:v>reserve</x:v>
      </x:c>
      <x:c r="D1494" s="46" t="str"/>
      <x:c r="E1494" s="46" t="str"/>
      <x:c r="F1494" s="46" t="str">
        <x:v>0.5%</x:v>
      </x:c>
      <x:c r="G1494" s="46" t="str">
        <x:v>L2025-00062-1/붙임 2. 입찰 첨부서류 각 1부(Part II 제외)/붙임 2. 입찰 첨부서류 각 1부(Part II 제외)/Section 7 - General Conditions of Contract.docx</x:v>
      </x:c>
      <x:c r="H1494" s="43" t="str">
        <x:v>표 4 행 109</x:v>
      </x:c>
      <x:c r="I1494"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494" s="43" t="str">
        <x:v>자동추출·검토필요</x:v>
      </x:c>
    </x:row>
    <x:row r="1495">
      <x:c r="A1495" s="43" t="str">
        <x:v>L2025-00062-1</x:v>
      </x:c>
      <x:c r="B1495" s="43" t="str">
        <x:v>부가세·예비비</x:v>
      </x:c>
      <x:c r="C1495" s="46" t="str">
        <x:v>reserve</x:v>
      </x:c>
      <x:c r="D1495" s="46" t="str"/>
      <x:c r="E1495" s="46" t="str"/>
      <x:c r="F1495" s="46" t="str">
        <x:v>50% | 50%</x:v>
      </x:c>
      <x:c r="G1495" s="46" t="str">
        <x:v>L2025-00062-1/붙임 2. 입찰 첨부서류 각 1부(Part II 제외)/붙임 2. 입찰 첨부서류 각 1부(Part II 제외)/Section 7 - General Conditions of Contract.docx</x:v>
      </x:c>
      <x:c r="H1495" s="43" t="str">
        <x:v>표 12 행 61</x:v>
      </x:c>
      <x:c r="I1495"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495" s="43" t="str">
        <x:v>자동추출·검토필요</x:v>
      </x:c>
    </x:row>
    <x:row r="1496">
      <x:c r="A1496" s="43" t="str">
        <x:v>L2025-00062-1</x:v>
      </x:c>
      <x:c r="B1496" s="43" t="str">
        <x:v>부가세·예비비</x:v>
      </x:c>
      <x:c r="C1496" s="46" t="str">
        <x:v>reserve</x:v>
      </x:c>
      <x:c r="D1496" s="46" t="str"/>
      <x:c r="E1496" s="46" t="str">
        <x:v>UGX 500 Million | UGX 25 Million</x:v>
      </x:c>
      <x:c r="F1496" s="46" t="str">
        <x:v>5% | 5%</x:v>
      </x:c>
      <x:c r="G1496" s="46" t="str">
        <x:v>L2025-00062-1/붙임 3. 우간다 조달청(PPDA) 관련 규정/3-1. (PPDA 보증규정) GUIDELINE-3-OF-2024-ON-BID-AND-PERFORMANCE-SECURITIES.pdf</x:v>
      </x:c>
      <x:c r="H1496" s="43" t="str">
        <x:v>페이지 3</x:v>
      </x:c>
      <x:c r="I1496" s="46" t="str">
        <x:v>The Public Procurement and Disposal ofPublic Assets Guidelines,2024 The format of the bid security in form of a bid bond is provided in the standard bidding documents issued to procuring and disposing entities. vt. Where an Entity finds it necessary to extend the bid security (bid bond), such extension shall be undertaken by use of a bid securing declaration. The format of the bid securing declaration is provided in the standard bidding documents issued to procuring and disposing entities. 1.3 Bid or Proposal Securing Declaration A bid or Proposal Securing Declaration shall be required for procurement of supplies, works and non-+onsultancy services under the restricted domestic, restricted international, quotation and direct methods. A proposal securing declaration shall be required for procurement of consultancy services under all procurement bidding methods. iii. Notwithstanding provisions in .1 (i) and .2(i) above, a bid securing 1 '1 declaration shall be required for procurements that are reserved for national providers under the open domestic bidding method. The format of the bid securing declaration is provided in the standard bidding documents issued to procuring and disposi</x:v>
      </x:c>
      <x:c r="J1496" s="43" t="str">
        <x:v>자동추출·검토필요</x:v>
      </x:c>
    </x:row>
    <x:row r="1497">
      <x:c r="A1497" s="43" t="str">
        <x:v>L2025-00060-1</x:v>
      </x:c>
      <x:c r="B1497" s="43" t="str">
        <x:v>부가세·예비비</x:v>
      </x:c>
      <x:c r="C1497" s="46" t="str">
        <x:v>contingency</x:v>
      </x:c>
      <x:c r="D1497" s="46" t="str"/>
      <x:c r="E1497" s="46" t="str"/>
      <x:c r="F1497" s="46" t="str">
        <x:v>10%</x:v>
      </x:c>
      <x:c r="G1497" s="46" t="str">
        <x:v>L2025-00060-1/(붙임 2) (영문) 입찰서류_코트디부아르 부아케 설계 및 감리 용역_최종/Section 2 - Bid Data Sheet (BDS)_EN_Bouake Project Design.docx</x:v>
      </x:c>
      <x:c r="H1497" s="43" t="str">
        <x:v>문단 91</x:v>
      </x:c>
      <x:c r="I1497" s="46" t="str">
        <x:v>- Contingency cost shall be fixed at 10% of the total service value and shall be spent after the approval of KOICA.</x:v>
      </x:c>
      <x:c r="J1497" s="43" t="str">
        <x:v>자동추출·검토필요</x:v>
      </x:c>
    </x:row>
    <x:row r="1498">
      <x:c r="A1498" s="43" t="str">
        <x:v>L2025-00060-1</x:v>
      </x:c>
      <x:c r="B1498" s="43" t="str">
        <x:v>부가세·예비비</x:v>
      </x:c>
      <x:c r="C1498" s="46" t="str">
        <x:v>contingency</x:v>
      </x:c>
      <x:c r="D1498" s="46" t="str"/>
      <x:c r="E1498" s="46" t="str"/>
      <x:c r="F1498" s="46" t="str">
        <x:v>5%</x:v>
      </x:c>
      <x:c r="G1498" s="46" t="str">
        <x:v>L2025-00060-1/(붙임 2) (영문) 입찰서류_코트디부아르 부아케 설계 및 감리 용역_최종/Section 4 - Request for Proposal_Bouake Project Design.docx</x:v>
      </x:c>
      <x:c r="H1498" s="43" t="str">
        <x:v>문단 111</x:v>
      </x:c>
      <x:c r="I1498" s="46" t="str">
        <x:v>Contingency shall be included in the BOQ and 5% of total construction cost minus overhead such as profit and insurance.</x:v>
      </x:c>
      <x:c r="J1498" s="43" t="str">
        <x:v>자동추출·검토필요</x:v>
      </x:c>
    </x:row>
    <x:row r="1499">
      <x:c r="A1499" s="43" t="str">
        <x:v>L2025-00058-1</x:v>
      </x:c>
      <x:c r="B1499" s="43" t="str">
        <x:v>부가세·예비비</x:v>
      </x:c>
      <x:c r="C1499" s="46" t="str">
        <x:v>vat, tax</x:v>
      </x:c>
      <x:c r="D1499" s="46" t="str"/>
      <x:c r="E1499" s="46" t="str">
        <x:v>USD 1,700,000 | USD 1,700,000</x:v>
      </x:c>
      <x:c r="F1499" s="46" t="str"/>
      <x:c r="G1499" s="46" t="str">
        <x:v>L2025-00058-1/(붙임1) 공고내역 (KG_2025_07)/Re-Bid_Document_Digitalization_of_the_Parliament_KG_2025_07/Bid document (Eng)/ENG_Section 2 - Bid Data Sheet Digitalization Parliament_2025 07(final).docx</x:v>
      </x:c>
      <x:c r="H1499" s="43" t="str">
        <x:v>표 5 행 14</x:v>
      </x:c>
      <x:c r="I1499" s="46" t="str">
        <x:v>․ Project Budget | USD 1,700,000 (Be exclusive of VAT and other applicable indirect taxes) | USD 1,700,000 (Be exclusive of VAT and other applicable indirect taxes)</x:v>
      </x:c>
      <x:c r="J1499" s="43" t="str">
        <x:v>자동추출·검토필요</x:v>
      </x:c>
    </x:row>
    <x:row r="1500">
      <x:c r="A1500" s="43" t="str">
        <x:v>L2025-00058-1</x:v>
      </x:c>
      <x:c r="B1500" s="43" t="str">
        <x:v>부가세·예비비</x:v>
      </x:c>
      <x:c r="C1500" s="46" t="str">
        <x:v>vat, tax, reserve</x:v>
      </x:c>
      <x:c r="D1500" s="46" t="str"/>
      <x:c r="E1500" s="46" t="str">
        <x:v>USD 1,645,112 | USD 1,645,112</x:v>
      </x:c>
      <x:c r="F1500" s="46" t="str">
        <x:v>0.5 % | 2.5% | 0.5 % | 2.5%</x:v>
      </x:c>
      <x:c r="G1500" s="46" t="str">
        <x:v>L2025-00058-1/(붙임1) 공고내역 (KG_2025_07)/Re-Bid_Document_Digitalization_of_the_Parliament_KG_2025_07/Bid document (Eng)/ENG_Section 2 - Bid Data Sheet Digitalization Parliament_2025 07(final).docx</x:v>
      </x:c>
      <x:c r="H1500" s="43" t="str">
        <x:v>표 5 행 15</x:v>
      </x:c>
      <x:c r="I1500" s="46" t="str">
        <x:v>․ Base Price | USD 1,645,112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USD 1,645,112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x:v>
      </x:c>
      <x:c r="J1500" s="43" t="str">
        <x:v>자동추출·검토필요</x:v>
      </x:c>
    </x:row>
    <x:row r="1501">
      <x:c r="A1501" s="43" t="str">
        <x:v>L2025-00058-1</x:v>
      </x:c>
      <x:c r="B1501" s="43" t="str">
        <x:v>부가세·예비비</x:v>
      </x:c>
      <x:c r="C1501" s="46" t="str">
        <x:v>reserve</x:v>
      </x:c>
      <x:c r="D1501" s="46" t="str"/>
      <x:c r="E1501" s="46" t="str"/>
      <x:c r="F1501" s="46" t="str">
        <x:v>5%</x:v>
      </x:c>
      <x:c r="G1501" s="46" t="str">
        <x:v>L2025-00058-1/(붙임1) 공고내역 (KG_2025_07)/Re-Bid_Document_Digitalization_of_the_Parliament_KG_2025_07/Bid document (Eng)/ENG_Section 3 - Bidding Forms_Digitalization Parliament_2025_07.doc</x:v>
      </x:c>
      <x:c r="H1501" s="43" t="str">
        <x:v>문단 51</x:v>
      </x:c>
      <x:c r="I1501" s="46" t="str">
        <x:v>3 Reserve for unforeseen work and expenses (5% of the sum (1) +(2))</x:v>
      </x:c>
      <x:c r="J1501" s="43" t="str">
        <x:v>자동추출·검토필요</x:v>
      </x:c>
    </x:row>
    <x:row r="1502">
      <x:c r="A1502" s="43" t="str">
        <x:v>L2025-00058-1</x:v>
      </x:c>
      <x:c r="B1502" s="43" t="str">
        <x:v>부가세·예비비</x:v>
      </x:c>
      <x:c r="C1502" s="46" t="str">
        <x:v>reserve</x:v>
      </x:c>
      <x:c r="D1502" s="46" t="str"/>
      <x:c r="E1502" s="46" t="str"/>
      <x:c r="F1502" s="46" t="str">
        <x:v>50%</x:v>
      </x:c>
      <x:c r="G1502" s="46" t="str">
        <x:v>L2025-00058-1/(붙임1) 공고내역 (KG_2025_07)/Re-Bid_Document_Digitalization_of_the_Parliament_KG_2025_07/Bid document (Eng)/ENG_Section 4_6 - Requirements_Digitalization Parliament_2025_07.docx</x:v>
      </x:c>
      <x:c r="H1502" s="43" t="str">
        <x:v>문단 214</x:v>
      </x:c>
      <x:c r="I1502" s="46" t="str">
        <x:v>The proposer must design the circuit breaker with an appropriate capacity and include a reserve ratio of at least 50% in the proposal.</x:v>
      </x:c>
      <x:c r="J1502" s="43" t="str">
        <x:v>자동추출·검토필요</x:v>
      </x:c>
    </x:row>
    <x:row r="1503">
      <x:c r="A1503" s="43" t="str">
        <x:v>L2025-00058-1</x:v>
      </x:c>
      <x:c r="B1503" s="43" t="str">
        <x:v>부가세·예비비</x:v>
      </x:c>
      <x:c r="C1503" s="46" t="str">
        <x:v>reserve</x:v>
      </x:c>
      <x:c r="D1503" s="46" t="str"/>
      <x:c r="E1503" s="46" t="str"/>
      <x:c r="F1503" s="46" t="str">
        <x:v>0.5%</x:v>
      </x:c>
      <x:c r="G1503" s="46" t="str">
        <x:v>L2025-00058-1/(붙임1) 공고내역 (KG_2025_07)/Re-Bid_Document_Digitalization_of_the_Parliament_KG_2025_07/Bid document (Eng)/ENG_Section 7 - General_Conditions_of_Contract_Digitalization_Parliament.docx</x:v>
      </x:c>
      <x:c r="H1503" s="43" t="str">
        <x:v>표 4 행 109</x:v>
      </x:c>
      <x:c r="I1503"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 (iv) hereof must include details of how the Safety Management Costs will be utilized.</x:v>
      </x:c>
      <x:c r="J1503" s="43" t="str">
        <x:v>자동추출·검토필요</x:v>
      </x:c>
    </x:row>
    <x:row r="1504">
      <x:c r="A1504" s="43" t="str">
        <x:v>L2025-00058-1</x:v>
      </x:c>
      <x:c r="B1504" s="43" t="str">
        <x:v>부가세·예비비</x:v>
      </x:c>
      <x:c r="C1504" s="46" t="str">
        <x:v>reserve</x:v>
      </x:c>
      <x:c r="D1504" s="46" t="str"/>
      <x:c r="E1504" s="46" t="str"/>
      <x:c r="F1504" s="46" t="str">
        <x:v>50% | 50%</x:v>
      </x:c>
      <x:c r="G1504" s="46" t="str">
        <x:v>L2025-00058-1/(붙임1) 공고내역 (KG_2025_07)/Re-Bid_Document_Digitalization_of_the_Parliament_KG_2025_07/Bid document (Eng)/ENG_Section 7 - General_Conditions_of_Contract_Digitalization_Parliament.docx</x:v>
      </x:c>
      <x:c r="H1504" s="43" t="str">
        <x:v>표 12 행 61</x:v>
      </x:c>
      <x:c r="I1504"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504" s="43" t="str">
        <x:v>자동추출·검토필요</x:v>
      </x:c>
    </x:row>
    <x:row r="1505">
      <x:c r="A1505" s="43" t="str">
        <x:v>L2025-00056-1</x:v>
      </x:c>
      <x:c r="B1505" s="43" t="str">
        <x:v>부가세·예비비</x:v>
      </x:c>
      <x:c r="C1505" s="46" t="str">
        <x:v>vat</x:v>
      </x:c>
      <x:c r="D1505" s="46" t="str">
        <x:v>21,586 m² | 366.88 m² | 21.36 m² | 19.50 m² | 210.00 m²</x:v>
      </x:c>
      <x:c r="E1505" s="46" t="str"/>
      <x:c r="F1505" s="46" t="str"/>
      <x:c r="G1505" s="46" t="str">
        <x:v>L2025-00056-1/2-CACPM/2-CACPM/2.CACPM Company Profile.pdf</x:v>
      </x:c>
      <x:c r="H1505" s="43" t="str">
        <x:v>페이지 5</x:v>
      </x:c>
      <x:c r="I1505" s="46" t="str">
        <x:v>PROJECT PORTFOLIO DESIGN &amp; BUILD ECO-Park includes an information center, bird observatory, nursery, and more, demonstrating our capability in environmentally integrated construction projects. ▪ Project name : ESTABLISHMENT OF ASEAN- REPUBLIC OF KOREA GARDEN IN CAMBODIA ▪ Client : AFoCO, Forest Administration ▪ Project Period : 2024 ~ 2025 ▪ Project Location : Khun Ream Commune, Banteay Srei District, Siem Reap Province, Cambodia ▪ Project Summary : Land Size 21,586 m² o Information Center (2F, 366.88 m²) o Bird Observatory (21.36 m²) o Pagora (2 Units, 19.50 m² each) o Nursery (210.00 m²) ▪ Design &amp; Engineer : CACPM ▪ QS &amp; CPM Consultant : CACPM ▪ Design Build Contractor : CACPM ▪ Current Project Status : Under Construction</x:v>
      </x:c>
      <x:c r="J1505" s="43" t="str">
        <x:v>자동추출·검토필요</x:v>
      </x:c>
    </x:row>
    <x:row r="1506">
      <x:c r="A1506" s="43" t="str">
        <x:v>L2025-00056-1</x:v>
      </x:c>
      <x:c r="B1506" s="43" t="str">
        <x:v>부가세·예비비</x:v>
      </x:c>
      <x:c r="C1506" s="46" t="str">
        <x:v>vat, tax</x:v>
      </x:c>
      <x:c r="D1506" s="46" t="str"/>
      <x:c r="E1506" s="46" t="str">
        <x:v>$ 65 | 7 $</x:v>
      </x:c>
      <x:c r="F1506" s="46" t="str"/>
      <x:c r="G1506" s="46" t="str">
        <x:v>L2025-00056-1/2-CACPM/2-CACPM/2.CACPM Company Profile.pdf</x:v>
      </x:c>
      <x:c r="H1506" s="43" t="str">
        <x:v>페이지 41</x:v>
      </x:c>
      <x:c r="I1506" s="46" t="str">
        <x:v>qt l9tslteq&amp;5*f;9 6e afirg 5Ai uasnd?r.rr?suEerHdt + erf; ana:ec gaeoemsi5Sn 5€Fe?855nd?eAed25 aEa lrua/ No VATM23090848373 finfi tEoueuLsrqs$65'oBd?5 a,b ( ro3$5fulls#r,sR$-$ltn ) r{F'slurnilsn$fir quurynnrr 'l nrul1i^r nr n{'r : 6e.o g e?e 6srdh e eelp*rBe $e sd el eo eoo$ o rQe:r nj$ft u I 1 fflfrrurtrts; #Hmfiruaedc m* $cn redd 6u$um 48 m rupn qru$qn$ u srut 6mrus $t nan$grnI m s q : u Srslfi F sn utn n s n g rrd n ruur srru aff R frJUr nn ngnan fi n E fi nu K0o2-e01s010s7 $nursrungmnrnfitngru,Jn: nirnn$ lpuptmrnnnru$ rmr gt $n 4psy luumsuttm nla isrSu fi fi nnrrfi n g mrq : u fi r s :tn s1u ni gm n mu fi ig $ m I a n6 n gr u o o n m s4 r lgnu s up q : u rfi n g rr n s ; m s u guJ $n n r sli gi a gr q : u Rt ru at s : .1 CERTIFICATE OF TAX REGISTRA'TION (VALUE ADDED TAX-VAT) GENERAL DEPARTMENT OF TAXATION certifies that CAMBODIAN ADVANCED CONSTRUCTION PROJECT MANAGEMENT (CACPM) CO., LTD. is registered VAT TIN K002-901501057 with its main business activity(ies): Construction (coristruction management of buildings, roads and bridges) ln accordance with article 76 of the Law on Taxation, this registration is valid from 03-July-2017 onward, this certificate was updated on the signe</x:v>
      </x:c>
      <x:c r="J1506" s="43" t="str">
        <x:v>자동추출·검토필요</x:v>
      </x:c>
    </x:row>
    <x:row r="1507">
      <x:c r="A1507" s="43" t="str">
        <x:v>L2025-00054-1</x:v>
      </x:c>
      <x:c r="B1507" s="43" t="str">
        <x:v>부가세·예비비</x:v>
      </x:c>
      <x:c r="C1507" s="46" t="str">
        <x:v>vat, tax</x:v>
      </x:c>
      <x:c r="D1507" s="46" t="str"/>
      <x:c r="E1507" s="46" t="str">
        <x:v>USD 1,700,000 | USD 1,700,000</x:v>
      </x:c>
      <x:c r="F1507" s="46" t="str"/>
      <x:c r="G1507" s="46" t="str">
        <x:v>L2025-00054-1/(붙임1) 공고내역_Bid_Document_Digitalization_of_the_Parliament_KG_2025_05 (2)/Bid_Document_Digitalization_of_the_Parliament_KG_2025_05/Bid Document (Eng)/ENG_Section_2 - Bid_Data_Sheet_Digitalization_Parliament.docx</x:v>
      </x:c>
      <x:c r="H1507" s="43" t="str">
        <x:v>표 5 행 14</x:v>
      </x:c>
      <x:c r="I1507" s="46" t="str">
        <x:v>․ Project Budget | USD 1,700,000 (Be exclusive of VAT and other applicable indirect taxes) | USD 1,700,000 (Be exclusive of VAT and other applicable indirect taxes)</x:v>
      </x:c>
      <x:c r="J1507" s="43" t="str">
        <x:v>자동추출·검토필요</x:v>
      </x:c>
    </x:row>
    <x:row r="1508">
      <x:c r="A1508" s="43" t="str">
        <x:v>L2025-00054-1</x:v>
      </x:c>
      <x:c r="B1508" s="43" t="str">
        <x:v>부가세·예비비</x:v>
      </x:c>
      <x:c r="C1508" s="46" t="str">
        <x:v>vat, tax, reserve</x:v>
      </x:c>
      <x:c r="D1508" s="46" t="str"/>
      <x:c r="E1508" s="46" t="str">
        <x:v>USD 1,645,112 | USD 1,645,112</x:v>
      </x:c>
      <x:c r="F1508" s="46" t="str">
        <x:v>0.5 % | 2.5% | 0.5 % | 2.5%</x:v>
      </x:c>
      <x:c r="G1508" s="46" t="str">
        <x:v>L2025-00054-1/(붙임1) 공고내역_Bid_Document_Digitalization_of_the_Parliament_KG_2025_05 (2)/Bid_Document_Digitalization_of_the_Parliament_KG_2025_05/Bid Document (Eng)/ENG_Section_2 - Bid_Data_Sheet_Digitalization_Parliament.docx</x:v>
      </x:c>
      <x:c r="H1508" s="43" t="str">
        <x:v>표 5 행 15</x:v>
      </x:c>
      <x:c r="I1508" s="46" t="str">
        <x:v>․ Base Price | USD 1,645,112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USD 1,645,112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x:v>
      </x:c>
      <x:c r="J1508" s="43" t="str">
        <x:v>자동추출·검토필요</x:v>
      </x:c>
    </x:row>
    <x:row r="1509">
      <x:c r="A1509" s="43" t="str">
        <x:v>L2025-00054-1</x:v>
      </x:c>
      <x:c r="B1509" s="43" t="str">
        <x:v>부가세·예비비</x:v>
      </x:c>
      <x:c r="C1509" s="46" t="str">
        <x:v>reserve</x:v>
      </x:c>
      <x:c r="D1509" s="46" t="str"/>
      <x:c r="E1509" s="46" t="str"/>
      <x:c r="F1509" s="46" t="str">
        <x:v>5%</x:v>
      </x:c>
      <x:c r="G1509" s="46" t="str">
        <x:v>L2025-00054-1/(붙임1) 공고내역_Bid_Document_Digitalization_of_the_Parliament_KG_2025_05 (2)/Bid_Document_Digitalization_of_the_Parliament_KG_2025_05/Bid Document (Eng)/ENG_Section_3 - Bidding Forms_Digitalization Parliament.doc</x:v>
      </x:c>
      <x:c r="H1509" s="43" t="str">
        <x:v>문단 51</x:v>
      </x:c>
      <x:c r="I1509" s="46" t="str">
        <x:v>3 Reserve for unforeseen work and expenses (5% of the sum (1) +(2))</x:v>
      </x:c>
      <x:c r="J1509" s="43" t="str">
        <x:v>자동추출·검토필요</x:v>
      </x:c>
    </x:row>
    <x:row r="1510">
      <x:c r="A1510" s="43" t="str">
        <x:v>L2025-00054-1</x:v>
      </x:c>
      <x:c r="B1510" s="43" t="str">
        <x:v>부가세·예비비</x:v>
      </x:c>
      <x:c r="C1510" s="46" t="str">
        <x:v>reserve</x:v>
      </x:c>
      <x:c r="D1510" s="46" t="str"/>
      <x:c r="E1510" s="46" t="str"/>
      <x:c r="F1510" s="46" t="str">
        <x:v>50%</x:v>
      </x:c>
      <x:c r="G1510" s="46" t="str">
        <x:v>L2025-00054-1/(붙임1) 공고내역_Bid_Document_Digitalization_of_the_Parliament_KG_2025_05 (2)/Bid_Document_Digitalization_of_the_Parliament_KG_2025_05/Bid Document (Eng)/ENG_Section_4_6 - Requirements_Digitalization Parliament.docx</x:v>
      </x:c>
      <x:c r="H1510" s="43" t="str">
        <x:v>문단 214</x:v>
      </x:c>
      <x:c r="I1510" s="46" t="str">
        <x:v>The proposer must design the circuit breaker with an appropriate capacity and include a reserve ratio of at least 50% in the proposal.</x:v>
      </x:c>
      <x:c r="J1510" s="43" t="str">
        <x:v>자동추출·검토필요</x:v>
      </x:c>
    </x:row>
    <x:row r="1511">
      <x:c r="A1511" s="43" t="str">
        <x:v>L2025-00054-1</x:v>
      </x:c>
      <x:c r="B1511" s="43" t="str">
        <x:v>부가세·예비비</x:v>
      </x:c>
      <x:c r="C1511" s="46" t="str">
        <x:v>reserve</x:v>
      </x:c>
      <x:c r="D1511" s="46" t="str"/>
      <x:c r="E1511" s="46" t="str"/>
      <x:c r="F1511" s="46" t="str">
        <x:v>0.5%</x:v>
      </x:c>
      <x:c r="G1511" s="46" t="str">
        <x:v>L2025-00054-1/(붙임1) 공고내역_Bid_Document_Digitalization_of_the_Parliament_KG_2025_05 (2)/Bid_Document_Digitalization_of_the_Parliament_KG_2025_05/Bid Document (Eng)/ENG_Section_7 - General_Conditions_of_Contract_Digitalization_Parliament.docx</x:v>
      </x:c>
      <x:c r="H1511" s="43" t="str">
        <x:v>표 4 행 109</x:v>
      </x:c>
      <x:c r="I1511"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 (iv) hereof must include details of how the Safety Management Costs will be utilized.</x:v>
      </x:c>
      <x:c r="J1511" s="43" t="str">
        <x:v>자동추출·검토필요</x:v>
      </x:c>
    </x:row>
    <x:row r="1512">
      <x:c r="A1512" s="43" t="str">
        <x:v>L2025-00054-1</x:v>
      </x:c>
      <x:c r="B1512" s="43" t="str">
        <x:v>부가세·예비비</x:v>
      </x:c>
      <x:c r="C1512" s="46" t="str">
        <x:v>reserve</x:v>
      </x:c>
      <x:c r="D1512" s="46" t="str"/>
      <x:c r="E1512" s="46" t="str"/>
      <x:c r="F1512" s="46" t="str">
        <x:v>50% | 50%</x:v>
      </x:c>
      <x:c r="G1512" s="46" t="str">
        <x:v>L2025-00054-1/(붙임1) 공고내역_Bid_Document_Digitalization_of_the_Parliament_KG_2025_05 (2)/Bid_Document_Digitalization_of_the_Parliament_KG_2025_05/Bid Document (Eng)/ENG_Section_7 - General_Conditions_of_Contract_Digitalization_Parliament.docx</x:v>
      </x:c>
      <x:c r="H1512" s="43" t="str">
        <x:v>표 12 행 61</x:v>
      </x:c>
      <x:c r="I1512"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512" s="43" t="str">
        <x:v>자동추출·검토필요</x:v>
      </x:c>
    </x:row>
    <x:row r="1513">
      <x:c r="A1513" s="43" t="str">
        <x:v>L2025-00053-1</x:v>
      </x:c>
      <x:c r="B1513" s="43" t="str">
        <x:v>부가세·예비비</x:v>
      </x:c>
      <x:c r="C1513" s="46" t="str">
        <x:v>vat</x:v>
      </x:c>
      <x:c r="D1513" s="46" t="str"/>
      <x:c r="E1513" s="46" t="str">
        <x:v>USD 110,000 | USD 77,000 | USD 33,000 | USD 110,000 | USD 77,000 | USD 33,000</x:v>
      </x:c>
      <x:c r="F1513" s="46" t="str"/>
      <x:c r="G1513" s="46" t="str">
        <x:v>L2025-00053-1/2-2. Summary of Bidding (요약본)_TZ Zanzibar project(Draft).docx</x:v>
      </x:c>
      <x:c r="H1513" s="43" t="str">
        <x:v>표 2 행 5</x:v>
      </x:c>
      <x:c r="I1513" s="46" t="str">
        <x:v>․ Bid Limit | USD 110,000 (VAT excluded) - Design: USD 77,000 - Construction Supervision: USD 33,000 | USD 110,000 (VAT excluded) - Design: USD 77,000 - Construction Supervision: USD 33,000</x:v>
      </x:c>
      <x:c r="J1513" s="43" t="str">
        <x:v>자동추출·검토필요</x:v>
      </x:c>
    </x:row>
    <x:row r="1514">
      <x:c r="A1514" s="43" t="str">
        <x:v>L2025-00053-1</x:v>
      </x:c>
      <x:c r="B1514" s="43" t="str">
        <x:v>부가세·예비비</x:v>
      </x:c>
      <x:c r="C1514" s="46" t="str">
        <x:v>vat</x:v>
      </x:c>
      <x:c r="D1514" s="46" t="str"/>
      <x:c r="E1514" s="46" t="str">
        <x:v>USD 110,000 | USD 77,000 | USD 33,000 | USD 110,000 | USD 77,000 | USD 33,000</x:v>
      </x:c>
      <x:c r="F1514" s="46" t="str"/>
      <x:c r="G1514" s="46" t="str">
        <x:v>L2025-00053-1/3. 현지입찰 제반서류 각1부/Section 2 - Bid Data Sheet (BDS)_EN_vr3.docx</x:v>
      </x:c>
      <x:c r="H1514" s="43" t="str">
        <x:v>표 5 행 5</x:v>
      </x:c>
      <x:c r="I1514" s="46" t="str">
        <x:v>․ Bid Limit | USD 110,000 (VAT excluded) - Design: USD 77,000 - Construction Supervision: USD 33,000 | USD 110,000 (VAT excluded) - Design: USD 77,000 - Construction Supervision: USD 33,000</x:v>
      </x:c>
      <x:c r="J1514" s="43" t="str">
        <x:v>자동추출·검토필요</x:v>
      </x:c>
    </x:row>
    <x:row r="1515">
      <x:c r="A1515" s="43" t="str">
        <x:v>L2025-00053-1</x:v>
      </x:c>
      <x:c r="B1515" s="43" t="str">
        <x:v>부가세·예비비</x:v>
      </x:c>
      <x:c r="C1515" s="46" t="str">
        <x:v>contingency</x:v>
      </x:c>
      <x:c r="D1515" s="46" t="str"/>
      <x:c r="E1515" s="46" t="str"/>
      <x:c r="F1515" s="46" t="str">
        <x:v>10%</x:v>
      </x:c>
      <x:c r="G1515" s="46" t="str">
        <x:v>L2025-00053-1/3. 현지입찰 제반서류 각1부/Section 4 - Request for Proposal_┼║└┌_╛ε╛≈_ver.2.docx</x:v>
      </x:c>
      <x:c r="H1515" s="43" t="str">
        <x:v>문단 122</x:v>
      </x:c>
      <x:c r="I1515" s="46" t="str">
        <x:v>Contingency shall be included in the BOQ and 10% of total construction cost minus overhead such as profit and insurance.</x:v>
      </x:c>
      <x:c r="J1515" s="43" t="str">
        <x:v>자동추출·검토필요</x:v>
      </x:c>
    </x:row>
    <x:row r="1516">
      <x:c r="A1516" s="43" t="str">
        <x:v>L2025-00052-1</x:v>
      </x:c>
      <x:c r="B1516" s="43" t="str">
        <x:v>부가세·예비비</x:v>
      </x:c>
      <x:c r="C1516" s="46" t="str">
        <x:v>예비비</x:v>
      </x:c>
      <x:c r="D1516" s="46" t="str"/>
      <x:c r="E1516" s="46" t="str"/>
      <x:c r="F1516" s="46" t="str">
        <x:v>0.5%</x:v>
      </x:c>
      <x:c r="G1516" s="46" t="str">
        <x:v>L2025-00052-1/(붙임 1) Bid Data Sheet(Korean)_KOICA FHBU Construction_정정본.hwp</x:v>
      </x:c>
      <x:c r="H1516" s="43" t="str">
        <x:v>문단 191</x:v>
      </x:c>
      <x:c r="I1516" s="46" t="str">
        <x:v>- 총공사비 중 예비비 제외 금액 × 0.5% 이상을 고정투찰</x:v>
      </x:c>
      <x:c r="J1516" s="43" t="str">
        <x:v>자동추출·검토필요</x:v>
      </x:c>
    </x:row>
    <x:row r="1517">
      <x:c r="A1517" s="43" t="str">
        <x:v>L2025-00052-1</x:v>
      </x:c>
      <x:c r="B1517" s="43" t="str">
        <x:v>부가세·예비비</x:v>
      </x:c>
      <x:c r="C1517" s="46" t="str">
        <x:v>tax</x:v>
      </x:c>
      <x:c r="D1517" s="46" t="str"/>
      <x:c r="E1517" s="46" t="str">
        <x:v>$ 3</x:v>
      </x:c>
      <x:c r="F1517" s="46" t="str"/>
      <x:c r="G1517" s="46" t="str">
        <x:v>L2025-00052-1/(붙임 2) 영문 입찰 계획 서류_KOICA FHBU Construction_정정본/Section 11 - Bid Document Checklist_FHBU Construction_KOICA FHBU Construction.xlsx</x:v>
      </x:c>
      <x:c r="H1517" s="43" t="str">
        <x:v>List!11</x:v>
      </x:c>
      <x:c r="I1517" s="46" t="str">
        <x:v>A11=7 | B11=Bid Submission | C11=2025-08-18 15:00:00 | D11=Tax payment confirmation / Certificate of Liabilities | E11=Visit KOICA Office | F11=Tax Department (under the Ministry of Economy and Fiances) | G11=="(Attach "&amp;표1[[#This Row],[No.]]&amp;") "&amp;표1[[#This Row],[Title of the document]]&amp;"_"&amp;$A$2&amp;"_"&amp;$I$3 | H11=1 copy</x:v>
      </x:c>
      <x:c r="J1517" s="43" t="str">
        <x:v>자동추출·검토필요</x:v>
      </x:c>
    </x:row>
    <x:row r="1518">
      <x:c r="A1518" s="43" t="str">
        <x:v>L2025-00052-1</x:v>
      </x:c>
      <x:c r="B1518" s="43" t="str">
        <x:v>부가세·예비비</x:v>
      </x:c>
      <x:c r="C1518" s="46" t="str">
        <x:v>vat, tax</x:v>
      </x:c>
      <x:c r="D1518" s="46" t="str"/>
      <x:c r="E1518" s="46" t="str">
        <x:v>USD 1,963,286 | USD 1 | USD 1,963,286 | USD 1</x:v>
      </x:c>
      <x:c r="F1518" s="46" t="str"/>
      <x:c r="G1518" s="46" t="str">
        <x:v>L2025-00052-1/(붙임 2) 영문 입찰 계획 서류_KOICA FHBU Construction_정정본/Section 2 - Bid Data Sheet(English)_KOICA FHBU Construction.docx</x:v>
      </x:c>
      <x:c r="H1518" s="43" t="str">
        <x:v>표 4 행 11</x:v>
      </x:c>
      <x:c r="I1518" s="46" t="str">
        <x:v>․ Project Budget | FCFA 1,111,710,698(USD 1,963,286 / USD 1 = 566.250 FCFA) (Be Exclusive of VAT and other applicable indirect taxes) | FCFA 1,111,710,698(USD 1,963,286 / USD 1 = 566.250 FCFA) (Be Exclusive of VAT and other applicable indirect taxes)</x:v>
      </x:c>
      <x:c r="J1518" s="43" t="str">
        <x:v>자동추출·검토필요</x:v>
      </x:c>
    </x:row>
    <x:row r="1519">
      <x:c r="A1519" s="43" t="str">
        <x:v>L2025-00052-1</x:v>
      </x:c>
      <x:c r="B1519" s="43" t="str">
        <x:v>부가세·예비비</x:v>
      </x:c>
      <x:c r="C1519" s="46" t="str">
        <x:v>reserve</x:v>
      </x:c>
      <x:c r="D1519" s="46" t="str"/>
      <x:c r="E1519" s="46" t="str"/>
      <x:c r="F1519" s="46" t="str">
        <x:v>0.5%</x:v>
      </x:c>
      <x:c r="G1519" s="46" t="str">
        <x:v>L2025-00052-1/(붙임 2) 영문 입찰 계획 서류_KOICA FHBU Construction_정정본/Section 7 - General Conditions of Contract(Draft)_KOICA FHBU Construction.docx</x:v>
      </x:c>
      <x:c r="H1519" s="43" t="str">
        <x:v>표 4 행 109</x:v>
      </x:c>
      <x:c r="I1519"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519" s="43" t="str">
        <x:v>자동추출·검토필요</x:v>
      </x:c>
    </x:row>
    <x:row r="1520">
      <x:c r="A1520" s="43" t="str">
        <x:v>L2025-00052-1</x:v>
      </x:c>
      <x:c r="B1520" s="43" t="str">
        <x:v>부가세·예비비</x:v>
      </x:c>
      <x:c r="C1520" s="46" t="str">
        <x:v>reserve</x:v>
      </x:c>
      <x:c r="D1520" s="46" t="str"/>
      <x:c r="E1520" s="46" t="str"/>
      <x:c r="F1520" s="46" t="str">
        <x:v>50% | 50%</x:v>
      </x:c>
      <x:c r="G1520" s="46" t="str">
        <x:v>L2025-00052-1/(붙임 2) 영문 입찰 계획 서류_KOICA FHBU Construction_정정본/Section 7 - General Conditions of Contract(Draft)_KOICA FHBU Construction.docx</x:v>
      </x:c>
      <x:c r="H1520" s="43" t="str">
        <x:v>표 12 행 61</x:v>
      </x:c>
      <x:c r="I1520"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520" s="43" t="str">
        <x:v>자동추출·검토필요</x:v>
      </x:c>
    </x:row>
    <x:row r="1521">
      <x:c r="A1521" s="43" t="str">
        <x:v>L2025-00051-2</x:v>
      </x:c>
      <x:c r="B1521" s="43" t="str">
        <x:v>부가세·예비비</x:v>
      </x:c>
      <x:c r="C1521" s="46" t="str">
        <x:v>예비비</x:v>
      </x:c>
      <x:c r="D1521" s="46" t="str"/>
      <x:c r="E1521" s="46" t="str"/>
      <x:c r="F1521" s="46" t="str">
        <x:v>0.5%</x:v>
      </x:c>
      <x:c r="G1521" s="46" t="str">
        <x:v>L2025-00051-2/1. (재입찰)피지 국립재활센터 설립사업 시공 입찰계획서.hwp</x:v>
      </x:c>
      <x:c r="H1521" s="43" t="str">
        <x:v>문단 207</x:v>
      </x:c>
      <x:c r="I1521" s="46" t="str">
        <x:v>- 총공사비 중 예비비 제외 금액 × 0.5% 이상 고정투찰</x:v>
      </x:c>
      <x:c r="J1521" s="43" t="str">
        <x:v>자동추출·검토필요</x:v>
      </x:c>
    </x:row>
    <x:row r="1522">
      <x:c r="A1522" s="43" t="str">
        <x:v>L2025-00051-2</x:v>
      </x:c>
      <x:c r="B1522" s="43" t="str">
        <x:v>부가세·예비비</x:v>
      </x:c>
      <x:c r="C1522" s="46" t="str">
        <x:v>contingency</x:v>
      </x:c>
      <x:c r="D1522" s="46" t="str"/>
      <x:c r="E1522" s="46" t="str"/>
      <x:c r="F1522" s="46" t="str">
        <x:v>0.5%</x:v>
      </x:c>
      <x:c r="G1522" s="46" t="str">
        <x:v>L2025-00051-2/Section 2 - Bid Data Sheet (BDS_09.2025).hwp</x:v>
      </x:c>
      <x:c r="H1522" s="43" t="str">
        <x:v>문단 185</x:v>
      </x:c>
      <x:c r="I1522" s="46" t="str">
        <x:v>- At least 0.5% of total construction cost minus provisional sums(Contingency Sums).</x:v>
      </x:c>
      <x:c r="J1522" s="43" t="str">
        <x:v>자동추출·검토필요</x:v>
      </x:c>
    </x:row>
    <x:row r="1523">
      <x:c r="A1523" s="43" t="str">
        <x:v>L2025-00051-2</x:v>
      </x:c>
      <x:c r="B1523" s="43" t="str">
        <x:v>부가세·예비비</x:v>
      </x:c>
      <x:c r="C1523" s="46" t="str">
        <x:v>vat, contingency</x:v>
      </x:c>
      <x:c r="D1523" s="46" t="str"/>
      <x:c r="E1523" s="46" t="str"/>
      <x:c r="F1523" s="46" t="str">
        <x:v>10% | 5 %</x:v>
      </x:c>
      <x:c r="G1523" s="46" t="str">
        <x:v>L2025-00051-2/Section 6- Specification Of Work/REHAB SPECIFICATION-ARCHITECTURAL.pdf</x:v>
      </x:c>
      <x:c r="H1523" s="43" t="str">
        <x:v>페이지 10</x:v>
      </x:c>
      <x:c r="I1523" s="46" t="str">
        <x:v>designed by the Employer and handed to the Project Managers before issue of the Final Payment. 1.31 CURRENCY: 1.31.1 Tender shall only be submitted in Fiji currency and payments by the Employer to the Contractor in terms of his Contract will be in Fiji currency. 1.32 PROGRESS PAYMENTS &amp; RETENTIONS: 1.32.1 No progress claim shall be made for the sum less than that stated in Appendix to the Fiji Standard Form of Building Contract, without Quantities, Private Edition 1978 for building and Engineering works designed by the Employer Item 12 except for the claim at the time of Practical Completion and Final Payment. 1.32.2 A retention of 10% shall be held upon progress payments up to the issue of the Practical Completion certificate. The retention will then be reduced to 5 % to cover the Defects Liability Period. 1.32.3 No advance payments shall be permitted. 1.33 PROCEDURE FOR VARIATIONS: All Variation should be strictly as per Fiji Standard Form of Building Contract, without Quantities, Private Edition 1978 for building and Engineering works designed by the Employer. 1.34 CONTINGENCY SUM: 1.34.1 Allow a contingency sum as set out in Section 2 Schedule of Monetary Allowances. The expend</x:v>
      </x:c>
      <x:c r="J1523" s="43" t="str">
        <x:v>자동추출·검토필요</x:v>
      </x:c>
    </x:row>
    <x:row r="1524">
      <x:c r="A1524" s="43" t="str">
        <x:v>L2025-00051-2</x:v>
      </x:c>
      <x:c r="B1524" s="43" t="str">
        <x:v>부가세·예비비</x:v>
      </x:c>
      <x:c r="C1524" s="46" t="str">
        <x:v>vat, reserve</x:v>
      </x:c>
      <x:c r="D1524" s="46" t="str"/>
      <x:c r="E1524" s="46" t="str"/>
      <x:c r="F1524" s="46" t="str">
        <x:v>17% | 15 % | 14 %</x:v>
      </x:c>
      <x:c r="G1524" s="46" t="str">
        <x:v>L2025-00051-2/Section 6- Specification Of Work/REHAB SPECIFICATION-ARCHITECTURAL.pdf</x:v>
      </x:c>
      <x:c r="H1524" s="43" t="str">
        <x:v>페이지 37</x:v>
      </x:c>
      <x:c r="I1524" s="46" t="str">
        <x:v>treated Kauvula treated Kaudamu Flooring: Exterior Sacau, Vesi, Yasiyasi, Interior Damanu, Sacau, Yasiyasi,Rosarosa Balustrades: Exterior Sacau, Vesi, Yasiyasi, Rosarosa Doors:Exterior treated Dakua Makadre treated Dakua Salusalu Interior treated Kaudamu treated Kauvula Frames treated Dakua Makadre treated Dakua Salusalu treated KauvulaSills Rosarosa, Sacau, Vesi, Yasiyasi Windows: Frames &amp; Sashes treated Dakua Makadre treated Dakua Salusalu Sills treated Dakua Makadre treated Dakua Salusalu Rosarosa, Sacau, Vesi, Yasiyasi 10.2.4 Treatment : All timbers noted above as being treated shall have Tanalith NCA pressure treatment as specified at end of this section. 10.2.5 Moisture Content : The moisture content of the timbers shall be strictly adhered to. The Project Manager reserve the right to submit any timbers to a recognized testing authority for testing and report. Moisture Content for Exterior Use Timbers shall be a maximum of 17 percent plus or minus 3 percent. Moisture Content for Interior Use Timbers shall be within plus or minus 3 percent of the figure stated for the applicable zone in the following schedule: Wet Zone : Suva, Nausori, Lami, Deuba, Korovou, Savusavu, Taveuni 1</x:v>
      </x:c>
      <x:c r="J1524" s="43" t="str">
        <x:v>자동추출·검토필요</x:v>
      </x:c>
    </x:row>
    <x:row r="1525">
      <x:c r="A1525" s="43" t="str">
        <x:v>L2025-00051-2</x:v>
      </x:c>
      <x:c r="B1525" s="43" t="str">
        <x:v>부가세·예비비</x:v>
      </x:c>
      <x:c r="C1525" s="46" t="str">
        <x:v>vat</x:v>
      </x:c>
      <x:c r="D1525" s="46" t="str"/>
      <x:c r="E1525" s="46" t="str"/>
      <x:c r="F1525" s="46" t="str">
        <x:v>25%</x:v>
      </x:c>
      <x:c r="G1525" s="46" t="str">
        <x:v>L2025-00051-2/Section 6- Specification Of Work/REHAB SPECIFICATION-ARCHITECTURAL.pdf</x:v>
      </x:c>
      <x:c r="H1525" s="43" t="str">
        <x:v>페이지 38</x:v>
      </x:c>
      <x:c r="I1525" s="46" t="str">
        <x:v>of sufficient length and gauge for their purpose. Screws for door furniture and other iron mongery shall be of material and pattern to match the various fittings. All screws exposed to the outside shall be solid brass. All nails and bolts shall be galvanized. 10.2.7 TIMBER FASTENERS Proprietary and patent fasteners and fixings shall be installed in strict accordance with manufacturer’s instructions .All nails spikes, brads, staples, bolts and accessories of ferrous metal shall be hot dip galvanised. All structural visible screws shall be solid brass. Bolts shall be of correct lengths protruding one and a half turns of the thread beyond the nut when tightened. Bolt heads and nuts bearing against timber shall be fitted with square washers as follows: - Bolt Washers Standard M10 Cuphead M10 38 x 38 x 2.0 M12 50 x 50 x 3.0 M16 and over 65 x 65 x 5 10.2.8 STRUCTURAL TIMBER/PRESERVATIVE TREATMENT Timber for structural purposes shall be Fiji - C - Select complying with the National Grading Rules for Fijian Timber 1986 unless otherwise stated. Plates, bearers and door and window frames shall be dense local hardwood. All other framing timber shall be of strength Grade F7 of moisture content</x:v>
      </x:c>
      <x:c r="J1525" s="43" t="str">
        <x:v>자동추출·검토필요</x:v>
      </x:c>
    </x:row>
    <x:row r="1526">
      <x:c r="A1526" s="43" t="str">
        <x:v>L2025-00051-2</x:v>
      </x:c>
      <x:c r="B1526" s="43" t="str">
        <x:v>부가세·예비비</x:v>
      </x:c>
      <x:c r="C1526" s="46" t="str">
        <x:v>vat</x:v>
      </x:c>
      <x:c r="D1526" s="46" t="str"/>
      <x:c r="E1526" s="46" t="str"/>
      <x:c r="F1526" s="46" t="str">
        <x:v>17% | 15 % | 14 %</x:v>
      </x:c>
      <x:c r="G1526" s="46" t="str">
        <x:v>L2025-00051-2/Section 6- Specification Of Work/REHAB SPECIFICATION-ARCHITECTURAL.pdf</x:v>
      </x:c>
      <x:c r="H1526" s="43" t="str">
        <x:v>페이지 42</x:v>
      </x:c>
      <x:c r="I1526" s="46" t="str">
        <x:v>SECTION 11 : JOINERY 11.1 PRELIMINARY: 11.1.1 General: Refer to the applicable Fiji Standard Form of Building Contract, without Quantities, Private Edition 1978 and the Preliminary and General clauses which will also apply to this section of the work. 11.1.2 Standards: The following standards shall form part of the specification: NZS 3601: Metric Dimensions for Timber NZS 632 : The Kiln Drying of Timber 11.2 WORKMANSHIP: 11.2.1 General : All joinery and finishings shall be made framed and finished in accordance with the above standards.Employ only skilled competent tradesmen appropriately qualified and registered or licensed at the time of carrying out the work. 11.2.2 Priming : Exterior joinery shall have meeting faces and joints primed during assembly. All joinery shall have the first coat of finish applied immediately after manufacture and before leaving the Joiner's shop. Refer to Schedule of finishes for priming type required. 11.3 MATERIALS: 11.3.1 General: All timber shall be of the best quality of the various kinds specified, free from defects, making it unsuitable for its particular purpose and shall comply with the Department of Forestry Standard Grading Rules for Joinery</x:v>
      </x:c>
      <x:c r="J1526" s="43" t="str">
        <x:v>자동추출·검토필요</x:v>
      </x:c>
    </x:row>
    <x:row r="1527">
      <x:c r="A1527" s="43" t="str">
        <x:v>L2025-00051-2</x:v>
      </x:c>
      <x:c r="B1527" s="43" t="str">
        <x:v>부가세·예비비</x:v>
      </x:c>
      <x:c r="C1527" s="46" t="str">
        <x:v>vat</x:v>
      </x:c>
      <x:c r="D1527" s="46" t="str"/>
      <x:c r="E1527" s="46" t="str">
        <x:v>$ 2000.00</x:v>
      </x:c>
      <x:c r="F1527" s="46" t="str"/>
      <x:c r="G1527" s="46" t="str">
        <x:v>L2025-00051-2/Section 6- Specification Of Work/REHAB SPECIFICATION-ARCHITECTURAL.pdf</x:v>
      </x:c>
      <x:c r="H1527" s="43" t="str">
        <x:v>페이지 80</x:v>
      </x:c>
      <x:c r="I1527" s="46" t="str">
        <x:v>! INVITATION TO TENDER PROJECT : PROPOSED NATIONAL REHABILITATION CENTRE FOR MINISTRY OF HEALTH &amp; MEDICAL SERVICES LOCATION : PRINCES RD, TAMAVUA, SUVA MAIN CONTRACTOR : To be confirmed SCOPE OF THIS TENDER : To carry out Construction Works DESCRIPTION OF WORKS : Construct new buildings as per the Architectural, Building services &amp; Structural drawings CONTRACT FORM : Fiji Building Contract without Quantities STANDARDS : To comply with all relevant Standards and Codes of Practice. DRAWINGS ATTACHED : Refer Attached Architectural, Building services &amp; Structural drawings, Specifications. CONDITIONS OF TENDER : Fixed Lump Sum without Provision for Fluctuations in the cost of labour and materials inclusive of VAT. SPECIAL CONDITIONS : To be confirmed OF CONTRACT SUCCESSFUL TENDERER : Will enter into contract. DATE OF COMMENCEMENT: To be confirmed OF CONTRACTOR CONSTRUCTION TIME : To be advised LIQUIDATED &amp; : $2000.00VIP per day. ASCERTAINED DAMAGES TENDERS CLOSE : TENDER PERIOD: 5 WEEKS Tender out and. closing date to be confirmed. Written Tenders in enclosed envelope marked “PROPOSED NATIONAL REHABILITATION CENTRE FOR MINISTRY OF HEALTH &amp; MEDICAL SERVICES ” are to be dropped off at Lev</x:v>
      </x:c>
      <x:c r="J1527" s="43" t="str">
        <x:v>자동추출·검토필요</x:v>
      </x:c>
    </x:row>
    <x:row r="1528">
      <x:c r="A1528" s="43" t="str">
        <x:v>L2025-00051-2</x:v>
      </x:c>
      <x:c r="B1528" s="43" t="str">
        <x:v>부가세·예비비</x:v>
      </x:c>
      <x:c r="C1528" s="46" t="str">
        <x:v>vat</x:v>
      </x:c>
      <x:c r="D1528" s="46" t="str"/>
      <x:c r="E1528" s="46" t="str">
        <x:v>$ 2000.00</x:v>
      </x:c>
      <x:c r="F1528" s="46" t="str"/>
      <x:c r="G1528" s="46" t="str">
        <x:v>L2025-00051-2/Section 6- Specification Of Work/REHAB SPECIFICATION-ARCHITECTURAL.pdf</x:v>
      </x:c>
      <x:c r="H1528" s="43" t="str">
        <x:v>페이지 82</x:v>
      </x:c>
      <x:c r="I1528" s="46" t="str">
        <x:v>APPENDIX 1 SCHEDULE OF NOTES SUPPLEMENTING THE SPECIFICATION Job Name : PROPOSED NATIONAL REHABILITATION CENTRE FOR MINISTRY OF HEALTH &amp; MEDICAL SERVICES Site Location : PRINCES RD, TAMAVUA, SUVA THE FOLLOWING VAT INCLUSIVE SUMS TO BE INCLUDED IN YOUR TENDER PROPOSAL. CLAUSE ITEM AMOUNT NOTE : All sums allowed are inclusive of VAT. 1.1 FORM OF CONTRACT : Fiji Standard Form of Building Contract without Quantities Private edition 1978 issued by Fiji Joint Contracts Tribunal. 1.3 TENDER DOCUMENT DEPOSIT : NIL 1.4 TENDER DEPOSIT : NIL 1.6 LIQUIDATED &amp; ASCERTAINED DAMAGES : F$2000.00 PER calender day or part thereof. 1.10 INSURANCE : Clause 20 (C) of the Contract Conditions are applicable. 1.14 DEFECTS LIABILITY PERIOD : 24 MONTHS APPENDIX 1 con'td APPENDIX TO FORM OF TENDER</x:v>
      </x:c>
      <x:c r="J1528" s="43" t="str">
        <x:v>자동추출·검토필요</x:v>
      </x:c>
    </x:row>
    <x:row r="1529">
      <x:c r="A1529" s="43" t="str">
        <x:v>L2025-00051-2</x:v>
      </x:c>
      <x:c r="B1529" s="43" t="str">
        <x:v>부가세·예비비</x:v>
      </x:c>
      <x:c r="C1529" s="46" t="str">
        <x:v>contingency</x:v>
      </x:c>
      <x:c r="D1529" s="46" t="str"/>
      <x:c r="E1529" s="46" t="str">
        <x:v>$ 200 | $ 55 | $ 65 | 40 $ | $ 220,000.00 42 | $ 500,000.00 47</x:v>
      </x:c>
      <x:c r="F1529" s="46" t="str"/>
      <x:c r="G1529" s="46" t="str">
        <x:v>L2025-00051-2/Section 6- Specification Of Work/REHAB SPECIFICATION-ARCHITECTURAL.pdf</x:v>
      </x:c>
      <x:c r="H1529" s="43" t="str">
        <x:v>페이지 83</x:v>
      </x:c>
      <x:c r="I1529" s="46" t="str">
        <x:v>APPENDIX TO FORM OF TENDER NAME OF TENDERER : PROPOSED NATIONAL REHABILITATION CENTRE FOR MINISTRY OF HEALTH &amp; MEDICAL SERVICES SUMMARY OF TENDER Cost ITEM# REFERENCE DESCRIPTION 1 Preliminary and General $ - Earthworks/Civilworks, ( catchpit / sump / 2 culvert / manhole / services pipes, Trench) $ - 3 Concrete Works $ - 4 Fencing $ - 5 Driveway $ - 6 Fencing $ - 7 Main Gate and security hut $ - 8 Blockwall &amp; Foundation $ - 9 Structural Steel $ - 10 Masonry $ - 11 Metal Work $ - 12 Windows $ - 13 Aluminum Windows/Vent Grilles $ - 14 Carpentry $ - 15 Roofing $ - 16 Gibworks $ - 17 Kingspan Insulation $ - 18 Painting $ - 19 Glazing works(Include all mirrors) $ - 20 Solid Plasterwork $ - 21 Plumbing $ - 22 Drainage $ - 23 Steel Door supply &amp; installation $ - 24 Timber Doors supply &amp; installation $ - 24.1 Fire &amp; smoke Doors &amp; smoke windows supply &amp; installation $ - 25 JOINERY WORKS supply &amp; installation $ - 26 Water Storage Tanks supply &amp; installation $ - 27 PIR Refrigeration panels-refer to services drawings supply &amp; installation $ - 28 Stainless steel works(include all ss benches) supply &amp; installation $ - 29 Signage supply &amp; installation $ - 30 Landscaping works $ - 31 Any other ite</x:v>
      </x:c>
      <x:c r="J1529" s="43" t="str">
        <x:v>자동추출·검토필요</x:v>
      </x:c>
    </x:row>
    <x:row r="1530">
      <x:c r="A1530" s="43" t="str">
        <x:v>L2025-00051-2</x:v>
      </x:c>
      <x:c r="B1530" s="43" t="str">
        <x:v>부가세·예비비</x:v>
      </x:c>
      <x:c r="C1530" s="46" t="str">
        <x:v>vat</x:v>
      </x:c>
      <x:c r="D1530" s="46" t="str"/>
      <x:c r="E1530" s="46" t="str">
        <x:v>$ 30.00 | $ 30.00 | $ 910.00 | $ 11.80 | $ 47.20 1 3772 | $ 540.00 | $ 540.00 | $ 225.00</x:v>
      </x:c>
      <x:c r="F1530" s="46" t="str"/>
      <x:c r="G1530" s="46" t="str">
        <x:v>L2025-00051-2/Section 6- Specification Of Work/REHAB SPECIFICATION-ARCHITECTURAL.pdf</x:v>
      </x:c>
      <x:c r="H1530" s="43" t="str">
        <x:v>페이지 119</x:v>
      </x:c>
      <x:c r="I1530" s="46" t="str">
        <x:v>VSR6/SC Cylinder Escutcheon VSR7/SC Turn Knob 1 Master Key Charges $ 30.00 $ 30.00 Total $ 910.00 WD1 - 4 Bed Wards Entry (2 Sets) 4 LW10075BBSSS But Hinges $ 11.80 $ 47.20 1 3772XTLSS Vesitubule Set Mortice Lock $ 540.00 $ 540.00 VSR0/37SC Lever VSR6/SC Cylinder Escutcheon VSR7/SC Turn Knob 2 1200x300SSS Kick Plate $ 225.00 $ 450.00 1 726SIL Door Closer $ 565.00 $ 565.00 1 A250SC Floor Mounted Door Stopper $ 17.80 $ 17.80 1 Master Key Charges $ 30.00 $ 30.00 Total $ 1,650.00 2 Total of 2 Sets $ 3,300.00 WD2 4 LW10075BBSSS But Hinges $ 11.80 $ 47.20 1 3772XTLSS Vesitubule Set Mortice Lock $ 540.00 $ 540.00 VSR0/37SC Lever VSR6/SC Cylinder Escutcheon VSR7/SC Turn Knob 2 1200x300SSS Kick Plate $ 225.00 $ 450.00 1 726SIL Door Closer $ 565.00 $ 565.00 1 A250SC Floor Mounted Door Stopper $ 17.80 $ 17.80 1 Master Key Charges $ 30.00 $ 30.00 Total $ 1,650.00 Grand Total VIP $ 104,100.50 Prices for Tender purpose only Quotation Validity: 30/08/24. Prices are subject to current Exchange, Duty and VAT Rates. Please check door by door for any changes. Quotation based on Door Schedules provided, no floor plans provided. Upon confirmation we will liaise with our supplier for a Project prcie.</x:v>
      </x:c>
      <x:c r="J1530" s="43" t="str">
        <x:v>자동추출·검토필요</x:v>
      </x:c>
    </x:row>
    <x:row r="1531">
      <x:c r="A1531" s="43" t="str">
        <x:v>L2025-00051-2</x:v>
      </x:c>
      <x:c r="B1531" s="43" t="str">
        <x:v>부가세·예비비</x:v>
      </x:c>
      <x:c r="C1531" s="46" t="str">
        <x:v>vat</x:v>
      </x:c>
      <x:c r="D1531" s="46" t="str"/>
      <x:c r="E1531" s="46" t="str">
        <x:v>$ 11.80 | $ 47.20 1 300 | $ 60.00 | $ 60.00 1 300 | $ 68.00 | $ 68.00 1 314 | $ 38.00 | $ 38.00 2 900</x:v>
      </x:c>
      <x:c r="F1531" s="46" t="str"/>
      <x:c r="G1531" s="46" t="str">
        <x:v>L2025-00051-2/Section 6- Specification Of Work/REHAB SPECIFICATION-ARCHITECTURAL.pdf</x:v>
      </x:c>
      <x:c r="H1531" s="43" t="str">
        <x:v>페이지 123</x:v>
      </x:c>
      <x:c r="I1531" s="46" t="str">
        <x:v>D6 - Passage (2 Sets) 4 LW10075BBSSS Butt Hinges $ 11.80 $ 47.20 1 300x100SSS Push Plate $ 60.00 $ 60.00 1 300x100/08SSS Pull Plate w/ D Handle $ 68.00 $ 68.00 1 314SC Dust Socket $ 38.00 $ 38.00 2 900x300SSS Push Plate $ 198.00 $ 396.00 2 900x300SSS Kick Plate $ 198.00 $ 396.00 1 726SIL Door Closer $ 565.00 $ 565.00 1 A250SC Floor Mounted Door Stopper $ 17.80 $ 17.80 Total $ 1,588.00 2 Total of 2 Sets $ 3,176.00 D7 - Server IT/Executive Office/HOD Office/Admin Office/Pharmacy (5 Sets) 4 LW10075BBSSS But Hinges $ 11.80 $ 47.20 1 3772XTLSS Vesitubule Set Mortice Lock $ 540.00 $ 540.00 VSR0/37SC Lever VSR6/SC Cylinder Escutcheon VSR7/SC Turn Knob 2 1200x300SSS Kick Plate $ 225.00 $ 450.00 1 726SIL Door Closer $ 565.00 $ 565.00 1 A250SC Floor Mounted Door Stopper $ 17.80 $ 17.80 1 Master Key Charges $ 30.00 $ 30.00 Total $ 1,650.00 5 Total of 5 Sets $ 8,250.00 D8 - Main Lobby 4 LW10075BBSSS But Hinges $ 11.80 $ 47.20 2 1200x300SSS Kick Plate $ 225.00 $ 450.00 1 726SIL Door Closer $ 565.00 $ 565.00 1 A250SC Floor Mounted Door Stopper $ 17.80 $ 17.80 Access Control by Others Total $ 1,080.00 WD1 by Others Grand Total VIP $ 39,938.80 Prices for Tender purpose only Quotation Validity: 30/</x:v>
      </x:c>
      <x:c r="J1531" s="43" t="str">
        <x:v>자동추출·검토필요</x:v>
      </x:c>
    </x:row>
    <x:row r="1532">
      <x:c r="A1532" s="43" t="str">
        <x:v>L2025-00051-2</x:v>
      </x:c>
      <x:c r="B1532" s="43" t="str">
        <x:v>부가세·예비비</x:v>
      </x:c>
      <x:c r="C1532" s="46" t="str">
        <x:v>vat</x:v>
      </x:c>
      <x:c r="D1532" s="46" t="str"/>
      <x:c r="E1532" s="46" t="str">
        <x:v>$ 39,987.10</x:v>
      </x:c>
      <x:c r="F1532" s="46" t="str"/>
      <x:c r="G1532" s="46" t="str">
        <x:v>L2025-00051-2/Section 6- Specification Of Work/REHAB SPECIFICATION-ARCHITECTURAL.pdf</x:v>
      </x:c>
      <x:c r="H1532" s="43" t="str">
        <x:v>페이지 132</x:v>
      </x:c>
      <x:c r="I1532" s="46" t="str">
        <x:v>Grand Total VIP $ 39,987.10 Prices for Tender purpose only Quotation Validity: 30/11/24. Prices are subject to current Exchange, Duty and VAT Rates. Please check door by door for any changes. Quotation based on Door Schedules and floor plans provided. Upon confirmation we will liaise with our supplier for a Project prcie. For any further query, please do not hesitate to be in contact. Kind Regards NOT SIGNED SENT BY EMAIL ……………………… Chris Mua Ph. 8095215</x:v>
      </x:c>
      <x:c r="J1532" s="43" t="str">
        <x:v>자동추출·검토필요</x:v>
      </x:c>
    </x:row>
    <x:row r="1533">
      <x:c r="A1533" s="43" t="str">
        <x:v>L2025-00051-2</x:v>
      </x:c>
      <x:c r="B1533" s="43" t="str">
        <x:v>부가세·예비비</x:v>
      </x:c>
      <x:c r="C1533" s="46" t="str">
        <x:v>vat</x:v>
      </x:c>
      <x:c r="D1533" s="46" t="str"/>
      <x:c r="E1533" s="46" t="str">
        <x:v>$ 11.80 | $ 47.20 1 3640 | $ 520.00 | $ 520.00 1 231 | $ 165.00 | $ 165.00 1 724 | $ 335.00 | $ 335.00 1</x:v>
      </x:c>
      <x:c r="F1533" s="46" t="str"/>
      <x:c r="G1533" s="46" t="str">
        <x:v>L2025-00051-2/Section 6- Specification Of Work/REHAB SPECIFICATION-ARCHITECTURAL.pdf</x:v>
      </x:c>
      <x:c r="H1533" s="43" t="str">
        <x:v>페이지 133</x:v>
      </x:c>
      <x:c r="I1533" s="46" t="str">
        <x:v>EDEN &amp; ASSOCIATES PTE LTD 2 BREWSTER ST, TOORAK NADI OFFICE : 4 CAWA ROAD PO BOX 18686, SUVA, FIJI MARTINTAR, NADI PHONE : 331 2398/331 2155 PHONE : 672 4522 MOBILE : 8999968 MOBILE : 8999965 FAX : 330 0500 FAX : 672 4537 E-MAIL : edensuva@hotmail.com E-MAIL : edennadi@hotmail.com 22-Oct-24 Pola Designs Suva Attention: Mitesh/Adrian/Stepen Re: Korea International Cooperation Agency Ministry of Health and Medical Services Proposed National Rehabilitation Centre Guard House Tamavua Lockwood Door Hardware We have pleasure in quoting for the above as follows. D1 4 LW10070BBFFSSS Flush Hinges $ 11.80 $ 47.20 1 3640RT2SC SB Mortice Lock $ 520.00 $ 520.00 1 231x300SSS BTB Handle $ 165.00 $ 165.00 1 724SIL Door Closer $ 335.00 $ 335.00 1 A250SC Floor Mounted Door Stopper $ 17.80 $ 17.80 1 Master Key Charges $ 30.00 $ 30.00 Total $ 1,115.00 Grand Total VIP $ 1,115.00 Prices for Tender purpose only Quotation Validity: 30/11/24. Prices are subject to current Exchange, Duty and VAT Rates. Please check door by door for any changes. Quotation based on Door Schedules provided, no floor plans provided.</x:v>
      </x:c>
      <x:c r="J1533" s="43" t="str">
        <x:v>자동추출·검토필요</x:v>
      </x:c>
    </x:row>
    <x:row r="1534">
      <x:c r="A1534" s="43" t="str">
        <x:v>L2025-00051-2</x:v>
      </x:c>
      <x:c r="B1534" s="43" t="str">
        <x:v>부가세·예비비</x:v>
      </x:c>
      <x:c r="C1534" s="46" t="str">
        <x:v>vat, reserve</x:v>
      </x:c>
      <x:c r="D1534" s="46" t="str"/>
      <x:c r="E1534" s="46" t="str"/>
      <x:c r="F1534" s="46" t="str">
        <x:v>40% | 5% | 2% | 2%</x:v>
      </x:c>
      <x:c r="G1534" s="46" t="str">
        <x:v>L2025-00051-2/Section 6- Specification Of Work/REHAB SPECIFICATION-ARCHITECTURAL.pdf</x:v>
      </x:c>
      <x:c r="H1534" s="43" t="str">
        <x:v>페이지 147</x:v>
      </x:c>
      <x:c r="I1534" s="46" t="str">
        <x:v>Terms &amp; Conditions: Payment Terms: A 40% deposit required at the time of Order. Price Basis: Prices quoted are Exclusive of VAT. Above prices are given based on quantity as quoted and any changes in quantity will lead to price change. The attached prices were calculated at a fiscal duty rate of 5%, in the event, the duty rate is changed by FRCS, the revised amount of duty will be passed on to you. The attached prices were calculated at a foreign exchange rate of FJD1.00 = AUD0.6476 Any variation in the quoted exchange rate and bank sell exchange rate at the date of invoice will necessitate a review of the selling price. We shall cover variations of up to +/-2% of the quoted exchange rate. Any variation greater than +/-2% between the quoted exchange rate and the bank sell exchange rate at the date of invoice will necessitate a review of the selling price. Escalation: The Company reserves the right to review prices according to changes in cost structures that are beyond the Company's ability to control. The main basis for any price changes will be variances in cost areas such as an increase in VAT, Fiscal / Excise Duty, Freight costs, or any increase in the supplier price for the pro</x:v>
      </x:c>
      <x:c r="J1534" s="43" t="str">
        <x:v>자동추출·검토필요</x:v>
      </x:c>
    </x:row>
    <x:row r="1535">
      <x:c r="A1535" s="43" t="str">
        <x:v>L2025-00051-2</x:v>
      </x:c>
      <x:c r="B1535" s="43" t="str">
        <x:v>부가세·예비비</x:v>
      </x:c>
      <x:c r="C1535" s="46" t="str">
        <x:v>vat, reserve</x:v>
      </x:c>
      <x:c r="D1535" s="46" t="str"/>
      <x:c r="E1535" s="46" t="str"/>
      <x:c r="F1535" s="46" t="str">
        <x:v>40% | 5% | 2% | 2%</x:v>
      </x:c>
      <x:c r="G1535" s="46" t="str">
        <x:v>L2025-00051-2/Section 6- Specification Of Work/REHAB SPECIFICATION-ARCHITECTURAL.pdf</x:v>
      </x:c>
      <x:c r="H1535" s="43" t="str">
        <x:v>페이지 155</x:v>
      </x:c>
      <x:c r="I1535" s="46" t="str">
        <x:v>Terms &amp; Conditions: Payment Terms: A 40% deposit required at the time of Order. Price Basis: Prices quoted are Exclusive of VAT. Above prices are given based on quantity as quoted and any changes in quantity will lead to price change. The attached prices were calculated at a fiscal duty rate of 5%, in the event, the duty rate is changed by FRCS, the revised amount of duty will be passed on to you. The attached prices were calculated at a foreign exchange rate of FJD1.00 = AUD0.6476 Any variation in the quoted exchange rate and bank sell exchange rate at the date of invoice will necessitate a review of the selling price. We shall cover variations of up to +/-2% of the quoted exchange rate. Any variation greater than +/-2% between the quoted exchange rate and the bank sell exchange rate at the date of invoice will necessitate a review of the selling price. Escalation: The Company reserves the right to review prices according to changes in cost structures that are beyond the Company's ability to control. The main basis for any price changes will be variances in cost areas such as an increase in VAT, Fiscal / Excise Duty, Freight costs, or any increase in the supplier price for the pro</x:v>
      </x:c>
      <x:c r="J1535" s="43" t="str">
        <x:v>자동추출·검토필요</x:v>
      </x:c>
    </x:row>
    <x:row r="1536">
      <x:c r="A1536" s="43" t="str">
        <x:v>L2025-00051-2</x:v>
      </x:c>
      <x:c r="B1536" s="43" t="str">
        <x:v>부가세·예비비</x:v>
      </x:c>
      <x:c r="C1536" s="46" t="str">
        <x:v>vat, reserve</x:v>
      </x:c>
      <x:c r="D1536" s="46" t="str"/>
      <x:c r="E1536" s="46" t="str"/>
      <x:c r="F1536" s="46" t="str">
        <x:v>40% | 5% | 2% | 2%</x:v>
      </x:c>
      <x:c r="G1536" s="46" t="str">
        <x:v>L2025-00051-2/Section 6- Specification Of Work/REHAB SPECIFICATION-ARCHITECTURAL.pdf</x:v>
      </x:c>
      <x:c r="H1536" s="43" t="str">
        <x:v>페이지 163</x:v>
      </x:c>
      <x:c r="I1536" s="46" t="str">
        <x:v>Terms &amp; Conditions: Payment Terms: A 40% deposit required at the time of Order. Price Basis: Prices quoted are Exclusive of VAT. Above prices are given based on quantity as quoted and any changes in quantity will lead to price change. The attached prices were calculated at a fiscal duty rate of 5%, in the event, the duty rate is changed by FRCS, the revised amount of duty will be passed on to you. The attached prices were calculated at a foreign exchange rate of FJD1.00 = AUD0.6476 Any variation in the quoted exchange rate and bank sell exchange rate at the date of invoice will necessitate a review of the selling price. We shall cover variations of up to +/-2% of the quoted exchange rate. Any variation greater than +/-2% between the quoted exchange rate and the bank sell exchange rate at the date of invoice will necessitate a review of the selling price. Escalation: The Company reserves the right to review prices according to changes in cost structures that are beyond the Company's ability to control. The main basis for any price changes will be variances in cost areas such as an increase in VAT, Fiscal / Excise Duty, Freight costs, or any increase in the supplier price for the pro</x:v>
      </x:c>
      <x:c r="J1536" s="43" t="str">
        <x:v>자동추출·검토필요</x:v>
      </x:c>
    </x:row>
    <x:row r="1537">
      <x:c r="A1537" s="43" t="str">
        <x:v>L2025-00051-2</x:v>
      </x:c>
      <x:c r="B1537" s="43" t="str">
        <x:v>부가세·예비비</x:v>
      </x:c>
      <x:c r="C1537" s="46" t="str">
        <x:v>vat, reserve</x:v>
      </x:c>
      <x:c r="D1537" s="46" t="str"/>
      <x:c r="E1537" s="46" t="str"/>
      <x:c r="F1537" s="46" t="str">
        <x:v>40% | 5% | 2% | 2%</x:v>
      </x:c>
      <x:c r="G1537" s="46" t="str">
        <x:v>L2025-00051-2/Section 6- Specification Of Work/REHAB SPECIFICATION-ARCHITECTURAL.pdf</x:v>
      </x:c>
      <x:c r="H1537" s="43" t="str">
        <x:v>페이지 168</x:v>
      </x:c>
      <x:c r="I1537" s="46" t="str">
        <x:v>Terms &amp; Conditions: Payment Terms: A 40% deposit required at the time of Order. Price Basis: Prices quoted are Exclusive of VAT. Above prices are given based on quantity as quoted and any changes in quantity will lead to price change. The attached prices were calculated at a fiscal duty rate of 5%, in the event, the duty rate is changed by FRCS, the revised amount of duty will be passed on to you. The attached prices were calculated at a foreign exchange rate of FJD1.00 = AUD0.6476 Any variation in the quoted exchange rate and bank sell exchange rate at the date of invoice will necessitate a review of the selling price. We shall cover variations of up to +/-2% of the quoted exchange rate. Any variation greater than +/-2% between the quoted exchange rate and the bank sell exchange rate at the date of invoice will necessitate a review of the selling price. Escalation: The Company reserves the right to review prices according to changes in cost structures that are beyond the Company's ability to control. The main basis for any price changes will be variances in cost areas such as an increase in VAT, Fiscal / Excise Duty, Freight costs, or any increase in the supplier price for the pro</x:v>
      </x:c>
      <x:c r="J1537" s="43" t="str">
        <x:v>자동추출·검토필요</x:v>
      </x:c>
    </x:row>
    <x:row r="1538">
      <x:c r="A1538" s="43" t="str">
        <x:v>L2025-00051-2</x:v>
      </x:c>
      <x:c r="B1538" s="43" t="str">
        <x:v>부가세·예비비</x:v>
      </x:c>
      <x:c r="C1538" s="46" t="str">
        <x:v>vat</x:v>
      </x:c>
      <x:c r="D1538" s="46" t="str">
        <x:v>90 square metres</x:v>
      </x:c>
      <x:c r="E1538" s="46" t="str"/>
      <x:c r="F1538" s="46" t="str">
        <x:v>20% | 20%</x:v>
      </x:c>
      <x:c r="G1538" s="46" t="str">
        <x:v>L2025-00051-2/Section 6- Specification Of Work/REHAB SPECIFICATION-ARCHITECTURAL.pdf</x:v>
      </x:c>
      <x:c r="H1538" s="43" t="str">
        <x:v>페이지 174</x:v>
      </x:c>
      <x:c r="I1538" s="46" t="str">
        <x:v>ARDEX Butynol® BRANZ Appraised, E2/AS1 Acceptable Solution SUBSTRATE SPECIFICATION (Plywood) SUBSTRATE SPECIFICATION (Concrete) To conform with Acceptable Solution E2/AS1 plywood New concrete shall be: Must be cured for a minimum of 28 days and all curing A minimum of 17mm complying with AS/NZS 2269, at compounds removed prior to application. least CD Structural Grade plywood with the sanded C A reduction in cure time can be achieved by utilising face upwards, and H3.2 with Waterborne CCA treatment the Ardex HydrEpoxy System (consult Ardex Technical and kiln dried after treatment. Department for details). Substrates must be dry when Butynol® is applied. Old concrete The plywood and the timber substructure shall have a maximum moisture content of 20% when Butynol is Must be clean from any contaminents prior to adhered. application. Plywood panels shall be laid with staggered joints For further substrate types please consult Ardex (brick bond), the edge of sheets shall be supported Technical Department. with dwangs or framing, unless a structurally tested tongue-in-groove edge provides equivalent support. The ROOF VENTILATION maximum recommended span in E2/AS1 is 400mm. The most impo</x:v>
      </x:c>
      <x:c r="J1538" s="43" t="str">
        <x:v>자동추출·검토필요</x:v>
      </x:c>
    </x:row>
    <x:row r="1539">
      <x:c r="A1539" s="43" t="str">
        <x:v>L2025-00051-2</x:v>
      </x:c>
      <x:c r="B1539" s="43" t="str">
        <x:v>부가세·예비비</x:v>
      </x:c>
      <x:c r="C1539" s="46" t="str">
        <x:v>vat</x:v>
      </x:c>
      <x:c r="D1539" s="46" t="str"/>
      <x:c r="E1539" s="46" t="str"/>
      <x:c r="F1539" s="46" t="str">
        <x:v>98% | 98%</x:v>
      </x:c>
      <x:c r="G1539" s="46" t="str">
        <x:v>L2025-00051-2/Section 6- Specification Of Work/Services Specifications/3921-Specifications-Communication Services-T1-2024.08.22.pdf</x:v>
      </x:c>
      <x:c r="H1539" s="43" t="str">
        <x:v>페이지 22</x:v>
      </x:c>
      <x:c r="I1539" s="46" t="str">
        <x:v>EXTERNAL TELECOMS AND TRENCHING The Telecommunications contractor shall allow all relevant costs for external telecommunications cabling, including fiber optic and copper cabling in separate conduits to main distribution frame via pre-cast telecommunications cable pits. Allow all necessary costs for Telecom Fiji Limited's scope of works. Allows costs for active equipment such as routers in the case of fiber optic cabling. Allow for all costs associated with Trenching. Trenching works to include complete road, footpath and verge excavation, sand bedding, conduit laying including pits, warning tape, back filling, compaction, compaction tests by DCP method to 98% compaction, road, footpath and landscape reinstatement works. All trenching works shall be done by Telecom Fiji contractor outside boundary and by Main contractor inside property boundary. The final completed road, footpath and landscaping works shall be inspected, approved and certified by the Fiji Roads Authority. Include all costs associated with FRA application, liaison, inspection and final approvals in the Telecommunication Contractors price and scope. All costs associated with external telecommunications services to si</x:v>
      </x:c>
      <x:c r="J1539" s="43" t="str">
        <x:v>자동추출·검토필요</x:v>
      </x:c>
    </x:row>
    <x:row r="1540">
      <x:c r="A1540" s="43" t="str">
        <x:v>L2025-00051-2</x:v>
      </x:c>
      <x:c r="B1540" s="43" t="str">
        <x:v>부가세·예비비</x:v>
      </x:c>
      <x:c r="C1540" s="46" t="str">
        <x:v>reserve</x:v>
      </x:c>
      <x:c r="D1540" s="46" t="str"/>
      <x:c r="E1540" s="46" t="str"/>
      <x:c r="F1540" s="46" t="str">
        <x:v>25% | 75% | 110% | 110% | 1% | 100% | 15% | 97%</x:v>
      </x:c>
      <x:c r="G1540" s="46" t="str">
        <x:v>L2025-00051-2/Section 6- Specification Of Work/Services Specifications/3921-Specifications-Electrical Services-T1-2024.08.22.pdf</x:v>
      </x:c>
      <x:c r="H1540" s="43" t="str">
        <x:v>페이지 30</x:v>
      </x:c>
      <x:c r="I1540" s="46" t="str">
        <x:v>The windings shall be vacuum impregnated, of Class H impregnation. The sets shall withstand an over speed of 25% without damage. [For sets 1,000 kV or more, specify a resistance temperature detector in each phase winding]. Provide automatic voltage regulation and excitation control with the facility for manual adjustment from the local control panel. The system shall be suitable for substantial solid state electronic loads as well as large motor-starting duty. The equipment shall comprise a permanent magnet rotating-exciter and voltage-regulator, fitted with over-excitation limiting device and diode failure alarm/indicators, and equipped with all necessary auxiliaries and accessories including instrument transformers, resistors, rheostats, shunts, field suppression switch, relays and necessary parts to form a complete voltage regulating system. The automatic voltage regulator shall be of grade VR3 as per BS 4999: Part 140 and operate over the range of 75% to 110% nominal generator voltage from no load to 110% site rated kVA at rated lagging power factor, and from 47-53 Hz. It shall be possible to manually adjust the setting of the nominal voltage to be maintained automatically. The</x:v>
      </x:c>
      <x:c r="J1540" s="43" t="str">
        <x:v>자동추출·검토필요</x:v>
      </x:c>
    </x:row>
    <x:row r="1541">
      <x:c r="A1541" s="43" t="str">
        <x:v>L2025-00051-2</x:v>
      </x:c>
      <x:c r="B1541" s="43" t="str">
        <x:v>부가세·예비비</x:v>
      </x:c>
      <x:c r="C1541" s="46" t="str">
        <x:v>reserve</x:v>
      </x:c>
      <x:c r="D1541" s="46" t="str"/>
      <x:c r="E1541" s="46" t="str"/>
      <x:c r="F1541" s="46" t="str">
        <x:v>100%</x:v>
      </x:c>
      <x:c r="G1541" s="46" t="str">
        <x:v>L2025-00051-2/Section 6- Specification Of Work/Services Specifications/3921-Specifications-Fire protection Services-T1-2024.08.22.pdf</x:v>
      </x:c>
      <x:c r="H1541" s="43" t="str">
        <x:v>페이지 11</x:v>
      </x:c>
      <x:c r="I1541" s="46" t="str">
        <x:v>EDISON CONSULTANTS LIMITED 22 MARION STREET, SUVA, FIJI ISLANDS GPO BOX 11622 SUVA, FIJI ISLANDS TELEPHONE: (679) 330 7060 FAX: (679) 330 3744 MOBILE: (679) 999 0676 ■ website: www.edisonconsultants.com ■ office email: info@edisonconsultants.com ■ project manager: edisonfiji@gmail.com The Contractor shall ensure all of the equipment is suitable for testing procedures and that all instrumentation is accurately calibrated. The Contractor shall provide technicians and/or other personnel at the Contractor’s costs, required to carry out the testing procedures. The Contractor shall ensure that their site supervisor, technicians and sub-contractors are available for all inspection, testing and/or commissioning of the installation as required. The contractor shall make good, repair, replace and/or reinstall any equipment or materials that are found to be unsatisfactory as a result of site inspection. Such work shall be to the Contractors cost. The Contractor shall ensure that the relevant local authorities witness testing as they may require and provide sign-off of the same. The Contractor shall ensure that the Engineer is allowed to witness all tests at all times including those conducted</x:v>
      </x:c>
      <x:c r="J1541" s="43" t="str">
        <x:v>자동추출·검토필요</x:v>
      </x:c>
    </x:row>
    <x:row r="1542">
      <x:c r="A1542" s="43" t="str">
        <x:v>L2025-00051-2</x:v>
      </x:c>
      <x:c r="B1542" s="43" t="str">
        <x:v>부가세·예비비</x:v>
      </x:c>
      <x:c r="C1542" s="46" t="str">
        <x:v>reserve</x:v>
      </x:c>
      <x:c r="D1542" s="46" t="str"/>
      <x:c r="E1542" s="46" t="str"/>
      <x:c r="F1542" s="46" t="str">
        <x:v>0.5%</x:v>
      </x:c>
      <x:c r="G1542" s="46" t="str">
        <x:v>L2025-00051-2/Section 7 - General Conditions of Contract.docx</x:v>
      </x:c>
      <x:c r="H1542" s="43" t="str">
        <x:v>표 4 행 109</x:v>
      </x:c>
      <x:c r="I1542"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542" s="43" t="str">
        <x:v>자동추출·검토필요</x:v>
      </x:c>
    </x:row>
    <x:row r="1543">
      <x:c r="A1543" s="43" t="str">
        <x:v>L2025-00051-2</x:v>
      </x:c>
      <x:c r="B1543" s="43" t="str">
        <x:v>부가세·예비비</x:v>
      </x:c>
      <x:c r="C1543" s="46" t="str">
        <x:v>reserve</x:v>
      </x:c>
      <x:c r="D1543" s="46" t="str"/>
      <x:c r="E1543" s="46" t="str"/>
      <x:c r="F1543" s="46" t="str">
        <x:v>50% | 50%</x:v>
      </x:c>
      <x:c r="G1543" s="46" t="str">
        <x:v>L2025-00051-2/Section 7 - General Conditions of Contract.docx</x:v>
      </x:c>
      <x:c r="H1543" s="43" t="str">
        <x:v>표 12 행 61</x:v>
      </x:c>
      <x:c r="I1543"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543" s="43" t="str">
        <x:v>자동추출·검토필요</x:v>
      </x:c>
    </x:row>
    <x:row r="1544">
      <x:c r="A1544" s="43" t="str">
        <x:v>L2025-00051-2</x:v>
      </x:c>
      <x:c r="B1544" s="43" t="str">
        <x:v>부가세·예비비</x:v>
      </x:c>
      <x:c r="C1544" s="46" t="str">
        <x:v>contingency</x:v>
      </x:c>
      <x:c r="D1544" s="46" t="str"/>
      <x:c r="E1544" s="46" t="str"/>
      <x:c r="F1544" s="46" t="str">
        <x:v>0.5%</x:v>
      </x:c>
      <x:c r="G1544" s="46" t="str">
        <x:v>L2025-00051-2/Section 8 - Specail Conditions of ContractR1.docx</x:v>
      </x:c>
      <x:c r="H1544" s="43" t="str">
        <x:v>문단 22</x:v>
      </x:c>
      <x:c r="I1544" s="46" t="str">
        <x:v>- At least 0.5% of the total Construction Costs excluding Contingency Sums.</x:v>
      </x:c>
      <x:c r="J1544" s="43" t="str">
        <x:v>자동추출·검토필요</x:v>
      </x:c>
    </x:row>
    <x:row r="1545">
      <x:c r="A1545" s="43" t="str">
        <x:v>L2025-00051-1</x:v>
      </x:c>
      <x:c r="B1545" s="43" t="str">
        <x:v>부가세·예비비</x:v>
      </x:c>
      <x:c r="C1545" s="46" t="str">
        <x:v>contingency</x:v>
      </x:c>
      <x:c r="D1545" s="46" t="str"/>
      <x:c r="E1545" s="46" t="str"/>
      <x:c r="F1545" s="46" t="str">
        <x:v>0.5%</x:v>
      </x:c>
      <x:c r="G1545" s="46" t="str">
        <x:v>L2025-00051-1/Section 2 - Bid Data Sheet (BDS).hwp</x:v>
      </x:c>
      <x:c r="H1545" s="43" t="str">
        <x:v>문단 195</x:v>
      </x:c>
      <x:c r="I1545" s="46" t="str">
        <x:v>- At least 0.5% of total construction cost minus provisional sums(Contingency Sums).</x:v>
      </x:c>
      <x:c r="J1545" s="43" t="str">
        <x:v>자동추출·검토필요</x:v>
      </x:c>
    </x:row>
    <x:row r="1546">
      <x:c r="A1546" s="43" t="str">
        <x:v>L2025-00051-1</x:v>
      </x:c>
      <x:c r="B1546" s="43" t="str">
        <x:v>부가세·예비비</x:v>
      </x:c>
      <x:c r="C1546" s="46" t="str">
        <x:v>vat, contingency</x:v>
      </x:c>
      <x:c r="D1546" s="46" t="str"/>
      <x:c r="E1546" s="46" t="str"/>
      <x:c r="F1546" s="46" t="str">
        <x:v>10% | 5 %</x:v>
      </x:c>
      <x:c r="G1546" s="46" t="str">
        <x:v>L2025-00051-1/Section 6- Specification Of Work/REHAB SPECIFICATION-ARCHITECTURAL.pdf</x:v>
      </x:c>
      <x:c r="H1546" s="43" t="str">
        <x:v>페이지 10</x:v>
      </x:c>
      <x:c r="I1546" s="46" t="str">
        <x:v>designed by the Employer and handed to the Project Managers before issue of the Final Payment. 1.31 CURRENCY: 1.31.1 Tender shall only be submitted in Fiji currency and payments by the Employer to the Contractor in terms of his Contract will be in Fiji currency. 1.32 PROGRESS PAYMENTS &amp; RETENTIONS: 1.32.1 No progress claim shall be made for the sum less than that stated in Appendix to the Fiji Standard Form of Building Contract, without Quantities, Private Edition 1978 for building and Engineering works designed by the Employer Item 12 except for the claim at the time of Practical Completion and Final Payment. 1.32.2 A retention of 10% shall be held upon progress payments up to the issue of the Practical Completion certificate. The retention will then be reduced to 5 % to cover the Defects Liability Period. 1.32.3 No advance payments shall be permitted. 1.33 PROCEDURE FOR VARIATIONS: All Variation should be strictly as per Fiji Standard Form of Building Contract, without Quantities, Private Edition 1978 for building and Engineering works designed by the Employer. 1.34 CONTINGENCY SUM: 1.34.1 Allow a contingency sum as set out in Section 2 Schedule of Monetary Allowances. The expend</x:v>
      </x:c>
      <x:c r="J1546" s="43" t="str">
        <x:v>자동추출·검토필요</x:v>
      </x:c>
    </x:row>
    <x:row r="1547">
      <x:c r="A1547" s="43" t="str">
        <x:v>L2025-00051-1</x:v>
      </x:c>
      <x:c r="B1547" s="43" t="str">
        <x:v>부가세·예비비</x:v>
      </x:c>
      <x:c r="C1547" s="46" t="str">
        <x:v>vat, reserve</x:v>
      </x:c>
      <x:c r="D1547" s="46" t="str"/>
      <x:c r="E1547" s="46" t="str"/>
      <x:c r="F1547" s="46" t="str">
        <x:v>17% | 15 % | 14 %</x:v>
      </x:c>
      <x:c r="G1547" s="46" t="str">
        <x:v>L2025-00051-1/Section 6- Specification Of Work/REHAB SPECIFICATION-ARCHITECTURAL.pdf</x:v>
      </x:c>
      <x:c r="H1547" s="43" t="str">
        <x:v>페이지 37</x:v>
      </x:c>
      <x:c r="I1547" s="46" t="str">
        <x:v>treated Kauvula treated Kaudamu Flooring: Exterior Sacau, Vesi, Yasiyasi, Interior Damanu, Sacau, Yasiyasi,Rosarosa Balustrades: Exterior Sacau, Vesi, Yasiyasi, Rosarosa Doors:Exterior treated Dakua Makadre treated Dakua Salusalu Interior treated Kaudamu treated Kauvula Frames treated Dakua Makadre treated Dakua Salusalu treated KauvulaSills Rosarosa, Sacau, Vesi, Yasiyasi Windows: Frames &amp; Sashes treated Dakua Makadre treated Dakua Salusalu Sills treated Dakua Makadre treated Dakua Salusalu Rosarosa, Sacau, Vesi, Yasiyasi 10.2.4 Treatment : All timbers noted above as being treated shall have Tanalith NCA pressure treatment as specified at end of this section. 10.2.5 Moisture Content : The moisture content of the timbers shall be strictly adhered to. The Project Manager reserve the right to submit any timbers to a recognized testing authority for testing and report. Moisture Content for Exterior Use Timbers shall be a maximum of 17 percent plus or minus 3 percent. Moisture Content for Interior Use Timbers shall be within plus or minus 3 percent of the figure stated for the applicable zone in the following schedule: Wet Zone : Suva, Nausori, Lami, Deuba, Korovou, Savusavu, Taveuni 1</x:v>
      </x:c>
      <x:c r="J1547" s="43" t="str">
        <x:v>자동추출·검토필요</x:v>
      </x:c>
    </x:row>
    <x:row r="1548">
      <x:c r="A1548" s="43" t="str">
        <x:v>L2025-00051-1</x:v>
      </x:c>
      <x:c r="B1548" s="43" t="str">
        <x:v>부가세·예비비</x:v>
      </x:c>
      <x:c r="C1548" s="46" t="str">
        <x:v>vat</x:v>
      </x:c>
      <x:c r="D1548" s="46" t="str"/>
      <x:c r="E1548" s="46" t="str"/>
      <x:c r="F1548" s="46" t="str">
        <x:v>25%</x:v>
      </x:c>
      <x:c r="G1548" s="46" t="str">
        <x:v>L2025-00051-1/Section 6- Specification Of Work/REHAB SPECIFICATION-ARCHITECTURAL.pdf</x:v>
      </x:c>
      <x:c r="H1548" s="43" t="str">
        <x:v>페이지 38</x:v>
      </x:c>
      <x:c r="I1548" s="46" t="str">
        <x:v>of sufficient length and gauge for their purpose. Screws for door furniture and other iron mongery shall be of material and pattern to match the various fittings. All screws exposed to the outside shall be solid brass. All nails and bolts shall be galvanized. 10.2.7 TIMBER FASTENERS Proprietary and patent fasteners and fixings shall be installed in strict accordance with manufacturer’s instructions .All nails spikes, brads, staples, bolts and accessories of ferrous metal shall be hot dip galvanised. All structural visible screws shall be solid brass. Bolts shall be of correct lengths protruding one and a half turns of the thread beyond the nut when tightened. Bolt heads and nuts bearing against timber shall be fitted with square washers as follows: - Bolt Washers Standard M10 Cuphead M10 38 x 38 x 2.0 M12 50 x 50 x 3.0 M16 and over 65 x 65 x 5 10.2.8 STRUCTURAL TIMBER/PRESERVATIVE TREATMENT Timber for structural purposes shall be Fiji - C - Select complying with the National Grading Rules for Fijian Timber 1986 unless otherwise stated. Plates, bearers and door and window frames shall be dense local hardwood. All other framing timber shall be of strength Grade F7 of moisture content</x:v>
      </x:c>
      <x:c r="J1548" s="43" t="str">
        <x:v>자동추출·검토필요</x:v>
      </x:c>
    </x:row>
    <x:row r="1549">
      <x:c r="A1549" s="43" t="str">
        <x:v>L2025-00051-1</x:v>
      </x:c>
      <x:c r="B1549" s="43" t="str">
        <x:v>부가세·예비비</x:v>
      </x:c>
      <x:c r="C1549" s="46" t="str">
        <x:v>vat</x:v>
      </x:c>
      <x:c r="D1549" s="46" t="str"/>
      <x:c r="E1549" s="46" t="str"/>
      <x:c r="F1549" s="46" t="str">
        <x:v>17% | 15 % | 14 %</x:v>
      </x:c>
      <x:c r="G1549" s="46" t="str">
        <x:v>L2025-00051-1/Section 6- Specification Of Work/REHAB SPECIFICATION-ARCHITECTURAL.pdf</x:v>
      </x:c>
      <x:c r="H1549" s="43" t="str">
        <x:v>페이지 42</x:v>
      </x:c>
      <x:c r="I1549" s="46" t="str">
        <x:v>SECTION 11 : JOINERY 11.1 PRELIMINARY: 11.1.1 General: Refer to the applicable Fiji Standard Form of Building Contract, without Quantities, Private Edition 1978 and the Preliminary and General clauses which will also apply to this section of the work. 11.1.2 Standards: The following standards shall form part of the specification: NZS 3601: Metric Dimensions for Timber NZS 632 : The Kiln Drying of Timber 11.2 WORKMANSHIP: 11.2.1 General : All joinery and finishings shall be made framed and finished in accordance with the above standards.Employ only skilled competent tradesmen appropriately qualified and registered or licensed at the time of carrying out the work. 11.2.2 Priming : Exterior joinery shall have meeting faces and joints primed during assembly. All joinery shall have the first coat of finish applied immediately after manufacture and before leaving the Joiner's shop. Refer to Schedule of finishes for priming type required. 11.3 MATERIALS: 11.3.1 General: All timber shall be of the best quality of the various kinds specified, free from defects, making it unsuitable for its particular purpose and shall comply with the Department of Forestry Standard Grading Rules for Joinery</x:v>
      </x:c>
      <x:c r="J1549" s="43" t="str">
        <x:v>자동추출·검토필요</x:v>
      </x:c>
    </x:row>
    <x:row r="1550">
      <x:c r="A1550" s="43" t="str">
        <x:v>L2025-00051-1</x:v>
      </x:c>
      <x:c r="B1550" s="43" t="str">
        <x:v>부가세·예비비</x:v>
      </x:c>
      <x:c r="C1550" s="46" t="str">
        <x:v>vat</x:v>
      </x:c>
      <x:c r="D1550" s="46" t="str"/>
      <x:c r="E1550" s="46" t="str">
        <x:v>$ 2000.00</x:v>
      </x:c>
      <x:c r="F1550" s="46" t="str"/>
      <x:c r="G1550" s="46" t="str">
        <x:v>L2025-00051-1/Section 6- Specification Of Work/REHAB SPECIFICATION-ARCHITECTURAL.pdf</x:v>
      </x:c>
      <x:c r="H1550" s="43" t="str">
        <x:v>페이지 80</x:v>
      </x:c>
      <x:c r="I1550" s="46" t="str">
        <x:v>! INVITATION TO TENDER PROJECT : PROPOSED NATIONAL REHABILITATION CENTRE FOR MINISTRY OF HEALTH &amp; MEDICAL SERVICES LOCATION : PRINCES RD, TAMAVUA, SUVA MAIN CONTRACTOR : To be confirmed SCOPE OF THIS TENDER : To carry out Construction Works DESCRIPTION OF WORKS : Construct new buildings as per the Architectural, Building services &amp; Structural drawings CONTRACT FORM : Fiji Building Contract without Quantities STANDARDS : To comply with all relevant Standards and Codes of Practice. DRAWINGS ATTACHED : Refer Attached Architectural, Building services &amp; Structural drawings, Specifications. CONDITIONS OF TENDER : Fixed Lump Sum without Provision for Fluctuations in the cost of labour and materials inclusive of VAT. SPECIAL CONDITIONS : To be confirmed OF CONTRACT SUCCESSFUL TENDERER : Will enter into contract. DATE OF COMMENCEMENT: To be confirmed OF CONTRACTOR CONSTRUCTION TIME : To be advised LIQUIDATED &amp; : $2000.00VIP per day. ASCERTAINED DAMAGES TENDERS CLOSE : TENDER PERIOD: 5 WEEKS Tender out and. closing date to be confirmed. Written Tenders in enclosed envelope marked “PROPOSED NATIONAL REHABILITATION CENTRE FOR MINISTRY OF HEALTH &amp; MEDICAL SERVICES ” are to be dropped off at Lev</x:v>
      </x:c>
      <x:c r="J1550" s="43" t="str">
        <x:v>자동추출·검토필요</x:v>
      </x:c>
    </x:row>
    <x:row r="1551">
      <x:c r="A1551" s="43" t="str">
        <x:v>L2025-00051-1</x:v>
      </x:c>
      <x:c r="B1551" s="43" t="str">
        <x:v>부가세·예비비</x:v>
      </x:c>
      <x:c r="C1551" s="46" t="str">
        <x:v>vat</x:v>
      </x:c>
      <x:c r="D1551" s="46" t="str"/>
      <x:c r="E1551" s="46" t="str">
        <x:v>$ 2000.00</x:v>
      </x:c>
      <x:c r="F1551" s="46" t="str"/>
      <x:c r="G1551" s="46" t="str">
        <x:v>L2025-00051-1/Section 6- Specification Of Work/REHAB SPECIFICATION-ARCHITECTURAL.pdf</x:v>
      </x:c>
      <x:c r="H1551" s="43" t="str">
        <x:v>페이지 82</x:v>
      </x:c>
      <x:c r="I1551" s="46" t="str">
        <x:v>APPENDIX 1 SCHEDULE OF NOTES SUPPLEMENTING THE SPECIFICATION Job Name : PROPOSED NATIONAL REHABILITATION CENTRE FOR MINISTRY OF HEALTH &amp; MEDICAL SERVICES Site Location : PRINCES RD, TAMAVUA, SUVA THE FOLLOWING VAT INCLUSIVE SUMS TO BE INCLUDED IN YOUR TENDER PROPOSAL. CLAUSE ITEM AMOUNT NOTE : All sums allowed are inclusive of VAT. 1.1 FORM OF CONTRACT : Fiji Standard Form of Building Contract without Quantities Private edition 1978 issued by Fiji Joint Contracts Tribunal. 1.3 TENDER DOCUMENT DEPOSIT : NIL 1.4 TENDER DEPOSIT : NIL 1.6 LIQUIDATED &amp; ASCERTAINED DAMAGES : F$2000.00 PER calender day or part thereof. 1.10 INSURANCE : Clause 20 (C) of the Contract Conditions are applicable. 1.14 DEFECTS LIABILITY PERIOD : 24 MONTHS APPENDIX 1 con'td APPENDIX TO FORM OF TENDER</x:v>
      </x:c>
      <x:c r="J1551" s="43" t="str">
        <x:v>자동추출·검토필요</x:v>
      </x:c>
    </x:row>
    <x:row r="1552">
      <x:c r="A1552" s="43" t="str">
        <x:v>L2025-00051-1</x:v>
      </x:c>
      <x:c r="B1552" s="43" t="str">
        <x:v>부가세·예비비</x:v>
      </x:c>
      <x:c r="C1552" s="46" t="str">
        <x:v>contingency</x:v>
      </x:c>
      <x:c r="D1552" s="46" t="str"/>
      <x:c r="E1552" s="46" t="str">
        <x:v>$ 200 | $ 55 | $ 65 | 40 $ | $ 220,000.00 42 | $ 500,000.00 47</x:v>
      </x:c>
      <x:c r="F1552" s="46" t="str"/>
      <x:c r="G1552" s="46" t="str">
        <x:v>L2025-00051-1/Section 6- Specification Of Work/REHAB SPECIFICATION-ARCHITECTURAL.pdf</x:v>
      </x:c>
      <x:c r="H1552" s="43" t="str">
        <x:v>페이지 83</x:v>
      </x:c>
      <x:c r="I1552" s="46" t="str">
        <x:v>APPENDIX TO FORM OF TENDER NAME OF TENDERER : PROPOSED NATIONAL REHABILITATION CENTRE FOR MINISTRY OF HEALTH &amp; MEDICAL SERVICES SUMMARY OF TENDER Cost ITEM# REFERENCE DESCRIPTION 1 Preliminary and General $ - Earthworks/Civilworks, ( catchpit / sump / 2 culvert / manhole / services pipes, Trench) $ - 3 Concrete Works $ - 4 Fencing $ - 5 Driveway $ - 6 Fencing $ - 7 Main Gate and security hut $ - 8 Blockwall &amp; Foundation $ - 9 Structural Steel $ - 10 Masonry $ - 11 Metal Work $ - 12 Windows $ - 13 Aluminum Windows/Vent Grilles $ - 14 Carpentry $ - 15 Roofing $ - 16 Gibworks $ - 17 Kingspan Insulation $ - 18 Painting $ - 19 Glazing works(Include all mirrors) $ - 20 Solid Plasterwork $ - 21 Plumbing $ - 22 Drainage $ - 23 Steel Door supply &amp; installation $ - 24 Timber Doors supply &amp; installation $ - 24.1 Fire &amp; smoke Doors &amp; smoke windows supply &amp; installation $ - 25 JOINERY WORKS supply &amp; installation $ - 26 Water Storage Tanks supply &amp; installation $ - 27 PIR Refrigeration panels-refer to services drawings supply &amp; installation $ - 28 Stainless steel works(include all ss benches) supply &amp; installation $ - 29 Signage supply &amp; installation $ - 30 Landscaping works $ - 31 Any other ite</x:v>
      </x:c>
      <x:c r="J1552" s="43" t="str">
        <x:v>자동추출·검토필요</x:v>
      </x:c>
    </x:row>
    <x:row r="1553">
      <x:c r="A1553" s="43" t="str">
        <x:v>L2025-00051-1</x:v>
      </x:c>
      <x:c r="B1553" s="43" t="str">
        <x:v>부가세·예비비</x:v>
      </x:c>
      <x:c r="C1553" s="46" t="str">
        <x:v>vat</x:v>
      </x:c>
      <x:c r="D1553" s="46" t="str"/>
      <x:c r="E1553" s="46" t="str">
        <x:v>$ 30.00 | $ 30.00 | $ 910.00 | $ 11.80 | $ 47.20 1 3772 | $ 540.00 | $ 540.00 | $ 225.00</x:v>
      </x:c>
      <x:c r="F1553" s="46" t="str"/>
      <x:c r="G1553" s="46" t="str">
        <x:v>L2025-00051-1/Section 6- Specification Of Work/REHAB SPECIFICATION-ARCHITECTURAL.pdf</x:v>
      </x:c>
      <x:c r="H1553" s="43" t="str">
        <x:v>페이지 119</x:v>
      </x:c>
      <x:c r="I1553" s="46" t="str">
        <x:v>VSR6/SC Cylinder Escutcheon VSR7/SC Turn Knob 1 Master Key Charges $ 30.00 $ 30.00 Total $ 910.00 WD1 - 4 Bed Wards Entry (2 Sets) 4 LW10075BBSSS But Hinges $ 11.80 $ 47.20 1 3772XTLSS Vesitubule Set Mortice Lock $ 540.00 $ 540.00 VSR0/37SC Lever VSR6/SC Cylinder Escutcheon VSR7/SC Turn Knob 2 1200x300SSS Kick Plate $ 225.00 $ 450.00 1 726SIL Door Closer $ 565.00 $ 565.00 1 A250SC Floor Mounted Door Stopper $ 17.80 $ 17.80 1 Master Key Charges $ 30.00 $ 30.00 Total $ 1,650.00 2 Total of 2 Sets $ 3,300.00 WD2 4 LW10075BBSSS But Hinges $ 11.80 $ 47.20 1 3772XTLSS Vesitubule Set Mortice Lock $ 540.00 $ 540.00 VSR0/37SC Lever VSR6/SC Cylinder Escutcheon VSR7/SC Turn Knob 2 1200x300SSS Kick Plate $ 225.00 $ 450.00 1 726SIL Door Closer $ 565.00 $ 565.00 1 A250SC Floor Mounted Door Stopper $ 17.80 $ 17.80 1 Master Key Charges $ 30.00 $ 30.00 Total $ 1,650.00 Grand Total VIP $ 104,100.50 Prices for Tender purpose only Quotation Validity: 30/08/24. Prices are subject to current Exchange, Duty and VAT Rates. Please check door by door for any changes. Quotation based on Door Schedules provided, no floor plans provided. Upon confirmation we will liaise with our supplier for a Project prcie.</x:v>
      </x:c>
      <x:c r="J1553" s="43" t="str">
        <x:v>자동추출·검토필요</x:v>
      </x:c>
    </x:row>
    <x:row r="1554">
      <x:c r="A1554" s="43" t="str">
        <x:v>L2025-00051-1</x:v>
      </x:c>
      <x:c r="B1554" s="43" t="str">
        <x:v>부가세·예비비</x:v>
      </x:c>
      <x:c r="C1554" s="46" t="str">
        <x:v>vat</x:v>
      </x:c>
      <x:c r="D1554" s="46" t="str"/>
      <x:c r="E1554" s="46" t="str">
        <x:v>$ 11.80 | $ 47.20 1 300 | $ 60.00 | $ 60.00 1 300 | $ 68.00 | $ 68.00 1 314 | $ 38.00 | $ 38.00 2 900</x:v>
      </x:c>
      <x:c r="F1554" s="46" t="str"/>
      <x:c r="G1554" s="46" t="str">
        <x:v>L2025-00051-1/Section 6- Specification Of Work/REHAB SPECIFICATION-ARCHITECTURAL.pdf</x:v>
      </x:c>
      <x:c r="H1554" s="43" t="str">
        <x:v>페이지 123</x:v>
      </x:c>
      <x:c r="I1554" s="46" t="str">
        <x:v>D6 - Passage (2 Sets) 4 LW10075BBSSS Butt Hinges $ 11.80 $ 47.20 1 300x100SSS Push Plate $ 60.00 $ 60.00 1 300x100/08SSS Pull Plate w/ D Handle $ 68.00 $ 68.00 1 314SC Dust Socket $ 38.00 $ 38.00 2 900x300SSS Push Plate $ 198.00 $ 396.00 2 900x300SSS Kick Plate $ 198.00 $ 396.00 1 726SIL Door Closer $ 565.00 $ 565.00 1 A250SC Floor Mounted Door Stopper $ 17.80 $ 17.80 Total $ 1,588.00 2 Total of 2 Sets $ 3,176.00 D7 - Server IT/Executive Office/HOD Office/Admin Office/Pharmacy (5 Sets) 4 LW10075BBSSS But Hinges $ 11.80 $ 47.20 1 3772XTLSS Vesitubule Set Mortice Lock $ 540.00 $ 540.00 VSR0/37SC Lever VSR6/SC Cylinder Escutcheon VSR7/SC Turn Knob 2 1200x300SSS Kick Plate $ 225.00 $ 450.00 1 726SIL Door Closer $ 565.00 $ 565.00 1 A250SC Floor Mounted Door Stopper $ 17.80 $ 17.80 1 Master Key Charges $ 30.00 $ 30.00 Total $ 1,650.00 5 Total of 5 Sets $ 8,250.00 D8 - Main Lobby 4 LW10075BBSSS But Hinges $ 11.80 $ 47.20 2 1200x300SSS Kick Plate $ 225.00 $ 450.00 1 726SIL Door Closer $ 565.00 $ 565.00 1 A250SC Floor Mounted Door Stopper $ 17.80 $ 17.80 Access Control by Others Total $ 1,080.00 WD1 by Others Grand Total VIP $ 39,938.80 Prices for Tender purpose only Quotation Validity: 30/</x:v>
      </x:c>
      <x:c r="J1554" s="43" t="str">
        <x:v>자동추출·검토필요</x:v>
      </x:c>
    </x:row>
    <x:row r="1555">
      <x:c r="A1555" s="43" t="str">
        <x:v>L2025-00051-1</x:v>
      </x:c>
      <x:c r="B1555" s="43" t="str">
        <x:v>부가세·예비비</x:v>
      </x:c>
      <x:c r="C1555" s="46" t="str">
        <x:v>vat</x:v>
      </x:c>
      <x:c r="D1555" s="46" t="str"/>
      <x:c r="E1555" s="46" t="str">
        <x:v>$ 39,987.10</x:v>
      </x:c>
      <x:c r="F1555" s="46" t="str"/>
      <x:c r="G1555" s="46" t="str">
        <x:v>L2025-00051-1/Section 6- Specification Of Work/REHAB SPECIFICATION-ARCHITECTURAL.pdf</x:v>
      </x:c>
      <x:c r="H1555" s="43" t="str">
        <x:v>페이지 132</x:v>
      </x:c>
      <x:c r="I1555" s="46" t="str">
        <x:v>Grand Total VIP $ 39,987.10 Prices for Tender purpose only Quotation Validity: 30/11/24. Prices are subject to current Exchange, Duty and VAT Rates. Please check door by door for any changes. Quotation based on Door Schedules and floor plans provided. Upon confirmation we will liaise with our supplier for a Project prcie. For any further query, please do not hesitate to be in contact. Kind Regards NOT SIGNED SENT BY EMAIL ……………………… Chris Mua Ph. 8095215</x:v>
      </x:c>
      <x:c r="J1555" s="43" t="str">
        <x:v>자동추출·검토필요</x:v>
      </x:c>
    </x:row>
    <x:row r="1556">
      <x:c r="A1556" s="43" t="str">
        <x:v>L2025-00051-1</x:v>
      </x:c>
      <x:c r="B1556" s="43" t="str">
        <x:v>부가세·예비비</x:v>
      </x:c>
      <x:c r="C1556" s="46" t="str">
        <x:v>vat</x:v>
      </x:c>
      <x:c r="D1556" s="46" t="str"/>
      <x:c r="E1556" s="46" t="str">
        <x:v>$ 11.80 | $ 47.20 1 3640 | $ 520.00 | $ 520.00 1 231 | $ 165.00 | $ 165.00 1 724 | $ 335.00 | $ 335.00 1</x:v>
      </x:c>
      <x:c r="F1556" s="46" t="str"/>
      <x:c r="G1556" s="46" t="str">
        <x:v>L2025-00051-1/Section 6- Specification Of Work/REHAB SPECIFICATION-ARCHITECTURAL.pdf</x:v>
      </x:c>
      <x:c r="H1556" s="43" t="str">
        <x:v>페이지 133</x:v>
      </x:c>
      <x:c r="I1556" s="46" t="str">
        <x:v>EDEN &amp; ASSOCIATES PTE LTD 2 BREWSTER ST, TOORAK NADI OFFICE : 4 CAWA ROAD PO BOX 18686, SUVA, FIJI MARTINTAR, NADI PHONE : 331 2398/331 2155 PHONE : 672 4522 MOBILE : 8999968 MOBILE : 8999965 FAX : 330 0500 FAX : 672 4537 E-MAIL : edensuva@hotmail.com E-MAIL : edennadi@hotmail.com 22-Oct-24 Pola Designs Suva Attention: Mitesh/Adrian/Stepen Re: Korea International Cooperation Agency Ministry of Health and Medical Services Proposed National Rehabilitation Centre Guard House Tamavua Lockwood Door Hardware We have pleasure in quoting for the above as follows. D1 4 LW10070BBFFSSS Flush Hinges $ 11.80 $ 47.20 1 3640RT2SC SB Mortice Lock $ 520.00 $ 520.00 1 231x300SSS BTB Handle $ 165.00 $ 165.00 1 724SIL Door Closer $ 335.00 $ 335.00 1 A250SC Floor Mounted Door Stopper $ 17.80 $ 17.80 1 Master Key Charges $ 30.00 $ 30.00 Total $ 1,115.00 Grand Total VIP $ 1,115.00 Prices for Tender purpose only Quotation Validity: 30/11/24. Prices are subject to current Exchange, Duty and VAT Rates. Please check door by door for any changes. Quotation based on Door Schedules provided, no floor plans provided.</x:v>
      </x:c>
      <x:c r="J1556" s="43" t="str">
        <x:v>자동추출·검토필요</x:v>
      </x:c>
    </x:row>
    <x:row r="1557">
      <x:c r="A1557" s="43" t="str">
        <x:v>L2025-00051-1</x:v>
      </x:c>
      <x:c r="B1557" s="43" t="str">
        <x:v>부가세·예비비</x:v>
      </x:c>
      <x:c r="C1557" s="46" t="str">
        <x:v>vat, reserve</x:v>
      </x:c>
      <x:c r="D1557" s="46" t="str"/>
      <x:c r="E1557" s="46" t="str"/>
      <x:c r="F1557" s="46" t="str">
        <x:v>40% | 5% | 2% | 2%</x:v>
      </x:c>
      <x:c r="G1557" s="46" t="str">
        <x:v>L2025-00051-1/Section 6- Specification Of Work/REHAB SPECIFICATION-ARCHITECTURAL.pdf</x:v>
      </x:c>
      <x:c r="H1557" s="43" t="str">
        <x:v>페이지 147</x:v>
      </x:c>
      <x:c r="I1557" s="46" t="str">
        <x:v>Terms &amp; Conditions: Payment Terms: A 40% deposit required at the time of Order. Price Basis: Prices quoted are Exclusive of VAT. Above prices are given based on quantity as quoted and any changes in quantity will lead to price change. The attached prices were calculated at a fiscal duty rate of 5%, in the event, the duty rate is changed by FRCS, the revised amount of duty will be passed on to you. The attached prices were calculated at a foreign exchange rate of FJD1.00 = AUD0.6476 Any variation in the quoted exchange rate and bank sell exchange rate at the date of invoice will necessitate a review of the selling price. We shall cover variations of up to +/-2% of the quoted exchange rate. Any variation greater than +/-2% between the quoted exchange rate and the bank sell exchange rate at the date of invoice will necessitate a review of the selling price. Escalation: The Company reserves the right to review prices according to changes in cost structures that are beyond the Company's ability to control. The main basis for any price changes will be variances in cost areas such as an increase in VAT, Fiscal / Excise Duty, Freight costs, or any increase in the supplier price for the pro</x:v>
      </x:c>
      <x:c r="J1557" s="43" t="str">
        <x:v>자동추출·검토필요</x:v>
      </x:c>
    </x:row>
    <x:row r="1558">
      <x:c r="A1558" s="43" t="str">
        <x:v>L2025-00051-1</x:v>
      </x:c>
      <x:c r="B1558" s="43" t="str">
        <x:v>부가세·예비비</x:v>
      </x:c>
      <x:c r="C1558" s="46" t="str">
        <x:v>vat, reserve</x:v>
      </x:c>
      <x:c r="D1558" s="46" t="str"/>
      <x:c r="E1558" s="46" t="str"/>
      <x:c r="F1558" s="46" t="str">
        <x:v>40% | 5% | 2% | 2%</x:v>
      </x:c>
      <x:c r="G1558" s="46" t="str">
        <x:v>L2025-00051-1/Section 6- Specification Of Work/REHAB SPECIFICATION-ARCHITECTURAL.pdf</x:v>
      </x:c>
      <x:c r="H1558" s="43" t="str">
        <x:v>페이지 155</x:v>
      </x:c>
      <x:c r="I1558" s="46" t="str">
        <x:v>Terms &amp; Conditions: Payment Terms: A 40% deposit required at the time of Order. Price Basis: Prices quoted are Exclusive of VAT. Above prices are given based on quantity as quoted and any changes in quantity will lead to price change. The attached prices were calculated at a fiscal duty rate of 5%, in the event, the duty rate is changed by FRCS, the revised amount of duty will be passed on to you. The attached prices were calculated at a foreign exchange rate of FJD1.00 = AUD0.6476 Any variation in the quoted exchange rate and bank sell exchange rate at the date of invoice will necessitate a review of the selling price. We shall cover variations of up to +/-2% of the quoted exchange rate. Any variation greater than +/-2% between the quoted exchange rate and the bank sell exchange rate at the date of invoice will necessitate a review of the selling price. Escalation: The Company reserves the right to review prices according to changes in cost structures that are beyond the Company's ability to control. The main basis for any price changes will be variances in cost areas such as an increase in VAT, Fiscal / Excise Duty, Freight costs, or any increase in the supplier price for the pro</x:v>
      </x:c>
      <x:c r="J1558" s="43" t="str">
        <x:v>자동추출·검토필요</x:v>
      </x:c>
    </x:row>
    <x:row r="1559">
      <x:c r="A1559" s="43" t="str">
        <x:v>L2025-00051-1</x:v>
      </x:c>
      <x:c r="B1559" s="43" t="str">
        <x:v>부가세·예비비</x:v>
      </x:c>
      <x:c r="C1559" s="46" t="str">
        <x:v>vat, reserve</x:v>
      </x:c>
      <x:c r="D1559" s="46" t="str"/>
      <x:c r="E1559" s="46" t="str"/>
      <x:c r="F1559" s="46" t="str">
        <x:v>40% | 5% | 2% | 2%</x:v>
      </x:c>
      <x:c r="G1559" s="46" t="str">
        <x:v>L2025-00051-1/Section 6- Specification Of Work/REHAB SPECIFICATION-ARCHITECTURAL.pdf</x:v>
      </x:c>
      <x:c r="H1559" s="43" t="str">
        <x:v>페이지 163</x:v>
      </x:c>
      <x:c r="I1559" s="46" t="str">
        <x:v>Terms &amp; Conditions: Payment Terms: A 40% deposit required at the time of Order. Price Basis: Prices quoted are Exclusive of VAT. Above prices are given based on quantity as quoted and any changes in quantity will lead to price change. The attached prices were calculated at a fiscal duty rate of 5%, in the event, the duty rate is changed by FRCS, the revised amount of duty will be passed on to you. The attached prices were calculated at a foreign exchange rate of FJD1.00 = AUD0.6476 Any variation in the quoted exchange rate and bank sell exchange rate at the date of invoice will necessitate a review of the selling price. We shall cover variations of up to +/-2% of the quoted exchange rate. Any variation greater than +/-2% between the quoted exchange rate and the bank sell exchange rate at the date of invoice will necessitate a review of the selling price. Escalation: The Company reserves the right to review prices according to changes in cost structures that are beyond the Company's ability to control. The main basis for any price changes will be variances in cost areas such as an increase in VAT, Fiscal / Excise Duty, Freight costs, or any increase in the supplier price for the pro</x:v>
      </x:c>
      <x:c r="J1559" s="43" t="str">
        <x:v>자동추출·검토필요</x:v>
      </x:c>
    </x:row>
    <x:row r="1560">
      <x:c r="A1560" s="43" t="str">
        <x:v>L2025-00051-1</x:v>
      </x:c>
      <x:c r="B1560" s="43" t="str">
        <x:v>부가세·예비비</x:v>
      </x:c>
      <x:c r="C1560" s="46" t="str">
        <x:v>vat, reserve</x:v>
      </x:c>
      <x:c r="D1560" s="46" t="str"/>
      <x:c r="E1560" s="46" t="str"/>
      <x:c r="F1560" s="46" t="str">
        <x:v>40% | 5% | 2% | 2%</x:v>
      </x:c>
      <x:c r="G1560" s="46" t="str">
        <x:v>L2025-00051-1/Section 6- Specification Of Work/REHAB SPECIFICATION-ARCHITECTURAL.pdf</x:v>
      </x:c>
      <x:c r="H1560" s="43" t="str">
        <x:v>페이지 168</x:v>
      </x:c>
      <x:c r="I1560" s="46" t="str">
        <x:v>Terms &amp; Conditions: Payment Terms: A 40% deposit required at the time of Order. Price Basis: Prices quoted are Exclusive of VAT. Above prices are given based on quantity as quoted and any changes in quantity will lead to price change. The attached prices were calculated at a fiscal duty rate of 5%, in the event, the duty rate is changed by FRCS, the revised amount of duty will be passed on to you. The attached prices were calculated at a foreign exchange rate of FJD1.00 = AUD0.6476 Any variation in the quoted exchange rate and bank sell exchange rate at the date of invoice will necessitate a review of the selling price. We shall cover variations of up to +/-2% of the quoted exchange rate. Any variation greater than +/-2% between the quoted exchange rate and the bank sell exchange rate at the date of invoice will necessitate a review of the selling price. Escalation: The Company reserves the right to review prices according to changes in cost structures that are beyond the Company's ability to control. The main basis for any price changes will be variances in cost areas such as an increase in VAT, Fiscal / Excise Duty, Freight costs, or any increase in the supplier price for the pro</x:v>
      </x:c>
      <x:c r="J1560" s="43" t="str">
        <x:v>자동추출·검토필요</x:v>
      </x:c>
    </x:row>
    <x:row r="1561">
      <x:c r="A1561" s="43" t="str">
        <x:v>L2025-00051-1</x:v>
      </x:c>
      <x:c r="B1561" s="43" t="str">
        <x:v>부가세·예비비</x:v>
      </x:c>
      <x:c r="C1561" s="46" t="str">
        <x:v>vat</x:v>
      </x:c>
      <x:c r="D1561" s="46" t="str">
        <x:v>90 square metres</x:v>
      </x:c>
      <x:c r="E1561" s="46" t="str"/>
      <x:c r="F1561" s="46" t="str">
        <x:v>20% | 20%</x:v>
      </x:c>
      <x:c r="G1561" s="46" t="str">
        <x:v>L2025-00051-1/Section 6- Specification Of Work/REHAB SPECIFICATION-ARCHITECTURAL.pdf</x:v>
      </x:c>
      <x:c r="H1561" s="43" t="str">
        <x:v>페이지 174</x:v>
      </x:c>
      <x:c r="I1561" s="46" t="str">
        <x:v>ARDEX Butynol® BRANZ Appraised, E2/AS1 Acceptable Solution SUBSTRATE SPECIFICATION (Plywood) SUBSTRATE SPECIFICATION (Concrete) To conform with Acceptable Solution E2/AS1 plywood New concrete shall be: Must be cured for a minimum of 28 days and all curing A minimum of 17mm complying with AS/NZS 2269, at compounds removed prior to application. least CD Structural Grade plywood with the sanded C A reduction in cure time can be achieved by utilising face upwards, and H3.2 with Waterborne CCA treatment the Ardex HydrEpoxy System (consult Ardex Technical and kiln dried after treatment. Department for details). Substrates must be dry when Butynol® is applied. Old concrete The plywood and the timber substructure shall have a maximum moisture content of 20% when Butynol is Must be clean from any contaminents prior to adhered. application. Plywood panels shall be laid with staggered joints For further substrate types please consult Ardex (brick bond), the edge of sheets shall be supported Technical Department. with dwangs or framing, unless a structurally tested tongue-in-groove edge provides equivalent support. The ROOF VENTILATION maximum recommended span in E2/AS1 is 400mm. The most impo</x:v>
      </x:c>
      <x:c r="J1561" s="43" t="str">
        <x:v>자동추출·검토필요</x:v>
      </x:c>
    </x:row>
    <x:row r="1562">
      <x:c r="A1562" s="43" t="str">
        <x:v>L2025-00051-1</x:v>
      </x:c>
      <x:c r="B1562" s="43" t="str">
        <x:v>부가세·예비비</x:v>
      </x:c>
      <x:c r="C1562" s="46" t="str">
        <x:v>vat</x:v>
      </x:c>
      <x:c r="D1562" s="46" t="str"/>
      <x:c r="E1562" s="46" t="str"/>
      <x:c r="F1562" s="46" t="str">
        <x:v>98% | 98%</x:v>
      </x:c>
      <x:c r="G1562" s="46" t="str">
        <x:v>L2025-00051-1/Section 6- Specification Of Work/Services Specifications/3921-Specifications-Communication Services-T1-2024.08.22.pdf</x:v>
      </x:c>
      <x:c r="H1562" s="43" t="str">
        <x:v>페이지 22</x:v>
      </x:c>
      <x:c r="I1562" s="46" t="str">
        <x:v>EXTERNAL TELECOMS AND TRENCHING The Telecommunications contractor shall allow all relevant costs for external telecommunications cabling, including fiber optic and copper cabling in separate conduits to main distribution frame via pre-cast telecommunications cable pits. Allow all necessary costs for Telecom Fiji Limited's scope of works. Allows costs for active equipment such as routers in the case of fiber optic cabling. Allow for all costs associated with Trenching. Trenching works to include complete road, footpath and verge excavation, sand bedding, conduit laying including pits, warning tape, back filling, compaction, compaction tests by DCP method to 98% compaction, road, footpath and landscape reinstatement works. All trenching works shall be done by Telecom Fiji contractor outside boundary and by Main contractor inside property boundary. The final completed road, footpath and landscaping works shall be inspected, approved and certified by the Fiji Roads Authority. Include all costs associated with FRA application, liaison, inspection and final approvals in the Telecommunication Contractors price and scope. All costs associated with external telecommunications services to si</x:v>
      </x:c>
      <x:c r="J1562" s="43" t="str">
        <x:v>자동추출·검토필요</x:v>
      </x:c>
    </x:row>
    <x:row r="1563">
      <x:c r="A1563" s="43" t="str">
        <x:v>L2025-00051-1</x:v>
      </x:c>
      <x:c r="B1563" s="43" t="str">
        <x:v>부가세·예비비</x:v>
      </x:c>
      <x:c r="C1563" s="46" t="str">
        <x:v>reserve</x:v>
      </x:c>
      <x:c r="D1563" s="46" t="str"/>
      <x:c r="E1563" s="46" t="str"/>
      <x:c r="F1563" s="46" t="str">
        <x:v>25% | 75% | 110% | 110% | 1% | 100% | 15% | 97%</x:v>
      </x:c>
      <x:c r="G1563" s="46" t="str">
        <x:v>L2025-00051-1/Section 6- Specification Of Work/Services Specifications/3921-Specifications-Electrical Services-T1-2024.08.22.pdf</x:v>
      </x:c>
      <x:c r="H1563" s="43" t="str">
        <x:v>페이지 30</x:v>
      </x:c>
      <x:c r="I1563" s="46" t="str">
        <x:v>The windings shall be vacuum impregnated, of Class H impregnation. The sets shall withstand an over speed of 25% without damage. [For sets 1,000 kV or more, specify a resistance temperature detector in each phase winding]. Provide automatic voltage regulation and excitation control with the facility for manual adjustment from the local control panel. The system shall be suitable for substantial solid state electronic loads as well as large motor-starting duty. The equipment shall comprise a permanent magnet rotating-exciter and voltage-regulator, fitted with over-excitation limiting device and diode failure alarm/indicators, and equipped with all necessary auxiliaries and accessories including instrument transformers, resistors, rheostats, shunts, field suppression switch, relays and necessary parts to form a complete voltage regulating system. The automatic voltage regulator shall be of grade VR3 as per BS 4999: Part 140 and operate over the range of 75% to 110% nominal generator voltage from no load to 110% site rated kVA at rated lagging power factor, and from 47-53 Hz. It shall be possible to manually adjust the setting of the nominal voltage to be maintained automatically. The</x:v>
      </x:c>
      <x:c r="J1563" s="43" t="str">
        <x:v>자동추출·검토필요</x:v>
      </x:c>
    </x:row>
    <x:row r="1564">
      <x:c r="A1564" s="43" t="str">
        <x:v>L2025-00051-1</x:v>
      </x:c>
      <x:c r="B1564" s="43" t="str">
        <x:v>부가세·예비비</x:v>
      </x:c>
      <x:c r="C1564" s="46" t="str">
        <x:v>reserve</x:v>
      </x:c>
      <x:c r="D1564" s="46" t="str"/>
      <x:c r="E1564" s="46" t="str"/>
      <x:c r="F1564" s="46" t="str">
        <x:v>100%</x:v>
      </x:c>
      <x:c r="G1564" s="46" t="str">
        <x:v>L2025-00051-1/Section 6- Specification Of Work/Services Specifications/3921-Specifications-Fire protection Services-T1-2024.08.22.pdf</x:v>
      </x:c>
      <x:c r="H1564" s="43" t="str">
        <x:v>페이지 11</x:v>
      </x:c>
      <x:c r="I1564" s="46" t="str">
        <x:v>EDISON CONSULTANTS LIMITED 22 MARION STREET, SUVA, FIJI ISLANDS GPO BOX 11622 SUVA, FIJI ISLANDS TELEPHONE: (679) 330 7060 FAX: (679) 330 3744 MOBILE: (679) 999 0676 ■ website: www.edisonconsultants.com ■ office email: info@edisonconsultants.com ■ project manager: edisonfiji@gmail.com The Contractor shall ensure all of the equipment is suitable for testing procedures and that all instrumentation is accurately calibrated. The Contractor shall provide technicians and/or other personnel at the Contractor’s costs, required to carry out the testing procedures. The Contractor shall ensure that their site supervisor, technicians and sub-contractors are available for all inspection, testing and/or commissioning of the installation as required. The contractor shall make good, repair, replace and/or reinstall any equipment or materials that are found to be unsatisfactory as a result of site inspection. Such work shall be to the Contractors cost. The Contractor shall ensure that the relevant local authorities witness testing as they may require and provide sign-off of the same. The Contractor shall ensure that the Engineer is allowed to witness all tests at all times including those conducted</x:v>
      </x:c>
      <x:c r="J1564" s="43" t="str">
        <x:v>자동추출·검토필요</x:v>
      </x:c>
    </x:row>
    <x:row r="1565">
      <x:c r="A1565" s="43" t="str">
        <x:v>L2025-00051-1</x:v>
      </x:c>
      <x:c r="B1565" s="43" t="str">
        <x:v>부가세·예비비</x:v>
      </x:c>
      <x:c r="C1565" s="46" t="str">
        <x:v>reserve</x:v>
      </x:c>
      <x:c r="D1565" s="46" t="str"/>
      <x:c r="E1565" s="46" t="str"/>
      <x:c r="F1565" s="46" t="str">
        <x:v>0.5%</x:v>
      </x:c>
      <x:c r="G1565" s="46" t="str">
        <x:v>L2025-00051-1/Section 7 - General Conditions of Contract.docx</x:v>
      </x:c>
      <x:c r="H1565" s="43" t="str">
        <x:v>표 4 행 109</x:v>
      </x:c>
      <x:c r="I1565"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565" s="43" t="str">
        <x:v>자동추출·검토필요</x:v>
      </x:c>
    </x:row>
    <x:row r="1566">
      <x:c r="A1566" s="43" t="str">
        <x:v>L2025-00051-1</x:v>
      </x:c>
      <x:c r="B1566" s="43" t="str">
        <x:v>부가세·예비비</x:v>
      </x:c>
      <x:c r="C1566" s="46" t="str">
        <x:v>reserve</x:v>
      </x:c>
      <x:c r="D1566" s="46" t="str"/>
      <x:c r="E1566" s="46" t="str"/>
      <x:c r="F1566" s="46" t="str">
        <x:v>50% | 50%</x:v>
      </x:c>
      <x:c r="G1566" s="46" t="str">
        <x:v>L2025-00051-1/Section 7 - General Conditions of Contract.docx</x:v>
      </x:c>
      <x:c r="H1566" s="43" t="str">
        <x:v>표 12 행 61</x:v>
      </x:c>
      <x:c r="I1566"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566" s="43" t="str">
        <x:v>자동추출·검토필요</x:v>
      </x:c>
    </x:row>
    <x:row r="1567">
      <x:c r="A1567" s="43" t="str">
        <x:v>L2025-00051-1</x:v>
      </x:c>
      <x:c r="B1567" s="43" t="str">
        <x:v>부가세·예비비</x:v>
      </x:c>
      <x:c r="C1567" s="46" t="str">
        <x:v>contingency</x:v>
      </x:c>
      <x:c r="D1567" s="46" t="str"/>
      <x:c r="E1567" s="46" t="str"/>
      <x:c r="F1567" s="46" t="str">
        <x:v>0.5%</x:v>
      </x:c>
      <x:c r="G1567" s="46" t="str">
        <x:v>L2025-00051-1/Section 8 - Specail Conditions of ContractR1.docx</x:v>
      </x:c>
      <x:c r="H1567" s="43" t="str">
        <x:v>문단 22</x:v>
      </x:c>
      <x:c r="I1567" s="46" t="str">
        <x:v>- At least 0.5% of the total Construction Costs excluding Contingency Sums.</x:v>
      </x:c>
      <x:c r="J1567" s="43" t="str">
        <x:v>자동추출·검토필요</x:v>
      </x:c>
    </x:row>
    <x:row r="1568">
      <x:c r="A1568" s="43" t="str">
        <x:v>L2025-00049-2</x:v>
      </x:c>
      <x:c r="B1568" s="43" t="str">
        <x:v>부가세·예비비</x:v>
      </x:c>
      <x:c r="C1568" s="46" t="str">
        <x:v>vat</x:v>
      </x:c>
      <x:c r="D1568" s="46" t="str"/>
      <x:c r="E1568" s="46" t="str">
        <x:v>USD 148,913 | USD 134,022 | USD 14,891</x:v>
      </x:c>
      <x:c r="F1568" s="46" t="str">
        <x:v>90% | 10%</x:v>
      </x:c>
      <x:c r="G1568" s="46" t="str">
        <x:v>L2025-00049-2/Bid_Announcement_extension_Ukraine_Notification_Purpose_250804.docx</x:v>
      </x:c>
      <x:c r="H1568" s="43" t="str">
        <x:v>표 1 행 7</x:v>
      </x:c>
      <x:c r="I1568" s="46" t="str">
        <x:v>Bid Limit | USD 148,913 (Exclusive of VAT) ※The amount includes both design (90%, USD 134,022) and author’s supervision (10%, USD 14,891) fees, Exclusive of VAT. ※During bidding and contract signing, the design fee and author supervision fee shall be specified separately. ※This project is under the registration of International Technical Assistance (ITA), which is obliged to be implemented on a basis of VAT exemption format, hence all bidders should submit the bid proposals excluding VAT</x:v>
      </x:c>
      <x:c r="J1568" s="43" t="str">
        <x:v>자동추출·검토필요</x:v>
      </x:c>
    </x:row>
    <x:row r="1569">
      <x:c r="A1569" s="43" t="str">
        <x:v>L2025-00049-1</x:v>
      </x:c>
      <x:c r="B1569" s="43" t="str">
        <x:v>부가세·예비비</x:v>
      </x:c>
      <x:c r="C1569" s="46" t="str">
        <x:v>vat</x:v>
      </x:c>
      <x:c r="D1569" s="46" t="str"/>
      <x:c r="E1569" s="46" t="str">
        <x:v>USD 148,913 | USD 134,022 | USD 14,891</x:v>
      </x:c>
      <x:c r="F1569" s="46" t="str">
        <x:v>90% | 10%</x:v>
      </x:c>
      <x:c r="G1569" s="46" t="str">
        <x:v>L2025-00049-1/붙임2. Bid_Announcement_Ukraine_Notification Purpose_250626 ★.docx</x:v>
      </x:c>
      <x:c r="H1569" s="43" t="str">
        <x:v>표 1 행 7</x:v>
      </x:c>
      <x:c r="I1569" s="46" t="str">
        <x:v>Bid Limit | USD 148,913 (Exclusive of VAT) ※The amount includes both design (90%, USD 134,022) and author’s supervision (10%, USD 14,891) fees, Exclusive of VAT. ※During bidding and contract signing, the design fee and author supervision fee shall be specified separately. ※This project is under the registration of International Technical Assistance (ITA), which is obliged to be implemented on a basis of VAT exemption format, hence all bidders should submit the bid proposals excluding VAT</x:v>
      </x:c>
      <x:c r="J1569" s="43" t="str">
        <x:v>자동추출·검토필요</x:v>
      </x:c>
    </x:row>
    <x:row r="1570">
      <x:c r="A1570" s="43" t="str">
        <x:v>L2025-00047-1</x:v>
      </x:c>
      <x:c r="B1570" s="43" t="str">
        <x:v>부가세·예비비</x:v>
      </x:c>
      <x:c r="C1570" s="46" t="str">
        <x:v>vat</x:v>
      </x:c>
      <x:c r="D1570" s="46" t="str"/>
      <x:c r="E1570" s="46" t="str">
        <x:v>USD 1,964,270</x:v>
      </x:c>
      <x:c r="F1570" s="46" t="str"/>
      <x:c r="G1570" s="46" t="str">
        <x:v>L2025-00047-1/Section 2 - Bid Data Sheet (국문).hwp</x:v>
      </x:c>
      <x:c r="H1570" s="43" t="str">
        <x:v>문단 99</x:v>
      </x:c>
      <x:c r="I1570" s="46" t="str">
        <x:v>USD 1,964,270 (VAT, GST 포함)</x:v>
      </x:c>
      <x:c r="J1570" s="43" t="str">
        <x:v>자동추출·검토필요</x:v>
      </x:c>
    </x:row>
    <x:row r="1571">
      <x:c r="A1571" s="43" t="str">
        <x:v>L2025-00047-1</x:v>
      </x:c>
      <x:c r="B1571" s="43" t="str">
        <x:v>부가세·예비비</x:v>
      </x:c>
      <x:c r="C1571" s="46" t="str">
        <x:v>예비비</x:v>
      </x:c>
      <x:c r="D1571" s="46" t="str"/>
      <x:c r="E1571" s="46" t="str"/>
      <x:c r="F1571" s="46" t="str">
        <x:v>0.5%</x:v>
      </x:c>
      <x:c r="G1571" s="46" t="str">
        <x:v>L2025-00047-1/Section 2 - Bid Data Sheet (국문).hwp</x:v>
      </x:c>
      <x:c r="H1571" s="43" t="str">
        <x:v>문단 238</x:v>
      </x:c>
      <x:c r="I1571" s="46" t="str">
        <x:v>- 총공사비 중 예비비 제외 금액 × 0.5% 이상을 고정투찰</x:v>
      </x:c>
      <x:c r="J1571" s="43" t="str">
        <x:v>자동추출·검토필요</x:v>
      </x:c>
    </x:row>
    <x:row r="1572">
      <x:c r="A1572" s="43" t="str">
        <x:v>L2025-00047-1</x:v>
      </x:c>
      <x:c r="B1572" s="43" t="str">
        <x:v>부가세·예비비</x:v>
      </x:c>
      <x:c r="C1572" s="46" t="str">
        <x:v>vat, tax</x:v>
      </x:c>
      <x:c r="D1572" s="46" t="str"/>
      <x:c r="E1572" s="46" t="str">
        <x:v>USD 1,964,270 | USD 1,964,270</x:v>
      </x:c>
      <x:c r="F1572" s="46" t="str"/>
      <x:c r="G1572" s="46" t="str">
        <x:v>L2025-00047-1/붙임2. 영문 입찰서류_섬유센터 2차사업 시공 재입찰 (2025.06.20)/Section 2 - Bid Data Sheet.docx</x:v>
      </x:c>
      <x:c r="H1572" s="43" t="str">
        <x:v>표 4 행 14</x:v>
      </x:c>
      <x:c r="I1572" s="46" t="str">
        <x:v>․ Project Budget | USD 1,964,270 (included GST, VAT and other applicable indirect taxes) | USD 1,964,270 (included GST, VAT and other applicable indirect taxes)</x:v>
      </x:c>
      <x:c r="J1572" s="43" t="str">
        <x:v>자동추출·검토필요</x:v>
      </x:c>
    </x:row>
    <x:row r="1573">
      <x:c r="A1573" s="43" t="str">
        <x:v>L2025-00047-1</x:v>
      </x:c>
      <x:c r="B1573" s="43" t="str">
        <x:v>부가세·예비비</x:v>
      </x:c>
      <x:c r="C1573" s="46" t="str">
        <x:v>reserve</x:v>
      </x:c>
      <x:c r="D1573" s="46" t="str"/>
      <x:c r="E1573" s="46" t="str"/>
      <x:c r="F1573" s="46" t="str">
        <x:v>0.5%</x:v>
      </x:c>
      <x:c r="G1573" s="46" t="str">
        <x:v>L2025-00047-1/붙임2. 영문 입찰서류_섬유센터 2차사업 시공 재입찰 (2025.06.20)/Section 7 - General Conditions of Cotnract.docx</x:v>
      </x:c>
      <x:c r="H1573" s="43" t="str">
        <x:v>표 5 행 109</x:v>
      </x:c>
      <x:c r="I1573"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573" s="43" t="str">
        <x:v>자동추출·검토필요</x:v>
      </x:c>
    </x:row>
    <x:row r="1574">
      <x:c r="A1574" s="43" t="str">
        <x:v>L2025-00047-1</x:v>
      </x:c>
      <x:c r="B1574" s="43" t="str">
        <x:v>부가세·예비비</x:v>
      </x:c>
      <x:c r="C1574" s="46" t="str">
        <x:v>reserve</x:v>
      </x:c>
      <x:c r="D1574" s="46" t="str"/>
      <x:c r="E1574" s="46" t="str"/>
      <x:c r="F1574" s="46" t="str">
        <x:v>50% | 50%</x:v>
      </x:c>
      <x:c r="G1574" s="46" t="str">
        <x:v>L2025-00047-1/붙임2. 영문 입찰서류_섬유센터 2차사업 시공 재입찰 (2025.06.20)/Section 7 - General Conditions of Cotnract.docx</x:v>
      </x:c>
      <x:c r="H1574" s="43" t="str">
        <x:v>표 13 행 61</x:v>
      </x:c>
      <x:c r="I1574"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574" s="43" t="str">
        <x:v>자동추출·검토필요</x:v>
      </x:c>
    </x:row>
    <x:row r="1575">
      <x:c r="A1575" s="43" t="str">
        <x:v>L2025-00047-1</x:v>
      </x:c>
      <x:c r="B1575" s="43" t="str">
        <x:v>부가세·예비비</x:v>
      </x:c>
      <x:c r="C1575" s="46" t="str">
        <x:v>reserve</x:v>
      </x:c>
      <x:c r="D1575" s="46" t="str"/>
      <x:c r="E1575" s="46" t="str"/>
      <x:c r="F1575" s="46" t="str">
        <x:v>3% | 3%</x:v>
      </x:c>
      <x:c r="G1575" s="46" t="str">
        <x:v>L2025-00047-1/붙임2. 영문 입찰서류_섬유센터 2차사업 시공 재입찰 (2025.06.20)/Section 8 - Special Conditions of Contract.docx</x:v>
      </x:c>
      <x:c r="H1575" s="43" t="str">
        <x:v>표 3 행 18</x:v>
      </x:c>
      <x:c r="I1575" s="46" t="str">
        <x:v>Security Deposit for Defects | 1)Rate: 3% of the Contract Price May be exempted if reserves are available 2)Guarantee Period: Not less than 2(two) years and 60(sixty) days after completion of the project | 1)Rate: 3% of the Contract Price May be exempted if reserves are available 2)Guarantee Period: Not less than 2(two) years and 60(sixty) days after completion of the project</x:v>
      </x:c>
      <x:c r="J1575" s="43" t="str">
        <x:v>자동추출·검토필요</x:v>
      </x:c>
    </x:row>
    <x:row r="1576">
      <x:c r="A1576" s="43" t="str">
        <x:v>L2025-00047-1</x:v>
      </x:c>
      <x:c r="B1576" s="43" t="str">
        <x:v>부가세·예비비</x:v>
      </x:c>
      <x:c r="C1576" s="46" t="str">
        <x:v>contingency</x:v>
      </x:c>
      <x:c r="D1576" s="46" t="str"/>
      <x:c r="E1576" s="46" t="str"/>
      <x:c r="F1576" s="46" t="str">
        <x:v>0.5%</x:v>
      </x:c>
      <x:c r="G1576" s="46" t="str">
        <x:v>L2025-00047-1/붙임2. 영문 입찰서류_섬유센터 2차사업 시공 재입찰 (2025.06.20)/Section 8.1 - KOICA Safety Management Manual(ENG).pdf</x:v>
      </x:c>
      <x:c r="H1576" s="43" t="str">
        <x:v>페이지 14</x:v>
      </x:c>
      <x:c r="I1576" s="46" t="str">
        <x:v>4.1.3 KOICA should check that the bill of quantity (BoQ) consists of safety management costs (0.5% or more of the total construction costs, excluding non- contingency) as separate items. 5. Construction Procurement and Contracting 5.1 Provision of Information on Preparing Safety Management Plans 5.1.1 KOICA shall provide the following information for the contractor to formulate a safety management plan that reflects the distinctive features of the site conditions and the final design outcome: (1) Matters regarding the existence of asbestos or harmful substances such as chemical waste within the site; (2) Matters regarding access to the worksite such as railroads and busy roads adjacent to the site; (3) Matters regarding underground facilities and groundwater flows (4) Matters regarding adjacent buildings, structures, and trees that may cause a collapse; (5) Matters regarding land subsidence that may negatively affect structure; (6) Matters regarding obstacles or advantages for the installation of facilities or equipment within the site. 5.2 Review of Safety Management Plans 5.2.1 Review of Safety Management Plans (1) As for the safety management plan formulated by the contractor, K</x:v>
      </x:c>
      <x:c r="J1576" s="43" t="str">
        <x:v>자동추출·검토필요</x:v>
      </x:c>
    </x:row>
    <x:row r="1577">
      <x:c r="A1577" s="43" t="str">
        <x:v>L2025-00047-1</x:v>
      </x:c>
      <x:c r="B1577" s="43" t="str">
        <x:v>부가세·예비비</x:v>
      </x:c>
      <x:c r="C1577" s="46" t="str">
        <x:v>reserve</x:v>
      </x:c>
      <x:c r="D1577" s="46" t="str"/>
      <x:c r="E1577" s="46" t="str"/>
      <x:c r="F1577" s="46" t="str">
        <x:v>0.5%</x:v>
      </x:c>
      <x:c r="G1577" s="46" t="str">
        <x:v>L2025-00047-1/붙임2. 영문 입찰서류_섬유센터 2차사업 시공 재입찰 (2025.06.20)/Section 8.1 - KOICA Safety Management Manual(ENG).pdf</x:v>
      </x:c>
      <x:c r="H1577" s="43" t="str">
        <x:v>페이지 18</x:v>
      </x:c>
      <x:c r="I1577" s="46" t="str">
        <x:v>(1) Amount subject to safety management expenses: Amount excluding reserve funding from the total construction expenses (2) Calculation method: Amount subject to safety management expenses x 0.5% or more (2) Payment of safety management expenses: The contractor shall file a claim for payment of safety management expenses to KOICA along with a confirmation as to the proper disbursement of the safety management expenses to match the purpose prescribed under the safety management plan made by the construction manager. 6. Construction 6.1 Verifying Observance of Safety Management Plans 6.1.1 KOICA shall verify the contractor’s proper performance of the safety management plan. However, if construction project management, similar to consigned supervision, is being implemented, KOICA may allow the construction manager to verify the performance of the safety management plan and file a report on their own. 6.1.2 If there are any issues pointed out by the review of the safety management plan under the immediately preceding paragraph, KOICA shall review said issues and request the contractor make corrections, if necessary. 6.2 Verifying Disbursement of Safety Management Expenses 6.2.1 KOICA s</x:v>
      </x:c>
      <x:c r="J1577" s="43" t="str">
        <x:v>자동추출·검토필요</x:v>
      </x:c>
    </x:row>
    <x:row r="1578">
      <x:c r="A1578" s="43" t="str">
        <x:v>L2025-00047-1</x:v>
      </x:c>
      <x:c r="B1578" s="43" t="str">
        <x:v>부가세·예비비</x:v>
      </x:c>
      <x:c r="C1578" s="46" t="str">
        <x:v>vat, reserve</x:v>
      </x:c>
      <x:c r="D1578" s="46" t="str"/>
      <x:c r="E1578" s="46" t="str"/>
      <x:c r="F1578" s="46" t="str">
        <x:v>0.5%</x:v>
      </x:c>
      <x:c r="G1578" s="46" t="str">
        <x:v>L2025-00047-1/붙임2. 영문 입찰서류_섬유센터 2차사업 시공 재입찰 (2025.06.20)/Section 8.1 - KOICA Safety Management Manual(ENG).pdf</x:v>
      </x:c>
      <x:c r="H1578" s="43" t="str">
        <x:v>페이지 28</x:v>
      </x:c>
      <x:c r="I1578" s="46" t="str">
        <x:v>D. Steel structure works - An overview of materials, equipment, etc.; and detailed shop drawings; - The procedures and precautions for safe construction; - A safety inspection plan and a safety inspection checklist; - A calculation sheet for the safety of steel structures. E. Earth filling and cutting works (including earth dam works) - An overview of materials, equipment, etc.; and detailed shop drawings; - The procedures and precautions for safe construction; - A safety inspection plan and a safety inspection checklist; - A calculation sheet for safety. F. Demolition works - An overview of structures to be demolished, demolition methods, etc.; and detailed shop drawings; - A plan on the order of demolition, and on facilities and measures for safety, etc. G. Mechanical and electrical works: - An overview of materials, equipment, etc.; and detailed shop drawings; - The procedures and precautions for safe construction; - A safety inspection plan and a safety inspection checklist; - A calculation sheet for safety. 1.4 Creation of Safety Management Expense Spending Plans 1.4.1 The contractor shall make a spending plan for safety management expenses by adding expenses incurred in formu</x:v>
      </x:c>
      <x:c r="J1578" s="43" t="str">
        <x:v>자동추출·검토필요</x:v>
      </x:c>
    </x:row>
    <x:row r="1579">
      <x:c r="A1579" s="43" t="str">
        <x:v>L2025-00047-1</x:v>
      </x:c>
      <x:c r="B1579" s="43" t="str">
        <x:v>부가세·예비비</x:v>
      </x:c>
      <x:c r="C1579" s="46" t="str">
        <x:v>tax</x:v>
      </x:c>
      <x:c r="D1579" s="46" t="str"/>
      <x:c r="E1579" s="46" t="str"/>
      <x:c r="F1579" s="46" t="str">
        <x:v>50% | 50%</x:v>
      </x:c>
      <x:c r="G1579" s="46" t="str">
        <x:v>L2025-00047-1/붙임3. KOICA 입찰관련 규정 및 지침/KOICA Regulations for International Procurement(▒╣┴ª┴╢┤▐▒╘┴ñ)_20190304.pdf</x:v>
      </x:c>
      <x:c r="H1579" s="43" t="str">
        <x:v>페이지 4</x:v>
      </x:c>
      <x:c r="I1579" s="46" t="str">
        <x:v>Tenders and the procedures prescribed in Section II of these Regulations shall apply. However, in accordance with Article 1(2) of these Regulations, KOICA may delegate or entrust its International Procurement duties related to the relevant Project to a KOICA Trustee; provided that such delegation or entrustment is recorded in writing. (3) For International Tenders, KOICA HQ shall be the Employer and the procedures prescribed in Section III of these Regulations shall apply. (4) Use of the procurement system of a Recipient Country shall be at the discretion of KOICA and the procedures prescribed in Section IV of these Regulations shall apply. Article 5 Eligibility (1) The Employer, the Bidder, and the Contracting Party must adhere to the highest standards of ethics in connection with tenders for and contracts of International Procurement. Accordingly, (a) if a selected Bidder is found to have been fraudulent or deceitful during the competitive bid process, the Employer shall be entitled to cancel such selection; and (b) if a Bidder or a Contracting Party is found to have been fraudulent or deceitful during a separate tender process or contracting process conducted by the Employer, KO</x:v>
      </x:c>
      <x:c r="J1579" s="43" t="str">
        <x:v>자동추출·검토필요</x:v>
      </x:c>
    </x:row>
    <x:row r="1580">
      <x:c r="A1580" s="43" t="str">
        <x:v>L2025-00047-1</x:v>
      </x:c>
      <x:c r="B1580" s="43" t="str">
        <x:v>부가세·예비비</x:v>
      </x:c>
      <x:c r="C1580" s="46" t="str">
        <x:v>vat</x:v>
      </x:c>
      <x:c r="D1580" s="46" t="str"/>
      <x:c r="E1580" s="46" t="str">
        <x:v>KRW 100 million | KRW 100 million | KRW 50 million</x:v>
      </x:c>
      <x:c r="F1580" s="46" t="str"/>
      <x:c r="G1580" s="46" t="str">
        <x:v>L2025-00047-1/붙임3. KOICA 입찰관련 규정 및 지침/Regulations for Procurement and Contract in Grant Aid Projects(┤δ┐▄╣½╗≤╟∙╖┬╗τ╛≈┐í ░ⁿ╟╤ ┴╢┤▐ ╣╫ ░Φ╛α▒╘┴ñ)_20190520.pdf</x:v>
      </x:c>
      <x:c r="H1580" s="43" t="str">
        <x:v>페이지 15</x:v>
      </x:c>
      <x:c r="I1580" s="46" t="str">
        <x:v>works with an estimated price of KRW 100 million or less under other construction- related laws and regulations; manufacturing goods with an estimated price of KRW 100 million or less; &lt;Amended on Jan. 13, 2009&gt; 3. Contracts other than a contract for construction or manufacturing, or leases or rentals of goods, with an estimated price of KRW 50 million or less; &lt;Amended on Jan. 13, 2009&gt; 4. Products certified under Article 15 of the Industrial Standardization Act or standard products of excellent organizations under Article 25 of the same Act; &lt;Amended on Jan. 13, 2009, May 20, 2019&gt; 5. In a case of manufacture or purchase products conforming to the standards under Article 33 of the Act on the Promotion of Saving and Recycling of Resources; recycled products that have obtained quality certification pursuant to Article 17 (1) 3 of the Enforcement Decree of the Industrial Technology Innovation Promotion Act; products that have certified as eligible for the Environment Mark pursuant to Article 17 of the Environmental Technology and Industry Support Act; &lt;Amended on Jan. 13, 2009, Nov. 2, 2015, May 20, 2019&gt; 6. When manufacturing or purchasing goods designated or announced by the Minis</x:v>
      </x:c>
      <x:c r="J1580" s="43" t="str">
        <x:v>자동추출·검토필요</x:v>
      </x:c>
    </x:row>
    <x:row r="1581">
      <x:c r="A1581" s="43" t="str">
        <x:v>L2025-00047-1</x:v>
      </x:c>
      <x:c r="B1581" s="43" t="str">
        <x:v>부가세·예비비</x:v>
      </x:c>
      <x:c r="C1581" s="46" t="str">
        <x:v>reserve</x:v>
      </x:c>
      <x:c r="D1581" s="46" t="str"/>
      <x:c r="E1581" s="46" t="str">
        <x:v>USD 100,000.</x:v>
      </x:c>
      <x:c r="F1581" s="46" t="str">
        <x:v>200% | 200%</x:v>
      </x:c>
      <x:c r="G1581" s="46" t="str">
        <x:v>L2025-00047-1/붙임3. KOICA 입찰관련 규정 및 지침/Standard of Prequalification Criteria(└╘┬√┬ⁿ░í└┌░▌╗τ└ⁿ╜╔╗τ▒Γ┴╪)_20130116.pdf</x:v>
      </x:c>
      <x:c r="H1581" s="43" t="str">
        <x:v>페이지 16</x:v>
      </x:c>
      <x:c r="I1581" s="46" t="str">
        <x:v>입찰참가자격 사전심사 기준 STANDARD OF PREQUALIFICATION CRITERIA of contracts for each tender. (e.g.) The debt ratio shall be not more than 200%, or the current ratio shall be at least 200%. 3) The capabilities to mobilize at least a certain amount of cash may be assessed based on the average balance in the relevant company's accounts in its principal transaction bank, cash reserves as at a certain time (e.g. as at the date of public notice for the tender), etc., and detailed eligibility criteria (period of owning the balance, the average balance, cash reserves, etc.) shall be set up by the official in charge of contracts for each tender. (e.g.) The cash reserves in its accounts of the principal transaction bank as of the base date for examination (date of public notice for the tender) shall be at least USD100,000. * In cases of joint implementation, only the representative may be examined. ② Average annual construction performance 1) Depending on tenders, the period for construction performance may be determined by the official in charge of contracts, but he/she shall be careful not to set an unduly short period as such period (A period of at least five years is desirable). 2) Depending on te</x:v>
      </x:c>
      <x:c r="J1581" s="43" t="str">
        <x:v>자동추출·검토필요</x:v>
      </x:c>
    </x:row>
    <x:row r="1582">
      <x:c r="A1582" s="43" t="str">
        <x:v>L2025-00045-2</x:v>
      </x:c>
      <x:c r="B1582" s="43" t="str">
        <x:v>부가세·예비비</x:v>
      </x:c>
      <x:c r="C1582" s="46" t="str">
        <x:v>contingency</x:v>
      </x:c>
      <x:c r="D1582" s="46" t="str"/>
      <x:c r="E1582" s="46" t="str"/>
      <x:c r="F1582" s="46" t="str">
        <x:v>5%</x:v>
      </x:c>
      <x:c r="G1582" s="46" t="str">
        <x:v>L2025-00045-2/붙임3. 영문 입찰서류(양식 등 포함)/Section 2 - Bid Data Sheet (BDS)_v2_250827(└╧┴ñ╝÷┴ñ).docx</x:v>
      </x:c>
      <x:c r="H1582" s="43" t="str">
        <x:v>문단 85</x:v>
      </x:c>
      <x:c r="I1582" s="46" t="str">
        <x:v>- Contingency cost shall be fixed at 5% of the total service value and shall be spent after the approval of KOICA.</x:v>
      </x:c>
      <x:c r="J1582" s="43" t="str">
        <x:v>자동추출·검토필요</x:v>
      </x:c>
    </x:row>
    <x:row r="1583">
      <x:c r="A1583" s="43" t="str">
        <x:v>L2025-00045-2</x:v>
      </x:c>
      <x:c r="B1583" s="43" t="str">
        <x:v>부가세·예비비</x:v>
      </x:c>
      <x:c r="C1583" s="46" t="str">
        <x:v>tax</x:v>
      </x:c>
      <x:c r="D1583" s="46" t="str"/>
      <x:c r="E1583" s="46" t="str">
        <x:v>USD 411,000 | USD 205,50 | USD 205,500, | USD 411,000 | USD 205,50 | USD 205,500,</x:v>
      </x:c>
      <x:c r="F1583" s="46" t="str"/>
      <x:c r="G1583" s="46" t="str">
        <x:v>L2025-00045-2/붙임3. 영문 입찰서류(양식 등 포함)/Section 2 - Bid Data Sheet (BDS)_v2_250827(└╧┴ñ╝÷┴ñ).docx</x:v>
      </x:c>
      <x:c r="H1583" s="43" t="str">
        <x:v>표 5 행 5</x:v>
      </x:c>
      <x:c r="I1583" s="46" t="str">
        <x:v>․ Bid Limit | USD 411,000 (Design USD 205,50 +Supervision USD 205,500, Excluding value-added taxes and other fees) ※Bidders must separately indicate the design fee and the supervision fee. | USD 411,000 (Design USD 205,50 +Supervision USD 205,500, Excluding value-added taxes and other fees) ※Bidders must separately indicate the design fee and the supervision fee.</x:v>
      </x:c>
      <x:c r="J1583" s="43" t="str">
        <x:v>자동추출·검토필요</x:v>
      </x:c>
    </x:row>
    <x:row r="1584">
      <x:c r="A1584" s="43" t="str">
        <x:v>L2025-00045-1</x:v>
      </x:c>
      <x:c r="B1584" s="43" t="str">
        <x:v>부가세·예비비</x:v>
      </x:c>
      <x:c r="C1584" s="46" t="str">
        <x:v>contingency</x:v>
      </x:c>
      <x:c r="D1584" s="46" t="str"/>
      <x:c r="E1584" s="46" t="str"/>
      <x:c r="F1584" s="46" t="str">
        <x:v>5%</x:v>
      </x:c>
      <x:c r="G1584" s="46" t="str">
        <x:v>L2025-00045-1/붙임3. 입찰서류(영문) 일체/Section 2 - Bid Data Sheet (BDS).docx</x:v>
      </x:c>
      <x:c r="H1584" s="43" t="str">
        <x:v>문단 90</x:v>
      </x:c>
      <x:c r="I1584" s="46" t="str">
        <x:v>- Contingency cost shall be fixed at 5% of the total service value and shall be spent after the approval of KOICA.</x:v>
      </x:c>
      <x:c r="J1584" s="43" t="str">
        <x:v>자동추출·검토필요</x:v>
      </x:c>
    </x:row>
    <x:row r="1585">
      <x:c r="A1585" s="43" t="str">
        <x:v>L2025-00045-1</x:v>
      </x:c>
      <x:c r="B1585" s="43" t="str">
        <x:v>부가세·예비비</x:v>
      </x:c>
      <x:c r="C1585" s="46" t="str">
        <x:v>tax</x:v>
      </x:c>
      <x:c r="D1585" s="46" t="str"/>
      <x:c r="E1585" s="46" t="str">
        <x:v>USD 411,000 | USD 205,500 | USD 205,500, | USD 411,000 | USD 205,500 | USD 205,500,</x:v>
      </x:c>
      <x:c r="F1585" s="46" t="str"/>
      <x:c r="G1585" s="46" t="str">
        <x:v>L2025-00045-1/붙임3. 입찰서류(영문) 일체/Section 2 - Bid Data Sheet (BDS).docx</x:v>
      </x:c>
      <x:c r="H1585" s="43" t="str">
        <x:v>표 5 행 5</x:v>
      </x:c>
      <x:c r="I1585" s="46" t="str">
        <x:v>․ Bid Limit | USD 411,000 (Design USD 205,500 +Supervision USD 205,500, Excluding value-added taxes and other fees) ※Bidders must separately indicate the design fee and the supervision fee. | USD 411,000 (Design USD 205,500 +Supervision USD 205,500, Excluding value-added taxes and other fees) ※Bidders must separately indicate the design fee and the supervision fee.</x:v>
      </x:c>
      <x:c r="J1585" s="43" t="str">
        <x:v>자동추출·검토필요</x:v>
      </x:c>
    </x:row>
    <x:row r="1586">
      <x:c r="A1586" s="43" t="str">
        <x:v>L2025-00038-1</x:v>
      </x:c>
      <x:c r="B1586" s="43" t="str">
        <x:v>부가세·예비비</x:v>
      </x:c>
      <x:c r="C1586" s="46" t="str">
        <x:v>vat, tax</x:v>
      </x:c>
      <x:c r="D1586" s="46" t="str"/>
      <x:c r="E1586" s="46" t="str">
        <x:v>USD 94,880</x:v>
      </x:c>
      <x:c r="F1586" s="46" t="str"/>
      <x:c r="G1586" s="46" t="str">
        <x:v>L2025-00038-1/Section 2 - Bid Data Sheet (BDS)_MVC (Supervision)_fin.docx</x:v>
      </x:c>
      <x:c r="H1586" s="43" t="str">
        <x:v>표 2 행 9</x:v>
      </x:c>
      <x:c r="I1586" s="46" t="str">
        <x:v>Max Bidding Price | USD 94,880 (including VAT and other taxes)</x:v>
      </x:c>
      <x:c r="J1586" s="43" t="str">
        <x:v>자동추출·검토필요</x:v>
      </x:c>
    </x:row>
    <x:row r="1587">
      <x:c r="A1587" s="43" t="str">
        <x:v>L2025-00036-1</x:v>
      </x:c>
      <x:c r="B1587" s="43" t="str">
        <x:v>부가세·예비비</x:v>
      </x:c>
      <x:c r="C1587" s="46" t="str">
        <x:v>tax</x:v>
      </x:c>
      <x:c r="D1587" s="46" t="str"/>
      <x:c r="E1587" s="46" t="str">
        <x:v>USD 500,000 | USD 300,000 | USD 200,000</x:v>
      </x:c>
      <x:c r="F1587" s="46" t="str"/>
      <x:c r="G1587" s="46" t="str">
        <x:v>L2025-00036-1/붙임2. 입찰서류 영문본 일체/Section 0. Summary_of_Bidding.docx</x:v>
      </x:c>
      <x:c r="H1587" s="43" t="str">
        <x:v>표 2 행 4</x:v>
      </x:c>
      <x:c r="I1587" s="46" t="str">
        <x:v>․ Project Budget | Total USD 500,000 (Design: USD 300,000/ Supervision USD 200,000) (including value-added taxes and other fees)</x:v>
      </x:c>
      <x:c r="J1587" s="43" t="str">
        <x:v>자동추출·검토필요</x:v>
      </x:c>
    </x:row>
    <x:row r="1588">
      <x:c r="A1588" s="43" t="str">
        <x:v>L2025-00036-1</x:v>
      </x:c>
      <x:c r="B1588" s="43" t="str">
        <x:v>부가세·예비비</x:v>
      </x:c>
      <x:c r="C1588" s="46" t="str">
        <x:v>contingency</x:v>
      </x:c>
      <x:c r="D1588" s="46" t="str"/>
      <x:c r="E1588" s="46" t="str"/>
      <x:c r="F1588" s="46" t="str">
        <x:v>5%</x:v>
      </x:c>
      <x:c r="G1588" s="46" t="str">
        <x:v>L2025-00036-1/붙임2. 입찰서류 영문본 일체/Section 2_ Bid_Data_Sheet(BDS).docx</x:v>
      </x:c>
      <x:c r="H1588" s="43" t="str">
        <x:v>문단 95</x:v>
      </x:c>
      <x:c r="I1588" s="46" t="str">
        <x:v>- Contingency cost shall be fixed at 5% of the total service value and shall be spent after the approval of KOICA.</x:v>
      </x:c>
      <x:c r="J1588" s="43" t="str">
        <x:v>자동추출·검토필요</x:v>
      </x:c>
    </x:row>
    <x:row r="1589">
      <x:c r="A1589" s="43" t="str">
        <x:v>L2025-00036-1</x:v>
      </x:c>
      <x:c r="B1589" s="43" t="str">
        <x:v>부가세·예비비</x:v>
      </x:c>
      <x:c r="C1589" s="46" t="str">
        <x:v>tax</x:v>
      </x:c>
      <x:c r="D1589" s="46" t="str"/>
      <x:c r="E1589" s="46" t="str">
        <x:v>USD 500,000 | USD 300,000 | USD 200,000</x:v>
      </x:c>
      <x:c r="F1589" s="46" t="str"/>
      <x:c r="G1589" s="46" t="str">
        <x:v>L2025-00036-1/붙임2. 입찰서류 영문본 일체/Section 2_ Bid_Data_Sheet(BDS).docx</x:v>
      </x:c>
      <x:c r="H1589" s="43" t="str">
        <x:v>표 5 행 5</x:v>
      </x:c>
      <x:c r="I1589" s="46" t="str">
        <x:v>․ Project Budget | Total USD 500,000 (Design: USD 300,000/ Supervision USD 200,000) (including value-added taxes and other fees)</x:v>
      </x:c>
      <x:c r="J1589" s="43" t="str">
        <x:v>자동추출·검토필요</x:v>
      </x:c>
    </x:row>
    <x:row r="1590">
      <x:c r="A1590" s="43" t="str">
        <x:v>L2025-00036-1</x:v>
      </x:c>
      <x:c r="B1590" s="43" t="str">
        <x:v>부가세·예비비</x:v>
      </x:c>
      <x:c r="C1590" s="46" t="str">
        <x:v>vat</x:v>
      </x:c>
      <x:c r="D1590" s="46" t="str"/>
      <x:c r="E1590" s="46" t="str"/>
      <x:c r="F1590" s="46" t="str">
        <x:v>90%</x:v>
      </x:c>
      <x:c r="G1590" s="46" t="str">
        <x:v>L2025-00036-1/붙임2. 입찰서류 영문본 일체/Section 2_ Bid_Data_Sheet(BDS).docx</x:v>
      </x:c>
      <x:c r="H1590" s="43" t="str">
        <x:v>표 9 행 6</x:v>
      </x:c>
      <x:c r="I1590" s="46" t="str">
        <x:v>Qualitative (90%) | Technical | &lt;Design proposal and Action plan&gt; -The quality and creativity of architectural design proposals (including building layouts, floor plans, elevation plans, floor plans of mechanical and telecommunication rooms, and a list of building finishes) | &lt;Design proposal and Action plan&gt; -The quality and creativity of architectural design proposals (including building layouts, floor plans, elevation plans, floor plans of mechanical and telecommunication rooms, and a list of building finishes) | 30</x:v>
      </x:c>
      <x:c r="J1590" s="43" t="str">
        <x:v>자동추출·검토필요</x:v>
      </x:c>
    </x:row>
    <x:row r="1591">
      <x:c r="A1591" s="43" t="str">
        <x:v>L2025-00036-1</x:v>
      </x:c>
      <x:c r="B1591" s="43" t="str">
        <x:v>부가세·예비비</x:v>
      </x:c>
      <x:c r="C1591" s="46" t="str">
        <x:v>vat</x:v>
      </x:c>
      <x:c r="D1591" s="46" t="str"/>
      <x:c r="E1591" s="46" t="str">
        <x:v>USD 300,000</x:v>
      </x:c>
      <x:c r="F1591" s="46" t="str">
        <x:v>6% | 100%</x:v>
      </x:c>
      <x:c r="G1591" s="46" t="str">
        <x:v>L2025-00036-1/붙임2. 입찰서류 영문본 일체/Section 2_ Bid_Data_Sheet(BDS).docx</x:v>
      </x:c>
      <x:c r="H1591" s="43" t="str">
        <x:v>표 10 행 12</x:v>
      </x:c>
      <x:c r="I1591" s="46" t="str">
        <x:v>Past performance (6%) | (As % of the size of this bid**) Past performance domestically or internationally implemented* *Completed services only ** USD 300,000 (including VAT) | A. At least 100% | : 6.0 points</x:v>
      </x:c>
      <x:c r="J1591" s="43" t="str">
        <x:v>자동추출·검토필요</x:v>
      </x:c>
    </x:row>
    <x:row r="1592">
      <x:c r="A1592" s="43" t="str">
        <x:v>L2025-00036-1</x:v>
      </x:c>
      <x:c r="B1592" s="43" t="str">
        <x:v>부가세·예비비</x:v>
      </x:c>
      <x:c r="C1592" s="46" t="str">
        <x:v>vat</x:v>
      </x:c>
      <x:c r="D1592" s="46" t="str"/>
      <x:c r="E1592" s="46" t="str">
        <x:v>USD 300,000</x:v>
      </x:c>
      <x:c r="F1592" s="46" t="str">
        <x:v>6% | 70% | 100%</x:v>
      </x:c>
      <x:c r="G1592" s="46" t="str">
        <x:v>L2025-00036-1/붙임2. 입찰서류 영문본 일체/Section 2_ Bid_Data_Sheet(BDS).docx</x:v>
      </x:c>
      <x:c r="H1592" s="43" t="str">
        <x:v>표 10 행 13</x:v>
      </x:c>
      <x:c r="I1592" s="46" t="str">
        <x:v>Past performance (6%) | (As % of the size of this bid**) Past performance domestically or internationally implemented* *Completed services only ** USD 300,000 (including VAT) | B. Between 70%～100% | : 5.5 points</x:v>
      </x:c>
      <x:c r="J1592" s="43" t="str">
        <x:v>자동추출·검토필요</x:v>
      </x:c>
    </x:row>
    <x:row r="1593">
      <x:c r="A1593" s="43" t="str">
        <x:v>L2025-00036-1</x:v>
      </x:c>
      <x:c r="B1593" s="43" t="str">
        <x:v>부가세·예비비</x:v>
      </x:c>
      <x:c r="C1593" s="46" t="str">
        <x:v>vat</x:v>
      </x:c>
      <x:c r="D1593" s="46" t="str"/>
      <x:c r="E1593" s="46" t="str">
        <x:v>USD 300,000</x:v>
      </x:c>
      <x:c r="F1593" s="46" t="str">
        <x:v>6% | 40% | 70%</x:v>
      </x:c>
      <x:c r="G1593" s="46" t="str">
        <x:v>L2025-00036-1/붙임2. 입찰서류 영문본 일체/Section 2_ Bid_Data_Sheet(BDS).docx</x:v>
      </x:c>
      <x:c r="H1593" s="43" t="str">
        <x:v>표 10 행 14</x:v>
      </x:c>
      <x:c r="I1593" s="46" t="str">
        <x:v>Past performance (6%) | (As % of the size of this bid**) Past performance domestically or internationally implemented* *Completed services only ** USD 300,000 (including VAT) | C. Between 40%～70% | : 5.0 points</x:v>
      </x:c>
      <x:c r="J1593" s="43" t="str">
        <x:v>자동추출·검토필요</x:v>
      </x:c>
    </x:row>
    <x:row r="1594">
      <x:c r="A1594" s="43" t="str">
        <x:v>L2025-00036-1</x:v>
      </x:c>
      <x:c r="B1594" s="43" t="str">
        <x:v>부가세·예비비</x:v>
      </x:c>
      <x:c r="C1594" s="46" t="str">
        <x:v>vat</x:v>
      </x:c>
      <x:c r="D1594" s="46" t="str"/>
      <x:c r="E1594" s="46" t="str">
        <x:v>USD 300,000</x:v>
      </x:c>
      <x:c r="F1594" s="46" t="str">
        <x:v>6% | 10% | 40%</x:v>
      </x:c>
      <x:c r="G1594" s="46" t="str">
        <x:v>L2025-00036-1/붙임2. 입찰서류 영문본 일체/Section 2_ Bid_Data_Sheet(BDS).docx</x:v>
      </x:c>
      <x:c r="H1594" s="43" t="str">
        <x:v>표 10 행 15</x:v>
      </x:c>
      <x:c r="I1594" s="46" t="str">
        <x:v>Past performance (6%) | (As % of the size of this bid**) Past performance domestically or internationally implemented* *Completed services only ** USD 300,000 (including VAT) | D. Between 10%～40% | : 4.5 points</x:v>
      </x:c>
      <x:c r="J1594" s="43" t="str">
        <x:v>자동추출·검토필요</x:v>
      </x:c>
    </x:row>
    <x:row r="1595">
      <x:c r="A1595" s="43" t="str">
        <x:v>L2025-00036-1</x:v>
      </x:c>
      <x:c r="B1595" s="43" t="str">
        <x:v>부가세·예비비</x:v>
      </x:c>
      <x:c r="C1595" s="46" t="str">
        <x:v>vat</x:v>
      </x:c>
      <x:c r="D1595" s="46" t="str"/>
      <x:c r="E1595" s="46" t="str">
        <x:v>USD 300,000</x:v>
      </x:c>
      <x:c r="F1595" s="46" t="str">
        <x:v>6% | 10%</x:v>
      </x:c>
      <x:c r="G1595" s="46" t="str">
        <x:v>L2025-00036-1/붙임2. 입찰서류 영문본 일체/Section 2_ Bid_Data_Sheet(BDS).docx</x:v>
      </x:c>
      <x:c r="H1595" s="43" t="str">
        <x:v>표 10 행 16</x:v>
      </x:c>
      <x:c r="I1595" s="46" t="str">
        <x:v>Past performance (6%) | (As % of the size of this bid**) Past performance domestically or internationally implemented* *Completed services only ** USD 300,000 (including VAT) | E. Less than 10% | : 4.2 points</x:v>
      </x:c>
      <x:c r="J1595" s="43" t="str">
        <x:v>자동추출·검토필요</x:v>
      </x:c>
    </x:row>
    <x:row r="1596">
      <x:c r="A1596" s="43" t="str">
        <x:v>L2025-00036-1</x:v>
      </x:c>
      <x:c r="B1596" s="43" t="str">
        <x:v>부가세·예비비</x:v>
      </x:c>
      <x:c r="C1596" s="46" t="str">
        <x:v>contingency</x:v>
      </x:c>
      <x:c r="D1596" s="46" t="str"/>
      <x:c r="E1596" s="46" t="str"/>
      <x:c r="F1596" s="46" t="str">
        <x:v>5%</x:v>
      </x:c>
      <x:c r="G1596" s="46" t="str">
        <x:v>L2025-00036-1/붙임2. 입찰서류 영문본 일체/Section 4 - Request for Proposal (RFP).docx</x:v>
      </x:c>
      <x:c r="H1596" s="43" t="str">
        <x:v>문단 42</x:v>
      </x:c>
      <x:c r="I1596" s="46" t="str">
        <x:v>- Contingency cost shall be fixed at 5% of the total service value and shall be spent after the approval of KOICA.</x:v>
      </x:c>
      <x:c r="J1596" s="43" t="str">
        <x:v>자동추출·검토필요</x:v>
      </x:c>
    </x:row>
    <x:row r="1597">
      <x:c r="A1597" s="43" t="str">
        <x:v>L2025-00036-1</x:v>
      </x:c>
      <x:c r="B1597" s="43" t="str">
        <x:v>부가세·예비비</x:v>
      </x:c>
      <x:c r="C1597" s="46" t="str">
        <x:v>tax</x:v>
      </x:c>
      <x:c r="D1597" s="46" t="str"/>
      <x:c r="E1597" s="46" t="str">
        <x:v>USD 500,000 | USD 300,000 | USD 200,000</x:v>
      </x:c>
      <x:c r="F1597" s="46" t="str"/>
      <x:c r="G1597" s="46" t="str">
        <x:v>L2025-00036-1/붙임2. 입찰서류 영문본 일체/Section 4 - Request for Proposal (RFP).docx</x:v>
      </x:c>
      <x:c r="H1597" s="43" t="str">
        <x:v>표 1 행 4</x:v>
      </x:c>
      <x:c r="I1597" s="46" t="str">
        <x:v>․ Project Budget | Total USD 500,000 (Design: USD 300,000/ Supervision USD 200,000) (including value-added taxes and other fees)</x:v>
      </x:c>
      <x:c r="J1597" s="43" t="str">
        <x:v>자동추출·검토필요</x:v>
      </x:c>
    </x:row>
    <x:row r="1598">
      <x:c r="A1598" s="43" t="str">
        <x:v>L2025-00036-1</x:v>
      </x:c>
      <x:c r="B1598" s="43" t="str">
        <x:v>부가세·예비비</x:v>
      </x:c>
      <x:c r="C1598" s="46" t="str">
        <x:v>vat</x:v>
      </x:c>
      <x:c r="D1598" s="46" t="str">
        <x:v>3,700 m²</x:v>
      </x:c>
      <x:c r="E1598" s="46" t="str"/>
      <x:c r="F1598" s="46" t="str"/>
      <x:c r="G1598" s="46" t="str">
        <x:v>L2025-00036-1/붙임2. 입찰서류 영문본 일체/Section 6 - Related Project Information of RFP.pdf</x:v>
      </x:c>
      <x:c r="H1598" s="43" t="str">
        <x:v>페이지 10</x:v>
      </x:c>
      <x:c r="I1598" s="46" t="str">
        <x:v>Figure 8. The site entrance from the main road is Figure 9. Drainage pipes connected to the slightly elevated. building roof. Figure 10. Level differences with adjacent sites Figure 11. Unconnected parking lot trenches. require site leveling. C. Future Expansion Possibilities ㅇ This project aims to upgrade Dangkao Referral Hospital from CPA Level 1 to 2, establishing a trauma hospital system and enhancing medical staff capabilities. The existing building will be demolished and rebuilt to meet CPA Level 2 standards. Future horizontal or vertical expansions may be required. ㅇ The new CPA Level 2 hospital will cover 3,700m² with 70 beds. However, CPA Level 2 allows 60–100 beds, so future expansions may be needed. Current site coverage and floor area ratios allow for this, so expansion plans must be included in the design.  Preliminary surveys assumed 70 beds and 5 departments, but future increases are likely. ㅇ Site space must accommodate disabled and mobility-impaired individuals. D. Renovation and Expansion Review ㅇ The current Dangkao Referral Hospital, originally a health center, underwent expansions but suffers from uneven ceiling heights and structural limitations, making renov</x:v>
      </x:c>
      <x:c r="J1598" s="43" t="str">
        <x:v>자동추출·검토필요</x:v>
      </x:c>
    </x:row>
    <x:row r="1599">
      <x:c r="A1599" s="43" t="str">
        <x:v>L2025-00036-1</x:v>
      </x:c>
      <x:c r="B1599" s="43" t="str">
        <x:v>부가세·예비비</x:v>
      </x:c>
      <x:c r="C1599" s="46" t="str">
        <x:v>vat</x:v>
      </x:c>
      <x:c r="D1599" s="46" t="str">
        <x:v>5,086 ㎡ | 5,233 ㎡ | 5,086 ㎡ | 3,700 ㎡ | 5,086 ㎡</x:v>
      </x:c>
      <x:c r="E1599" s="46" t="str"/>
      <x:c r="F1599" s="46" t="str"/>
      <x:c r="G1599" s="46" t="str">
        <x:v>L2025-00036-1/붙임2. 입찰서류 영문본 일체/Section 6 - Related Project Information of RFP.pdf</x:v>
      </x:c>
      <x:c r="H1599" s="43" t="str">
        <x:v>페이지 11</x:v>
      </x:c>
      <x:c r="I1599" s="46" t="str">
        <x:v> Demolition and reconstruction are deemed necessary for safety and CPA Level 2 functionality. E. Eco-Friendliness and Renewable Energy ㅇ No local regulations mandate this, but as a KOICA grant project, proactive consideration within the budget is advisable. ㅇ Natural lighting and ventilation should be maximized given the local climate. 4. Architectural Planning and Scale Review 4.1. Architectural Plan 4.1.1. Architectural Overview 5,086㎡ ※ Original land area (based on land registry): 5,233㎡. GPS measurement Land Area on 4/2 confirmed 5,086㎡. New land registry issuance expected to take 3 months. Demolition of existing hospital and new construction ※ Some buildings, Construction Method including the Health Center, will be retained on the same site. Building Structure Reinforced concrete structure Outpatient care, operating rooms, emergency room, inpatient care, Building Content administration and services, etc. Building Scale (Total Total floor area: 3,700㎡ / Floors: 3 (including GL) / Number of buildings: Floor Area/Floors) 1 ㅇ The recent planning survey confirmed the land area as 5,086㎡ through GPS measurement. However, updating the land registry will take approximately 3 months. </x:v>
      </x:c>
      <x:c r="J1599" s="43" t="str">
        <x:v>자동추출·검토필요</x:v>
      </x:c>
    </x:row>
    <x:row r="1600">
      <x:c r="A1600" s="43" t="str">
        <x:v>L2025-00036-1</x:v>
      </x:c>
      <x:c r="B1600" s="43" t="str">
        <x:v>부가세·예비비</x:v>
      </x:c>
      <x:c r="C1600" s="46" t="str">
        <x:v>vat, tax</x:v>
      </x:c>
      <x:c r="D1600" s="46" t="str"/>
      <x:c r="E1600" s="46" t="str">
        <x:v>USD 500,000 | USD 300,000 | USD 200,000</x:v>
      </x:c>
      <x:c r="F1600" s="46" t="str"/>
      <x:c r="G1600" s="46" t="str">
        <x:v>L2025-00036-1/정정공고서류/Section 0. Summary_of_Bidding-rev.docx</x:v>
      </x:c>
      <x:c r="H1600" s="43" t="str">
        <x:v>표 2 행 4</x:v>
      </x:c>
      <x:c r="I1600" s="46" t="str">
        <x:v>․ Project Budget | Total USD 500,000 (Design: USD 300,000/ Supervision USD 200,000) (VAT Not included, other taxes included)</x:v>
      </x:c>
      <x:c r="J1600" s="43" t="str">
        <x:v>자동추출·검토필요</x:v>
      </x:c>
    </x:row>
    <x:row r="1601">
      <x:c r="A1601" s="43" t="str">
        <x:v>L2025-00036-1</x:v>
      </x:c>
      <x:c r="B1601" s="43" t="str">
        <x:v>부가세·예비비</x:v>
      </x:c>
      <x:c r="C1601" s="46" t="str">
        <x:v>contingency</x:v>
      </x:c>
      <x:c r="D1601" s="46" t="str"/>
      <x:c r="E1601" s="46" t="str"/>
      <x:c r="F1601" s="46" t="str">
        <x:v>5%</x:v>
      </x:c>
      <x:c r="G1601" s="46" t="str">
        <x:v>L2025-00036-1/정정공고서류/Section 2_ Bid_Data_Sheet(BDS)-rev.docx</x:v>
      </x:c>
      <x:c r="H1601" s="43" t="str">
        <x:v>문단 95</x:v>
      </x:c>
      <x:c r="I1601" s="46" t="str">
        <x:v>- Contingency cost shall be fixed at 5% of the total service value and shall be spent after the approval of KOICA.</x:v>
      </x:c>
      <x:c r="J1601" s="43" t="str">
        <x:v>자동추출·검토필요</x:v>
      </x:c>
    </x:row>
    <x:row r="1602">
      <x:c r="A1602" s="43" t="str">
        <x:v>L2025-00036-1</x:v>
      </x:c>
      <x:c r="B1602" s="43" t="str">
        <x:v>부가세·예비비</x:v>
      </x:c>
      <x:c r="C1602" s="46" t="str">
        <x:v>vat, tax</x:v>
      </x:c>
      <x:c r="D1602" s="46" t="str"/>
      <x:c r="E1602" s="46" t="str">
        <x:v>USD 500,000 | USD 300,000 | USD 200,000</x:v>
      </x:c>
      <x:c r="F1602" s="46" t="str"/>
      <x:c r="G1602" s="46" t="str">
        <x:v>L2025-00036-1/정정공고서류/Section 2_ Bid_Data_Sheet(BDS)-rev.docx</x:v>
      </x:c>
      <x:c r="H1602" s="43" t="str">
        <x:v>표 5 행 5</x:v>
      </x:c>
      <x:c r="I1602" s="46" t="str">
        <x:v>․ Project Budget | Total USD 500,000 (Design: USD 300,000/ Supervision USD 200,000) (VAT Not included, other taxes included)</x:v>
      </x:c>
      <x:c r="J1602" s="43" t="str">
        <x:v>자동추출·검토필요</x:v>
      </x:c>
    </x:row>
    <x:row r="1603">
      <x:c r="A1603" s="43" t="str">
        <x:v>L2025-00036-1</x:v>
      </x:c>
      <x:c r="B1603" s="43" t="str">
        <x:v>부가세·예비비</x:v>
      </x:c>
      <x:c r="C1603" s="46" t="str">
        <x:v>vat</x:v>
      </x:c>
      <x:c r="D1603" s="46" t="str"/>
      <x:c r="E1603" s="46" t="str"/>
      <x:c r="F1603" s="46" t="str">
        <x:v>90%</x:v>
      </x:c>
      <x:c r="G1603" s="46" t="str">
        <x:v>L2025-00036-1/정정공고서류/Section 2_ Bid_Data_Sheet(BDS)-rev.docx</x:v>
      </x:c>
      <x:c r="H1603" s="43" t="str">
        <x:v>표 9 행 6</x:v>
      </x:c>
      <x:c r="I1603" s="46" t="str">
        <x:v>Qualitative (90%) | Technical | &lt;Design proposal and Action plan&gt; -The quality and creativity of architectural design proposals (including building layouts, floor plans, elevation plans, floor plans of mechanical and telecommunication rooms, and a list of building finishes) | &lt;Design proposal and Action plan&gt; -The quality and creativity of architectural design proposals (including building layouts, floor plans, elevation plans, floor plans of mechanical and telecommunication rooms, and a list of building finishes) | 30</x:v>
      </x:c>
      <x:c r="J1603" s="43" t="str">
        <x:v>자동추출·검토필요</x:v>
      </x:c>
    </x:row>
    <x:row r="1604">
      <x:c r="A1604" s="43" t="str">
        <x:v>L2025-00036-1</x:v>
      </x:c>
      <x:c r="B1604" s="43" t="str">
        <x:v>부가세·예비비</x:v>
      </x:c>
      <x:c r="C1604" s="46" t="str">
        <x:v>vat</x:v>
      </x:c>
      <x:c r="D1604" s="46" t="str"/>
      <x:c r="E1604" s="46" t="str">
        <x:v>USD 300,000</x:v>
      </x:c>
      <x:c r="F1604" s="46" t="str">
        <x:v>6% | 100%</x:v>
      </x:c>
      <x:c r="G1604" s="46" t="str">
        <x:v>L2025-00036-1/정정공고서류/Section 2_ Bid_Data_Sheet(BDS)-rev.docx</x:v>
      </x:c>
      <x:c r="H1604" s="43" t="str">
        <x:v>표 10 행 12</x:v>
      </x:c>
      <x:c r="I1604" s="46" t="str">
        <x:v>Past performance (6%) | (As % of the size of this bid**) Past performance domestically or internationally implemented* *Completed services only ** USD 300,000 (including VAT) | A. At least 100% | : 6.0 points</x:v>
      </x:c>
      <x:c r="J1604" s="43" t="str">
        <x:v>자동추출·검토필요</x:v>
      </x:c>
    </x:row>
    <x:row r="1605">
      <x:c r="A1605" s="43" t="str">
        <x:v>L2025-00036-1</x:v>
      </x:c>
      <x:c r="B1605" s="43" t="str">
        <x:v>부가세·예비비</x:v>
      </x:c>
      <x:c r="C1605" s="46" t="str">
        <x:v>vat</x:v>
      </x:c>
      <x:c r="D1605" s="46" t="str"/>
      <x:c r="E1605" s="46" t="str">
        <x:v>USD 300,000</x:v>
      </x:c>
      <x:c r="F1605" s="46" t="str">
        <x:v>6% | 70% | 100%</x:v>
      </x:c>
      <x:c r="G1605" s="46" t="str">
        <x:v>L2025-00036-1/정정공고서류/Section 2_ Bid_Data_Sheet(BDS)-rev.docx</x:v>
      </x:c>
      <x:c r="H1605" s="43" t="str">
        <x:v>표 10 행 13</x:v>
      </x:c>
      <x:c r="I1605" s="46" t="str">
        <x:v>Past performance (6%) | (As % of the size of this bid**) Past performance domestically or internationally implemented* *Completed services only ** USD 300,000 (including VAT) | B. Between 70%～100% | : 5.5 points</x:v>
      </x:c>
      <x:c r="J1605" s="43" t="str">
        <x:v>자동추출·검토필요</x:v>
      </x:c>
    </x:row>
    <x:row r="1606">
      <x:c r="A1606" s="43" t="str">
        <x:v>L2025-00036-1</x:v>
      </x:c>
      <x:c r="B1606" s="43" t="str">
        <x:v>부가세·예비비</x:v>
      </x:c>
      <x:c r="C1606" s="46" t="str">
        <x:v>vat</x:v>
      </x:c>
      <x:c r="D1606" s="46" t="str"/>
      <x:c r="E1606" s="46" t="str">
        <x:v>USD 300,000</x:v>
      </x:c>
      <x:c r="F1606" s="46" t="str">
        <x:v>6% | 40% | 70%</x:v>
      </x:c>
      <x:c r="G1606" s="46" t="str">
        <x:v>L2025-00036-1/정정공고서류/Section 2_ Bid_Data_Sheet(BDS)-rev.docx</x:v>
      </x:c>
      <x:c r="H1606" s="43" t="str">
        <x:v>표 10 행 14</x:v>
      </x:c>
      <x:c r="I1606" s="46" t="str">
        <x:v>Past performance (6%) | (As % of the size of this bid**) Past performance domestically or internationally implemented* *Completed services only ** USD 300,000 (including VAT) | C. Between 40%～70% | : 5.0 points</x:v>
      </x:c>
      <x:c r="J1606" s="43" t="str">
        <x:v>자동추출·검토필요</x:v>
      </x:c>
    </x:row>
    <x:row r="1607">
      <x:c r="A1607" s="43" t="str">
        <x:v>L2025-00036-1</x:v>
      </x:c>
      <x:c r="B1607" s="43" t="str">
        <x:v>부가세·예비비</x:v>
      </x:c>
      <x:c r="C1607" s="46" t="str">
        <x:v>vat</x:v>
      </x:c>
      <x:c r="D1607" s="46" t="str"/>
      <x:c r="E1607" s="46" t="str">
        <x:v>USD 300,000</x:v>
      </x:c>
      <x:c r="F1607" s="46" t="str">
        <x:v>6% | 10% | 40%</x:v>
      </x:c>
      <x:c r="G1607" s="46" t="str">
        <x:v>L2025-00036-1/정정공고서류/Section 2_ Bid_Data_Sheet(BDS)-rev.docx</x:v>
      </x:c>
      <x:c r="H1607" s="43" t="str">
        <x:v>표 10 행 15</x:v>
      </x:c>
      <x:c r="I1607" s="46" t="str">
        <x:v>Past performance (6%) | (As % of the size of this bid**) Past performance domestically or internationally implemented* *Completed services only ** USD 300,000 (including VAT) | D. Between 10%～40% | : 4.5 points</x:v>
      </x:c>
      <x:c r="J1607" s="43" t="str">
        <x:v>자동추출·검토필요</x:v>
      </x:c>
    </x:row>
    <x:row r="1608">
      <x:c r="A1608" s="43" t="str">
        <x:v>L2025-00036-1</x:v>
      </x:c>
      <x:c r="B1608" s="43" t="str">
        <x:v>부가세·예비비</x:v>
      </x:c>
      <x:c r="C1608" s="46" t="str">
        <x:v>vat</x:v>
      </x:c>
      <x:c r="D1608" s="46" t="str"/>
      <x:c r="E1608" s="46" t="str">
        <x:v>USD 300,000</x:v>
      </x:c>
      <x:c r="F1608" s="46" t="str">
        <x:v>6% | 10%</x:v>
      </x:c>
      <x:c r="G1608" s="46" t="str">
        <x:v>L2025-00036-1/정정공고서류/Section 2_ Bid_Data_Sheet(BDS)-rev.docx</x:v>
      </x:c>
      <x:c r="H1608" s="43" t="str">
        <x:v>표 10 행 16</x:v>
      </x:c>
      <x:c r="I1608" s="46" t="str">
        <x:v>Past performance (6%) | (As % of the size of this bid**) Past performance domestically or internationally implemented* *Completed services only ** USD 300,000 (including VAT) | E. Less than 10% | : 4.2 points</x:v>
      </x:c>
      <x:c r="J1608" s="43" t="str">
        <x:v>자동추출·검토필요</x:v>
      </x:c>
    </x:row>
    <x:row r="1609">
      <x:c r="A1609" s="43" t="str">
        <x:v>L2025-00028-1</x:v>
      </x:c>
      <x:c r="B1609" s="43" t="str">
        <x:v>부가세·예비비</x:v>
      </x:c>
      <x:c r="C1609" s="46" t="str">
        <x:v>vat, tax</x:v>
      </x:c>
      <x:c r="D1609" s="46" t="str"/>
      <x:c r="E1609" s="46" t="str">
        <x:v>USD 1,700,000 | USD 1,700,000</x:v>
      </x:c>
      <x:c r="F1609" s="46" t="str"/>
      <x:c r="G1609" s="46" t="str">
        <x:v>L2025-00028-1/Bid_Document_Digitalization_of_the_Parliament_KG_2025_04_May/[2RE] (Bid Document) Digitalization of the Parliament_KG-2025-04_May 20,2025/Eng/ENG_Section 2 -Bid_Data_Sheet_Digitalization_Parliament.docx</x:v>
      </x:c>
      <x:c r="H1609" s="43" t="str">
        <x:v>표 5 행 14</x:v>
      </x:c>
      <x:c r="I1609" s="46" t="str">
        <x:v>․ Project Budget | USD 1,700,000 (Be exclusive of VAT and other applicable indirect taxes) | USD 1,700,000 (Be exclusive of VAT and other applicable indirect taxes)</x:v>
      </x:c>
      <x:c r="J1609" s="43" t="str">
        <x:v>자동추출·검토필요</x:v>
      </x:c>
    </x:row>
    <x:row r="1610">
      <x:c r="A1610" s="43" t="str">
        <x:v>L2025-00028-1</x:v>
      </x:c>
      <x:c r="B1610" s="43" t="str">
        <x:v>부가세·예비비</x:v>
      </x:c>
      <x:c r="C1610" s="46" t="str">
        <x:v>vat, tax, reserve</x:v>
      </x:c>
      <x:c r="D1610" s="46" t="str"/>
      <x:c r="E1610" s="46" t="str">
        <x:v>USD 1,645,112 | USD 1,645,112</x:v>
      </x:c>
      <x:c r="F1610" s="46" t="str">
        <x:v>0.5 % | 2.5% | 0.5 % | 2.5%</x:v>
      </x:c>
      <x:c r="G1610" s="46" t="str">
        <x:v>L2025-00028-1/Bid_Document_Digitalization_of_the_Parliament_KG_2025_04_May/[2RE] (Bid Document) Digitalization of the Parliament_KG-2025-04_May 20,2025/Eng/ENG_Section 2 -Bid_Data_Sheet_Digitalization_Parliament.docx</x:v>
      </x:c>
      <x:c r="H1610" s="43" t="str">
        <x:v>표 5 행 15</x:v>
      </x:c>
      <x:c r="I1610" s="46" t="str">
        <x:v>․ Base Price | USD 1,645,112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USD 1,645,112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x:v>
      </x:c>
      <x:c r="J1610" s="43" t="str">
        <x:v>자동추출·검토필요</x:v>
      </x:c>
    </x:row>
    <x:row r="1611">
      <x:c r="A1611" s="43" t="str">
        <x:v>L2025-00028-1</x:v>
      </x:c>
      <x:c r="B1611" s="43" t="str">
        <x:v>부가세·예비비</x:v>
      </x:c>
      <x:c r="C1611" s="46" t="str">
        <x:v>reserve</x:v>
      </x:c>
      <x:c r="D1611" s="46" t="str"/>
      <x:c r="E1611" s="46" t="str"/>
      <x:c r="F1611" s="46" t="str">
        <x:v>5%</x:v>
      </x:c>
      <x:c r="G1611" s="46" t="str">
        <x:v>L2025-00028-1/Bid_Document_Digitalization_of_the_Parliament_KG_2025_04_May/[2RE] (Bid Document) Digitalization of the Parliament_KG-2025-04_May 20,2025/Eng/ENG_Section 3 - Bidding_Forms_Digitalization_Parliament.doc</x:v>
      </x:c>
      <x:c r="H1611" s="43" t="str">
        <x:v>문단 51</x:v>
      </x:c>
      <x:c r="I1611" s="46" t="str">
        <x:v>3 Reserve for unforeseen work and expenses (5% of the sum (1) +(2))</x:v>
      </x:c>
      <x:c r="J1611" s="43" t="str">
        <x:v>자동추출·검토필요</x:v>
      </x:c>
    </x:row>
    <x:row r="1612">
      <x:c r="A1612" s="43" t="str">
        <x:v>L2025-00028-1</x:v>
      </x:c>
      <x:c r="B1612" s="43" t="str">
        <x:v>부가세·예비비</x:v>
      </x:c>
      <x:c r="C1612" s="46" t="str">
        <x:v>tax</x:v>
      </x:c>
      <x:c r="D1612" s="46" t="str"/>
      <x:c r="E1612" s="46" t="str">
        <x:v>USD 150,000</x:v>
      </x:c>
      <x:c r="F1612" s="46" t="str"/>
      <x:c r="G1612" s="46" t="str">
        <x:v>L2025-00028-1/Bid_Document_Digitalization_of_the_Parliament_KG_2025_04_May/[2RE] (Bid Document) Digitalization of the Parliament_KG-2025-04_May 20,2025/Eng/ENG_Section 3 - Bidding_Forms_Digitalization_Parliament.doc</x:v>
      </x:c>
      <x:c r="H1612" s="43" t="str">
        <x:v>문단 184</x:v>
      </x:c>
      <x:c r="I1612" s="46" t="str">
        <x:v>Name of Candidate _________________LLC _________________LLC _________________LLC No.DescriptionOriginal or Stamped Yes or NoEnglish Yes or No Check √ or - Original or Stamped Yes or NoEnglish Yes or No Check √ or - Original or Stamped Yes or NoEnglish Yes or No Check √ or - 1.Annex 1. Bid Application Form 2. Annex2. Bidder's Information Sheet3.A copy of the minutes of the general meeting (the decision of the participant) on the creation, on the election of the head4.Certificate of business Registration5. A copy of the license for construction and design works (*The license should be valid until the end of the contract) 6.A certificate from the tax inspectorate on the absence of debt7. A certificate from the social fund on the absence of debt8.A statement from the bank about the existence of a settlement account9.A letter of recommendation from three customers10.Certificate from the bank about the availability of money to start construction11.The order for the foreman and the certificate12.Annex 3: Bid price (Sealed)13.Annex 4: </x:v>
      </x:c>
      <x:c r="J1612" s="43" t="str">
        <x:v>자동추출·검토필요</x:v>
      </x:c>
    </x:row>
    <x:row r="1613">
      <x:c r="A1613" s="43" t="str">
        <x:v>L2025-00028-1</x:v>
      </x:c>
      <x:c r="B1613" s="43" t="str">
        <x:v>부가세·예비비</x:v>
      </x:c>
      <x:c r="C1613" s="46" t="str">
        <x:v>reserve</x:v>
      </x:c>
      <x:c r="D1613" s="46" t="str"/>
      <x:c r="E1613" s="46" t="str"/>
      <x:c r="F1613" s="46" t="str">
        <x:v>50%</x:v>
      </x:c>
      <x:c r="G1613" s="46" t="str">
        <x:v>L2025-00028-1/Bid_Document_Digitalization_of_the_Parliament_KG_2025_04_May/[2RE] (Bid Document) Digitalization of the Parliament_KG-2025-04_May 20,2025/Eng/ENG_Section 4-6 - Requirements_Digitalization_Parliament.docx</x:v>
      </x:c>
      <x:c r="H1613" s="43" t="str">
        <x:v>문단 214</x:v>
      </x:c>
      <x:c r="I1613" s="46" t="str">
        <x:v>The proposer must design the circuit breaker with an appropriate capacity and include a reserve ratio of at least 50% in the proposal.</x:v>
      </x:c>
      <x:c r="J1613" s="43" t="str">
        <x:v>자동추출·검토필요</x:v>
      </x:c>
    </x:row>
    <x:row r="1614">
      <x:c r="A1614" s="43" t="str">
        <x:v>L2025-00028-1</x:v>
      </x:c>
      <x:c r="B1614" s="43" t="str">
        <x:v>부가세·예비비</x:v>
      </x:c>
      <x:c r="C1614" s="46" t="str">
        <x:v>reserve</x:v>
      </x:c>
      <x:c r="D1614" s="46" t="str"/>
      <x:c r="E1614" s="46" t="str"/>
      <x:c r="F1614" s="46" t="str">
        <x:v>0.5%</x:v>
      </x:c>
      <x:c r="G1614" s="46" t="str">
        <x:v>L2025-00028-1/Bid_Document_Digitalization_of_the_Parliament_KG_2025_04_May/[2RE] (Bid Document) Digitalization of the Parliament_KG-2025-04_May 20,2025/Eng/ENG_Section 7 - General_Conditions_of_Contract_Digitalization_Parliament.docx</x:v>
      </x:c>
      <x:c r="H1614" s="43" t="str">
        <x:v>표 4 행 109</x:v>
      </x:c>
      <x:c r="I1614"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 (iv) hereof must include details of how the Safety Management Costs will be utilized.</x:v>
      </x:c>
      <x:c r="J1614" s="43" t="str">
        <x:v>자동추출·검토필요</x:v>
      </x:c>
    </x:row>
    <x:row r="1615">
      <x:c r="A1615" s="43" t="str">
        <x:v>L2025-00028-1</x:v>
      </x:c>
      <x:c r="B1615" s="43" t="str">
        <x:v>부가세·예비비</x:v>
      </x:c>
      <x:c r="C1615" s="46" t="str">
        <x:v>reserve</x:v>
      </x:c>
      <x:c r="D1615" s="46" t="str"/>
      <x:c r="E1615" s="46" t="str"/>
      <x:c r="F1615" s="46" t="str">
        <x:v>50% | 50%</x:v>
      </x:c>
      <x:c r="G1615" s="46" t="str">
        <x:v>L2025-00028-1/Bid_Document_Digitalization_of_the_Parliament_KG_2025_04_May/[2RE] (Bid Document) Digitalization of the Parliament_KG-2025-04_May 20,2025/Eng/ENG_Section 7 - General_Conditions_of_Contract_Digitalization_Parliament.docx</x:v>
      </x:c>
      <x:c r="H1615" s="43" t="str">
        <x:v>표 12 행 61</x:v>
      </x:c>
      <x:c r="I1615"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615" s="43" t="str">
        <x:v>자동추출·검토필요</x:v>
      </x:c>
    </x:row>
    <x:row r="1616">
      <x:c r="A1616" s="43" t="str">
        <x:v>L2025-00025-1</x:v>
      </x:c>
      <x:c r="B1616" s="43" t="str">
        <x:v>부가세·예비비</x:v>
      </x:c>
      <x:c r="C1616" s="46" t="str">
        <x:v>tax</x:v>
      </x:c>
      <x:c r="D1616" s="46" t="str"/>
      <x:c r="E1616" s="46" t="str">
        <x:v>USD 130,000 | USD 130,000</x:v>
      </x:c>
      <x:c r="F1616" s="46" t="str"/>
      <x:c r="G1616" s="46" t="str">
        <x:v>L2025-00025-1/Attach02_(붙임2) 입찰제반서류_공고문/Section 2 - Bid Data Sheet (BDS)_Peru San Juan Health Center_250416.docx</x:v>
      </x:c>
      <x:c r="H1616" s="43" t="str">
        <x:v>표 5 행 6</x:v>
      </x:c>
      <x:c r="I1616" s="46" t="str">
        <x:v>․ Bid Limit | USD 130,000 (including value-added taxes and other fees) | USD 130,000 (including value-added taxes and other fees)</x:v>
      </x:c>
      <x:c r="J1616" s="43" t="str">
        <x:v>자동추출·검토필요</x:v>
      </x:c>
    </x:row>
    <x:row r="1617">
      <x:c r="A1617" s="43" t="str">
        <x:v>L2025-00025-1</x:v>
      </x:c>
      <x:c r="B1617" s="43" t="str">
        <x:v>부가세·예비비</x:v>
      </x:c>
      <x:c r="C1617" s="46" t="str">
        <x:v>contingency</x:v>
      </x:c>
      <x:c r="D1617" s="46" t="str"/>
      <x:c r="E1617" s="46" t="str"/>
      <x:c r="F1617" s="46" t="str">
        <x:v>5%</x:v>
      </x:c>
      <x:c r="G1617" s="46" t="str">
        <x:v>L2025-00025-1/Attach02_(붙임2) 입찰제반서류_공고문/Section 4 - Terms of Reference (TOR)_Peru San Juan Health Center_250303.docx</x:v>
      </x:c>
      <x:c r="H1617" s="43" t="str">
        <x:v>문단 143</x:v>
      </x:c>
      <x:c r="I1617" s="46" t="str">
        <x:v>Contingency shall be included in the BOQ (5% of total construction cost).</x:v>
      </x:c>
      <x:c r="J1617" s="43" t="str">
        <x:v>자동추출·검토필요</x:v>
      </x:c>
    </x:row>
    <x:row r="1618">
      <x:c r="A1618" s="43" t="str">
        <x:v>L2025-00021-1</x:v>
      </x:c>
      <x:c r="B1618" s="43" t="str">
        <x:v>부가세·예비비</x:v>
      </x:c>
      <x:c r="C1618" s="46" t="str">
        <x:v>vat, tax</x:v>
      </x:c>
      <x:c r="D1618" s="46" t="str"/>
      <x:c r="E1618" s="46" t="str">
        <x:v>USD 100,000</x:v>
      </x:c>
      <x:c r="F1618" s="46" t="str"/>
      <x:c r="G1618" s="46" t="str">
        <x:v>L2025-00021-1/1. (세네갈) 입찰 요약본 (Summary of Bidding) (요약본).docx</x:v>
      </x:c>
      <x:c r="H1618" s="43" t="str">
        <x:v>표 2 행 4</x:v>
      </x:c>
      <x:c r="I1618" s="46" t="str">
        <x:v>․ Project Budget | USD 100,000 (Be exclusive of VAT and other applicable indirect taxes)</x:v>
      </x:c>
      <x:c r="J1618" s="43" t="str">
        <x:v>자동추출·검토필요</x:v>
      </x:c>
    </x:row>
    <x:row r="1619">
      <x:c r="A1619" s="43" t="str">
        <x:v>L2025-00021-1</x:v>
      </x:c>
      <x:c r="B1619" s="43" t="str">
        <x:v>부가세·예비비</x:v>
      </x:c>
      <x:c r="C1619" s="46" t="str">
        <x:v>vat</x:v>
      </x:c>
      <x:c r="D1619" s="46" t="str"/>
      <x:c r="E1619" s="46" t="str">
        <x:v>USD 100,000</x:v>
      </x:c>
      <x:c r="F1619" s="46" t="str"/>
      <x:c r="G1619" s="46" t="str">
        <x:v>L2025-00021-1/2. (세네갈) 입찰서류 일체/2. (세네갈) 입찰서류 일체/Section 2 - Bid Data Sheet (BDS)_최종수정(250321).docx</x:v>
      </x:c>
      <x:c r="H1619" s="43" t="str">
        <x:v>표 5 행 9</x:v>
      </x:c>
      <x:c r="I1619" s="46" t="str">
        <x:v>․ Bid Limit | USD 100,000 (without VAT)</x:v>
      </x:c>
      <x:c r="J1619" s="43" t="str">
        <x:v>자동추출·검토필요</x:v>
      </x:c>
    </x:row>
    <x:row r="1620">
      <x:c r="A1620" s="43" t="str">
        <x:v>L2025-00019-1</x:v>
      </x:c>
      <x:c r="B1620" s="43" t="str">
        <x:v>부가세·예비비</x:v>
      </x:c>
      <x:c r="C1620" s="46" t="str">
        <x:v>vat</x:v>
      </x:c>
      <x:c r="D1620" s="46" t="str">
        <x:v>32,440 m2</x:v>
      </x:c>
      <x:c r="E1620" s="46" t="str"/>
      <x:c r="F1620" s="46" t="str">
        <x:v>55%</x:v>
      </x:c>
      <x:c r="G1620" s="46" t="str">
        <x:v>L2025-00019-1/2-1. 입찰서류-Aveyime.doc</x:v>
      </x:c>
      <x:c r="H1620" s="43" t="str">
        <x:v>문단 103</x:v>
      </x:c>
      <x:c r="I1620" s="46" t="str">
        <x:v>1) Concrete works = 74m3 2) Excavation = 6,520m3 3) Filling = 12,000m3 4) Clearing = 7.0ha 5) Reinforcement = 8tons 6) Formwork = 32,440m2 Must meet requirement Must meet requirements N / A Must meet the following requirements (can be specialist subcontractor): 55% of the requirements. 5. Equipment The Tenderer must demonstrate that it will have access to the key Contractor’s equipment listed hereafter: No. Equipment Type and Characteristics Minimum Number required for contract 1 Bulldozer(s) (Caterpillar D7 or equivalent) 1 2 Excavator 1m3 1 3 Grader 2.2 m – 3.5 m blade 1 4 Vibrating steel roller, Min 10 ton 1 5 Sheep foot Roller 12 tons 1 6 Tipper truck (16 – 20m3) 6 7 Front end loader 1 8 Water pump set 1 9 Concrete vibrator 2 10 Mobile Concrete Mixer 2 1 Dewatering Pump 2 11 GNSS RTK base (with long range radio) and Rover configuration with all necessary accessories for full detailed field operation 1 12 Portable water tanks (minimum 500 litre capacity) 1</x:v>
      </x:c>
      <x:c r="J1620" s="43" t="str">
        <x:v>자동추출·검토필요</x:v>
      </x:c>
    </x:row>
    <x:row r="1621">
      <x:c r="A1621" s="43" t="str">
        <x:v>L2025-00019-1</x:v>
      </x:c>
      <x:c r="B1621" s="43" t="str">
        <x:v>부가세·예비비</x:v>
      </x:c>
      <x:c r="C1621" s="46" t="str">
        <x:v>vat</x:v>
      </x:c>
      <x:c r="D1621" s="46" t="str">
        <x:v>1,340 m2</x:v>
      </x:c>
      <x:c r="E1621" s="46" t="str"/>
      <x:c r="F1621" s="46" t="str">
        <x:v>55%</x:v>
      </x:c>
      <x:c r="G1621" s="46" t="str">
        <x:v>L2025-00019-1/2. 입찰서류-Ashaiman.doc</x:v>
      </x:c>
      <x:c r="H1621" s="43" t="str">
        <x:v>문단 103</x:v>
      </x:c>
      <x:c r="I1621" s="46" t="str">
        <x:v>1) Concrete works = 220m3 2) Excavation = 78,000m3 3) Filling = 4,680m3 4) Clearing = 0.2ha 5) Reinforcement = 4tons 6) Formwork = 1,340m2 Must meet requirement Must meet requirements N / A Must meet the following requirements (can be specialist subcontractor): 55% of the requirements. 5. Equipment The Tenderer must demonstrate that it will have access to the key Contractor’s equipment listed hereafter: No. Equipment Type and Characteristics Minimum Number required for contract 1 Bulldozer(s) (Caterpillar D7 or equivalent) 1 2 Excavator 1m3 1 3 Grader 2.2 m – 3.5 m blade 1 4 Vibrating steel roller, Min 10 ton 1 5 Sheep foot Roller 12 tons 1 6 Tipper truck (16 – 20m3) 6 7 Front end loader 1 8 Water pump set 1 9 Concrete vibrator 2 10 Mobile Concrete Mixer 2 1 Dewatering Pump 2 11 GNSS RTK base (with long range radio) and Rover configuration with all necessary accessories for full detailed field operation 1 12 Portable water tanks (minimum 500 litre capacity) 1</x:v>
      </x:c>
      <x:c r="J1621" s="43" t="str">
        <x:v>자동추출·검토필요</x:v>
      </x:c>
    </x:row>
    <x:row r="1622">
      <x:c r="A1622" s="43" t="str">
        <x:v>L2025-00019-1</x:v>
      </x:c>
      <x:c r="B1622" s="43" t="str">
        <x:v>부가세·예비비</x:v>
      </x:c>
      <x:c r="C1622" s="46" t="str">
        <x:v>contingency</x:v>
      </x:c>
      <x:c r="D1622" s="46" t="str"/>
      <x:c r="E1622" s="46" t="str"/>
      <x:c r="F1622" s="46" t="str">
        <x:v>15%</x:v>
      </x:c>
      <x:c r="G1622" s="46" t="str">
        <x:v>L2025-00019-1/3. 입찰 관련 자료/3. 입찰 관련 자료/4-2. 아베이면 BoQ 양식.xlsx</x:v>
      </x:c>
      <x:c r="H1622" s="43" t="str">
        <x:v>GRAND SUMMARY!28</x:v>
      </x:c>
      <x:c r="I1622" s="46" t="str">
        <x:v>A28=E | B28=ALLOWANCE FOR PHYSICAL CONTINGENCY - 15% (E,)</x:v>
      </x:c>
      <x:c r="J1622" s="43" t="str">
        <x:v>자동추출·검토필요</x:v>
      </x:c>
    </x:row>
    <x:row r="1623">
      <x:c r="A1623" s="43" t="str">
        <x:v>L2025-00019-1</x:v>
      </x:c>
      <x:c r="B1623" s="43" t="str">
        <x:v>부가세·예비비</x:v>
      </x:c>
      <x:c r="C1623" s="46" t="str">
        <x:v>vat</x:v>
      </x:c>
      <x:c r="D1623" s="46" t="str"/>
      <x:c r="E1623" s="46" t="str"/>
      <x:c r="F1623" s="46" t="str">
        <x:v>95%</x:v>
      </x:c>
      <x:c r="G1623" s="46" t="str">
        <x:v>L2025-00019-1/3. 입찰 관련 자료/3. 입찰 관련 자료/4-2. 아베이면 BoQ 양식.xlsx</x:v>
      </x:c>
      <x:c r="H1623" s="43" t="str">
        <x:v>Aveyime BOQ !190</x:v>
      </x:c>
      <x:c r="I1623" s="46" t="str">
        <x:v>C190=E625.1 | D190=Filling embankments with excavated material; compaction in layers less than 200mm thick to 95% Proctor MDD | E190=m3 | F190=27577</x:v>
      </x:c>
      <x:c r="J1623" s="43" t="str">
        <x:v>자동추출·검토필요</x:v>
      </x:c>
    </x:row>
    <x:row r="1624">
      <x:c r="A1624" s="43" t="str">
        <x:v>L2025-00019-1</x:v>
      </x:c>
      <x:c r="B1624" s="43" t="str">
        <x:v>부가세·예비비</x:v>
      </x:c>
      <x:c r="C1624" s="46" t="str">
        <x:v>vat</x:v>
      </x:c>
      <x:c r="D1624" s="46" t="str"/>
      <x:c r="E1624" s="46" t="str"/>
      <x:c r="F1624" s="46" t="str">
        <x:v>95%</x:v>
      </x:c>
      <x:c r="G1624" s="46" t="str">
        <x:v>L2025-00019-1/3. 입찰 관련 자료/3. 입찰 관련 자료/4-2. 아베이면 BoQ 양식.xlsx</x:v>
      </x:c>
      <x:c r="H1624" s="43" t="str">
        <x:v>Aveyime BOQ !195</x:v>
      </x:c>
      <x:c r="I1624" s="46" t="str">
        <x:v>C195=E625.1 | D195=Filling embankments with excavated material; compaction in layers less than 200mm thick to 95% Proctor MDD for 378m section of secondary drain. | E195=m3 | F195=9514</x:v>
      </x:c>
      <x:c r="J1624" s="43" t="str">
        <x:v>자동추출·검토필요</x:v>
      </x:c>
    </x:row>
    <x:row r="1625">
      <x:c r="A1625" s="43" t="str">
        <x:v>L2025-00019-1</x:v>
      </x:c>
      <x:c r="B1625" s="43" t="str">
        <x:v>부가세·예비비</x:v>
      </x:c>
      <x:c r="C1625" s="46" t="str">
        <x:v>vat</x:v>
      </x:c>
      <x:c r="D1625" s="46" t="str"/>
      <x:c r="E1625" s="46" t="str"/>
      <x:c r="F1625" s="46" t="str">
        <x:v>95%</x:v>
      </x:c>
      <x:c r="G1625" s="46" t="str">
        <x:v>L2025-00019-1/3. 입찰 관련 자료/3. 입찰 관련 자료/4-2. 아베이면 BoQ 양식.xlsx</x:v>
      </x:c>
      <x:c r="H1625" s="43" t="str">
        <x:v>Aveyime BOQ !200</x:v>
      </x:c>
      <x:c r="I1625" s="46" t="str">
        <x:v>C200=E625.1 | D200=Filling embankments with excavated material; compaction in layers less than 200mm thick to 95% Proctor MDD | E200=m3 | F200=1416</x:v>
      </x:c>
      <x:c r="J1625" s="43" t="str">
        <x:v>자동추출·검토필요</x:v>
      </x:c>
    </x:row>
    <x:row r="1626">
      <x:c r="A1626" s="43" t="str">
        <x:v>L2025-00019-1</x:v>
      </x:c>
      <x:c r="B1626" s="43" t="str">
        <x:v>부가세·예비비</x:v>
      </x:c>
      <x:c r="C1626" s="46" t="str">
        <x:v>vat</x:v>
      </x:c>
      <x:c r="D1626" s="46" t="str"/>
      <x:c r="E1626" s="46" t="str">
        <x:v>USD 400 million</x:v>
      </x:c>
      <x:c r="F1626" s="46" t="str">
        <x:v>41% | 20% | 34% | 66%</x:v>
      </x:c>
      <x:c r="G1626" s="46" t="str">
        <x:v>L2025-00019-1/3. 입찰 관련 자료/3. 입찰 관련 자료/5-1. 시방서_아샤이만.pdf</x:v>
      </x:c>
      <x:c r="H1626" s="43" t="str">
        <x:v>페이지 10</x:v>
      </x:c>
      <x:c r="I1626" s="46" t="str">
        <x:v>GENERAL SPECIFICATION 1. Project Overview 1.1 General Agriculture is an important sector in Republic of Ghana which creates the main source of income for about 29 million peoples, provides 41% of employment and generates about 20% of the country’s Gross Domestic Product (GDP). Rice is one of the primary crops in Ghana. Despite the high demand and its comparative advantage over other crops, Ghana has failed to advance in rice farming due to lack of experience in rice cultivation, national budget and the awareness in the importance of seed development and essential agricultural policies such as mechanization of agricultural equipment suitable for its local land and climate. As at 2016, the total domestic demand was met by 34% domestic rice and 66% imported rice with the annual spending of USD 400 million on rice imports, which are closely related to the outflow of national wealth and food security, raising the need to take urgent measures to ensure self-sufficiency of rice. In coping with this serious condition, the Korean Implementation Survey Team organized by the Korea Rural Community Corporation (KRC), which is authorized by the Ministry of Agriculture, Food and Rural Affairs (MA</x:v>
      </x:c>
      <x:c r="J1626" s="43" t="str">
        <x:v>자동추출·검토필요</x:v>
      </x:c>
    </x:row>
    <x:row r="1627">
      <x:c r="A1627" s="43" t="str">
        <x:v>L2025-00019-1</x:v>
      </x:c>
      <x:c r="B1627" s="43" t="str">
        <x:v>부가세·예비비</x:v>
      </x:c>
      <x:c r="C1627" s="46" t="str">
        <x:v>vat</x:v>
      </x:c>
      <x:c r="D1627" s="46" t="str"/>
      <x:c r="E1627" s="46" t="str"/>
      <x:c r="F1627" s="46" t="str">
        <x:v>85% | 90%</x:v>
      </x:c>
      <x:c r="G1627" s="46" t="str">
        <x:v>L2025-00019-1/3. 입찰 관련 자료/3. 입찰 관련 자료/5-1. 시방서_아샤이만.pdf</x:v>
      </x:c>
      <x:c r="H1627" s="43" t="str">
        <x:v>페이지 72</x:v>
      </x:c>
      <x:c r="I1627" s="46" t="str">
        <x:v>All topsoil and surface features such as walls are to be kept separate from other excavation material. In fertile areas or where directed by the Engineer, the topsoil shall be stripped from the whole of the working easement area and stored on one side, to be replaced on the easement area when pipe laying is completed. Wherever necessary all trenches shall be properly supported by timbering (including steel trench sheeting or steel sheet piling or such other materials as may be approved by the Engineer) in such a manner as to ensure the safety of men working in the trench or on the surface at the side of the trench and to protect any roads, buildings, bridges and other properties in the vicinity thereof from damage. In all cases where the ground is unstable or where the Engineer considers it necessary, the trenches, excavations and headings shall be close timbered from top to bottom. The Engineer may direct that timber and sheeting be left in trenches where in his opinion it is necessary for the safety of the Works. Sheeting or timbering shall be designed to allow withdrawal as filling takes place to ensure complete filling of the trench, such that backfill is in contact with the si</x:v>
      </x:c>
      <x:c r="J1627" s="43" t="str">
        <x:v>자동추출·검토필요</x:v>
      </x:c>
    </x:row>
    <x:row r="1628">
      <x:c r="A1628" s="43" t="str">
        <x:v>L2025-00019-1</x:v>
      </x:c>
      <x:c r="B1628" s="43" t="str">
        <x:v>부가세·예비비</x:v>
      </x:c>
      <x:c r="C1628" s="46" t="str">
        <x:v>vat</x:v>
      </x:c>
      <x:c r="D1628" s="46" t="str"/>
      <x:c r="E1628" s="46" t="str"/>
      <x:c r="F1628" s="46" t="str">
        <x:v>90% | 95%</x:v>
      </x:c>
      <x:c r="G1628" s="46" t="str">
        <x:v>L2025-00019-1/3. 입찰 관련 자료/3. 입찰 관련 자료/5-1. 시방서_아샤이만.pdf</x:v>
      </x:c>
      <x:c r="H1628" s="43" t="str">
        <x:v>페이지 73</x:v>
      </x:c>
      <x:c r="I1628" s="46" t="str">
        <x:v>Backfill material shall be from the material obtained from the trench excavation and shall be free from vegetable matter and stones greater than 50 mm nominal size. Backfill material shall be placed in layers not exceeding 300 mm compacted thickness in fields and in layers not exceeding 150 mm compacted thickness beneath all roads. Backfill shall be thoroughly compacted to achieve a relative compaction, when measured in accordance with Clauses 2.2 or 2.4 of BS 1377: Part 9: 1990, as specified below. The relative compaction shall be 90% for pipes laid in the field or service roads and 95% for pipes in access or feeder roads. Heavy mechanical equipment shall not be allowed to run over any pipeline until the trench has been completely backfilled and compacted as specified and shown on the Drawings. Construction plant exerting a load excess of 60 tons, whether dynamic or static, shall not be used within 5 metres of the pipe centre line during construction. Backfill and Embankment Fill Backfill shall mean the material required to refill excavations outside the Permanent Work up to the ground levels prevailing at the commencement of the Works, or to the levels shown on the Drawings, or o</x:v>
      </x:c>
      <x:c r="J1628" s="43" t="str">
        <x:v>자동추출·검토필요</x:v>
      </x:c>
    </x:row>
    <x:row r="1629">
      <x:c r="A1629" s="43" t="str">
        <x:v>L2025-00019-1</x:v>
      </x:c>
      <x:c r="B1629" s="43" t="str">
        <x:v>부가세·예비비</x:v>
      </x:c>
      <x:c r="C1629" s="46" t="str">
        <x:v>vat</x:v>
      </x:c>
      <x:c r="D1629" s="46" t="str"/>
      <x:c r="E1629" s="46" t="str"/>
      <x:c r="F1629" s="46" t="str">
        <x:v>90% | 75%</x:v>
      </x:c>
      <x:c r="G1629" s="46" t="str">
        <x:v>L2025-00019-1/3. 입찰 관련 자료/3. 입찰 관련 자료/5-1. 시방서_아샤이만.pdf</x:v>
      </x:c>
      <x:c r="H1629" s="43" t="str">
        <x:v>페이지 74</x:v>
      </x:c>
      <x:c r="I1629" s="46" t="str">
        <x:v>The Contractor shall exercise careful control of the moisture content of the backfill or fill material prior to and during compaction, such that it lies within the range of values specified. The degree of compaction of fill and backfill, unless otherwise specified, shall be at least 90% of maximum dry density for earthfill and fine filter materials or shall achieve a density index of 75% for granular materials. Finish of Earthworks Except where otherwise specified or ordered by the Engineer, the tops and side slopes of fill shall be neatly trimmed equal to the best practicable finish which in the opinion of the Engineer can be obtained by the skilled use of the earth moving equipment used in the placing and, where specified, compacting of fill. Where precise lines and levels of embankments are not specified or ordered by the Engineer, the Contractor shall construct embankments in straight lines between smooth curves to give a pleasing appearance. Granular Material as Backfill In case granular material is used for backfill, this shall be obtained from sources approved by the Engineer. The material shall be such that it lies within the following grading limits: Particle Size Fine Lim</x:v>
      </x:c>
      <x:c r="J1629" s="43" t="str">
        <x:v>자동추출·검토필요</x:v>
      </x:c>
    </x:row>
    <x:row r="1630">
      <x:c r="A1630" s="43" t="str">
        <x:v>L2025-00019-1</x:v>
      </x:c>
      <x:c r="B1630" s="43" t="str">
        <x:v>부가세·예비비</x:v>
      </x:c>
      <x:c r="C1630" s="46" t="str">
        <x:v>vat</x:v>
      </x:c>
      <x:c r="D1630" s="46" t="str"/>
      <x:c r="E1630" s="46" t="str"/>
      <x:c r="F1630" s="46" t="str">
        <x:v>0% | 2% | 90% | 90% | 10% | 88% | 85% | 3%</x:v>
      </x:c>
      <x:c r="G1630" s="46" t="str">
        <x:v>L2025-00019-1/3. 입찰 관련 자료/3. 입찰 관련 자료/5-1. 시방서_아샤이만.pdf</x:v>
      </x:c>
      <x:c r="H1630" s="43" t="str">
        <x:v>페이지 76</x:v>
      </x:c>
      <x:c r="I1630" s="46" t="str">
        <x:v>Embankment of the Reservoirs Materials considered suitable for inclusion in the earthfill embankment of the storage reservoirs shall be compacted in layers not exceeding 0.20 m before compaction and in such a manner that field densities as measured in situ using the methods described of BS 1377: Part 9: 1990, achieve the specified compaction. The moisture content of the material shall be controlled at the borrow area to give a uniformly distributed water content after compaction of between 0% and + 2% above Optimum Water Content. If shrinkage cracks due to drying occur in the exposed surface of the embankment, the fill shall be excavated back to the full depth of any cracks and the excavated material removed to spoil. This work shall be carried out at the Contractor´s own cost. Compaction will be achieved by heavy sheepsfoot or pegfoot vibrating rollers with minimum drum weight of 15 tons. The length of the sheepsfeet or pegs will be no less than 19 cm. The number of passes will be determined by trial placement, but it will not be less than 8 unless otherwise directed by the Engineer. Earthfill Compaction Control Earthfill shall be compacted in such a manner that the average percen</x:v>
      </x:c>
      <x:c r="J1630" s="43" t="str">
        <x:v>자동추출·검토필요</x:v>
      </x:c>
    </x:row>
    <x:row r="1631">
      <x:c r="A1631" s="43" t="str">
        <x:v>L2025-00019-1</x:v>
      </x:c>
      <x:c r="B1631" s="43" t="str">
        <x:v>부가세·예비비</x:v>
      </x:c>
      <x:c r="C1631" s="46" t="str">
        <x:v>vat</x:v>
      </x:c>
      <x:c r="D1631" s="46" t="str"/>
      <x:c r="E1631" s="46" t="str"/>
      <x:c r="F1631" s="46" t="str">
        <x:v>90%</x:v>
      </x:c>
      <x:c r="G1631" s="46" t="str">
        <x:v>L2025-00019-1/3. 입찰 관련 자료/3. 입찰 관련 자료/5-1. 시방서_아샤이만.pdf</x:v>
      </x:c>
      <x:c r="H1631" s="43" t="str">
        <x:v>페이지 78</x:v>
      </x:c>
      <x:c r="I1631" s="46" t="str">
        <x:v>of the site work, in order to have the geotextile covered in a way to ensure it from ultraviolet radiation. The time interval should be such to maintain at least a rate of ninety per cent (90%) of the initial tensile strength. Construction Requirements The longer a geotextile can be exposed in ultraviolet radiation should in no case be more than three months. In the case the geotextile remains exposed in ultraviolet radiation beyond the allowed time then it is considered, conventionally, as useless and should be replaced at no extra cost to the Contract. The joints of the geotextiles should be made according to the instructions of the production factory. However, for the jointing there should be coverage of the two edges of at least 0.25m. In cases where the geotextile is placed in contact with concrete it is prohibited to use geotextiles made of polyester material. Sod Facing The Contractor shall perform sod facing on the slopes of embankment or excavation shown on the Drawings or directed by the Engineer. The sod used for the slope protection shall be of the best quality available within the locality. The sod shall have healthy living stem and roots and obtained from heavy thickl</x:v>
      </x:c>
      <x:c r="J1631" s="43" t="str">
        <x:v>자동추출·검토필요</x:v>
      </x:c>
    </x:row>
    <x:row r="1632">
      <x:c r="A1632" s="43" t="str">
        <x:v>L2025-00019-1</x:v>
      </x:c>
      <x:c r="B1632" s="43" t="str">
        <x:v>부가세·예비비</x:v>
      </x:c>
      <x:c r="C1632" s="46" t="str">
        <x:v>vat</x:v>
      </x:c>
      <x:c r="D1632" s="46" t="str"/>
      <x:c r="E1632" s="46" t="str"/>
      <x:c r="F1632" s="46" t="str">
        <x:v>500%</x:v>
      </x:c>
      <x:c r="G1632" s="46" t="str">
        <x:v>L2025-00019-1/3. 입찰 관련 자료/3. 입찰 관련 자료/5-1. 시방서_아샤이만.pdf</x:v>
      </x:c>
      <x:c r="H1632" s="43" t="str">
        <x:v>페이지 100</x:v>
      </x:c>
      <x:c r="I1632" s="46" t="str">
        <x:v>Chapter 7: JOINTS &amp; BEARINGS Not all of the joints and bearings described below are proposed by the design. However, this specification is included in the Tender Documents to be used in case the Engineer decides that such joints should be constructed. Water-Stops The Contractor shall supply and fix water-stops in all contraction and expansion joints in structures which are to be water retaining and where shown on the Drawings. Such joints shall be watertight. Water-stops unless otherwise specified shall be of rubber or PVC. They shall be obtained from manufacturers approved by the Engineer and shall be stored, fixed and jointed in accordance with the manufacturer's instructions. They shall be fabricated into the longest practicable units complete with angles and junctions, at the manufacturer's plant, and shall be made continuous throughout the structure and below the highest water level. The Contractor's proposals for jointing water-stops on Site shall be to the approval of the Engineer. Rubber water stops shall be jointed with an approved sleeve jointing system, and PVC joints shall be welded. The minimum dimensions and shape of water-stop types shall be as tabulated below: Width</x:v>
      </x:c>
      <x:c r="J1632" s="43" t="str">
        <x:v>자동추출·검토필요</x:v>
      </x:c>
    </x:row>
    <x:row r="1633">
      <x:c r="A1633" s="43" t="str">
        <x:v>L2025-00019-1</x:v>
      </x:c>
      <x:c r="B1633" s="43" t="str">
        <x:v>부가세·예비비</x:v>
      </x:c>
      <x:c r="C1633" s="46" t="str">
        <x:v>vat</x:v>
      </x:c>
      <x:c r="D1633" s="46" t="str">
        <x:v>200 m2</x:v>
      </x:c>
      <x:c r="E1633" s="46" t="str"/>
      <x:c r="F1633" s="46" t="str"/>
      <x:c r="G1633" s="46" t="str">
        <x:v>L2025-00019-1/3. 입찰 관련 자료/3. 입찰 관련 자료/5-1. 시방서_아샤이만.pdf</x:v>
      </x:c>
      <x:c r="H1633" s="43" t="str">
        <x:v>페이지 151</x:v>
      </x:c>
      <x:c r="I1633" s="46" t="str">
        <x:v>individual gas boilers is allowed for small surfaces (&lt; 200 m2), for joints and for localized repair works, as well as for particular cases, such as locally elevated parts of the cross-sections. The membrane overlaps will be at least 10 cm widthwise and 15 cm lengthwise. The waterproofing system will be protected by a cement mortar layer of 2 cm thickness, with 600 kg cement per m3 of the material. The protective layer will be implemented after the waterproofing system is cooled at the environment temperature. The implementation of mortar on hot membranes is forbidden. Protecting Concrete Surfaces Using Epoxy Resin The inner concrete walls of the chambers located in marshy areas will be protected using a double layer of epoxy resin and cement mortar, as shown in the drawings. The properties of the resin will be approved by the Engineer prior to its supply and implementation. The resin will be applied on a clean surface, using a suitable brush. The application will take place at two coats, at an interval of 12hours each. The resin must be applied precociously, so that any spots, laps, brush marks, runs, droopiness and other surface imperfections are avoided. The typical mortar will </x:v>
      </x:c>
      <x:c r="J1633" s="43" t="str">
        <x:v>자동추출·검토필요</x:v>
      </x:c>
    </x:row>
    <x:row r="1634">
      <x:c r="A1634" s="43" t="str">
        <x:v>L2025-00019-1</x:v>
      </x:c>
      <x:c r="B1634" s="43" t="str">
        <x:v>부가세·예비비</x:v>
      </x:c>
      <x:c r="C1634" s="46" t="str">
        <x:v>vat</x:v>
      </x:c>
      <x:c r="D1634" s="46" t="str"/>
      <x:c r="E1634" s="46" t="str"/>
      <x:c r="F1634" s="46" t="str">
        <x:v>95% | 20%</x:v>
      </x:c>
      <x:c r="G1634" s="46" t="str">
        <x:v>L2025-00019-1/3. 입찰 관련 자료/3. 입찰 관련 자료/5-1. 시방서_아샤이만.pdf</x:v>
      </x:c>
      <x:c r="H1634" s="43" t="str">
        <x:v>페이지 152</x:v>
      </x:c>
      <x:c r="I1634" s="46" t="str">
        <x:v>Chapter 12: ROADS Permanent Roads The Contractor shall construct the access roads following the route, and applying the recommended design cross-sections, which are shown on the Drawings, or otherwise ordered by the Engineer. The Contractor shall excavate cuttings and form embankments in accordance with the design and the instructions of the Engineer’s Representative. The Contractor shall be responsible for the execution of the earthworks in such manner that the finished requirements and dimensions are obtained. The Contractor shall carry out the work such that excessive drying and cracking of earthworks and subgrade is prevented. For the purposes of road construction, the following definitions shall apply:  “Formation” shall mean the surface of cut or fill material prepared to receive the sub-base, if required, or the course base.  “Formation level” shall mean the required level at any point on the formation.  “Sub-grade” shall mean the zone immediately below the formation.  “Sub-base”, if required, shall mean the material placed immediately over the formation.  “Base course” shall mean the material placed over the formation or over the sub-base, if used.  “Gravel wearing co</x:v>
      </x:c>
      <x:c r="J1634" s="43" t="str">
        <x:v>자동추출·검토필요</x:v>
      </x:c>
    </x:row>
    <x:row r="1635">
      <x:c r="A1635" s="43" t="str">
        <x:v>L2025-00019-1</x:v>
      </x:c>
      <x:c r="B1635" s="43" t="str">
        <x:v>부가세·예비비</x:v>
      </x:c>
      <x:c r="C1635" s="46" t="str">
        <x:v>vat</x:v>
      </x:c>
      <x:c r="D1635" s="46" t="str"/>
      <x:c r="E1635" s="46" t="str"/>
      <x:c r="F1635" s="46" t="str">
        <x:v>50%</x:v>
      </x:c>
      <x:c r="G1635" s="46" t="str">
        <x:v>L2025-00019-1/3. 입찰 관련 자료/3. 입찰 관련 자료/5-1. 시방서_아샤이만.pdf</x:v>
      </x:c>
      <x:c r="H1635" s="43" t="str">
        <x:v>페이지 154</x:v>
      </x:c>
      <x:c r="I1635" s="46" t="str">
        <x:v>of the wearing course and the centrelines of the road be less than specified or ordered by more than 100 mm. Corridors within the plots of the different irrigation blocks shall be constructed with a 100 mm average compacted thickness of selected excavated material. Temporary Access Roads The Contractor shall assess his own need for access roads to the temporary site installations and to storage areas, temporary offices, quarries, borrow pits, excavations and spoil tips and shall construct such roads at his own expense. The Contractor shall spray access roads with water to control dust as and when required by the Engineer. Access to the Areas of Site The Contractor shall make his own arrangements for access to parts of the route which are not in public land. Road Metaling The road to be rehabilitated under the contract will be the inspection road along the canal and the rural road. The access road shall have a compacted layer with mixed material or gravel and crushed stone with a thickness of thirty (30) centimetre. The material of the mixed layer for road metaling shall be natural gravel (10 to 20 mm in diameter, crushed stone (20 to 50 mm in diameter) and sand from the borrow area</x:v>
      </x:c>
      <x:c r="J1635" s="43" t="str">
        <x:v>자동추출·검토필요</x:v>
      </x:c>
    </x:row>
    <x:row r="1636">
      <x:c r="A1636" s="43" t="str">
        <x:v>L2025-00019-1</x:v>
      </x:c>
      <x:c r="B1636" s="43" t="str">
        <x:v>부가세·예비비</x:v>
      </x:c>
      <x:c r="C1636" s="46" t="str">
        <x:v>vat</x:v>
      </x:c>
      <x:c r="D1636" s="46" t="str"/>
      <x:c r="E1636" s="46" t="str"/>
      <x:c r="F1636" s="46" t="str">
        <x:v>95% | 95%</x:v>
      </x:c>
      <x:c r="G1636" s="46" t="str">
        <x:v>L2025-00019-1/3. 입찰 관련 자료/3. 입찰 관련 자료/5-1. 시방서_아샤이만.pdf</x:v>
      </x:c>
      <x:c r="H1636" s="43" t="str">
        <x:v>페이지 173</x:v>
      </x:c>
      <x:c r="I1636" s="46" t="str">
        <x:v>(3) The Contractor shall take all precautions to avoid undermining of any part of the works or other properties by pumping or else, but should undermining occur, he shall make good same to the satisfaction of the Engineer at the Contractor's expenses. (4) In all cases where permission to use existing water courses, sewers, pipes for the discharge of liquids has been granted, it will be under the condition that the Contractor cleans out such facilities after completion of the works at the respective site. Backfilling (a) Open Excavation (other than pipe trenches) (1) Backfilling of the excavations shall not be carried out without the consent of the Engineer. (2) Excavation shall be carried out in such a manner that material, which is unsuitable for backfilling and compaction, shall be excavated separately and removed from the site. (3) Examples of unsuitable material for backfilling are the following: • Materials from swamps, marshes and bogs; • Vegetable matter, timber or similar material liable to decomposition; • Materials susceptible to spontaneous combustion; • Clay or earth having excess liquid content; • Any kind of soft, non-homogeneous fill material; • Rock over 100 mm in a</x:v>
      </x:c>
      <x:c r="J1636" s="43" t="str">
        <x:v>자동추출·검토필요</x:v>
      </x:c>
    </x:row>
    <x:row r="1637">
      <x:c r="A1637" s="43" t="str">
        <x:v>L2025-00019-1</x:v>
      </x:c>
      <x:c r="B1637" s="43" t="str">
        <x:v>부가세·예비비</x:v>
      </x:c>
      <x:c r="C1637" s="46" t="str">
        <x:v>vat</x:v>
      </x:c>
      <x:c r="D1637" s="46" t="str"/>
      <x:c r="E1637" s="46" t="str"/>
      <x:c r="F1637" s="46" t="str">
        <x:v>3% | 3% | 3% | 2%</x:v>
      </x:c>
      <x:c r="G1637" s="46" t="str">
        <x:v>L2025-00019-1/3. 입찰 관련 자료/3. 입찰 관련 자료/5-1. 시방서_아샤이만.pdf</x:v>
      </x:c>
      <x:c r="H1637" s="43" t="str">
        <x:v>페이지 264</x:v>
      </x:c>
      <x:c r="I1637" s="46" t="str">
        <x:v>1) The foundation for panel mounting shall be constructed so as to be in line with the floor of the concrete by confirming the conformity of the construction drawings. Also, the base surface should be cleaned. 2) The base for installation shall be channel or angle and shall be painted for corrosion prevention except that it is embedded in the base concrete. 3) The following table should be used as the standard for the degree of setting (inclination). Item Setting Accuracy (mm) 11 kV Cubicle Within ±3% of total length Transformer Within ±3% of 1 m LV Panel and MCC Within ±3% of 1 m The Others Within ±2% of 1 m 4) The installation of the panel is to be carried out after fixing the base bolt and liner and installing the base of the channel. The panel should be carried in and installed from the panel far from the entrance side, and should be taken out in a packed condition and dismantled indoors to prevent the panel from being damaged during transportation. 5) After setting the base, the grouting finishing should be done so that the bottom part and the bottom surface of the panel can be fully tightened so that the panel structure is not deformed. 6) The equipment and panels to be insta</x:v>
      </x:c>
      <x:c r="J1637" s="43" t="str">
        <x:v>자동추출·검토필요</x:v>
      </x:c>
    </x:row>
    <x:row r="1638">
      <x:c r="A1638" s="43" t="str">
        <x:v>L2025-00019-1</x:v>
      </x:c>
      <x:c r="B1638" s="43" t="str">
        <x:v>부가세·예비비</x:v>
      </x:c>
      <x:c r="C1638" s="46" t="str">
        <x:v>vat</x:v>
      </x:c>
      <x:c r="D1638" s="46" t="str"/>
      <x:c r="E1638" s="46" t="str"/>
      <x:c r="F1638" s="46" t="str">
        <x:v>80%</x:v>
      </x:c>
      <x:c r="G1638" s="46" t="str">
        <x:v>L2025-00019-1/3. 입찰 관련 자료/3. 입찰 관련 자료/5-1. 시방서_아샤이만.pdf</x:v>
      </x:c>
      <x:c r="H1638" s="43" t="str">
        <x:v>페이지 353</x:v>
      </x:c>
      <x:c r="I1638" s="46" t="str">
        <x:v>Tick Appropriate No. Description Actions to Address YES NO N/A Suppress dust by sprinkling water to gravel or ant a loose soil materials b Set speed limits for construction vehicles Materials and wastes are transported under a covered c hood of a truck Construction machinery and equipment maintained in d adequate working condition on regular basis Dust sources watered to minimize discomfort to e nearby residents 2.3 Noise pollution Construction noise limited to working hours in the a vicinity of settlements b Fit silencer to exhaust system of heavy machinery Provide appropriate protective wear e.g. ear muffles to c operators of noisy machinery Engine covers of generators, air compressors, and other powered mechanical equipment closed during d operation, and equipment placed as far away from residential areas as possible 2.4 Water pollution Construction temporary toilets and ensure workers use a them properly Properly maintain all construction machinery to ensure b that there is no oil spillage c Properly dispose of waste Waste water collected at the site must not be released d to the environment without prior treatment 2.5 Soil erosion Plan trees and grass in areas that have no veg</x:v>
      </x:c>
      <x:c r="J1638" s="43" t="str">
        <x:v>자동추출·검토필요</x:v>
      </x:c>
    </x:row>
    <x:row r="1639">
      <x:c r="A1639" s="43" t="str">
        <x:v>L2025-00019-1</x:v>
      </x:c>
      <x:c r="B1639" s="43" t="str">
        <x:v>부가세·예비비</x:v>
      </x:c>
      <x:c r="C1639" s="46" t="str">
        <x:v>vat</x:v>
      </x:c>
      <x:c r="D1639" s="46" t="str"/>
      <x:c r="E1639" s="46" t="str">
        <x:v>USD 400 million</x:v>
      </x:c>
      <x:c r="F1639" s="46" t="str">
        <x:v>41% | 20% | 34% | 66%</x:v>
      </x:c>
      <x:c r="G1639" s="46" t="str">
        <x:v>L2025-00019-1/3. 입찰 관련 자료/3. 입찰 관련 자료/5-2. 시방서_아배이메.pdf</x:v>
      </x:c>
      <x:c r="H1639" s="43" t="str">
        <x:v>페이지 10</x:v>
      </x:c>
      <x:c r="I1639" s="46" t="str">
        <x:v>GENERAL SPECIFICATION 1. Project Overview 1.1 General Agriculture is an important sector in Republic of Ghana which creates the main source of income for about 29 million peoples, provides 41% of employment and generates about 20% of the country’s Gross Domestic Product (GDP). Rice is one of the primary crops in Ghana. Despite the high demand and its comparative advantage over other crops, Ghana has failed to advance in rice farming due to lack of experience in rice cultivation, national budget and the awareness in the importance of seed development and essential agricultural policies such as mechanization of agricultural equipment suitable for its local land and climate. As at 2016, the total domestic demand was met by 34% domestic rice and 66% imported rice with the annual spending of USD 400 million on rice imports, which are closely related to the outflow of national wealth and food security, raising the need to take urgent measures to ensure self-sufficiency of rice. In coping with this serious condition, the Korean Implementation Survey Team organized by the Korea Rural Community Corporation (KRC), which is authorized by the Ministry of Agriculture, Food and Rural Affairs (MA</x:v>
      </x:c>
      <x:c r="J1639" s="43" t="str">
        <x:v>자동추출·검토필요</x:v>
      </x:c>
    </x:row>
    <x:row r="1640">
      <x:c r="A1640" s="43" t="str">
        <x:v>L2025-00019-1</x:v>
      </x:c>
      <x:c r="B1640" s="43" t="str">
        <x:v>부가세·예비비</x:v>
      </x:c>
      <x:c r="C1640" s="46" t="str">
        <x:v>vat</x:v>
      </x:c>
      <x:c r="D1640" s="46" t="str"/>
      <x:c r="E1640" s="46" t="str"/>
      <x:c r="F1640" s="46" t="str">
        <x:v>85% | 90%</x:v>
      </x:c>
      <x:c r="G1640" s="46" t="str">
        <x:v>L2025-00019-1/3. 입찰 관련 자료/3. 입찰 관련 자료/5-2. 시방서_아배이메.pdf</x:v>
      </x:c>
      <x:c r="H1640" s="43" t="str">
        <x:v>페이지 72</x:v>
      </x:c>
      <x:c r="I1640" s="46" t="str">
        <x:v>All topsoil and surface features such as walls are to be kept separate from other excavation material. In fertile areas or where directed by the Engineer, the topsoil shall be stripped from the whole of the working easement area and stored on one side, to be replaced on the easement area when pipe laying is completed. Wherever necessary all trenches shall be properly supported by timbering (including steel trench sheeting or steel sheet piling or such other materials as may be approved by the Engineer) in such a manner as to ensure the safety of men working in the trench or on the surface at the side of the trench and to protect any roads, buildings, bridges and other properties in the vicinity thereof from damage. In all cases where the ground is unstable or where the Engineer considers it necessary, the trenches, excavations and headings shall be close timbered from top to bottom. The Engineer may direct that timber and sheeting be left in trenches where in his opinion it is necessary for the safety of the Works. Sheeting or timbering shall be designed to allow withdrawal as filling takes place to ensure complete filling of the trench, such that backfill is in contact with the si</x:v>
      </x:c>
      <x:c r="J1640" s="43" t="str">
        <x:v>자동추출·검토필요</x:v>
      </x:c>
    </x:row>
    <x:row r="1641">
      <x:c r="A1641" s="43" t="str">
        <x:v>L2025-00019-1</x:v>
      </x:c>
      <x:c r="B1641" s="43" t="str">
        <x:v>부가세·예비비</x:v>
      </x:c>
      <x:c r="C1641" s="46" t="str">
        <x:v>vat</x:v>
      </x:c>
      <x:c r="D1641" s="46" t="str"/>
      <x:c r="E1641" s="46" t="str"/>
      <x:c r="F1641" s="46" t="str">
        <x:v>90% | 95%</x:v>
      </x:c>
      <x:c r="G1641" s="46" t="str">
        <x:v>L2025-00019-1/3. 입찰 관련 자료/3. 입찰 관련 자료/5-2. 시방서_아배이메.pdf</x:v>
      </x:c>
      <x:c r="H1641" s="43" t="str">
        <x:v>페이지 73</x:v>
      </x:c>
      <x:c r="I1641" s="46" t="str">
        <x:v>Backfill material shall be from the material obtained from the trench excavation and shall be free from vegetable matter and stones greater than 50 mm nominal size. Backfill material shall be placed in layers not exceeding 300 mm compacted thickness in fields and in layers not exceeding 150 mm compacted thickness beneath all roads. Backfill shall be thoroughly compacted to achieve a relative compaction, when measured in accordance with Clauses 2.2 or 2.4 of BS 1377: Part 9: 1990, as specified below. The relative compaction shall be 90% for pipes laid in the field or service roads and 95% for pipes in access or feeder roads. Heavy mechanical equipment shall not be allowed to run over any pipeline until the trench has been completely backfilled and compacted as specified and shown on the Drawings. Construction plant exerting a load excess of 60 tons, whether dynamic or static, shall not be used within 5 metres of the pipe centre line during construction. Backfill and Embankment Fill Backfill shall mean the material required to refill excavations outside the Permanent Work up to the ground levels prevailing at the commencement of the Works, or to the levels shown on the Drawings, or o</x:v>
      </x:c>
      <x:c r="J1641" s="43" t="str">
        <x:v>자동추출·검토필요</x:v>
      </x:c>
    </x:row>
    <x:row r="1642">
      <x:c r="A1642" s="43" t="str">
        <x:v>L2025-00019-1</x:v>
      </x:c>
      <x:c r="B1642" s="43" t="str">
        <x:v>부가세·예비비</x:v>
      </x:c>
      <x:c r="C1642" s="46" t="str">
        <x:v>vat</x:v>
      </x:c>
      <x:c r="D1642" s="46" t="str"/>
      <x:c r="E1642" s="46" t="str"/>
      <x:c r="F1642" s="46" t="str">
        <x:v>90% | 75%</x:v>
      </x:c>
      <x:c r="G1642" s="46" t="str">
        <x:v>L2025-00019-1/3. 입찰 관련 자료/3. 입찰 관련 자료/5-2. 시방서_아배이메.pdf</x:v>
      </x:c>
      <x:c r="H1642" s="43" t="str">
        <x:v>페이지 74</x:v>
      </x:c>
      <x:c r="I1642" s="46" t="str">
        <x:v>The Contractor shall exercise careful control of the moisture content of the backfill or fill material prior to and during compaction, such that it lies within the range of values specified. The degree of compaction of fill and backfill, unless otherwise specified, shall be at least 90% of maximum dry density for earthfill and fine filter materials or shall achieve a density index of 75% for granular materials. Finish of Earthworks Except where otherwise specified or ordered by the Engineer, the tops and side slopes of fill shall be neatly trimmed equal to the best practicable finish which in the opinion of the Engineer can be obtained by the skilled use of the earth moving equipment used in the placing and, where specified, compacting of fill. Where precise lines and levels of embankments are not specified or ordered by the Engineer, the Contractor shall construct embankments in straight lines between smooth curves to give a pleasing appearance. Granular Material as Backfill In case granular material is used for backfill, this shall be obtained from sources approved by the Engineer. The material shall be such that it lies within the following grading limits: Particle Size Fine Lim</x:v>
      </x:c>
      <x:c r="J1642" s="43" t="str">
        <x:v>자동추출·검토필요</x:v>
      </x:c>
    </x:row>
    <x:row r="1643">
      <x:c r="A1643" s="43" t="str">
        <x:v>L2025-00019-1</x:v>
      </x:c>
      <x:c r="B1643" s="43" t="str">
        <x:v>부가세·예비비</x:v>
      </x:c>
      <x:c r="C1643" s="46" t="str">
        <x:v>vat</x:v>
      </x:c>
      <x:c r="D1643" s="46" t="str"/>
      <x:c r="E1643" s="46" t="str"/>
      <x:c r="F1643" s="46" t="str">
        <x:v>0% | 2% | 90% | 90% | 10% | 88% | 85% | 3%</x:v>
      </x:c>
      <x:c r="G1643" s="46" t="str">
        <x:v>L2025-00019-1/3. 입찰 관련 자료/3. 입찰 관련 자료/5-2. 시방서_아배이메.pdf</x:v>
      </x:c>
      <x:c r="H1643" s="43" t="str">
        <x:v>페이지 76</x:v>
      </x:c>
      <x:c r="I1643" s="46" t="str">
        <x:v>Embankment of the Reservoirs Materials considered suitable for inclusion in the earthfill embankment of the storage reservoirs shall be compacted in layers not exceeding 0.20 m before compaction and in such a manner that field densities as measured in situ using the methods described of BS 1377: Part 9: 1990, achieve the specified compaction. The moisture content of the material shall be controlled at the borrow area to give a uniformly distributed water content after compaction of between 0% and + 2% above Optimum Water Content. If shrinkage cracks due to drying occur in the exposed surface of the embankment, the fill shall be excavated back to the full depth of any cracks and the excavated material removed to spoil. This work shall be carried out at the Contractor´s own cost. Compaction will be achieved by heavy sheepsfoot or pegfoot vibrating rollers with minimum drum weight of 15 tons. The length of the sheepsfeet or pegs will be no less than 19 cm. The number of passes will be determined by trial placement, but it will not be less than 8 unless otherwise directed by the Engineer. Earthfill Compaction Control Earthfill shall be compacted in such a manner that the average percen</x:v>
      </x:c>
      <x:c r="J1643" s="43" t="str">
        <x:v>자동추출·검토필요</x:v>
      </x:c>
    </x:row>
    <x:row r="1644">
      <x:c r="A1644" s="43" t="str">
        <x:v>L2025-00019-1</x:v>
      </x:c>
      <x:c r="B1644" s="43" t="str">
        <x:v>부가세·예비비</x:v>
      </x:c>
      <x:c r="C1644" s="46" t="str">
        <x:v>vat</x:v>
      </x:c>
      <x:c r="D1644" s="46" t="str"/>
      <x:c r="E1644" s="46" t="str"/>
      <x:c r="F1644" s="46" t="str">
        <x:v>90%</x:v>
      </x:c>
      <x:c r="G1644" s="46" t="str">
        <x:v>L2025-00019-1/3. 입찰 관련 자료/3. 입찰 관련 자료/5-2. 시방서_아배이메.pdf</x:v>
      </x:c>
      <x:c r="H1644" s="43" t="str">
        <x:v>페이지 78</x:v>
      </x:c>
      <x:c r="I1644" s="46" t="str">
        <x:v>of the site work, in order to have the geotextile covered in a way to ensure it from ultraviolet radiation. The time interval should be such to maintain at least a rate of ninety per cent (90%) of the initial tensile strength. Construction Requirements The longer a geotextile can be exposed in ultraviolet radiation should in no case be more than three months. In the case the geotextile remains exposed in ultraviolet radiation beyond the allowed time then it is considered, conventionally, as useless and should be replaced at no extra cost to the Contract. The joints of the geotextiles should be made according to the instructions of the production factory. However, for the jointing there should be coverage of the two edges of at least 0.25m. In cases where the geotextile is placed in contact with concrete it is prohibited to use geotextiles made of polyester material. Sod Facing The Contractor shall perform sod facing on the slopes of embankment or excavation shown on the Drawings or directed by the Engineer. The sod used for the slope protection shall be of the best quality available within the locality. The sod shall have healthy living stem and roots and obtained from heavy thickl</x:v>
      </x:c>
      <x:c r="J1644" s="43" t="str">
        <x:v>자동추출·검토필요</x:v>
      </x:c>
    </x:row>
    <x:row r="1645">
      <x:c r="A1645" s="43" t="str">
        <x:v>L2025-00019-1</x:v>
      </x:c>
      <x:c r="B1645" s="43" t="str">
        <x:v>부가세·예비비</x:v>
      </x:c>
      <x:c r="C1645" s="46" t="str">
        <x:v>vat</x:v>
      </x:c>
      <x:c r="D1645" s="46" t="str"/>
      <x:c r="E1645" s="46" t="str"/>
      <x:c r="F1645" s="46" t="str">
        <x:v>500%</x:v>
      </x:c>
      <x:c r="G1645" s="46" t="str">
        <x:v>L2025-00019-1/3. 입찰 관련 자료/3. 입찰 관련 자료/5-2. 시방서_아배이메.pdf</x:v>
      </x:c>
      <x:c r="H1645" s="43" t="str">
        <x:v>페이지 100</x:v>
      </x:c>
      <x:c r="I1645" s="46" t="str">
        <x:v>Chapter 7: JOINTS &amp; BEARINGS Not all of the joints and bearings described below are proposed by the design. However, this specification is included in the Tender Documents to be used in case the Engineer decides that such joints should be constructed. Water-Stops The Contractor shall supply and fix water-stops in all contraction and expansion joints in structures which are to be water retaining and where shown on the Drawings. Such joints shall be watertight. Water-stops unless otherwise specified shall be of rubber or PVC. They shall be obtained from manufacturers approved by the Engineer and shall be stored, fixed and jointed in accordance with the manufacturer's instructions. They shall be fabricated into the longest practicable units complete with angles and junctions, at the manufacturer's plant, and shall be made continuous throughout the structure and below the highest water level. The Contractor's proposals for jointing water-stops on Site shall be to the approval of the Engineer. Rubber water stops shall be jointed with an approved sleeve jointing system, and PVC joints shall be welded. The minimum dimensions and shape of water-stop types shall be as tabulated below: Width</x:v>
      </x:c>
      <x:c r="J1645" s="43" t="str">
        <x:v>자동추출·검토필요</x:v>
      </x:c>
    </x:row>
    <x:row r="1646">
      <x:c r="A1646" s="43" t="str">
        <x:v>L2025-00019-1</x:v>
      </x:c>
      <x:c r="B1646" s="43" t="str">
        <x:v>부가세·예비비</x:v>
      </x:c>
      <x:c r="C1646" s="46" t="str">
        <x:v>vat</x:v>
      </x:c>
      <x:c r="D1646" s="46" t="str">
        <x:v>200 m2</x:v>
      </x:c>
      <x:c r="E1646" s="46" t="str"/>
      <x:c r="F1646" s="46" t="str"/>
      <x:c r="G1646" s="46" t="str">
        <x:v>L2025-00019-1/3. 입찰 관련 자료/3. 입찰 관련 자료/5-2. 시방서_아배이메.pdf</x:v>
      </x:c>
      <x:c r="H1646" s="43" t="str">
        <x:v>페이지 151</x:v>
      </x:c>
      <x:c r="I1646" s="46" t="str">
        <x:v>individual gas boilers is allowed for small surfaces (&lt; 200 m2), for joints and for localized repair works, as well as for particular cases, such as locally elevated parts of the cross-sections. The membrane overlaps will be at least 10 cm widthwise and 15 cm lengthwise. The waterproofing system will be protected by a cement mortar layer of 2 cm thickness, with 600 kg cement per m3 of the material. The protective layer will be implemented after the waterproofing system is cooled at the environment temperature. The implementation of mortar on hot membranes is forbidden. Protecting Concrete Surfaces Using Epoxy Resin The inner concrete walls of the chambers located in marshy areas will be protected using a double layer of epoxy resin and cement mortar, as shown in the drawings. The properties of the resin will be approved by the Engineer prior to its supply and implementation. The resin will be applied on a clean surface, using a suitable brush. The application will take place at two coats, at an interval of 12hours each. The resin must be applied precociously, so that any spots, laps, brush marks, runs, droopiness and other surface imperfections are avoided. The typical mortar will </x:v>
      </x:c>
      <x:c r="J1646" s="43" t="str">
        <x:v>자동추출·검토필요</x:v>
      </x:c>
    </x:row>
    <x:row r="1647">
      <x:c r="A1647" s="43" t="str">
        <x:v>L2025-00019-1</x:v>
      </x:c>
      <x:c r="B1647" s="43" t="str">
        <x:v>부가세·예비비</x:v>
      </x:c>
      <x:c r="C1647" s="46" t="str">
        <x:v>vat</x:v>
      </x:c>
      <x:c r="D1647" s="46" t="str"/>
      <x:c r="E1647" s="46" t="str"/>
      <x:c r="F1647" s="46" t="str">
        <x:v>95% | 20%</x:v>
      </x:c>
      <x:c r="G1647" s="46" t="str">
        <x:v>L2025-00019-1/3. 입찰 관련 자료/3. 입찰 관련 자료/5-2. 시방서_아배이메.pdf</x:v>
      </x:c>
      <x:c r="H1647" s="43" t="str">
        <x:v>페이지 152</x:v>
      </x:c>
      <x:c r="I1647" s="46" t="str">
        <x:v>Chapter 12: ROADS Permanent Roads The Contractor shall construct the access roads following the route, and applying the recommended design cross-sections, which are shown on the Drawings, or otherwise ordered by the Engineer. The Contractor shall excavate cuttings and form embankments in accordance with the design and the instructions of the Engineer’s Representative. The Contractor shall be responsible for the execution of the earthworks in such manner that the finished requirements and dimensions are obtained. The Contractor shall carry out the work such that excessive drying and cracking of earthworks and subgrade is prevented. For the purposes of road construction, the following definitions shall apply:  “Formation” shall mean the surface of cut or fill material prepared to receive the sub-base, if required, or the course base.  “Formation level” shall mean the required level at any point on the formation.  “Sub-grade” shall mean the zone immediately below the formation.  “Sub-base”, if required, shall mean the material placed immediately over the formation.  “Base course” shall mean the material placed over the formation or over the sub-base, if used.  “Gravel wearing co</x:v>
      </x:c>
      <x:c r="J1647" s="43" t="str">
        <x:v>자동추출·검토필요</x:v>
      </x:c>
    </x:row>
    <x:row r="1648">
      <x:c r="A1648" s="43" t="str">
        <x:v>L2025-00019-1</x:v>
      </x:c>
      <x:c r="B1648" s="43" t="str">
        <x:v>부가세·예비비</x:v>
      </x:c>
      <x:c r="C1648" s="46" t="str">
        <x:v>vat</x:v>
      </x:c>
      <x:c r="D1648" s="46" t="str"/>
      <x:c r="E1648" s="46" t="str"/>
      <x:c r="F1648" s="46" t="str">
        <x:v>50%</x:v>
      </x:c>
      <x:c r="G1648" s="46" t="str">
        <x:v>L2025-00019-1/3. 입찰 관련 자료/3. 입찰 관련 자료/5-2. 시방서_아배이메.pdf</x:v>
      </x:c>
      <x:c r="H1648" s="43" t="str">
        <x:v>페이지 154</x:v>
      </x:c>
      <x:c r="I1648" s="46" t="str">
        <x:v>of the wearing course and the centrelines of the road be less than specified or ordered by more than 100 mm. Corridors within the plots of the different irrigation blocks shall be constructed with a 100 mm average compacted thickness of selected excavated material. Temporary Access Roads The Contractor shall assess his own need for access roads to the temporary site installations and to storage areas, temporary offices, quarries, borrow pits, excavations and spoil tips and shall construct such roads at his own expense. The Contractor shall spray access roads with water to control dust as and when required by the Engineer. Access to the Areas of Site The Contractor shall make his own arrangements for access to parts of the route which are not in public land. Road Metaling The road to be rehabilitated under the contract will be the inspection road along the canal and the rural road. The access road shall have a compacted layer with mixed material or gravel and crushed stone with a thickness of thirty (30) centimetre. The material of the mixed layer for road metaling shall be natural gravel (10 to 20 mm in diameter, crushed stone (20 to 50 mm in diameter) and sand from the borrow area</x:v>
      </x:c>
      <x:c r="J1648" s="43" t="str">
        <x:v>자동추출·검토필요</x:v>
      </x:c>
    </x:row>
    <x:row r="1649">
      <x:c r="A1649" s="43" t="str">
        <x:v>L2025-00019-1</x:v>
      </x:c>
      <x:c r="B1649" s="43" t="str">
        <x:v>부가세·예비비</x:v>
      </x:c>
      <x:c r="C1649" s="46" t="str">
        <x:v>vat</x:v>
      </x:c>
      <x:c r="D1649" s="46" t="str"/>
      <x:c r="E1649" s="46" t="str"/>
      <x:c r="F1649" s="46" t="str">
        <x:v>95% | 95%</x:v>
      </x:c>
      <x:c r="G1649" s="46" t="str">
        <x:v>L2025-00019-1/3. 입찰 관련 자료/3. 입찰 관련 자료/5-2. 시방서_아배이메.pdf</x:v>
      </x:c>
      <x:c r="H1649" s="43" t="str">
        <x:v>페이지 173</x:v>
      </x:c>
      <x:c r="I1649" s="46" t="str">
        <x:v>(4) In all cases where permission to use existing water courses, sewers, pipes for the discharge of liquids has been granted, it will be under the condition that the Contractor cleans out such facilities after completion of the works at the respective site. Backfilling (a) Open Excavation (other than pipe trenches) (1) Backfilling of the excavations shall not be carried out without the consent of the Engineer. (2) Excavation shall be carried out in such a manner that material, which is unsuitable for backfilling and compaction, shall be excavated separately and removed from the site. (3) Examples of unsuitable material for backfilling are the following: • Materials from swamps, marshes and bogs; • Vegetable matter, timber or similar material liable to decomposition; • Materials susceptible to spontaneous combustion; • Clay or earth having excess liquid content; • Any kind of soft, non-homogeneous fill material; • Rock over 100 mm in any dimension. (4) Material for backfilling shall be deposited and compacted in layers of a maximum thickness of 250 mm and be appropriate to the compaction plant used. Thickness measured prior to compaction. Compaction shall be so carried out to ensure</x:v>
      </x:c>
      <x:c r="J1649" s="43" t="str">
        <x:v>자동추출·검토필요</x:v>
      </x:c>
    </x:row>
    <x:row r="1650">
      <x:c r="A1650" s="43" t="str">
        <x:v>L2025-00019-1</x:v>
      </x:c>
      <x:c r="B1650" s="43" t="str">
        <x:v>부가세·예비비</x:v>
      </x:c>
      <x:c r="C1650" s="46" t="str">
        <x:v>vat</x:v>
      </x:c>
      <x:c r="D1650" s="46" t="str"/>
      <x:c r="E1650" s="46" t="str"/>
      <x:c r="F1650" s="46" t="str">
        <x:v>3% | 3% | 3% | 2%</x:v>
      </x:c>
      <x:c r="G1650" s="46" t="str">
        <x:v>L2025-00019-1/3. 입찰 관련 자료/3. 입찰 관련 자료/5-2. 시방서_아배이메.pdf</x:v>
      </x:c>
      <x:c r="H1650" s="43" t="str">
        <x:v>페이지 264</x:v>
      </x:c>
      <x:c r="I1650" s="46" t="str">
        <x:v>1) The foundation for panel mounting shall be constructed so as to be in line with the floor of the concrete by confirming the conformity of the construction drawings. Also, the base surface should be cleaned. 2) The base for installation shall be channel or angle and shall be painted for corrosion prevention except that it is embedded in the base concrete. 3) The following table should be used as the standard for the degree of setting (inclination). Item Setting Accuracy (mm) 11 kV Cubicle Within ±3% of total length Transformer Within ±3% of 1 m LV Panel and MCC Within ±3% of 1 m The Others Within ±2% of 1 m 4) The installation of the panel is to be carried out after fixing the base bolt and liner and installing the base of the channel. The panel should be carried in and installed from the panel far from the entrance side, and should be taken out in a packed condition and dismantled indoors to prevent the panel from being damaged during transportation. 5) After setting the base, the grouting finishing should be done so that the bottom part and the bottom surface of the panel can be fully tightened so that the panel structure is not deformed. 6) The equipment and panels to be insta</x:v>
      </x:c>
      <x:c r="J1650" s="43" t="str">
        <x:v>자동추출·검토필요</x:v>
      </x:c>
    </x:row>
    <x:row r="1651">
      <x:c r="A1651" s="43" t="str">
        <x:v>L2025-00019-1</x:v>
      </x:c>
      <x:c r="B1651" s="43" t="str">
        <x:v>부가세·예비비</x:v>
      </x:c>
      <x:c r="C1651" s="46" t="str">
        <x:v>vat</x:v>
      </x:c>
      <x:c r="D1651" s="46" t="str"/>
      <x:c r="E1651" s="46" t="str"/>
      <x:c r="F1651" s="46" t="str">
        <x:v>80%</x:v>
      </x:c>
      <x:c r="G1651" s="46" t="str">
        <x:v>L2025-00019-1/3. 입찰 관련 자료/3. 입찰 관련 자료/5-2. 시방서_아배이메.pdf</x:v>
      </x:c>
      <x:c r="H1651" s="43" t="str">
        <x:v>페이지 353</x:v>
      </x:c>
      <x:c r="I1651" s="46" t="str">
        <x:v>Tick Appropriate No. Description Actions to Address YES NO N/A Suppress dust by sprinkling water to gravel or ant a loose soil materials b Set speed limits for construction vehicles Materials and wastes are transported under a covered c hood of a truck Construction machinery and equipment maintained in d adequate working condition on regular basis Dust sources watered to minimize discomfort to e nearby residents 2.3 Noise pollution Construction noise limited to working hours in the a vicinity of settlements b Fit silencer to exhaust system of heavy machinery Provide appropriate protective wear e.g. ear muffles to c operators of noisy machinery Engine covers of generators, air compressors, and other powered mechanical equipment closed during d operation, and equipment placed as far away from residential areas as possible 2.4 Water pollution Construction temporary toilets and ensure workers use a them properly Properly maintain all construction machinery to ensure b that there is no oil spillage c Properly dispose of waste Waste water collected at the site must not be released d to the environment without prior treatment 2.5 Soil erosion Plan trees and grass in areas that have no veg</x:v>
      </x:c>
      <x:c r="J1651" s="43" t="str">
        <x:v>자동추출·검토필요</x:v>
      </x:c>
    </x:row>
    <x:row r="1652">
      <x:c r="A1652" s="43" t="str">
        <x:v>L2025-00018-1</x:v>
      </x:c>
      <x:c r="B1652" s="43" t="str">
        <x:v>부가세·예비비</x:v>
      </x:c>
      <x:c r="C1652" s="46" t="str">
        <x:v>예비비</x:v>
      </x:c>
      <x:c r="D1652" s="46" t="str"/>
      <x:c r="E1652" s="46" t="str"/>
      <x:c r="F1652" s="46" t="str">
        <x:v>0.5%</x:v>
      </x:c>
      <x:c r="G1652" s="46" t="str">
        <x:v>L2025-00018-1/1-1. 입찰공고문_국문.hwp</x:v>
      </x:c>
      <x:c r="H1652" s="43" t="str">
        <x:v>문단 206</x:v>
      </x:c>
      <x:c r="I1652" s="46" t="str">
        <x:v>- 총공사비 중 예비비 제외 금액 × 0.5% 이상을 고정투찰</x:v>
      </x:c>
      <x:c r="J1652" s="43" t="str">
        <x:v>자동추출·검토필요</x:v>
      </x:c>
    </x:row>
    <x:row r="1653">
      <x:c r="A1653" s="43" t="str">
        <x:v>L2025-00018-1</x:v>
      </x:c>
      <x:c r="B1653" s="43" t="str">
        <x:v>부가세·예비비</x:v>
      </x:c>
      <x:c r="C1653" s="46" t="str">
        <x:v>vat, tax</x:v>
      </x:c>
      <x:c r="D1653" s="46" t="str"/>
      <x:c r="E1653" s="46" t="str">
        <x:v>USD 4,333,427 | USD 4,333,427</x:v>
      </x:c>
      <x:c r="F1653" s="46" t="str"/>
      <x:c r="G1653" s="46" t="str">
        <x:v>L2025-00018-1/1-2. Bid Data Sheet _영문.docx</x:v>
      </x:c>
      <x:c r="H1653" s="43" t="str">
        <x:v>표 4 행 14</x:v>
      </x:c>
      <x:c r="I1653" s="46" t="str">
        <x:v>․ Project Budget | USD 4,333,427 (Be inclusive of VAT and other applicable indirect taxes) | USD 4,333,427 (Be inclusive of VAT and other applicable indirect taxes)</x:v>
      </x:c>
      <x:c r="J1653" s="43" t="str">
        <x:v>자동추출·검토필요</x:v>
      </x:c>
    </x:row>
    <x:row r="1654">
      <x:c r="A1654" s="43" t="str">
        <x:v>L2025-00018-1</x:v>
      </x:c>
      <x:c r="B1654" s="43" t="str">
        <x:v>부가세·예비비</x:v>
      </x:c>
      <x:c r="C1654" s="46" t="str">
        <x:v>tax</x:v>
      </x:c>
      <x:c r="D1654" s="46" t="str"/>
      <x:c r="E1654" s="46" t="str">
        <x:v>$ 12</x:v>
      </x:c>
      <x:c r="F1654" s="46" t="str">
        <x:v>6%</x:v>
      </x:c>
      <x:c r="G1654" s="46" t="str">
        <x:v>L2025-00018-1/3. 집행한도금액 예산(안).xlsx</x:v>
      </x:c>
      <x:c r="H1654" s="43" t="str">
        <x:v>Grand Summary!13</x:v>
      </x:c>
      <x:c r="I1654" s="46" t="str">
        <x:v>A13=Local tax | B13=0.06 | F13==INT(F$12*$B13) | G13=(b)=(a) x 6%</x:v>
      </x:c>
      <x:c r="J1654" s="43" t="str">
        <x:v>자동추출·검토필요</x:v>
      </x:c>
    </x:row>
    <x:row r="1655">
      <x:c r="A1655" s="43" t="str">
        <x:v>L2025-00018-1</x:v>
      </x:c>
      <x:c r="B1655" s="43" t="str">
        <x:v>부가세·예비비</x:v>
      </x:c>
      <x:c r="C1655" s="46" t="str">
        <x:v>vat</x:v>
      </x:c>
      <x:c r="D1655" s="46" t="str"/>
      <x:c r="E1655" s="46" t="str">
        <x:v>$ 12 | $ 12</x:v>
      </x:c>
      <x:c r="F1655" s="46" t="str">
        <x:v>15%</x:v>
      </x:c>
      <x:c r="G1655" s="46" t="str">
        <x:v>L2025-00018-1/3. 집행한도금액 예산(안).xlsx</x:v>
      </x:c>
      <x:c r="H1655" s="43" t="str">
        <x:v>Grand Summary!14</x:v>
      </x:c>
      <x:c r="I1655" s="46" t="str">
        <x:v>A14=VAT | B14=0.15 | E14==INT(E$12*$B14) | F14==INT((F$12+F13)*$B14) | G14=(c)=(a+b) x 15%</x:v>
      </x:c>
      <x:c r="J1655" s="43" t="str">
        <x:v>자동추출·검토필요</x:v>
      </x:c>
    </x:row>
    <x:row r="1656">
      <x:c r="A1656" s="43" t="str">
        <x:v>L2025-00018-1</x:v>
      </x:c>
      <x:c r="B1656" s="43" t="str">
        <x:v>부가세·예비비</x:v>
      </x:c>
      <x:c r="C1656" s="46" t="str">
        <x:v>vat</x:v>
      </x:c>
      <x:c r="D1656" s="46" t="str"/>
      <x:c r="E1656" s="46" t="str">
        <x:v>$ 2 | $ 2</x:v>
      </x:c>
      <x:c r="F1656" s="46" t="str"/>
      <x:c r="G1656" s="46" t="str">
        <x:v>L2025-00018-1/3. 집행한도금액 예산(안).xlsx</x:v>
      </x:c>
      <x:c r="H1656" s="43" t="str">
        <x:v>MAIN BUILDING!31</x:v>
      </x:c>
      <x:c r="I1656" s="46" t="str">
        <x:v>A31=Excavation | C31=M3 | D31=2427.4 | E31=157 | F31==E31/$I$2 | G31==D31*E31 | H31==G31/$I$2 | J31=5F23E4F6F53F6934C8D0A740540273 | M31=01010103 | N31=F | O31=T | P31=F | AQ31=010101035F23E4F6F53F6934C8D0A740540273 | AR31=21</x:v>
      </x:c>
      <x:c r="J1656" s="43" t="str">
        <x:v>자동추출·검토필요</x:v>
      </x:c>
    </x:row>
    <x:row r="1657">
      <x:c r="A1657" s="43" t="str">
        <x:v>L2025-00018-1</x:v>
      </x:c>
      <x:c r="B1657" s="43" t="str">
        <x:v>부가세·예비비</x:v>
      </x:c>
      <x:c r="C1657" s="46" t="str">
        <x:v>vat</x:v>
      </x:c>
      <x:c r="D1657" s="46" t="str"/>
      <x:c r="E1657" s="46" t="str">
        <x:v>$ 2 | $ 2</x:v>
      </x:c>
      <x:c r="F1657" s="46" t="str"/>
      <x:c r="G1657" s="46" t="str">
        <x:v>L2025-00018-1/3. 집행한도금액 예산(안).xlsx</x:v>
      </x:c>
      <x:c r="H1657" s="43" t="str">
        <x:v>MAIN BUILDING!171</x:v>
      </x:c>
      <x:c r="I1657" s="46" t="str">
        <x:v>A171=ELEVATOR | B171=15 PERSON, 60m/min, 4stops, 'Select and install products of the same grade(Otis) or higher after obtaining the approval of the Construction Manager (CM). | C171=SET | D171=1 | E171=796800 | F171==E171/$I$2 | G171==D171*E171 | H171==G171/$I$2 | M171=01010112</x:v>
      </x:c>
      <x:c r="J1657" s="43" t="str">
        <x:v>자동추출·검토필요</x:v>
      </x:c>
    </x:row>
    <x:row r="1658">
      <x:c r="A1658" s="43" t="str">
        <x:v>L2025-00018-1</x:v>
      </x:c>
      <x:c r="B1658" s="43" t="str">
        <x:v>부가세·예비비</x:v>
      </x:c>
      <x:c r="C1658" s="46" t="str">
        <x:v>vat</x:v>
      </x:c>
      <x:c r="D1658" s="46" t="str"/>
      <x:c r="E1658" s="46" t="str">
        <x:v>$ 2 | $ 2</x:v>
      </x:c>
      <x:c r="F1658" s="46" t="str"/>
      <x:c r="G1658" s="46" t="str">
        <x:v>L2025-00018-1/3. 집행한도금액 예산(안).xlsx</x:v>
      </x:c>
      <x:c r="H1658" s="43" t="str">
        <x:v>ELECTRIC STATION!17</x:v>
      </x:c>
      <x:c r="I1658" s="46" t="str">
        <x:v>A17=Excavation | C17=M3 | D17=8.2 | E17=477 | F17==E17/$I$2 | G17==D17*E17 | H17==G17/$I$2 | J17=5F0E2444D574B83B284B7A6A345740 | M17=01010205 | N17=T | O17=F | P17=F | AQ17=010102055F0E2444D574B83B284B7A6A345740 | AR17=239</x:v>
      </x:c>
      <x:c r="J1658" s="43" t="str">
        <x:v>자동추출·검토필요</x:v>
      </x:c>
    </x:row>
    <x:row r="1659">
      <x:c r="A1659" s="43" t="str">
        <x:v>L2025-00018-1</x:v>
      </x:c>
      <x:c r="B1659" s="43" t="str">
        <x:v>부가세·예비비</x:v>
      </x:c>
      <x:c r="C1659" s="46" t="str">
        <x:v>vat</x:v>
      </x:c>
      <x:c r="D1659" s="46" t="str"/>
      <x:c r="E1659" s="46" t="str">
        <x:v>$ 2 | $ 2</x:v>
      </x:c>
      <x:c r="F1659" s="46" t="str"/>
      <x:c r="G1659" s="46" t="str">
        <x:v>L2025-00018-1/3. 집행한도금액 예산(안).xlsx</x:v>
      </x:c>
      <x:c r="H1659" s="43" t="str">
        <x:v>WATER TANK STATION!7</x:v>
      </x:c>
      <x:c r="I1659" s="46" t="str">
        <x:v>A7=Excavation | C7=M3 | D7=8.5 | E7=477 | F7==E7/$I$2 | G7==D7*E7 | H7==G7/$I$2 | J7=5F23E4F6F53F6934C8D0A740540273 | M7=01010301 | N7=F | O7=T | P7=F | AQ7=010103015F23E4F6F53F6934C8D0A740540273 | AR7=248</x:v>
      </x:c>
      <x:c r="J1659" s="43" t="str">
        <x:v>자동추출·검토필요</x:v>
      </x:c>
    </x:row>
    <x:row r="1660">
      <x:c r="A1660" s="43" t="str">
        <x:v>L2025-00018-1</x:v>
      </x:c>
      <x:c r="B1660" s="43" t="str">
        <x:v>부가세·예비비</x:v>
      </x:c>
      <x:c r="C1660" s="46" t="str">
        <x:v>vat</x:v>
      </x:c>
      <x:c r="D1660" s="46" t="str"/>
      <x:c r="E1660" s="46" t="str">
        <x:v>$ 2</x:v>
      </x:c>
      <x:c r="F1660" s="46" t="str"/>
      <x:c r="G1660" s="46" t="str">
        <x:v>L2025-00018-1/3. 집행한도금액 예산(안).xlsx</x:v>
      </x:c>
      <x:c r="H1660" s="43" t="str">
        <x:v>ESS STATION!7</x:v>
      </x:c>
      <x:c r="I1660" s="46" t="str">
        <x:v>A7=Excavation | C7=M3 | D7=5.8 | E7=157 | F7==E7/$I$2 | G7==D7*E7 | H7==G7/$I$2</x:v>
      </x:c>
      <x:c r="J1660" s="43" t="str">
        <x:v>자동추출·검토필요</x:v>
      </x:c>
    </x:row>
    <x:row r="1661">
      <x:c r="A1661" s="43" t="str">
        <x:v>L2025-00017-1</x:v>
      </x:c>
      <x:c r="B1661" s="43" t="str">
        <x:v>부가세·예비비</x:v>
      </x:c>
      <x:c r="C1661" s="46" t="str">
        <x:v>vat</x:v>
      </x:c>
      <x:c r="D1661" s="46" t="str"/>
      <x:c r="E1661" s="46" t="str">
        <x:v>USD 1,000,000</x:v>
      </x:c>
      <x:c r="F1661" s="46" t="str"/>
      <x:c r="G1661" s="46" t="str">
        <x:v>L2025-00017-1/[붙임1] 자이툰 도서관 리모델링 공사 입찰계획(안).hwp</x:v>
      </x:c>
      <x:c r="H1661" s="43" t="str">
        <x:v>문단 47</x:v>
      </x:c>
      <x:c r="I1661" s="46" t="str">
        <x:v>· 공사비: USD 1,000,000(1백만불, VAT 면제)</x:v>
      </x:c>
      <x:c r="J1661" s="43" t="str">
        <x:v>자동추출·검토필요</x:v>
      </x:c>
    </x:row>
    <x:row r="1662">
      <x:c r="A1662" s="43" t="str">
        <x:v>L2025-00017-1</x:v>
      </x:c>
      <x:c r="B1662" s="43" t="str">
        <x:v>부가세·예비비</x:v>
      </x:c>
      <x:c r="C1662" s="46" t="str">
        <x:v>예비비</x:v>
      </x:c>
      <x:c r="D1662" s="46" t="str"/>
      <x:c r="E1662" s="46" t="str">
        <x:v>USD 1,000,000</x:v>
      </x:c>
      <x:c r="F1662" s="46" t="str"/>
      <x:c r="G1662" s="46" t="str">
        <x:v>L2025-00017-1/[붙임1] 자이툰 도서관 리모델링 공사 입찰계획(안).hwp</x:v>
      </x:c>
      <x:c r="H1662" s="43" t="str">
        <x:v>문단 68</x:v>
      </x:c>
      <x:c r="I1662" s="46" t="str">
        <x:v>USD 1,000,000(예비비 미편성)</x:v>
      </x:c>
      <x:c r="J1662" s="43" t="str">
        <x:v>자동추출·검토필요</x:v>
      </x:c>
    </x:row>
    <x:row r="1663">
      <x:c r="A1663" s="43" t="str">
        <x:v>L2025-00017-1</x:v>
      </x:c>
      <x:c r="B1663" s="43" t="str">
        <x:v>부가세·예비비</x:v>
      </x:c>
      <x:c r="C1663" s="46" t="str">
        <x:v>vat</x:v>
      </x:c>
      <x:c r="D1663" s="46" t="str"/>
      <x:c r="E1663" s="46" t="str"/>
      <x:c r="F1663" s="46" t="str">
        <x:v>5% | 10% | 10% | 5% | 5%</x:v>
      </x:c>
      <x:c r="G1663" s="46" t="str">
        <x:v>L2025-00017-1/[붙임3] 수원기관 공문(보완자료 제출, 3.16.).pdf</x:v>
      </x:c>
      <x:c r="H1663" s="43" t="str">
        <x:v>페이지 2</x:v>
      </x:c>
      <x:c r="I1663" s="46" t="str">
        <x:v>Translation KEO-17 Issued Date: March 16th, 2025 Letter Number: 946 Kurdistan Regional Government Council of Ministers Ministry of Culture and Youth General Directorate of Divan Directorate of Administration To: KOICA Erbil Office Subject: Zaytun Library The Ministry of Culture and Youth (MOCY) of the Kurdistan Regional Government (KRG) presents its compliments and warm greetings to the Erbil office of Korea International Cooperation Agency (KOICA). Referring to our continuous ministerial meetings regarding the renovation of Zaytun library, we would like to clarify some key points to your esteemed office: In accordance with the laws and regulations of our ministry for tendering a project to a certain company or companies, we require a Contract Bond from a renowned bank amounting to the 5% of the total project budget which must be submitted to our ministry in order to proceed with the relevant contract signing. Afterwards, during the payment of installments, we do keep 10% of each installment amount as retention bond or as a guarantee for the successful implementation of the renovation works. Furthermore, once receiving the 10% amount of the last installment, we deliver 5% of this a</x:v>
      </x:c>
      <x:c r="J1663" s="43" t="str">
        <x:v>자동추출·검토필요</x:v>
      </x:c>
    </x:row>
    <x:row r="1664">
      <x:c r="A1664" s="43" t="str">
        <x:v>L2025-00017-1</x:v>
      </x:c>
      <x:c r="B1664" s="43" t="str">
        <x:v>부가세·예비비</x:v>
      </x:c>
      <x:c r="C1664" s="46" t="str">
        <x:v>vat</x:v>
      </x:c>
      <x:c r="D1664" s="46" t="str">
        <x:v>1.1.1 m2 | 1.1.7 m2 | 1.1.11 m2</x:v>
      </x:c>
      <x:c r="E1664" s="46" t="str">
        <x:v>2 2,500.00 $ | 25.00 $ | 29.00 $ | 450.00 $ | 8.00 $ | 1,200.00 $ | 8.00 $ | 1,700.00 $</x:v>
      </x:c>
      <x:c r="F1664" s="46" t="str"/>
      <x:c r="G1664" s="46" t="str">
        <x:v>L2025-00017-1/[붙임5] 부속서류 일체/├╖║╬ 3. ┐╣╗Ω│╗┐¬╝¡(BOQ, 100╕╕║╥ ┴²╟α╟╤╡╡╛╫).pdf</x:v>
      </x:c>
      <x:c r="H1664" s="43" t="str">
        <x:v>페이지 1</x:v>
      </x:c>
      <x:c r="I1664" s="46" t="str">
        <x:v>Zaytun Library Renovation Works Bill Of Quantity STAGE -1- Note: The below renovation works follow a hierarchical order of priority based on the most essentiallly needed renovation parts up to the least ones. NO. ITEM DETAILS UNIT QUANTITY PRICE /$ TOTAL/$ NOTE 1 Civil and Architectural Works Water proofing for the Roof Provide two component, elastic, crack bridging, rapid-curing modified polyurethane liquid applied waterproofing membrane, Primer, labor, tools and equipment, for applying minimum one layer of primer and two layers of polyurethane waterproofing according to the instruction of manufacturer. and the 1.1.1 m2 2,500.00 $25.00 $62,500.00 STAGE 1 material service temperature shall be -10 °C min. / +80 °C max. the price includes Preparation of the surface by mechanical abrading to remove all the old waterproofing filling all slab jounts and core isolating and laitance, oil, grease etc., and washing with plenty of water. The rate to be inclusive of scaffolding, labor, equipment hire charges etc., all complete. Wooden door: 100x220 :Providing and install high pressure wooden doors, according to manufactured details ( best type) for the rooms, the price includes 1.1.2 unit 29.</x:v>
      </x:c>
      <x:c r="J1664" s="43" t="str">
        <x:v>자동추출·검토필요</x:v>
      </x:c>
    </x:row>
    <x:row r="1665">
      <x:c r="A1665" s="43" t="str">
        <x:v>L2025-00017-1</x:v>
      </x:c>
      <x:c r="B1665" s="43" t="str">
        <x:v>부가세·예비비</x:v>
      </x:c>
      <x:c r="C1665" s="46" t="str">
        <x:v>vat</x:v>
      </x:c>
      <x:c r="D1665" s="46" t="str"/>
      <x:c r="E1665" s="46" t="str">
        <x:v>40.00 $ | 270.00 $ | 8.00 $ | 450.00 $ | 2 320.00 $ | 18.00 $ | 2 1,000.00 $ | 12.00 $</x:v>
      </x:c>
      <x:c r="F1665" s="46" t="str">
        <x:v>98.8%</x:v>
      </x:c>
      <x:c r="G1665" s="46" t="str">
        <x:v>L2025-00017-1/[붙임5] 부속서류 일체/├╖║╬ 3. ┐╣╗Ω│╗┐¬╝¡(BOQ, 100╕╕║╥ ┴²╟α╟╤╡╡╛╫).pdf</x:v>
      </x:c>
      <x:c r="H1665" s="43" t="str">
        <x:v>페이지 2</x:v>
      </x:c>
      <x:c r="I1665" s="46" t="str">
        <x:v>Toilet aluminume doors :Providing and install (85X205)cm Aluminum doors( best type), the price includes ,switch (best type), gate lock, door stopper and 1.1.12 unit 40.00 $270.00 $10,800.00 STAGE 1 anyother needed accessories according to the drawings and instructions of site engineer Toilet aluminume wimdows:Provide and install slide aluminum window, using thermal heat aluminum sections not less than 10cm wide/2.0 mm, and glass 1.1.13 (6+12+6) mm double glazing tempered. The price includes needed unit 8.00 $450.00 $3,600.00 STAGE 1 accessories. The work should be done according to drawings and site engineer specifications Waterproofing for the wet area: Provide elastic two part polymer modified, elastic cementitious waterproof mortar slurry comprising of a liquid polymer and a cement based mix incorporating special admixtures and apply it mechanically ( by roller or/and brush) with two crosswise direction, the second layer applied by brush in 1.1.14 crosswise direction to the first application as soon as first coat has hardened also m2 320.00 $18.00 $5,760.00 STAGE 1 it shall be applied to the walls of the applied area by minimum 20cm height and slab surfaces for first floor. The </x:v>
      </x:c>
      <x:c r="J1665" s="43" t="str">
        <x:v>자동추출·검토필요</x:v>
      </x:c>
    </x:row>
    <x:row r="1666">
      <x:c r="A1666" s="43" t="str">
        <x:v>L2025-00017-1</x:v>
      </x:c>
      <x:c r="B1666" s="43" t="str">
        <x:v>부가세·예비비</x:v>
      </x:c>
      <x:c r="C1666" s="46" t="str">
        <x:v>vat</x:v>
      </x:c>
      <x:c r="D1666" s="46" t="str"/>
      <x:c r="E1666" s="46" t="str">
        <x:v>1.00 $ | 65,000.00 $ | 1.00 $ | 50,000.00 $ | 30.00 $ | 130.00 $ | 500.00 $ | 35.00 $</x:v>
      </x:c>
      <x:c r="F1666" s="46" t="str">
        <x:v>80%</x:v>
      </x:c>
      <x:c r="G1666" s="46" t="str">
        <x:v>L2025-00017-1/[붙임5] 부속서류 일체/├╖║╬ 3. ┐╣╗Ω│╗┐¬╝¡(BOQ, 100╕╕║╥ ┴²╟α╟╤╡╡╛╫).pdf</x:v>
      </x:c>
      <x:c r="H1666" s="43" t="str">
        <x:v>페이지 3</x:v>
      </x:c>
      <x:c r="I1666" s="46" t="str">
        <x:v>10.2KWH WZE lithium battery.51.2v 200ah lifepo4.EVE grade A 2.1.2 battery.6000cycles with 80%DOD, 25C.Capacity LCD display percentage.Smart unit 1.00 $65,000.00 $65,000.00 STAGE 1 active BMS with mobile app configurable and monitoring to ensure long life and high current balancing of the cells.200a charge and discharge current. HEGA-Mo 410W.182mm half cut cell technologyMulti-busbar technology for better light trapping effect, lower series resistance and improved current collection.Solar cells are Monocrystaline 182mm.It’s 108 cells (6*18).It’s dimension are 1724*134*35mm with the weight of 22kgs.The glass is 3.2mm transmission AR coated fully tempered glass.The operational temperature is - 40~+85C.25 years warranty. Wireing system :Supply, install and connect the following devices and equipment including device boxes , cover plates, conduits and wiring between 2.1.3 devices and to panelboards, contactors or to switch panel as applicable and all unit 1.00 $50,000.00 $50,000.00 STAGE 1 needed accessories to complete the job as specified and as shown on the drawings. 2.1.4 Provide reading room and computer room by floor boxes unit 30.00 $130.00 $3,900.00 STAGE 1 Change interior spot </x:v>
      </x:c>
      <x:c r="J1666" s="43" t="str">
        <x:v>자동추출·검토필요</x:v>
      </x:c>
    </x:row>
    <x:row r="1667">
      <x:c r="A1667" s="43" t="str">
        <x:v>L2025-00017-1</x:v>
      </x:c>
      <x:c r="B1667" s="43" t="str">
        <x:v>부가세·예비비</x:v>
      </x:c>
      <x:c r="C1667" s="46" t="str">
        <x:v>vat</x:v>
      </x:c>
      <x:c r="D1667" s="46" t="str">
        <x:v>1.1.6 m2 | 1.1.8 m2</x:v>
      </x:c>
      <x:c r="E1667" s="46" t="str">
        <x:v>2 900.00 $ | 35.00 $ | 2 700.00 $ | 45.00 $ | 1.00 $ | 12,000.00 $ | 15.00 $ | 350.00 $</x:v>
      </x:c>
      <x:c r="F1667" s="46" t="str"/>
      <x:c r="G1667" s="46" t="str">
        <x:v>L2025-00017-1/[붙임5] 부속서류 일체/├╖║╬ 3. ┐╣╗Ω│╗┐¬╝¡(BOQ, 100╕╕║╥ ┴²╟α╟╤╡╡╛╫).pdf</x:v>
      </x:c>
      <x:c r="H1667" s="43" t="str">
        <x:v>페이지 4</x:v>
      </x:c>
      <x:c r="I1667" s="46" t="str">
        <x:v>Zaytun Library Renovation Works Bill Of Quantity STAGE -2- Note: The below renovation works follow a hierarchical order of priority based on the most essentiallly needed renovation parts up to the least ones. NO. ITEM DETAILS UNIT QUANTITY PRICE /$ TOTAL/$ NOTE 1 Civil and Architectural Works Remove and reinstalling curtain for all halls (study, 1.1.6 m2 900.00 $35.00 $31,500.00 STAGE 2 conference,children,book store). PVC flooring for the floors of computer hall and the study hall :Supply materials and laying Carpet 8 mm thikness and a layer of polyethylene sheet 1.1.8 m2 700.00 $45.00 $31,500.00 STAGE 2 10mm waterproof . The work should be done according to the specifications, drawings and instructions of the site engineer. 1.1.16 Maintaining and re-packing the entire external facades unit 1.00 $12,000.00 $12,000.00 STAGE 2 1.1.17 Equipping the child’s library deskes unit 15.00 $350.00 $5,250.00 STAGE 2 1.1.18 Equipping the child’s library chiars unit 45.00 $155.00 $6,975.00 STAGE 2 Reparing external paving :Provide granit with the same dimensions that availabal in the site and install it by cement and stand mortar or kalakim , 1.1.19 Including labor, tools, equipment , water jet</x:v>
      </x:c>
      <x:c r="J1667" s="43" t="str">
        <x:v>자동추출·검토필요</x:v>
      </x:c>
    </x:row>
    <x:row r="1668">
      <x:c r="A1668" s="43" t="str">
        <x:v>L2025-00017-1</x:v>
      </x:c>
      <x:c r="B1668" s="43" t="str">
        <x:v>부가세·예비비</x:v>
      </x:c>
      <x:c r="C1668" s="46" t="str">
        <x:v>vat</x:v>
      </x:c>
      <x:c r="D1668" s="46" t="str"/>
      <x:c r="E1668" s="46" t="str"/>
      <x:c r="F1668" s="46" t="str">
        <x:v>30% | 30% | 70% | 20% | 15% | 10% | 15% | 10%</x:v>
      </x:c>
      <x:c r="G1668" s="46" t="str">
        <x:v>L2025-00017-1/[붙임5] 부속서류 일체/├╖║╬ 4. └╘┬√ ╞≥░í╟Ñ.pdf</x:v>
      </x:c>
      <x:c r="H1668" s="43" t="str">
        <x:v>페이지 1</x:v>
      </x:c>
      <x:c r="I1668" s="46" t="str">
        <x:v>Zaytun Laibrary Tender Evaluation Criteria PROCESS Overall Category Category Criteria weighting weighting PRICE 30% Commercial 30% Price competitveness QUALITY 70% Technical 20% Capability Resources Past performance 15% track record with similar customers References Methodology 10% Program of workes Innovation Management systems 15% Quality systems Enviromental management systems OHS&amp;R systemes Social value 10% Local paticipation Sustainability</x:v>
      </x:c>
      <x:c r="J1668" s="43" t="str">
        <x:v>자동추출·검토필요</x:v>
      </x:c>
    </x:row>
    <x:row r="1669">
      <x:c r="A1669" s="43" t="str">
        <x:v>L2025-00016-2</x:v>
      </x:c>
      <x:c r="B1669" s="43" t="str">
        <x:v>부가세·예비비</x:v>
      </x:c>
      <x:c r="C1669" s="46" t="str">
        <x:v>vat</x:v>
      </x:c>
      <x:c r="D1669" s="46" t="str"/>
      <x:c r="E1669" s="46" t="str">
        <x:v>KRW 420 billion</x:v>
      </x:c>
      <x:c r="F1669" s="46" t="str"/>
      <x:c r="G1669" s="46" t="str">
        <x:v>L2025-00016-2/KOICA bidding regulation/Detailed Enforcement Rules of the Regulations for Procurement and Contract in Grant Aid Projects(┤δ┐▄╣½╗≤╟∙╖┬╗τ╛≈┐í ░ⁿ╟╤ ┴╢┤▐ ╣╫ ░Φ╛α▒╘┴ñ ╜├╟α╝╝─ó)_20190503.pdf</x:v>
      </x:c>
      <x:c r="H1669" s="43" t="str">
        <x:v>페이지 61</x:v>
      </x:c>
      <x:c r="I1669"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1669" s="43" t="str">
        <x:v>자동추출·검토필요</x:v>
      </x:c>
    </x:row>
    <x:row r="1670">
      <x:c r="A1670" s="43" t="str">
        <x:v>L2025-00016-2</x:v>
      </x:c>
      <x:c r="B1670" s="43" t="str">
        <x:v>부가세·예비비</x:v>
      </x:c>
      <x:c r="C1670" s="46" t="str">
        <x:v>tax</x:v>
      </x:c>
      <x:c r="D1670" s="46" t="str"/>
      <x:c r="E1670" s="46" t="str"/>
      <x:c r="F1670" s="46" t="str">
        <x:v>50%</x:v>
      </x:c>
      <x:c r="G1670" s="46" t="str">
        <x:v>L2025-00016-2/KOICA bidding regulation/Detailed Enforcement Rules of the Regulations for Procurement and Contract in Grant Aid Projects(┤δ┐▄╣½╗≤╟∙╖┬╗τ╛≈┐í ░ⁿ╟╤ ┴╢┤▐ ╣╫ ░Φ╛α▒╘┴ñ ╜├╟α╝╝─ó)_20190503.pdf</x:v>
      </x:c>
      <x:c r="H1670" s="43" t="str">
        <x:v>페이지 90</x:v>
      </x:c>
      <x:c r="I1670" s="46" t="str">
        <x:v>[Form 8] Public Notice of a Tender Public Notice of a Tender The Korea International Cooperation Agency (KOICA) is an affiliate of the Ministry of Foreign Affairs and Trade in charge of the Grant Aid Project. As part of an economic cooperation project with developing countries, KOICA announces the following tenders to select (procure) (name of services or goods) for this (name of a project). 1. Public notice of a tender number: 2. Matters to be placed in the tender ① Name of the tendering: ② Details: Scope of services / Details of procured goods, etc. ※Refer to the appendix for details ③ Contract period: ④ Base Amount (estimated amount): (“zero” tax rate) 3. How to tender: General competitive tendering, limited competitive tendering 4. How to determine a successful tenderer: Lowest tender below Expected Maximum Price / Contract by negotiation/ Tendering in two-step competition 5. Qualification for participating in tendering: Those who have registered as KOICA's procurement partners. However, new companies shall register as procurement partners and participate in the tendering by the deadline for registration of tenders (registration of new companies is determined after reviewing re</x:v>
      </x:c>
      <x:c r="J1670" s="43" t="str">
        <x:v>자동추출·검토필요</x:v>
      </x:c>
    </x:row>
    <x:row r="1671">
      <x:c r="A1671" s="43" t="str">
        <x:v>L2025-00016-2</x:v>
      </x:c>
      <x:c r="B1671" s="43" t="str">
        <x:v>부가세·예비비</x:v>
      </x:c>
      <x:c r="C1671" s="46" t="str">
        <x:v>vat</x:v>
      </x:c>
      <x:c r="D1671" s="46" t="str"/>
      <x:c r="E1671" s="46" t="str">
        <x:v>KRW 10 billion</x:v>
      </x:c>
      <x:c r="F1671" s="46" t="str"/>
      <x:c r="G1671" s="46" t="str">
        <x:v>L2025-00016-2/KOICA bidding regulation/Detailed Enforcement Rules of the Regulations for Procurement and Contract in Grant Aid Projects(┤δ┐▄╣½╗≤╟∙╖┬╗τ╛≈┐í ░ⁿ╟╤ ┴╢┤▐ ╣╫ ░Φ╛α▒╘┴ñ ╜├╟α╝╝─ó)_20190503.pdf</x:v>
      </x:c>
      <x:c r="H1671" s="43" t="str">
        <x:v>페이지 94</x:v>
      </x:c>
      <x:c r="I1671" s="46" t="str">
        <x:v>Company Phone Number Company Name of No. Registration Participants Signature Name Representative Fax Number Number 1 2 3 4 5 Each of the above participants confirmed that the conditions for the above tendering have been amended as described above during at the time of the tendering presentation session; and each affirms that he/she fully understands the details of tendering-related matters such as instructions to tenderers, a request for proposal, and specifications are fully understood. Korea International Cooperation Agency [Form 12] Tender (Negotiation) Documents &lt;Amended on Jul. 20, 2017, Feb. 28, 2018&gt; Tender (Negotiation) Documents To Korea International Cooperation Agency Tender (Negotiation) Date and Time: . . . : I submit tender documents based upon the (international) construction, ((international) purchase of goods, (international) services)) tender instructions for the goods, construction, and service pursuant to the Detailed Enforcement Rules of the Regulations for Procurement and Contract in Grant Aid Projects with Public Notice of a Tender Number__. If this tender is accepted by your institution, I submit a tender proposal, affirming that the construction (goods, ser</x:v>
      </x:c>
      <x:c r="J1671" s="43" t="str">
        <x:v>자동추출·검토필요</x:v>
      </x:c>
    </x:row>
    <x:row r="1672">
      <x:c r="A1672" s="43" t="str">
        <x:v>L2025-00016-2</x:v>
      </x:c>
      <x:c r="B1672" s="43" t="str">
        <x:v>부가세·예비비</x:v>
      </x:c>
      <x:c r="C1672" s="46" t="str">
        <x:v>vat</x:v>
      </x:c>
      <x:c r="D1672" s="46" t="str"/>
      <x:c r="E1672" s="46" t="str">
        <x:v>KRW 2 billion</x:v>
      </x:c>
      <x:c r="F1672" s="46" t="str"/>
      <x:c r="G1672" s="46" t="str">
        <x:v>L2025-00016-2/KOICA bidding regulation/Guidelines for Technical Evaluation(▒Γ╝·╞≥░í┴÷─º)_20210408.pdf</x:v>
      </x:c>
      <x:c r="H1672" s="43" t="str">
        <x:v>페이지 13</x:v>
      </x:c>
      <x:c r="I1672"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1672" s="43" t="str">
        <x:v>자동추출·검토필요</x:v>
      </x:c>
    </x:row>
    <x:row r="1673">
      <x:c r="A1673" s="43" t="str">
        <x:v>L2025-00016-2</x:v>
      </x:c>
      <x:c r="B1673" s="43" t="str">
        <x:v>부가세·예비비</x:v>
      </x:c>
      <x:c r="C1673" s="46" t="str">
        <x:v>vat</x:v>
      </x:c>
      <x:c r="D1673" s="46" t="str"/>
      <x:c r="E1673" s="46" t="str">
        <x:v>KRW 2 billion</x:v>
      </x:c>
      <x:c r="F1673" s="46" t="str"/>
      <x:c r="G1673" s="46" t="str">
        <x:v>L2025-00016-2/KOICA bidding regulation/Guidelines for Technical Evaluation(▒Γ╝·╞≥░í┴÷─º)_20210408.pdf</x:v>
      </x:c>
      <x:c r="H1673" s="43" t="str">
        <x:v>페이지 33</x:v>
      </x:c>
      <x:c r="I1673"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673" s="43" t="str">
        <x:v>자동추출·검토필요</x:v>
      </x:c>
    </x:row>
    <x:row r="1674">
      <x:c r="A1674" s="43" t="str">
        <x:v>L2025-00016-2</x:v>
      </x:c>
      <x:c r="B1674" s="43" t="str">
        <x:v>부가세·예비비</x:v>
      </x:c>
      <x:c r="C1674" s="46" t="str">
        <x:v>vat</x:v>
      </x:c>
      <x:c r="D1674" s="46" t="str"/>
      <x:c r="E1674" s="46" t="str"/>
      <x:c r="F1674" s="46" t="str">
        <x:v>20% | 20% | 20% | 20% | 20%</x:v>
      </x:c>
      <x:c r="G1674" s="46" t="str">
        <x:v>L2025-00016-2/KOICA bidding regulation/Guidelines for Technical Evaluation(▒Γ╝·╞≥░í┴÷─º)_20210408.pdf</x:v>
      </x:c>
      <x:c r="H1674" s="43" t="str">
        <x:v>페이지 41</x:v>
      </x:c>
      <x:c r="I1674" s="46" t="str">
        <x:v>[Table 4] Evaluation Table for Adding or Deducting Points &lt;Amended on Apr. 29, 2020&gt; Evaluation Table for Adding or Deducting Points Category Item and Ground Points A. Companies with no contracting track record with KOICA (if the 0.5 investment share rate or share ratio is at least 20%) (Maximum 0.5) B. Supporting medium, small, or micro-enterprises (if the investment share rate or share ratio is at least 20%) (1) Companies that have been designated as an innovative (venture, 0.5 technological innovation, management innovation, exceptional green business) small or medium-sized business by the Minister of SMEs and Startups (or delegate) (2) Others designated as medium, small, or micro-enterprises 0.25 C. Supporting female-owned businesses and promoting gender equality in employment (if the investment share rate or share ratio is at least 20%) (1) Female-owned businesses that have been defined in the Act on 0.2 Support for Female-owned Businesses and the enforcement decree of the same Act and have been issued a confirmation letter by the Minister of SMEs and Startups (including a delegate) (2) Companies that have been designated as a company with exceptional 0.25 gender equality in e</x:v>
      </x:c>
      <x:c r="J1674" s="43" t="str">
        <x:v>자동추출·검토필요</x:v>
      </x:c>
    </x:row>
    <x:row r="1675">
      <x:c r="A1675" s="43" t="str">
        <x:v>L2025-00016-2</x:v>
      </x:c>
      <x:c r="B1675" s="43" t="str">
        <x:v>부가세·예비비</x:v>
      </x:c>
      <x:c r="C1675" s="46" t="str">
        <x:v>vat</x:v>
      </x:c>
      <x:c r="D1675" s="46" t="str"/>
      <x:c r="E1675" s="46" t="str"/>
      <x:c r="F1675" s="46" t="str">
        <x:v>20% | 20%</x:v>
      </x:c>
      <x:c r="G1675" s="46" t="str">
        <x:v>L2025-00016-2/KOICA bidding regulation/Guidelines for Technical Evaluation(▒Γ╝·╞≥░í┴÷─º)_20210408.pdf</x:v>
      </x:c>
      <x:c r="H1675" s="43" t="str">
        <x:v>페이지 43</x:v>
      </x:c>
      <x:c r="I1675" s="46" t="str">
        <x:v>1. Evaluation on “A (Companies with no contracting track record with KOICA)” (a) Based upon the date of tender notice, regardless of the project type such as research service, evaluation service, fellowship program, public-private partnership program, only companies with no contracting track record are evaluated. (b) For a contracting consortium, it is evaluated only when the investment share rate (or share ratio) is at least 20%. A maximum of 0.5 points is awarded regardless of the number of members. 2. Evaluation on “B (Supporting medium, small, or micro-enterprises)” (a) Medium, small, or micro-enterprises that have been issued a confirmation letter by the Minister of SMEs and Startups (or delegate) are evaluated when all relevant documents are submitted. In this case, evaluation is limited to those falling within the validity period based on the date of public notice of the tender, but if the validity period is not determined, evaluation is limited to those received within the two years since the day before the date of public notice of the tender. (b) In the case of competition between owners of medium or small enterprises, additional points are not awarded for small and medium</x:v>
      </x:c>
      <x:c r="J1675" s="43" t="str">
        <x:v>자동추출·검토필요</x:v>
      </x:c>
    </x:row>
    <x:row r="1676">
      <x:c r="A1676" s="43" t="str">
        <x:v>L2025-00016-2</x:v>
      </x:c>
      <x:c r="B1676" s="43" t="str">
        <x:v>부가세·예비비</x:v>
      </x:c>
      <x:c r="C1676" s="46" t="str">
        <x:v>tax</x:v>
      </x:c>
      <x:c r="D1676" s="46" t="str"/>
      <x:c r="E1676" s="46" t="str"/>
      <x:c r="F1676" s="46" t="str">
        <x:v>50% | 50%</x:v>
      </x:c>
      <x:c r="G1676" s="46" t="str">
        <x:v>L2025-00016-2/KOICA bidding regulation/KOICA Regulations for International Procurement(▒╣┴ª┴╢┤▐▒╘┴ñ)_20190304.pdf</x:v>
      </x:c>
      <x:c r="H1676" s="43" t="str">
        <x:v>페이지 4</x:v>
      </x:c>
      <x:c r="I1676" s="46" t="str">
        <x:v>Tenders and the procedures prescribed in Section II of these Regulations shall apply. However, in accordance with Article 1(2) of these Regulations, KOICA may delegate or entrust its International Procurement duties related to the relevant Project to a KOICA Trustee; provided that such delegation or entrustment is recorded in writing. (3) For International Tenders, KOICA HQ shall be the Employer and the procedures prescribed in Section III of these Regulations shall apply. (4) Use of the procurement system of a Recipient Country shall be at the discretion of KOICA and the procedures prescribed in Section IV of these Regulations shall apply. Article 5 Eligibility (1) The Employer, the Bidder, and the Contracting Party must adhere to the highest standards of ethics in connection with tenders for and contracts of International Procurement. Accordingly, (a) if a selected Bidder is found to have been fraudulent or deceitful during the competitive bid process, the Employer shall be entitled to cancel such selection; and (b) if a Bidder or a Contracting Party is found to have been fraudulent or deceitful during a separate tender process or contracting process conducted by the Employer, KO</x:v>
      </x:c>
      <x:c r="J1676" s="43" t="str">
        <x:v>자동추출·검토필요</x:v>
      </x:c>
    </x:row>
    <x:row r="1677">
      <x:c r="A1677" s="43" t="str">
        <x:v>L2025-00016-2</x:v>
      </x:c>
      <x:c r="B1677" s="43" t="str">
        <x:v>부가세·예비비</x:v>
      </x:c>
      <x:c r="C1677" s="46" t="str">
        <x:v>vat</x:v>
      </x:c>
      <x:c r="D1677" s="46" t="str"/>
      <x:c r="E1677" s="46" t="str">
        <x:v>KRW 100 million | KRW 100 million | KRW 50 million</x:v>
      </x:c>
      <x:c r="F1677" s="46" t="str"/>
      <x:c r="G1677" s="46" t="str">
        <x:v>L2025-00016-2/KOICA bidding regulation/Regulations for Procurement and Contract in Grant Aid Projects(┤δ┐▄╣½╗≤╟∙╖┬╗τ╛≈┐í ░ⁿ╟╤ ┴╢┤▐ ╣╫ ░Φ╛α▒╘┴ñ)_20190520.pdf</x:v>
      </x:c>
      <x:c r="H1677" s="43" t="str">
        <x:v>페이지 15</x:v>
      </x:c>
      <x:c r="I1677" s="46" t="str">
        <x:v>works with an estimated price of KRW 100 million or less under other construction- related laws and regulations; manufacturing goods with an estimated price of KRW 100 million or less; &lt;Amended on Jan. 13, 2009&gt; 3. Contracts other than a contract for construction or manufacturing, or leases or rentals of goods, with an estimated price of KRW 50 million or less; &lt;Amended on Jan. 13, 2009&gt; 4. Products certified under Article 15 of the Industrial Standardization Act or standard products of excellent organizations under Article 25 of the same Act; &lt;Amended on Jan. 13, 2009, May 20, 2019&gt; 5. In a case of manufacture or purchase products conforming to the standards under Article 33 of the Act on the Promotion of Saving and Recycling of Resources; recycled products that have obtained quality certification pursuant to Article 17 (1) 3 of the Enforcement Decree of the Industrial Technology Innovation Promotion Act; products that have certified as eligible for the Environment Mark pursuant to Article 17 of the Environmental Technology and Industry Support Act; &lt;Amended on Jan. 13, 2009, Nov. 2, 2015, May 20, 2019&gt; 6. When manufacturing or purchasing goods designated or announced by the Minis</x:v>
      </x:c>
      <x:c r="J1677" s="43" t="str">
        <x:v>자동추출·검토필요</x:v>
      </x:c>
    </x:row>
    <x:row r="1678">
      <x:c r="A1678" s="43" t="str">
        <x:v>L2025-00016-2</x:v>
      </x:c>
      <x:c r="B1678" s="43" t="str">
        <x:v>부가세·예비비</x:v>
      </x:c>
      <x:c r="C1678" s="46" t="str">
        <x:v>reserve</x:v>
      </x:c>
      <x:c r="D1678" s="46" t="str"/>
      <x:c r="E1678" s="46" t="str">
        <x:v>USD 100,000.</x:v>
      </x:c>
      <x:c r="F1678" s="46" t="str">
        <x:v>200% | 200%</x:v>
      </x:c>
      <x:c r="G1678" s="46" t="str">
        <x:v>L2025-00016-2/KOICA bidding regulation/Standard of Prequalification Criteria(└╘┬√┬ⁿ░í└┌░▌╗τ└ⁿ╜╔╗τ▒Γ┴╪)_20130116.pdf</x:v>
      </x:c>
      <x:c r="H1678" s="43" t="str">
        <x:v>페이지 16</x:v>
      </x:c>
      <x:c r="I1678" s="46" t="str">
        <x:v>입찰참가자격 사전심사 기준 STANDARD OF PREQUALIFICATION CRITERIA of contracts for each tender. (e.g.) The debt ratio shall be not more than 200%, or the current ratio shall be at least 200%. 3) The capabilities to mobilize at least a certain amount of cash may be assessed based on the average balance in the relevant company's accounts in its principal transaction bank, cash reserves as at a certain time (e.g. as at the date of public notice for the tender), etc., and detailed eligibility criteria (period of owning the balance, the average balance, cash reserves, etc.) shall be set up by the official in charge of contracts for each tender. (e.g.) The cash reserves in its accounts of the principal transaction bank as of the base date for examination (date of public notice for the tender) shall be at least USD100,000. * In cases of joint implementation, only the representative may be examined. ② Average annual construction performance 1) Depending on tenders, the period for construction performance may be determined by the official in charge of contracts, but he/she shall be careful not to set an unduly short period as such period (A period of at least five years is desirable). 2) Depending on te</x:v>
      </x:c>
      <x:c r="J1678" s="43" t="str">
        <x:v>자동추출·검토필요</x:v>
      </x:c>
    </x:row>
    <x:row r="1679">
      <x:c r="A1679" s="43" t="str">
        <x:v>L2025-00016-2</x:v>
      </x:c>
      <x:c r="B1679" s="43" t="str">
        <x:v>부가세·예비비</x:v>
      </x:c>
      <x:c r="C1679" s="46" t="str">
        <x:v>vat, tax</x:v>
      </x:c>
      <x:c r="D1679" s="46" t="str"/>
      <x:c r="E1679" s="46" t="str">
        <x:v>USD 230,586 | USD 230,586</x:v>
      </x:c>
      <x:c r="F1679" s="46" t="str"/>
      <x:c r="G1679" s="46" t="str">
        <x:v>L2025-00016-2/Section 2 - Bid Data Sheet (eng).docx</x:v>
      </x:c>
      <x:c r="H1679" s="43" t="str">
        <x:v>표 4 행 14</x:v>
      </x:c>
      <x:c r="I1679" s="46" t="str">
        <x:v>․ Project Budget | USD 230,586 (Be exclusive of VAT and other applicable indirect taxes) | USD 230,586 (Be exclusive of VAT and other applicable indirect taxes)</x:v>
      </x:c>
      <x:c r="J1679" s="43" t="str">
        <x:v>자동추출·검토필요</x:v>
      </x:c>
    </x:row>
    <x:row r="1680">
      <x:c r="A1680" s="43" t="str">
        <x:v>L2025-00016-2</x:v>
      </x:c>
      <x:c r="B1680" s="43" t="str">
        <x:v>부가세·예비비</x:v>
      </x:c>
      <x:c r="C1680" s="46" t="str">
        <x:v>reserve</x:v>
      </x:c>
      <x:c r="D1680" s="46" t="str"/>
      <x:c r="E1680" s="46" t="str"/>
      <x:c r="F1680" s="46" t="str">
        <x:v>20% | 30%</x:v>
      </x:c>
      <x:c r="G1680" s="46" t="str">
        <x:v>L2025-00016-2/Section 6 - Sepcification/Electrical, Security and Communication.docx</x:v>
      </x:c>
      <x:c r="H1680" s="43" t="str">
        <x:v>문단 150</x:v>
      </x:c>
      <x:c r="I1680" s="46" t="str">
        <x:v>1.The Distribution Boards must have 20% of equipped reserves and 30% of physical reserve space.</x:v>
      </x:c>
      <x:c r="J1680" s="43" t="str">
        <x:v>자동추출·검토필요</x:v>
      </x:c>
    </x:row>
    <x:row r="1681">
      <x:c r="A1681" s="43" t="str">
        <x:v>L2025-00016-2</x:v>
      </x:c>
      <x:c r="B1681" s="43" t="str">
        <x:v>부가세·예비비</x:v>
      </x:c>
      <x:c r="C1681" s="46" t="str">
        <x:v>reserve</x:v>
      </x:c>
      <x:c r="D1681" s="46" t="str"/>
      <x:c r="E1681" s="46" t="str"/>
      <x:c r="F1681" s="46" t="str">
        <x:v>0.5%</x:v>
      </x:c>
      <x:c r="G1681" s="46" t="str">
        <x:v>L2025-00016-2/Section 7 - General Conditions of Contract.docx</x:v>
      </x:c>
      <x:c r="H1681" s="43" t="str">
        <x:v>표 4 행 109</x:v>
      </x:c>
      <x:c r="I1681"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681" s="43" t="str">
        <x:v>자동추출·검토필요</x:v>
      </x:c>
    </x:row>
    <x:row r="1682">
      <x:c r="A1682" s="43" t="str">
        <x:v>L2025-00016-2</x:v>
      </x:c>
      <x:c r="B1682" s="43" t="str">
        <x:v>부가세·예비비</x:v>
      </x:c>
      <x:c r="C1682" s="46" t="str">
        <x:v>reserve</x:v>
      </x:c>
      <x:c r="D1682" s="46" t="str"/>
      <x:c r="E1682" s="46" t="str"/>
      <x:c r="F1682" s="46" t="str">
        <x:v>50% | 50%</x:v>
      </x:c>
      <x:c r="G1682" s="46" t="str">
        <x:v>L2025-00016-2/Section 7 - General Conditions of Contract.docx</x:v>
      </x:c>
      <x:c r="H1682" s="43" t="str">
        <x:v>표 12 행 61</x:v>
      </x:c>
      <x:c r="I1682"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682" s="43" t="str">
        <x:v>자동추출·검토필요</x:v>
      </x:c>
    </x:row>
    <x:row r="1683">
      <x:c r="A1683" s="43" t="str">
        <x:v>L2025-00016-2</x:v>
      </x:c>
      <x:c r="B1683" s="43" t="str">
        <x:v>부가세·예비비</x:v>
      </x:c>
      <x:c r="C1683" s="46" t="str">
        <x:v>reserve</x:v>
      </x:c>
      <x:c r="D1683" s="46" t="str"/>
      <x:c r="E1683" s="46" t="str"/>
      <x:c r="F1683" s="46" t="str">
        <x:v>3.0% | 3% | 3.0% | 3%</x:v>
      </x:c>
      <x:c r="G1683" s="46" t="str">
        <x:v>L2025-00016-2/Section 8 - Special Conditions of Contract.docx</x:v>
      </x:c>
      <x:c r="H1683" s="43" t="str">
        <x:v>표 3 행 19</x:v>
      </x:c>
      <x:c r="I1683" s="46" t="str">
        <x:v>Security Deposit for Defects | 3.0% of the Contract Price May be exempted if reserves are available -Retention 3% will be deducted in every progress payment, and it will release after submitting of Defect liability bond. | 3.0% of the Contract Price May be exempted if reserves are available -Retention 3% will be deducted in every progress payment, and it will release after submitting of Defect liability bond.</x:v>
      </x:c>
      <x:c r="J1683" s="43" t="str">
        <x:v>자동추출·검토필요</x:v>
      </x:c>
    </x:row>
    <x:row r="1684">
      <x:c r="A1684" s="43" t="str">
        <x:v>L2025-00016-1</x:v>
      </x:c>
      <x:c r="B1684" s="43" t="str">
        <x:v>부가세·예비비</x:v>
      </x:c>
      <x:c r="C1684" s="46" t="str">
        <x:v>vat</x:v>
      </x:c>
      <x:c r="D1684" s="46" t="str"/>
      <x:c r="E1684" s="46" t="str">
        <x:v>KRW 420 billion</x:v>
      </x:c>
      <x:c r="F1684" s="46" t="str"/>
      <x:c r="G1684" s="46" t="str">
        <x:v>L2025-00016-1/KOICA 입찰 관련 규정 및 지침/Detailed Enforcement Rules of the Regulations for Procurement and Contract in Grant Aid Projects(┤δ┐▄╣½╗≤╟∙╖┬╗τ╛≈┐í ░ⁿ╟╤ ┴╢┤▐ ╣╫ ░Φ╛α▒╘┴ñ ╜├╟α╝╝─ó)_20190503.pdf</x:v>
      </x:c>
      <x:c r="H1684" s="43" t="str">
        <x:v>페이지 61</x:v>
      </x:c>
      <x:c r="I1684"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1684" s="43" t="str">
        <x:v>자동추출·검토필요</x:v>
      </x:c>
    </x:row>
    <x:row r="1685">
      <x:c r="A1685" s="43" t="str">
        <x:v>L2025-00016-1</x:v>
      </x:c>
      <x:c r="B1685" s="43" t="str">
        <x:v>부가세·예비비</x:v>
      </x:c>
      <x:c r="C1685" s="46" t="str">
        <x:v>tax</x:v>
      </x:c>
      <x:c r="D1685" s="46" t="str"/>
      <x:c r="E1685" s="46" t="str"/>
      <x:c r="F1685" s="46" t="str">
        <x:v>50%</x:v>
      </x:c>
      <x:c r="G1685" s="46" t="str">
        <x:v>L2025-00016-1/KOICA 입찰 관련 규정 및 지침/Detailed Enforcement Rules of the Regulations for Procurement and Contract in Grant Aid Projects(┤δ┐▄╣½╗≤╟∙╖┬╗τ╛≈┐í ░ⁿ╟╤ ┴╢┤▐ ╣╫ ░Φ╛α▒╘┴ñ ╜├╟α╝╝─ó)_20190503.pdf</x:v>
      </x:c>
      <x:c r="H1685" s="43" t="str">
        <x:v>페이지 90</x:v>
      </x:c>
      <x:c r="I1685" s="46" t="str">
        <x:v>[Form 8] Public Notice of a Tender Public Notice of a Tender The Korea International Cooperation Agency (KOICA) is an affiliate of the Ministry of Foreign Affairs and Trade in charge of the Grant Aid Project. As part of an economic cooperation project with developing countries, KOICA announces the following tenders to select (procure) (name of services or goods) for this (name of a project). 1. Public notice of a tender number: 2. Matters to be placed in the tender ① Name of the tendering: ② Details: Scope of services / Details of procured goods, etc. ※Refer to the appendix for details ③ Contract period: ④ Base Amount (estimated amount): (“zero” tax rate) 3. How to tender: General competitive tendering, limited competitive tendering 4. How to determine a successful tenderer: Lowest tender below Expected Maximum Price / Contract by negotiation/ Tendering in two-step competition 5. Qualification for participating in tendering: Those who have registered as KOICA's procurement partners. However, new companies shall register as procurement partners and participate in the tendering by the deadline for registration of tenders (registration of new companies is determined after reviewing re</x:v>
      </x:c>
      <x:c r="J1685" s="43" t="str">
        <x:v>자동추출·검토필요</x:v>
      </x:c>
    </x:row>
    <x:row r="1686">
      <x:c r="A1686" s="43" t="str">
        <x:v>L2025-00016-1</x:v>
      </x:c>
      <x:c r="B1686" s="43" t="str">
        <x:v>부가세·예비비</x:v>
      </x:c>
      <x:c r="C1686" s="46" t="str">
        <x:v>vat</x:v>
      </x:c>
      <x:c r="D1686" s="46" t="str"/>
      <x:c r="E1686" s="46" t="str">
        <x:v>KRW 10 billion</x:v>
      </x:c>
      <x:c r="F1686" s="46" t="str"/>
      <x:c r="G1686" s="46" t="str">
        <x:v>L2025-00016-1/KOICA 입찰 관련 규정 및 지침/Detailed Enforcement Rules of the Regulations for Procurement and Contract in Grant Aid Projects(┤δ┐▄╣½╗≤╟∙╖┬╗τ╛≈┐í ░ⁿ╟╤ ┴╢┤▐ ╣╫ ░Φ╛α▒╘┴ñ ╜├╟α╝╝─ó)_20190503.pdf</x:v>
      </x:c>
      <x:c r="H1686" s="43" t="str">
        <x:v>페이지 94</x:v>
      </x:c>
      <x:c r="I1686" s="46" t="str">
        <x:v>Company Phone Number Company Name of No. Registration Participants Signature Name Representative Fax Number Number 1 2 3 4 5 Each of the above participants confirmed that the conditions for the above tendering have been amended as described above during at the time of the tendering presentation session; and each affirms that he/she fully understands the details of tendering-related matters such as instructions to tenderers, a request for proposal, and specifications are fully understood. Korea International Cooperation Agency [Form 12] Tender (Negotiation) Documents &lt;Amended on Jul. 20, 2017, Feb. 28, 2018&gt; Tender (Negotiation) Documents To Korea International Cooperation Agency Tender (Negotiation) Date and Time: . . . : I submit tender documents based upon the (international) construction, ((international) purchase of goods, (international) services)) tender instructions for the goods, construction, and service pursuant to the Detailed Enforcement Rules of the Regulations for Procurement and Contract in Grant Aid Projects with Public Notice of a Tender Number__. If this tender is accepted by your institution, I submit a tender proposal, affirming that the construction (goods, ser</x:v>
      </x:c>
      <x:c r="J1686" s="43" t="str">
        <x:v>자동추출·검토필요</x:v>
      </x:c>
    </x:row>
    <x:row r="1687">
      <x:c r="A1687" s="43" t="str">
        <x:v>L2025-00016-1</x:v>
      </x:c>
      <x:c r="B1687" s="43" t="str">
        <x:v>부가세·예비비</x:v>
      </x:c>
      <x:c r="C1687" s="46" t="str">
        <x:v>vat</x:v>
      </x:c>
      <x:c r="D1687" s="46" t="str"/>
      <x:c r="E1687" s="46" t="str">
        <x:v>KRW 2 billion</x:v>
      </x:c>
      <x:c r="F1687" s="46" t="str"/>
      <x:c r="G1687" s="46" t="str">
        <x:v>L2025-00016-1/KOICA 입찰 관련 규정 및 지침/Guidelines for Technical Evaluation(▒Γ╝·╞≥░í┴÷─º)_20210408.pdf</x:v>
      </x:c>
      <x:c r="H1687" s="43" t="str">
        <x:v>페이지 13</x:v>
      </x:c>
      <x:c r="I1687"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1687" s="43" t="str">
        <x:v>자동추출·검토필요</x:v>
      </x:c>
    </x:row>
    <x:row r="1688">
      <x:c r="A1688" s="43" t="str">
        <x:v>L2025-00016-1</x:v>
      </x:c>
      <x:c r="B1688" s="43" t="str">
        <x:v>부가세·예비비</x:v>
      </x:c>
      <x:c r="C1688" s="46" t="str">
        <x:v>vat</x:v>
      </x:c>
      <x:c r="D1688" s="46" t="str"/>
      <x:c r="E1688" s="46" t="str">
        <x:v>KRW 2 billion</x:v>
      </x:c>
      <x:c r="F1688" s="46" t="str"/>
      <x:c r="G1688" s="46" t="str">
        <x:v>L2025-00016-1/KOICA 입찰 관련 규정 및 지침/Guidelines for Technical Evaluation(▒Γ╝·╞≥░í┴÷─º)_20210408.pdf</x:v>
      </x:c>
      <x:c r="H1688" s="43" t="str">
        <x:v>페이지 33</x:v>
      </x:c>
      <x:c r="I1688"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1688" s="43" t="str">
        <x:v>자동추출·검토필요</x:v>
      </x:c>
    </x:row>
    <x:row r="1689">
      <x:c r="A1689" s="43" t="str">
        <x:v>L2025-00016-1</x:v>
      </x:c>
      <x:c r="B1689" s="43" t="str">
        <x:v>부가세·예비비</x:v>
      </x:c>
      <x:c r="C1689" s="46" t="str">
        <x:v>vat</x:v>
      </x:c>
      <x:c r="D1689" s="46" t="str"/>
      <x:c r="E1689" s="46" t="str"/>
      <x:c r="F1689" s="46" t="str">
        <x:v>20% | 20% | 20% | 20% | 20%</x:v>
      </x:c>
      <x:c r="G1689" s="46" t="str">
        <x:v>L2025-00016-1/KOICA 입찰 관련 규정 및 지침/Guidelines for Technical Evaluation(▒Γ╝·╞≥░í┴÷─º)_20210408.pdf</x:v>
      </x:c>
      <x:c r="H1689" s="43" t="str">
        <x:v>페이지 41</x:v>
      </x:c>
      <x:c r="I1689" s="46" t="str">
        <x:v>[Table 4] Evaluation Table for Adding or Deducting Points &lt;Amended on Apr. 29, 2020&gt; Evaluation Table for Adding or Deducting Points Category Item and Ground Points A. Companies with no contracting track record with KOICA (if the 0.5 investment share rate or share ratio is at least 20%) (Maximum 0.5) B. Supporting medium, small, or micro-enterprises (if the investment share rate or share ratio is at least 20%) (1) Companies that have been designated as an innovative (venture, 0.5 technological innovation, management innovation, exceptional green business) small or medium-sized business by the Minister of SMEs and Startups (or delegate) (2) Others designated as medium, small, or micro-enterprises 0.25 C. Supporting female-owned businesses and promoting gender equality in employment (if the investment share rate or share ratio is at least 20%) (1) Female-owned businesses that have been defined in the Act on 0.2 Support for Female-owned Businesses and the enforcement decree of the same Act and have been issued a confirmation letter by the Minister of SMEs and Startups (including a delegate) (2) Companies that have been designated as a company with exceptional 0.25 gender equality in e</x:v>
      </x:c>
      <x:c r="J1689" s="43" t="str">
        <x:v>자동추출·검토필요</x:v>
      </x:c>
    </x:row>
    <x:row r="1690">
      <x:c r="A1690" s="43" t="str">
        <x:v>L2025-00016-1</x:v>
      </x:c>
      <x:c r="B1690" s="43" t="str">
        <x:v>부가세·예비비</x:v>
      </x:c>
      <x:c r="C1690" s="46" t="str">
        <x:v>vat</x:v>
      </x:c>
      <x:c r="D1690" s="46" t="str"/>
      <x:c r="E1690" s="46" t="str"/>
      <x:c r="F1690" s="46" t="str">
        <x:v>20% | 20%</x:v>
      </x:c>
      <x:c r="G1690" s="46" t="str">
        <x:v>L2025-00016-1/KOICA 입찰 관련 규정 및 지침/Guidelines for Technical Evaluation(▒Γ╝·╞≥░í┴÷─º)_20210408.pdf</x:v>
      </x:c>
      <x:c r="H1690" s="43" t="str">
        <x:v>페이지 43</x:v>
      </x:c>
      <x:c r="I1690" s="46" t="str">
        <x:v>1. Evaluation on “A (Companies with no contracting track record with KOICA)” (a) Based upon the date of tender notice, regardless of the project type such as research service, evaluation service, fellowship program, public-private partnership program, only companies with no contracting track record are evaluated. (b) For a contracting consortium, it is evaluated only when the investment share rate (or share ratio) is at least 20%. A maximum of 0.5 points is awarded regardless of the number of members. 2. Evaluation on “B (Supporting medium, small, or micro-enterprises)” (a) Medium, small, or micro-enterprises that have been issued a confirmation letter by the Minister of SMEs and Startups (or delegate) are evaluated when all relevant documents are submitted. In this case, evaluation is limited to those falling within the validity period based on the date of public notice of the tender, but if the validity period is not determined, evaluation is limited to those received within the two years since the day before the date of public notice of the tender. (b) In the case of competition between owners of medium or small enterprises, additional points are not awarded for small and medium</x:v>
      </x:c>
      <x:c r="J1690" s="43" t="str">
        <x:v>자동추출·검토필요</x:v>
      </x:c>
    </x:row>
    <x:row r="1691">
      <x:c r="A1691" s="43" t="str">
        <x:v>L2025-00016-1</x:v>
      </x:c>
      <x:c r="B1691" s="43" t="str">
        <x:v>부가세·예비비</x:v>
      </x:c>
      <x:c r="C1691" s="46" t="str">
        <x:v>tax</x:v>
      </x:c>
      <x:c r="D1691" s="46" t="str"/>
      <x:c r="E1691" s="46" t="str"/>
      <x:c r="F1691" s="46" t="str">
        <x:v>50% | 50%</x:v>
      </x:c>
      <x:c r="G1691" s="46" t="str">
        <x:v>L2025-00016-1/KOICA 입찰 관련 규정 및 지침/KOICA Regulations for International Procurement(▒╣┴ª┴╢┤▐▒╘┴ñ)_20190304.pdf</x:v>
      </x:c>
      <x:c r="H1691" s="43" t="str">
        <x:v>페이지 4</x:v>
      </x:c>
      <x:c r="I1691" s="46" t="str">
        <x:v>Tenders and the procedures prescribed in Section II of these Regulations shall apply. However, in accordance with Article 1(2) of these Regulations, KOICA may delegate or entrust its International Procurement duties related to the relevant Project to a KOICA Trustee; provided that such delegation or entrustment is recorded in writing. (3) For International Tenders, KOICA HQ shall be the Employer and the procedures prescribed in Section III of these Regulations shall apply. (4) Use of the procurement system of a Recipient Country shall be at the discretion of KOICA and the procedures prescribed in Section IV of these Regulations shall apply. Article 5 Eligibility (1) The Employer, the Bidder, and the Contracting Party must adhere to the highest standards of ethics in connection with tenders for and contracts of International Procurement. Accordingly, (a) if a selected Bidder is found to have been fraudulent or deceitful during the competitive bid process, the Employer shall be entitled to cancel such selection; and (b) if a Bidder or a Contracting Party is found to have been fraudulent or deceitful during a separate tender process or contracting process conducted by the Employer, KO</x:v>
      </x:c>
      <x:c r="J1691" s="43" t="str">
        <x:v>자동추출·검토필요</x:v>
      </x:c>
    </x:row>
    <x:row r="1692">
      <x:c r="A1692" s="43" t="str">
        <x:v>L2025-00016-1</x:v>
      </x:c>
      <x:c r="B1692" s="43" t="str">
        <x:v>부가세·예비비</x:v>
      </x:c>
      <x:c r="C1692" s="46" t="str">
        <x:v>vat</x:v>
      </x:c>
      <x:c r="D1692" s="46" t="str"/>
      <x:c r="E1692" s="46" t="str">
        <x:v>KRW 100 million | KRW 100 million | KRW 50 million</x:v>
      </x:c>
      <x:c r="F1692" s="46" t="str"/>
      <x:c r="G1692" s="46" t="str">
        <x:v>L2025-00016-1/KOICA 입찰 관련 규정 및 지침/Regulations for Procurement and Contract in Grant Aid Projects(┤δ┐▄╣½╗≤╟∙╖┬╗τ╛≈┐í ░ⁿ╟╤ ┴╢┤▐ ╣╫ ░Φ╛α▒╘┴ñ)_20190520.pdf</x:v>
      </x:c>
      <x:c r="H1692" s="43" t="str">
        <x:v>페이지 15</x:v>
      </x:c>
      <x:c r="I1692" s="46" t="str">
        <x:v>works with an estimated price of KRW 100 million or less under other construction- related laws and regulations; manufacturing goods with an estimated price of KRW 100 million or less; &lt;Amended on Jan. 13, 2009&gt; 3. Contracts other than a contract for construction or manufacturing, or leases or rentals of goods, with an estimated price of KRW 50 million or less; &lt;Amended on Jan. 13, 2009&gt; 4. Products certified under Article 15 of the Industrial Standardization Act or standard products of excellent organizations under Article 25 of the same Act; &lt;Amended on Jan. 13, 2009, May 20, 2019&gt; 5. In a case of manufacture or purchase products conforming to the standards under Article 33 of the Act on the Promotion of Saving and Recycling of Resources; recycled products that have obtained quality certification pursuant to Article 17 (1) 3 of the Enforcement Decree of the Industrial Technology Innovation Promotion Act; products that have certified as eligible for the Environment Mark pursuant to Article 17 of the Environmental Technology and Industry Support Act; &lt;Amended on Jan. 13, 2009, Nov. 2, 2015, May 20, 2019&gt; 6. When manufacturing or purchasing goods designated or announced by the Minis</x:v>
      </x:c>
      <x:c r="J1692" s="43" t="str">
        <x:v>자동추출·검토필요</x:v>
      </x:c>
    </x:row>
    <x:row r="1693">
      <x:c r="A1693" s="43" t="str">
        <x:v>L2025-00016-1</x:v>
      </x:c>
      <x:c r="B1693" s="43" t="str">
        <x:v>부가세·예비비</x:v>
      </x:c>
      <x:c r="C1693" s="46" t="str">
        <x:v>reserve</x:v>
      </x:c>
      <x:c r="D1693" s="46" t="str"/>
      <x:c r="E1693" s="46" t="str">
        <x:v>USD 100,000.</x:v>
      </x:c>
      <x:c r="F1693" s="46" t="str">
        <x:v>200% | 200%</x:v>
      </x:c>
      <x:c r="G1693" s="46" t="str">
        <x:v>L2025-00016-1/KOICA 입찰 관련 규정 및 지침/Standard of Prequalification Criteria(└╘┬√┬ⁿ░í└┌░▌╗τ└ⁿ╜╔╗τ▒Γ┴╪)_20130116.pdf</x:v>
      </x:c>
      <x:c r="H1693" s="43" t="str">
        <x:v>페이지 16</x:v>
      </x:c>
      <x:c r="I1693" s="46" t="str">
        <x:v>입찰참가자격 사전심사 기준 STANDARD OF PREQUALIFICATION CRITERIA of contracts for each tender. (e.g.) The debt ratio shall be not more than 200%, or the current ratio shall be at least 200%. 3) The capabilities to mobilize at least a certain amount of cash may be assessed based on the average balance in the relevant company's accounts in its principal transaction bank, cash reserves as at a certain time (e.g. as at the date of public notice for the tender), etc., and detailed eligibility criteria (period of owning the balance, the average balance, cash reserves, etc.) shall be set up by the official in charge of contracts for each tender. (e.g.) The cash reserves in its accounts of the principal transaction bank as of the base date for examination (date of public notice for the tender) shall be at least USD100,000. * In cases of joint implementation, only the representative may be examined. ② Average annual construction performance 1) Depending on tenders, the period for construction performance may be determined by the official in charge of contracts, but he/she shall be careful not to set an unduly short period as such period (A period of at least five years is desirable). 2) Depending on te</x:v>
      </x:c>
      <x:c r="J1693" s="43" t="str">
        <x:v>자동추출·검토필요</x:v>
      </x:c>
    </x:row>
    <x:row r="1694">
      <x:c r="A1694" s="43" t="str">
        <x:v>L2025-00016-1</x:v>
      </x:c>
      <x:c r="B1694" s="43" t="str">
        <x:v>부가세·예비비</x:v>
      </x:c>
      <x:c r="C1694" s="46" t="str">
        <x:v>vat, tax</x:v>
      </x:c>
      <x:c r="D1694" s="46" t="str"/>
      <x:c r="E1694" s="46" t="str">
        <x:v>USD 230,586 | USD 230,586</x:v>
      </x:c>
      <x:c r="F1694" s="46" t="str"/>
      <x:c r="G1694" s="46" t="str">
        <x:v>L2025-00016-1/Section 2 - Bid Data Sheet (eng).docx</x:v>
      </x:c>
      <x:c r="H1694" s="43" t="str">
        <x:v>표 4 행 14</x:v>
      </x:c>
      <x:c r="I1694" s="46" t="str">
        <x:v>․ Project Budget | USD 230,586 (Be exclusive of VAT and other applicable indirect taxes) | USD 230,586 (Be exclusive of VAT and other applicable indirect taxes)</x:v>
      </x:c>
      <x:c r="J1694" s="43" t="str">
        <x:v>자동추출·검토필요</x:v>
      </x:c>
    </x:row>
    <x:row r="1695">
      <x:c r="A1695" s="43" t="str">
        <x:v>L2025-00016-1</x:v>
      </x:c>
      <x:c r="B1695" s="43" t="str">
        <x:v>부가세·예비비</x:v>
      </x:c>
      <x:c r="C1695" s="46" t="str">
        <x:v>reserve</x:v>
      </x:c>
      <x:c r="D1695" s="46" t="str"/>
      <x:c r="E1695" s="46" t="str"/>
      <x:c r="F1695" s="46" t="str">
        <x:v>20% | 30%</x:v>
      </x:c>
      <x:c r="G1695" s="46" t="str">
        <x:v>L2025-00016-1/Section 6 - Sepcification/Electrical, Security and Communication.docx</x:v>
      </x:c>
      <x:c r="H1695" s="43" t="str">
        <x:v>문단 150</x:v>
      </x:c>
      <x:c r="I1695" s="46" t="str">
        <x:v>1.The Distribution Boards must have 20% of equipped reserves and 30% of physical reserve space.</x:v>
      </x:c>
      <x:c r="J1695" s="43" t="str">
        <x:v>자동추출·검토필요</x:v>
      </x:c>
    </x:row>
    <x:row r="1696">
      <x:c r="A1696" s="43" t="str">
        <x:v>L2025-00016-1</x:v>
      </x:c>
      <x:c r="B1696" s="43" t="str">
        <x:v>부가세·예비비</x:v>
      </x:c>
      <x:c r="C1696" s="46" t="str">
        <x:v>reserve</x:v>
      </x:c>
      <x:c r="D1696" s="46" t="str"/>
      <x:c r="E1696" s="46" t="str"/>
      <x:c r="F1696" s="46" t="str">
        <x:v>0.5%</x:v>
      </x:c>
      <x:c r="G1696" s="46" t="str">
        <x:v>L2025-00016-1/Section 7 - General Conditions of Contract.docx</x:v>
      </x:c>
      <x:c r="H1696" s="43" t="str">
        <x:v>표 4 행 109</x:v>
      </x:c>
      <x:c r="I1696"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696" s="43" t="str">
        <x:v>자동추출·검토필요</x:v>
      </x:c>
    </x:row>
    <x:row r="1697">
      <x:c r="A1697" s="43" t="str">
        <x:v>L2025-00016-1</x:v>
      </x:c>
      <x:c r="B1697" s="43" t="str">
        <x:v>부가세·예비비</x:v>
      </x:c>
      <x:c r="C1697" s="46" t="str">
        <x:v>reserve</x:v>
      </x:c>
      <x:c r="D1697" s="46" t="str"/>
      <x:c r="E1697" s="46" t="str"/>
      <x:c r="F1697" s="46" t="str">
        <x:v>50% | 50%</x:v>
      </x:c>
      <x:c r="G1697" s="46" t="str">
        <x:v>L2025-00016-1/Section 7 - General Conditions of Contract.docx</x:v>
      </x:c>
      <x:c r="H1697" s="43" t="str">
        <x:v>표 12 행 61</x:v>
      </x:c>
      <x:c r="I1697"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697" s="43" t="str">
        <x:v>자동추출·검토필요</x:v>
      </x:c>
    </x:row>
    <x:row r="1698">
      <x:c r="A1698" s="43" t="str">
        <x:v>L2025-00016-1</x:v>
      </x:c>
      <x:c r="B1698" s="43" t="str">
        <x:v>부가세·예비비</x:v>
      </x:c>
      <x:c r="C1698" s="46" t="str">
        <x:v>reserve</x:v>
      </x:c>
      <x:c r="D1698" s="46" t="str"/>
      <x:c r="E1698" s="46" t="str"/>
      <x:c r="F1698" s="46" t="str">
        <x:v>3.0% | 3% | 3.0% | 3%</x:v>
      </x:c>
      <x:c r="G1698" s="46" t="str">
        <x:v>L2025-00016-1/Section 8 - Special Conditions of Contract.docx</x:v>
      </x:c>
      <x:c r="H1698" s="43" t="str">
        <x:v>표 3 행 19</x:v>
      </x:c>
      <x:c r="I1698" s="46" t="str">
        <x:v>Security Deposit for Defects | 3.0% of the Contract Price May be exempted if reserves are available -Retention 3% will be deducted in every progress payment, and it will release after submitting of Defect liability bond. | 3.0% of the Contract Price May be exempted if reserves are available -Retention 3% will be deducted in every progress payment, and it will release after submitting of Defect liability bond.</x:v>
      </x:c>
      <x:c r="J1698" s="43" t="str">
        <x:v>자동추출·검토필요</x:v>
      </x:c>
    </x:row>
    <x:row r="1699">
      <x:c r="A1699" s="43" t="str">
        <x:v>L2025-00014-1</x:v>
      </x:c>
      <x:c r="B1699" s="43" t="str">
        <x:v>부가세·예비비</x:v>
      </x:c>
      <x:c r="C1699" s="46" t="str">
        <x:v>vat, tax</x:v>
      </x:c>
      <x:c r="D1699" s="46" t="str"/>
      <x:c r="E1699" s="46" t="str">
        <x:v>USD 60,000 | USD 60,000</x:v>
      </x:c>
      <x:c r="F1699" s="46" t="str"/>
      <x:c r="G1699" s="46" t="str">
        <x:v>L2025-00014-1/Section 2-Bid Data Sheet.docx</x:v>
      </x:c>
      <x:c r="H1699" s="43" t="str">
        <x:v>표 4 행 14</x:v>
      </x:c>
      <x:c r="I1699" s="46" t="str">
        <x:v>․ Project Budget | USD 60,000 (included GST, VAT and other applicable indirect taxes) | USD 60,000 (included GST, VAT and other applicable indirect taxes)</x:v>
      </x:c>
      <x:c r="J1699" s="43" t="str">
        <x:v>자동추출·검토필요</x:v>
      </x:c>
    </x:row>
    <x:row r="1700">
      <x:c r="A1700" s="43" t="str">
        <x:v>L2025-00014-1</x:v>
      </x:c>
      <x:c r="B1700" s="43" t="str">
        <x:v>부가세·예비비</x:v>
      </x:c>
      <x:c r="C1700" s="46" t="str">
        <x:v>부가가치세</x:v>
      </x:c>
      <x:c r="D1700" s="46" t="str"/>
      <x:c r="E1700" s="46" t="str">
        <x:v>USD 60,000</x:v>
      </x:c>
      <x:c r="F1700" s="46" t="str"/>
      <x:c r="G1700" s="46" t="str">
        <x:v>L2025-00014-1/Section 2-입찰공고문(국문)_섬유센터 감리.pdf</x:v>
      </x:c>
      <x:c r="H1700" s="43" t="str">
        <x:v>페이지 4</x:v>
      </x:c>
      <x:c r="I1700" s="46" t="str">
        <x:v>[Section 2] 입찰공고문 다음과 같이 입찰에 부치고자 공고합니다. 2025.03.15. KOICA 파키스탄 사무소 &lt; 유의사항 &gt; ◈ 본 입찰에 참여하는 자는 입찰ㆍ낙찰, 계약체결 또는 계약이행 등의 과정에서 (준공ㆍ납품 이후를 포함한다) 청렴계약특수조건을 숙지하고 입찰에 참여하여야 하며, 입찰서 제출 시 청렴계약서(이행서약서)를 제출해야 합니다. ◈ 본 입찰과 관련하여 비리ㆍ불공정행위가 있는 경우 KOICA 파키스탄 사무소 (jilly21@koica.go.kr)를 통하여 신고할 수 있습니다. ◈ 본 입찰 및 계약과 관련하여 KOICA 직원이 금품, 향응 등 부당한 요구를 할 경우 KOICA 감사실(clean@koica.go.kr)에 신고하여 주시기 바랍니다. 1. 입찰에 부치는 사항(입찰개요) ․ 공고번호 L2025-0000-1 KOICA-PAK-2025-02 (전자조달시스템 현지입찰공고번호) ․ 입찰건명 파키스탄 국립섬유대학 산업용 섬유센터 설립사업 2차사업 감리용역 ․ 과업범위 감리용역 ․ 계약기간 계약체결일로부터 22개월 ․ 집행한도액 USD 60,000 (GST 및 부가가치세 포함) ㅇ 통화 : USD ㅇ 부가세관련 유의사항: - 주재국의 법규에 따라 면세승인을 취득하는 경우, 발주자는 해당 비용을 계약자에게 제공하지 않음. 단, 면세승인 취득 불가시 발주자는 계약자에게 해당 비용을 제공함. - 부가가치세와 관련하여 KOICA는 동 입찰 및 계약에 대해 발생하는 GST 포함 그 어떠한 세금과 관련해서 아무런 권한이나 책임이 없으며, 주재국의 법규에 따라 세금징수 및 환급과 관련한 책임기관은 연방세무국(Federal Board of Revenue)임. - 1 -</x:v>
      </x:c>
      <x:c r="J1700" s="43" t="str">
        <x:v>자동추출·검토필요</x:v>
      </x:c>
    </x:row>
    <x:row r="1701">
      <x:c r="A1701" s="43" t="str">
        <x:v>L2025-00014-1</x:v>
      </x:c>
      <x:c r="B1701" s="43" t="str">
        <x:v>부가세·예비비</x:v>
      </x:c>
      <x:c r="C1701" s="46" t="str">
        <x:v>예비비</x:v>
      </x:c>
      <x:c r="D1701" s="46" t="str"/>
      <x:c r="E1701" s="46" t="str"/>
      <x:c r="F1701" s="46" t="str">
        <x:v>15% | 0.125% | 15% | 20% | 0 % | 3%</x:v>
      </x:c>
      <x:c r="G1701" s="46" t="str">
        <x:v>L2025-00014-1/Section 2-입찰공고문(국문)_섬유센터 감리.pdf</x:v>
      </x:c>
      <x:c r="H1701" s="43" t="str">
        <x:v>페이지 16</x:v>
      </x:c>
      <x:c r="I1701" s="46" t="str">
        <x:v>[붙임2] 주요계약조건 주요계약조건 발주자의 상호/성명 및 주소 House#2,Street #48,Marvi Road,F-7/4, Islamabad, CM의 상호/성명 및 주소 Topec Engineering/서울 강남구 논현로 28길 29 계약후 22개월(공사시작 ~ 공사종료후 용역수행기간 1개월) 하자통지기간 2 years 준거법 Korea 계약 언어 English 교신 언어 English The performance security will be in the 이행보증 form of an unconditional bank guarantee in the amount(s) of 15% of the Contract Price. 지체상금률 0.125% of the final Contract Price per day, in the currencies in which the Contract Price is payable. 지체상금 상한 15% of the final Contract Price. 예비비 not applicable 물가변동 not applicable 20% of the Accepted Contract Amount 선급금 총액(낙찰 계약금액 비율) payable in the currencies in which the Accepted Contract Amount is payable. (It shall be adjustable according to negotiation) 지급조건 매 2개월마다 지급 유보금 비율 0 % 법령과 현지 관행상 가입해야 하는 기타 보험 N/A (내역 명세요) 국제중재 International arbitration shall be: (i) Administered by: [Korean Commercial Arbitration Board] (ii) Conducted in accordance with the rules of: [International Arbitration Rules of the Korean Commercial Arbitration Board] 하자보수보증금 Rate of Maintenance Security Deposit for Defects: 3% of the Contract Price - 13 -</x:v>
      </x:c>
      <x:c r="J1701" s="43" t="str">
        <x:v>자동추출·검토필요</x:v>
      </x:c>
    </x:row>
    <x:row r="1702">
      <x:c r="A1702" s="43" t="str">
        <x:v>L2025-00014-1</x:v>
      </x:c>
      <x:c r="B1702" s="43" t="str">
        <x:v>부가세·예비비</x:v>
      </x:c>
      <x:c r="C1702" s="46" t="str">
        <x:v>reserve</x:v>
      </x:c>
      <x:c r="D1702" s="46" t="str"/>
      <x:c r="E1702" s="46" t="str"/>
      <x:c r="F1702" s="46" t="str">
        <x:v>0.5%</x:v>
      </x:c>
      <x:c r="G1702" s="46" t="str">
        <x:v>L2025-00014-1/Section 7-General Conditions of Cotnract.docx</x:v>
      </x:c>
      <x:c r="H1702" s="43" t="str">
        <x:v>표 5 행 109</x:v>
      </x:c>
      <x:c r="I1702"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702" s="43" t="str">
        <x:v>자동추출·검토필요</x:v>
      </x:c>
    </x:row>
    <x:row r="1703">
      <x:c r="A1703" s="43" t="str">
        <x:v>L2025-00014-1</x:v>
      </x:c>
      <x:c r="B1703" s="43" t="str">
        <x:v>부가세·예비비</x:v>
      </x:c>
      <x:c r="C1703" s="46" t="str">
        <x:v>reserve</x:v>
      </x:c>
      <x:c r="D1703" s="46" t="str"/>
      <x:c r="E1703" s="46" t="str"/>
      <x:c r="F1703" s="46" t="str">
        <x:v>50% | 50%</x:v>
      </x:c>
      <x:c r="G1703" s="46" t="str">
        <x:v>L2025-00014-1/Section 7-General Conditions of Cotnract.docx</x:v>
      </x:c>
      <x:c r="H1703" s="43" t="str">
        <x:v>표 13 행 61</x:v>
      </x:c>
      <x:c r="I1703"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703" s="43" t="str">
        <x:v>자동추출·검토필요</x:v>
      </x:c>
    </x:row>
    <x:row r="1704">
      <x:c r="A1704" s="43" t="str">
        <x:v>L2025-00012-2</x:v>
      </x:c>
      <x:c r="B1704" s="43" t="str">
        <x:v>부가세·예비비</x:v>
      </x:c>
      <x:c r="C1704" s="46" t="str">
        <x:v>vat, tax</x:v>
      </x:c>
      <x:c r="D1704" s="46" t="str"/>
      <x:c r="E1704" s="46" t="str">
        <x:v>USD 98,954.86</x:v>
      </x:c>
      <x:c r="F1704" s="46" t="str">
        <x:v>2% | 0.5%</x:v>
      </x:c>
      <x:c r="G1704" s="46" t="str">
        <x:v>L2025-00012-2/(붙임1-2) 영문입찰계획서_Q-Lab_Chacala_Bid Data Sheet (BDS)_20250502.docx</x:v>
      </x:c>
      <x:c r="H1704" s="43" t="str">
        <x:v>표 3 행 13</x:v>
      </x:c>
      <x:c r="I1704" s="46" t="str">
        <x:v>ㅇ Project budget | USD 98,954.86 - Including VAT and other applicable indirect taxes. - Including provisional sums(2%) and safety management costs(0.5%).</x:v>
      </x:c>
      <x:c r="J1704" s="43" t="str">
        <x:v>자동추출·검토필요</x:v>
      </x:c>
    </x:row>
    <x:row r="1705">
      <x:c r="A1705" s="43" t="str">
        <x:v>L2025-00012-2</x:v>
      </x:c>
      <x:c r="B1705" s="43" t="str">
        <x:v>부가세·예비비</x:v>
      </x:c>
      <x:c r="C1705" s="46" t="str">
        <x:v>reserve</x:v>
      </x:c>
      <x:c r="D1705" s="46" t="str"/>
      <x:c r="E1705" s="46" t="str">
        <x:v>96,480.99 $</x:v>
      </x:c>
      <x:c r="F1705" s="46" t="str"/>
      <x:c r="G1705" s="46" t="str">
        <x:v>L2025-00012-2/(붙임1-2) 영문입찰계획서_Q-Lab_Chacala_Bid Data Sheet (BDS)_20250502.docx</x:v>
      </x:c>
      <x:c r="H1705" s="43" t="str">
        <x:v>표 6 행 2</x:v>
      </x:c>
      <x:c r="I1705" s="46" t="str">
        <x:v>Competitive Bidding Projects Based on Performance | Construction Performance for the Past 5 Years (Evaluated without distinction of industry) | Score = Performance Coefficient × 5 (However, the maximum performance limit is 5 points) ※ Performance Coefficient = Total Construction Performance Amount ÷ (Base Price of Reserve Price × 1/2) | Base Price = 96,480.99$</x:v>
      </x:c>
      <x:c r="J1705" s="43" t="str">
        <x:v>자동추출·검토필요</x:v>
      </x:c>
    </x:row>
    <x:row r="1706">
      <x:c r="A1706" s="43" t="str">
        <x:v>L2025-00012-2</x:v>
      </x:c>
      <x:c r="B1706" s="43" t="str">
        <x:v>부가세·예비비</x:v>
      </x:c>
      <x:c r="C1706" s="46" t="str">
        <x:v>vat, tax</x:v>
      </x:c>
      <x:c r="D1706" s="46" t="str"/>
      <x:c r="E1706" s="46" t="str">
        <x:v>USD 98,954.86</x:v>
      </x:c>
      <x:c r="F1706" s="46" t="str">
        <x:v>2% | 0.5%</x:v>
      </x:c>
      <x:c r="G1706" s="46" t="str">
        <x:v>L2025-00012-2/(붙임2) 입찰 관련 부속서류/Q-Lab_Chacala_Bidding Doc/Section 2._Q-Lab_Chacala_Bid Data Sheet (BDS)_20250502.docx</x:v>
      </x:c>
      <x:c r="H1706" s="43" t="str">
        <x:v>표 3 행 13</x:v>
      </x:c>
      <x:c r="I1706" s="46" t="str">
        <x:v>ㅇ Project budget | USD 98,954.86 - Including VAT and other applicable indirect taxes. - Including provisional sums(2%) and safety management costs(0.5%).</x:v>
      </x:c>
      <x:c r="J1706" s="43" t="str">
        <x:v>자동추출·검토필요</x:v>
      </x:c>
    </x:row>
    <x:row r="1707">
      <x:c r="A1707" s="43" t="str">
        <x:v>L2025-00012-2</x:v>
      </x:c>
      <x:c r="B1707" s="43" t="str">
        <x:v>부가세·예비비</x:v>
      </x:c>
      <x:c r="C1707" s="46" t="str">
        <x:v>reserve</x:v>
      </x:c>
      <x:c r="D1707" s="46" t="str"/>
      <x:c r="E1707" s="46" t="str">
        <x:v>96,480.99 $</x:v>
      </x:c>
      <x:c r="F1707" s="46" t="str"/>
      <x:c r="G1707" s="46" t="str">
        <x:v>L2025-00012-2/(붙임2) 입찰 관련 부속서류/Q-Lab_Chacala_Bidding Doc/Section 2._Q-Lab_Chacala_Bid Data Sheet (BDS)_20250502.docx</x:v>
      </x:c>
      <x:c r="H1707" s="43" t="str">
        <x:v>표 6 행 2</x:v>
      </x:c>
      <x:c r="I1707" s="46" t="str">
        <x:v>Competitive Bidding Projects Based on Performance | Construction Performance for the Past 5 Years (Evaluated without distinction of industry) | Score = Performance Coefficient × 5 (However, the maximum performance limit is 5 points) ※ Performance Coefficient = Total Construction Performance Amount ÷ (Base Price of Reserve Price × 1/2) | Base Price = 96,480.99$</x:v>
      </x:c>
      <x:c r="J1707" s="43" t="str">
        <x:v>자동추출·검토필요</x:v>
      </x:c>
    </x:row>
    <x:row r="1708">
      <x:c r="A1708" s="43" t="str">
        <x:v>L2025-00012-2</x:v>
      </x:c>
      <x:c r="B1708" s="43" t="str">
        <x:v>부가세·예비비</x:v>
      </x:c>
      <x:c r="C1708" s="46" t="str">
        <x:v>reserve</x:v>
      </x:c>
      <x:c r="D1708" s="46" t="str"/>
      <x:c r="E1708" s="46" t="str"/>
      <x:c r="F1708" s="46" t="str">
        <x:v>0.5%</x:v>
      </x:c>
      <x:c r="G1708" s="46" t="str">
        <x:v>L2025-00012-2/(붙임2) 입찰 관련 부속서류/Q-Lab_Chacala_Bidding Doc/Section 7. Q-Lab_Chacala_General Conditions of Contract.docx</x:v>
      </x:c>
      <x:c r="H1708" s="43" t="str">
        <x:v>표 4 행 109</x:v>
      </x:c>
      <x:c r="I1708"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708" s="43" t="str">
        <x:v>자동추출·검토필요</x:v>
      </x:c>
    </x:row>
    <x:row r="1709">
      <x:c r="A1709" s="43" t="str">
        <x:v>L2025-00012-2</x:v>
      </x:c>
      <x:c r="B1709" s="43" t="str">
        <x:v>부가세·예비비</x:v>
      </x:c>
      <x:c r="C1709" s="46" t="str">
        <x:v>reserve</x:v>
      </x:c>
      <x:c r="D1709" s="46" t="str"/>
      <x:c r="E1709" s="46" t="str"/>
      <x:c r="F1709" s="46" t="str">
        <x:v>50% | 50%</x:v>
      </x:c>
      <x:c r="G1709" s="46" t="str">
        <x:v>L2025-00012-2/(붙임2) 입찰 관련 부속서류/Q-Lab_Chacala_Bidding Doc/Section 7. Q-Lab_Chacala_General Conditions of Contract.docx</x:v>
      </x:c>
      <x:c r="H1709" s="43" t="str">
        <x:v>표 12 행 61</x:v>
      </x:c>
      <x:c r="I1709"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709" s="43" t="str">
        <x:v>자동추출·검토필요</x:v>
      </x:c>
    </x:row>
    <x:row r="1710">
      <x:c r="A1710" s="43" t="str">
        <x:v>L2025-00012-2</x:v>
      </x:c>
      <x:c r="B1710" s="43" t="str">
        <x:v>부가세·예비비</x:v>
      </x:c>
      <x:c r="C1710" s="46" t="str">
        <x:v>reserve</x:v>
      </x:c>
      <x:c r="D1710" s="46" t="str"/>
      <x:c r="E1710" s="46" t="str"/>
      <x:c r="F1710" s="46" t="str">
        <x:v>50% | 50%</x:v>
      </x:c>
      <x:c r="G1710" s="46" t="str">
        <x:v>L2025-00012-2/(붙임2) 입찰 관련 부속서류/Q-Lab_Chacala_Bidding Doc/Section 8. Q-Lab_Chacala_Specail Conditions of Contract.docx</x:v>
      </x:c>
      <x:c r="H1710" s="43" t="str">
        <x:v>표 1 행 4</x:v>
      </x:c>
      <x:c r="I1710" s="46" t="str">
        <x:v>Article 12.5 Payment of Reserves (c) | (ORIGINAL)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Suppose there is a part of the Construction Works for which the Contractor remains liable to repair any defects. In that case, the Employer shall be entitled to additionally reserve an amount equivalent to the costs required to repair such defects. (REVISED) This clause is modified in SCC as below. “The retention shall be returned after the end of the defect warranty period or when the Contractor submits a defect guarantee.” shall be applied.</x:v>
      </x:c>
      <x:c r="J1710" s="43" t="str">
        <x:v>자동추출·검토필요</x:v>
      </x:c>
    </x:row>
    <x:row r="1711">
      <x:c r="A1711" s="43" t="str">
        <x:v>L2025-00012-1</x:v>
      </x:c>
      <x:c r="B1711" s="43" t="str">
        <x:v>부가세·예비비</x:v>
      </x:c>
      <x:c r="C1711" s="46" t="str">
        <x:v>vat, tax</x:v>
      </x:c>
      <x:c r="D1711" s="46" t="str"/>
      <x:c r="E1711" s="46" t="str">
        <x:v>USD 98,954.86</x:v>
      </x:c>
      <x:c r="F1711" s="46" t="str">
        <x:v>2% | 0.5%</x:v>
      </x:c>
      <x:c r="G1711" s="46" t="str">
        <x:v>L2025-00012-1/(붙임1-2) 영문입찰계획서_Q-Lab_Chacala_Bid Data Sheet (BDS)_20250502.docx</x:v>
      </x:c>
      <x:c r="H1711" s="43" t="str">
        <x:v>표 3 행 13</x:v>
      </x:c>
      <x:c r="I1711" s="46" t="str">
        <x:v>ㅇ Project budget | USD 98,954.86 - Including VAT and other applicable indirect taxes. - Including provisional sums(2%) and safety management costs(0.5%).</x:v>
      </x:c>
      <x:c r="J1711" s="43" t="str">
        <x:v>자동추출·검토필요</x:v>
      </x:c>
    </x:row>
    <x:row r="1712">
      <x:c r="A1712" s="43" t="str">
        <x:v>L2025-00012-1</x:v>
      </x:c>
      <x:c r="B1712" s="43" t="str">
        <x:v>부가세·예비비</x:v>
      </x:c>
      <x:c r="C1712" s="46" t="str">
        <x:v>reserve</x:v>
      </x:c>
      <x:c r="D1712" s="46" t="str"/>
      <x:c r="E1712" s="46" t="str">
        <x:v>96,480.99 $</x:v>
      </x:c>
      <x:c r="F1712" s="46" t="str"/>
      <x:c r="G1712" s="46" t="str">
        <x:v>L2025-00012-1/(붙임1-2) 영문입찰계획서_Q-Lab_Chacala_Bid Data Sheet (BDS)_20250502.docx</x:v>
      </x:c>
      <x:c r="H1712" s="43" t="str">
        <x:v>표 6 행 2</x:v>
      </x:c>
      <x:c r="I1712" s="46" t="str">
        <x:v>Competitive Bidding Projects Based on Performance | Construction Performance for the Past 5 Years (Evaluated without distinction of industry) | Score = Performance Coefficient × 5 (However, the maximum performance limit is 5 points) ※ Performance Coefficient = Total Construction Performance Amount ÷ (Base Price of Reserve Price × 1/2) | Base Price = 96,480.99$</x:v>
      </x:c>
      <x:c r="J1712" s="43" t="str">
        <x:v>자동추출·검토필요</x:v>
      </x:c>
    </x:row>
    <x:row r="1713">
      <x:c r="A1713" s="43" t="str">
        <x:v>L2025-00012-1</x:v>
      </x:c>
      <x:c r="B1713" s="43" t="str">
        <x:v>부가세·예비비</x:v>
      </x:c>
      <x:c r="C1713" s="46" t="str">
        <x:v>vat, tax</x:v>
      </x:c>
      <x:c r="D1713" s="46" t="str"/>
      <x:c r="E1713" s="46" t="str">
        <x:v>USD 98,954.86</x:v>
      </x:c>
      <x:c r="F1713" s="46" t="str">
        <x:v>2% | 0.5%</x:v>
      </x:c>
      <x:c r="G1713" s="46" t="str">
        <x:v>L2025-00012-1/(붙임2) 입찰 관련 부속서류/Q-Lab_Chacala_Bidding Doc/Section 2._Q-Lab_Chacala_Bid Data Sheet (BDS)_20250502.docx</x:v>
      </x:c>
      <x:c r="H1713" s="43" t="str">
        <x:v>표 3 행 13</x:v>
      </x:c>
      <x:c r="I1713" s="46" t="str">
        <x:v>ㅇ Project budget | USD 98,954.86 - Including VAT and other applicable indirect taxes. - Including provisional sums(2%) and safety management costs(0.5%).</x:v>
      </x:c>
      <x:c r="J1713" s="43" t="str">
        <x:v>자동추출·검토필요</x:v>
      </x:c>
    </x:row>
    <x:row r="1714">
      <x:c r="A1714" s="43" t="str">
        <x:v>L2025-00012-1</x:v>
      </x:c>
      <x:c r="B1714" s="43" t="str">
        <x:v>부가세·예비비</x:v>
      </x:c>
      <x:c r="C1714" s="46" t="str">
        <x:v>reserve</x:v>
      </x:c>
      <x:c r="D1714" s="46" t="str"/>
      <x:c r="E1714" s="46" t="str">
        <x:v>96,480.99 $</x:v>
      </x:c>
      <x:c r="F1714" s="46" t="str"/>
      <x:c r="G1714" s="46" t="str">
        <x:v>L2025-00012-1/(붙임2) 입찰 관련 부속서류/Q-Lab_Chacala_Bidding Doc/Section 2._Q-Lab_Chacala_Bid Data Sheet (BDS)_20250502.docx</x:v>
      </x:c>
      <x:c r="H1714" s="43" t="str">
        <x:v>표 6 행 2</x:v>
      </x:c>
      <x:c r="I1714" s="46" t="str">
        <x:v>Competitive Bidding Projects Based on Performance | Construction Performance for the Past 5 Years (Evaluated without distinction of industry) | Score = Performance Coefficient × 5 (However, the maximum performance limit is 5 points) ※ Performance Coefficient = Total Construction Performance Amount ÷ (Base Price of Reserve Price × 1/2) | Base Price = 96,480.99$</x:v>
      </x:c>
      <x:c r="J1714" s="43" t="str">
        <x:v>자동추출·검토필요</x:v>
      </x:c>
    </x:row>
    <x:row r="1715">
      <x:c r="A1715" s="43" t="str">
        <x:v>L2025-00012-1</x:v>
      </x:c>
      <x:c r="B1715" s="43" t="str">
        <x:v>부가세·예비비</x:v>
      </x:c>
      <x:c r="C1715" s="46" t="str">
        <x:v>reserve</x:v>
      </x:c>
      <x:c r="D1715" s="46" t="str"/>
      <x:c r="E1715" s="46" t="str"/>
      <x:c r="F1715" s="46" t="str">
        <x:v>0.5%</x:v>
      </x:c>
      <x:c r="G1715" s="46" t="str">
        <x:v>L2025-00012-1/(붙임2) 입찰 관련 부속서류/Q-Lab_Chacala_Bidding Doc/Section 7. Q-Lab_Chacala_General Conditions of Contract.docx</x:v>
      </x:c>
      <x:c r="H1715" s="43" t="str">
        <x:v>표 4 행 109</x:v>
      </x:c>
      <x:c r="I1715"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715" s="43" t="str">
        <x:v>자동추출·검토필요</x:v>
      </x:c>
    </x:row>
    <x:row r="1716">
      <x:c r="A1716" s="43" t="str">
        <x:v>L2025-00012-1</x:v>
      </x:c>
      <x:c r="B1716" s="43" t="str">
        <x:v>부가세·예비비</x:v>
      </x:c>
      <x:c r="C1716" s="46" t="str">
        <x:v>reserve</x:v>
      </x:c>
      <x:c r="D1716" s="46" t="str"/>
      <x:c r="E1716" s="46" t="str"/>
      <x:c r="F1716" s="46" t="str">
        <x:v>50% | 50%</x:v>
      </x:c>
      <x:c r="G1716" s="46" t="str">
        <x:v>L2025-00012-1/(붙임2) 입찰 관련 부속서류/Q-Lab_Chacala_Bidding Doc/Section 7. Q-Lab_Chacala_General Conditions of Contract.docx</x:v>
      </x:c>
      <x:c r="H1716" s="43" t="str">
        <x:v>표 12 행 61</x:v>
      </x:c>
      <x:c r="I1716"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716" s="43" t="str">
        <x:v>자동추출·검토필요</x:v>
      </x:c>
    </x:row>
    <x:row r="1717">
      <x:c r="A1717" s="43" t="str">
        <x:v>L2025-00012-1</x:v>
      </x:c>
      <x:c r="B1717" s="43" t="str">
        <x:v>부가세·예비비</x:v>
      </x:c>
      <x:c r="C1717" s="46" t="str">
        <x:v>reserve</x:v>
      </x:c>
      <x:c r="D1717" s="46" t="str"/>
      <x:c r="E1717" s="46" t="str"/>
      <x:c r="F1717" s="46" t="str">
        <x:v>50% | 50%</x:v>
      </x:c>
      <x:c r="G1717" s="46" t="str">
        <x:v>L2025-00012-1/(붙임2) 입찰 관련 부속서류/Q-Lab_Chacala_Bidding Doc/Section 8. Q-Lab_Chacala_Specail Conditions of Contract.docx</x:v>
      </x:c>
      <x:c r="H1717" s="43" t="str">
        <x:v>표 1 행 4</x:v>
      </x:c>
      <x:c r="I1717" s="46" t="str">
        <x:v>Article 12.5 Payment of Reserves (c) | (ORIGINAL)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Suppose there is a part of the Construction Works for which the Contractor remains liable to repair any defects. In that case, the Employer shall be entitled to additionally reserve an amount equivalent to the costs required to repair such defects. (REVISED) This clause is modified in SCC as below. “The retention shall be returned after the end of the defect warranty period or when the Contractor submits a defect guarantee.” shall be applied.</x:v>
      </x:c>
      <x:c r="J1717" s="43" t="str">
        <x:v>자동추출·검토필요</x:v>
      </x:c>
    </x:row>
    <x:row r="1718">
      <x:c r="A1718" s="43" t="str">
        <x:v>L2025-00011-1</x:v>
      </x:c>
      <x:c r="B1718" s="43" t="str">
        <x:v>부가세·예비비</x:v>
      </x:c>
      <x:c r="C1718" s="46" t="str">
        <x:v>vat</x:v>
      </x:c>
      <x:c r="D1718" s="46" t="str"/>
      <x:c r="E1718" s="46" t="str">
        <x:v>USD 1,964,270</x:v>
      </x:c>
      <x:c r="F1718" s="46" t="str"/>
      <x:c r="G1718" s="46" t="str">
        <x:v>L2025-00011-1/1. Section 2 - Bid Data Sheet (국문) (수정).hwp</x:v>
      </x:c>
      <x:c r="H1718" s="43" t="str">
        <x:v>문단 98</x:v>
      </x:c>
      <x:c r="I1718" s="46" t="str">
        <x:v>USD 1,964,270 (VAT, GST 포함)</x:v>
      </x:c>
      <x:c r="J1718" s="43" t="str">
        <x:v>자동추출·검토필요</x:v>
      </x:c>
    </x:row>
    <x:row r="1719">
      <x:c r="A1719" s="43" t="str">
        <x:v>L2025-00011-1</x:v>
      </x:c>
      <x:c r="B1719" s="43" t="str">
        <x:v>부가세·예비비</x:v>
      </x:c>
      <x:c r="C1719" s="46" t="str">
        <x:v>예비비</x:v>
      </x:c>
      <x:c r="D1719" s="46" t="str"/>
      <x:c r="E1719" s="46" t="str"/>
      <x:c r="F1719" s="46" t="str">
        <x:v>0.5%</x:v>
      </x:c>
      <x:c r="G1719" s="46" t="str">
        <x:v>L2025-00011-1/1. Section 2 - Bid Data Sheet (국문) (수정).hwp</x:v>
      </x:c>
      <x:c r="H1719" s="43" t="str">
        <x:v>문단 225</x:v>
      </x:c>
      <x:c r="I1719" s="46" t="str">
        <x:v>- 총공사비 중 예비비 제외 금액 × 0.5% 이상을 고정투찰</x:v>
      </x:c>
      <x:c r="J1719" s="43" t="str">
        <x:v>자동추출·검토필요</x:v>
      </x:c>
    </x:row>
    <x:row r="1720">
      <x:c r="A1720" s="43" t="str">
        <x:v>L2025-00011-1</x:v>
      </x:c>
      <x:c r="B1720" s="43" t="str">
        <x:v>부가세·예비비</x:v>
      </x:c>
      <x:c r="C1720" s="46" t="str">
        <x:v>vat, tax</x:v>
      </x:c>
      <x:c r="D1720" s="46" t="str"/>
      <x:c r="E1720" s="46" t="str">
        <x:v>USD 1,964,270 | USD 1,964,270</x:v>
      </x:c>
      <x:c r="F1720" s="46" t="str"/>
      <x:c r="G1720" s="46" t="str">
        <x:v>L2025-00011-1/2. 영문 입찰서류(수정)/Section 2 - Bid Data Sheet.docx</x:v>
      </x:c>
      <x:c r="H1720" s="43" t="str">
        <x:v>표 4 행 14</x:v>
      </x:c>
      <x:c r="I1720" s="46" t="str">
        <x:v>․ Project Budget | USD 1,964,270 (included GST, VAT and other applicable indirect taxes) | USD 1,964,270 (included GST, VAT and other applicable indirect taxes)</x:v>
      </x:c>
      <x:c r="J1720" s="43" t="str">
        <x:v>자동추출·검토필요</x:v>
      </x:c>
    </x:row>
    <x:row r="1721">
      <x:c r="A1721" s="43" t="str">
        <x:v>L2025-00011-1</x:v>
      </x:c>
      <x:c r="B1721" s="43" t="str">
        <x:v>부가세·예비비</x:v>
      </x:c>
      <x:c r="C1721" s="46" t="str">
        <x:v>reserve</x:v>
      </x:c>
      <x:c r="D1721" s="46" t="str"/>
      <x:c r="E1721" s="46" t="str"/>
      <x:c r="F1721" s="46" t="str">
        <x:v>0.5%</x:v>
      </x:c>
      <x:c r="G1721" s="46" t="str">
        <x:v>L2025-00011-1/2. 영문 입찰서류(수정)/Section 7 - General Conditions of Cotnract.docx</x:v>
      </x:c>
      <x:c r="H1721" s="43" t="str">
        <x:v>표 5 행 109</x:v>
      </x:c>
      <x:c r="I1721"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721" s="43" t="str">
        <x:v>자동추출·검토필요</x:v>
      </x:c>
    </x:row>
    <x:row r="1722">
      <x:c r="A1722" s="43" t="str">
        <x:v>L2025-00011-1</x:v>
      </x:c>
      <x:c r="B1722" s="43" t="str">
        <x:v>부가세·예비비</x:v>
      </x:c>
      <x:c r="C1722" s="46" t="str">
        <x:v>reserve</x:v>
      </x:c>
      <x:c r="D1722" s="46" t="str"/>
      <x:c r="E1722" s="46" t="str"/>
      <x:c r="F1722" s="46" t="str">
        <x:v>50% | 50%</x:v>
      </x:c>
      <x:c r="G1722" s="46" t="str">
        <x:v>L2025-00011-1/2. 영문 입찰서류(수정)/Section 7 - General Conditions of Cotnract.docx</x:v>
      </x:c>
      <x:c r="H1722" s="43" t="str">
        <x:v>표 13 행 61</x:v>
      </x:c>
      <x:c r="I1722"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722" s="43" t="str">
        <x:v>자동추출·검토필요</x:v>
      </x:c>
    </x:row>
    <x:row r="1723">
      <x:c r="A1723" s="43" t="str">
        <x:v>L2025-00011-1</x:v>
      </x:c>
      <x:c r="B1723" s="43" t="str">
        <x:v>부가세·예비비</x:v>
      </x:c>
      <x:c r="C1723" s="46" t="str">
        <x:v>reserve</x:v>
      </x:c>
      <x:c r="D1723" s="46" t="str"/>
      <x:c r="E1723" s="46" t="str"/>
      <x:c r="F1723" s="46" t="str">
        <x:v>3% | 3%</x:v>
      </x:c>
      <x:c r="G1723" s="46" t="str">
        <x:v>L2025-00011-1/2. 영문 입찰서류(수정)/Section 8 - Special Conditions of Contract.docx</x:v>
      </x:c>
      <x:c r="H1723" s="43" t="str">
        <x:v>표 3 행 18</x:v>
      </x:c>
      <x:c r="I1723" s="46" t="str">
        <x:v>Security Deposit for Defects | 1)Rate: 3% of the Contract Price May be exempted if reserves are available 2)Guarantee Period: Not less than 2(two) years and 60(sixty) days after completion of the project | 1)Rate: 3% of the Contract Price May be exempted if reserves are available 2)Guarantee Period: Not less than 2(two) years and 60(sixty) days after completion of the project</x:v>
      </x:c>
      <x:c r="J1723" s="43" t="str">
        <x:v>자동추출·검토필요</x:v>
      </x:c>
    </x:row>
    <x:row r="1724">
      <x:c r="A1724" s="43" t="str">
        <x:v>L2025-00011-1</x:v>
      </x:c>
      <x:c r="B1724" s="43" t="str">
        <x:v>부가세·예비비</x:v>
      </x:c>
      <x:c r="C1724" s="46" t="str">
        <x:v>contingency</x:v>
      </x:c>
      <x:c r="D1724" s="46" t="str"/>
      <x:c r="E1724" s="46" t="str"/>
      <x:c r="F1724" s="46" t="str">
        <x:v>0.5%</x:v>
      </x:c>
      <x:c r="G1724" s="46" t="str">
        <x:v>L2025-00011-1/2. 영문 입찰서류(수정)/Section 8.1 - KOICA Safety Management Manual(ENG).pdf</x:v>
      </x:c>
      <x:c r="H1724" s="43" t="str">
        <x:v>페이지 14</x:v>
      </x:c>
      <x:c r="I1724" s="46" t="str">
        <x:v>4.1.3 KOICA should check that the bill of quantity (BoQ) consists of safety management costs (0.5% or more of the total construction costs, excluding non- contingency) as separate items. 5. Construction Procurement and Contracting 5.1 Provision of Information on Preparing Safety Management Plans 5.1.1 KOICA shall provide the following information for the contractor to formulate a safety management plan that reflects the distinctive features of the site conditions and the final design outcome: (1) Matters regarding the existence of asbestos or harmful substances such as chemical waste within the site; (2) Matters regarding access to the worksite such as railroads and busy roads adjacent to the site; (3) Matters regarding underground facilities and groundwater flows (4) Matters regarding adjacent buildings, structures, and trees that may cause a collapse; (5) Matters regarding land subsidence that may negatively affect structure; (6) Matters regarding obstacles or advantages for the installation of facilities or equipment within the site. 5.2 Review of Safety Management Plans 5.2.1 Review of Safety Management Plans (1) As for the safety management plan formulated by the contractor, K</x:v>
      </x:c>
      <x:c r="J1724" s="43" t="str">
        <x:v>자동추출·검토필요</x:v>
      </x:c>
    </x:row>
    <x:row r="1725">
      <x:c r="A1725" s="43" t="str">
        <x:v>L2025-00011-1</x:v>
      </x:c>
      <x:c r="B1725" s="43" t="str">
        <x:v>부가세·예비비</x:v>
      </x:c>
      <x:c r="C1725" s="46" t="str">
        <x:v>reserve</x:v>
      </x:c>
      <x:c r="D1725" s="46" t="str"/>
      <x:c r="E1725" s="46" t="str"/>
      <x:c r="F1725" s="46" t="str">
        <x:v>0.5%</x:v>
      </x:c>
      <x:c r="G1725" s="46" t="str">
        <x:v>L2025-00011-1/2. 영문 입찰서류(수정)/Section 8.1 - KOICA Safety Management Manual(ENG).pdf</x:v>
      </x:c>
      <x:c r="H1725" s="43" t="str">
        <x:v>페이지 18</x:v>
      </x:c>
      <x:c r="I1725" s="46" t="str">
        <x:v>(1) Amount subject to safety management expenses: Amount excluding reserve funding from the total construction expenses (2) Calculation method: Amount subject to safety management expenses x 0.5% or more (2) Payment of safety management expenses: The contractor shall file a claim for payment of safety management expenses to KOICA along with a confirmation as to the proper disbursement of the safety management expenses to match the purpose prescribed under the safety management plan made by the construction manager. 6. Construction 6.1 Verifying Observance of Safety Management Plans 6.1.1 KOICA shall verify the contractor’s proper performance of the safety management plan. However, if construction project management, similar to consigned supervision, is being implemented, KOICA may allow the construction manager to verify the performance of the safety management plan and file a report on their own. 6.1.2 If there are any issues pointed out by the review of the safety management plan under the immediately preceding paragraph, KOICA shall review said issues and request the contractor make corrections, if necessary. 6.2 Verifying Disbursement of Safety Management Expenses 6.2.1 KOICA s</x:v>
      </x:c>
      <x:c r="J1725" s="43" t="str">
        <x:v>자동추출·검토필요</x:v>
      </x:c>
    </x:row>
    <x:row r="1726">
      <x:c r="A1726" s="43" t="str">
        <x:v>L2025-00011-1</x:v>
      </x:c>
      <x:c r="B1726" s="43" t="str">
        <x:v>부가세·예비비</x:v>
      </x:c>
      <x:c r="C1726" s="46" t="str">
        <x:v>vat, reserve</x:v>
      </x:c>
      <x:c r="D1726" s="46" t="str"/>
      <x:c r="E1726" s="46" t="str"/>
      <x:c r="F1726" s="46" t="str">
        <x:v>0.5%</x:v>
      </x:c>
      <x:c r="G1726" s="46" t="str">
        <x:v>L2025-00011-1/2. 영문 입찰서류(수정)/Section 8.1 - KOICA Safety Management Manual(ENG).pdf</x:v>
      </x:c>
      <x:c r="H1726" s="43" t="str">
        <x:v>페이지 28</x:v>
      </x:c>
      <x:c r="I1726" s="46" t="str">
        <x:v>D. Steel structure works - An overview of materials, equipment, etc.; and detailed shop drawings; - The procedures and precautions for safe construction; - A safety inspection plan and a safety inspection checklist; - A calculation sheet for the safety of steel structures. E. Earth filling and cutting works (including earth dam works) - An overview of materials, equipment, etc.; and detailed shop drawings; - The procedures and precautions for safe construction; - A safety inspection plan and a safety inspection checklist; - A calculation sheet for safety. F. Demolition works - An overview of structures to be demolished, demolition methods, etc.; and detailed shop drawings; - A plan on the order of demolition, and on facilities and measures for safety, etc. G. Mechanical and electrical works: - An overview of materials, equipment, etc.; and detailed shop drawings; - The procedures and precautions for safe construction; - A safety inspection plan and a safety inspection checklist; - A calculation sheet for safety. 1.4 Creation of Safety Management Expense Spending Plans 1.4.1 The contractor shall make a spending plan for safety management expenses by adding expenses incurred in formu</x:v>
      </x:c>
      <x:c r="J1726" s="43" t="str">
        <x:v>자동추출·검토필요</x:v>
      </x:c>
    </x:row>
    <x:row r="1727">
      <x:c r="A1727" s="43" t="str">
        <x:v>L2025-00011-1</x:v>
      </x:c>
      <x:c r="B1727" s="43" t="str">
        <x:v>부가세·예비비</x:v>
      </x:c>
      <x:c r="C1727" s="46" t="str">
        <x:v>tax</x:v>
      </x:c>
      <x:c r="D1727" s="46" t="str"/>
      <x:c r="E1727" s="46" t="str"/>
      <x:c r="F1727" s="46" t="str">
        <x:v>50% | 50%</x:v>
      </x:c>
      <x:c r="G1727" s="46" t="str">
        <x:v>L2025-00011-1/3. KOICA 입찰 관련 규정 및 지침(사무소홈페이지 게시)/KOICA Regulations for International Procurement/KOICA Regulations for International Procurement(국제조달규정)_20190304.pdf</x:v>
      </x:c>
      <x:c r="H1727" s="43" t="str">
        <x:v>페이지 4</x:v>
      </x:c>
      <x:c r="I1727" s="46" t="str">
        <x:v>Tenders and the procedures prescribed in Section II of these Regulations shall apply. However, in accordance with Article 1(2) of these Regulations, KOICA may delegate or entrust its International Procurement duties related to the relevant Project to a KOICA Trustee; provided that such delegation or entrustment is recorded in writing. (3) For International Tenders, KOICA HQ shall be the Employer and the procedures prescribed in Section III of these Regulations shall apply. (4) Use of the procurement system of a Recipient Country shall be at the discretion of KOICA and the procedures prescribed in Section IV of these Regulations shall apply. Article 5 Eligibility (1) The Employer, the Bidder, and the Contracting Party must adhere to the highest standards of ethics in connection with tenders for and contracts of International Procurement. Accordingly, (a) if a selected Bidder is found to have been fraudulent or deceitful during the competitive bid process, the Employer shall be entitled to cancel such selection; and (b) if a Bidder or a Contracting Party is found to have been fraudulent or deceitful during a separate tender process or contracting process conducted by the Employer, KO</x:v>
      </x:c>
      <x:c r="J1727" s="43" t="str">
        <x:v>자동추출·검토필요</x:v>
      </x:c>
    </x:row>
    <x:row r="1728">
      <x:c r="A1728" s="43" t="str">
        <x:v>L2025-00011-1</x:v>
      </x:c>
      <x:c r="B1728" s="43" t="str">
        <x:v>부가세·예비비</x:v>
      </x:c>
      <x:c r="C1728" s="46" t="str">
        <x:v>vat</x:v>
      </x:c>
      <x:c r="D1728" s="46" t="str"/>
      <x:c r="E1728" s="46" t="str">
        <x:v>KRW 100 million | KRW 100 million | KRW 50 million</x:v>
      </x:c>
      <x:c r="F1728" s="46" t="str"/>
      <x:c r="G1728" s="46" t="str">
        <x:v>L2025-00011-1/3. KOICA 입찰 관련 규정 및 지침(사무소홈페이지 게시)/KOICA Regulations for International Procurement/Regulations for Procurement and Contract in Grant Aid Projects(대외무상협력사업에 관한 조달 및 계약규정)_20190520.pdf</x:v>
      </x:c>
      <x:c r="H1728" s="43" t="str">
        <x:v>페이지 15</x:v>
      </x:c>
      <x:c r="I1728" s="46" t="str">
        <x:v>works with an estimated price of KRW 100 million or less under other construction- related laws and regulations; manufacturing goods with an estimated price of KRW 100 million or less; &lt;Amended on Jan. 13, 2009&gt; 3. Contracts other than a contract for construction or manufacturing, or leases or rentals of goods, with an estimated price of KRW 50 million or less; &lt;Amended on Jan. 13, 2009&gt; 4. Products certified under Article 15 of the Industrial Standardization Act or standard products of excellent organizations under Article 25 of the same Act; &lt;Amended on Jan. 13, 2009, May 20, 2019&gt; 5. In a case of manufacture or purchase products conforming to the standards under Article 33 of the Act on the Promotion of Saving and Recycling of Resources; recycled products that have obtained quality certification pursuant to Article 17 (1) 3 of the Enforcement Decree of the Industrial Technology Innovation Promotion Act; products that have certified as eligible for the Environment Mark pursuant to Article 17 of the Environmental Technology and Industry Support Act; &lt;Amended on Jan. 13, 2009, Nov. 2, 2015, May 20, 2019&gt; 6. When manufacturing or purchasing goods designated or announced by the Minis</x:v>
      </x:c>
      <x:c r="J1728" s="43" t="str">
        <x:v>자동추출·검토필요</x:v>
      </x:c>
    </x:row>
    <x:row r="1729">
      <x:c r="A1729" s="43" t="str">
        <x:v>L2025-00011-1</x:v>
      </x:c>
      <x:c r="B1729" s="43" t="str">
        <x:v>부가세·예비비</x:v>
      </x:c>
      <x:c r="C1729" s="46" t="str">
        <x:v>reserve</x:v>
      </x:c>
      <x:c r="D1729" s="46" t="str"/>
      <x:c r="E1729" s="46" t="str">
        <x:v>USD 100,000.</x:v>
      </x:c>
      <x:c r="F1729" s="46" t="str">
        <x:v>200% | 200%</x:v>
      </x:c>
      <x:c r="G1729" s="46" t="str">
        <x:v>L2025-00011-1/3. KOICA 입찰 관련 규정 및 지침(사무소홈페이지 게시)/KOICA Regulations for International Procurement/Standard of Prequalification Criteria(입찰참가자격사전심사기준)_20130116.pdf</x:v>
      </x:c>
      <x:c r="H1729" s="43" t="str">
        <x:v>페이지 16</x:v>
      </x:c>
      <x:c r="I1729" s="46" t="str">
        <x:v>입찰참가자격 사전심사 기준 STANDARD OF PREQUALIFICATION CRITERIA of contracts for each tender. (e.g.) The debt ratio shall be not more than 200%, or the current ratio shall be at least 200%. 3) The capabilities to mobilize at least a certain amount of cash may be assessed based on the average balance in the relevant company's accounts in its principal transaction bank, cash reserves as at a certain time (e.g. as at the date of public notice for the tender), etc., and detailed eligibility criteria (period of owning the balance, the average balance, cash reserves, etc.) shall be set up by the official in charge of contracts for each tender. (e.g.) The cash reserves in its accounts of the principal transaction bank as of the base date for examination (date of public notice for the tender) shall be at least USD100,000. * In cases of joint implementation, only the representative may be examined. ② Average annual construction performance 1) Depending on tenders, the period for construction performance may be determined by the official in charge of contracts, but he/she shall be careful not to set an unduly short period as such period (A period of at least five years is desirable). 2) Depending on te</x:v>
      </x:c>
      <x:c r="J1729" s="43" t="str">
        <x:v>자동추출·검토필요</x:v>
      </x:c>
    </x:row>
    <x:row r="1730">
      <x:c r="A1730" s="43" t="str">
        <x:v>L2025-00010-1</x:v>
      </x:c>
      <x:c r="B1730" s="43" t="str">
        <x:v>부가세·예비비</x:v>
      </x:c>
      <x:c r="C1730" s="46" t="str">
        <x:v>tax</x:v>
      </x:c>
      <x:c r="D1730" s="46" t="str"/>
      <x:c r="E1730" s="46" t="str">
        <x:v>89,787 USD | 89,787 USD</x:v>
      </x:c>
      <x:c r="F1730" s="46" t="str">
        <x:v>18% | 18%</x:v>
      </x:c>
      <x:c r="G1730" s="46" t="str">
        <x:v>L2025-00010-1/붙임 2. 입찰서류(영문)_최종/Section 2 - Bid Data Sheet (BDS) HVCT_fin.docx</x:v>
      </x:c>
      <x:c r="H1730" s="43" t="str">
        <x:v>표 3 행 6</x:v>
      </x:c>
      <x:c r="I1730" s="46" t="str">
        <x:v>․ Bid Limit | 89,787USD (including value-added tax (18%) and other fees) | 89,787USD (including value-added tax (18%) and other fees)</x:v>
      </x:c>
      <x:c r="J1730" s="43" t="str">
        <x:v>자동추출·검토필요</x:v>
      </x:c>
    </x:row>
    <x:row r="1731">
      <x:c r="A1731" s="43" t="str">
        <x:v>L2025-00010-1</x:v>
      </x:c>
      <x:c r="B1731" s="43" t="str">
        <x:v>부가세·예비비</x:v>
      </x:c>
      <x:c r="C1731" s="46" t="str">
        <x:v>vat</x:v>
      </x:c>
      <x:c r="D1731" s="46" t="str">
        <x:v>480 m2 | 750 m2</x:v>
      </x:c>
      <x:c r="E1731" s="46" t="str"/>
      <x:c r="F1731" s="46" t="str"/>
      <x:c r="G1731" s="46" t="str">
        <x:v>L2025-00010-1/붙임 2. 입찰서류(영문)_최종/Section 4 - Terms of Reference (TOR) HVTC_fin.docx</x:v>
      </x:c>
      <x:c r="H1731" s="43" t="str">
        <x:v>문단 29</x:v>
      </x:c>
      <x:c r="I1731" s="46" t="str">
        <x:v>Established in 1991, KOICA (Korea International Corporation Agency) offering an official development assistance (ODA) program for the Korean Government in partnership with SUPERATE intends to renovate the existing community center for the Haina Vocational Training Center (HVTC). As a part of project implementation, the design of structural upgrade work has been completed in November 2024. To this effect, KOICA (the Employer) solicits an architectural firm (the Consultant) to work with the existing structure of space and surrounding environment to design functional, efficient, and aesthetic HVTC. On a current Gross Floor Area of approx. 480 m2 with a one-story vertical addition, KOICA and SUPERATE intend to create the 750 m2 HVTC that includes CCPP*, CDI*, and related facilities. The Consultant shall proceed with the architectural design based on the Structural Upgrade Package provided by the Employer. All items, including the structural upgrade, are part of the Consultant’s scope of work. The Terms of Reference (TOR) outline the scope of services, design process and guidelines, deliverables, and qualifications and responsibilities of the Consultant.</x:v>
      </x:c>
      <x:c r="J1731" s="43" t="str">
        <x:v>자동추출·검토필요</x:v>
      </x:c>
    </x:row>
    <x:row r="1732">
      <x:c r="A1732" s="43" t="str">
        <x:v>L2025-00010-1</x:v>
      </x:c>
      <x:c r="B1732" s="43" t="str">
        <x:v>부가세·예비비</x:v>
      </x:c>
      <x:c r="C1732" s="46" t="str">
        <x:v>contingency</x:v>
      </x:c>
      <x:c r="D1732" s="46" t="str"/>
      <x:c r="E1732" s="46" t="str"/>
      <x:c r="F1732" s="46" t="str">
        <x:v>5%</x:v>
      </x:c>
      <x:c r="G1732" s="46" t="str">
        <x:v>L2025-00010-1/붙임 2. 입찰서류(영문)_최종/Section 4 - Terms of Reference (TOR) HVTC_fin.docx</x:v>
      </x:c>
      <x:c r="H1732" s="43" t="str">
        <x:v>문단 139</x:v>
      </x:c>
      <x:c r="I1732" s="46" t="str">
        <x:v>Contingency shall be included in the BOQ (5% of total construction cost).</x:v>
      </x:c>
      <x:c r="J1732" s="43" t="str">
        <x:v>자동추출·검토필요</x:v>
      </x:c>
    </x:row>
    <x:row r="1733">
      <x:c r="A1733" s="43" t="str">
        <x:v>L2025-00010-1</x:v>
      </x:c>
      <x:c r="B1733" s="43" t="str">
        <x:v>부가세·예비비</x:v>
      </x:c>
      <x:c r="C1733" s="46" t="str">
        <x:v>tax</x:v>
      </x:c>
      <x:c r="D1733" s="46" t="str"/>
      <x:c r="E1733" s="46" t="str">
        <x:v>89,787 USD</x:v>
      </x:c>
      <x:c r="F1733" s="46" t="str">
        <x:v>18%</x:v>
      </x:c>
      <x:c r="G1733" s="46" t="str">
        <x:v>L2025-00010-1/붙임 3. 입찰공고 게시문_fin.docx</x:v>
      </x:c>
      <x:c r="H1733" s="43" t="str">
        <x:v>표 2 행 4</x:v>
      </x:c>
      <x:c r="I1733" s="46" t="str">
        <x:v>․ Project Budget | 89,787 USD (including value-added tax (18%) and other fees)</x:v>
      </x:c>
      <x:c r="J1733" s="43" t="str">
        <x:v>자동추출·검토필요</x:v>
      </x:c>
    </x:row>
    <x:row r="1734">
      <x:c r="A1734" s="43" t="str">
        <x:v>L2025-00009-1</x:v>
      </x:c>
      <x:c r="B1734" s="43" t="str">
        <x:v>부가세·예비비</x:v>
      </x:c>
      <x:c r="C1734" s="46" t="str">
        <x:v>tax</x:v>
      </x:c>
      <x:c r="D1734" s="46" t="str"/>
      <x:c r="E1734" s="46" t="str">
        <x:v>USD 130,000 | USD 130,000</x:v>
      </x:c>
      <x:c r="F1734" s="46" t="str"/>
      <x:c r="G1734" s="46" t="str">
        <x:v>L2025-00009-1/(붙임3) 입찰제반서류_공고문/Section 2 - Bid Data Sheet (BDS)_Peru San Juan Health Center_250303.docx</x:v>
      </x:c>
      <x:c r="H1734" s="43" t="str">
        <x:v>표 5 행 6</x:v>
      </x:c>
      <x:c r="I1734" s="46" t="str">
        <x:v>․ Bid Limit | USD 130,000 (including value-added taxes and other fees) | USD 130,000 (including value-added taxes and other fees)</x:v>
      </x:c>
      <x:c r="J1734" s="43" t="str">
        <x:v>자동추출·검토필요</x:v>
      </x:c>
    </x:row>
    <x:row r="1735">
      <x:c r="A1735" s="43" t="str">
        <x:v>L2025-00009-1</x:v>
      </x:c>
      <x:c r="B1735" s="43" t="str">
        <x:v>부가세·예비비</x:v>
      </x:c>
      <x:c r="C1735" s="46" t="str">
        <x:v>contingency</x:v>
      </x:c>
      <x:c r="D1735" s="46" t="str"/>
      <x:c r="E1735" s="46" t="str"/>
      <x:c r="F1735" s="46" t="str">
        <x:v>5%</x:v>
      </x:c>
      <x:c r="G1735" s="46" t="str">
        <x:v>L2025-00009-1/(붙임3) 입찰제반서류_공고문/Section 4 - Terms of Reference (TOR)_Peru San Juan Health Center_250303.docx</x:v>
      </x:c>
      <x:c r="H1735" s="43" t="str">
        <x:v>문단 143</x:v>
      </x:c>
      <x:c r="I1735" s="46" t="str">
        <x:v>Contingency shall be included in the BOQ (5% of total construction cost).</x:v>
      </x:c>
      <x:c r="J1735" s="43" t="str">
        <x:v>자동추출·검토필요</x:v>
      </x:c>
    </x:row>
    <x:row r="1736">
      <x:c r="A1736" s="43" t="str">
        <x:v>L2025-00008-1</x:v>
      </x:c>
      <x:c r="B1736" s="43" t="str">
        <x:v>부가세·예비비</x:v>
      </x:c>
      <x:c r="C1736" s="46" t="str">
        <x:v>vat, tax</x:v>
      </x:c>
      <x:c r="D1736" s="46" t="str"/>
      <x:c r="E1736" s="46" t="str">
        <x:v>USD 552,385 | USD 552,385</x:v>
      </x:c>
      <x:c r="F1736" s="46" t="str"/>
      <x:c r="G1736" s="46" t="str">
        <x:v>L2025-00008-1/Tender document full set_Kajiado_0219 rev/Section 2 - Bid Data Sheet (eng)_0219.docx</x:v>
      </x:c>
      <x:c r="H1736" s="43" t="str">
        <x:v>표 4 행 14</x:v>
      </x:c>
      <x:c r="I1736" s="46" t="str">
        <x:v>․ Project Budget | USD 552,385 (Be exclusive of VAT and other applicable indirect taxes) | USD 552,385 (Be exclusive of VAT and other applicable indirect taxes)</x:v>
      </x:c>
      <x:c r="J1736" s="43" t="str">
        <x:v>자동추출·검토필요</x:v>
      </x:c>
    </x:row>
    <x:row r="1737">
      <x:c r="A1737" s="43" t="str">
        <x:v>L2025-00008-1</x:v>
      </x:c>
      <x:c r="B1737" s="43" t="str">
        <x:v>부가세·예비비</x:v>
      </x:c>
      <x:c r="C1737" s="46" t="str">
        <x:v>reserve</x:v>
      </x:c>
      <x:c r="D1737" s="46" t="str"/>
      <x:c r="E1737" s="46" t="str"/>
      <x:c r="F1737" s="46" t="str">
        <x:v>0.5%</x:v>
      </x:c>
      <x:c r="G1737" s="46" t="str">
        <x:v>L2025-00008-1/Tender document full set_Kajiado_0219 rev/Section 7 - General Conditions of Contract.docx</x:v>
      </x:c>
      <x:c r="H1737" s="43" t="str">
        <x:v>표 4 행 109</x:v>
      </x:c>
      <x:c r="I1737"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737" s="43" t="str">
        <x:v>자동추출·검토필요</x:v>
      </x:c>
    </x:row>
    <x:row r="1738">
      <x:c r="A1738" s="43" t="str">
        <x:v>L2025-00008-1</x:v>
      </x:c>
      <x:c r="B1738" s="43" t="str">
        <x:v>부가세·예비비</x:v>
      </x:c>
      <x:c r="C1738" s="46" t="str">
        <x:v>reserve</x:v>
      </x:c>
      <x:c r="D1738" s="46" t="str"/>
      <x:c r="E1738" s="46" t="str"/>
      <x:c r="F1738" s="46" t="str">
        <x:v>50% | 50%</x:v>
      </x:c>
      <x:c r="G1738" s="46" t="str">
        <x:v>L2025-00008-1/Tender document full set_Kajiado_0219 rev/Section 7 - General Conditions of Contract.docx</x:v>
      </x:c>
      <x:c r="H1738" s="43" t="str">
        <x:v>표 12 행 61</x:v>
      </x:c>
      <x:c r="I1738"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738" s="43" t="str">
        <x:v>자동추출·검토필요</x:v>
      </x:c>
    </x:row>
    <x:row r="1739">
      <x:c r="A1739" s="43" t="str">
        <x:v>L2025-00007-2</x:v>
      </x:c>
      <x:c r="B1739" s="43" t="str">
        <x:v>부가세·예비비</x:v>
      </x:c>
      <x:c r="C1739" s="46" t="str">
        <x:v>vat, tax</x:v>
      </x:c>
      <x:c r="D1739" s="46" t="str"/>
      <x:c r="E1739" s="46" t="str">
        <x:v>USD 83,100</x:v>
      </x:c>
      <x:c r="F1739" s="46" t="str"/>
      <x:c r="G1739" s="46" t="str">
        <x:v>L2025-00007-2/붙임 2. 입찰 공고문(영문)/Section 2 - Bid Data Sheet (BDS)_MVC (Supervision)_20250404_┼¼╕░.docx</x:v>
      </x:c>
      <x:c r="H1739" s="43" t="str">
        <x:v>표 2 행 9</x:v>
      </x:c>
      <x:c r="I1739" s="46" t="str">
        <x:v>Max Bidding Price | USD 83,100 ((including VAT and other taxes)</x:v>
      </x:c>
      <x:c r="J1739" s="43" t="str">
        <x:v>자동추출·검토필요</x:v>
      </x:c>
    </x:row>
    <x:row r="1740">
      <x:c r="A1740" s="43" t="str">
        <x:v>L2025-00007-1</x:v>
      </x:c>
      <x:c r="B1740" s="43" t="str">
        <x:v>부가세·예비비</x:v>
      </x:c>
      <x:c r="C1740" s="46" t="str">
        <x:v>vat, tax</x:v>
      </x:c>
      <x:c r="D1740" s="46" t="str"/>
      <x:c r="E1740" s="46" t="str">
        <x:v>USD 83,100</x:v>
      </x:c>
      <x:c r="F1740" s="46" t="str"/>
      <x:c r="G1740" s="46" t="str">
        <x:v>L2025-00007-1/Section 2 - Bid Data Sheet (BDS)_MVC (Supervision)_20250224_클린_추가.docx</x:v>
      </x:c>
      <x:c r="H1740" s="43" t="str">
        <x:v>표 2 행 9</x:v>
      </x:c>
      <x:c r="I1740" s="46" t="str">
        <x:v>Max Bidding Price | USD 83,100 ((including VAT and other taxes)</x:v>
      </x:c>
      <x:c r="J1740" s="43" t="str">
        <x:v>자동추출·검토필요</x:v>
      </x:c>
    </x:row>
    <x:row r="1741">
      <x:c r="A1741" s="43" t="str">
        <x:v>L2025-00006-1</x:v>
      </x:c>
      <x:c r="B1741" s="43" t="str">
        <x:v>부가세·예비비</x:v>
      </x:c>
      <x:c r="C1741" s="46" t="str">
        <x:v>vat</x:v>
      </x:c>
      <x:c r="D1741" s="46" t="str"/>
      <x:c r="E1741" s="46" t="str">
        <x:v>USD 124,148</x:v>
      </x:c>
      <x:c r="F1741" s="46" t="str"/>
      <x:c r="G1741" s="46" t="str">
        <x:v>L2025-00006-1/상수도 설계 현지입찰 제반서류/(┼║└┌┤╧╛╞ ╗τ╣½╝╥) Section 2 - └╘┬√░°░φ╣« (BDS)_TZ Dodoma(RevC).hwp</x:v>
      </x:c>
      <x:c r="H1741" s="43" t="str">
        <x:v>문단 83</x:v>
      </x:c>
      <x:c r="I1741" s="46" t="str">
        <x:v>USD 124,148 (VAT 및 기타 제세금 포함)</x:v>
      </x:c>
      <x:c r="J1741" s="43" t="str">
        <x:v>자동추출·검토필요</x:v>
      </x:c>
    </x:row>
    <x:row r="1742">
      <x:c r="A1742" s="43" t="str">
        <x:v>L2025-00006-1</x:v>
      </x:c>
      <x:c r="B1742" s="43" t="str">
        <x:v>부가세·예비비</x:v>
      </x:c>
      <x:c r="C1742" s="46" t="str">
        <x:v>reserve</x:v>
      </x:c>
      <x:c r="D1742" s="46" t="str"/>
      <x:c r="E1742" s="46" t="str">
        <x:v>$ 5,912, 4.75</x:v>
      </x:c>
      <x:c r="F1742" s="46" t="str">
        <x:v>4.75%</x:v>
      </x:c>
      <x:c r="G1742" s="46" t="str">
        <x:v>L2025-00006-1/상수도 설계 현지입찰 제반서류/(┼║└┌┤╧╛╞ ╗τ╣½╝╥)Summary of Bidding (┐Σ╛α║╗)_TZ Dodoma(Draft).docx</x:v>
      </x:c>
      <x:c r="H1742" s="43" t="str">
        <x:v>문단 25</x:v>
      </x:c>
      <x:c r="I1742" s="46" t="str">
        <x:v>*A fixed bid of $5,912, 4.75% of the total contract amount, must be submitted as a reserve</x:v>
      </x:c>
      <x:c r="J1742" s="43" t="str">
        <x:v>자동추출·검토필요</x:v>
      </x:c>
    </x:row>
    <x:row r="1743">
      <x:c r="A1743" s="43" t="str">
        <x:v>L2025-00006-1</x:v>
      </x:c>
      <x:c r="B1743" s="43" t="str">
        <x:v>부가세·예비비</x:v>
      </x:c>
      <x:c r="C1743" s="46" t="str">
        <x:v>tax, reserve</x:v>
      </x:c>
      <x:c r="D1743" s="46" t="str"/>
      <x:c r="E1743" s="46" t="str">
        <x:v>USD 124,148 | $ 5,912,</x:v>
      </x:c>
      <x:c r="F1743" s="46" t="str">
        <x:v>4.75%</x:v>
      </x:c>
      <x:c r="G1743" s="46" t="str">
        <x:v>L2025-00006-1/상수도 설계 현지입찰 제반서류/(┼║└┌┤╧╛╞ ╗τ╣½╝╥)Summary of Bidding (┐Σ╛α║╗)_TZ Dodoma(Draft).docx</x:v>
      </x:c>
      <x:c r="H1743" s="43" t="str">
        <x:v>표 2 행 4</x:v>
      </x:c>
      <x:c r="I1743" s="46" t="str">
        <x:v>․ Project Budget | USD 124,148 (including value-added taxes and other fees) * A fixed bid of $5,912, which is 4.75% of the total contract amount, must be included and submitted as a reserve.</x:v>
      </x:c>
      <x:c r="J1743" s="43" t="str">
        <x:v>자동추출·검토필요</x:v>
      </x:c>
    </x:row>
    <x:row r="1744">
      <x:c r="A1744" s="43" t="str">
        <x:v>L2025-00006-1</x:v>
      </x:c>
      <x:c r="B1744" s="43" t="str">
        <x:v>부가세·예비비</x:v>
      </x:c>
      <x:c r="C1744" s="46" t="str">
        <x:v>tax</x:v>
      </x:c>
      <x:c r="D1744" s="46" t="str"/>
      <x:c r="E1744" s="46" t="str">
        <x:v>USD 124,148</x:v>
      </x:c>
      <x:c r="F1744" s="46" t="str"/>
      <x:c r="G1744" s="46" t="str">
        <x:v>L2025-00006-1/상수도 설계 현지입찰 제반서류/Section 5 - Terms of Reference - Incl SoW (Draft).docx</x:v>
      </x:c>
      <x:c r="H1744" s="43" t="str">
        <x:v>문단 49</x:v>
      </x:c>
      <x:c r="I1744" s="46" t="str">
        <x:v>USD 124,148 (including value-added taxes and other fees)</x:v>
      </x:c>
      <x:c r="J1744" s="43" t="str">
        <x:v>자동추출·검토필요</x:v>
      </x:c>
    </x:row>
    <x:row r="1745">
      <x:c r="A1745" s="43" t="str">
        <x:v>L2025-00006-1</x:v>
      </x:c>
      <x:c r="B1745" s="43" t="str">
        <x:v>부가세·예비비</x:v>
      </x:c>
      <x:c r="C1745" s="46" t="str">
        <x:v>reserve</x:v>
      </x:c>
      <x:c r="D1745" s="46" t="str"/>
      <x:c r="E1745" s="46" t="str">
        <x:v>$ 5,912, 4.75</x:v>
      </x:c>
      <x:c r="F1745" s="46" t="str">
        <x:v>4.75%</x:v>
      </x:c>
      <x:c r="G1745" s="46" t="str">
        <x:v>L2025-00006-1/상수도 설계 현지입찰 제반서류/Section 5 - Terms of Reference - Incl SoW (Draft).docx</x:v>
      </x:c>
      <x:c r="H1745" s="43" t="str">
        <x:v>문단 50</x:v>
      </x:c>
      <x:c r="I1745" s="46" t="str">
        <x:v>*A fixed bid of $5,912, 4.75% of the total contract amount, must be submitted as a reserve.</x:v>
      </x:c>
      <x:c r="J1745" s="43" t="str">
        <x:v>자동추출·검토필요</x:v>
      </x:c>
    </x:row>
    <x:row r="1746">
      <x:c r="A1746" s="43" t="str">
        <x:v>L2025-00003-2</x:v>
      </x:c>
      <x:c r="B1746" s="43" t="str">
        <x:v>부가세·예비비</x:v>
      </x:c>
      <x:c r="C1746" s="46" t="str">
        <x:v>vat, tax</x:v>
      </x:c>
      <x:c r="D1746" s="46" t="str"/>
      <x:c r="E1746" s="46" t="str">
        <x:v>USD 1,700,000 | USD 1,700,000</x:v>
      </x:c>
      <x:c r="F1746" s="46" t="str"/>
      <x:c r="G1746" s="46" t="str">
        <x:v>L2025-00003-2/[RE] (Bid Document) Digitalization of the Parliament/(Bid Document) Digitalization of the Parliament/Eng/ENG_Section 2 - Bid Data Sheet_Digitalization_Parliament.docx</x:v>
      </x:c>
      <x:c r="H1746" s="43" t="str">
        <x:v>표 5 행 14</x:v>
      </x:c>
      <x:c r="I1746" s="46" t="str">
        <x:v>․ Project Budget | USD 1,700,000 (Be exclusive of VAT and other applicable indirect taxes) | USD 1,700,000 (Be exclusive of VAT and other applicable indirect taxes)</x:v>
      </x:c>
      <x:c r="J1746" s="43" t="str">
        <x:v>자동추출·검토필요</x:v>
      </x:c>
    </x:row>
    <x:row r="1747">
      <x:c r="A1747" s="43" t="str">
        <x:v>L2025-00003-2</x:v>
      </x:c>
      <x:c r="B1747" s="43" t="str">
        <x:v>부가세·예비비</x:v>
      </x:c>
      <x:c r="C1747" s="46" t="str">
        <x:v>vat, tax, reserve</x:v>
      </x:c>
      <x:c r="D1747" s="46" t="str"/>
      <x:c r="E1747" s="46" t="str">
        <x:v>USD 1,642,498 | USD 1,642,498</x:v>
      </x:c>
      <x:c r="F1747" s="46" t="str">
        <x:v>0.5 % | 2.5% | 0.5 % | 2.5%</x:v>
      </x:c>
      <x:c r="G1747" s="46" t="str">
        <x:v>L2025-00003-2/[RE] (Bid Document) Digitalization of the Parliament/(Bid Document) Digitalization of the Parliament/Eng/ENG_Section 2 - Bid Data Sheet_Digitalization_Parliament.docx</x:v>
      </x:c>
      <x:c r="H1747" s="43" t="str">
        <x:v>표 5 행 15</x:v>
      </x:c>
      <x:c r="I1747" s="46" t="str">
        <x:v>․ Base Price | USD 1,642,498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USD 1,642,498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x:v>
      </x:c>
      <x:c r="J1747" s="43" t="str">
        <x:v>자동추출·검토필요</x:v>
      </x:c>
    </x:row>
    <x:row r="1748">
      <x:c r="A1748" s="43" t="str">
        <x:v>L2025-00003-2</x:v>
      </x:c>
      <x:c r="B1748" s="43" t="str">
        <x:v>부가세·예비비</x:v>
      </x:c>
      <x:c r="C1748" s="46" t="str">
        <x:v>reserve</x:v>
      </x:c>
      <x:c r="D1748" s="46" t="str"/>
      <x:c r="E1748" s="46" t="str"/>
      <x:c r="F1748" s="46" t="str">
        <x:v>5%</x:v>
      </x:c>
      <x:c r="G1748" s="46" t="str">
        <x:v>L2025-00003-2/[RE] (Bid Document) Digitalization of the Parliament/(Bid Document) Digitalization of the Parliament/Eng/ENG_Section 3 - Bidding_Forms_Digitalization_Parliament.doc</x:v>
      </x:c>
      <x:c r="H1748" s="43" t="str">
        <x:v>문단 51</x:v>
      </x:c>
      <x:c r="I1748" s="46" t="str">
        <x:v>3 Reserve for unforeseen work and expenses (5% of the sum (1) +(2))</x:v>
      </x:c>
      <x:c r="J1748" s="43" t="str">
        <x:v>자동추출·검토필요</x:v>
      </x:c>
    </x:row>
    <x:row r="1749">
      <x:c r="A1749" s="43" t="str">
        <x:v>L2025-00003-2</x:v>
      </x:c>
      <x:c r="B1749" s="43" t="str">
        <x:v>부가세·예비비</x:v>
      </x:c>
      <x:c r="C1749" s="46" t="str">
        <x:v>reserve</x:v>
      </x:c>
      <x:c r="D1749" s="46" t="str"/>
      <x:c r="E1749" s="46" t="str"/>
      <x:c r="F1749" s="46" t="str">
        <x:v>50%</x:v>
      </x:c>
      <x:c r="G1749" s="46" t="str">
        <x:v>L2025-00003-2/[RE] (Bid Document) Digitalization of the Parliament/(Bid Document) Digitalization of the Parliament/Eng/ENG_Section 4-6 - Requirements_Digitalization_Parliament.docx</x:v>
      </x:c>
      <x:c r="H1749" s="43" t="str">
        <x:v>문단 236</x:v>
      </x:c>
      <x:c r="I1749" s="46" t="str">
        <x:v>The proposer must design the circuit breaker with an appropriate capacity and include a reserve ratio of at least 50% in the proposal.</x:v>
      </x:c>
      <x:c r="J1749" s="43" t="str">
        <x:v>자동추출·검토필요</x:v>
      </x:c>
    </x:row>
    <x:row r="1750">
      <x:c r="A1750" s="43" t="str">
        <x:v>L2025-00003-2</x:v>
      </x:c>
      <x:c r="B1750" s="43" t="str">
        <x:v>부가세·예비비</x:v>
      </x:c>
      <x:c r="C1750" s="46" t="str">
        <x:v>reserve</x:v>
      </x:c>
      <x:c r="D1750" s="46" t="str"/>
      <x:c r="E1750" s="46" t="str"/>
      <x:c r="F1750" s="46" t="str">
        <x:v>0.5%</x:v>
      </x:c>
      <x:c r="G1750" s="46" t="str">
        <x:v>L2025-00003-2/[RE] (Bid Document) Digitalization of the Parliament/(Bid Document) Digitalization of the Parliament/Eng/ENG_Section 7 - General_Conditions_of_Contract_v1_Digitalization_Parliament.docx</x:v>
      </x:c>
      <x:c r="H1750" s="43" t="str">
        <x:v>표 4 행 109</x:v>
      </x:c>
      <x:c r="I1750"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 (iv) hereof must include details of how the Safety Management Costs will be utilized.</x:v>
      </x:c>
      <x:c r="J1750" s="43" t="str">
        <x:v>자동추출·검토필요</x:v>
      </x:c>
    </x:row>
    <x:row r="1751">
      <x:c r="A1751" s="43" t="str">
        <x:v>L2025-00003-2</x:v>
      </x:c>
      <x:c r="B1751" s="43" t="str">
        <x:v>부가세·예비비</x:v>
      </x:c>
      <x:c r="C1751" s="46" t="str">
        <x:v>reserve</x:v>
      </x:c>
      <x:c r="D1751" s="46" t="str"/>
      <x:c r="E1751" s="46" t="str"/>
      <x:c r="F1751" s="46" t="str">
        <x:v>50% | 50%</x:v>
      </x:c>
      <x:c r="G1751" s="46" t="str">
        <x:v>L2025-00003-2/[RE] (Bid Document) Digitalization of the Parliament/(Bid Document) Digitalization of the Parliament/Eng/ENG_Section 7 - General_Conditions_of_Contract_v1_Digitalization_Parliament.docx</x:v>
      </x:c>
      <x:c r="H1751" s="43" t="str">
        <x:v>표 12 행 61</x:v>
      </x:c>
      <x:c r="I1751"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751" s="43" t="str">
        <x:v>자동추출·검토필요</x:v>
      </x:c>
    </x:row>
    <x:row r="1752">
      <x:c r="A1752" s="43" t="str">
        <x:v>L2025-00003-1</x:v>
      </x:c>
      <x:c r="B1752" s="43" t="str">
        <x:v>부가세·예비비</x:v>
      </x:c>
      <x:c r="C1752" s="46" t="str">
        <x:v>vat, tax</x:v>
      </x:c>
      <x:c r="D1752" s="46" t="str"/>
      <x:c r="E1752" s="46" t="str">
        <x:v>USD 1,700,000 | USD 1,700,000</x:v>
      </x:c>
      <x:c r="F1752" s="46" t="str"/>
      <x:c r="G1752" s="46" t="str">
        <x:v>L2025-00003-1/Parliament Bidding Document (Eng, Rus)/Eng/ENG_Section 2 - Bid Data Sheet_Digitalization_Parliament.docx</x:v>
      </x:c>
      <x:c r="H1752" s="43" t="str">
        <x:v>표 5 행 14</x:v>
      </x:c>
      <x:c r="I1752" s="46" t="str">
        <x:v>․ Project Budget | USD 1,700,000 (Be exclusive of VAT and other applicable indirect taxes) | USD 1,700,000 (Be exclusive of VAT and other applicable indirect taxes)</x:v>
      </x:c>
      <x:c r="J1752" s="43" t="str">
        <x:v>자동추출·검토필요</x:v>
      </x:c>
    </x:row>
    <x:row r="1753">
      <x:c r="A1753" s="43" t="str">
        <x:v>L2025-00003-1</x:v>
      </x:c>
      <x:c r="B1753" s="43" t="str">
        <x:v>부가세·예비비</x:v>
      </x:c>
      <x:c r="C1753" s="46" t="str">
        <x:v>vat, tax, reserve</x:v>
      </x:c>
      <x:c r="D1753" s="46" t="str"/>
      <x:c r="E1753" s="46" t="str">
        <x:v>USD 1,642,498 | USD 1,642,498</x:v>
      </x:c>
      <x:c r="F1753" s="46" t="str">
        <x:v>0.5 % | 2.5% | 0.5 % | 2.5%</x:v>
      </x:c>
      <x:c r="G1753" s="46" t="str">
        <x:v>L2025-00003-1/Parliament Bidding Document (Eng, Rus)/Eng/ENG_Section 2 - Bid Data Sheet_Digitalization_Parliament.docx</x:v>
      </x:c>
      <x:c r="H1753" s="43" t="str">
        <x:v>표 5 행 15</x:v>
      </x:c>
      <x:c r="I1753" s="46" t="str">
        <x:v>․ Base Price | USD 1,642,498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USD 1,642,498 (Be exclusive of VAT and other applicable indirect taxes) The two(2) items below shall be added in the contract bid price which shall not be paid without the Employer’s approval. The balance of the below costs shall be returned on the completion of works. * Reserve for unforeseen work and expenses (Five(5)% of the construction cost) *The safety management cost (0.5 % of the construction cost) ※Special Requirements for the Estimated Price; The Bidders’ Price Prop</x:v>
      </x:c>
      <x:c r="J1753" s="43" t="str">
        <x:v>자동추출·검토필요</x:v>
      </x:c>
    </x:row>
    <x:row r="1754">
      <x:c r="A1754" s="43" t="str">
        <x:v>L2025-00003-1</x:v>
      </x:c>
      <x:c r="B1754" s="43" t="str">
        <x:v>부가세·예비비</x:v>
      </x:c>
      <x:c r="C1754" s="46" t="str">
        <x:v>reserve</x:v>
      </x:c>
      <x:c r="D1754" s="46" t="str"/>
      <x:c r="E1754" s="46" t="str"/>
      <x:c r="F1754" s="46" t="str">
        <x:v>5%</x:v>
      </x:c>
      <x:c r="G1754" s="46" t="str">
        <x:v>L2025-00003-1/Parliament Bidding Document (Eng, Rus)/Eng/ENG_Section 3 - Bidding_Forms_Digitalization_Parliament.doc</x:v>
      </x:c>
      <x:c r="H1754" s="43" t="str">
        <x:v>문단 51</x:v>
      </x:c>
      <x:c r="I1754" s="46" t="str">
        <x:v>3 Reserve for unforeseen work and expenses (5% of the sum (1) +(2))</x:v>
      </x:c>
      <x:c r="J1754" s="43" t="str">
        <x:v>자동추출·검토필요</x:v>
      </x:c>
    </x:row>
    <x:row r="1755">
      <x:c r="A1755" s="43" t="str">
        <x:v>L2025-00003-1</x:v>
      </x:c>
      <x:c r="B1755" s="43" t="str">
        <x:v>부가세·예비비</x:v>
      </x:c>
      <x:c r="C1755" s="46" t="str">
        <x:v>reserve</x:v>
      </x:c>
      <x:c r="D1755" s="46" t="str"/>
      <x:c r="E1755" s="46" t="str"/>
      <x:c r="F1755" s="46" t="str">
        <x:v>50%</x:v>
      </x:c>
      <x:c r="G1755" s="46" t="str">
        <x:v>L2025-00003-1/Parliament Bidding Document (Eng, Rus)/Eng/ENG_Section 4-6 - Requirements_Digitalization_Parliament.docx</x:v>
      </x:c>
      <x:c r="H1755" s="43" t="str">
        <x:v>문단 236</x:v>
      </x:c>
      <x:c r="I1755" s="46" t="str">
        <x:v>The proposer must design the circuit breaker with an appropriate capacity and include a reserve ratio of at least 50% in the proposal.</x:v>
      </x:c>
      <x:c r="J1755" s="43" t="str">
        <x:v>자동추출·검토필요</x:v>
      </x:c>
    </x:row>
    <x:row r="1756">
      <x:c r="A1756" s="43" t="str">
        <x:v>L2025-00003-1</x:v>
      </x:c>
      <x:c r="B1756" s="43" t="str">
        <x:v>부가세·예비비</x:v>
      </x:c>
      <x:c r="C1756" s="46" t="str">
        <x:v>reserve</x:v>
      </x:c>
      <x:c r="D1756" s="46" t="str"/>
      <x:c r="E1756" s="46" t="str"/>
      <x:c r="F1756" s="46" t="str">
        <x:v>0.5%</x:v>
      </x:c>
      <x:c r="G1756" s="46" t="str">
        <x:v>L2025-00003-1/Parliament Bidding Document (Eng, Rus)/Eng/ENG_Section 7 - General_Conditions_of_Contract_v1_Digitalization_Parliament.docx</x:v>
      </x:c>
      <x:c r="H1756" s="43" t="str">
        <x:v>표 4 행 109</x:v>
      </x:c>
      <x:c r="I1756"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 (iv) hereof must include details of how the Safety Management Costs will be utilized.</x:v>
      </x:c>
      <x:c r="J1756" s="43" t="str">
        <x:v>자동추출·검토필요</x:v>
      </x:c>
    </x:row>
    <x:row r="1757">
      <x:c r="A1757" s="43" t="str">
        <x:v>L2025-00003-1</x:v>
      </x:c>
      <x:c r="B1757" s="43" t="str">
        <x:v>부가세·예비비</x:v>
      </x:c>
      <x:c r="C1757" s="46" t="str">
        <x:v>reserve</x:v>
      </x:c>
      <x:c r="D1757" s="46" t="str"/>
      <x:c r="E1757" s="46" t="str"/>
      <x:c r="F1757" s="46" t="str">
        <x:v>50% | 50%</x:v>
      </x:c>
      <x:c r="G1757" s="46" t="str">
        <x:v>L2025-00003-1/Parliament Bidding Document (Eng, Rus)/Eng/ENG_Section 7 - General_Conditions_of_Contract_v1_Digitalization_Parliament.docx</x:v>
      </x:c>
      <x:c r="H1757" s="43" t="str">
        <x:v>표 12 행 61</x:v>
      </x:c>
      <x:c r="I1757"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757" s="43" t="str">
        <x:v>자동추출·검토필요</x:v>
      </x:c>
    </x:row>
    <x:row r="1758">
      <x:c r="A1758" s="43" t="str">
        <x:v>L2025-00002-1</x:v>
      </x:c>
      <x:c r="B1758" s="43" t="str">
        <x:v>부가세·예비비</x:v>
      </x:c>
      <x:c r="C1758" s="46" t="str">
        <x:v>vat, tax</x:v>
      </x:c>
      <x:c r="D1758" s="46" t="str"/>
      <x:c r="E1758" s="46" t="str">
        <x:v>USD 2,361,000</x:v>
      </x:c>
      <x:c r="F1758" s="46" t="str"/>
      <x:c r="G1758" s="46" t="str">
        <x:v>L2025-00002-1/Section 2 - Bid Data Sheet_Final.docx</x:v>
      </x:c>
      <x:c r="H1758" s="43" t="str">
        <x:v>표 4 행 14</x:v>
      </x:c>
      <x:c r="I1758" s="46" t="str">
        <x:v>․ Project Budget | USD 2,361,000 (Be exclusive of VAT and other applicable indirect taxes)</x:v>
      </x:c>
      <x:c r="J1758" s="43" t="str">
        <x:v>자동추출·검토필요</x:v>
      </x:c>
    </x:row>
    <x:row r="1759">
      <x:c r="A1759" s="43" t="str">
        <x:v>L2025-00002-1</x:v>
      </x:c>
      <x:c r="B1759" s="43" t="str">
        <x:v>부가세·예비비</x:v>
      </x:c>
      <x:c r="C1759" s="46" t="str">
        <x:v>vat, tax</x:v>
      </x:c>
      <x:c r="D1759" s="46" t="str">
        <x:v>2,571.00 m2 | 929.58 m2 | 2,457.53 m2</x:v>
      </x:c>
      <x:c r="E1759" s="46" t="str">
        <x:v>USD 2,361,000 | USD 2,337,390</x:v>
      </x:c>
      <x:c r="F1759" s="46" t="str"/>
      <x:c r="G1759" s="46" t="str">
        <x:v>L2025-00002-1/Section 2 - Bid Data Sheet_Final.pdf</x:v>
      </x:c>
      <x:c r="H1759" s="43" t="str">
        <x:v>페이지 6</x:v>
      </x:c>
      <x:c r="I1759" s="46" t="str">
        <x:v>A. Brief of Bidding ․ Invitation No. L2025-00002-1 Bidding for the General Contract for Construction Works of Cyber ․ Bid Title Security Vocational Center in Indonesia ․ Summary of Construction PSSN, Jl. Raya H. Usa, Putat Nutug, Kec. Ciseeng, Kabupaten - Location Bogor, Jawa Barat, Indonesia 16120 - Program Education - Site area 2,571.00m2 - Building area 929.58m2 - Gross floor area 2,457.53m2 3 Story Main building, 1 Story Ancillary Building with Basement - Building scale STPM - Structure RC 1) Structure, Architecture, Interior, MEPF, Civil, Landscape works 2) Connecting of Power, Telecom, Portable Water, Sewer Line, etc. - Scope of Works 3) Overall construction works based on the design 4) Providing the shop drawings and as-built drawings for the construction works - Scheduled Construction Period 13 months after commencement work Until 14 months from the date of signing the contract ․ Duration (Shall commence within 14 days from the date of signing the contract) ․ Project Budget USD 2,361,000 (Be exclusive of VAT and other applicable indirect taxes) USD 2,337,390(Final Estimated Price will be decided on the ․ Project Estimated Price bid opening) ○ Currency: United States Dollar </x:v>
      </x:c>
      <x:c r="J1759" s="43" t="str">
        <x:v>자동추출·검토필요</x:v>
      </x:c>
    </x:row>
    <x:row r="1760">
      <x:c r="A1760" s="43" t="str">
        <x:v>L2025-00002-1</x:v>
      </x:c>
      <x:c r="B1760" s="43" t="str">
        <x:v>부가세·예비비</x:v>
      </x:c>
      <x:c r="C1760" s="46" t="str">
        <x:v>tax, reserve</x:v>
      </x:c>
      <x:c r="D1760" s="46" t="str"/>
      <x:c r="E1760" s="46" t="str">
        <x:v>USD 1,000,000</x:v>
      </x:c>
      <x:c r="F1760" s="46" t="str">
        <x:v>86.745%</x:v>
      </x:c>
      <x:c r="G1760" s="46" t="str">
        <x:v>L2025-00002-1/Section 2 - Bid Data Sheet_Final.pdf</x:v>
      </x:c>
      <x:c r="H1760" s="43" t="str">
        <x:v>페이지 7</x:v>
      </x:c>
      <x:c r="I1760" s="46" t="str">
        <x:v>○ Based upon bid prices which shall be below the Estimated Price, but above the floor price of 86.745% of the Estimated Price, the Qualification Examination will be conducted. ○ Selection as successful bidder is determined, when the overall grade is higher than 95 points (the passing grade). ○ Qualification examination will be conducted in accordance with the ‘Standards of Qualification Examination for Selection of Constructor’ (July.6,2023). C. Bidders’ Qualifications (To be verify of legal qualification documents for construction) The Bidders must: 1. Have submitted a bid application on or before the Application Submission Deadline and been notified the qualified bidder. 2. Must be a legally registered company in applicable country and registered enterprise legally in Indonesia as of the deadline for submission of bids application. 3. Have a valid registration (by the authorities) to perform construction works in Indonesia as of the deadline for submission of bids application. ① Enterprise Registration License ➁ Business License in Construction ③ Tax Payment Certificate(2023) 4. Past performance (to be submitted an evidence) - Anyone interested in this bid shall have at least one</x:v>
      </x:c>
      <x:c r="J1760" s="43" t="str">
        <x:v>자동추출·검토필요</x:v>
      </x:c>
    </x:row>
    <x:row r="1761">
      <x:c r="A1761" s="43" t="str">
        <x:v>L2025-00002-1</x:v>
      </x:c>
      <x:c r="B1761" s="43" t="str">
        <x:v>부가세·예비비</x:v>
      </x:c>
      <x:c r="C1761" s="46" t="str">
        <x:v>tax</x:v>
      </x:c>
      <x:c r="D1761" s="46" t="str"/>
      <x:c r="E1761" s="46" t="str">
        <x:v>USD 1,000,000</x:v>
      </x:c>
      <x:c r="F1761" s="46" t="str">
        <x:v>5%</x:v>
      </x:c>
      <x:c r="G1761" s="46" t="str">
        <x:v>L2025-00002-1/Section 2 - Bid Data Sheet_Final.pdf</x:v>
      </x:c>
      <x:c r="H1761" s="43" t="str">
        <x:v>페이지 9</x:v>
      </x:c>
      <x:c r="I1761" s="46" t="str">
        <x:v>1. Application for bidding ○ Those who intend to participate in this bid shall submit the application via email (indonesia@koica.go.kr). - When the application is submitted, the title of email shall be the name of this bid. ○ Deadline: 17 Jan, 2025 / 17:00 ○ Email address: Indonesia@koica.go.kr ○ Required documents - Application (in the prescribed Section 3 Bid form-Annex 1) - Business registration certificate (Enterprise Registration License). - License, certificates or other equivalent qualification documents (Business License (Construction). - 2023 Tax payment Certificate - One or more evidence of Performance completed with bigger than contract amount USD1,000,000 similar to the content during last 5 years (2020-2024). - Legal documents that show the authenticity of signature or corporate seal. - Other documents required in this bid. ○ Only eligible applicants that have submitted applications to participate in the bid will be eligible to participate in this tender. You will be notified by email on 21 January whether you are eligible to participate in the tender. 2. Pre-Bid meeting: Not mandatory ○ Date: 23 Jan 2025, 10:00am ○ Place: KOICA Indonesia Office ○ Site visit - There wi</x:v>
      </x:c>
      <x:c r="J1761" s="43" t="str">
        <x:v>자동추출·검토필요</x:v>
      </x:c>
    </x:row>
    <x:row r="1762">
      <x:c r="A1762" s="43" t="str">
        <x:v>L2025-00002-1</x:v>
      </x:c>
      <x:c r="B1762" s="43" t="str">
        <x:v>부가세·예비비</x:v>
      </x:c>
      <x:c r="C1762" s="46" t="str">
        <x:v>tax</x:v>
      </x:c>
      <x:c r="D1762" s="46" t="str"/>
      <x:c r="E1762" s="46" t="str">
        <x:v>USD 2,361,000 | 13.7 USD</x:v>
      </x:c>
      <x:c r="F1762" s="46" t="str">
        <x:v>75% | 65% | 55% | 45% | 30% | 30%</x:v>
      </x:c>
      <x:c r="G1762" s="46" t="str">
        <x:v>L2025-00002-1/Section 2 - Bid Data Sheet_Final.pdf</x:v>
      </x:c>
      <x:c r="H1762" s="43" t="str">
        <x:v>페이지 14</x:v>
      </x:c>
      <x:c r="I1762" s="46" t="str">
        <x:v>Annex 1: Evaluation Criteria Evaluation Criteria Technical Ability Evaluation (30) + Price Evaluation (70) A. Technical Ability Evaluation (30) 1. Construction Experience (15) Construction Distribution (Score) Remarks Experience ⒜ Records of (Total amount of records of performance of the - Evaluation Base performance of the similar projects as the project concerned in the Price: USD 2,361,000 similar projects as the past five years / Evaluation Base Price) × 100 - Each project must project concerned in * scored on a percentage basis and given the have performed the past five years corresponding Grade similar projects of not (2020-2024) A: above 75%: 15.0 less than B: above 65%: 13.7 USD1,000,000 C: above 55%: 12.4 D: above 45%: 11.0 E: above 30%: 9.7 F: under 30%: 8.2 Conversion to US Dollars: Applies the exchange rate on the date of work completion (as published by Indonesia Central Bank, selling rate). ※ Documents (File: Section 3_Annex 4) ⒜ List and value of the contracts for the last five years of the similar projects plus client’s contract details (name and email address) who may be contacted for further information on those contracts. - Performance Project List ⒝ Performance </x:v>
      </x:c>
      <x:c r="J1762" s="43" t="str">
        <x:v>자동추출·검토필요</x:v>
      </x:c>
    </x:row>
    <x:row r="1763">
      <x:c r="A1763" s="43" t="str">
        <x:v>L2025-00002-1</x:v>
      </x:c>
      <x:c r="B1763" s="43" t="str">
        <x:v>부가세·예비비</x:v>
      </x:c>
      <x:c r="C1763" s="46" t="str">
        <x:v>vat, tax</x:v>
      </x:c>
      <x:c r="D1763" s="46" t="str"/>
      <x:c r="E1763" s="46" t="str"/>
      <x:c r="F1763" s="46" t="str">
        <x:v>5% | 15% | 30% | 0.05% | 15% | 15% | 3% | 5%</x:v>
      </x:c>
      <x:c r="G1763" s="46" t="str">
        <x:v>L2025-00002-1/Section 2 - Bid Data Sheet_Final.pdf</x:v>
      </x:c>
      <x:c r="H1763" s="43" t="str">
        <x:v>페이지 17</x:v>
      </x:c>
      <x:c r="I1763" s="46" t="str">
        <x:v>Annex 2: Summary of Contract Term &amp; Conditions Conditions of contract Item KOICA procurement Remark Contract Type Lump Sum Price Currency US Dollars Excluded All taxes VAT (refer to the Bidding Document for details) 5% of the proposed amount, Bank Guarantee, more than 30 Bidding Security days from submission date of bidding document 15% of Contract price, Bank Guarantee or Insurance Bond, more than 60 days after the completion of contract period, Performance Security Return on Taking-over Certificate date - It shall be submitted before contract signing Less than 30% of Contract price. After submission Advance Payment (more than 60 days from the day after the completion of of AP Bond contract period) Bank Guarantee or Insurance Bond, more than 60 days after AP. Bond the completion of contract period. Interim Payment Payment can be requested every two months 0.05% of contract amount/day and 15% of contract price at Liquidate Damages the maximum. (LD) In case of LD more than 15% of contract amount, the contract can be terminated. Escalation (Fluctuations in Price N/A and Exchange Rates) Defect Liability Period 2 years from the date Final Completion Date. Defect Liability 3% of Contrac</x:v>
      </x:c>
      <x:c r="J1763" s="43" t="str">
        <x:v>자동추출·검토필요</x:v>
      </x:c>
    </x:row>
    <x:row r="1764">
      <x:c r="A1764" s="43" t="str">
        <x:v>L2025-00002-1</x:v>
      </x:c>
      <x:c r="B1764" s="43" t="str">
        <x:v>부가세·예비비</x:v>
      </x:c>
      <x:c r="C1764" s="46" t="str">
        <x:v>reserve</x:v>
      </x:c>
      <x:c r="D1764" s="46" t="str"/>
      <x:c r="E1764" s="46" t="str"/>
      <x:c r="F1764" s="46" t="str">
        <x:v>0.5%</x:v>
      </x:c>
      <x:c r="G1764" s="46" t="str">
        <x:v>L2025-00002-1/Section 7 - General Conditions of Contract.docx</x:v>
      </x:c>
      <x:c r="H1764" s="43" t="str">
        <x:v>표 4 행 109</x:v>
      </x:c>
      <x:c r="I1764"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be utilized.</x:v>
      </x:c>
      <x:c r="J1764" s="43" t="str">
        <x:v>자동추출·검토필요</x:v>
      </x:c>
    </x:row>
    <x:row r="1765">
      <x:c r="A1765" s="43" t="str">
        <x:v>L2025-00002-1</x:v>
      </x:c>
      <x:c r="B1765" s="43" t="str">
        <x:v>부가세·예비비</x:v>
      </x:c>
      <x:c r="C1765" s="46" t="str">
        <x:v>reserve</x:v>
      </x:c>
      <x:c r="D1765" s="46" t="str"/>
      <x:c r="E1765" s="46" t="str"/>
      <x:c r="F1765" s="46" t="str">
        <x:v>50% | 50%</x:v>
      </x:c>
      <x:c r="G1765" s="46" t="str">
        <x:v>L2025-00002-1/Section 7 - General Conditions of Contract.docx</x:v>
      </x:c>
      <x:c r="H1765" s="43" t="str">
        <x:v>표 12 행 61</x:v>
      </x:c>
      <x:c r="I1765"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765" s="43" t="str">
        <x:v>자동추출·검토필요</x:v>
      </x:c>
    </x:row>
    <x:row r="1766">
      <x:c r="A1766" s="43" t="str">
        <x:v>L2024-00079-1</x:v>
      </x:c>
      <x:c r="B1766" s="43" t="str">
        <x:v>부가세·예비비</x:v>
      </x:c>
      <x:c r="C1766" s="46" t="str">
        <x:v>vat</x:v>
      </x:c>
      <x:c r="D1766" s="46" t="str"/>
      <x:c r="E1766" s="46" t="str">
        <x:v>USD 3,446,170</x:v>
      </x:c>
      <x:c r="F1766" s="46" t="str"/>
      <x:c r="G1766" s="46" t="str">
        <x:v>L2024-00079-1/2. 포카라시 녹색일자리 창출사업 시공사 선정 BID DOCUMENTS(영문)_241217.docx</x:v>
      </x:c>
      <x:c r="H1766" s="43" t="str">
        <x:v>표 5 행 14</x:v>
      </x:c>
      <x:c r="I1766" s="46" t="str">
        <x:v>․ Projected Estimated Price | USD 3,446,170(excluding VAT)</x:v>
      </x:c>
      <x:c r="J1766" s="43" t="str">
        <x:v>자동추출·검토필요</x:v>
      </x:c>
    </x:row>
    <x:row r="1767">
      <x:c r="A1767" s="43" t="str">
        <x:v>L2024-00078-1</x:v>
      </x:c>
      <x:c r="B1767" s="43" t="str">
        <x:v>부가세·예비비</x:v>
      </x:c>
      <x:c r="C1767" s="46" t="str">
        <x:v>예비비</x:v>
      </x:c>
      <x:c r="D1767" s="46" t="str"/>
      <x:c r="E1767" s="46" t="str">
        <x:v>USD 1,187,000</x:v>
      </x:c>
      <x:c r="F1767" s="46" t="str">
        <x:v>18% | 1% | 0.5%</x:v>
      </x:c>
      <x:c r="G1767" s="46" t="str">
        <x:v>L2024-00078-1/(241219) 입찰 계획서(국문)_CM, 조달 의견 반영_v05_클린.hwp</x:v>
      </x:c>
      <x:c r="H1767" s="43" t="str">
        <x:v>문단 83</x:v>
      </x:c>
      <x:c r="I1767" s="46" t="str">
        <x:v>ㅇ 집행 한도액 : USD 1,187,000 (18% 부가세 및 제비용 포함, 예비비 1%, 안전관리비 0.5% 포함)</x:v>
      </x:c>
      <x:c r="J1767" s="43" t="str">
        <x:v>자동추출·검토필요</x:v>
      </x:c>
    </x:row>
    <x:row r="1768">
      <x:c r="A1768" s="43" t="str">
        <x:v>L2024-00078-1</x:v>
      </x:c>
      <x:c r="B1768" s="43" t="str">
        <x:v>부가세·예비비</x:v>
      </x:c>
      <x:c r="C1768" s="46" t="str">
        <x:v>vat, tax</x:v>
      </x:c>
      <x:c r="D1768" s="46" t="str"/>
      <x:c r="E1768" s="46" t="str">
        <x:v>USD 1,187,000 | USD 1,187,000</x:v>
      </x:c>
      <x:c r="F1768" s="46" t="str">
        <x:v>0.5% | 0.5%</x:v>
      </x:c>
      <x:c r="G1768" s="46" t="str">
        <x:v>L2024-00078-1/★ Field Orientation Information.docx</x:v>
      </x:c>
      <x:c r="H1768" s="43" t="str">
        <x:v>표 1 행 11</x:v>
      </x:c>
      <x:c r="I1768" s="46" t="str">
        <x:v>Project Budget | USD 1,187,000 (including VAT and other taxes, 0.5% of safety management cost) | USD 1,187,000 (including VAT and other taxes, 0.5% of safety management cost)</x:v>
      </x:c>
      <x:c r="J1768" s="43" t="str">
        <x:v>자동추출·검토필요</x:v>
      </x:c>
    </x:row>
    <x:row r="1769">
      <x:c r="A1769" s="43" t="str">
        <x:v>L2024-00078-1</x:v>
      </x:c>
      <x:c r="B1769" s="43" t="str">
        <x:v>부가세·예비비</x:v>
      </x:c>
      <x:c r="C1769" s="46" t="str">
        <x:v>vat</x:v>
      </x:c>
      <x:c r="D1769" s="46" t="str"/>
      <x:c r="E1769" s="46" t="str">
        <x:v>KRW 420 billion</x:v>
      </x:c>
      <x:c r="F1769" s="46" t="str"/>
      <x:c r="G1769" s="46" t="str">
        <x:v>L2024-00078-1/0. Attachment_MVC (Construction)_fin/Attachment 1. KOICA Detailed Enforcement Rules of the Regulations for Procurement and Contract in Grant Aid Projects_20190503.pdf</x:v>
      </x:c>
      <x:c r="H1769" s="43" t="str">
        <x:v>페이지 61</x:v>
      </x:c>
      <x:c r="I1769"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1769" s="43" t="str">
        <x:v>자동추출·검토필요</x:v>
      </x:c>
    </x:row>
    <x:row r="1770">
      <x:c r="A1770" s="43" t="str">
        <x:v>L2024-00078-1</x:v>
      </x:c>
      <x:c r="B1770" s="43" t="str">
        <x:v>부가세·예비비</x:v>
      </x:c>
      <x:c r="C1770" s="46" t="str">
        <x:v>tax</x:v>
      </x:c>
      <x:c r="D1770" s="46" t="str"/>
      <x:c r="E1770" s="46" t="str"/>
      <x:c r="F1770" s="46" t="str">
        <x:v>50%</x:v>
      </x:c>
      <x:c r="G1770" s="46" t="str">
        <x:v>L2024-00078-1/0. Attachment_MVC (Construction)_fin/Attachment 1. KOICA Detailed Enforcement Rules of the Regulations for Procurement and Contract in Grant Aid Projects_20190503.pdf</x:v>
      </x:c>
      <x:c r="H1770" s="43" t="str">
        <x:v>페이지 90</x:v>
      </x:c>
      <x:c r="I1770" s="46" t="str">
        <x:v>[Form 8] Public Notice of a Tender Public Notice of a Tender The Korea International Cooperation Agency (KOICA) is an affiliate of the Ministry of Foreign Affairs and Trade in charge of the Grant Aid Project. As part of an economic cooperation project with developing countries, KOICA announces the following tenders to select (procure) (name of services or goods) for this (name of a project). 1. Public notice of a tender number: 2. Matters to be placed in the tender ① Name of the tendering: ② Details: Scope of services / Details of procured goods, etc. ※Refer to the appendix for details ③ Contract period: ④ Base Amount (estimated amount): (“zero” tax rate) 3. How to tender: General competitive tendering, limited competitive tendering 4. How to determine a successful tenderer: Lowest tender below Expected Maximum Price / Contract by negotiation/ Tendering in two-step competition 5. Qualification for participating in tendering: Those who have registered as KOICA's procurement partners. However, new companies shall register as procurement partners and participate in the tendering by the deadline for registration of tenders (registration of new companies is determined after reviewing re</x:v>
      </x:c>
      <x:c r="J1770" s="43" t="str">
        <x:v>자동추출·검토필요</x:v>
      </x:c>
    </x:row>
    <x:row r="1771">
      <x:c r="A1771" s="43" t="str">
        <x:v>L2024-00078-1</x:v>
      </x:c>
      <x:c r="B1771" s="43" t="str">
        <x:v>부가세·예비비</x:v>
      </x:c>
      <x:c r="C1771" s="46" t="str">
        <x:v>vat</x:v>
      </x:c>
      <x:c r="D1771" s="46" t="str"/>
      <x:c r="E1771" s="46" t="str">
        <x:v>KRW 10 billion</x:v>
      </x:c>
      <x:c r="F1771" s="46" t="str"/>
      <x:c r="G1771" s="46" t="str">
        <x:v>L2024-00078-1/0. Attachment_MVC (Construction)_fin/Attachment 1. KOICA Detailed Enforcement Rules of the Regulations for Procurement and Contract in Grant Aid Projects_20190503.pdf</x:v>
      </x:c>
      <x:c r="H1771" s="43" t="str">
        <x:v>페이지 94</x:v>
      </x:c>
      <x:c r="I1771" s="46" t="str">
        <x:v>Company Phone Number Company Name of No. Registration Participants Signature Name Representative Fax Number Number 1 2 3 4 5 Each of the above participants confirmed that the conditions for the above tendering have been amended as described above during at the time of the tendering presentation session; and each affirms that he/she fully understands the details of tendering-related matters such as instructions to tenderers, a request for proposal, and specifications are fully understood. Korea International Cooperation Agency [Form 12] Tender (Negotiation) Documents &lt;Amended on Jul. 20, 2017, Feb. 28, 2018&gt; Tender (Negotiation) Documents To Korea International Cooperation Agency Tender (Negotiation) Date and Time: . . . : I submit tender documents based upon the (international) construction, ((international) purchase of goods, (international) services)) tender instructions for the goods, construction, and service pursuant to the Detailed Enforcement Rules of the Regulations for Procurement and Contract in Grant Aid Projects with Public Notice of a Tender Number__. If this tender is accepted by your institution, I submit a tender proposal, affirming that the construction (goods, ser</x:v>
      </x:c>
      <x:c r="J1771" s="43" t="str">
        <x:v>자동추출·검토필요</x:v>
      </x:c>
    </x:row>
    <x:row r="1772">
      <x:c r="A1772" s="43" t="str">
        <x:v>L2024-00078-1</x:v>
      </x:c>
      <x:c r="B1772" s="43" t="str">
        <x:v>부가세·예비비</x:v>
      </x:c>
      <x:c r="C1772" s="46" t="str">
        <x:v>tax</x:v>
      </x:c>
      <x:c r="D1772" s="46" t="str"/>
      <x:c r="E1772" s="46" t="str"/>
      <x:c r="F1772" s="46" t="str">
        <x:v>50% | 50%</x:v>
      </x:c>
      <x:c r="G1772" s="46" t="str">
        <x:v>L2024-00078-1/0. Attachment_MVC (Construction)_fin/Attachment 2. KOICA Regulations for International Procurement_20190304.pdf</x:v>
      </x:c>
      <x:c r="H1772" s="43" t="str">
        <x:v>페이지 4</x:v>
      </x:c>
      <x:c r="I1772" s="46" t="str">
        <x:v>Tenders and the procedures prescribed in Section II of these Regulations shall apply. However, in accordance with Article 1(2) of these Regulations, KOICA may delegate or entrust its International Procurement duties related to the relevant Project to a KOICA Trustee; provided that such delegation or entrustment is recorded in writing. (3) For International Tenders, KOICA HQ shall be the Employer and the procedures prescribed in Section III of these Regulations shall apply. (4) Use of the procurement system of a Recipient Country shall be at the discretion of KOICA and the procedures prescribed in Section IV of these Regulations shall apply. Article 5 Eligibility (1) The Employer, the Bidder, and the Contracting Party must adhere to the highest standards of ethics in connection with tenders for and contracts of International Procurement. Accordingly, (a) if a selected Bidder is found to have been fraudulent or deceitful during the competitive bid process, the Employer shall be entitled to cancel such selection; and (b) if a Bidder or a Contracting Party is found to have been fraudulent or deceitful during a separate tender process or contracting process conducted by the Employer, KO</x:v>
      </x:c>
      <x:c r="J1772" s="43" t="str">
        <x:v>자동추출·검토필요</x:v>
      </x:c>
    </x:row>
    <x:row r="1773">
      <x:c r="A1773" s="43" t="str">
        <x:v>L2024-00078-1</x:v>
      </x:c>
      <x:c r="B1773" s="43" t="str">
        <x:v>부가세·예비비</x:v>
      </x:c>
      <x:c r="C1773" s="46" t="str">
        <x:v>vat</x:v>
      </x:c>
      <x:c r="D1773" s="46" t="str"/>
      <x:c r="E1773" s="46" t="str">
        <x:v>KRW 100 million | KRW 100 million | KRW 50 million</x:v>
      </x:c>
      <x:c r="F1773" s="46" t="str"/>
      <x:c r="G1773" s="46" t="str">
        <x:v>L2024-00078-1/0. Attachment_MVC (Construction)_fin/Attachment 3. KOICA Regulations for Procurement and Contract in Grant Aid Projects_20190520.pdf</x:v>
      </x:c>
      <x:c r="H1773" s="43" t="str">
        <x:v>페이지 15</x:v>
      </x:c>
      <x:c r="I1773" s="46" t="str">
        <x:v>works with an estimated price of KRW 100 million or less under other construction- related laws and regulations; manufacturing goods with an estimated price of KRW 100 million or less; &lt;Amended on Jan. 13, 2009&gt; 3. Contracts other than a contract for construction or manufacturing, or leases or rentals of goods, with an estimated price of KRW 50 million or less; &lt;Amended on Jan. 13, 2009&gt; 4. Products certified under Article 15 of the Industrial Standardization Act or standard products of excellent organizations under Article 25 of the same Act; &lt;Amended on Jan. 13, 2009, May 20, 2019&gt; 5. In a case of manufacture or purchase products conforming to the standards under Article 33 of the Act on the Promotion of Saving and Recycling of Resources; recycled products that have obtained quality certification pursuant to Article 17 (1) 3 of the Enforcement Decree of the Industrial Technology Innovation Promotion Act; products that have certified as eligible for the Environment Mark pursuant to Article 17 of the Environmental Technology and Industry Support Act; &lt;Amended on Jan. 13, 2009, Nov. 2, 2015, May 20, 2019&gt; 6. When manufacturing or purchasing goods designated or announced by the Minis</x:v>
      </x:c>
      <x:c r="J1773" s="43" t="str">
        <x:v>자동추출·검토필요</x:v>
      </x:c>
    </x:row>
    <x:row r="1774">
      <x:c r="A1774" s="43" t="str">
        <x:v>L2024-00078-1</x:v>
      </x:c>
      <x:c r="B1774" s="43" t="str">
        <x:v>부가세·예비비</x:v>
      </x:c>
      <x:c r="C1774" s="46" t="str">
        <x:v>contingency</x:v>
      </x:c>
      <x:c r="D1774" s="46" t="str"/>
      <x:c r="E1774" s="46" t="str"/>
      <x:c r="F1774" s="46" t="str">
        <x:v>0.5%</x:v>
      </x:c>
      <x:c r="G1774" s="46" t="str">
        <x:v>L2024-00078-1/0. Attachment_MVC (Construction)_fin/Attachment 4. KOICA Safety Management Manual(ENG).pdf</x:v>
      </x:c>
      <x:c r="H1774" s="43" t="str">
        <x:v>페이지 14</x:v>
      </x:c>
      <x:c r="I1774" s="46" t="str">
        <x:v>4.1.3 KOICA should check that the bill of quantity (BoQ) consists of safety management costs (0.5% or more of the total construction costs, excluding non- contingency) as separate items. 5. Construction Procurement and Contracting 5.1 Provision of Information on Preparing Safety Management Plans 5.1.1 KOICA shall provide the following information for the contractor to formulate a safety management plan that reflects the distinctive features of the site conditions and the final design outcome: (1) Matters regarding the existence of asbestos or harmful substances such as chemical waste within the site; (2) Matters regarding access to the worksite such as railroads and busy roads adjacent to the site; (3) Matters regarding underground facilities and groundwater flows (4) Matters regarding adjacent buildings, structures, and trees that may cause a collapse; (5) Matters regarding land subsidence that may negatively affect structure; (6) Matters regarding obstacles or advantages for the installation of facilities or equipment within the site. 5.2 Review of Safety Management Plans 5.2.1 Review of Safety Management Plans (1) As for the safety management plan formulated by the contractor, K</x:v>
      </x:c>
      <x:c r="J1774" s="43" t="str">
        <x:v>자동추출·검토필요</x:v>
      </x:c>
    </x:row>
    <x:row r="1775">
      <x:c r="A1775" s="43" t="str">
        <x:v>L2024-00078-1</x:v>
      </x:c>
      <x:c r="B1775" s="43" t="str">
        <x:v>부가세·예비비</x:v>
      </x:c>
      <x:c r="C1775" s="46" t="str">
        <x:v>reserve</x:v>
      </x:c>
      <x:c r="D1775" s="46" t="str"/>
      <x:c r="E1775" s="46" t="str"/>
      <x:c r="F1775" s="46" t="str">
        <x:v>0.5%</x:v>
      </x:c>
      <x:c r="G1775" s="46" t="str">
        <x:v>L2024-00078-1/0. Attachment_MVC (Construction)_fin/Attachment 4. KOICA Safety Management Manual(ENG).pdf</x:v>
      </x:c>
      <x:c r="H1775" s="43" t="str">
        <x:v>페이지 18</x:v>
      </x:c>
      <x:c r="I1775" s="46" t="str">
        <x:v>(1) Amount subject to safety management expenses: Amount excluding reserve funding from the total construction expenses (2) Calculation method: Amount subject to safety management expenses x 0.5% or more (2) Payment of safety management expenses: The contractor shall file a claim for payment of safety management expenses to KOICA along with a confirmation as to the proper disbursement of the safety management expenses to match the purpose prescribed under the safety management plan made by the construction manager. 6. Construction 6.1 Verifying Observance of Safety Management Plans 6.1.1 KOICA shall verify the contractor’s proper performance of the safety management plan. However, if construction project management, similar to consigned supervision, is being implemented, KOICA may allow the construction manager to verify the performance of the safety management plan and file a report on their own. 6.1.2 If there are any issues pointed out by the review of the safety management plan under the immediately preceding paragraph, KOICA shall review said issues and request the contractor make corrections, if necessary. 6.2 Verifying Disbursement of Safety Management Expenses 6.2.1 KOICA s</x:v>
      </x:c>
      <x:c r="J1775" s="43" t="str">
        <x:v>자동추출·검토필요</x:v>
      </x:c>
    </x:row>
    <x:row r="1776">
      <x:c r="A1776" s="43" t="str">
        <x:v>L2024-00078-1</x:v>
      </x:c>
      <x:c r="B1776" s="43" t="str">
        <x:v>부가세·예비비</x:v>
      </x:c>
      <x:c r="C1776" s="46" t="str">
        <x:v>vat, reserve</x:v>
      </x:c>
      <x:c r="D1776" s="46" t="str"/>
      <x:c r="E1776" s="46" t="str"/>
      <x:c r="F1776" s="46" t="str">
        <x:v>0.5%</x:v>
      </x:c>
      <x:c r="G1776" s="46" t="str">
        <x:v>L2024-00078-1/0. Attachment_MVC (Construction)_fin/Attachment 4. KOICA Safety Management Manual(ENG).pdf</x:v>
      </x:c>
      <x:c r="H1776" s="43" t="str">
        <x:v>페이지 28</x:v>
      </x:c>
      <x:c r="I1776" s="46" t="str">
        <x:v>D. Steel structure works - An overview of materials, equipment, etc.; and detailed shop drawings; - The procedures and precautions for safe construction; - A safety inspection plan and a safety inspection checklist; - A calculation sheet for the safety of steel structures. E. Earth filling and cutting works (including earth dam works) - An overview of materials, equipment, etc.; and detailed shop drawings; - The procedures and precautions for safe construction; - A safety inspection plan and a safety inspection checklist; - A calculation sheet for safety. F. Demolition works - An overview of structures to be demolished, demolition methods, etc.; and detailed shop drawings; - A plan on the order of demolition, and on facilities and measures for safety, etc. G. Mechanical and electrical works: - An overview of materials, equipment, etc.; and detailed shop drawings; - The procedures and precautions for safe construction; - A safety inspection plan and a safety inspection checklist; - A calculation sheet for safety. 1.4 Creation of Safety Management Expense Spending Plans 1.4.1 The contractor shall make a spending plan for safety management expenses by adding expenses incurred in formu</x:v>
      </x:c>
      <x:c r="J1776" s="43" t="str">
        <x:v>자동추출·검토필요</x:v>
      </x:c>
    </x:row>
    <x:row r="1777">
      <x:c r="A1777" s="43" t="str">
        <x:v>L2024-00078-1</x:v>
      </x:c>
      <x:c r="B1777" s="43" t="str">
        <x:v>부가세·예비비</x:v>
      </x:c>
      <x:c r="C1777" s="46" t="str">
        <x:v>vat</x:v>
      </x:c>
      <x:c r="D1777" s="46" t="str">
        <x:v>2,282.82 ㎡ | 936.2 ㎡</x:v>
      </x:c>
      <x:c r="E1777" s="46" t="str"/>
      <x:c r="F1777" s="46" t="str"/>
      <x:c r="G1777" s="46" t="str">
        <x:v>L2024-00078-1/0. Attachment_MVC (Construction)_fin/Attachment 5. Scope of Works_MVC Construction.pdf</x:v>
      </x:c>
      <x:c r="H1777" s="43" t="str">
        <x:v>페이지 1</x:v>
      </x:c>
      <x:c r="I1777" s="46" t="str">
        <x:v>[Attachment] Scope of Works Scope of Works 1. PROJECT INFORMATION. 1.1 Overview  KOICA (Korea International Cooperation Agency) requires a Contractor to provide construction services for the Construction of the Monte Cristi Vocational Training Center (MVC), Dominican Republic. The Monte Cristi Vocational Center facility will be owned and operated by Supérate. and will serve to strengthen educational capacity. 1.2 Summary of the Project  Project name: Monte Cristi Vocational Training Center (MVC), Dominican Republic.  Location: Calle Los Ceballos, Distrito Municipal Hatillo Palma del municipio Guayubín, Monte Cristi  Site area: 2,282.82㎡  Gross floor area: 936.2㎡  Program: a) CDI(Centro de Desarrollo Infantil) – Infant Care, Nursing, Lactation, Office. b) CSC(Centro de Superacion Comunitario) – Training Room (Multipurpose lecture, Sewing, IT, Beauty, and Cooking, Food process, etc.), Office, etc c) Utility Service Area (Transformer, Water pump, Water Tank, Outdoor gas station) 1.3 Description of Works  Building a) Structural, architectural works b) Mechanical works including plumbing, sanitary, ventilation and heating system, c) Electrical, communication works including telep</x:v>
      </x:c>
      <x:c r="J1777" s="43" t="str">
        <x:v>자동추출·검토필요</x:v>
      </x:c>
    </x:row>
    <x:row r="1778">
      <x:c r="A1778" s="43" t="str">
        <x:v>L2024-00078-1</x:v>
      </x:c>
      <x:c r="B1778" s="43" t="str">
        <x:v>부가세·예비비</x:v>
      </x:c>
      <x:c r="C1778" s="46" t="str">
        <x:v>contingency</x:v>
      </x:c>
      <x:c r="D1778" s="46" t="str"/>
      <x:c r="E1778" s="46" t="str"/>
      <x:c r="F1778" s="46" t="str">
        <x:v>0.5%</x:v>
      </x:c>
      <x:c r="G1778" s="46" t="str">
        <x:v>L2024-00078-1/Section 2 Bid data sheet_MVC Construction_v05_CLEAN.docx</x:v>
      </x:c>
      <x:c r="H1778" s="43" t="str">
        <x:v>문단 97</x:v>
      </x:c>
      <x:c r="I1778" s="46" t="str">
        <x:v>Include health and safety measure cost, which will be 0.5% of the total construction cost excluding contingency and the actual cost shall be settled at the final payment.</x:v>
      </x:c>
      <x:c r="J1778" s="43" t="str">
        <x:v>자동추출·검토필요</x:v>
      </x:c>
    </x:row>
    <x:row r="1779">
      <x:c r="A1779" s="43" t="str">
        <x:v>L2024-00078-1</x:v>
      </x:c>
      <x:c r="B1779" s="43" t="str">
        <x:v>부가세·예비비</x:v>
      </x:c>
      <x:c r="C1779" s="46" t="str">
        <x:v>vat, tax</x:v>
      </x:c>
      <x:c r="D1779" s="46" t="str"/>
      <x:c r="E1779" s="46" t="str">
        <x:v>USD 1,187,000 | USD 1,187,000</x:v>
      </x:c>
      <x:c r="F1779" s="46" t="str">
        <x:v>0.5% | 0.5%</x:v>
      </x:c>
      <x:c r="G1779" s="46" t="str">
        <x:v>L2024-00078-1/Section 2 Bid data sheet_MVC Construction_v05_CLEAN.docx</x:v>
      </x:c>
      <x:c r="H1779" s="43" t="str">
        <x:v>표 2 행 11</x:v>
      </x:c>
      <x:c r="I1779" s="46" t="str">
        <x:v>Project Budget | USD 1,187,000 (including VAT and other taxes, 0.5% of safety management cost) | USD 1,187,000 (including VAT and other taxes, 0.5% of safety management cost)</x:v>
      </x:c>
      <x:c r="J1779" s="43" t="str">
        <x:v>자동추출·검토필요</x:v>
      </x:c>
    </x:row>
    <x:row r="1780">
      <x:c r="A1780" s="43" t="str">
        <x:v>L2024-00078-1</x:v>
      </x:c>
      <x:c r="B1780" s="43" t="str">
        <x:v>부가세·예비비</x:v>
      </x:c>
      <x:c r="C1780" s="46" t="str">
        <x:v>vat</x:v>
      </x:c>
      <x:c r="D1780" s="46" t="str"/>
      <x:c r="E1780" s="46" t="str"/>
      <x:c r="F1780" s="46" t="str">
        <x:v>90%</x:v>
      </x:c>
      <x:c r="G1780" s="46" t="str">
        <x:v>L2024-00078-1/Section 6_Specification_fin/ARCH– LANDSCAPING FULL SPECIFICATIONS.pdf</x:v>
      </x:c>
      <x:c r="H1780" s="43" t="str">
        <x:v>페이지 6</x:v>
      </x:c>
      <x:c r="I1780" s="46" t="str">
        <x:v>1.3 PRODUCTS 1.3.1 MASONRY MATERIALS Masonry with unreinforced concrete blocks and reinforced masonry. The blocks to be used for the construction of the walls will be made of pressed and vibrated concrete; and shall have the dimensions indicated in the plans and specifications. They will be with the quality required by the standards, size, uniform texture, and well-defined edges. The Supervision may reject those blocks that, even meeting the load requirements, have an irregular and/or deformed appearance. BLOCK RESISTANCE A (f′b) (Based on gross area) TYPE USE OBSERVATION fʹb (Kg/cm 2) I Buildings that do not Industrialized blocks with quality control. 50 exceed 4 levels 60 II Buildings greater than 4 Industrialized blocks with quality control and at least 90% of ≥ 70 levels the tested pieces meet the minimum valueof this interval NOTE: Table taken from p. 14 of the Regulation DESIGN AND CONSTRUCTION OF BUILDINGS INSTRUCTURAL MASONRY R-027, Decree No.280-07, of the Ministry of Public Works and Communications (MOPC). - DESCRIPTION OF THE BLOCKS TO BE USED Hollow hydraulic concrete prism. Manufactured with cement, water, limestone aggregate, and a water-reducing additive. It has a le</x:v>
      </x:c>
      <x:c r="J1780" s="43" t="str">
        <x:v>자동추출·검토필요</x:v>
      </x:c>
    </x:row>
    <x:row r="1781">
      <x:c r="A1781" s="43" t="str">
        <x:v>L2024-00078-1</x:v>
      </x:c>
      <x:c r="B1781" s="43" t="str">
        <x:v>부가세·예비비</x:v>
      </x:c>
      <x:c r="C1781" s="46" t="str">
        <x:v>vat</x:v>
      </x:c>
      <x:c r="D1781" s="46" t="str"/>
      <x:c r="E1781" s="46" t="str"/>
      <x:c r="F1781" s="46" t="str">
        <x:v>95%</x:v>
      </x:c>
      <x:c r="G1781" s="46" t="str">
        <x:v>L2024-00078-1/Section 6_Specification_fin/CIVIL WORKS FULL SPECIFICATIONS.pdf</x:v>
      </x:c>
      <x:c r="H1781" s="43" t="str">
        <x:v>페이지 12</x:v>
      </x:c>
      <x:c r="I1781" s="46" t="str">
        <x:v>THE CONTRACTOR's offer or based on a detailed budget, reviewed and approved by THE SUPERVISOR. THE CONTRACTOR must take the necessary precautions to evacuate the cold and rain water from the excavation areas and must keep these dry and in optimal clean conditions to allow proper placement of the steel reinforcement and the pouring of concrete. Once the construction of the foundation plates and beams and the installation of electromechanical pipes and ducts has been completed, THE CONTRACTOR must again fill the excavated areas and trenches with select material, compacted with mechanical equipment in layers no thicker than 200 mm, to reach a degree of 95% Modified Proctor in each layer. 5. COMPACTED BASE OF SELECTED GRANULAR MATERIAL. THE CONTRACTOR must place the required base for the foundations, the base for the floor topping slabs, it will be delivered with the earthwork. Likewise, where appropriate, you must rectify the levels and slopes of the base to bring the finished floor, once the concrete and topping slabs have been built and the finishes have been placed, at the levels indicated on the plans. Therefore, THE CONTRACTOR must, in applicable cases, supply and compact the sel</x:v>
      </x:c>
      <x:c r="J1781" s="43" t="str">
        <x:v>자동추출·검토필요</x:v>
      </x:c>
    </x:row>
    <x:row r="1782">
      <x:c r="A1782" s="43" t="str">
        <x:v>L2024-00078-1</x:v>
      </x:c>
      <x:c r="B1782" s="43" t="str">
        <x:v>부가세·예비비</x:v>
      </x:c>
      <x:c r="C1782" s="46" t="str">
        <x:v>reserve</x:v>
      </x:c>
      <x:c r="D1782" s="46" t="str"/>
      <x:c r="E1782" s="46" t="str"/>
      <x:c r="F1782" s="46" t="str">
        <x:v>5%</x:v>
      </x:c>
      <x:c r="G1782" s="46" t="str">
        <x:v>L2024-00078-1/Section 6_Specification_fin/HYDROSANITARY FULL SPECIFICATIONS.pdf</x:v>
      </x:c>
      <x:c r="H1782" s="43" t="str">
        <x:v>페이지 5</x:v>
      </x:c>
      <x:c r="I1782" s="46" t="str">
        <x:v>1. GENERAL. This chapter contains the provisions to be applied for the execution of sanitary installation works, which will be carried out following the provisions of the "Provisional Recommendations for Sanitary Installations in Buildings", prepared by the General Directorate of Regulations and Systems of the Ministry of Public Works and Communications and according to the plans and specifications of the project. The Contractor will be responsible for all plumbing works, which will be carried out by an experienced plumber. The contractor company must provide for the installation of reserves and forecasts that allow it to pass its pipes before pouring the elements into the reinforced concrete. No type of drilling will be accepted after the concrete elements have been poured. At the end of the works of all the sanitary installations, the contractor must provide all the plans of the works executed. The contractor will have a retention of 5% of the total amount of the sanitary facilities until the plans are delivered. All equipment and materials placed on the site must have the approval of the Supervisor. Any material or material not under the approval will be rejected at the expense </x:v>
      </x:c>
      <x:c r="J1782" s="43" t="str">
        <x:v>자동추출·검토필요</x:v>
      </x:c>
    </x:row>
    <x:row r="1783">
      <x:c r="A1783" s="43" t="str">
        <x:v>L2024-00078-1</x:v>
      </x:c>
      <x:c r="B1783" s="43" t="str">
        <x:v>부가세·예비비</x:v>
      </x:c>
      <x:c r="C1783" s="46" t="str">
        <x:v>vat</x:v>
      </x:c>
      <x:c r="D1783" s="46" t="str"/>
      <x:c r="E1783" s="46" t="str"/>
      <x:c r="F1783" s="46" t="str">
        <x:v>10% | 93% | 10% | 93%</x:v>
      </x:c>
      <x:c r="G1783" s="46" t="str">
        <x:v>L2024-00078-1/Section 6_Specification_fin/HYDROSANITARY FULL SPECIFICATIONS.pdf</x:v>
      </x:c>
      <x:c r="H1783" s="43" t="str">
        <x:v>페이지 24</x:v>
      </x:c>
      <x:c r="I1783" s="46" t="str">
        <x:v>memory plus a separate file of 200 alarms. • Field programmable directly at the control panel or with a PC • Full QWERTY keyboard 5.8.2.PHOTOELECTRIC SMOKE DETECTOR (SIMILAR TO SD365) • Noise-immune addressable analog communication • Two-wire SLC connection • Compatible with the Flash Scan protocol • Decimal addressing 1 – 159 • Two-color visible LED • Remote test function from the control panel • Walk test with direction on the screen • Built-in test switch activated by external magnet • Constructed of fire-resistant plastic • Operating temperature range: 0°C to 49°C • Relative humidity: 10%-93% non-condensing • Operating voltage range: 15 – 32 Vdc 5.9 MULTI-CRITERIA FIRE DETECTOR (SIMILAR TO ES-50X FIRELITE) • Addressable detector • Compatible with the Flash Scan protocol • Six sensitivity levels • Carbon monoxide detection • Infrared detection • • Automatic smoke and carbon monoxide sensor compensation • Visible indication led and controllable from the panel • Integrated test switch • Combines four sensing elements in a single unit: electrochemical, photoelectric, infrared and thermal sensor. • Constructed of fire-resistant plastic • Operating temperature range: 0°C to 38°C • Re</x:v>
      </x:c>
      <x:c r="J1783" s="43" t="str">
        <x:v>자동추출·검토필요</x:v>
      </x:c>
    </x:row>
    <x:row r="1784">
      <x:c r="A1784" s="43" t="str">
        <x:v>L2024-00078-1</x:v>
      </x:c>
      <x:c r="B1784" s="43" t="str">
        <x:v>부가세·예비비</x:v>
      </x:c>
      <x:c r="C1784" s="46" t="str">
        <x:v>vat</x:v>
      </x:c>
      <x:c r="D1784" s="46" t="str"/>
      <x:c r="E1784" s="46" t="str"/>
      <x:c r="F1784" s="46" t="str">
        <x:v>10% | 93% | 10% | 93% | 10% | 93%</x:v>
      </x:c>
      <x:c r="G1784" s="46" t="str">
        <x:v>L2024-00078-1/Section 6_Specification_fin/HYDROSANITARY FULL SPECIFICATIONS.pdf</x:v>
      </x:c>
      <x:c r="H1784" s="43" t="str">
        <x:v>페이지 25</x:v>
      </x:c>
      <x:c r="I1784" s="46" t="str">
        <x:v>5.9.1.BASE FOR DETECTORS • Six sensitivity levels • Constructed of fire-resistant plastic • Operating temperature range: -20°C to 66°C • Relative humidity: 10%-93% non-condensing • Operating voltage range: 15 – 32 Vdc • Wire Gauge: 12 – 24 AWG • Diameter: 6.1" (155mm) 5.9.2.ADDRESSABLE MANUAL CALL POINT • Addressable button • Compatible with the Flash Scan protocol • Integrated two-color LED • When activated, it stays in the activated position • Semi flush surface mounting • Key restore / disarm • Constructed of fire-resistant plastic • Operating temperature range: 0°C to 49°C • Relative humidity: 10%-93% non-condensing • Operating voltage: 24 Vdc 5.9.3.EVACUATION SIREN • Addressable siren • Compatible with the Flash Scan protocol • Strobe light • Switch for voltage selection • Universal mounting base for ceiling or wall • NEMA 4X, IP56 • Constructed of fire-resistant plastic • Operating temperature range: -40°C to 66°C • Relative humidity: 10%-93% non-condensing • Operating voltage: 24 Vdc</x:v>
      </x:c>
      <x:c r="J1784" s="43" t="str">
        <x:v>자동추출·검토필요</x:v>
      </x:c>
    </x:row>
    <x:row r="1785">
      <x:c r="A1785" s="43" t="str">
        <x:v>L2024-00078-1</x:v>
      </x:c>
      <x:c r="B1785" s="43" t="str">
        <x:v>부가세·예비비</x:v>
      </x:c>
      <x:c r="C1785" s="46" t="str">
        <x:v>reserve</x:v>
      </x:c>
      <x:c r="D1785" s="46" t="str"/>
      <x:c r="E1785" s="46" t="str"/>
      <x:c r="F1785" s="46" t="str">
        <x:v>0.5%</x:v>
      </x:c>
      <x:c r="G1785" s="46" t="str">
        <x:v>L2024-00078-1/Section 7 General Conditions_MVC Construction_v05_CLEAN.docx</x:v>
      </x:c>
      <x:c r="H1785" s="43" t="str">
        <x:v>표 4 행 109</x:v>
      </x:c>
      <x:c r="I1785"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utilized.</x:v>
      </x:c>
      <x:c r="J1785" s="43" t="str">
        <x:v>자동추출·검토필요</x:v>
      </x:c>
    </x:row>
    <x:row r="1786">
      <x:c r="A1786" s="43" t="str">
        <x:v>L2024-00078-1</x:v>
      </x:c>
      <x:c r="B1786" s="43" t="str">
        <x:v>부가세·예비비</x:v>
      </x:c>
      <x:c r="C1786" s="46" t="str">
        <x:v>reserve</x:v>
      </x:c>
      <x:c r="D1786" s="46" t="str"/>
      <x:c r="E1786" s="46" t="str"/>
      <x:c r="F1786" s="46" t="str">
        <x:v>50% | 50%</x:v>
      </x:c>
      <x:c r="G1786" s="46" t="str">
        <x:v>L2024-00078-1/Section 7 General Conditions_MVC Construction_v05_CLEAN.docx</x:v>
      </x:c>
      <x:c r="H1786" s="43" t="str">
        <x:v>표 12 행 61</x:v>
      </x:c>
      <x:c r="I1786"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786" s="43" t="str">
        <x:v>자동추출·검토필요</x:v>
      </x:c>
    </x:row>
    <x:row r="1787">
      <x:c r="A1787" s="43" t="str">
        <x:v>L2024-00078-1</x:v>
      </x:c>
      <x:c r="B1787" s="43" t="str">
        <x:v>부가세·예비비</x:v>
      </x:c>
      <x:c r="C1787" s="46" t="str">
        <x:v>reserve</x:v>
      </x:c>
      <x:c r="D1787" s="46" t="str"/>
      <x:c r="E1787" s="46" t="str"/>
      <x:c r="F1787" s="46" t="str">
        <x:v>3%</x:v>
      </x:c>
      <x:c r="G1787" s="46" t="str">
        <x:v>L2024-00078-1/Section 8 Special Conditions_MVC Construction_v05_CLEAN.docx</x:v>
      </x:c>
      <x:c r="H1787" s="43" t="str">
        <x:v>표 2 행 4</x:v>
      </x:c>
      <x:c r="I1787" s="46" t="str">
        <x:v>GCC 12.5 (d) | Reserves will be returned when Contractor submit the defect warranty security after the Taking Over Certificate is issued by Employer. Defect warranty security shall cover 3% of the contract price, and shall guarantee more than the warranty period (2 years) plus 60 days</x:v>
      </x:c>
      <x:c r="J1787" s="43" t="str">
        <x:v>자동추출·검토필요</x:v>
      </x:c>
    </x:row>
    <x:row r="1788">
      <x:c r="A1788" s="43" t="str">
        <x:v>L2024-00075-1</x:v>
      </x:c>
      <x:c r="B1788" s="43" t="str">
        <x:v>부가세·예비비</x:v>
      </x:c>
      <x:c r="C1788" s="46" t="str">
        <x:v>vat, tax</x:v>
      </x:c>
      <x:c r="D1788" s="46" t="str"/>
      <x:c r="E1788" s="46" t="str">
        <x:v>USD 624,034 | USD 624,034</x:v>
      </x:c>
      <x:c r="F1788" s="46" t="str"/>
      <x:c r="G1788" s="46" t="str">
        <x:v>L2024-00075-1/Section 2 - Bid Data Sheet (영문)_수정_1118.docx</x:v>
      </x:c>
      <x:c r="H1788" s="43" t="str">
        <x:v>표 4 행 14</x:v>
      </x:c>
      <x:c r="I1788" s="46" t="str">
        <x:v>․ Project Budget | USD 624,034 (Be exclusive of VAT and other applicable indirect taxes) | USD 624,034 (Be exclusive of VAT and other applicable indirect taxes)</x:v>
      </x:c>
      <x:c r="J1788" s="43" t="str">
        <x:v>자동추출·검토필요</x:v>
      </x:c>
    </x:row>
    <x:row r="1789">
      <x:c r="A1789" s="43" t="str">
        <x:v>L2024-00075-1</x:v>
      </x:c>
      <x:c r="B1789" s="43" t="str">
        <x:v>부가세·예비비</x:v>
      </x:c>
      <x:c r="C1789" s="46" t="str">
        <x:v>vat, tax</x:v>
      </x:c>
      <x:c r="D1789" s="46" t="str"/>
      <x:c r="E1789" s="46" t="str">
        <x:v>USD 608,433 | USD 608,433</x:v>
      </x:c>
      <x:c r="F1789" s="46" t="str"/>
      <x:c r="G1789" s="46" t="str">
        <x:v>L2024-00075-1/Section 2 - Bid Data Sheet (영문)_수정_1118.docx</x:v>
      </x:c>
      <x:c r="H1789" s="43" t="str">
        <x:v>표 4 행 15</x:v>
      </x:c>
      <x:c r="I1789" s="46" t="str">
        <x:v>․ Projected Estimated Price | USD 608,433 (Be exclusive of VAT and other applicable indirect taxes) | USD 608,433 (Be exclusive of VAT and other applicable indirect taxes)</x:v>
      </x:c>
      <x:c r="J1789" s="43" t="str">
        <x:v>자동추출·검토필요</x:v>
      </x:c>
    </x:row>
    <x:row r="1790">
      <x:c r="A1790" s="43" t="str">
        <x:v>L2024-00075-1</x:v>
      </x:c>
      <x:c r="B1790" s="43" t="str">
        <x:v>부가세·예비비</x:v>
      </x:c>
      <x:c r="C1790" s="46" t="str">
        <x:v>vat, tax</x:v>
      </x:c>
      <x:c r="D1790" s="46" t="str">
        <x:v>8,069 m2 | 700 m2 | 700 m2</x:v>
      </x:c>
      <x:c r="E1790" s="46" t="str">
        <x:v>USD 624,034 | USD 608,433</x:v>
      </x:c>
      <x:c r="F1790" s="46" t="str"/>
      <x:c r="G1790" s="46" t="str">
        <x:v>L2024-00075-1/Section 2 - Bid Data Sheet_1120.pdf</x:v>
      </x:c>
      <x:c r="H1790" s="43" t="str">
        <x:v>페이지 5</x:v>
      </x:c>
      <x:c r="I1790" s="46" t="str">
        <x:v>A. Brief of Bidding ․ Invitation No. KOICALAO-2024-15-1 L2022-0000-1 Construction of the Southern Agricultural Training Center ․ Bid Title (SATC) ․ Summary of Construction - Location Lak 35 village Paksong District, Champasak Province, Lao PDR - Programme Southern Agricultural Training Center - Site area 8,069m2 - Building area 700m2 - Gross floor area 700m2 Training Building including Director room, Reception room, pantry, staff office, Equipment storage, divisional Discussion 1 &amp;2, - Building scope Men &amp; female toilet, Accessible toilet, janitor, Technical, Dish- washing room, kitchen, Gas, storage 1 &amp; 2 Dining room, lecture room, corridor, terrace, pump area and water tank. - Structure Reinforced Concrete Structure, Steel Structure (Roof) The Contractor shall implement all of works described and designed in contract documents including Design Drawings, - Scope of Works Technical Specifications, Special Condition of Contract and Bill of Quantities as a duty and obligation of the Fixed Lump Sum Contract. - Scheduled Construction Period 300 days Until 330 days from the date of signing the contract -Shall commence 30 days from the date of signing the contract -construction period: 3</x:v>
      </x:c>
      <x:c r="J1790" s="43" t="str">
        <x:v>자동추출·검토필요</x:v>
      </x:c>
    </x:row>
    <x:row r="1791">
      <x:c r="A1791" s="43" t="str">
        <x:v>L2024-00075-1</x:v>
      </x:c>
      <x:c r="B1791" s="43" t="str">
        <x:v>부가세·예비비</x:v>
      </x:c>
      <x:c r="C1791" s="46" t="str">
        <x:v>tax, reserve</x:v>
      </x:c>
      <x:c r="D1791" s="46" t="str"/>
      <x:c r="E1791" s="46" t="str"/>
      <x:c r="F1791" s="46" t="str">
        <x:v>87.745%</x:v>
      </x:c>
      <x:c r="G1791" s="46" t="str">
        <x:v>L2024-00075-1/Section 2 - Bid Data Sheet_1120.pdf</x:v>
      </x:c>
      <x:c r="H1791" s="43" t="str">
        <x:v>페이지 6</x:v>
      </x:c>
      <x:c r="I1791" s="46" t="str">
        <x:v>in the Ministry of Agriculture and Forestry. B. Bid Type, Selection of the Successful Bidders 1. Bid Type: (Urgent) International Bidding, Open Competitive Bidding 2. Selection of the Successful Bidders: Post-qualification ○ Based upon bid prices which shall be below the Estimated Price, but above the floor price of 87.745% of the Estimated Price, the Qualification Examination will be conducted. ○ Selection as successful bidder is determined, when the overall grade is higher than 95 points (the passing grade). ○ Qualification examination will be conducted in accordance with the ‘Standards of Qualification Examination for Selection of Constructor’ (July.6,2023). C. Bidders’ Qualifications The Bidders must: 1. Have submitted a bid application by the Application Submission Deadline and have been notified as eligible bidders. 2. Must be a legally registered company under Lao laws and regulations as of the application submission deadline. ① Copy of business license (issued by the Ministry of Industry and Commerce) ② Copy of latest Construction license (issued by the DPWT or MPWT) 3. Must have no outstanding debts or tax compliance issues in Lao PDR as of the Application submission deadl</x:v>
      </x:c>
      <x:c r="J1791" s="43" t="str">
        <x:v>자동추출·검토필요</x:v>
      </x:c>
    </x:row>
    <x:row r="1792">
      <x:c r="A1792" s="43" t="str">
        <x:v>L2024-00075-1</x:v>
      </x:c>
      <x:c r="B1792" s="43" t="str">
        <x:v>부가세·예비비</x:v>
      </x:c>
      <x:c r="C1792" s="46" t="str">
        <x:v>tax</x:v>
      </x:c>
      <x:c r="D1792" s="46" t="str"/>
      <x:c r="E1792" s="46" t="str"/>
      <x:c r="F1792" s="46" t="str">
        <x:v>5%</x:v>
      </x:c>
      <x:c r="G1792" s="46" t="str">
        <x:v>L2024-00075-1/Section 2 - Bid Data Sheet_1120.pdf</x:v>
      </x:c>
      <x:c r="H1792" s="43" t="str">
        <x:v>페이지 8</x:v>
      </x:c>
      <x:c r="I1792" s="46" t="str">
        <x:v>○ Documents - a duly completed bid application form (in the prescribed form 1); - a set of documents proving the applicant’s eligibility to participate in the bid; ① Copy of business license (issued by the Ministry of Industry and Commerce) ② Copy of latest Construction license (issued by the DPWT or MPWT)  Copy of latest registration of tax (issued by the Ministry of Finance) - documents proving the authenticity of the applicant’s signature or seal; and - any other documents specified in the Bid Data Sheet ○ Result Notification Date: Tuesday, 3rd, December, 2024 2. Pre-Bid meeting : The participation in the pre-bid meeting is not a requirement. ○ Time and Date: Wednesday, 4th, December 10:00 ○ Place: KOICA office in Lao PDR ○ Site Visit - Employer will not organize a site visit. - If deemed necessary and appropriate, the Bidders may arrange a visit to the site at their own costs in consultation with the Employer. 3. Inquires ○ Any inquiries about this bid, must be sent in writing. Inquiries through other means will not be accepted. - E-mail address: laos@koica.go.kr and copy to leegag@topec.co.kr, phanomphone333@gmail.com ○ Only the inquiries that are sent by 4th 17:00 will be re</x:v>
      </x:c>
      <x:c r="J1792" s="43" t="str">
        <x:v>자동추출·검토필요</x:v>
      </x:c>
    </x:row>
    <x:row r="1793">
      <x:c r="A1793" s="43" t="str">
        <x:v>L2024-00075-1</x:v>
      </x:c>
      <x:c r="B1793" s="43" t="str">
        <x:v>부가세·예비비</x:v>
      </x:c>
      <x:c r="C1793" s="46" t="str">
        <x:v>reserve</x:v>
      </x:c>
      <x:c r="D1793" s="46" t="str"/>
      <x:c r="E1793" s="46" t="str"/>
      <x:c r="F1793" s="46" t="str">
        <x:v>0.5%</x:v>
      </x:c>
      <x:c r="G1793" s="46" t="str">
        <x:v>L2024-00075-1/Section 7 - General Conditions of Contract.docx</x:v>
      </x:c>
      <x:c r="H1793" s="43" t="str">
        <x:v>표 4 행 109</x:v>
      </x:c>
      <x:c r="I1793"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793" s="43" t="str">
        <x:v>자동추출·검토필요</x:v>
      </x:c>
    </x:row>
    <x:row r="1794">
      <x:c r="A1794" s="43" t="str">
        <x:v>L2024-00075-1</x:v>
      </x:c>
      <x:c r="B1794" s="43" t="str">
        <x:v>부가세·예비비</x:v>
      </x:c>
      <x:c r="C1794" s="46" t="str">
        <x:v>reserve</x:v>
      </x:c>
      <x:c r="D1794" s="46" t="str"/>
      <x:c r="E1794" s="46" t="str"/>
      <x:c r="F1794" s="46" t="str">
        <x:v>50% | 50%</x:v>
      </x:c>
      <x:c r="G1794" s="46" t="str">
        <x:v>L2024-00075-1/Section 7 - General Conditions of Contract.docx</x:v>
      </x:c>
      <x:c r="H1794" s="43" t="str">
        <x:v>표 12 행 61</x:v>
      </x:c>
      <x:c r="I1794"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794" s="43" t="str">
        <x:v>자동추출·검토필요</x:v>
      </x:c>
    </x:row>
    <x:row r="1795">
      <x:c r="A1795" s="43" t="str">
        <x:v>L2024-00075-1</x:v>
      </x:c>
      <x:c r="B1795" s="43" t="str">
        <x:v>부가세·예비비</x:v>
      </x:c>
      <x:c r="C1795" s="46" t="str">
        <x:v>vat</x:v>
      </x:c>
      <x:c r="D1795" s="46" t="str"/>
      <x:c r="E1795" s="46" t="str"/>
      <x:c r="F1795" s="46" t="str">
        <x:v>11.5% | 8%</x:v>
      </x:c>
      <x:c r="G1795" s="46" t="str">
        <x:v>L2024-00075-1/Sectoin 5 - Drawings.pdf</x:v>
      </x:c>
      <x:c r="H1795" s="43" t="str">
        <x:v>페이지 17</x:v>
      </x:c>
      <x:c r="I1795" s="46" t="str">
        <x:v>4000 190329 600 2800 600 300 300 up 300 900 500 500 900 300 Car Parking (11) 6285 Slope 11.5% 600 26939 300 A 900 300 Corridor 2 3 Slope 8% 500 500 Flagstaff 4000 AM4.1 2800 Corridor 1 up Water tank 600 1500 183035 1500 300 300 900 KEY PLAN 1 PLAN Scale : 1 / 100 9500 9500 11230 11230 02 Stainless Ø 100mm 2 Stainless steel Ø 100mm AM4.2 700 700 01 Motar 20 mm 1 550 550 AM4.2 150 150 150 150 Brick 480 480 180 180 300300 900 1000 900 300300 600 2800 600 PVC Ø 200mm 4000 300300 900 1000 900 300300 600 2800 600 4000 2 ELEVATION Scale : 1 / 75 3 SECTION A Scale : 1 / 75 Stamp Notice Client: Issued Design Discipline REV. DATE CHK. APP. Dr.Khamhou SAPHOUVONG Date: KOICA CONSTRUCTION DRAWING ARCHITECTURE 1 - - Thipphakone XAYSANOK 22/10/2024 Approved by: Project Title 2 - - - Sheet size: DES. Rural Development Department DESIGN AND SUPERVISION 3 - - - A3 Name: FOR CONSTRUCTION OF SOUTHERN AGRICULTURAL - - Sheet No: 4 - KIRD Drawing Title 5 - - CHK. Bounpasong SINHRASVONG AM4.1 ARCHINEER Associates Co.,Ltd. Name: 6 - - Khamlar XIONG Scale: House 571,unite 10, Saphang mor Village, FLAG STAFF DETAIL DRA. Bounmy LUANGLATH 1/100,1/75 Saysettha District, Vientiane, Lao PDR. KOICA'S CM 7 - - Tel:</x:v>
      </x:c>
      <x:c r="J1795" s="43" t="str">
        <x:v>자동추출·검토필요</x:v>
      </x:c>
    </x:row>
    <x:row r="1796">
      <x:c r="A1796" s="43" t="str">
        <x:v>L2024-00075-1</x:v>
      </x:c>
      <x:c r="B1796" s="43" t="str">
        <x:v>부가세·예비비</x:v>
      </x:c>
      <x:c r="C1796" s="46" t="str">
        <x:v>vat</x:v>
      </x:c>
      <x:c r="D1796" s="46" t="str"/>
      <x:c r="E1796" s="46" t="str"/>
      <x:c r="F1796" s="46" t="str">
        <x:v>11.5% | 8%</x:v>
      </x:c>
      <x:c r="G1796" s="46" t="str">
        <x:v>L2024-00075-1/Sectoin 5 - Drawings.pdf</x:v>
      </x:c>
      <x:c r="H1796" s="43" t="str">
        <x:v>페이지 19</x:v>
      </x:c>
      <x:c r="I1796" s="46" t="str">
        <x:v>A 190329 4 up AM4.3 Car Parking (11) 6285 Slope 11.5% Rivnut w/Threaded rod for wall mounting 26939 Brick 15 Corridor 2 1000 10 mortar 20mm 20 0 15 00 Concrete Mortar 15 mm 2 20 15 Slope 8% Flagstaff 0 15 2000 1000 20 0 Corridor 1 15 5 3d stainless steel letter A up 15 00 1500 220 AM4.3 (defago notosans font ) Water tank 0 183035 1500 1500 1000 Brick 180x80 mm Mortar 50 mm 500 Concrete KEY PLAN Mortar 50 mm 75 6350 75 1000 1000 6500 2000 1 PLAN Scale : 1 / 50 4 SECTION A Scale : 1 / 50 5 SECTION A Scale : 1 / 10 1000 1500 500 6500 2 ELEVATION Scale : 1 / 50 1000 50 100 50 1500 250 100 270 100 1000 500 80 1000 1000 1150 3000 1200 2000 5350 3 ELEVATION Scale : 1 / 50 6 FONT DETAIL Scale : 1 / 30 Stamp Notice Client: Issued Design Discipline REV. DATE CHK. APP. Dr.Khamhou SAPHOUVONG Date: KOICA CONSTRUCTION DRAWING ARCHITECTURE 1 - - Thipphakone XAYSANOK 22/10/2024 Approved by: Project Title 2 - - - Sheet size: DES. Rural Development Department DESIGN AND SUPERVISION 3 - - - A3 Name: FOR CONSTRUCTION OF SOUTHERN AGRICULTURAL - - Sheet No: 4 - KIRD Drawing Title 5 - - CHK. Bounpasong SINHRASVONG AM4.3 ARCHINEER Associates Co.,Ltd. Name: 6 - - Khamlar XIONG Scale: House 571,unite 10, Sa</x:v>
      </x:c>
      <x:c r="J1796" s="43" t="str">
        <x:v>자동추출·검토필요</x:v>
      </x:c>
    </x:row>
    <x:row r="1797">
      <x:c r="A1797" s="43" t="str">
        <x:v>L2024-00075-1</x:v>
      </x:c>
      <x:c r="B1797" s="43" t="str">
        <x:v>부가세·예비비</x:v>
      </x:c>
      <x:c r="C1797" s="46" t="str">
        <x:v>vat</x:v>
      </x:c>
      <x:c r="D1797" s="46" t="str"/>
      <x:c r="E1797" s="46" t="str"/>
      <x:c r="F1797" s="46" t="str">
        <x:v>11.5% | 11.5% | 11.5% | 8% | 8% | 8%</x:v>
      </x:c>
      <x:c r="G1797" s="46" t="str">
        <x:v>L2024-00075-1/Sectoin 5 - Drawings.pdf</x:v>
      </x:c>
      <x:c r="H1797" s="43" t="str">
        <x:v>페이지 33</x:v>
      </x:c>
      <x:c r="I1797" s="46" t="str">
        <x:v>up up up L L L 4000 4000 4000 K K K 4000 Slope 11.5% 4000 Slope 11.5% 4000 Slope 11.5% J 16000 J 16000 J 16000 4000 4000 4000 I I I 4000 4000 4000 H H H 4000 4000 4000 40000 40000 40000 G 8000 G 8000 G 8000 1 1 1 A3.1 4000 A3.1 4000 A3.1 4000 F F F 6000 6000 6000 Slope 8% Slope 8% Slope 8% 4000 4000 4000 E E E 2000 2000 2000 D D D 2000 up 2000 up 2000 up C C C 4000 4000 4000 B 8000 B 8000 B 8000 4000 4000 4000 up up up A A A 3 2000 4000 4000 2000 2000 4000 4000 4000 4000 4000 4000 4000 2000 4000 4000 2000 2000 4000 4000 4000 4000 4000 4000 4000 2000 4000 4000 2000 2000 4000 4000 4000 4000 4000 4000 4000 10000 10000 8000 8000 4000 10000 10000 8000 8000 4000 10000 10000 8000 8000 4000 40000 40000 40000 1 2 3 4 5 6 7 8 9 10 11 12 1 2 3 4 5 6 7 8 9 10 11 12 1 2 3 4 5 6 7 8 9 10 11 12 KEY PLAN KEY PLAN 3 KEY PLAN A3.4 A3.4 3300 250 700 250 2800 250 700 250 L 320 320 UP 250 250 120 250 1510 250 20 Cement mortar plastering 3 2000 Thk.=20mm w. Glazed beger A3.4 A-100 Water Repellent Gloss 4 3 1 PLAN 1 PLAN 2550 100 100 Scale : 1 / 50 Scale : 1 / 50 200 1950 200 250 +5150 +5150 ROOF BEAM LEVEL brick wall thk. 100 200 100 ROOF BEAM LEVEL brick wall thk. 100mm 400 100mm 400 400 760 760 500 br</x:v>
      </x:c>
      <x:c r="J1797" s="43" t="str">
        <x:v>자동추출·검토필요</x:v>
      </x:c>
    </x:row>
    <x:row r="1798">
      <x:c r="A1798" s="43" t="str">
        <x:v>L2024-00075-1</x:v>
      </x:c>
      <x:c r="B1798" s="43" t="str">
        <x:v>부가세·예비비</x:v>
      </x:c>
      <x:c r="C1798" s="46" t="str">
        <x:v>vat</x:v>
      </x:c>
      <x:c r="D1798" s="46" t="str"/>
      <x:c r="E1798" s="46" t="str"/>
      <x:c r="F1798" s="46" t="str">
        <x:v>11.5% | 8%</x:v>
      </x:c>
      <x:c r="G1798" s="46" t="str">
        <x:v>L2024-00075-1/Sectoin 5 - Drawings.pdf</x:v>
      </x:c>
      <x:c r="H1798" s="43" t="str">
        <x:v>페이지 34</x:v>
      </x:c>
      <x:c r="I1798" s="46" t="str">
        <x:v>up L 4000 K 4000 Slope 11.5% J 16000 4000 I 4000 H 4000 40000 G 8000 1 A3.1 4000 F 6000 Slope 8% 4000 E 2000 3 D 2000 up C 4000 B 8000 A3.5 4000 up A 2000 4000 4000 2000 2000 4000 4000 4000 4000 4000 4000 4000 10000 10000 8000 8000 4000 1600 40000 1 2 3 4 5 6 7 8 9 10 11 12 KEY PLAN 1 250 250 250 1560 250 20 Cement mortar plastering 2000 Thk.=20mm w. Glazed beger A-100 Water Repellent Gloss D C 1 PLAN Scale : 1 / 50 250 +5150 ROOF BEAM LEVEL brick wall thk. 100mm 400 760 500 brick wall thk. 100mm 360 250 290 540 540 20 250 4500 3200 3250 4390 FL-01= +600 +650 FL-01= +500 FIRST FLOOR LEVEL 650 100 50 250 1560 250 600 2060 ±000 GROUND LEVEL 2000 190 260 D C 1 2 ELEVATIONScale : 1 / 50 3 SECTION Scale : 1 / 50 Stamp Notice Client: Issued Design Discipline REV. DATE CHK. APP. Dr.Khamhou SAPHOUVONG Date: KOICA CONSTRUCTION DRAWING ARCHITECTURE 1 - - Thipphakone XAYSANOK 22/10/2024 Approved by: Project Title 2 - - - Sheet size: DES. Rural Development Department DESIGN AND SUPERVISION 3 - - - A3 Name: FOR CONSTRUCTION OF SOUTHERN AGRICULTURAL - - Sheet No: 4 - KIRD Drawing Title 5 - - CHK. Bounpasong SINHRASVONG A3.5 ARCHINEER Associates Co.,Ltd. Name: TYPICAL DETAIL 6 - - Khamlar XIONG S</x:v>
      </x:c>
      <x:c r="J1798" s="43" t="str">
        <x:v>자동추출·검토필요</x:v>
      </x:c>
    </x:row>
    <x:row r="1799">
      <x:c r="A1799" s="43" t="str">
        <x:v>L2024-00075-1</x:v>
      </x:c>
      <x:c r="B1799" s="43" t="str">
        <x:v>부가세·예비비</x:v>
      </x:c>
      <x:c r="C1799" s="46" t="str">
        <x:v>vat</x:v>
      </x:c>
      <x:c r="D1799" s="46" t="str">
        <x:v>8,069 SQ.M</x:v>
      </x:c>
      <x:c r="E1799" s="46" t="str"/>
      <x:c r="F1799" s="46" t="str">
        <x:v>11.5% | 8%</x:v>
      </x:c>
      <x:c r="G1799" s="46" t="str">
        <x:v>L2024-00075-1/Sectoin 5 - Drawings.pdf</x:v>
      </x:c>
      <x:c r="H1799" s="43" t="str">
        <x:v>페이지 81</x:v>
      </x:c>
      <x:c r="I1799" s="46" t="str">
        <x:v>190329 +0.00 up +150 +650 +600 +100 Car Parking (11) +650 Slope 11.5% +200 +650 = 8,069 SQ.M +650 Corridor 2 100 KVA +500 +500 +500 +500 +550 Slope 8% +500 +500 Flagstaff +550 +550 +650 +550 +200 +600 Corridor 1 +600 up Water tank 78535 +650 +650 +650 13963 +500 +650 up +550 +650 +650 +650 Stamp Notice Client: Issued Design Discipline REV. DATE CHK. APP. DR. KHAMHOO Date: KOICA CONSTRUCTION DRAWING ELECTRICAL 1 - - - 22/10/2024 Approved by: Project Title 2 - - MR. THONGKHOUN Sheet size: DES. Rural Developement Department DESIGN AND SUPERVISION 3 - - - A3 Name: FOR CONSTRUCTION OF SOUTHERN AGRICULTURAL 4 - - - Sheet No: KIRD Drawing Title 5 - - CHK. MR. KHONESAVATH EE1-01 ARCHINEER Associates Co.,Ltd. Name: MAIN POWER SUPPLY PLAN 6 - - - Scale: House 571,unite 10, Saphang mor Village, KOICA'S CM 7 - - DRA. MR. THONGKHOUN Saysettha District, Vientiane, Lao PDR. 1/250 Tel:(856-21) 454354, Email: archineerss@gmail.com Name: 8 - - -</x:v>
      </x:c>
      <x:c r="J1799" s="43" t="str">
        <x:v>자동추출·검토필요</x:v>
      </x:c>
    </x:row>
    <x:row r="1800">
      <x:c r="A1800" s="43" t="str">
        <x:v>L2024-00075-1</x:v>
      </x:c>
      <x:c r="B1800" s="43" t="str">
        <x:v>부가세·예비비</x:v>
      </x:c>
      <x:c r="C1800" s="46" t="str">
        <x:v>vat</x:v>
      </x:c>
      <x:c r="D1800" s="46" t="str"/>
      <x:c r="E1800" s="46" t="str"/>
      <x:c r="F1800" s="46" t="str">
        <x:v>11.5% | 8%</x:v>
      </x:c>
      <x:c r="G1800" s="46" t="str">
        <x:v>L2024-00075-1/Sectoin 5 - Drawings.pdf</x:v>
      </x:c>
      <x:c r="H1800" s="43" t="str">
        <x:v>페이지 82</x:v>
      </x:c>
      <x:c r="I1800" s="46" t="str">
        <x:v>190329 +0.00 up +150 +650 +600 +100 Car Parking (11) +650 Car Parking (6) Slope 11.5% +200 +650 +650 Corridor 2 100 100 +500 +500 +500 +500 +550 Slope 8% +500 +500 Flagstaff +550 +550 +650 +550 +200 +600 Corridor 1 +600 up Water tank +650 +650 +650 13963 +500 +650 up +550 +650 +650 45670 +650 1350 100 Stamp Notice Client: Issued Design Discipline REV. DATE CHK. APP. DR. KHAMHOO Date: KOICA CONSTRUCTION DRAWING ELECTRICAL 1 - - - 22/10/2024 Approved by: Project Title 2 - - MR. THONGKHOUN Sheet size: DES. Rural Developement Department DESIGN AND SUPERVISION 3 - - - A3 Name: FOR CONSTRUCTION OF SOUTHERN AGRICULTURAL 4 - - - Sheet No: KIRD Drawing Title 5 - - CHK. MR. KHONESAVATH EE1-02 ARCHINEER Associates Co.,Ltd. Name: OUTDOOR LIGHTING PLAN 6 - - - Scale: House 571,unite 10, Saphang mor Village, KOICA'S CM 7 - - DRA. MR. THONGKHOUN Saysettha District, Vientiane, Lao PDR. 1/250 Tel:(856-21) 454354, Email: archineerss@gmail.com Name: 8 - - -</x:v>
      </x:c>
      <x:c r="J1800" s="43" t="str">
        <x:v>자동추출·검토필요</x:v>
      </x:c>
    </x:row>
    <x:row r="1801">
      <x:c r="A1801" s="43" t="str">
        <x:v>L2024-00075-1</x:v>
      </x:c>
      <x:c r="B1801" s="43" t="str">
        <x:v>부가세·예비비</x:v>
      </x:c>
      <x:c r="C1801" s="46" t="str">
        <x:v>vat</x:v>
      </x:c>
      <x:c r="D1801" s="46" t="str">
        <x:v>25 SQm | 16 SQm | 25 SQm | 16 SQm | 95 SQm | 2.5 SQm | 4 SQm | 2.5 SQm</x:v>
      </x:c>
      <x:c r="E1801" s="46" t="str"/>
      <x:c r="F1801" s="46" t="str"/>
      <x:c r="G1801" s="46" t="str">
        <x:v>L2024-00075-1/Sectoin 5 - Drawings.pdf</x:v>
      </x:c>
      <x:c r="H1801" s="43" t="str">
        <x:v>페이지 86</x:v>
      </x:c>
      <x:c r="I1801" s="46" t="str">
        <x:v>MDB LOAD SCHEDULE LOAD (VA) FEEDER FROM TO TOTAL (VA) TOTAL (A) MAIN BREAKER CABLE RACE WAY A B C F1 MDB LP1 6,760 7,840 7,365 21,965 33.37 MCCB 60AT/100AF 3P (IC) 15 kA THW 4x1C-25SQmm/G 1C-16SQmm IN WIREWAY F2 MDB LP2 9,860 8,690 9,300 27,850 42.31 MCCB 60AT/100AF 3P (IC) 15 kA THW 4x1C-25SQmm/G 1C-16SQmm IN WIREWAY F3 MDB SPARE 5,000 5,000 5,000 15,000 22.79 MCCB 40AT/100AF 3P (IC) 15 kA F4 MDB SPACE - - - - - TOTAL CONNECTED LOAD 21,620 21,530 21,665 64,815 98.48 DEMAND FACTOR 0.8 DEMAND LOAD 51,852 78.78 MCCB 160AT/250AF 4P (IC) 25kA NYY 4x1C-95SQmm In 3"HDPE PANEL: LP1 CAPACITY: MAX. CCT 24 BUSBAR RATING 100 Amp BRANCH CCT CB 6 kA (IC) AT 240 VOLT FROM: MDB PANEL BOARD SCHEDULE ELECTRICAL SYSTEM 3P 4W 240/415 VAC. LOAD (VA) LOAD (VA) CCT DESCRIPTION POLE CB CABLE RACE WAY A B C S/N CCT DESCRIPTION POLE CB CABLE RACE WAY A B C A B C 1 LIGHTING 1920 1 16A/6kA THW 2x1C-2.5SQmm/G,1x2.5SQmm In 1/2'' PVC 2 RECEPTACLE OUTLET 625 1 20A/6kA THW 2x1C-4SQmm/G,1x4SQmm In 1/2'' PVC 3 FAN 1200 1 16A/6kA THW 2x1C-2.5SQmm/G,1x2.5SQmm In 1/2'' PVC 4 RECEPTACLE OUTLET 1625 1 20A/6kA THW 2x1C-4SQmm/G,1x4SQmm In 1/2'' PVC 5 LIGHTING 1800 1 16A/6kA THW 2x1C-2.5SQmm/G,1x2.5SQmm In 1/2'' PVC 6 RECE</x:v>
      </x:c>
      <x:c r="J1801" s="43" t="str">
        <x:v>자동추출·검토필요</x:v>
      </x:c>
    </x:row>
    <x:row r="1802">
      <x:c r="A1802" s="43" t="str">
        <x:v>L2024-00075-1</x:v>
      </x:c>
      <x:c r="B1802" s="43" t="str">
        <x:v>부가세·예비비</x:v>
      </x:c>
      <x:c r="C1802" s="46" t="str">
        <x:v>vat</x:v>
      </x:c>
      <x:c r="D1802" s="46" t="str"/>
      <x:c r="E1802" s="46" t="str"/>
      <x:c r="F1802" s="46" t="str">
        <x:v>11.5% | 8%</x:v>
      </x:c>
      <x:c r="G1802" s="46" t="str">
        <x:v>L2024-00075-1/Sectoin 5 - Drawings.pdf</x:v>
      </x:c>
      <x:c r="H1802" s="43" t="str">
        <x:v>페이지 87</x:v>
      </x:c>
      <x:c r="I1802" s="46" t="str">
        <x:v>up L 4000 K 4000 Slope 11.5% J 16000 4000 I 4000 H 4000 40000 G 8000 4000 F 6000 Slope 8% 4000 E 2000 D 2000 up C 4000 B 8000 4000 up A 4000 4000 2000 2000 4000 4000 4000 4000 4000 4000 1000 3000 1 2 3 4 5 6 7 8 9 10 11 12 Stamp Notice Client: Issued Design Discipline REV. DATE CHK. APP. DR. KHAMHOO Date: KOICA CONSTRUCTION DRAWING ELECTRICAL 1 - - - 22/10/2024 Approved by: Project Title 2 - - MR. THONGKHOUN Sheet size: DES. Rural Developement Department DESIGN AND SUPERVISION 3 - - - A3 Name: FOR CONSTRUCTION OF SOUTHERN AGRICULTURAL 4 - - - Sheet No: KIRD Drawing Title 5 - - CHK. MR. KHONESAVATH EE2-05 ARCHINEER Associates Co.,Ltd. Name: LIGHTING PLAN 6 - - - Scale: House 571,unite 10, Saphang mor Village, KOICA'S CM 7 - - DRA. MR. THONGKHOUN Saysettha District, Vientiane, Lao PDR. 1/200 Tel:(856-21) 454354, Email: archineerss@gmail.com Name: 8 - - -</x:v>
      </x:c>
      <x:c r="J1802" s="43" t="str">
        <x:v>자동추출·검토필요</x:v>
      </x:c>
    </x:row>
    <x:row r="1803">
      <x:c r="A1803" s="43" t="str">
        <x:v>L2024-00075-1</x:v>
      </x:c>
      <x:c r="B1803" s="43" t="str">
        <x:v>부가세·예비비</x:v>
      </x:c>
      <x:c r="C1803" s="46" t="str">
        <x:v>vat</x:v>
      </x:c>
      <x:c r="D1803" s="46" t="str"/>
      <x:c r="E1803" s="46" t="str"/>
      <x:c r="F1803" s="46" t="str">
        <x:v>11.5% | 8%</x:v>
      </x:c>
      <x:c r="G1803" s="46" t="str">
        <x:v>L2024-00075-1/Sectoin 5 - Drawings.pdf</x:v>
      </x:c>
      <x:c r="H1803" s="43" t="str">
        <x:v>페이지 88</x:v>
      </x:c>
      <x:c r="I1803" s="46" t="str">
        <x:v>up L 4000 K 4000 Slope 11.5% J 16000 4000 I 4000 H 4000 40000 G 8000 4000 F 6000 Slope 8% 4000 E 2000 D 2000 up C 4000 B 8000 4000 up A 4000 4000 2000 2000 4000 4000 4000 4000 4000 4000 1000 3000 1 2 3 4 5 6 7 8 9 10 11 12 Stamp Notice Client: Issued Design Discipline REV. DATE CHK. APP. DR. KHAMHOO Date: KOICA CONSTRUCTION DRAWING ELECTRICAL 1 - - - 22/10/2024 Approved by: Project Title 2 - - MR. THONGKHOUN Sheet size: DES. Rural Developement Department DESIGN AND SUPERVISION 3 - - - A3 Name: FOR CONSTRUCTION OF SOUTHERN AGRICULTURAL 4 - - - Sheet No: KIRD Drawing Title 5 - - CHK. MR. KHONESAVATH EE2-06 ARCHINEER Associates Co.,Ltd. Name: RECEPTACLE OUTLET PLAN 6 - - - Scale: House 571,unite 10, Saphang mor Village, KOICA'S CM 7 - - DRA. MR. THONGKHOUN Saysettha District, Vientiane, Lao PDR. 1/200 Tel:(856-21) 454354, Email: archineerss@gmail.com Name: 8 - - -</x:v>
      </x:c>
      <x:c r="J1803" s="43" t="str">
        <x:v>자동추출·검토필요</x:v>
      </x:c>
    </x:row>
    <x:row r="1804">
      <x:c r="A1804" s="43" t="str">
        <x:v>L2024-00075-1</x:v>
      </x:c>
      <x:c r="B1804" s="43" t="str">
        <x:v>부가세·예비비</x:v>
      </x:c>
      <x:c r="C1804" s="46" t="str">
        <x:v>vat</x:v>
      </x:c>
      <x:c r="D1804" s="46" t="str"/>
      <x:c r="E1804" s="46" t="str"/>
      <x:c r="F1804" s="46" t="str">
        <x:v>11.5% | 8%</x:v>
      </x:c>
      <x:c r="G1804" s="46" t="str">
        <x:v>L2024-00075-1/Sectoin 5 - Drawings.pdf</x:v>
      </x:c>
      <x:c r="H1804" s="43" t="str">
        <x:v>페이지 89</x:v>
      </x:c>
      <x:c r="I1804" s="46" t="str">
        <x:v>up L 4000 K 4000 Slope 11.5% J 16000 4000 I 4000 H DETAIL AT WALL 4000 40000 G 8000 4000 F 6000 Slope 8% 4000 E 2000 D 2000 up C 4000 DETAIL AT WALL DETAIL AT COLUMN B 8000 4000 up A 4000 4000 2000 2000 4000 4000 4000 4000 4000 4000 1000 3000 1 2 3 4 5 6 7 8 9 10 11 12 Stamp Notice Client: Issued Design Discipline REV. DATE CHK. APP. DR. KHAMHOO Date: KOICA CONSTRUCTION DRAWING ELECTRICAL 1 - - - 22/10/2024 Approved by: Project Title 2 - - MR. THONGKHOUN Sheet size: DES. Rural Developement Department DESIGN AND SUPERVISION 3 - - - A3 Name: FOR CONSTRUCTION OF SOUTHERN AGRICULTURAL 4 - - - Sheet No: KIRD Drawing Title 5 - - CHK. MR. KHONESAVATH EE2-07 ARCHINEER Associates Co.,Ltd. Name: FIRE ALARM SYSTEM PLAN 6 - - - Scale: House 571,unite 10, Saphang mor Village, KOICA'S CM 7 - - DRA. MR. THONGKHOUN Saysettha District, Vientiane, Lao PDR. 1/200 Tel:(856-21) 454354, Email: archineerss@gmail.com Name: 8 - - -</x:v>
      </x:c>
      <x:c r="J1804" s="43" t="str">
        <x:v>자동추출·검토필요</x:v>
      </x:c>
    </x:row>
    <x:row r="1805">
      <x:c r="A1805" s="43" t="str">
        <x:v>L2024-00075-1</x:v>
      </x:c>
      <x:c r="B1805" s="43" t="str">
        <x:v>부가세·예비비</x:v>
      </x:c>
      <x:c r="C1805" s="46" t="str">
        <x:v>vat</x:v>
      </x:c>
      <x:c r="D1805" s="46" t="str"/>
      <x:c r="E1805" s="46" t="str"/>
      <x:c r="F1805" s="46" t="str">
        <x:v>11.5% | 8%</x:v>
      </x:c>
      <x:c r="G1805" s="46" t="str">
        <x:v>L2024-00075-1/Sectoin 5 - Drawings.pdf</x:v>
      </x:c>
      <x:c r="H1805" s="43" t="str">
        <x:v>페이지 90</x:v>
      </x:c>
      <x:c r="I1805" s="46" t="str">
        <x:v>up L 4000 K 4000 Slope 11.5% J 16000 4000 I 4000 H 4000 40000 G 8000 4000 F 6000 Slope 8% 4000 E 2000 D 2000 up C 4000 B 8000 4000 up A 4000 4000 2000 2000 4000 4000 4000 4000 4000 4000 1000 3000 1 2 3 4 5 6 7 8 9 10 11 12 Stamp Notice Client: Issued Design Discipline REV. DATE CHK. APP. DR. KHAMHOO Date: KOICA CONSTRUCTION DRAWING ELECTRICAL 1 - - - 22/10/2024 Approved by: Project Title 2 - - MR. THONGKHOUN Sheet size: DES. Rural Developement Department DESIGN AND SUPERVISION 3 - - - A3 Name: FOR CONSTRUCTION OF SOUTHERN AGRICULTURAL 4 - - - Sheet No: KIRD Drawing Title 5 - - CHK. MR. KHONESAVATH EE2-08 ARCHINEER Associates Co.,Ltd. Name: NETWORK PLAN 6 - - - Scale: House 571,unite 10, Saphang mor Village, KOICA'S CM 7 - - DRA. MR. THONGKHOUN Saysettha District, Vientiane, Lao PDR. 1/200 Tel:(856-21) 454354, Email: archineerss@gmail.com Name: 8 - - -</x:v>
      </x:c>
      <x:c r="J1805" s="43" t="str">
        <x:v>자동추출·검토필요</x:v>
      </x:c>
    </x:row>
    <x:row r="1806">
      <x:c r="A1806" s="43" t="str">
        <x:v>L2024-00075-1</x:v>
      </x:c>
      <x:c r="B1806" s="43" t="str">
        <x:v>부가세·예비비</x:v>
      </x:c>
      <x:c r="C1806" s="46" t="str">
        <x:v>vat</x:v>
      </x:c>
      <x:c r="D1806" s="46" t="str"/>
      <x:c r="E1806" s="46" t="str"/>
      <x:c r="F1806" s="46" t="str">
        <x:v>11.5% | 8%</x:v>
      </x:c>
      <x:c r="G1806" s="46" t="str">
        <x:v>L2024-00075-1/Sectoin 5 - Drawings.pdf</x:v>
      </x:c>
      <x:c r="H1806" s="43" t="str">
        <x:v>페이지 91</x:v>
      </x:c>
      <x:c r="I1806" s="46" t="str">
        <x:v>up L 4000 K 4000 Slope 11.5% J 16000 4000 I 4000 H 4000 40000 G 8000 4000 F 6000 Slope 8% 4000 E 2000 D 2000 up C 4000 B 8000 4000 up A 4000 4000 2000 2000 4000 4000 4000 4000 4000 4000 1000 3000 1 2 3 4 5 6 7 8 9 10 11 12 Stamp Notice Client: Issued Design Discipline REV. DATE CHK. APP. DR. KHAMHOO Date: KOICA CONSTRUCTION DRAWING ELECTRICAL 1 - - - 22/10/2024 Approved by: Project Title 2 - - MR. THONGKHOUN Sheet size: DES. Rural Developement Department DESIGN AND SUPERVISION 3 - - - A3 Name: FOR CONSTRUCTION OF SOUTHERN AGRICULTURAL 4 - - - Sheet No: KIRD Drawing Title 5 - - CHK. MR. KHONESAVATH EE2-09 ARCHINEER Associates Co.,Ltd. Name: AUDIO PLAN 6 - - - Scale: House 571,unite 10, Saphang mor Village, KOICA'S CM 7 - - DRA. MR. THONGKHOUN Saysettha District, Vientiane, Lao PDR. 1/200 Tel:(856-21) 454354, Email: archineerss@gmail.com Name: 8 - - -</x:v>
      </x:c>
      <x:c r="J1806" s="43" t="str">
        <x:v>자동추출·검토필요</x:v>
      </x:c>
    </x:row>
    <x:row r="1807">
      <x:c r="A1807" s="43" t="str">
        <x:v>L2024-00075-1</x:v>
      </x:c>
      <x:c r="B1807" s="43" t="str">
        <x:v>부가세·예비비</x:v>
      </x:c>
      <x:c r="C1807" s="46" t="str">
        <x:v>vat</x:v>
      </x:c>
      <x:c r="D1807" s="46" t="str"/>
      <x:c r="E1807" s="46" t="str"/>
      <x:c r="F1807" s="46" t="str">
        <x:v>11.5% | 8%</x:v>
      </x:c>
      <x:c r="G1807" s="46" t="str">
        <x:v>L2024-00075-1/Sectoin 5 - Drawings.pdf</x:v>
      </x:c>
      <x:c r="H1807" s="43" t="str">
        <x:v>페이지 92</x:v>
      </x:c>
      <x:c r="I1807" s="46" t="str">
        <x:v>up L 4000 K 4000 Slope 11.5% J 16000 4000 I 4000 H 4000 40000 G 8000 4000 F 6000 Slope 8% 4000 E 2000 D 2000 up C 4000 B 8000 4000 up A 4000 4000 2000 2000 4000 4000 4000 4000 4000 4000 1000 3000 1 2 3 4 5 6 7 8 9 10 11 12 Stamp Notice Client: Issued Design Discipline REV. DATE CHK. APP. DR. KHAMHOO Date: KOICA CONSTRUCTION DRAWING ELECTRICAL 1 - - - 22/10/2024 Approved by: Project Title 2 - - MR. THONGKHOUN Sheet size: DES. Rural Developement Department DESIGN AND SUPERVISION 3 - - - A3 Name: FOR CONSTRUCTION OF SOUTHERN AGRICULTURAL 4 - - - Sheet No: KIRD Drawing Title 5 - - CHK. MR. KHONESAVATH EE2-10 ARCHINEER Associates Co.,Ltd. Name: CCTV PLAN 6 - - - Scale: House 571,unite 10, Saphang mor Village, KOICA'S CM 7 - - DRA. MR. THONGKHOUN Saysettha District, Vientiane, Lao PDR. 1/200 Tel:(856-21) 454354, Email: archineerss@gmail.com Name: 8 - - -</x:v>
      </x:c>
      <x:c r="J1807" s="43" t="str">
        <x:v>자동추출·검토필요</x:v>
      </x:c>
    </x:row>
    <x:row r="1808">
      <x:c r="A1808" s="43" t="str">
        <x:v>L2024-00075-1</x:v>
      </x:c>
      <x:c r="B1808" s="43" t="str">
        <x:v>부가세·예비비</x:v>
      </x:c>
      <x:c r="C1808" s="46" t="str">
        <x:v>vat</x:v>
      </x:c>
      <x:c r="D1808" s="46" t="str"/>
      <x:c r="E1808" s="46" t="str"/>
      <x:c r="F1808" s="46" t="str">
        <x:v>11.5% | 8%</x:v>
      </x:c>
      <x:c r="G1808" s="46" t="str">
        <x:v>L2024-00075-1/Sectoin 5 - Drawings.pdf</x:v>
      </x:c>
      <x:c r="H1808" s="43" t="str">
        <x:v>페이지 95</x:v>
      </x:c>
      <x:c r="I1808" s="46" t="str">
        <x:v>up L WxDxH 1043x453x1500 GUHD42NK3FO 95/105kg HxWxD = 340x1,200x240 4000 K WxDxH 1043x453x1500 HxWxD = 340x1,200x240 GUHD42NK3FO 95/105kg 4000 Slope 11.5% J 16000 WxDxH 1043x453x1500 HxWxD = 340x1,200x240 GUHD42NK3FO 95/105kg 4000 I 4000 H 4000 40000 G 8000 4000 F 6000 Slope 8% 4000 E 2000 D 2000 up C 4000 B 8000 4000 up A 4000 4000 2000 2000 4000 4000 4000 4000 4000 4000 1000 3000 HxWxD = 340x1,200x240 1 2 3 4 5 6 7 8 9 10 11 12 WxDxH 1043x453x1500 GUHD42NK3FO 95/105kg Stamp Notice Client: Issued Design Discipline REV. DATE CHK. APP. DR. KHAMHOO Date: KOICA CONSTRUCTION DRAWING ELECTRICAL 1 - - - 22/10/2024 Approved by: Project Title 2 - - MR. THONGKHOUN Sheet size: DES. Rural Developement Department DESIGN AND SUPERVISION 3 - - - A3 Name: FOR CONSTRUCTION OF SOUTHERN AGRICULTURAL 4 - - - Sheet No: KIRD Drawing Title 5 - - CHK. MR. KHONESAVATH EE2-12 ARCHINEER Associates Co.,Ltd. Name: AIR CONDITIONING PLAN 6 - - - Scale: House 571,unite 10, Saphang mor Village, KOICA'S CM 7 - - DRA. MR. THONGKHOUN Saysettha District, Vientiane, Lao PDR. 1/200 Tel:(856-21) 454354, Email: archineerss@gmail.com Name: 8 - - -</x:v>
      </x:c>
      <x:c r="J1808" s="43" t="str">
        <x:v>자동추출·검토필요</x:v>
      </x:c>
    </x:row>
    <x:row r="1809">
      <x:c r="A1809" s="43" t="str">
        <x:v>L2024-00075-1</x:v>
      </x:c>
      <x:c r="B1809" s="43" t="str">
        <x:v>부가세·예비비</x:v>
      </x:c>
      <x:c r="C1809" s="46" t="str">
        <x:v>vat</x:v>
      </x:c>
      <x:c r="D1809" s="46" t="str"/>
      <x:c r="E1809" s="46" t="str"/>
      <x:c r="F1809" s="46" t="str">
        <x:v>11.5% | 8%</x:v>
      </x:c>
      <x:c r="G1809" s="46" t="str">
        <x:v>L2024-00075-1/Sectoin 5 - Drawings.pdf</x:v>
      </x:c>
      <x:c r="H1809" s="43" t="str">
        <x:v>페이지 96</x:v>
      </x:c>
      <x:c r="I1809" s="46" t="str">
        <x:v>up L 4000 K 4000 Slope 11.5% J 16000 4000 I 4000 H 4000 40000 G 8000 4000 F 6000 Slope 8% 4000 E 2000 D 2000 up C 4000 B 8000 4000 up A 4000 4000 2000 2000 4000 4000 4000 4000 4000 4000 1000 3000 1 2 3 4 5 6 7 8 9 10 11 12 Stamp Notice Client: Issued Design Discipline REV. DATE CHK. APP. DR. KHAMHOO Date: KOICA CONSTRUCTION DRAWING ELECTRICAL 1 - - - 22/10/2024 Approved by: Project Title 2 - - MR. THONGKHOUN Sheet size: DES. Rural Developement Department DESIGN AND SUPERVISION 3 - - - A3 Name: FOR CONSTRUCTION OF SOUTHERN AGRICULTURAL 4 - - - Sheet No: KIRD Drawing Title 5 - - CHK. MR. KHONESAVATH EE2-13 ARCHINEER Associates Co.,Ltd. Name: EXHAUST PLAN 6 - - - Scale: House 571,unite 10, Saphang mor Village, KOICA'S CM 7 - - DRA. MR. THONGKHOUN Saysettha District, Vientiane, Lao PDR. 1/200 Tel:(856-21) 454354, Email: archineerss@gmail.com Name: 8 - - -</x:v>
      </x:c>
      <x:c r="J1809" s="43" t="str">
        <x:v>자동추출·검토필요</x:v>
      </x:c>
    </x:row>
    <x:row r="1810">
      <x:c r="A1810" s="43" t="str">
        <x:v>L2024-00075-1</x:v>
      </x:c>
      <x:c r="B1810" s="43" t="str">
        <x:v>부가세·예비비</x:v>
      </x:c>
      <x:c r="C1810" s="46" t="str">
        <x:v>vat, tax</x:v>
      </x:c>
      <x:c r="D1810" s="46" t="str"/>
      <x:c r="E1810" s="46" t="str">
        <x:v>USD 624,034</x:v>
      </x:c>
      <x:c r="F1810" s="46" t="str"/>
      <x:c r="G1810" s="46" t="str">
        <x:v>L2024-00075-1/Summary of Bidding (요약본).docx</x:v>
      </x:c>
      <x:c r="H1810" s="43" t="str">
        <x:v>표 2 행 4</x:v>
      </x:c>
      <x:c r="I1810" s="46" t="str">
        <x:v>․Project Budget | USD 624,034 (exclusive of VAT and other applicable indirect taxes) - Any price proposal exceeding the budget may result in rejection of its bid</x:v>
      </x:c>
      <x:c r="J1810" s="43" t="str">
        <x:v>자동추출·검토필요</x:v>
      </x:c>
    </x:row>
    <x:row r="1811">
      <x:c r="A1811" s="43" t="str">
        <x:v>L2024-00074-1</x:v>
      </x:c>
      <x:c r="B1811" s="43" t="str">
        <x:v>부가세·예비비</x:v>
      </x:c>
      <x:c r="C1811" s="46" t="str">
        <x:v>vat</x:v>
      </x:c>
      <x:c r="D1811" s="46" t="str"/>
      <x:c r="E1811" s="46" t="str">
        <x:v>USD 103,630 | USD 103,630</x:v>
      </x:c>
      <x:c r="F1811" s="46" t="str"/>
      <x:c r="G1811" s="46" t="str">
        <x:v>L2024-00074-1/3.Section 2 - Bid Data Sheet (영문)_1031.docx</x:v>
      </x:c>
      <x:c r="H1811" s="43" t="str">
        <x:v>표 4 행 7</x:v>
      </x:c>
      <x:c r="I1811" s="46" t="str">
        <x:v>․ Project Budget | USD 103,630 (including VAT) | USD 103,630 (including VAT)</x:v>
      </x:c>
      <x:c r="J1811" s="43" t="str">
        <x:v>자동추출·검토필요</x:v>
      </x:c>
    </x:row>
    <x:row r="1812">
      <x:c r="A1812" s="43" t="str">
        <x:v>L2024-00074-1</x:v>
      </x:c>
      <x:c r="B1812" s="43" t="str">
        <x:v>부가세·예비비</x:v>
      </x:c>
      <x:c r="C1812" s="46" t="str">
        <x:v>vat</x:v>
      </x:c>
      <x:c r="D1812" s="46" t="str"/>
      <x:c r="E1812" s="46" t="str"/>
      <x:c r="F1812" s="46" t="str">
        <x:v>100%</x:v>
      </x:c>
      <x:c r="G1812" s="46" t="str">
        <x:v>L2024-00074-1/3.Section 2 - Bid Data Sheet (영문)_1031.docx</x:v>
      </x:c>
      <x:c r="H1812" s="43" t="str">
        <x:v>표 7 행 2</x:v>
      </x:c>
      <x:c r="I1812" s="46" t="str">
        <x:v>(As of the bidding announcement date) Delivery performance within the last five years (goods equal to or higher than the goods for procurement, and similar goods) | Amount [Delivery Performance (excluding VAT)/ Project Budget (excluding VAT)] Quantity [Delivery Quantity /Bidding Quantity] | 30 | A: above 100% | 30.0</x:v>
      </x:c>
      <x:c r="J1812" s="43" t="str">
        <x:v>자동추출·검토필요</x:v>
      </x:c>
    </x:row>
    <x:row r="1813">
      <x:c r="A1813" s="43" t="str">
        <x:v>L2024-00074-1</x:v>
      </x:c>
      <x:c r="B1813" s="43" t="str">
        <x:v>부가세·예비비</x:v>
      </x:c>
      <x:c r="C1813" s="46" t="str">
        <x:v>vat</x:v>
      </x:c>
      <x:c r="D1813" s="46" t="str"/>
      <x:c r="E1813" s="46" t="str"/>
      <x:c r="F1813" s="46" t="str">
        <x:v>70%</x:v>
      </x:c>
      <x:c r="G1813" s="46" t="str">
        <x:v>L2024-00074-1/3.Section 2 - Bid Data Sheet (영문)_1031.docx</x:v>
      </x:c>
      <x:c r="H1813" s="43" t="str">
        <x:v>표 7 행 3</x:v>
      </x:c>
      <x:c r="I1813" s="46" t="str">
        <x:v>(As of the bidding announcement date) Delivery performance within the last five years (goods equal to or higher than the goods for procurement, and similar goods) | Amount [Delivery Performance (excluding VAT)/ Project Budget (excluding VAT)] Quantity [Delivery Quantity /Bidding Quantity] | 30 | B: above 70% | 25.0</x:v>
      </x:c>
      <x:c r="J1813" s="43" t="str">
        <x:v>자동추출·검토필요</x:v>
      </x:c>
    </x:row>
    <x:row r="1814">
      <x:c r="A1814" s="43" t="str">
        <x:v>L2024-00074-1</x:v>
      </x:c>
      <x:c r="B1814" s="43" t="str">
        <x:v>부가세·예비비</x:v>
      </x:c>
      <x:c r="C1814" s="46" t="str">
        <x:v>vat</x:v>
      </x:c>
      <x:c r="D1814" s="46" t="str"/>
      <x:c r="E1814" s="46" t="str"/>
      <x:c r="F1814" s="46" t="str">
        <x:v>50%</x:v>
      </x:c>
      <x:c r="G1814" s="46" t="str">
        <x:v>L2024-00074-1/3.Section 2 - Bid Data Sheet (영문)_1031.docx</x:v>
      </x:c>
      <x:c r="H1814" s="43" t="str">
        <x:v>표 7 행 4</x:v>
      </x:c>
      <x:c r="I1814" s="46" t="str">
        <x:v>(As of the bidding announcement date) Delivery performance within the last five years (goods equal to or higher than the goods for procurement, and similar goods) | Amount [Delivery Performance (excluding VAT)/ Project Budget (excluding VAT)] Quantity [Delivery Quantity /Bidding Quantity] | 30 | C: above 50% | 20.0</x:v>
      </x:c>
      <x:c r="J1814" s="43" t="str">
        <x:v>자동추출·검토필요</x:v>
      </x:c>
    </x:row>
    <x:row r="1815">
      <x:c r="A1815" s="43" t="str">
        <x:v>L2024-00074-1</x:v>
      </x:c>
      <x:c r="B1815" s="43" t="str">
        <x:v>부가세·예비비</x:v>
      </x:c>
      <x:c r="C1815" s="46" t="str">
        <x:v>vat</x:v>
      </x:c>
      <x:c r="D1815" s="46" t="str"/>
      <x:c r="E1815" s="46" t="str"/>
      <x:c r="F1815" s="46" t="str">
        <x:v>20%</x:v>
      </x:c>
      <x:c r="G1815" s="46" t="str">
        <x:v>L2024-00074-1/3.Section 2 - Bid Data Sheet (영문)_1031.docx</x:v>
      </x:c>
      <x:c r="H1815" s="43" t="str">
        <x:v>표 7 행 5</x:v>
      </x:c>
      <x:c r="I1815" s="46" t="str">
        <x:v>(As of the bidding announcement date) Delivery performance within the last five years (goods equal to or higher than the goods for procurement, and similar goods) | Amount [Delivery Performance (excluding VAT)/ Project Budget (excluding VAT)] Quantity [Delivery Quantity /Bidding Quantity] | 30 | D: above 20% | 15.0</x:v>
      </x:c>
      <x:c r="J1815" s="43" t="str">
        <x:v>자동추출·검토필요</x:v>
      </x:c>
    </x:row>
    <x:row r="1816">
      <x:c r="A1816" s="43" t="str">
        <x:v>L2024-00074-1</x:v>
      </x:c>
      <x:c r="B1816" s="43" t="str">
        <x:v>부가세·예비비</x:v>
      </x:c>
      <x:c r="C1816" s="46" t="str">
        <x:v>vat</x:v>
      </x:c>
      <x:c r="D1816" s="46" t="str"/>
      <x:c r="E1816" s="46" t="str"/>
      <x:c r="F1816" s="46" t="str">
        <x:v>5% | 20%</x:v>
      </x:c>
      <x:c r="G1816" s="46" t="str">
        <x:v>L2024-00074-1/3.Section 2 - Bid Data Sheet (영문)_1031.docx</x:v>
      </x:c>
      <x:c r="H1816" s="43" t="str">
        <x:v>표 7 행 6</x:v>
      </x:c>
      <x:c r="I1816" s="46" t="str">
        <x:v>(As of the bidding announcement date) Delivery performance within the last five years (goods equal to or higher than the goods for procurement, and similar goods) | Amount [Delivery Performance (excluding VAT)/ Project Budget (excluding VAT)] Quantity [Delivery Quantity /Bidding Quantity] | 30 | E: above 5% to under 20% | 10.0</x:v>
      </x:c>
      <x:c r="J1816" s="43" t="str">
        <x:v>자동추출·검토필요</x:v>
      </x:c>
    </x:row>
    <x:row r="1817">
      <x:c r="A1817" s="43" t="str">
        <x:v>L2024-00074-1</x:v>
      </x:c>
      <x:c r="B1817" s="43" t="str">
        <x:v>부가세·예비비</x:v>
      </x:c>
      <x:c r="C1817" s="46" t="str">
        <x:v>vat</x:v>
      </x:c>
      <x:c r="D1817" s="46" t="str"/>
      <x:c r="E1817" s="46" t="str">
        <x:v>USD 000,000</x:v>
      </x:c>
      <x:c r="F1817" s="46" t="str"/>
      <x:c r="G1817" s="46" t="str">
        <x:v>L2024-00074-1/3.Section 2 - Bid Data Sheet (영문)_1031.docx</x:v>
      </x:c>
      <x:c r="H1817" s="43" t="str">
        <x:v>표 8 행 2</x:v>
      </x:c>
      <x:c r="I1817" s="46" t="str">
        <x:v>equal to or higher goods | | Amount USD 000,000 (excluding VAT)</x:v>
      </x:c>
      <x:c r="J1817" s="43" t="str">
        <x:v>자동추출·검토필요</x:v>
      </x:c>
    </x:row>
    <x:row r="1818">
      <x:c r="A1818" s="43" t="str">
        <x:v>L2024-00074-1</x:v>
      </x:c>
      <x:c r="B1818" s="43" t="str">
        <x:v>부가세·예비비</x:v>
      </x:c>
      <x:c r="C1818" s="46" t="str">
        <x:v>vat</x:v>
      </x:c>
      <x:c r="D1818" s="46" t="str"/>
      <x:c r="E1818" s="46" t="str">
        <x:v>USD 000,000</x:v>
      </x:c>
      <x:c r="F1818" s="46" t="str"/>
      <x:c r="G1818" s="46" t="str">
        <x:v>L2024-00074-1/3.Section 2 - Bid Data Sheet (영문)_1031.docx</x:v>
      </x:c>
      <x:c r="H1818" s="43" t="str">
        <x:v>표 8 행 3</x:v>
      </x:c>
      <x:c r="I1818" s="46" t="str">
        <x:v>Similar goods | (Not applicable) | Amount USD 000,000 (excluding VAT)</x:v>
      </x:c>
      <x:c r="J1818" s="43" t="str">
        <x:v>자동추출·검토필요</x:v>
      </x:c>
    </x:row>
    <x:row r="1819">
      <x:c r="A1819" s="43" t="str">
        <x:v>L2024-00072-1</x:v>
      </x:c>
      <x:c r="B1819" s="43" t="str">
        <x:v>부가세·예비비</x:v>
      </x:c>
      <x:c r="C1819" s="46" t="str">
        <x:v>contingency</x:v>
      </x:c>
      <x:c r="D1819" s="46" t="str"/>
      <x:c r="E1819" s="46" t="str"/>
      <x:c r="F1819" s="46" t="str">
        <x:v>5%</x:v>
      </x:c>
      <x:c r="G1819" s="46" t="str">
        <x:v>L2024-00072-1/1. 국영문 입찰계획안 우간다 마케레레/Section 2 - Bid Data Sheet (BDS)_20240930_CM검토.docx</x:v>
      </x:c>
      <x:c r="H1819" s="43" t="str">
        <x:v>문단 101</x:v>
      </x:c>
      <x:c r="I1819" s="46" t="str">
        <x:v>- Contingency cost shall be fixed at 5% of the total service value and shall be spent after the approval of KOICA.</x:v>
      </x:c>
      <x:c r="J1819" s="43" t="str">
        <x:v>자동추출·검토필요</x:v>
      </x:c>
    </x:row>
    <x:row r="1820">
      <x:c r="A1820" s="43" t="str">
        <x:v>L2024-00072-1</x:v>
      </x:c>
      <x:c r="B1820" s="43" t="str">
        <x:v>부가세·예비비</x:v>
      </x:c>
      <x:c r="C1820" s="46" t="str">
        <x:v>vat</x:v>
      </x:c>
      <x:c r="D1820" s="46" t="str"/>
      <x:c r="E1820" s="46" t="str">
        <x:v>USD 390,500 | USD 213,000 | USD 177,500 | USD 390,500 | USD 213,000 | USD 177,500</x:v>
      </x:c>
      <x:c r="F1820" s="46" t="str"/>
      <x:c r="G1820" s="46" t="str">
        <x:v>L2024-00072-1/1. 국영문 입찰계획안 우간다 마케레레/Section 2 - Bid Data Sheet (BDS)_20240930_CM검토.docx</x:v>
      </x:c>
      <x:c r="H1820" s="43" t="str">
        <x:v>표 5 행 6</x:v>
      </x:c>
      <x:c r="I1820" s="46" t="str">
        <x:v>․ Bid Limit | USD 390,500 (VAT excluded) Design : USD 213,000 Construction supervision : USD 177,500 | USD 390,500 (VAT excluded) Design : USD 213,000 Construction supervision : USD 177,500</x:v>
      </x:c>
      <x:c r="J1820" s="43" t="str">
        <x:v>자동추출·검토필요</x:v>
      </x:c>
    </x:row>
    <x:row r="1821">
      <x:c r="A1821" s="43" t="str">
        <x:v>L2024-00072-1</x:v>
      </x:c>
      <x:c r="B1821" s="43" t="str">
        <x:v>부가세·예비비</x:v>
      </x:c>
      <x:c r="C1821" s="46" t="str">
        <x:v>contingency</x:v>
      </x:c>
      <x:c r="D1821" s="46" t="str"/>
      <x:c r="E1821" s="46" t="str"/>
      <x:c r="F1821" s="46" t="str">
        <x:v>5%</x:v>
      </x:c>
      <x:c r="G1821" s="46" t="str">
        <x:v>L2024-00072-1/2. 입찰문서 각 1부 우간다 마케레레/Section 4 - Request for Proposal.docx</x:v>
      </x:c>
      <x:c r="H1821" s="43" t="str">
        <x:v>문단 134</x:v>
      </x:c>
      <x:c r="I1821" s="46" t="str">
        <x:v>Contingency shall be included in the BOQ and 5% of total construction cost minus overhead such as profit and insurance.</x:v>
      </x:c>
      <x:c r="J1821" s="43" t="str">
        <x:v>자동추출·검토필요</x:v>
      </x:c>
    </x:row>
    <x:row r="1822">
      <x:c r="A1822" s="43" t="str">
        <x:v>L2024-00072-1</x:v>
      </x:c>
      <x:c r="B1822" s="43" t="str">
        <x:v>부가세·예비비</x:v>
      </x:c>
      <x:c r="C1822" s="46" t="str">
        <x:v>vat</x:v>
      </x:c>
      <x:c r="D1822" s="46" t="str"/>
      <x:c r="E1822" s="46" t="str"/>
      <x:c r="F1822" s="46" t="str">
        <x:v>35%</x:v>
      </x:c>
      <x:c r="G1822" s="46" t="str">
        <x:v>L2024-00072-1/2. 입찰문서 각 1부 우간다 마케레레/Section 4 - Request for Proposal.docx</x:v>
      </x:c>
      <x:c r="H1822" s="43" t="str">
        <x:v>표 5 행 54</x:v>
      </x:c>
      <x:c r="I1822" s="46" t="str">
        <x:v>Sum of Common Space Area | 35% of Net Area | | | | 847.7 | Lobby, Corridor, Staircase, Elevator &amp; Etc. | | | | | |</x:v>
      </x:c>
      <x:c r="J1822" s="43" t="str">
        <x:v>자동추출·검토필요</x:v>
      </x:c>
    </x:row>
    <x:row r="1823">
      <x:c r="A1823" s="43" t="str">
        <x:v>L2024-00072-1</x:v>
      </x:c>
      <x:c r="B1823" s="43" t="str">
        <x:v>부가세·예비비</x:v>
      </x:c>
      <x:c r="C1823" s="46" t="str">
        <x:v>vat</x:v>
      </x:c>
      <x:c r="D1823" s="46" t="str"/>
      <x:c r="E1823" s="46" t="str">
        <x:v>USD 390,500 | USD 213,000 | USD 177,500</x:v>
      </x:c>
      <x:c r="F1823" s="46" t="str"/>
      <x:c r="G1823" s="46" t="str">
        <x:v>L2024-00072-1/2. 입찰문서 각 1부 우간다 마케레레/Summary of Bidding (요약본)_수정.docx</x:v>
      </x:c>
      <x:c r="H1823" s="43" t="str">
        <x:v>표 2 행 4</x:v>
      </x:c>
      <x:c r="I1823" s="46" t="str">
        <x:v>․ Project Budget | USD 390,500 (VAT excluded) (Design) USD 213,000 (Construction supervision) USD 177,500</x:v>
      </x:c>
      <x:c r="J1823" s="43" t="str">
        <x:v>자동추출·검토필요</x:v>
      </x:c>
    </x:row>
    <x:row r="1824">
      <x:c r="A1824" s="43" t="str">
        <x:v>L2024-00068-2</x:v>
      </x:c>
      <x:c r="B1824" s="43" t="str">
        <x:v>부가세·예비비</x:v>
      </x:c>
      <x:c r="C1824" s="46" t="str">
        <x:v>tax</x:v>
      </x:c>
      <x:c r="D1824" s="46" t="str"/>
      <x:c r="E1824" s="46" t="str">
        <x:v>$ 3</x:v>
      </x:c>
      <x:c r="F1824" s="46" t="str"/>
      <x:c r="G1824" s="46" t="str">
        <x:v>L2024-00068-2/Section 11 - Bid Document Checklist_IPNETP Construction.xlsx</x:v>
      </x:c>
      <x:c r="H1824" s="43" t="str">
        <x:v>List!8</x:v>
      </x:c>
      <x:c r="I1824" s="46" t="str">
        <x:v>A8=4 | B8=Application | C8=2024-11-20 15:00 PM | D8=Tax payment confirmation / Certificate of Liabilities | E8=Submit via E-mail(abidjan@koica.go.kr) | F8=Tax Department (under the Ministry of Economy and Fiances) | G8=="(Attached "&amp;ROW(A4)&amp;") "&amp;표1[[#This Row],[Title of the document]]&amp;"_"&amp;$I$3 | H8=-</x:v>
      </x:c>
      <x:c r="J1824" s="43" t="str">
        <x:v>자동추출·검토필요</x:v>
      </x:c>
    </x:row>
    <x:row r="1825">
      <x:c r="A1825" s="43" t="str">
        <x:v>L2024-00068-2</x:v>
      </x:c>
      <x:c r="B1825" s="43" t="str">
        <x:v>부가세·예비비</x:v>
      </x:c>
      <x:c r="C1825" s="46" t="str">
        <x:v>tax</x:v>
      </x:c>
      <x:c r="D1825" s="46" t="str"/>
      <x:c r="E1825" s="46" t="str">
        <x:v>$ 3</x:v>
      </x:c>
      <x:c r="F1825" s="46" t="str"/>
      <x:c r="G1825" s="46" t="str">
        <x:v>L2024-00068-2/Section 11 - Bid Document Checklist_IPNETP Construction.xlsx</x:v>
      </x:c>
      <x:c r="H1825" s="43" t="str">
        <x:v>List!16</x:v>
      </x:c>
      <x:c r="I1825" s="46" t="str">
        <x:v>A16=13 | B16=Bid Submission | C16=2024-11-28 11:00:00 | D16=Tax payment confirmation / Certificate of Liabilities | E16=Visit KOICA Office | F16=Tax Department (under the Ministry of Economy and Fiances) | G16=="(Attached "&amp;ROW(A5)&amp;") "&amp;표1[[#This Row],[Title of the document]]&amp;"_"&amp;$I$3 | H16=1 copy</x:v>
      </x:c>
      <x:c r="J1825" s="43" t="str">
        <x:v>자동추출·검토필요</x:v>
      </x:c>
    </x:row>
    <x:row r="1826">
      <x:c r="A1826" s="43" t="str">
        <x:v>L2024-00068-2</x:v>
      </x:c>
      <x:c r="B1826" s="43" t="str">
        <x:v>부가세·예비비</x:v>
      </x:c>
      <x:c r="C1826" s="46" t="str">
        <x:v>vat, tax</x:v>
      </x:c>
      <x:c r="D1826" s="46" t="str"/>
      <x:c r="E1826" s="46" t="str">
        <x:v>USD 440,000 | USD 440,000</x:v>
      </x:c>
      <x:c r="F1826" s="46" t="str"/>
      <x:c r="G1826" s="46" t="str">
        <x:v>L2024-00068-2/Section 2 - Bid Data Sheet (Written in English).docx</x:v>
      </x:c>
      <x:c r="H1826" s="43" t="str">
        <x:v>표 4 행 8</x:v>
      </x:c>
      <x:c r="I1826" s="46" t="str">
        <x:v>․ Project Budget | USD 440,000 (Be exclusive of VAT and other applicable indirect taxes) | USD 440,000 (Be exclusive of VAT and other applicable indirect taxes)</x:v>
      </x:c>
      <x:c r="J1826" s="43" t="str">
        <x:v>자동추출·검토필요</x:v>
      </x:c>
    </x:row>
    <x:row r="1827">
      <x:c r="A1827" s="43" t="str">
        <x:v>L2024-00068-2</x:v>
      </x:c>
      <x:c r="B1827" s="43" t="str">
        <x:v>부가세·예비비</x:v>
      </x:c>
      <x:c r="C1827" s="46" t="str">
        <x:v>vat, tax</x:v>
      </x:c>
      <x:c r="D1827" s="46" t="str"/>
      <x:c r="E1827" s="46" t="str">
        <x:v>USD 429,000 | USD 429,000</x:v>
      </x:c>
      <x:c r="F1827" s="46" t="str"/>
      <x:c r="G1827" s="46" t="str">
        <x:v>L2024-00068-2/Section 2 - Bid Data Sheet (Written in English).docx</x:v>
      </x:c>
      <x:c r="H1827" s="43" t="str">
        <x:v>표 4 행 9</x:v>
      </x:c>
      <x:c r="I1827" s="46" t="str">
        <x:v>․ Projected Estimated Price | USD 429,000 (Be exclusive of VAT and other applicable indirect taxes) | USD 429,000 (Be exclusive of VAT and other applicable indirect taxes)</x:v>
      </x:c>
      <x:c r="J1827" s="43" t="str">
        <x:v>자동추출·검토필요</x:v>
      </x:c>
    </x:row>
    <x:row r="1828">
      <x:c r="A1828" s="43" t="str">
        <x:v>L2024-00068-2</x:v>
      </x:c>
      <x:c r="B1828" s="43" t="str">
        <x:v>부가세·예비비</x:v>
      </x:c>
      <x:c r="C1828" s="46" t="str">
        <x:v>vat</x:v>
      </x:c>
      <x:c r="D1828" s="46" t="str">
        <x:v>150 m²</x:v>
      </x:c>
      <x:c r="E1828" s="46" t="str">
        <x:v>eur 1.1.5</x:v>
      </x:c>
      <x:c r="F1828" s="46" t="str"/>
      <x:c r="G1828" s="46" t="str">
        <x:v>L2024-00068-2/Section 4 - DQE/4-4. KOICA dqe confidentiel TRAVAUX PRATIQUES.pdf</x:v>
      </x:c>
      <x:c r="H1828" s="43" t="str">
        <x:v>페이지 1</x:v>
      </x:c>
      <x:c r="I1828" s="46" t="str">
        <x:v>BATIMENT B / TRAVAUX PRATIQUE ( MECANIQUE AUTOMOBILE) septembre-24 N° DESIGNATION U QTE P.U. HT MONTANT HT RENOVATION 1 ATELIER DE TRAVAUX PRATIQUES 1.1 Renovation du plancher 1.1.1 Remblai compacté de la fosse avec la terre laterite m3 6,00 10 000 60 000 1.1.2 Betonnage de la fosse •beton dosé en 350 kg/m3 m3 2,00 100 000 200 000 •Acier Ø12 mm kg 200,00 1 700 340 000 1.1.3 Peinture d'epoxy m² 105,74 13 000 1 374 620 1.1.4 Peinture des lignes de securité m² 6,88 9 000 61 920 Rainure de drainage section 10 x 5 (cm) à l'extérieur 1.1.5 ft 1,00 100 000 100 000 du batiment 1.3 Peinture interieure du batiment 1.3.1 Peinture du plafond m² 110,000 9 000 990 000 1.3.2 Peinture murale m² 160,000 12 500 2 000 000 1.4 Eclairage et ventillation 1.4.1 F/P de plaques lumineuses LED u 6,000 68 000 408 000 1.4.2 F/P de Ventillateurs industriels mobile u 2,000 300 000 600 000 Sous-total atelier de travaux pratiques 6 134 540 ATELIER DE TRAVAUX PRATIQUES EXTERIEUR (SALLE 2 MECANIQUE 2 AUTO) 2.1 Repreise de dallage en BA et ferronnerie •beton dosé en 350 kg/m3 ep = 200 mm m3 30,11 100 000 3 011 000 •Grillage n°6 ml 150,57 1 000 150 570 2.2 Canalisation en PVC Ø125 mm ml 18,50 10 300 190 550 2.3 Peint</x:v>
      </x:c>
      <x:c r="J1828" s="43" t="str">
        <x:v>자동추출·검토필요</x:v>
      </x:c>
    </x:row>
    <x:row r="1829">
      <x:c r="A1829" s="43" t="str">
        <x:v>L2024-00068-2</x:v>
      </x:c>
      <x:c r="B1829" s="43" t="str">
        <x:v>부가세·예비비</x:v>
      </x:c>
      <x:c r="C1829" s="46" t="str">
        <x:v>vat</x:v>
      </x:c>
      <x:c r="D1829" s="46" t="str"/>
      <x:c r="E1829" s="46" t="str">
        <x:v>eur 2000</x:v>
      </x:c>
      <x:c r="F1829" s="46" t="str"/>
      <x:c r="G1829" s="46" t="str">
        <x:v>L2024-00068-2/Section 4 - DQE/4-5. KOICA dqe confidentiel AUTOMATISATION.pdf</x:v>
      </x:c>
      <x:c r="H1829" s="43" t="str">
        <x:v>페이지 1</x:v>
      </x:c>
      <x:c r="I1829" s="46" t="str">
        <x:v>BATIMENT B / AUTOMATISATION septembre-24 N° DESIGNATION U QTE P.U. HT MONTANT HT DEPARTEMENT D'AUTOMATISATION I DEMOLITION 1 Dépose de fenêtres m² 5,28 7 000 36 960 2 Dépose de climatisations u 10 12 000 120 000 3 Dépose de plancher d'accès m² 22,06 5 000 110 300 4 Nettoyage general et evacuation des debris ft 1,00 250 000 250 000 Sous-total demolition 517 260 II RENOVATION 1 REVETEMENTS 1.1 Sol, mur, plancher, cloisons 1.1.1 Peinture d'epoxy m² 81 13 000 1 053 000 1.1.2 Plafond-tex m² 81 19 000 1 539 000 1.1.3 Peinture murale interieure m² 112 12 500 1 400 000 Sous-total revêtement 3 992 000 2 MENUISERIE EN BOIS 2.1 Portes Porte Contreplaqué avec ploignée 2,1x1,1(mm) m² 2,31 75 000 173 250 Sous-total portes 173 250 3 ALU 3.1 Fenêtres en ALU 0,7X0,55 (m) m² 2,31 110 000 254 100 4 Stores pour fenêtres F/P de Store intérieur ft 1,00 350 000 350 000 Sous-total ALU 604 100 5 ELECTRICITE 5.1 Dijoncteur monophasé 220V u 1 250 000 250 000 5.2 F/P de plaques lumineuses LED u 15 68 000 1 020 000 5.3 Câbles 3x1,5 mm² ml 155,00 1 500 232 500 5.4 Câbles 3x2,5 mm² ml 155,00 2 000 310 000 5.5 Coffret de distribution 1x12 modules u 1 600 000 600 000 5.6 Goulotte murale en alu ml 30 24 100 723 000</x:v>
      </x:c>
      <x:c r="J1829" s="43" t="str">
        <x:v>자동추출·검토필요</x:v>
      </x:c>
    </x:row>
    <x:row r="1830">
      <x:c r="A1830" s="43" t="str">
        <x:v>L2024-00068-2</x:v>
      </x:c>
      <x:c r="B1830" s="43" t="str">
        <x:v>부가세·예비비</x:v>
      </x:c>
      <x:c r="C1830" s="46" t="str">
        <x:v>vat</x:v>
      </x:c>
      <x:c r="D1830" s="46" t="str"/>
      <x:c r="E1830" s="46" t="str">
        <x:v>eur 2000</x:v>
      </x:c>
      <x:c r="F1830" s="46" t="str"/>
      <x:c r="G1830" s="46" t="str">
        <x:v>L2024-00068-2/Section 4 - DQE/4-6. KOICA dqe confidentiel MECANIQUE GENERALE.pdf</x:v>
      </x:c>
      <x:c r="H1830" s="43" t="str">
        <x:v>페이지 2</x:v>
      </x:c>
      <x:c r="I1830" s="46" t="str">
        <x:v>5 PLOMBERIE Installation sanitaire 5.1 WC complet u 6 250 000 1 500 000 5.2 Colonne de douche u 2 35 000 70 000 5.3 Lavabos complet y/c miroir u 5 140 000 700 000 5.4 Porte-serviette en acier inox u 2 20 000 40 000 5.5 Porte-savon en acier inox u 3 15 000 45 000 5.6 Porte-PH en acier inox u 6 15 000 90 000 Sous-total plomberie 2 270 000 5.4 ELECTRICITE 5.5 F/P de plaques lumineuses LED u 30 68 000 2 040 000 5.6 Coffret de distribution 1x12 modules u 2 600 000 1 200 000 5.7 Prises 2T u 10 9 500 95 000 5.8 Interrupeur DA u 2 6 700 13 400 5.9 Interrupteur SA étanche u 15 19 000 285 000 5.10 Revision de tout le système electrique existant ft 1,000 2 000 000 2 000 000 Sous-total Electricité 5 633 400 6 CLIMATISATION Climatiseur 2000 BTU INVERTER u 4,000 750 000 3 000 000 Sous-total climatisation 3 000 000 7 Air comprimé F/P d'un système d'air comprimé contenant un compresseur de 4 cv, 270 litres, y compris 7,1 ft 1,00 5 000 000 5 000 000 assessoires et toutes sujetions de pose, alimentant les salles de travaux pratiques et mecanique generale Sous-total air comprimée 5 000 000 TOTAL RENOVATION SALLE D'OUTILS ET DE TRAVAUX PRATIQUES 36 944 413</x:v>
      </x:c>
      <x:c r="J1830" s="43" t="str">
        <x:v>자동추출·검토필요</x:v>
      </x:c>
    </x:row>
    <x:row r="1831">
      <x:c r="A1831" s="43" t="str">
        <x:v>L2024-00068-2</x:v>
      </x:c>
      <x:c r="B1831" s="43" t="str">
        <x:v>부가세·예비비</x:v>
      </x:c>
      <x:c r="C1831" s="46" t="str">
        <x:v>vat</x:v>
      </x:c>
      <x:c r="D1831" s="46" t="str">
        <x:v>1.1.4 m²</x:v>
      </x:c>
      <x:c r="E1831" s="46" t="str">
        <x:v>eur 2000</x:v>
      </x:c>
      <x:c r="F1831" s="46" t="str"/>
      <x:c r="G1831" s="46" t="str">
        <x:v>L2024-00068-2/Section 4 - DQE/4-6. KOICA dqe confidentiel MECANIQUE GENERALE.pdf</x:v>
      </x:c>
      <x:c r="H1831" s="43" t="str">
        <x:v>페이지 3</x:v>
      </x:c>
      <x:c r="I1831" s="46" t="str">
        <x:v>III RENOVATION SALLE DAO/MASTER CAM 1 REVETEMENTS 1.1 Sol, mur, plancher 1.1.1 Mur en agglos 15 creux m² 98 14 000 1 375 080 1.1.2 Peinture d'epoxy m² 81 13 000 1 053 000 1.1.3 Peinture exterieur, interieur des murs et plafond m² 455 12 500 5 687 500 Peinture des lignes pour l'emplacement des 1.1.4 m² 5,81 9 000 52 290 machines et pietons 1.1.5 Plafond-tex m² 81 19 000 1 539 000 Sous-total revêtement 9 706 870 2 FERRONNERIE Portes en acier Porte simple 900x2200 (mm) m² 1,98 75 000 148 500 Porte double 3000x3000 (mm) m² 9 75 000 675 000 Sous-total portes 823 500 3 ALU, PVC Fenêtres en ALU 110x110 (cm) m² 6,71 110 000 738 100 Sous-total ALU 738 100 4 Stores et rideaux pour fenêtres 4.1 F/P de Rideaux ft 1 380 000 380 000 4.2 F/P de Store intérieur pour fenêtre m² 6,10 25 000 152 500 Sous-total Stores et rideaux pour fenêtres 532 500 5 ELECTRICITE 5.1 Panneau LED u 4 58 300 233 200 5.2 Dijoncteur triphasé 380V u 1 330 000 330 000 5.3 Dijoncteur monophasé 220V u 1 250 000 250 000 5.4 Coffret de distribution 1x12 modules u 3 600 000 1 800 000 5.5 Bouton poussoir u 1 14 400 14 400 5.6 Câbles 3x1,5 mm² ml 108 1 500 162 000 5.7 Câbles 3x2,5 mm² ml 108 2 000 216 000 5.8 Prises 2T u 7 9 500 </x:v>
      </x:c>
      <x:c r="J1831" s="43" t="str">
        <x:v>자동추출·검토필요</x:v>
      </x:c>
    </x:row>
    <x:row r="1832">
      <x:c r="A1832" s="43" t="str">
        <x:v>L2024-00068-2</x:v>
      </x:c>
      <x:c r="B1832" s="43" t="str">
        <x:v>부가세·예비비</x:v>
      </x:c>
      <x:c r="C1832" s="46" t="str">
        <x:v>vat</x:v>
      </x:c>
      <x:c r="D1832" s="46" t="str"/>
      <x:c r="E1832" s="46" t="str">
        <x:v>eur 2000</x:v>
      </x:c>
      <x:c r="F1832" s="46" t="str"/>
      <x:c r="G1832" s="46" t="str">
        <x:v>L2024-00068-2/Section 4 - DQE/4-6. KOICA dqe confidentiel MECANIQUE GENERALE.pdf</x:v>
      </x:c>
      <x:c r="H1832" s="43" t="str">
        <x:v>페이지 4</x:v>
      </x:c>
      <x:c r="I1832" s="46" t="str">
        <x:v>2 FERRONNERIE-BOIS 2.1 Portes en bois Porte double 1500x3000 (mm) m² 4,50 75 000 337 500 2.2 Grille de securité en acier pour porte m² 4,70 46 000 216 200 2.3 Etagère en acier m² 6 120 000 720 000 Sous-total ferronnerie-bois 1 273 700 3 ALU F/P de baies vitrées en ALU m² 25,95 125 000 3 243 750 Sous-total ALU 3 243 750 4 F/P de Rideaux pour fenêtres ft 1,000 250 000 250 000 Sous-total rideaux 250 000 5 ELECTRICITE 5.1 Panneau LED u 9 58 300 524 700 5.3 Dijoncteur monophasé 220V u 1 204 300 204 300 5.4 Coffret de distribution 1x12 modules u 1 530 000 530 000 5.5 Bouton poussoir u 1 14 400 14 400 5.6 Prises 2T u 7 9 500 66 500 5.7 Interrupeur DA u 2 6 700 13 400 5.8 Interrupteur SA u 2 19 000 38 000 Sous-total electricité 1 391 300 6 CLIMATISATION Climatiseur 2000 BTU INVERTER u 2 750 000 1 500 000 Sous-total climatisation 1 500 000 TOTAL RENOVATION SALLE DAO 10 822 750 TOTAL GENERAL BATIMENT E (FCFA) 66 142 633</x:v>
      </x:c>
      <x:c r="J1832" s="43" t="str">
        <x:v>자동추출·검토필요</x:v>
      </x:c>
    </x:row>
    <x:row r="1833">
      <x:c r="A1833" s="43" t="str">
        <x:v>L2024-00068-2</x:v>
      </x:c>
      <x:c r="B1833" s="43" t="str">
        <x:v>부가세·예비비</x:v>
      </x:c>
      <x:c r="C1833" s="46" t="str">
        <x:v>vat</x:v>
      </x:c>
      <x:c r="D1833" s="46" t="str">
        <x:v>40 m2</x:v>
      </x:c>
      <x:c r="E1833" s="46" t="str"/>
      <x:c r="F1833" s="46" t="str"/>
      <x:c r="G1833" s="46" t="str">
        <x:v>L2024-00068-2/Section 6 - Scope of Work.docx</x:v>
      </x:c>
      <x:c r="H1833" s="43" t="str">
        <x:v>문단 525</x:v>
      </x:c>
      <x:c r="I1833" s="46" t="str">
        <x:v>Superficie de rénovation pour la salle E4 : 40m2 et plus</x:v>
      </x:c>
      <x:c r="J1833" s="43" t="str">
        <x:v>자동추출·검토필요</x:v>
      </x:c>
    </x:row>
    <x:row r="1834">
      <x:c r="A1834" s="43" t="str">
        <x:v>L2024-00068-2</x:v>
      </x:c>
      <x:c r="B1834" s="43" t="str">
        <x:v>부가세·예비비</x:v>
      </x:c>
      <x:c r="C1834" s="46" t="str">
        <x:v>vat</x:v>
      </x:c>
      <x:c r="D1834" s="46" t="str">
        <x:v>70 m2</x:v>
      </x:c>
      <x:c r="E1834" s="46" t="str"/>
      <x:c r="F1834" s="46" t="str"/>
      <x:c r="G1834" s="46" t="str">
        <x:v>L2024-00068-2/Section 6 - Scope of Work.docx</x:v>
      </x:c>
      <x:c r="H1834" s="43" t="str">
        <x:v>문단 526</x:v>
      </x:c>
      <x:c r="I1834" s="46" t="str">
        <x:v>Superficie de rénovation pour les salles E5 &amp; E6 : 70m2 et plus pour chacune</x:v>
      </x:c>
      <x:c r="J1834" s="43" t="str">
        <x:v>자동추출·검토필요</x:v>
      </x:c>
    </x:row>
    <x:row r="1835">
      <x:c r="A1835" s="43" t="str">
        <x:v>L2024-00068-2</x:v>
      </x:c>
      <x:c r="B1835" s="43" t="str">
        <x:v>부가세·예비비</x:v>
      </x:c>
      <x:c r="C1835" s="46" t="str">
        <x:v>vat</x:v>
      </x:c>
      <x:c r="D1835" s="46" t="str">
        <x:v>120 m2</x:v>
      </x:c>
      <x:c r="E1835" s="46" t="str"/>
      <x:c r="F1835" s="46" t="str"/>
      <x:c r="G1835" s="46" t="str">
        <x:v>L2024-00068-2/Section 6 - Scope of Work.docx</x:v>
      </x:c>
      <x:c r="H1835" s="43" t="str">
        <x:v>문단 528</x:v>
      </x:c>
      <x:c r="I1835" s="46" t="str">
        <x:v>Superficie de rénovation : 120m2 et plus</x:v>
      </x:c>
      <x:c r="J1835" s="43" t="str">
        <x:v>자동추출·검토필요</x:v>
      </x:c>
    </x:row>
    <x:row r="1836">
      <x:c r="A1836" s="43" t="str">
        <x:v>L2024-00068-2</x:v>
      </x:c>
      <x:c r="B1836" s="43" t="str">
        <x:v>부가세·예비비</x:v>
      </x:c>
      <x:c r="C1836" s="46" t="str">
        <x:v>vat</x:v>
      </x:c>
      <x:c r="D1836" s="46" t="str">
        <x:v>85,00 ㎡</x:v>
      </x:c>
      <x:c r="E1836" s="46" t="str"/>
      <x:c r="F1836" s="46" t="str"/>
      <x:c r="G1836" s="46" t="str">
        <x:v>L2024-00068-2/Section 6 - Scope of Work.docx</x:v>
      </x:c>
      <x:c r="H1836" s="43" t="str">
        <x:v>문단 549</x:v>
      </x:c>
      <x:c r="I1836" s="46" t="str">
        <x:v>Superficie de rénovation du laboratoire : 85,00㎡ et plus</x:v>
      </x:c>
      <x:c r="J1836" s="43" t="str">
        <x:v>자동추출·검토필요</x:v>
      </x:c>
    </x:row>
    <x:row r="1837">
      <x:c r="A1837" s="43" t="str">
        <x:v>L2024-00068-2</x:v>
      </x:c>
      <x:c r="B1837" s="43" t="str">
        <x:v>부가세·예비비</x:v>
      </x:c>
      <x:c r="C1837" s="46" t="str">
        <x:v>vat</x:v>
      </x:c>
      <x:c r="D1837" s="46" t="str">
        <x:v>80,00 ㎡</x:v>
      </x:c>
      <x:c r="E1837" s="46" t="str"/>
      <x:c r="F1837" s="46" t="str"/>
      <x:c r="G1837" s="46" t="str">
        <x:v>L2024-00068-2/Section 6 - Scope of Work.docx</x:v>
      </x:c>
      <x:c r="H1837" s="43" t="str">
        <x:v>문단 550</x:v>
      </x:c>
      <x:c r="I1837" s="46" t="str">
        <x:v>Superficie de rénovation de la salle E4 : 80,00㎡ et plus</x:v>
      </x:c>
      <x:c r="J1837" s="43" t="str">
        <x:v>자동추출·검토필요</x:v>
      </x:c>
    </x:row>
    <x:row r="1838">
      <x:c r="A1838" s="43" t="str">
        <x:v>L2024-00068-2</x:v>
      </x:c>
      <x:c r="B1838" s="43" t="str">
        <x:v>부가세·예비비</x:v>
      </x:c>
      <x:c r="C1838" s="46" t="str">
        <x:v>vat</x:v>
      </x:c>
      <x:c r="D1838" s="46" t="str">
        <x:v>70,00 ㎡</x:v>
      </x:c>
      <x:c r="E1838" s="46" t="str"/>
      <x:c r="F1838" s="46" t="str"/>
      <x:c r="G1838" s="46" t="str">
        <x:v>L2024-00068-2/Section 6 - Scope of Work.docx</x:v>
      </x:c>
      <x:c r="H1838" s="43" t="str">
        <x:v>문단 551</x:v>
      </x:c>
      <x:c r="I1838" s="46" t="str">
        <x:v>Superficie de rénovation de la salle E5 : 70,00㎡ et plus</x:v>
      </x:c>
      <x:c r="J1838" s="43" t="str">
        <x:v>자동추출·검토필요</x:v>
      </x:c>
    </x:row>
    <x:row r="1839">
      <x:c r="A1839" s="43" t="str">
        <x:v>L2024-00068-2</x:v>
      </x:c>
      <x:c r="B1839" s="43" t="str">
        <x:v>부가세·예비비</x:v>
      </x:c>
      <x:c r="C1839" s="46" t="str">
        <x:v>vat</x:v>
      </x:c>
      <x:c r="D1839" s="46" t="str">
        <x:v>70,00 ㎡</x:v>
      </x:c>
      <x:c r="E1839" s="46" t="str"/>
      <x:c r="F1839" s="46" t="str"/>
      <x:c r="G1839" s="46" t="str">
        <x:v>L2024-00068-2/Section 6 - Scope of Work.docx</x:v>
      </x:c>
      <x:c r="H1839" s="43" t="str">
        <x:v>문단 552</x:v>
      </x:c>
      <x:c r="I1839" s="46" t="str">
        <x:v>Superficie de rénovation de la salle E6 : 70,00㎡ et plus</x:v>
      </x:c>
      <x:c r="J1839" s="43" t="str">
        <x:v>자동추출·검토필요</x:v>
      </x:c>
    </x:row>
    <x:row r="1840">
      <x:c r="A1840" s="43" t="str">
        <x:v>L2024-00068-2</x:v>
      </x:c>
      <x:c r="B1840" s="43" t="str">
        <x:v>부가세·예비비</x:v>
      </x:c>
      <x:c r="C1840" s="46" t="str">
        <x:v>reserve</x:v>
      </x:c>
      <x:c r="D1840" s="46" t="str"/>
      <x:c r="E1840" s="46" t="str"/>
      <x:c r="F1840" s="46" t="str">
        <x:v>0.5%</x:v>
      </x:c>
      <x:c r="G1840" s="46" t="str">
        <x:v>L2024-00068-2/Section 7 - General Conditions of Contract.docx</x:v>
      </x:c>
      <x:c r="H1840" s="43" t="str">
        <x:v>표 4 행 109</x:v>
      </x:c>
      <x:c r="I1840"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840" s="43" t="str">
        <x:v>자동추출·검토필요</x:v>
      </x:c>
    </x:row>
    <x:row r="1841">
      <x:c r="A1841" s="43" t="str">
        <x:v>L2024-00068-2</x:v>
      </x:c>
      <x:c r="B1841" s="43" t="str">
        <x:v>부가세·예비비</x:v>
      </x:c>
      <x:c r="C1841" s="46" t="str">
        <x:v>reserve</x:v>
      </x:c>
      <x:c r="D1841" s="46" t="str"/>
      <x:c r="E1841" s="46" t="str"/>
      <x:c r="F1841" s="46" t="str">
        <x:v>50% | 50%</x:v>
      </x:c>
      <x:c r="G1841" s="46" t="str">
        <x:v>L2024-00068-2/Section 7 - General Conditions of Contract.docx</x:v>
      </x:c>
      <x:c r="H1841" s="43" t="str">
        <x:v>표 12 행 61</x:v>
      </x:c>
      <x:c r="I1841"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841" s="43" t="str">
        <x:v>자동추출·검토필요</x:v>
      </x:c>
    </x:row>
    <x:row r="1842">
      <x:c r="A1842" s="43" t="str">
        <x:v>L2024-00068-1</x:v>
      </x:c>
      <x:c r="B1842" s="43" t="str">
        <x:v>부가세·예비비</x:v>
      </x:c>
      <x:c r="C1842" s="46" t="str">
        <x:v>예비비</x:v>
      </x:c>
      <x:c r="D1842" s="46" t="str"/>
      <x:c r="E1842" s="46" t="str"/>
      <x:c r="F1842" s="46" t="str">
        <x:v>0.5%</x:v>
      </x:c>
      <x:c r="G1842" s="46" t="str">
        <x:v>L2024-00068-1/(붙임 1) 국문 입찰 계획서류_Bid Data Sheet (국문본)_IPNETP 사업 시공.hwp</x:v>
      </x:c>
      <x:c r="H1842" s="43" t="str">
        <x:v>문단 183</x:v>
      </x:c>
      <x:c r="I1842" s="46" t="str">
        <x:v>- 총공사비 중 예비비 제외 금액 × 0.5% 이상을 고정투찰</x:v>
      </x:c>
      <x:c r="J1842" s="43" t="str">
        <x:v>자동추출·검토필요</x:v>
      </x:c>
    </x:row>
    <x:row r="1843">
      <x:c r="A1843" s="43" t="str">
        <x:v>L2024-00068-1</x:v>
      </x:c>
      <x:c r="B1843" s="43" t="str">
        <x:v>부가세·예비비</x:v>
      </x:c>
      <x:c r="C1843" s="46" t="str">
        <x:v>tax</x:v>
      </x:c>
      <x:c r="D1843" s="46" t="str"/>
      <x:c r="E1843" s="46" t="str">
        <x:v>$ 3</x:v>
      </x:c>
      <x:c r="F1843" s="46" t="str"/>
      <x:c r="G1843" s="46" t="str">
        <x:v>L2024-00068-1/Section 11 - Bid Document Checklist_IPNETP Construction.xlsx</x:v>
      </x:c>
      <x:c r="H1843" s="43" t="str">
        <x:v>List!8</x:v>
      </x:c>
      <x:c r="I1843" s="46" t="str">
        <x:v>A8=4 | B8=Application | C8=2024-10-31 15:00:00 AM | D8=Tax payment confirmation / Certificate of Liabilities | E8=Submit via E-mail(abidjan@koica.go.kr) | F8=Tax Department (under the Ministry of Economy and Fiances) | G8=="(Attached "&amp;ROW(A4)&amp;") "&amp;표1[[#This Row],[Title of the document]]&amp;"_"&amp;$I$3 | H8=-</x:v>
      </x:c>
      <x:c r="J1843" s="43" t="str">
        <x:v>자동추출·검토필요</x:v>
      </x:c>
    </x:row>
    <x:row r="1844">
      <x:c r="A1844" s="43" t="str">
        <x:v>L2024-00068-1</x:v>
      </x:c>
      <x:c r="B1844" s="43" t="str">
        <x:v>부가세·예비비</x:v>
      </x:c>
      <x:c r="C1844" s="46" t="str">
        <x:v>tax</x:v>
      </x:c>
      <x:c r="D1844" s="46" t="str"/>
      <x:c r="E1844" s="46" t="str">
        <x:v>$ 3</x:v>
      </x:c>
      <x:c r="F1844" s="46" t="str"/>
      <x:c r="G1844" s="46" t="str">
        <x:v>L2024-00068-1/Section 11 - Bid Document Checklist_IPNETP Construction.xlsx</x:v>
      </x:c>
      <x:c r="H1844" s="43" t="str">
        <x:v>List!16</x:v>
      </x:c>
      <x:c r="I1844" s="46" t="str">
        <x:v>A16=13 | B16=Bid Submission | C16=2024-11-11 10:00:00 | D16=Tax payment confirmation / Certificate of Liabilities | E16=Visit KOICA Office | F16=Tax Department (under the Ministry of Economy and Fiances) | G16=="(Attached "&amp;ROW(A5)&amp;") "&amp;표1[[#This Row],[Title of the document]]&amp;"_"&amp;$I$3 | H16=1 copy</x:v>
      </x:c>
      <x:c r="J1844" s="43" t="str">
        <x:v>자동추출·검토필요</x:v>
      </x:c>
    </x:row>
    <x:row r="1845">
      <x:c r="A1845" s="43" t="str">
        <x:v>L2024-00068-1</x:v>
      </x:c>
      <x:c r="B1845" s="43" t="str">
        <x:v>부가세·예비비</x:v>
      </x:c>
      <x:c r="C1845" s="46" t="str">
        <x:v>vat, tax</x:v>
      </x:c>
      <x:c r="D1845" s="46" t="str"/>
      <x:c r="E1845" s="46" t="str">
        <x:v>USD 440,000 | USD 440,000</x:v>
      </x:c>
      <x:c r="F1845" s="46" t="str"/>
      <x:c r="G1845" s="46" t="str">
        <x:v>L2024-00068-1/Section 2 - Bid Data Sheet (Written in English).docx</x:v>
      </x:c>
      <x:c r="H1845" s="43" t="str">
        <x:v>표 4 행 8</x:v>
      </x:c>
      <x:c r="I1845" s="46" t="str">
        <x:v>․ Project Budget | USD 440,000 (Be exclusive of VAT and other applicable indirect taxes) | USD 440,000 (Be exclusive of VAT and other applicable indirect taxes)</x:v>
      </x:c>
      <x:c r="J1845" s="43" t="str">
        <x:v>자동추출·검토필요</x:v>
      </x:c>
    </x:row>
    <x:row r="1846">
      <x:c r="A1846" s="43" t="str">
        <x:v>L2024-00068-1</x:v>
      </x:c>
      <x:c r="B1846" s="43" t="str">
        <x:v>부가세·예비비</x:v>
      </x:c>
      <x:c r="C1846" s="46" t="str">
        <x:v>vat, tax</x:v>
      </x:c>
      <x:c r="D1846" s="46" t="str"/>
      <x:c r="E1846" s="46" t="str">
        <x:v>USD 429,000 | USD 429,000</x:v>
      </x:c>
      <x:c r="F1846" s="46" t="str"/>
      <x:c r="G1846" s="46" t="str">
        <x:v>L2024-00068-1/Section 2 - Bid Data Sheet (Written in English).docx</x:v>
      </x:c>
      <x:c r="H1846" s="43" t="str">
        <x:v>표 4 행 9</x:v>
      </x:c>
      <x:c r="I1846" s="46" t="str">
        <x:v>․ Projected Estimated Price | USD 429,000 (Be exclusive of VAT and other applicable indirect taxes) | USD 429,000 (Be exclusive of VAT and other applicable indirect taxes)</x:v>
      </x:c>
      <x:c r="J1846" s="43" t="str">
        <x:v>자동추출·검토필요</x:v>
      </x:c>
    </x:row>
    <x:row r="1847">
      <x:c r="A1847" s="43" t="str">
        <x:v>L2024-00068-1</x:v>
      </x:c>
      <x:c r="B1847" s="43" t="str">
        <x:v>부가세·예비비</x:v>
      </x:c>
      <x:c r="C1847" s="46" t="str">
        <x:v>vat</x:v>
      </x:c>
      <x:c r="D1847" s="46" t="str">
        <x:v>150 m²</x:v>
      </x:c>
      <x:c r="E1847" s="46" t="str">
        <x:v>eur 1.1.5</x:v>
      </x:c>
      <x:c r="F1847" s="46" t="str"/>
      <x:c r="G1847" s="46" t="str">
        <x:v>L2024-00068-1/Section 4 - DQE/4-4. KOICA dqe confidentiel TRAVAUX PRATIQUES.pdf</x:v>
      </x:c>
      <x:c r="H1847" s="43" t="str">
        <x:v>페이지 1</x:v>
      </x:c>
      <x:c r="I1847" s="46" t="str">
        <x:v>BATIMENT B / TRAVAUX PRATIQUE ( MECANIQUE AUTOMOBILE) septembre-24 N° DESIGNATION U QTE P.U. HT MONTANT HT RENOVATION 1 ATELIER DE TRAVAUX PRATIQUES 1.1 Renovation du plancher 1.1.1 Remblai compacté de la fosse avec la terre laterite m3 6,00 10 000 60 000 1.1.2 Betonnage de la fosse •beton dosé en 350 kg/m3 m3 2,00 100 000 200 000 •Acier Ø12 mm kg 200,00 1 700 340 000 1.1.3 Peinture d'epoxy m² 105,74 13 000 1 374 620 1.1.4 Peinture des lignes de securité m² 6,88 9 000 61 920 Rainure de drainage section 10 x 5 (cm) à l'extérieur 1.1.5 ft 1,00 100 000 100 000 du batiment 1.3 Peinture interieure du batiment 1.3.1 Peinture du plafond m² 110,000 9 000 990 000 1.3.2 Peinture murale m² 160,000 12 500 2 000 000 1.4 Eclairage et ventillation 1.4.1 F/P de plaques lumineuses LED u 6,000 68 000 408 000 1.4.2 F/P de Ventillateurs industriels mobile u 2,000 300 000 600 000 Sous-total atelier de travaux pratiques 6 134 540 ATELIER DE TRAVAUX PRATIQUES EXTERIEUR (SALLE 2 MECANIQUE 2 AUTO) 2.1 Repreise de dallage en BA et ferronnerie •beton dosé en 350 kg/m3 ep = 200 mm m3 30,11 100 000 3 011 000 •Grillage n°6 ml 150,57 1 000 150 570 2.2 Canalisation en PVC Ø125 mm ml 18,50 10 300 190 550 2.3 Peint</x:v>
      </x:c>
      <x:c r="J1847" s="43" t="str">
        <x:v>자동추출·검토필요</x:v>
      </x:c>
    </x:row>
    <x:row r="1848">
      <x:c r="A1848" s="43" t="str">
        <x:v>L2024-00068-1</x:v>
      </x:c>
      <x:c r="B1848" s="43" t="str">
        <x:v>부가세·예비비</x:v>
      </x:c>
      <x:c r="C1848" s="46" t="str">
        <x:v>vat</x:v>
      </x:c>
      <x:c r="D1848" s="46" t="str"/>
      <x:c r="E1848" s="46" t="str">
        <x:v>eur 2000</x:v>
      </x:c>
      <x:c r="F1848" s="46" t="str"/>
      <x:c r="G1848" s="46" t="str">
        <x:v>L2024-00068-1/Section 4 - DQE/4-5. KOICA dqe confidentiel AUTOMATISATION.pdf</x:v>
      </x:c>
      <x:c r="H1848" s="43" t="str">
        <x:v>페이지 1</x:v>
      </x:c>
      <x:c r="I1848" s="46" t="str">
        <x:v>BATIMENT B / AUTOMATISATION septembre-24 N° DESIGNATION U QTE P.U. HT MONTANT HT DEPARTEMENT D'AUTOMATISATION I DEMOLITION 1 Dépose de fenêtres m² 5,28 7 000 36 960 2 Dépose de climatisations u 10 12 000 120 000 3 Dépose de plancher d'accès m² 22,06 5 000 110 300 4 Nettoyage general et evacuation des debris ft 1,00 250 000 250 000 Sous-total demolition 517 260 II RENOVATION 1 REVETEMENTS 1.1 Sol, mur, plancher, cloisons 1.1.1 Peinture d'epoxy m² 81 13 000 1 053 000 1.1.2 Plafond-tex m² 81 19 000 1 539 000 1.1.3 Peinture murale interieure m² 112 12 500 1 400 000 Sous-total revêtement 3 992 000 2 MENUISERIE EN BOIS 2.1 Portes Porte Contreplaqué avec ploignée 2,1x1,1(mm) m² 2,31 75 000 173 250 Sous-total portes 173 250 3 ALU 3.1 Fenêtres en ALU 0,7X0,55 (m) m² 2,31 110 000 254 100 4 Stores pour fenêtres F/P de Store intérieur ft 1,00 350 000 350 000 Sous-total ALU 604 100 5 ELECTRICITE 5.1 Dijoncteur monophasé 220V u 1 250 000 250 000 5.2 F/P de plaques lumineuses LED u 15 68 000 1 020 000 5.3 Câbles 3x1,5 mm² ml 155,00 1 500 232 500 5.4 Câbles 3x2,5 mm² ml 155,00 2 000 310 000 5.5 Coffret de distribution 1x12 modules u 1 600 000 600 000 5.6 Goulotte murale en alu ml 30 24 100 723 000</x:v>
      </x:c>
      <x:c r="J1848" s="43" t="str">
        <x:v>자동추출·검토필요</x:v>
      </x:c>
    </x:row>
    <x:row r="1849">
      <x:c r="A1849" s="43" t="str">
        <x:v>L2024-00068-1</x:v>
      </x:c>
      <x:c r="B1849" s="43" t="str">
        <x:v>부가세·예비비</x:v>
      </x:c>
      <x:c r="C1849" s="46" t="str">
        <x:v>vat</x:v>
      </x:c>
      <x:c r="D1849" s="46" t="str"/>
      <x:c r="E1849" s="46" t="str">
        <x:v>eur 2000</x:v>
      </x:c>
      <x:c r="F1849" s="46" t="str"/>
      <x:c r="G1849" s="46" t="str">
        <x:v>L2024-00068-1/Section 4 - DQE/4-6. KOICA dqe confidentiel MECANIQUE GENERALE.pdf</x:v>
      </x:c>
      <x:c r="H1849" s="43" t="str">
        <x:v>페이지 2</x:v>
      </x:c>
      <x:c r="I1849" s="46" t="str">
        <x:v>5 PLOMBERIE Installation sanitaire 5.1 WC complet u 6 250 000 1 500 000 5.2 Colonne de douche u 2 35 000 70 000 5.3 Lavabos complet y/c miroir u 5 140 000 700 000 5.4 Porte-serviette en acier inox u 2 20 000 40 000 5.5 Porte-savon en acier inox u 3 15 000 45 000 5.6 Porte-PH en acier inox u 6 15 000 90 000 Sous-total plomberie 2 270 000 5.4 ELECTRICITE 5.5 F/P de plaques lumineuses LED u 30 68 000 2 040 000 5.6 Coffret de distribution 1x12 modules u 2 600 000 1 200 000 5.7 Prises 2T u 10 9 500 95 000 5.8 Interrupeur DA u 2 6 700 13 400 5.9 Interrupteur SA étanche u 15 19 000 285 000 5.10 Revision de tout le système electrique existant ft 1,000 2 000 000 2 000 000 Sous-total Electricité 5 633 400 6 CLIMATISATION Climatiseur 2000 BTU INVERTER u 4,000 750 000 3 000 000 Sous-total climatisation 3 000 000 7 Air comprimé F/P d'un système d'air comprimé contenant un compresseur de 4 cv, 270 litres, y compris 7,1 ft 1,00 5 000 000 5 000 000 assessoires et toutes sujetions de pose, alimentant les salles de travaux pratiques et mecanique generale Sous-total air comprimée 5 000 000 TOTAL RENOVATION SALLE D'OUTILS ET DE TRAVAUX PRATIQUES 36 944 413</x:v>
      </x:c>
      <x:c r="J1849" s="43" t="str">
        <x:v>자동추출·검토필요</x:v>
      </x:c>
    </x:row>
    <x:row r="1850">
      <x:c r="A1850" s="43" t="str">
        <x:v>L2024-00068-1</x:v>
      </x:c>
      <x:c r="B1850" s="43" t="str">
        <x:v>부가세·예비비</x:v>
      </x:c>
      <x:c r="C1850" s="46" t="str">
        <x:v>vat</x:v>
      </x:c>
      <x:c r="D1850" s="46" t="str">
        <x:v>1.1.4 m²</x:v>
      </x:c>
      <x:c r="E1850" s="46" t="str">
        <x:v>eur 2000</x:v>
      </x:c>
      <x:c r="F1850" s="46" t="str"/>
      <x:c r="G1850" s="46" t="str">
        <x:v>L2024-00068-1/Section 4 - DQE/4-6. KOICA dqe confidentiel MECANIQUE GENERALE.pdf</x:v>
      </x:c>
      <x:c r="H1850" s="43" t="str">
        <x:v>페이지 3</x:v>
      </x:c>
      <x:c r="I1850" s="46" t="str">
        <x:v>III RENOVATION SALLE DAO/MASTER CAM 1 REVETEMENTS 1.1 Sol, mur, plancher 1.1.1 Mur en agglos 15 creux m² 98 14 000 1 375 080 1.1.2 Peinture d'epoxy m² 81 13 000 1 053 000 1.1.3 Peinture exterieur, interieur des murs et plafond m² 455 12 500 5 687 500 Peinture des lignes pour l'emplacement des 1.1.4 m² 5,81 9 000 52 290 machines et pietons 1.1.5 Plafond-tex m² 81 19 000 1 539 000 Sous-total revêtement 9 706 870 2 FERRONNERIE Portes en acier Porte simple 900x2200 (mm) m² 1,98 75 000 148 500 Porte double 3000x3000 (mm) m² 9 75 000 675 000 Sous-total portes 823 500 3 ALU, PVC Fenêtres en ALU 110x110 (cm) m² 6,71 110 000 738 100 Sous-total ALU 738 100 4 Stores et rideaux pour fenêtres 4.1 F/P de Rideaux ft 1 380 000 380 000 4.2 F/P de Store intérieur pour fenêtre m² 6,10 25 000 152 500 Sous-total Stores et rideaux pour fenêtres 532 500 5 ELECTRICITE 5.1 Panneau LED u 4 58 300 233 200 5.2 Dijoncteur triphasé 380V u 1 330 000 330 000 5.3 Dijoncteur monophasé 220V u 1 250 000 250 000 5.4 Coffret de distribution 1x12 modules u 3 600 000 1 800 000 5.5 Bouton poussoir u 1 14 400 14 400 5.6 Câbles 3x1,5 mm² ml 108 1 500 162 000 5.7 Câbles 3x2,5 mm² ml 108 2 000 216 000 5.8 Prises 2T u 7 9 500 </x:v>
      </x:c>
      <x:c r="J1850" s="43" t="str">
        <x:v>자동추출·검토필요</x:v>
      </x:c>
    </x:row>
    <x:row r="1851">
      <x:c r="A1851" s="43" t="str">
        <x:v>L2024-00068-1</x:v>
      </x:c>
      <x:c r="B1851" s="43" t="str">
        <x:v>부가세·예비비</x:v>
      </x:c>
      <x:c r="C1851" s="46" t="str">
        <x:v>vat</x:v>
      </x:c>
      <x:c r="D1851" s="46" t="str"/>
      <x:c r="E1851" s="46" t="str">
        <x:v>eur 2000</x:v>
      </x:c>
      <x:c r="F1851" s="46" t="str"/>
      <x:c r="G1851" s="46" t="str">
        <x:v>L2024-00068-1/Section 4 - DQE/4-6. KOICA dqe confidentiel MECANIQUE GENERALE.pdf</x:v>
      </x:c>
      <x:c r="H1851" s="43" t="str">
        <x:v>페이지 4</x:v>
      </x:c>
      <x:c r="I1851" s="46" t="str">
        <x:v>2 FERRONNERIE-BOIS 2.1 Portes en bois Porte double 1500x3000 (mm) m² 4,50 75 000 337 500 2.2 Grille de securité en acier pour porte m² 4,70 46 000 216 200 2.3 Etagère en acier m² 6 120 000 720 000 Sous-total ferronnerie-bois 1 273 700 3 ALU F/P de baies vitrées en ALU m² 25,95 125 000 3 243 750 Sous-total ALU 3 243 750 4 F/P de Rideaux pour fenêtres ft 1,000 250 000 250 000 Sous-total rideaux 250 000 5 ELECTRICITE 5.1 Panneau LED u 9 58 300 524 700 5.3 Dijoncteur monophasé 220V u 1 204 300 204 300 5.4 Coffret de distribution 1x12 modules u 1 530 000 530 000 5.5 Bouton poussoir u 1 14 400 14 400 5.6 Prises 2T u 7 9 500 66 500 5.7 Interrupeur DA u 2 6 700 13 400 5.8 Interrupteur SA u 2 19 000 38 000 Sous-total electricité 1 391 300 6 CLIMATISATION Climatiseur 2000 BTU INVERTER u 2 750 000 1 500 000 Sous-total climatisation 1 500 000 TOTAL RENOVATION SALLE DAO 10 822 750 TOTAL GENERAL BATIMENT E (FCFA) 66 142 633</x:v>
      </x:c>
      <x:c r="J1851" s="43" t="str">
        <x:v>자동추출·검토필요</x:v>
      </x:c>
    </x:row>
    <x:row r="1852">
      <x:c r="A1852" s="43" t="str">
        <x:v>L2024-00068-1</x:v>
      </x:c>
      <x:c r="B1852" s="43" t="str">
        <x:v>부가세·예비비</x:v>
      </x:c>
      <x:c r="C1852" s="46" t="str">
        <x:v>vat</x:v>
      </x:c>
      <x:c r="D1852" s="46" t="str">
        <x:v>40 m2</x:v>
      </x:c>
      <x:c r="E1852" s="46" t="str"/>
      <x:c r="F1852" s="46" t="str"/>
      <x:c r="G1852" s="46" t="str">
        <x:v>L2024-00068-1/Section 6 - Scope of Work.docx</x:v>
      </x:c>
      <x:c r="H1852" s="43" t="str">
        <x:v>문단 525</x:v>
      </x:c>
      <x:c r="I1852" s="46" t="str">
        <x:v>Superficie de rénovation pour la salle E4 : 40m2 et plus</x:v>
      </x:c>
      <x:c r="J1852" s="43" t="str">
        <x:v>자동추출·검토필요</x:v>
      </x:c>
    </x:row>
    <x:row r="1853">
      <x:c r="A1853" s="43" t="str">
        <x:v>L2024-00068-1</x:v>
      </x:c>
      <x:c r="B1853" s="43" t="str">
        <x:v>부가세·예비비</x:v>
      </x:c>
      <x:c r="C1853" s="46" t="str">
        <x:v>vat</x:v>
      </x:c>
      <x:c r="D1853" s="46" t="str">
        <x:v>70 m2</x:v>
      </x:c>
      <x:c r="E1853" s="46" t="str"/>
      <x:c r="F1853" s="46" t="str"/>
      <x:c r="G1853" s="46" t="str">
        <x:v>L2024-00068-1/Section 6 - Scope of Work.docx</x:v>
      </x:c>
      <x:c r="H1853" s="43" t="str">
        <x:v>문단 526</x:v>
      </x:c>
      <x:c r="I1853" s="46" t="str">
        <x:v>Superficie de rénovation pour les salles E5 &amp; E6 : 70m2 et plus pour chacune</x:v>
      </x:c>
      <x:c r="J1853" s="43" t="str">
        <x:v>자동추출·검토필요</x:v>
      </x:c>
    </x:row>
    <x:row r="1854">
      <x:c r="A1854" s="43" t="str">
        <x:v>L2024-00068-1</x:v>
      </x:c>
      <x:c r="B1854" s="43" t="str">
        <x:v>부가세·예비비</x:v>
      </x:c>
      <x:c r="C1854" s="46" t="str">
        <x:v>vat</x:v>
      </x:c>
      <x:c r="D1854" s="46" t="str">
        <x:v>120 m2</x:v>
      </x:c>
      <x:c r="E1854" s="46" t="str"/>
      <x:c r="F1854" s="46" t="str"/>
      <x:c r="G1854" s="46" t="str">
        <x:v>L2024-00068-1/Section 6 - Scope of Work.docx</x:v>
      </x:c>
      <x:c r="H1854" s="43" t="str">
        <x:v>문단 528</x:v>
      </x:c>
      <x:c r="I1854" s="46" t="str">
        <x:v>Superficie de rénovation : 120m2 et plus</x:v>
      </x:c>
      <x:c r="J1854" s="43" t="str">
        <x:v>자동추출·검토필요</x:v>
      </x:c>
    </x:row>
    <x:row r="1855">
      <x:c r="A1855" s="43" t="str">
        <x:v>L2024-00068-1</x:v>
      </x:c>
      <x:c r="B1855" s="43" t="str">
        <x:v>부가세·예비비</x:v>
      </x:c>
      <x:c r="C1855" s="46" t="str">
        <x:v>vat</x:v>
      </x:c>
      <x:c r="D1855" s="46" t="str">
        <x:v>85,00 ㎡</x:v>
      </x:c>
      <x:c r="E1855" s="46" t="str"/>
      <x:c r="F1855" s="46" t="str"/>
      <x:c r="G1855" s="46" t="str">
        <x:v>L2024-00068-1/Section 6 - Scope of Work.docx</x:v>
      </x:c>
      <x:c r="H1855" s="43" t="str">
        <x:v>문단 549</x:v>
      </x:c>
      <x:c r="I1855" s="46" t="str">
        <x:v>Superficie de rénovation du laboratoire : 85,00㎡ et plus</x:v>
      </x:c>
      <x:c r="J1855" s="43" t="str">
        <x:v>자동추출·검토필요</x:v>
      </x:c>
    </x:row>
    <x:row r="1856">
      <x:c r="A1856" s="43" t="str">
        <x:v>L2024-00068-1</x:v>
      </x:c>
      <x:c r="B1856" s="43" t="str">
        <x:v>부가세·예비비</x:v>
      </x:c>
      <x:c r="C1856" s="46" t="str">
        <x:v>vat</x:v>
      </x:c>
      <x:c r="D1856" s="46" t="str">
        <x:v>80,00 ㎡</x:v>
      </x:c>
      <x:c r="E1856" s="46" t="str"/>
      <x:c r="F1856" s="46" t="str"/>
      <x:c r="G1856" s="46" t="str">
        <x:v>L2024-00068-1/Section 6 - Scope of Work.docx</x:v>
      </x:c>
      <x:c r="H1856" s="43" t="str">
        <x:v>문단 550</x:v>
      </x:c>
      <x:c r="I1856" s="46" t="str">
        <x:v>Superficie de rénovation de la salle E4 : 80,00㎡ et plus</x:v>
      </x:c>
      <x:c r="J1856" s="43" t="str">
        <x:v>자동추출·검토필요</x:v>
      </x:c>
    </x:row>
    <x:row r="1857">
      <x:c r="A1857" s="43" t="str">
        <x:v>L2024-00068-1</x:v>
      </x:c>
      <x:c r="B1857" s="43" t="str">
        <x:v>부가세·예비비</x:v>
      </x:c>
      <x:c r="C1857" s="46" t="str">
        <x:v>vat</x:v>
      </x:c>
      <x:c r="D1857" s="46" t="str">
        <x:v>70,00 ㎡</x:v>
      </x:c>
      <x:c r="E1857" s="46" t="str"/>
      <x:c r="F1857" s="46" t="str"/>
      <x:c r="G1857" s="46" t="str">
        <x:v>L2024-00068-1/Section 6 - Scope of Work.docx</x:v>
      </x:c>
      <x:c r="H1857" s="43" t="str">
        <x:v>문단 551</x:v>
      </x:c>
      <x:c r="I1857" s="46" t="str">
        <x:v>Superficie de rénovation de la salle E5 : 70,00㎡ et plus</x:v>
      </x:c>
      <x:c r="J1857" s="43" t="str">
        <x:v>자동추출·검토필요</x:v>
      </x:c>
    </x:row>
    <x:row r="1858">
      <x:c r="A1858" s="43" t="str">
        <x:v>L2024-00068-1</x:v>
      </x:c>
      <x:c r="B1858" s="43" t="str">
        <x:v>부가세·예비비</x:v>
      </x:c>
      <x:c r="C1858" s="46" t="str">
        <x:v>vat</x:v>
      </x:c>
      <x:c r="D1858" s="46" t="str">
        <x:v>70,00 ㎡</x:v>
      </x:c>
      <x:c r="E1858" s="46" t="str"/>
      <x:c r="F1858" s="46" t="str"/>
      <x:c r="G1858" s="46" t="str">
        <x:v>L2024-00068-1/Section 6 - Scope of Work.docx</x:v>
      </x:c>
      <x:c r="H1858" s="43" t="str">
        <x:v>문단 552</x:v>
      </x:c>
      <x:c r="I1858" s="46" t="str">
        <x:v>Superficie de rénovation de la salle E6 : 70,00㎡ et plus</x:v>
      </x:c>
      <x:c r="J1858" s="43" t="str">
        <x:v>자동추출·검토필요</x:v>
      </x:c>
    </x:row>
    <x:row r="1859">
      <x:c r="A1859" s="43" t="str">
        <x:v>L2024-00068-1</x:v>
      </x:c>
      <x:c r="B1859" s="43" t="str">
        <x:v>부가세·예비비</x:v>
      </x:c>
      <x:c r="C1859" s="46" t="str">
        <x:v>reserve</x:v>
      </x:c>
      <x:c r="D1859" s="46" t="str"/>
      <x:c r="E1859" s="46" t="str"/>
      <x:c r="F1859" s="46" t="str">
        <x:v>0.5%</x:v>
      </x:c>
      <x:c r="G1859" s="46" t="str">
        <x:v>L2024-00068-1/Section 7 - General Conditions of Contract.docx</x:v>
      </x:c>
      <x:c r="H1859" s="43" t="str">
        <x:v>표 4 행 109</x:v>
      </x:c>
      <x:c r="I1859"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859" s="43" t="str">
        <x:v>자동추출·검토필요</x:v>
      </x:c>
    </x:row>
    <x:row r="1860">
      <x:c r="A1860" s="43" t="str">
        <x:v>L2024-00068-1</x:v>
      </x:c>
      <x:c r="B1860" s="43" t="str">
        <x:v>부가세·예비비</x:v>
      </x:c>
      <x:c r="C1860" s="46" t="str">
        <x:v>reserve</x:v>
      </x:c>
      <x:c r="D1860" s="46" t="str"/>
      <x:c r="E1860" s="46" t="str"/>
      <x:c r="F1860" s="46" t="str">
        <x:v>50% | 50%</x:v>
      </x:c>
      <x:c r="G1860" s="46" t="str">
        <x:v>L2024-00068-1/Section 7 - General Conditions of Contract.docx</x:v>
      </x:c>
      <x:c r="H1860" s="43" t="str">
        <x:v>표 12 행 61</x:v>
      </x:c>
      <x:c r="I1860"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860" s="43" t="str">
        <x:v>자동추출·검토필요</x:v>
      </x:c>
    </x:row>
    <x:row r="1861">
      <x:c r="A1861" s="43" t="str">
        <x:v>L2024-00066-1</x:v>
      </x:c>
      <x:c r="B1861" s="43" t="str">
        <x:v>부가세·예비비</x:v>
      </x:c>
      <x:c r="C1861" s="46" t="str">
        <x:v>contingency</x:v>
      </x:c>
      <x:c r="D1861" s="46" t="str"/>
      <x:c r="E1861" s="46" t="str"/>
      <x:c r="F1861" s="46" t="str">
        <x:v>5%</x:v>
      </x:c>
      <x:c r="G1861" s="46" t="str">
        <x:v>L2024-00066-1/Section 2 - Bid Data Sheet (BDS) R1.docx</x:v>
      </x:c>
      <x:c r="H1861" s="43" t="str">
        <x:v>문단 88</x:v>
      </x:c>
      <x:c r="I1861" s="46" t="str">
        <x:v>- Contingency cost shall be fixed at 5% of the total service value and shall be spent after the approval of KOICA.</x:v>
      </x:c>
      <x:c r="J1861" s="43" t="str">
        <x:v>자동추출·검토필요</x:v>
      </x:c>
    </x:row>
    <x:row r="1862">
      <x:c r="A1862" s="43" t="str">
        <x:v>L2024-00066-1</x:v>
      </x:c>
      <x:c r="B1862" s="43" t="str">
        <x:v>부가세·예비비</x:v>
      </x:c>
      <x:c r="C1862" s="46" t="str">
        <x:v>vat</x:v>
      </x:c>
      <x:c r="D1862" s="46" t="str"/>
      <x:c r="E1862" s="46" t="str"/>
      <x:c r="F1862" s="46" t="str">
        <x:v>90%</x:v>
      </x:c>
      <x:c r="G1862" s="46" t="str">
        <x:v>L2024-00066-1/Section 2 - Bid Data Sheet (BDS) R1.docx</x:v>
      </x:c>
      <x:c r="H1862" s="43" t="str">
        <x:v>표 8 행 6</x:v>
      </x:c>
      <x:c r="I1862" s="46" t="str">
        <x:v>Qualitative (90%) | Technical | &lt;Design proposal and Action plan&gt; -The quality and creativity of architectural design proposals (including building layouts, floor plans, elevation plans, floor plans of mechanical and telecommunication rooms, and a list of building finishes) | 30</x:v>
      </x:c>
      <x:c r="J1862" s="43" t="str">
        <x:v>자동추출·검토필요</x:v>
      </x:c>
    </x:row>
    <x:row r="1863">
      <x:c r="A1863" s="43" t="str">
        <x:v>L2024-00066-1</x:v>
      </x:c>
      <x:c r="B1863" s="43" t="str">
        <x:v>부가세·예비비</x:v>
      </x:c>
      <x:c r="C1863" s="46" t="str">
        <x:v>vat</x:v>
      </x:c>
      <x:c r="D1863" s="46" t="str"/>
      <x:c r="E1863" s="46" t="str"/>
      <x:c r="F1863" s="46" t="str">
        <x:v>6% | 100%</x:v>
      </x:c>
      <x:c r="G1863" s="46" t="str">
        <x:v>L2024-00066-1/Section 2 - Bid Data Sheet (BDS) R1.docx</x:v>
      </x:c>
      <x:c r="H1863" s="43" t="str">
        <x:v>표 9 행 12</x:v>
      </x:c>
      <x:c r="I1863" s="46" t="str">
        <x:v>Building design performance in the last 5 years (6%) | Ratio of the company's domestic and overseas similar project performance to the project scale (excluding VAT) of FJD 252,665 *Completed building design services only | A. At least 100% | : 6.0 points</x:v>
      </x:c>
      <x:c r="J1863" s="43" t="str">
        <x:v>자동추출·검토필요</x:v>
      </x:c>
    </x:row>
    <x:row r="1864">
      <x:c r="A1864" s="43" t="str">
        <x:v>L2024-00066-1</x:v>
      </x:c>
      <x:c r="B1864" s="43" t="str">
        <x:v>부가세·예비비</x:v>
      </x:c>
      <x:c r="C1864" s="46" t="str">
        <x:v>vat</x:v>
      </x:c>
      <x:c r="D1864" s="46" t="str"/>
      <x:c r="E1864" s="46" t="str"/>
      <x:c r="F1864" s="46" t="str">
        <x:v>6% | 70% | 100%</x:v>
      </x:c>
      <x:c r="G1864" s="46" t="str">
        <x:v>L2024-00066-1/Section 2 - Bid Data Sheet (BDS) R1.docx</x:v>
      </x:c>
      <x:c r="H1864" s="43" t="str">
        <x:v>표 9 행 13</x:v>
      </x:c>
      <x:c r="I1864" s="46" t="str">
        <x:v>Building design performance in the last 5 years (6%) | Ratio of the company's domestic and overseas similar project performance to the project scale (excluding VAT) of FJD 252,665 *Completed building design services only | B. Between 70%～100% | : 5.5 points</x:v>
      </x:c>
      <x:c r="J1864" s="43" t="str">
        <x:v>자동추출·검토필요</x:v>
      </x:c>
    </x:row>
    <x:row r="1865">
      <x:c r="A1865" s="43" t="str">
        <x:v>L2024-00066-1</x:v>
      </x:c>
      <x:c r="B1865" s="43" t="str">
        <x:v>부가세·예비비</x:v>
      </x:c>
      <x:c r="C1865" s="46" t="str">
        <x:v>vat</x:v>
      </x:c>
      <x:c r="D1865" s="46" t="str"/>
      <x:c r="E1865" s="46" t="str"/>
      <x:c r="F1865" s="46" t="str">
        <x:v>6% | 40% | 70%</x:v>
      </x:c>
      <x:c r="G1865" s="46" t="str">
        <x:v>L2024-00066-1/Section 2 - Bid Data Sheet (BDS) R1.docx</x:v>
      </x:c>
      <x:c r="H1865" s="43" t="str">
        <x:v>표 9 행 14</x:v>
      </x:c>
      <x:c r="I1865" s="46" t="str">
        <x:v>Building design performance in the last 5 years (6%) | Ratio of the company's domestic and overseas similar project performance to the project scale (excluding VAT) of FJD 252,665 *Completed building design services only | C. Between 40%～70% | : 5.0 points</x:v>
      </x:c>
      <x:c r="J1865" s="43" t="str">
        <x:v>자동추출·검토필요</x:v>
      </x:c>
    </x:row>
    <x:row r="1866">
      <x:c r="A1866" s="43" t="str">
        <x:v>L2024-00066-1</x:v>
      </x:c>
      <x:c r="B1866" s="43" t="str">
        <x:v>부가세·예비비</x:v>
      </x:c>
      <x:c r="C1866" s="46" t="str">
        <x:v>vat</x:v>
      </x:c>
      <x:c r="D1866" s="46" t="str"/>
      <x:c r="E1866" s="46" t="str"/>
      <x:c r="F1866" s="46" t="str">
        <x:v>6% | 10% | 40%</x:v>
      </x:c>
      <x:c r="G1866" s="46" t="str">
        <x:v>L2024-00066-1/Section 2 - Bid Data Sheet (BDS) R1.docx</x:v>
      </x:c>
      <x:c r="H1866" s="43" t="str">
        <x:v>표 9 행 15</x:v>
      </x:c>
      <x:c r="I1866" s="46" t="str">
        <x:v>Building design performance in the last 5 years (6%) | Ratio of the company's domestic and overseas similar project performance to the project scale (excluding VAT) of FJD 252,665 *Completed building design services only | D. Between 10%～40% | : 4.5 points</x:v>
      </x:c>
      <x:c r="J1866" s="43" t="str">
        <x:v>자동추출·검토필요</x:v>
      </x:c>
    </x:row>
    <x:row r="1867">
      <x:c r="A1867" s="43" t="str">
        <x:v>L2024-00066-1</x:v>
      </x:c>
      <x:c r="B1867" s="43" t="str">
        <x:v>부가세·예비비</x:v>
      </x:c>
      <x:c r="C1867" s="46" t="str">
        <x:v>vat</x:v>
      </x:c>
      <x:c r="D1867" s="46" t="str"/>
      <x:c r="E1867" s="46" t="str"/>
      <x:c r="F1867" s="46" t="str">
        <x:v>6% | 10%</x:v>
      </x:c>
      <x:c r="G1867" s="46" t="str">
        <x:v>L2024-00066-1/Section 2 - Bid Data Sheet (BDS) R1.docx</x:v>
      </x:c>
      <x:c r="H1867" s="43" t="str">
        <x:v>표 9 행 16</x:v>
      </x:c>
      <x:c r="I1867" s="46" t="str">
        <x:v>Building design performance in the last 5 years (6%) | Ratio of the company's domestic and overseas similar project performance to the project scale (excluding VAT) of FJD 252,665 *Completed building design services only | E. Less than 10% | : 4.2 points</x:v>
      </x:c>
      <x:c r="J1867" s="43" t="str">
        <x:v>자동추출·검토필요</x:v>
      </x:c>
    </x:row>
    <x:row r="1868">
      <x:c r="A1868" s="43" t="str">
        <x:v>L2024-00066-1</x:v>
      </x:c>
      <x:c r="B1868" s="43" t="str">
        <x:v>부가세·예비비</x:v>
      </x:c>
      <x:c r="C1868" s="46" t="str">
        <x:v>contingency</x:v>
      </x:c>
      <x:c r="D1868" s="46" t="str"/>
      <x:c r="E1868" s="46" t="str"/>
      <x:c r="F1868" s="46" t="str">
        <x:v>5%</x:v>
      </x:c>
      <x:c r="G1868" s="46" t="str">
        <x:v>L2024-00066-1/Section 4 - Request for Proposal (RFP) R1.doc</x:v>
      </x:c>
      <x:c r="H1868" s="43" t="str">
        <x:v>문단 8</x:v>
      </x:c>
      <x:c r="I1868" s="46" t="str">
        <x:v>2. Submission of price proposal (sealed): Lump-sum Bid price shall be provided in the bid form 3 and it shall be signed or sealed before submission. Bid price shall be a lump-sum bid price and it is unnecessary to put forth price details. - The preferred bidder will be requested to provide price details after the initiation of negotiation. Contingency cost (Fixed fee) - Contingency cost shall be fixed at 5% of the total service value and shall be spent after the approval of KOICA.</x:v>
      </x:c>
      <x:c r="J1868" s="43" t="str">
        <x:v>자동추출·검토필요</x:v>
      </x:c>
    </x:row>
    <x:row r="1869">
      <x:c r="A1869" s="43" t="str">
        <x:v>L2024-00066-1</x:v>
      </x:c>
      <x:c r="B1869" s="43" t="str">
        <x:v>부가세·예비비</x:v>
      </x:c>
      <x:c r="C1869" s="46" t="str">
        <x:v>tax</x:v>
      </x:c>
      <x:c r="D1869" s="46" t="str"/>
      <x:c r="E1869" s="46" t="str"/>
      <x:c r="F1869" s="46" t="str">
        <x:v>5%</x:v>
      </x:c>
      <x:c r="G1869" s="46" t="str">
        <x:v>L2024-00066-1/Section 4 - Request for Proposal (RFP) R1.doc</x:v>
      </x:c>
      <x:c r="H1869" s="43" t="str">
        <x:v>문단 13</x:v>
      </x:c>
      <x:c r="I1869" s="46" t="str">
        <x:v>3.4. Bid attachments: bid security (in the prescribed form) - Type of bid security: Bank guarantee, irrevocable credit, cash, certified check, or equivalent. - Amount: 5% or higher of bid amount. - Duration: Bid security shall remain in effect until after 30 days or more of the bid opening date. power of Attorney for the authority to sign and execute contracts one set of documents evidencing the applicant’s eligibility to participate in the Bid - Business registration certificate - Certificate of Registration of Fiji Association of Architects or Fiji Building Designers Association - TIN certificate, tax compliance certificates FNU compliance certificate, FNPF compliance certificate, FRCS compliance certificate - Legal documents that show the authenticity of signature or corporate seal Declaration of Anti-corruption in ODA Business Participation (in the prescribed form) The Bidder is on any of the international organization ineligibility lists or pledge (in the prescribed form) Integrity Pledge (in the prescribed form)</x:v>
      </x:c>
      <x:c r="J1869" s="43" t="str">
        <x:v>자동추출·검토필요</x:v>
      </x:c>
    </x:row>
    <x:row r="1870">
      <x:c r="A1870" s="43" t="str">
        <x:v>L2024-00066-1</x:v>
      </x:c>
      <x:c r="B1870" s="43" t="str">
        <x:v>부가세·예비비</x:v>
      </x:c>
      <x:c r="C1870" s="46" t="str">
        <x:v>vat</x:v>
      </x:c>
      <x:c r="D1870" s="46" t="str">
        <x:v>5.40 ㎡ | 16.20 ㎡ | 386.67 m²</x:v>
      </x:c>
      <x:c r="E1870" s="46" t="str"/>
      <x:c r="F1870" s="46" t="str"/>
      <x:c r="G1870" s="46" t="str">
        <x:v>L2024-00066-1/Section 6 - Space Program Report.pdf</x:v>
      </x:c>
      <x:c r="H1870" s="43" t="str">
        <x:v>페이지 2</x:v>
      </x:c>
      <x:c r="I1870" s="46" t="str">
        <x:v>1. Space Program Consultation Plan ‧ The total floor area of the building is the same as in the preliminary study. ‧ Detailed spaces have been agreed upon and adjusted based on FNU's needs. ‧ Some rooms have been removed to derive a space program that is highly applicable locally, considering the current status of medical education at FNU and the facilities of nearby high-level general hospital. ‧ An elevator has been installed in the center of the building to improve accessibility and ease of movement. ‧ For efficient use of space, accessible restrooms are installed within the men's and women's restrooms. 1.1. Arrangement plan of each floor ⑴ Ground Floor Space Room Name Unit Area(m²) Remarks CPX Room 6 32.40 1room : 5.40㎡ Control Room-1 1 16.20 Simulation Room(Ward 3 bed) 3 48.60 1room : 16.20㎡ Control Room-2 1 16.20 Main Facility Control Room-3 1 16.20 Debriefing Room 1 41.31 Admin. Office 1 27.54 Storage 1 11.97 IT Cable 1 1.80 Male Toilet 1 13.00 Female Toilet 1 13.00 Will be installed in Accessible Restroom 2 - each gender’s toilet Common Area Stair-1 1 21.60 Stair-2 1 21.60 Corridor 1 105.25 Sub Total 386.67m² - 2 -</x:v>
      </x:c>
      <x:c r="J1870" s="43" t="str">
        <x:v>자동추출·검토필요</x:v>
      </x:c>
    </x:row>
    <x:row r="1871">
      <x:c r="A1871" s="43" t="str">
        <x:v>L2024-00062-1</x:v>
      </x:c>
      <x:c r="B1871" s="43" t="str">
        <x:v>부가세·예비비</x:v>
      </x:c>
      <x:c r="C1871" s="46" t="str">
        <x:v>예비비</x:v>
      </x:c>
      <x:c r="D1871" s="46" t="str"/>
      <x:c r="E1871" s="46" t="str"/>
      <x:c r="F1871" s="46" t="str">
        <x:v>0.5%</x:v>
      </x:c>
      <x:c r="G1871" s="46" t="str">
        <x:v>L2024-00062-1/1. 현지입찰 계획서(세네갈 미곡2차 시공)_최종.hwp</x:v>
      </x:c>
      <x:c r="H1871" s="43" t="str">
        <x:v>문단 219</x:v>
      </x:c>
      <x:c r="I1871" s="46" t="str">
        <x:v>- 총공사비 중 예비비 제외 금액 × 0.5% 이상을 고정 투찰</x:v>
      </x:c>
      <x:c r="J1871" s="43" t="str">
        <x:v>자동추출·검토필요</x:v>
      </x:c>
    </x:row>
    <x:row r="1872">
      <x:c r="A1872" s="43" t="str">
        <x:v>L2024-00056-2</x:v>
      </x:c>
      <x:c r="B1872" s="43" t="str">
        <x:v>부가세·예비비</x:v>
      </x:c>
      <x:c r="C1872" s="46" t="str">
        <x:v>tax</x:v>
      </x:c>
      <x:c r="D1872" s="46" t="str"/>
      <x:c r="E1872" s="46" t="str">
        <x:v>$ 3</x:v>
      </x:c>
      <x:c r="F1872" s="46" t="str"/>
      <x:c r="G1872" s="46" t="str">
        <x:v>L2024-00056-2/Section 10 - Bid Document Checklist.xlsx</x:v>
      </x:c>
      <x:c r="H1872" s="43" t="str">
        <x:v>List!8</x:v>
      </x:c>
      <x:c r="I1872" s="46" t="str">
        <x:v>A8=4 | B8=Application | C8=2024-10-18 15:00:00 AM | D8=Tax payment confirmation / Certificate of Liabilities | E8=Submit via E-mail(abidjan@koica.go.kr) | F8=Tax Department (under the Ministry of Economy and Fiances) | G8=="(Attached "&amp;ROW(A4)&amp;") "&amp;표1[[#This Row],[Title of the document]]&amp;"_"&amp;$I$3 | H8=-</x:v>
      </x:c>
      <x:c r="J1872" s="43" t="str">
        <x:v>자동추출·검토필요</x:v>
      </x:c>
    </x:row>
    <x:row r="1873">
      <x:c r="A1873" s="43" t="str">
        <x:v>L2024-00056-2</x:v>
      </x:c>
      <x:c r="B1873" s="43" t="str">
        <x:v>부가세·예비비</x:v>
      </x:c>
      <x:c r="C1873" s="46" t="str">
        <x:v>tax</x:v>
      </x:c>
      <x:c r="D1873" s="46" t="str"/>
      <x:c r="E1873" s="46" t="str">
        <x:v>$ 3</x:v>
      </x:c>
      <x:c r="F1873" s="46" t="str"/>
      <x:c r="G1873" s="46" t="str">
        <x:v>L2024-00056-2/Section 10 - Bid Document Checklist.xlsx</x:v>
      </x:c>
      <x:c r="H1873" s="43" t="str">
        <x:v>List!16</x:v>
      </x:c>
      <x:c r="I1873" s="46" t="str">
        <x:v>A16=13 | B16=Bid Submission | C16=2024-10-31 14:00:00 AM | D16=Tax payment confirmation / Certificate of Liabilities | E16=Visit KOICA Office | F16=Tax Department (under the Ministry of Economy and Fiances) | G16=="(Attached "&amp;ROW(A5)&amp;") "&amp;표1[[#This Row],[Title of the document]]&amp;"_"&amp;$I$3 | H16=4 Copies (1 Original, 2 Copies, USB)</x:v>
      </x:c>
      <x:c r="J1873" s="43" t="str">
        <x:v>자동추출·검토필요</x:v>
      </x:c>
    </x:row>
    <x:row r="1874">
      <x:c r="A1874" s="43" t="str">
        <x:v>L2024-00056-2</x:v>
      </x:c>
      <x:c r="B1874" s="43" t="str">
        <x:v>부가세·예비비</x:v>
      </x:c>
      <x:c r="C1874" s="46" t="str">
        <x:v>contingency</x:v>
      </x:c>
      <x:c r="D1874" s="46" t="str"/>
      <x:c r="E1874" s="46" t="str"/>
      <x:c r="F1874" s="46" t="str">
        <x:v>10%</x:v>
      </x:c>
      <x:c r="G1874" s="46" t="str">
        <x:v>L2024-00056-2/Section 2 - Bid Data Sheet (BDS)_Must Read.docx</x:v>
      </x:c>
      <x:c r="H1874" s="43" t="str">
        <x:v>문단 101</x:v>
      </x:c>
      <x:c r="I1874" s="46" t="str">
        <x:v>- Contingency cost shall be fixed at 10% of the total service value and shall be spent after the approval of KOICA.</x:v>
      </x:c>
      <x:c r="J1874" s="43" t="str">
        <x:v>자동추출·검토필요</x:v>
      </x:c>
    </x:row>
    <x:row r="1875">
      <x:c r="A1875" s="43" t="str">
        <x:v>L2024-00056-2</x:v>
      </x:c>
      <x:c r="B1875" s="43" t="str">
        <x:v>부가세·예비비</x:v>
      </x:c>
      <x:c r="C1875" s="46" t="str">
        <x:v>vat</x:v>
      </x:c>
      <x:c r="D1875" s="46" t="str"/>
      <x:c r="E1875" s="46" t="str">
        <x:v>USD 220,000 | USD 132,000 | USD 88,000 | USD 220,000 | USD 132,000 | USD 88,000</x:v>
      </x:c>
      <x:c r="F1875" s="46" t="str"/>
      <x:c r="G1875" s="46" t="str">
        <x:v>L2024-00056-2/Section 2 - Bid Data Sheet (BDS)_Must Read.docx</x:v>
      </x:c>
      <x:c r="H1875" s="43" t="str">
        <x:v>표 5 행 5</x:v>
      </x:c>
      <x:c r="I1875" s="46" t="str">
        <x:v>․ Bid Limit | USD 220,000 (VAT excluded) - Design: USD 132,000 - Construction Supervision: USD 88,000 | USD 220,000 (VAT excluded) - Design: USD 132,000 - Construction Supervision: USD 88,000</x:v>
      </x:c>
      <x:c r="J1875" s="43" t="str">
        <x:v>자동추출·검토필요</x:v>
      </x:c>
    </x:row>
    <x:row r="1876">
      <x:c r="A1876" s="43" t="str">
        <x:v>L2024-00056-2</x:v>
      </x:c>
      <x:c r="B1876" s="43" t="str">
        <x:v>부가세·예비비</x:v>
      </x:c>
      <x:c r="C1876" s="46" t="str">
        <x:v>contingency</x:v>
      </x:c>
      <x:c r="D1876" s="46" t="str"/>
      <x:c r="E1876" s="46" t="str"/>
      <x:c r="F1876" s="46" t="str">
        <x:v>10%</x:v>
      </x:c>
      <x:c r="G1876" s="46" t="str">
        <x:v>L2024-00056-2/Section 4 - Request for Proposal_코트디_ver.1.2_수정.docx</x:v>
      </x:c>
      <x:c r="H1876" s="43" t="str">
        <x:v>문단 114</x:v>
      </x:c>
      <x:c r="I1876" s="46" t="str">
        <x:v>Contingency shall be included in the BOQ and 10% of total construction cost minus overhead such as profit and insurance.</x:v>
      </x:c>
      <x:c r="J1876" s="43" t="str">
        <x:v>자동추출·검토필요</x:v>
      </x:c>
    </x:row>
    <x:row r="1877">
      <x:c r="A1877" s="43" t="str">
        <x:v>L2024-00056-1</x:v>
      </x:c>
      <x:c r="B1877" s="43" t="str">
        <x:v>부가세·예비비</x:v>
      </x:c>
      <x:c r="C1877" s="46" t="str">
        <x:v>tax</x:v>
      </x:c>
      <x:c r="D1877" s="46" t="str"/>
      <x:c r="E1877" s="46" t="str">
        <x:v>$ 3</x:v>
      </x:c>
      <x:c r="F1877" s="46" t="str"/>
      <x:c r="G1877" s="46" t="str">
        <x:v>L2024-00056-1/Section 10 - Bid Document Checklist.xlsx</x:v>
      </x:c>
      <x:c r="H1877" s="43" t="str">
        <x:v>List!8</x:v>
      </x:c>
      <x:c r="I1877" s="46" t="str">
        <x:v>A8=4 | B8=Application | C8=2024-10-04 15:00:00 AM | D8=Tax payment confirmation / Certificate of Liabilities | E8=Submit via E-mail(abidjan@koica.go.kr) | F8=Tax Department (under the Ministry of Economy and Fiances) | G8=="(Attached "&amp;ROW(A4)&amp;") "&amp;표1[[#This Row],[Title of the document]]&amp;"_"&amp;$I$3 | H8=-</x:v>
      </x:c>
      <x:c r="J1877" s="43" t="str">
        <x:v>자동추출·검토필요</x:v>
      </x:c>
    </x:row>
    <x:row r="1878">
      <x:c r="A1878" s="43" t="str">
        <x:v>L2024-00056-1</x:v>
      </x:c>
      <x:c r="B1878" s="43" t="str">
        <x:v>부가세·예비비</x:v>
      </x:c>
      <x:c r="C1878" s="46" t="str">
        <x:v>tax</x:v>
      </x:c>
      <x:c r="D1878" s="46" t="str"/>
      <x:c r="E1878" s="46" t="str">
        <x:v>$ 3</x:v>
      </x:c>
      <x:c r="F1878" s="46" t="str"/>
      <x:c r="G1878" s="46" t="str">
        <x:v>L2024-00056-1/Section 10 - Bid Document Checklist.xlsx</x:v>
      </x:c>
      <x:c r="H1878" s="43" t="str">
        <x:v>List!16</x:v>
      </x:c>
      <x:c r="I1878" s="46" t="str">
        <x:v>A16=13 | B16=Bid Submission | C16=2024-10-18 14:00:00 AM | D16=Tax payment confirmation / Certificate of Liabilities | E16=Visit KOICA Office | F16=Tax Department (under the Ministry of Economy and Fiances) | G16=="(Attached "&amp;ROW(A5)&amp;") "&amp;표1[[#This Row],[Title of the document]]&amp;"_"&amp;$I$3 | H16=4 Copies (1 Original, 2 Copies, USB)</x:v>
      </x:c>
      <x:c r="J1878" s="43" t="str">
        <x:v>자동추출·검토필요</x:v>
      </x:c>
    </x:row>
    <x:row r="1879">
      <x:c r="A1879" s="43" t="str">
        <x:v>L2024-00056-1</x:v>
      </x:c>
      <x:c r="B1879" s="43" t="str">
        <x:v>부가세·예비비</x:v>
      </x:c>
      <x:c r="C1879" s="46" t="str">
        <x:v>contingency</x:v>
      </x:c>
      <x:c r="D1879" s="46" t="str"/>
      <x:c r="E1879" s="46" t="str"/>
      <x:c r="F1879" s="46" t="str">
        <x:v>10%</x:v>
      </x:c>
      <x:c r="G1879" s="46" t="str">
        <x:v>L2024-00056-1/Section 2 - Bid Data Sheet (BDS)_Must Read.docx</x:v>
      </x:c>
      <x:c r="H1879" s="43" t="str">
        <x:v>문단 105</x:v>
      </x:c>
      <x:c r="I1879" s="46" t="str">
        <x:v>- Contingency cost shall be fixed at 10% of the total service value and shall be spent after the approval of KOICA.</x:v>
      </x:c>
      <x:c r="J1879" s="43" t="str">
        <x:v>자동추출·검토필요</x:v>
      </x:c>
    </x:row>
    <x:row r="1880">
      <x:c r="A1880" s="43" t="str">
        <x:v>L2024-00056-1</x:v>
      </x:c>
      <x:c r="B1880" s="43" t="str">
        <x:v>부가세·예비비</x:v>
      </x:c>
      <x:c r="C1880" s="46" t="str">
        <x:v>vat</x:v>
      </x:c>
      <x:c r="D1880" s="46" t="str"/>
      <x:c r="E1880" s="46" t="str">
        <x:v>USD 220,000 | USD 132,000 | USD 88,000 | USD 220,000 | USD 132,000 | USD 88,000</x:v>
      </x:c>
      <x:c r="F1880" s="46" t="str"/>
      <x:c r="G1880" s="46" t="str">
        <x:v>L2024-00056-1/Section 2 - Bid Data Sheet (BDS)_Must Read.docx</x:v>
      </x:c>
      <x:c r="H1880" s="43" t="str">
        <x:v>표 5 행 5</x:v>
      </x:c>
      <x:c r="I1880" s="46" t="str">
        <x:v>․ Bid Limit | USD 220,000 (VAT excluded) - Design: USD 132,000 - Construction Supervision: USD 88,000 | USD 220,000 (VAT excluded) - Design: USD 132,000 - Construction Supervision: USD 88,000</x:v>
      </x:c>
      <x:c r="J1880" s="43" t="str">
        <x:v>자동추출·검토필요</x:v>
      </x:c>
    </x:row>
    <x:row r="1881">
      <x:c r="A1881" s="43" t="str">
        <x:v>L2024-00056-1</x:v>
      </x:c>
      <x:c r="B1881" s="43" t="str">
        <x:v>부가세·예비비</x:v>
      </x:c>
      <x:c r="C1881" s="46" t="str">
        <x:v>contingency</x:v>
      </x:c>
      <x:c r="D1881" s="46" t="str"/>
      <x:c r="E1881" s="46" t="str"/>
      <x:c r="F1881" s="46" t="str">
        <x:v>10%</x:v>
      </x:c>
      <x:c r="G1881" s="46" t="str">
        <x:v>L2024-00056-1/Section 4 - Request for Proposal_코트디_ver.1.2_수정.docx</x:v>
      </x:c>
      <x:c r="H1881" s="43" t="str">
        <x:v>문단 114</x:v>
      </x:c>
      <x:c r="I1881" s="46" t="str">
        <x:v>Contingency shall be included in the BOQ and 10% of total construction cost minus overhead such as profit and insurance.</x:v>
      </x:c>
      <x:c r="J1881" s="43" t="str">
        <x:v>자동추출·검토필요</x:v>
      </x:c>
    </x:row>
    <x:row r="1882">
      <x:c r="A1882" s="43" t="str">
        <x:v>L2024-00055-1</x:v>
      </x:c>
      <x:c r="B1882" s="43" t="str">
        <x:v>부가세·예비비</x:v>
      </x:c>
      <x:c r="C1882" s="46" t="str">
        <x:v>tax</x:v>
      </x:c>
      <x:c r="D1882" s="46" t="str"/>
      <x:c r="E1882" s="46" t="str">
        <x:v>USD 52,000 | USD 52,000</x:v>
      </x:c>
      <x:c r="F1882" s="46" t="str"/>
      <x:c r="G1882" s="46" t="str">
        <x:v>L2024-00055-1/Section 2 - Bid Data Sheet (BDS)_Peru Pilot Compost Plant.docx</x:v>
      </x:c>
      <x:c r="H1882" s="43" t="str">
        <x:v>표 5 행 6</x:v>
      </x:c>
      <x:c r="I1882" s="46" t="str">
        <x:v>․ Bid Limit | USD 52,000 (including value-added taxes and other fees) | USD 52,000 (including value-added taxes and other fees)</x:v>
      </x:c>
      <x:c r="J1882" s="43" t="str">
        <x:v>자동추출·검토필요</x:v>
      </x:c>
    </x:row>
    <x:row r="1883">
      <x:c r="A1883" s="43" t="str">
        <x:v>L2024-00055-1</x:v>
      </x:c>
      <x:c r="B1883" s="43" t="str">
        <x:v>부가세·예비비</x:v>
      </x:c>
      <x:c r="C1883" s="46" t="str">
        <x:v>contingency</x:v>
      </x:c>
      <x:c r="D1883" s="46" t="str"/>
      <x:c r="E1883" s="46" t="str"/>
      <x:c r="F1883" s="46" t="str">
        <x:v>5%</x:v>
      </x:c>
      <x:c r="G1883" s="46" t="str">
        <x:v>L2024-00055-1/Section 4 - Terms of Reference_Peru Pilot Compost Plant.docx</x:v>
      </x:c>
      <x:c r="H1883" s="43" t="str">
        <x:v>문단 164</x:v>
      </x:c>
      <x:c r="I1883" s="46" t="str">
        <x:v>Contingency shall be included in the BOQ and shall be 5% of total construction cost.</x:v>
      </x:c>
      <x:c r="J1883" s="43" t="str">
        <x:v>자동추출·검토필요</x:v>
      </x:c>
    </x:row>
    <x:row r="1884">
      <x:c r="A1884" s="43" t="str">
        <x:v>L2024-00054-2</x:v>
      </x:c>
      <x:c r="B1884" s="43" t="str">
        <x:v>부가세·예비비</x:v>
      </x:c>
      <x:c r="C1884" s="46" t="str">
        <x:v>vat</x:v>
      </x:c>
      <x:c r="D1884" s="46" t="str"/>
      <x:c r="E1884" s="46" t="str">
        <x:v>USD 76,000</x:v>
      </x:c>
      <x:c r="F1884" s="46" t="str"/>
      <x:c r="G1884" s="46" t="str">
        <x:v>L2024-00054-2/2. 영문 입찰서류 각 1부/INGLES/Section 2 - Bid Data Sheet (BDS)_ITCA Supervision_(20241108).docx</x:v>
      </x:c>
      <x:c r="H1884" s="43" t="str">
        <x:v>표 2 행 9</x:v>
      </x:c>
      <x:c r="I1884" s="46" t="str">
        <x:v>Max Bidding Price | USD 76,000 (Exclusive of VAT)</x:v>
      </x:c>
      <x:c r="J1884" s="43" t="str">
        <x:v>자동추출·검토필요</x:v>
      </x:c>
    </x:row>
    <x:row r="1885">
      <x:c r="A1885" s="43" t="str">
        <x:v>L2024-00054-1</x:v>
      </x:c>
      <x:c r="B1885" s="43" t="str">
        <x:v>부가세·예비비</x:v>
      </x:c>
      <x:c r="C1885" s="46" t="str">
        <x:v>vat</x:v>
      </x:c>
      <x:c r="D1885" s="46" t="str"/>
      <x:c r="E1885" s="46" t="str">
        <x:v>USD 76,000</x:v>
      </x:c>
      <x:c r="F1885" s="46" t="str"/>
      <x:c r="G1885" s="46" t="str">
        <x:v>L2024-00054-1/Bidding Document_ITCA (Supervision)_(202409)/Section 2 - Bid Data Sheet (BDS)_ITCA Supervision_(202409).docx</x:v>
      </x:c>
      <x:c r="H1885" s="43" t="str">
        <x:v>표 2 행 9</x:v>
      </x:c>
      <x:c r="I1885" s="46" t="str">
        <x:v>Max Bidding Price | USD 76,000 (Exclusive of VAT)</x:v>
      </x:c>
      <x:c r="J1885" s="43" t="str">
        <x:v>자동추출·검토필요</x:v>
      </x:c>
    </x:row>
    <x:row r="1886">
      <x:c r="A1886" s="43" t="str">
        <x:v>L2024-00052-1</x:v>
      </x:c>
      <x:c r="B1886" s="43" t="str">
        <x:v>부가세·예비비</x:v>
      </x:c>
      <x:c r="C1886" s="46" t="str">
        <x:v>contingency</x:v>
      </x:c>
      <x:c r="D1886" s="46" t="str"/>
      <x:c r="E1886" s="46" t="str"/>
      <x:c r="F1886" s="46" t="str">
        <x:v>5%</x:v>
      </x:c>
      <x:c r="G1886" s="46" t="str">
        <x:v>L2024-00052-1/입찰관련서류/Section 2 - Bid Data Sheet (BDS)_└╘┬√░°░φ┐δ ├╓┴╛.docx</x:v>
      </x:c>
      <x:c r="H1886" s="43" t="str">
        <x:v>문단 138</x:v>
      </x:c>
      <x:c r="I1886" s="46" t="str">
        <x:v>- Contingency cost shall be fixed at 5% of the total service value and shall be spent after the approval of KOICA.</x:v>
      </x:c>
      <x:c r="J1886" s="43" t="str">
        <x:v>자동추출·검토필요</x:v>
      </x:c>
    </x:row>
    <x:row r="1887">
      <x:c r="A1887" s="43" t="str">
        <x:v>L2024-00052-1</x:v>
      </x:c>
      <x:c r="B1887" s="43" t="str">
        <x:v>부가세·예비비</x:v>
      </x:c>
      <x:c r="C1887" s="46" t="str">
        <x:v>tax</x:v>
      </x:c>
      <x:c r="D1887" s="46" t="str"/>
      <x:c r="E1887" s="46" t="str">
        <x:v>USD 200,000 | USD 150,000 | USD 50,000 | USD 200,000 | USD 150,000 | USD 50,000</x:v>
      </x:c>
      <x:c r="F1887" s="46" t="str"/>
      <x:c r="G1887" s="46" t="str">
        <x:v>L2024-00052-1/입찰관련서류/Section 2 - Bid Data Sheet (BDS)_└╘┬√░°░φ┐δ ├╓┴╛.docx</x:v>
      </x:c>
      <x:c r="H1887" s="43" t="str">
        <x:v>표 5 행 5</x:v>
      </x:c>
      <x:c r="I1887" s="46" t="str">
        <x:v>․ Bid Limit | USD 200,000 (Excluding of value-added taxes and other fees) 1) Design Fee : USD150,000(Including permit from Authorities) 2) CS Fee : USD50,000 | USD 200,000 (Excluding of value-added taxes and other fees) 1) Design Fee : USD150,000(Including permit from Authorities) 2) CS Fee : USD50,000</x:v>
      </x:c>
      <x:c r="J1887" s="43" t="str">
        <x:v>자동추출·검토필요</x:v>
      </x:c>
    </x:row>
    <x:row r="1888">
      <x:c r="A1888" s="43" t="str">
        <x:v>L2024-00052-1</x:v>
      </x:c>
      <x:c r="B1888" s="43" t="str">
        <x:v>부가세·예비비</x:v>
      </x:c>
      <x:c r="C1888" s="46" t="str">
        <x:v>tax</x:v>
      </x:c>
      <x:c r="D1888" s="46" t="str">
        <x:v>1,000 m2</x:v>
      </x:c>
      <x:c r="E1888" s="46" t="str"/>
      <x:c r="F1888" s="46" t="str"/>
      <x:c r="G1888" s="46" t="str">
        <x:v>L2024-00052-1/입찰관련서류/Section 2 - Bid Data Sheet (BDS)_└╘┬√░°░φ┐δ ├╓┴╛.docx</x:v>
      </x:c>
      <x:c r="H1888" s="43" t="str">
        <x:v>표 7 행 5</x:v>
      </x:c>
      <x:c r="I1888" s="46" t="str">
        <x:v>⒟ one set of documents evidencing the applicant’s eligibility to participate in the Bid - Latest/valid Certificate of business Registration. - Copy of valid registration issued (by authority) demonstrating bidder is eligible/authorized to provide design services in Indonesia(Business License for Design Service) - Performance Certificate of one similar project (Laboratory Research, Laboratory, or Clean Room) of not less than GFA(Gross floor area) of 1,000m2 in the last 10 years - Tax payment(2023)</x:v>
      </x:c>
      <x:c r="J1888" s="43" t="str">
        <x:v>자동추출·검토필요</x:v>
      </x:c>
    </x:row>
    <x:row r="1889">
      <x:c r="A1889" s="43" t="str">
        <x:v>L2024-00052-1</x:v>
      </x:c>
      <x:c r="B1889" s="43" t="str">
        <x:v>부가세·예비비</x:v>
      </x:c>
      <x:c r="C1889" s="46" t="str">
        <x:v>vat, tax</x:v>
      </x:c>
      <x:c r="D1889" s="46" t="str"/>
      <x:c r="E1889" s="46" t="str">
        <x:v>$ 000,000 | $ 000,000 | $ 000,000 | $ 000,000 | $ 000,000 | $ 000,000 | $ 000,000 | $ 000,000</x:v>
      </x:c>
      <x:c r="F1889" s="46" t="str"/>
      <x:c r="G1889" s="46" t="str">
        <x:v>L2024-00052-1/입찰관련서류/Section 3 - Bidding Forms_╝÷┴ñ_R3.docx</x:v>
      </x:c>
      <x:c r="H1889" s="43" t="str">
        <x:v>표 4 행 9</x:v>
      </x:c>
      <x:c r="I1889" s="46" t="str">
        <x:v>VAT and other taxes | VAT and other taxes | [numbers] U$000,000 [words] _________________________ | [numbers] U$000,000 [words] _________________________ | [numbers] U$000,000 [words] _________________________ | [numbers] U$000,000 [words] _________________________ | [numbers] U$000,000 [words] _________________________ | [numbers] U$000,000 [words] _________________________ | [numbers] U$000,000 [words] _________________________ | [numbers] U$000,000 [words] _________________________</x:v>
      </x:c>
      <x:c r="J1889" s="43" t="str">
        <x:v>자동추출·검토필요</x:v>
      </x:c>
    </x:row>
    <x:row r="1890">
      <x:c r="A1890" s="43" t="str">
        <x:v>L2024-00052-1</x:v>
      </x:c>
      <x:c r="B1890" s="43" t="str">
        <x:v>부가세·예비비</x:v>
      </x:c>
      <x:c r="C1890" s="46" t="str">
        <x:v>vat</x:v>
      </x:c>
      <x:c r="D1890" s="46" t="str"/>
      <x:c r="E1890" s="46" t="str"/>
      <x:c r="F1890" s="46" t="str">
        <x:v>80% | 100%</x:v>
      </x:c>
      <x:c r="G1890" s="46" t="str">
        <x:v>L2024-00052-1/입찰관련서류/Section 4 - Request for Proposal (RFP)_Design Service_╝│░Φ░·╛≈┴÷╜├╝¡(┐╡╣«)_Final_R2.pdf</x:v>
      </x:c>
      <x:c r="H1890" s="43" t="str">
        <x:v>페이지 3</x:v>
      </x:c>
      <x:c r="I1890" s="46" t="str">
        <x:v>4. Design Submittal List for Design Phases 1) Submittal List for the Schematic Design(SD) Phase Submittal Contents Copy Note Implementation Plan for Design works Hard &amp; soft 2 copy Design Schedule including Drawings, Design Calculation Report, Priced BOQ and Unpriced BOQ, Specification Design Organization Chart etc. Hard copy with Schematic Design Drawing and Documents 2 A1 or A2 &amp; soft Schematic copy Design(SD) Basic drawing for dismantle, floor plan, site plan, elevation Documents Specification and approximate construction cost statement All documents should be submitted as hard and soft copy. Soft copy can be delivered via USB, e-mail or any other ways that has been agreed on both by the designer and client. 2) Submittal List for the Design Development(DD) Phase Submittal Contents Copy Note Design description 3 Hard &amp; soft copy Floor plan, elevation, section and site plan Hard copy with 3 A1 or A2 &amp; soft Floor plan marking the remodeling work scope for each bldg. copy DD Specification and structural calculation (If needed) 3 Hard &amp; soft copy Documents Approximate construction cost statement per DD dwg. 3 Hard &amp; soft copy All documents should be submitted as hard and soft copy. S</x:v>
      </x:c>
      <x:c r="J1890" s="43" t="str">
        <x:v>자동추출·검토필요</x:v>
      </x:c>
    </x:row>
    <x:row r="1891">
      <x:c r="A1891" s="43" t="str">
        <x:v>L2024-00052-1</x:v>
      </x:c>
      <x:c r="B1891" s="43" t="str">
        <x:v>부가세·예비비</x:v>
      </x:c>
      <x:c r="C1891" s="46" t="str">
        <x:v>vat</x:v>
      </x:c>
      <x:c r="D1891" s="46" t="str">
        <x:v>1,800 m²</x:v>
      </x:c>
      <x:c r="E1891" s="46" t="str">
        <x:v>USD 2,500,000</x:v>
      </x:c>
      <x:c r="F1891" s="46" t="str"/>
      <x:c r="G1891" s="46" t="str">
        <x:v>L2024-00052-1/입찰관련서류/Section 4 - Request for Proposal (RFP)_Design Service_╝│░Φ░·╛≈┴÷╜├╝¡(┐╡╣«)_Final_R2.pdf</x:v>
      </x:c>
      <x:c r="H1891" s="43" t="str">
        <x:v>페이지 5</x:v>
      </x:c>
      <x:c r="I1891" s="46" t="str">
        <x:v>B. Design Instructions For Indonesia IPB University New Advanced Research Laboratory(NARLab) 1. Outline of NARLab Design - Location : Between IPB Univ. ARLab. and JI.Rasamala (ARLab. Southwest direction. See picture below) - - Area : ≒ 1,000 m - Type of Building : 3 story building - Building size : 1,800 m² (Total Floor Area including two bridge connecting with ARLab.) - The Construction Budget for NARLab is at USD2,500,000 excluding of VAT Figure: The proposed site of NARLab and bridges connecting for the advanced research laboratory (marked in red) 2. Basic direction of design of IPB University’s NARLab - Enhance long-term mobility to facilitate expansion and transformation of research facilities. - Conditions required for high tech research Instruments must be met. - Consideration of efficient movement of samples subject to research tests from carrying- in to storage and disposal. - Reflect domestic and international legal regulations and controls, including laboratory safety, to prevent duplicate or multiple investments in the future. - Space arrangement that takes into consideration the convenient and efficient work and/or activity of researchers and cooperation between resear</x:v>
      </x:c>
      <x:c r="J1891" s="43" t="str">
        <x:v>자동추출·검토필요</x:v>
      </x:c>
    </x:row>
    <x:row r="1892">
      <x:c r="A1892" s="43" t="str">
        <x:v>L2024-00050-1</x:v>
      </x:c>
      <x:c r="B1892" s="43" t="str">
        <x:v>부가세·예비비</x:v>
      </x:c>
      <x:c r="C1892" s="46" t="str">
        <x:v>vat, tax</x:v>
      </x:c>
      <x:c r="D1892" s="46" t="str"/>
      <x:c r="E1892" s="46" t="str">
        <x:v>USD 3,910,000 | USD 3,910,000</x:v>
      </x:c>
      <x:c r="F1892" s="46" t="str"/>
      <x:c r="G1892" s="46" t="str">
        <x:v>L2024-00050-1/Part 1(입찰절차)/Part 1(└╘┬√└²┬≈)/Section 2 - Bid Data Sheet (┐╡╣«).docx</x:v>
      </x:c>
      <x:c r="H1892" s="43" t="str">
        <x:v>표 4 행 14</x:v>
      </x:c>
      <x:c r="I1892" s="46" t="str">
        <x:v>Project Budget | USD 3,910,000 (Exclusive of VAT and other applicable indirect taxes) | USD 3,910,000 (Exclusive of VAT and other applicable indirect taxes)</x:v>
      </x:c>
      <x:c r="J1892" s="43" t="str">
        <x:v>자동추출·검토필요</x:v>
      </x:c>
    </x:row>
    <x:row r="1893">
      <x:c r="A1893" s="43" t="str">
        <x:v>L2024-00050-1</x:v>
      </x:c>
      <x:c r="B1893" s="43" t="str">
        <x:v>부가세·예비비</x:v>
      </x:c>
      <x:c r="C1893" s="46" t="str">
        <x:v>vat, tax</x:v>
      </x:c>
      <x:c r="D1893" s="46" t="str"/>
      <x:c r="E1893" s="46" t="str">
        <x:v>USD 3,800,000 | USD 3,800,000</x:v>
      </x:c>
      <x:c r="F1893" s="46" t="str"/>
      <x:c r="G1893" s="46" t="str">
        <x:v>L2024-00050-1/Part 1(입찰절차)/Part 1(└╘┬√└²┬≈)/Section 2 - Bid Data Sheet (┐╡╣«).docx</x:v>
      </x:c>
      <x:c r="H1893" s="43" t="str">
        <x:v>표 4 행 15</x:v>
      </x:c>
      <x:c r="I1893" s="46" t="str">
        <x:v>Base Price | USD 3,800,000 (Exclusive of VAT and other applicable indirect taxes) | USD 3,800,000 (Exclusive of VAT and other applicable indirect taxes)</x:v>
      </x:c>
      <x:c r="J1893" s="43" t="str">
        <x:v>자동추출·검토필요</x:v>
      </x:c>
    </x:row>
    <x:row r="1894">
      <x:c r="A1894" s="43" t="str">
        <x:v>L2024-00050-1</x:v>
      </x:c>
      <x:c r="B1894" s="43" t="str">
        <x:v>부가세·예비비</x:v>
      </x:c>
      <x:c r="C1894" s="46" t="str">
        <x:v>vat, tax</x:v>
      </x:c>
      <x:c r="D1894" s="46" t="str"/>
      <x:c r="E1894" s="46" t="str">
        <x:v>USD 500,000</x:v>
      </x:c>
      <x:c r="F1894" s="46" t="str"/>
      <x:c r="G1894" s="46" t="str">
        <x:v>L2024-00050-1/Part 1(입찰절차)/Part 1(└╘┬√└²┬≈)/Section 2 - Bid Data Sheet (┐╡╣«).docx</x:v>
      </x:c>
      <x:c r="H1894" s="43" t="str">
        <x:v>표 6 행 6</x:v>
      </x:c>
      <x:c r="I1894" s="46" t="str">
        <x:v>(e) One (1) set of documents evidencing the applicant’s eligibility to participate in the Bid - Latest/valid Certificate of Business Registration(Certificate of Incorporation) - Copy of Valid Trading License issued by Municipal Authority - Valid PPDA Registration Certificate - URA Register (VAT Registration Certificate) - Tax Clearance Certificate - Performance Certificate of one (1) similar project of not less than USD 500,000 in the past five years (2019.09.16-2024.09.15) * Similar Project is construction works that include residential/ accommodation, commercial, medical, training, institutional and/or mixed-use facilities.</x:v>
      </x:c>
      <x:c r="J1894" s="43" t="str">
        <x:v>자동추출·검토필요</x:v>
      </x:c>
    </x:row>
    <x:row r="1895">
      <x:c r="A1895" s="43" t="str">
        <x:v>L2024-00050-1</x:v>
      </x:c>
      <x:c r="B1895" s="43" t="str">
        <x:v>부가세·예비비</x:v>
      </x:c>
      <x:c r="C1895" s="46" t="str">
        <x:v>reserve</x:v>
      </x:c>
      <x:c r="D1895" s="46" t="str"/>
      <x:c r="E1895" s="46" t="str"/>
      <x:c r="F1895" s="46" t="str">
        <x:v>0.5%</x:v>
      </x:c>
      <x:c r="G1895" s="46" t="str">
        <x:v>L2024-00050-1/Part 3(계약서 및 기타 자료)/Section 7. General Conditions of Contract.docx</x:v>
      </x:c>
      <x:c r="H1895" s="43" t="str">
        <x:v>표 4 행 109</x:v>
      </x:c>
      <x:c r="I1895"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utilized.</x:v>
      </x:c>
      <x:c r="J1895" s="43" t="str">
        <x:v>자동추출·검토필요</x:v>
      </x:c>
    </x:row>
    <x:row r="1896">
      <x:c r="A1896" s="43" t="str">
        <x:v>L2024-00050-1</x:v>
      </x:c>
      <x:c r="B1896" s="43" t="str">
        <x:v>부가세·예비비</x:v>
      </x:c>
      <x:c r="C1896" s="46" t="str">
        <x:v>reserve</x:v>
      </x:c>
      <x:c r="D1896" s="46" t="str"/>
      <x:c r="E1896" s="46" t="str"/>
      <x:c r="F1896" s="46" t="str">
        <x:v>50% | 50%</x:v>
      </x:c>
      <x:c r="G1896" s="46" t="str">
        <x:v>L2024-00050-1/Part 3(계약서 및 기타 자료)/Section 7. General Conditions of Contract.docx</x:v>
      </x:c>
      <x:c r="H1896" s="43" t="str">
        <x:v>표 12 행 61</x:v>
      </x:c>
      <x:c r="I1896"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896" s="43" t="str">
        <x:v>자동추출·검토필요</x:v>
      </x:c>
    </x:row>
    <x:row r="1897">
      <x:c r="A1897" s="43" t="str">
        <x:v>L2024-00050-1</x:v>
      </x:c>
      <x:c r="B1897" s="43" t="str">
        <x:v>부가세·예비비</x:v>
      </x:c>
      <x:c r="C1897" s="46" t="str">
        <x:v>reserve</x:v>
      </x:c>
      <x:c r="D1897" s="46" t="str"/>
      <x:c r="E1897" s="46" t="str">
        <x:v>UGX 500 Million | UGX 25 Million</x:v>
      </x:c>
      <x:c r="F1897" s="46" t="str">
        <x:v>5% | 5%</x:v>
      </x:c>
      <x:c r="G1897" s="46" t="str">
        <x:v>L2024-00050-1/우간다 조달청 규정/(PPDA ║╕┴⌡▒╘┴ñ) GUIDELINE-3-OF-2024-ON-BID-AND-PERFORMANCE-SECURITIES.pdf</x:v>
      </x:c>
      <x:c r="H1897" s="43" t="str">
        <x:v>페이지 3</x:v>
      </x:c>
      <x:c r="I1897" s="46" t="str">
        <x:v>The Public Procurement and Disposal ofPublic Assets Guidelines,2024 The format of the bid security in form of a bid bond is provided in the standard bidding documents issued to procuring and disposing entities. vt. Where an Entity finds it necessary to extend the bid security (bid bond), such extension shall be undertaken by use of a bid securing declaration. The format of the bid securing declaration is provided in the standard bidding documents issued to procuring and disposing entities. 1.3 Bid or Proposal Securing Declaration A bid or Proposal Securing Declaration shall be required for procurement of supplies, works and non-+onsultancy services under the restricted domestic, restricted international, quotation and direct methods. A proposal securing declaration shall be required for procurement of consultancy services under all procurement bidding methods. iii. Notwithstanding provisions in .1 (i) and .2(i) above, a bid securing 1 '1 declaration shall be required for procurements that are reserved for national providers under the open domestic bidding method. The format of the bid securing declaration is provided in the standard bidding documents issued to procuring and disposi</x:v>
      </x:c>
      <x:c r="J1897" s="43" t="str">
        <x:v>자동추출·검토필요</x:v>
      </x:c>
    </x:row>
    <x:row r="1898">
      <x:c r="A1898" s="43" t="str">
        <x:v>L2024-00050-1</x:v>
      </x:c>
      <x:c r="B1898" s="43" t="str">
        <x:v>부가세·예비비</x:v>
      </x:c>
      <x:c r="C1898" s="46" t="str">
        <x:v>예비비</x:v>
      </x:c>
      <x:c r="D1898" s="46" t="str"/>
      <x:c r="E1898" s="46" t="str"/>
      <x:c r="F1898" s="46" t="str">
        <x:v>5% | 97.5%</x:v>
      </x:c>
      <x:c r="G1898" s="46" t="str">
        <x:v>L2024-00050-1/입찰계획안(국문)_240912.hwp</x:v>
      </x:c>
      <x:c r="H1898" s="43" t="str">
        <x:v>문단 108</x:v>
      </x:c>
      <x:c r="I1898" s="46" t="str">
        <x:v>* Note 1) 기초금액은 설계예정가격(예비비 5% 포함) 대비 약 97.5%를 산정함.</x:v>
      </x:c>
      <x:c r="J1898" s="43" t="str">
        <x:v>자동추출·검토필요</x:v>
      </x:c>
    </x:row>
    <x:row r="1899">
      <x:c r="A1899" s="43" t="str">
        <x:v>L2024-00050-1</x:v>
      </x:c>
      <x:c r="B1899" s="43" t="str">
        <x:v>부가세·예비비</x:v>
      </x:c>
      <x:c r="C1899" s="46" t="str">
        <x:v>vat, tax</x:v>
      </x:c>
      <x:c r="D1899" s="46" t="str"/>
      <x:c r="E1899" s="46" t="str">
        <x:v>USD 3,910,000 | USD 3,910,000</x:v>
      </x:c>
      <x:c r="F1899" s="46" t="str"/>
      <x:c r="G1899" s="46" t="str">
        <x:v>L2024-00050-1/입찰계획안(영문)_240912.docx</x:v>
      </x:c>
      <x:c r="H1899" s="43" t="str">
        <x:v>표 4 행 14</x:v>
      </x:c>
      <x:c r="I1899" s="46" t="str">
        <x:v>Project Budget | USD 3,910,000 (Exclusive of VAT and other applicable indirect taxes) | USD 3,910,000 (Exclusive of VAT and other applicable indirect taxes)</x:v>
      </x:c>
      <x:c r="J1899" s="43" t="str">
        <x:v>자동추출·검토필요</x:v>
      </x:c>
    </x:row>
    <x:row r="1900">
      <x:c r="A1900" s="43" t="str">
        <x:v>L2024-00050-1</x:v>
      </x:c>
      <x:c r="B1900" s="43" t="str">
        <x:v>부가세·예비비</x:v>
      </x:c>
      <x:c r="C1900" s="46" t="str">
        <x:v>vat, tax</x:v>
      </x:c>
      <x:c r="D1900" s="46" t="str"/>
      <x:c r="E1900" s="46" t="str">
        <x:v>USD 3,800,000 | USD 3,800,000</x:v>
      </x:c>
      <x:c r="F1900" s="46" t="str"/>
      <x:c r="G1900" s="46" t="str">
        <x:v>L2024-00050-1/입찰계획안(영문)_240912.docx</x:v>
      </x:c>
      <x:c r="H1900" s="43" t="str">
        <x:v>표 4 행 15</x:v>
      </x:c>
      <x:c r="I1900" s="46" t="str">
        <x:v>Base Price | USD 3,800,000 (Exclusive of VAT and other applicable indirect taxes) | USD 3,800,000 (Exclusive of VAT and other applicable indirect taxes)</x:v>
      </x:c>
      <x:c r="J1900" s="43" t="str">
        <x:v>자동추출·검토필요</x:v>
      </x:c>
    </x:row>
    <x:row r="1901">
      <x:c r="A1901" s="43" t="str">
        <x:v>L2024-00050-1</x:v>
      </x:c>
      <x:c r="B1901" s="43" t="str">
        <x:v>부가세·예비비</x:v>
      </x:c>
      <x:c r="C1901" s="46" t="str">
        <x:v>vat, tax</x:v>
      </x:c>
      <x:c r="D1901" s="46" t="str"/>
      <x:c r="E1901" s="46" t="str">
        <x:v>USD 500,000</x:v>
      </x:c>
      <x:c r="F1901" s="46" t="str"/>
      <x:c r="G1901" s="46" t="str">
        <x:v>L2024-00050-1/입찰계획안(영문)_240912.docx</x:v>
      </x:c>
      <x:c r="H1901" s="43" t="str">
        <x:v>표 6 행 6</x:v>
      </x:c>
      <x:c r="I1901" s="46" t="str">
        <x:v>(e) One (1) set of documents evidencing the applicant’s eligibility to participate in the Bid - Latest/valid Certificate of Business Registration(Certificate of Incorporation) - Copy of Valid Trading License issued by Municipal Authority - Valid PPDA Registration Certificate - URA Register (VAT Registration Certificate) - Tax Clearance Certificate - Performance Certificate of one (1) similar project of not less than USD 500,000 in the past five years (2019.09.16-2024.09.15) * Similar Project is construction works that include residential/ accommodation, commercial, medical, training, institutional and/or mixed-use facilities.</x:v>
      </x:c>
      <x:c r="J1901" s="43" t="str">
        <x:v>자동추출·검토필요</x:v>
      </x:c>
    </x:row>
    <x:row r="1902">
      <x:c r="A1902" s="43" t="str">
        <x:v>L2024-00049-2</x:v>
      </x:c>
      <x:c r="B1902" s="43" t="str">
        <x:v>부가세·예비비</x:v>
      </x:c>
      <x:c r="C1902" s="46" t="str">
        <x:v>contingency</x:v>
      </x:c>
      <x:c r="D1902" s="46" t="str"/>
      <x:c r="E1902" s="46" t="str"/>
      <x:c r="F1902" s="46" t="str">
        <x:v>0.5%</x:v>
      </x:c>
      <x:c r="G1902" s="46" t="str">
        <x:v>L2024-00049-2/3. Bidding Document_ITCA (Construction)/Section 2 Bid data sheet_ITCA Construction.docx</x:v>
      </x:c>
      <x:c r="H1902" s="43" t="str">
        <x:v>문단 169</x:v>
      </x:c>
      <x:c r="I1902" s="46" t="str">
        <x:v>o Include health and safety measure cost, which will be 0.5% of the total construction cost excluding contingency and the actual cost shall be settled at the final payment.</x:v>
      </x:c>
      <x:c r="J1902" s="43" t="str">
        <x:v>자동추출·검토필요</x:v>
      </x:c>
    </x:row>
    <x:row r="1903">
      <x:c r="A1903" s="43" t="str">
        <x:v>L2024-00049-2</x:v>
      </x:c>
      <x:c r="B1903" s="43" t="str">
        <x:v>부가세·예비비</x:v>
      </x:c>
      <x:c r="C1903" s="46" t="str">
        <x:v>contingency</x:v>
      </x:c>
      <x:c r="D1903" s="46" t="str"/>
      <x:c r="E1903" s="46" t="str"/>
      <x:c r="F1903" s="46" t="str">
        <x:v>2%</x:v>
      </x:c>
      <x:c r="G1903" s="46" t="str">
        <x:v>L2024-00049-2/3. Bidding Document_ITCA (Construction)/Section 2 Bid data sheet_ITCA Construction.docx</x:v>
      </x:c>
      <x:c r="H1903" s="43" t="str">
        <x:v>문단 170</x:v>
      </x:c>
      <x:c r="I1903" s="46" t="str">
        <x:v>o Include contingency, which will be 2% of the total construction cost and shall be executed after prior approval by the Employer.</x:v>
      </x:c>
      <x:c r="J1903" s="43" t="str">
        <x:v>자동추출·검토필요</x:v>
      </x:c>
    </x:row>
    <x:row r="1904">
      <x:c r="A1904" s="43" t="str">
        <x:v>L2024-00049-2</x:v>
      </x:c>
      <x:c r="B1904" s="43" t="str">
        <x:v>부가세·예비비</x:v>
      </x:c>
      <x:c r="C1904" s="46" t="str">
        <x:v>vat, tax</x:v>
      </x:c>
      <x:c r="D1904" s="46" t="str"/>
      <x:c r="E1904" s="46" t="str">
        <x:v>USD 965,000 | USD 965,000</x:v>
      </x:c>
      <x:c r="F1904" s="46" t="str">
        <x:v>0.5% | 0.5%</x:v>
      </x:c>
      <x:c r="G1904" s="46" t="str">
        <x:v>L2024-00049-2/3. Bidding Document_ITCA (Construction)/Section 2 Bid data sheet_ITCA Construction.docx</x:v>
      </x:c>
      <x:c r="H1904" s="43" t="str">
        <x:v>표 2 행 11</x:v>
      </x:c>
      <x:c r="I1904" s="46" t="str">
        <x:v>Project Budget | USD 965,000 (excluding VAT and other taxes, Incl. 0.5% of safety management cost) | USD 965,000 (excluding VAT and other taxes, Incl. 0.5% of safety management cost)</x:v>
      </x:c>
      <x:c r="J1904" s="43" t="str">
        <x:v>자동추출·검토필요</x:v>
      </x:c>
    </x:row>
    <x:row r="1905">
      <x:c r="A1905" s="43" t="str">
        <x:v>L2024-00049-2</x:v>
      </x:c>
      <x:c r="B1905" s="43" t="str">
        <x:v>부가세·예비비</x:v>
      </x:c>
      <x:c r="C1905" s="46" t="str">
        <x:v>contingency</x:v>
      </x:c>
      <x:c r="D1905" s="46" t="str"/>
      <x:c r="E1905" s="46" t="str"/>
      <x:c r="F1905" s="46" t="str">
        <x:v>2%</x:v>
      </x:c>
      <x:c r="G1905" s="46" t="str">
        <x:v>L2024-00049-2/3. Bidding Document_ITCA (Construction)/Section 2 Bid data sheet_ITCA Construction.docx</x:v>
      </x:c>
      <x:c r="H1905" s="43" t="str">
        <x:v>표 8 행 12</x:v>
      </x:c>
      <x:c r="I1905" s="46" t="str">
        <x:v>Contingency | 2% of the total construction cost</x:v>
      </x:c>
      <x:c r="J1905" s="43" t="str">
        <x:v>자동추출·검토필요</x:v>
      </x:c>
    </x:row>
    <x:row r="1906">
      <x:c r="A1906" s="43" t="str">
        <x:v>L2024-00049-2</x:v>
      </x:c>
      <x:c r="B1906" s="43" t="str">
        <x:v>부가세·예비비</x:v>
      </x:c>
      <x:c r="C1906" s="46" t="str">
        <x:v>reserve</x:v>
      </x:c>
      <x:c r="D1906" s="46" t="str"/>
      <x:c r="E1906" s="46" t="str"/>
      <x:c r="F1906" s="46" t="str">
        <x:v>0.5%</x:v>
      </x:c>
      <x:c r="G1906" s="46" t="str">
        <x:v>L2024-00049-2/3. Bidding Document_ITCA (Construction)/Section 7 General Conditions_ITCA Construction.docx</x:v>
      </x:c>
      <x:c r="H1906" s="43" t="str">
        <x:v>표 4 행 109</x:v>
      </x:c>
      <x:c r="I1906"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utilized.</x:v>
      </x:c>
      <x:c r="J1906" s="43" t="str">
        <x:v>자동추출·검토필요</x:v>
      </x:c>
    </x:row>
    <x:row r="1907">
      <x:c r="A1907" s="43" t="str">
        <x:v>L2024-00049-2</x:v>
      </x:c>
      <x:c r="B1907" s="43" t="str">
        <x:v>부가세·예비비</x:v>
      </x:c>
      <x:c r="C1907" s="46" t="str">
        <x:v>reserve</x:v>
      </x:c>
      <x:c r="D1907" s="46" t="str"/>
      <x:c r="E1907" s="46" t="str"/>
      <x:c r="F1907" s="46" t="str">
        <x:v>50% | 50%</x:v>
      </x:c>
      <x:c r="G1907" s="46" t="str">
        <x:v>L2024-00049-2/3. Bidding Document_ITCA (Construction)/Section 7 General Conditions_ITCA Construction.docx</x:v>
      </x:c>
      <x:c r="H1907" s="43" t="str">
        <x:v>표 12 행 61</x:v>
      </x:c>
      <x:c r="I1907"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907" s="43" t="str">
        <x:v>자동추출·검토필요</x:v>
      </x:c>
    </x:row>
    <x:row r="1908">
      <x:c r="A1908" s="43" t="str">
        <x:v>L2024-00049-1</x:v>
      </x:c>
      <x:c r="B1908" s="43" t="str">
        <x:v>부가세·예비비</x:v>
      </x:c>
      <x:c r="C1908" s="46" t="str">
        <x:v>contingency</x:v>
      </x:c>
      <x:c r="D1908" s="46" t="str"/>
      <x:c r="E1908" s="46" t="str"/>
      <x:c r="F1908" s="46" t="str">
        <x:v>0.5%</x:v>
      </x:c>
      <x:c r="G1908" s="46" t="str">
        <x:v>L2024-00049-1/Bidding Document_ITCA(Construction)_Final/Section 2 Bid data sheet_ITCA Construction_(202409).docx</x:v>
      </x:c>
      <x:c r="H1908" s="43" t="str">
        <x:v>문단 95</x:v>
      </x:c>
      <x:c r="I1908" s="46" t="str">
        <x:v>o Include health and safety measure cost, which will be 0.5% of the total construction cost excluding contingency and the actual cost shall be settled at the final payment.</x:v>
      </x:c>
      <x:c r="J1908" s="43" t="str">
        <x:v>자동추출·검토필요</x:v>
      </x:c>
    </x:row>
    <x:row r="1909">
      <x:c r="A1909" s="43" t="str">
        <x:v>L2024-00049-1</x:v>
      </x:c>
      <x:c r="B1909" s="43" t="str">
        <x:v>부가세·예비비</x:v>
      </x:c>
      <x:c r="C1909" s="46" t="str">
        <x:v>contingency</x:v>
      </x:c>
      <x:c r="D1909" s="46" t="str"/>
      <x:c r="E1909" s="46" t="str"/>
      <x:c r="F1909" s="46" t="str">
        <x:v>2%</x:v>
      </x:c>
      <x:c r="G1909" s="46" t="str">
        <x:v>L2024-00049-1/Bidding Document_ITCA(Construction)_Final/Section 2 Bid data sheet_ITCA Construction_(202409).docx</x:v>
      </x:c>
      <x:c r="H1909" s="43" t="str">
        <x:v>문단 96</x:v>
      </x:c>
      <x:c r="I1909" s="46" t="str">
        <x:v>o Include contingency, which will be 2% of the total construction cost and shall be executed after prior approval by the Employer.</x:v>
      </x:c>
      <x:c r="J1909" s="43" t="str">
        <x:v>자동추출·검토필요</x:v>
      </x:c>
    </x:row>
    <x:row r="1910">
      <x:c r="A1910" s="43" t="str">
        <x:v>L2024-00049-1</x:v>
      </x:c>
      <x:c r="B1910" s="43" t="str">
        <x:v>부가세·예비비</x:v>
      </x:c>
      <x:c r="C1910" s="46" t="str">
        <x:v>vat, tax</x:v>
      </x:c>
      <x:c r="D1910" s="46" t="str"/>
      <x:c r="E1910" s="46" t="str">
        <x:v>USD 965,000 | USD 965,000</x:v>
      </x:c>
      <x:c r="F1910" s="46" t="str">
        <x:v>0.5% | 0.5%</x:v>
      </x:c>
      <x:c r="G1910" s="46" t="str">
        <x:v>L2024-00049-1/Bidding Document_ITCA(Construction)_Final/Section 2 Bid data sheet_ITCA Construction_(202409).docx</x:v>
      </x:c>
      <x:c r="H1910" s="43" t="str">
        <x:v>표 2 행 11</x:v>
      </x:c>
      <x:c r="I1910" s="46" t="str">
        <x:v>Project Budget | USD 965,000 (excluding VAT and other taxes, Incl. 0.5% of safety management cost) | USD 965,000 (excluding VAT and other taxes, Incl. 0.5% of safety management cost)</x:v>
      </x:c>
      <x:c r="J1910" s="43" t="str">
        <x:v>자동추출·검토필요</x:v>
      </x:c>
    </x:row>
    <x:row r="1911">
      <x:c r="A1911" s="43" t="str">
        <x:v>L2024-00049-1</x:v>
      </x:c>
      <x:c r="B1911" s="43" t="str">
        <x:v>부가세·예비비</x:v>
      </x:c>
      <x:c r="C1911" s="46" t="str">
        <x:v>contingency</x:v>
      </x:c>
      <x:c r="D1911" s="46" t="str"/>
      <x:c r="E1911" s="46" t="str"/>
      <x:c r="F1911" s="46" t="str">
        <x:v>2%</x:v>
      </x:c>
      <x:c r="G1911" s="46" t="str">
        <x:v>L2024-00049-1/Bidding Document_ITCA(Construction)_Final/Section 2 Bid data sheet_ITCA Construction_(202409).docx</x:v>
      </x:c>
      <x:c r="H1911" s="43" t="str">
        <x:v>표 8 행 12</x:v>
      </x:c>
      <x:c r="I1911" s="46" t="str">
        <x:v>Contingency | 2% of the total construction cost</x:v>
      </x:c>
      <x:c r="J1911" s="43" t="str">
        <x:v>자동추출·검토필요</x:v>
      </x:c>
    </x:row>
    <x:row r="1912">
      <x:c r="A1912" s="43" t="str">
        <x:v>L2024-00049-1</x:v>
      </x:c>
      <x:c r="B1912" s="43" t="str">
        <x:v>부가세·예비비</x:v>
      </x:c>
      <x:c r="C1912" s="46" t="str">
        <x:v>reserve</x:v>
      </x:c>
      <x:c r="D1912" s="46" t="str"/>
      <x:c r="E1912" s="46" t="str"/>
      <x:c r="F1912" s="46" t="str">
        <x:v>0.5%</x:v>
      </x:c>
      <x:c r="G1912" s="46" t="str">
        <x:v>L2024-00049-1/Bidding Document_ITCA(Construction)_Final/Section 7 General Conditions_ITCA Construction_(202409).docx</x:v>
      </x:c>
      <x:c r="H1912" s="43" t="str">
        <x:v>표 4 행 109</x:v>
      </x:c>
      <x:c r="I1912"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utilized.</x:v>
      </x:c>
      <x:c r="J1912" s="43" t="str">
        <x:v>자동추출·검토필요</x:v>
      </x:c>
    </x:row>
    <x:row r="1913">
      <x:c r="A1913" s="43" t="str">
        <x:v>L2024-00049-1</x:v>
      </x:c>
      <x:c r="B1913" s="43" t="str">
        <x:v>부가세·예비비</x:v>
      </x:c>
      <x:c r="C1913" s="46" t="str">
        <x:v>reserve</x:v>
      </x:c>
      <x:c r="D1913" s="46" t="str"/>
      <x:c r="E1913" s="46" t="str"/>
      <x:c r="F1913" s="46" t="str">
        <x:v>50% | 50%</x:v>
      </x:c>
      <x:c r="G1913" s="46" t="str">
        <x:v>L2024-00049-1/Bidding Document_ITCA(Construction)_Final/Section 7 General Conditions_ITCA Construction_(202409).docx</x:v>
      </x:c>
      <x:c r="H1913" s="43" t="str">
        <x:v>표 12 행 61</x:v>
      </x:c>
      <x:c r="I1913"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913" s="43" t="str">
        <x:v>자동추출·검토필요</x:v>
      </x:c>
    </x:row>
    <x:row r="1914">
      <x:c r="A1914" s="43" t="str">
        <x:v>L2024-00048-1</x:v>
      </x:c>
      <x:c r="B1914" s="43" t="str">
        <x:v>부가세·예비비</x:v>
      </x:c>
      <x:c r="C1914" s="46" t="str">
        <x:v>contingency</x:v>
      </x:c>
      <x:c r="D1914" s="46" t="str"/>
      <x:c r="E1914" s="46" t="str"/>
      <x:c r="F1914" s="46" t="str">
        <x:v>10%</x:v>
      </x:c>
      <x:c r="G1914" s="46" t="str">
        <x:v>L2024-00048-1/Section 2 - (영문) Bid Data Sheet (BDS)_코트디_ver.1.3.docx</x:v>
      </x:c>
      <x:c r="H1914" s="43" t="str">
        <x:v>문단 103</x:v>
      </x:c>
      <x:c r="I1914" s="46" t="str">
        <x:v>- Contingency cost shall be fixed at 10% of the total service value and shall be spent after the approval of KOICA.</x:v>
      </x:c>
      <x:c r="J1914" s="43" t="str">
        <x:v>자동추출·검토필요</x:v>
      </x:c>
    </x:row>
    <x:row r="1915">
      <x:c r="A1915" s="43" t="str">
        <x:v>L2024-00048-1</x:v>
      </x:c>
      <x:c r="B1915" s="43" t="str">
        <x:v>부가세·예비비</x:v>
      </x:c>
      <x:c r="C1915" s="46" t="str">
        <x:v>vat</x:v>
      </x:c>
      <x:c r="D1915" s="46" t="str"/>
      <x:c r="E1915" s="46" t="str">
        <x:v>USD 220,000 | USD 132,000 | USD 88,000 | USD 220,000 | USD 132,000 | USD 88,000</x:v>
      </x:c>
      <x:c r="F1915" s="46" t="str"/>
      <x:c r="G1915" s="46" t="str">
        <x:v>L2024-00048-1/Section 2 - (영문) Bid Data Sheet (BDS)_코트디_ver.1.3.docx</x:v>
      </x:c>
      <x:c r="H1915" s="43" t="str">
        <x:v>표 5 행 5</x:v>
      </x:c>
      <x:c r="I1915" s="46" t="str">
        <x:v>․ Bid Limit | USD 220,000 (VAT excluded) - Design: USD 132,000 - Construction Supervision: USD 88,000 | USD 220,000 (VAT excluded) - Design: USD 132,000 - Construction Supervision: USD 88,000</x:v>
      </x:c>
      <x:c r="J1915" s="43" t="str">
        <x:v>자동추출·검토필요</x:v>
      </x:c>
    </x:row>
    <x:row r="1916">
      <x:c r="A1916" s="43" t="str">
        <x:v>L2024-00048-1</x:v>
      </x:c>
      <x:c r="B1916" s="43" t="str">
        <x:v>부가세·예비비</x:v>
      </x:c>
      <x:c r="C1916" s="46" t="str">
        <x:v>contingency</x:v>
      </x:c>
      <x:c r="D1916" s="46" t="str"/>
      <x:c r="E1916" s="46" t="str"/>
      <x:c r="F1916" s="46" t="str">
        <x:v>10%</x:v>
      </x:c>
      <x:c r="G1916" s="46" t="str">
        <x:v>L2024-00048-1/Section 4 - Request for Proposal_코트디_ver.1.2_수정.docx</x:v>
      </x:c>
      <x:c r="H1916" s="43" t="str">
        <x:v>문단 114</x:v>
      </x:c>
      <x:c r="I1916" s="46" t="str">
        <x:v>Contingency shall be included in the BOQ and 10% of total construction cost minus overhead such as profit and insurance.</x:v>
      </x:c>
      <x:c r="J1916" s="43" t="str">
        <x:v>자동추출·검토필요</x:v>
      </x:c>
    </x:row>
    <x:row r="1917">
      <x:c r="A1917" s="43" t="str">
        <x:v>L2024-00048-1</x:v>
      </x:c>
      <x:c r="B1917" s="43" t="str">
        <x:v>부가세·예비비</x:v>
      </x:c>
      <x:c r="C1917" s="46" t="str">
        <x:v>vat</x:v>
      </x:c>
      <x:c r="D1917" s="46" t="str"/>
      <x:c r="E1917" s="46" t="str">
        <x:v>USD 220,000 | USD 132,000 | USD 88,000</x:v>
      </x:c>
      <x:c r="F1917" s="46" t="str"/>
      <x:c r="G1917" s="46" t="str">
        <x:v>L2024-00048-1/입찰 초청장.docx</x:v>
      </x:c>
      <x:c r="H1917" s="43" t="str">
        <x:v>표 2 행 5</x:v>
      </x:c>
      <x:c r="I1917" s="46" t="str">
        <x:v>Project Budget | USD 220,000 (VAT excluded) - Design: USD 132,000 - Construction Supervision: USD 88,000</x:v>
      </x:c>
      <x:c r="J1917" s="43" t="str">
        <x:v>자동추출·검토필요</x:v>
      </x:c>
    </x:row>
    <x:row r="1918">
      <x:c r="A1918" s="43" t="str">
        <x:v>L2024-00042-1</x:v>
      </x:c>
      <x:c r="B1918" s="43" t="str">
        <x:v>부가세·예비비</x:v>
      </x:c>
      <x:c r="C1918" s="46" t="str">
        <x:v>vat, tax</x:v>
      </x:c>
      <x:c r="D1918" s="46" t="str"/>
      <x:c r="E1918" s="46" t="str">
        <x:v>USD 9,406,500 | USD 9,171,338</x:v>
      </x:c>
      <x:c r="F1918" s="46" t="str"/>
      <x:c r="G1918" s="46" t="str">
        <x:v>L2024-00042-1/Section 2_Bid Data Sheet.pdf</x:v>
      </x:c>
      <x:c r="H1918" s="43" t="str">
        <x:v>페이지 6</x:v>
      </x:c>
      <x:c r="I1918" s="46" t="str">
        <x:v>1. Overview of Bid A. Bidding No. KOICALAO-2024-7-24 Construction Works for Upgrading Bridges and Road Safety B. Title of the Bid on National Road No.8 (AH15) in Lao PDR C. Summary of Construction Works - Location Bolikhamxai and Khammouane Province of Lao PDR ▪ Bridge Construction: 6 nos., L=231.0 m - Nam Khiao 2 Br. (PSC Beam), L=33.0 m - Huay Khimiang Br. (PSC Beam), L=33.0 m - Huay Mouang Br. (PSC Beam), L=33.0 m - Huay Poung Br. (PSC Beam), L=33.0 m - Nam Ngang Gnai Br. (PSC Beam), L=2@33=66.0 m - Huay Bordod Br. (PSC Beam), L=33.0 m ▪ Bridge Access Road Rehabilitation: 6 nos., L=2.11 km - Content ▪ Improvement of Black Spot: 2 nos., L=1.44 km - Black Spot #1: L=1.06 km, Road Pavement and Safety Facilities Installation - Black Spot #2: L=0.38 km, Improvement of Alignments, Road Safety Facilities Installation ▪ School Zone Installation: 4 nos. - Phontan, Khouanchanh, Lak10, Thong Napei Primary School - Line Marking, Installation of Road Safety Facilities - Duration 24 Months from the Commencement 25 Months from Contract Signing (Commencement should be D. Contract Period within 30 days from Contract Signing) Lump Sum Contract (No Price Adjustment is adopted due to E. Contract Me</x:v>
      </x:c>
      <x:c r="J1918" s="43" t="str">
        <x:v>자동추출·검토필요</x:v>
      </x:c>
    </x:row>
    <x:row r="1919">
      <x:c r="A1919" s="43" t="str">
        <x:v>L2024-00042-1</x:v>
      </x:c>
      <x:c r="B1919" s="43" t="str">
        <x:v>부가세·예비비</x:v>
      </x:c>
      <x:c r="C1919" s="46" t="str">
        <x:v>vat, tax</x:v>
      </x:c>
      <x:c r="D1919" s="46" t="str"/>
      <x:c r="E1919" s="46" t="str"/>
      <x:c r="F1919" s="46" t="str">
        <x:v>79.995%</x:v>
      </x:c>
      <x:c r="G1919" s="46" t="str">
        <x:v>L2024-00042-1/Section 2_Bid Data Sheet.pdf</x:v>
      </x:c>
      <x:c r="H1919" s="43" t="str">
        <x:v>페이지 7</x:v>
      </x:c>
      <x:c r="I1919" s="46" t="str">
        <x:v>refund under the relevant laws and regulations. Remark: In terms of the price computation in the BoQ, all unit price does not include VAT or tax when the bidder computes the price in the BoQ. The exemption of Taxes and Duties, the following must be done: Exemption Item Yes No VAT  Contractor    Sub Contractor   Profit Tax  Contractor    Sub Contractor   Withholding Tax  Foreign residents are exempt from income tax   under agreements between the Lao government and donor countries.  General people working on the ODA project   Import Duties  Tax identification Number (TIN) is required. The TIN for the Project can be obtained from Ministry of Finance. 2. Bid Type and Selection of the Successful Bidder A. Bid Type: Open Competitive International Bidding B. Selection of the Successful Bidder: Bid Evaluation with the Lowest Price ○ Based upon bid prices, which shall be below the Estimated Price, but above the Floor Price (79.995% of the Project Budget), the bid evaluation will be conducted from the lowest bidder ○ Selection of successful bidder is determined when the overall score meets 3</x:v>
      </x:c>
      <x:c r="J1919" s="43" t="str">
        <x:v>자동추출·검토필요</x:v>
      </x:c>
    </x:row>
    <x:row r="1920">
      <x:c r="A1920" s="43" t="str">
        <x:v>L2024-00042-1</x:v>
      </x:c>
      <x:c r="B1920" s="43" t="str">
        <x:v>부가세·예비비</x:v>
      </x:c>
      <x:c r="C1920" s="46" t="str">
        <x:v>tax</x:v>
      </x:c>
      <x:c r="D1920" s="46" t="str"/>
      <x:c r="E1920" s="46" t="str">
        <x:v>USD 9,500,000</x:v>
      </x:c>
      <x:c r="F1920" s="46" t="str"/>
      <x:c r="G1920" s="46" t="str">
        <x:v>L2024-00042-1/Section 2_Bid Data Sheet.pdf</x:v>
      </x:c>
      <x:c r="H1920" s="43" t="str">
        <x:v>페이지 8</x:v>
      </x:c>
      <x:c r="I1920" s="46" t="str">
        <x:v>minimum qualified score of 92 points or above ○ The Bid evaluation is conducted according to the evaluation criteria (Annex 1) 3. Bidders’ Qualifications * Note: In case of Joint Venture, all members shall meet the following requirements A. The bidders shall submit a bid application and shall have notice of eligible bidder in prequalification stage by the Employer B. The bidder shall have legality under the laws of the country of incorporation ○ Shall submit evidential documents: Business Registration Certificate, License for Construction Works, Tax Payment Certificate (year 2023) ○ (If Bidder’s nationality is the Republic of Korea) Shall be registered to Overseas Construction Execution either No.4914 or No. 4916 of national procurement system based on Clause 6 of Act of Overseas Construction Promotion before the deadline of Bid application C. The bidder shall have valid registration to perform construction works in Laos ○ Shall submit evidential documents as following: 1) Business Registration Certificate 2) Business Operating License for Road-Bridge Construction issued by MPWT (DPWT) or relevant government department/agency 3) Tax Payment Certificate (year 2023) issued by relevan</x:v>
      </x:c>
      <x:c r="J1920" s="43" t="str">
        <x:v>자동추출·검토필요</x:v>
      </x:c>
    </x:row>
    <x:row r="1921">
      <x:c r="A1921" s="43" t="str">
        <x:v>L2024-00042-1</x:v>
      </x:c>
      <x:c r="B1921" s="43" t="str">
        <x:v>부가세·예비비</x:v>
      </x:c>
      <x:c r="C1921" s="46" t="str">
        <x:v>reserve</x:v>
      </x:c>
      <x:c r="D1921" s="46" t="str"/>
      <x:c r="E1921" s="46" t="str"/>
      <x:c r="F1921" s="46" t="str">
        <x:v>50% | 10%</x:v>
      </x:c>
      <x:c r="G1921" s="46" t="str">
        <x:v>L2024-00042-1/Section 2_Bid Data Sheet.pdf</x:v>
      </x:c>
      <x:c r="H1921" s="43" t="str">
        <x:v>페이지 9</x:v>
      </x:c>
      <x:c r="I1921" s="46" t="str">
        <x:v>foreign government. Where the pledge is found to be false, the Employer shall reserve rights to terminate the contract at any time (Form 6). F. (If Bidder’s nationality is Korea) In accordance with the ‘Article 27 of National Contract Act’, ‘Article 31 of Local Contract Act’, or ‘Article 39 of Act on the Operation of Public Institutions’ of the Republic of Korea, a bidder who is a fraudulent business entity or has been restricted from participating in bidding and is in the disposition period, cannot participate in the bidding ○ Verifying through Korea On-Line E-Procurement System G. According to domestic and foreign laws and regulations, anyone convicted of a bribery-related crime cannot participate in the bidding ○ Submit Declaration of Anti-Corruption in ODA business Participation (Form 7) H. Bidders will not offer or receive money, goods, entertainment, or any other benefit directly or indirectly in the course of making or accepting a bid or signing or performing a contract (and even after the completion of the relevant project or the delivery of goods) ○ Submit Integrity Pledge (Form 8) 4. Joint Venture Conditions: Sole or Joint Venture (JV) is allowed ○ The members of the JV s</x:v>
      </x:c>
      <x:c r="J1921" s="43" t="str">
        <x:v>자동추출·검토필요</x:v>
      </x:c>
    </x:row>
    <x:row r="1922">
      <x:c r="A1922" s="43" t="str">
        <x:v>L2024-00042-1</x:v>
      </x:c>
      <x:c r="B1922" s="43" t="str">
        <x:v>부가세·예비비</x:v>
      </x:c>
      <x:c r="C1922" s="46" t="str">
        <x:v>tax</x:v>
      </x:c>
      <x:c r="D1922" s="46" t="str"/>
      <x:c r="E1922" s="46" t="str">
        <x:v>USD 9,500,000</x:v>
      </x:c>
      <x:c r="F1922" s="46" t="str"/>
      <x:c r="G1922" s="46" t="str">
        <x:v>L2024-00042-1/Section 2_Bid Data Sheet.pdf</x:v>
      </x:c>
      <x:c r="H1922" s="43" t="str">
        <x:v>페이지 11</x:v>
      </x:c>
      <x:c r="I1922" s="46" t="str">
        <x:v>A. Application of Bid ○ Deadline of Submission: Aug. 2, 2024 16:00 (Vientiane local time) ○ Place: KOICA Laos Office ○ Submission Method: Hardcopy to KOICA Laos Office or E-mail submission *All submission (hard or soft copy) must be delivered before the deadline ○ Application Documents ① Bid Application Form (Form 1) ② Bidder’s Information Sheet (Form 2) ③ Joint Venture Agreement (Form 10), where applicable ④ Proof of legality under the laws of the country of incorporation *Business Registration Certificate, License for Construction Works, Tax Payment Certificate (year 2023), Certificate of Overseas Construction Execution (General Contractor) (in case of Korean contractor) ⑤ Proof of valid registration to perform construction works in Laos *Business Registration Certificate *Business Operating License for Road-Bridge Construction issued by MPWT (DPWT) or relevant government department/agency *Tax Payment Certificate (year 2023) issued by relevant tax department/agency or evidential documents for tax exemption ⑥ Proof of project completion certificate of similar project (Form 4) * Similar project: Road construction with equivalent or above USD 9,500,000 within last 10 years from the</x:v>
      </x:c>
      <x:c r="J1922" s="43" t="str">
        <x:v>자동추출·검토필요</x:v>
      </x:c>
    </x:row>
    <x:row r="1923">
      <x:c r="A1923" s="43" t="str">
        <x:v>L2024-00042-1</x:v>
      </x:c>
      <x:c r="B1923" s="43" t="str">
        <x:v>부가세·예비비</x:v>
      </x:c>
      <x:c r="C1923" s="46" t="str">
        <x:v>contingency</x:v>
      </x:c>
      <x:c r="D1923" s="46" t="str"/>
      <x:c r="E1923" s="46" t="str"/>
      <x:c r="F1923" s="46" t="str">
        <x:v>0.5% | 5%</x:v>
      </x:c>
      <x:c r="G1923" s="46" t="str">
        <x:v>L2024-00042-1/Section 2_Bid Data Sheet.pdf</x:v>
      </x:c>
      <x:c r="H1923" s="43" t="str">
        <x:v>페이지 14</x:v>
      </x:c>
      <x:c r="I1923" s="46" t="str">
        <x:v>F. Submission of Bid ○ Deadline of Submission: Sep. 2, 2024 16:00 (Vientiane local time) ○ Place: KOICA Laos Office (3rd Floor, Vientiane Plaza Hotel, Sailom Road, Hatsady-neua village, Chanthabouly district, Vientiane capital, Lao PDR) - Person in charge: Ms. Yeojin KIM - Telephone: +856 21 263 331 ○ All documents should be submitted to the designated place by mail or in person (e-mail submission is not allowed) ① Submission of Bid price (in a separate sealed envelope) ○ The bidders shall submit a bid price using the Form 3 and duly signed by representative/authorized representative ○ The bidders shall attach the priced Bill of Quantities to the bid price (unpriced Bill of Quantities is provided in Section 4) ○ The bidders shall adopt Safety Management Costs in the bid price - Fixed amount of at least 0.5% of bid price except provisional sums - Actual implementation cost of safety management costs must be settled based on the KOICA Safety Management Manual ○ The bidders shall adopt Contingency in the bid price - Fixed amount of 5% of total construction costs - Contingency may be used, in whole or in part, only upon approval of Employer ② Bid Documents ○ Should be submitted as orig</x:v>
      </x:c>
      <x:c r="J1923" s="43" t="str">
        <x:v>자동추출·검토필요</x:v>
      </x:c>
    </x:row>
    <x:row r="1924">
      <x:c r="A1924" s="43" t="str">
        <x:v>L2024-00042-1</x:v>
      </x:c>
      <x:c r="B1924" s="43" t="str">
        <x:v>부가세·예비비</x:v>
      </x:c>
      <x:c r="C1924" s="46" t="str">
        <x:v>vat</x:v>
      </x:c>
      <x:c r="D1924" s="46" t="str"/>
      <x:c r="E1924" s="46" t="str"/>
      <x:c r="F1924" s="46" t="str">
        <x:v>100% | 80% | 60% | 40% | 20%</x:v>
      </x:c>
      <x:c r="G1924" s="46" t="str">
        <x:v>L2024-00042-1/Section 2_Bid Data Sheet.pdf</x:v>
      </x:c>
      <x:c r="H1924" s="43" t="str">
        <x:v>페이지 20</x:v>
      </x:c>
      <x:c r="I1924" s="46" t="str">
        <x:v>Excellent Highly feasible, suitable and reliable 100% Good Feasible 80% Average Feasible but some contents are uncertain 60% Under Average Less feasible, many contents are uncertain 40% Unsatisfied Not feasible, fails to meet the requirements 20% ④ Equipment (5 pts): Overall score of this criteria x 5/8 Equipment Capacity Required Number Score Excavator 0.7-1.0 m3 3 1.0 Bull Dozer 19-32 ton 2 1.0 Dump Truck 10-15 ton 3 1.0 Motor Grader 3.5 m 2 1.0 Vibrating Roller 10 ton 1 1.0 Crane 100-150 ton 1 2.0 Pile Driver D 350-500 mm 1 1.0 Total 8.0 NOTE: 1) The equipment to be evaluated should be available in Lao PDR 2) The bidder shall enclose evidential documents as a proof of ownership of machinery/equipment - Record of purchasing/Purchasing agreement - Contract of lease 3) In case of JV, the number of equipment owned by each member will be aggregated 4) Evaluation of Equipment where: - DDG : Evaluation Point - Tti : Number of Actual Equipment - Tyi : Number of Required Equipment - Di : Maximum Point for Each group of Equipment - Not Self-owned equipment (e.g. lease, rent and other sources) - Fm : Manufacture year of Each Equipment (Under 5 years: 1.0, 5-10 years: 0.9, over 10 years: 0.</x:v>
      </x:c>
      <x:c r="J1924" s="43" t="str">
        <x:v>자동추출·검토필요</x:v>
      </x:c>
    </x:row>
    <x:row r="1925">
      <x:c r="A1925" s="43" t="str">
        <x:v>L2024-00042-1</x:v>
      </x:c>
      <x:c r="B1925" s="43" t="str">
        <x:v>부가세·예비비</x:v>
      </x:c>
      <x:c r="C1925" s="46" t="str">
        <x:v>contingency</x:v>
      </x:c>
      <x:c r="D1925" s="46" t="str"/>
      <x:c r="E1925" s="46" t="str"/>
      <x:c r="F1925" s="46" t="str">
        <x:v>15% | 0.05% | 30% | 5% | 0.5% | 30% | 3%</x:v>
      </x:c>
      <x:c r="G1925" s="46" t="str">
        <x:v>L2024-00042-1/Section 2_Bid Data Sheet.pdf</x:v>
      </x:c>
      <x:c r="H1925" s="43" t="str">
        <x:v>페이지 23</x:v>
      </x:c>
      <x:c r="I1925" s="46" t="str">
        <x:v>Annex 2: Contract Data Contract Data KOICA Laos Office (3rd Floor, Vientiane Plaza Hotel, Sailom Road, Hatsady- Client’s name and address neua village, Chanthabouly district, Vientiane Capital, Lao PDR) (PM) Korea Expressway Corporation JV with Kyong Dong Engineering Co., Ltd. Name of Project Management and (Design &amp;·Supervision) JV of Dong Sung Engineering Co., Design &amp;·Supervision Consultants Ltd., Dong Il Engineering Consultants Co., Ltd., Dasan Consultants Co., Ltd. Time for Completion 730 days from the Commencement Date (24 months) Defect Notification Period (DNP) 2 years (Including DLP Insurance) Laws in Laos Governing Law Laws in Korea, in case of Korean Contractor Ruling language English Language for communications English Contract and Currencies of Payment United State Dollars (USD) The performance security will be in the form of an Performance Security unconditional bank guarantee in the amount(s) of 15% of the Contract Price 0.05% of the contract amount per day, in the currencies in Delay damages for the Works which the contract price is payable Maximum amount of delay damages 30% of the Contract Price Payment Condition Every two(2) months according to the works process </x:v>
      </x:c>
      <x:c r="J1925" s="43" t="str">
        <x:v>자동추출·검토필요</x:v>
      </x:c>
    </x:row>
    <x:row r="1926">
      <x:c r="A1926" s="43" t="str">
        <x:v>L2024-00042-1</x:v>
      </x:c>
      <x:c r="B1926" s="43" t="str">
        <x:v>부가세·예비비</x:v>
      </x:c>
      <x:c r="C1926" s="46" t="str">
        <x:v>tax</x:v>
      </x:c>
      <x:c r="D1926" s="46" t="str"/>
      <x:c r="E1926" s="46" t="str"/>
      <x:c r="F1926" s="46" t="str">
        <x:v>15%</x:v>
      </x:c>
      <x:c r="G1926" s="46" t="str">
        <x:v>L2024-00042-1/Section 7_General Conditions of Contract.pdf</x:v>
      </x:c>
      <x:c r="H1926" s="43" t="str">
        <x:v>페이지 15</x:v>
      </x:c>
      <x:c r="I1926" s="46" t="str">
        <x:v>Article 4.2 Performance Guarantee (a) Unless otherwise specified in the Detailed Terms and Conditions, the Contractor shall, by the [Effective Date] pay the Employer a cash amount equivalent to [15%] of the Contract Price to guarantee the performance of its obligations hereunder (the “Cash Guarantee”) or deliver to the Employer a Bank Guarantee for Performance in lieu of the Cash Guarantee. If the Employer agrees to exempt the Contractor from providing the whole or a portion of the Cash Guarantee, the Contractor shall deliver to the Employer a letter of undertaking pursuant to which it undertakes and covenants to pay the Cash Guarantee amount in cash upon the occurrence of certain events, including a breach by it of this Contract (the “Letter of Undertaking”). (b) If the Contract Period is extended or the Contract Price is increased due to changes in design of the Construction (the “Design”), each in accordance with this Contract, the Contractor shall provide the Employer with an updated Bank Guarantee for Performance reflecting the increased Contract Price or shall pay an additional Cash Guarantee. Unless otherwise specified in the Detailed Terms and Conditions, the updated Bank G</x:v>
      </x:c>
      <x:c r="J1926" s="43" t="str">
        <x:v>자동추출·검토필요</x:v>
      </x:c>
    </x:row>
    <x:row r="1927">
      <x:c r="A1927" s="43" t="str">
        <x:v>L2024-00042-1</x:v>
      </x:c>
      <x:c r="B1927" s="43" t="str">
        <x:v>부가세·예비비</x:v>
      </x:c>
      <x:c r="C1927" s="46" t="str">
        <x:v>reserve</x:v>
      </x:c>
      <x:c r="D1927" s="46" t="str"/>
      <x:c r="E1927" s="46" t="str"/>
      <x:c r="F1927" s="46" t="str">
        <x:v>0.5%</x:v>
      </x:c>
      <x:c r="G1927" s="46" t="str">
        <x:v>L2024-00042-1/Section 7_General Conditions of Contract.pdf</x:v>
      </x:c>
      <x:c r="H1927" s="43" t="str">
        <x:v>페이지 18</x:v>
      </x:c>
      <x:c r="I1927" s="46" t="str">
        <x:v>Article 4.5 Cooperation in respect of Relevant Construction Works If there are other construction works close to or related to the Construction Works hereunder (the “Relevant Construction Works”), the Contractor shall take all necessary measures to ensure that the Relevant Construction Works are not hindered or disrupted. Article 4.6 Standards and Criteria The Contractor shall, in compliance with this Contract and the instructions of the Construction Supervisor, establish standards or criteria to be applied to the Construction Works. The need to apply the standards or criteria consistently shall not excuse any breach by the Contractor of this Contract or the instructions of the Construction Supervisor or the Contractor’s omission to take action under this Contract or in accordance with the instructions of the Construction Supervisor unless the Contractor has obtained the prior written approval of the Employer. Article 4.7 Safety Obligations (a) In undertaking the Construction Works and any repair works, the Contractor shall comply with all safety and health-related Laws of the Recipient Country and shall strictly abide by the Employer’s safety and health-related policies and standa</x:v>
      </x:c>
      <x:c r="J1927" s="43" t="str">
        <x:v>자동추출·검토필요</x:v>
      </x:c>
    </x:row>
    <x:row r="1928">
      <x:c r="A1928" s="43" t="str">
        <x:v>L2024-00042-1</x:v>
      </x:c>
      <x:c r="B1928" s="43" t="str">
        <x:v>부가세·예비비</x:v>
      </x:c>
      <x:c r="C1928" s="46" t="str">
        <x:v>reserve</x:v>
      </x:c>
      <x:c r="D1928" s="46" t="str"/>
      <x:c r="E1928" s="46" t="str"/>
      <x:c r="F1928" s="46" t="str">
        <x:v>50% | 50%</x:v>
      </x:c>
      <x:c r="G1928" s="46" t="str">
        <x:v>L2024-00042-1/Section 7_General Conditions of Contract.pdf</x:v>
      </x:c>
      <x:c r="H1928" s="43" t="str">
        <x:v>페이지 48</x:v>
      </x:c>
      <x:c r="I1928" s="46" t="str">
        <x:v>(c)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 Article 12.6 Payment for Completion (a) Within sixty (60) days from the date the Contractor receives a taking over certificate from the Employer, the Contractor shall, together with supporting documents, submit to the Employer a draft statement of account, which shall include the following details: (i) details of the Construction Works undertaken by the Contractor and the corresponding amount payable in respect thereto; and (ii) such other costs for which the Contractor may charge the Employer. (b) The Employer may reject the draft statement of account subm</x:v>
      </x:c>
      <x:c r="J1928" s="43" t="str">
        <x:v>자동추출·검토필요</x:v>
      </x:c>
    </x:row>
    <x:row r="1929">
      <x:c r="A1929" s="43" t="str">
        <x:v>L2024-00042-1</x:v>
      </x:c>
      <x:c r="B1929" s="43" t="str">
        <x:v>부가세·예비비</x:v>
      </x:c>
      <x:c r="C1929" s="46" t="str">
        <x:v>tax</x:v>
      </x:c>
      <x:c r="D1929" s="46" t="str"/>
      <x:c r="E1929" s="46" t="str"/>
      <x:c r="F1929" s="46" t="str">
        <x:v>90%</x:v>
      </x:c>
      <x:c r="G1929" s="46" t="str">
        <x:v>L2024-00042-1/Section 8_Special Conditions of Contract.pdf</x:v>
      </x:c>
      <x:c r="H1929" s="43" t="str">
        <x:v>페이지 1</x:v>
      </x:c>
      <x:c r="I1929" s="46" t="str">
        <x:v>Special Conditions of the Contract for International Construction Works These Special Conditions of the Contract for International Construction Works (the “Special Conditions”) modify and/or supplement the General Conditions depending on the individual Project and Construction and depending on the individual Project and Construction, may be negotiated with the bidder at the time of advanced disclosure or when a bidder is selected as a preferred bidder. Article 1 – Modified Terms and Conditions The following terms and conditions of the General Conditions shall be modified as set out below. To the extent a term or condition of the General Conditions is not mentioned below, such term or condition shall apply without any modification, amendment or adjustment. Article General Condition subject to Modification Article 8.1(a) (a) The Contractor must conduct the Completion Inspection which is 2-step as Pre- Completion Inspection and Final Completion Inspection. The Contractor shall notify the Employer (through the construction supervisor) of the Pre-Completion Inspection twenty-one (21) days prior to the scheduled date of the same (the “Notice of Pre-Completion Inspection”). The minimum co</x:v>
      </x:c>
      <x:c r="J1929" s="43" t="str">
        <x:v>자동추출·검토필요</x:v>
      </x:c>
    </x:row>
    <x:row r="1930">
      <x:c r="A1930" s="43" t="str">
        <x:v>L2024-00042-1</x:v>
      </x:c>
      <x:c r="B1930" s="43" t="str">
        <x:v>부가세·예비비</x:v>
      </x:c>
      <x:c r="C1930" s="46" t="str">
        <x:v>tax</x:v>
      </x:c>
      <x:c r="D1930" s="46" t="str"/>
      <x:c r="E1930" s="46" t="str">
        <x:v>12.1 US$</x:v>
      </x:c>
      <x:c r="F1930" s="46" t="str">
        <x:v>0.05%</x:v>
      </x:c>
      <x:c r="G1930" s="46" t="str">
        <x:v>L2024-00042-1/Section 8_Special Conditions of Contract.pdf</x:v>
      </x:c>
      <x:c r="H1930" s="43" t="str">
        <x:v>페이지 3</x:v>
      </x:c>
      <x:c r="I1930" s="46" t="str">
        <x:v>[Annex 1] Detailed Terms and Conditions Article Detailed Terms and Conditions Article 1.1 / Article 7.1 Within 30 days from the Contract Signing Commencement Date Article 1.1 / Article 7.2 24 months from the Commencement Date Completion Deadline Article 1.1 Within 25 months from the Contract Signing Contract Period Article 1.1 / Article 12.1 US$ 0,000,000 including all taxes Contract Price Article 1.1 24 months from Issuance of the Taking-over Certificate Defect Notification Period Article 1.1 Bolikhamxay and Khammouan Province, Lao PDR Site or Construction Site Article 1.3 (b) For the Employer Construction Site Copy to: Manager Title: Fax no.: Phone no.: e-mail: For the Contractor Copy to: Title: Fax no.: Phone no.: e-mail: Article 1.11 (f) Shall not be adopted (Lump Sum Contract) Article 2.1 (a) No later than Commencement Date Article 4.1 (c) Such work includes all activities to be performed by the Contractor for the purpose of Works Article 4.3 (g) The language is English Article 6.5 (b) The time is 12 hours Article 7.7 (c) 0.05%/day of the Contract Price 3</x:v>
      </x:c>
      <x:c r="J1930" s="43" t="str">
        <x:v>자동추출·검토필요</x:v>
      </x:c>
    </x:row>
    <x:row r="1931">
      <x:c r="A1931" s="43" t="str">
        <x:v>L2024-00041-1</x:v>
      </x:c>
      <x:c r="B1931" s="43" t="str">
        <x:v>부가세·예비비</x:v>
      </x:c>
      <x:c r="C1931" s="46" t="str">
        <x:v>contingency</x:v>
      </x:c>
      <x:c r="D1931" s="46" t="str"/>
      <x:c r="E1931" s="46" t="str"/>
      <x:c r="F1931" s="46" t="str">
        <x:v>5%</x:v>
      </x:c>
      <x:c r="G1931" s="46" t="str">
        <x:v>L2024-00041-1/Section 2 - Bid Data Sheet (BDS)_v5_0604.docx</x:v>
      </x:c>
      <x:c r="H1931" s="43" t="str">
        <x:v>문단 89</x:v>
      </x:c>
      <x:c r="I1931" s="46" t="str">
        <x:v>- Contingency cost shall be fixed at 5% of the total service value and shall be spent after the approval of KOICA.</x:v>
      </x:c>
      <x:c r="J1931" s="43" t="str">
        <x:v>자동추출·검토필요</x:v>
      </x:c>
    </x:row>
    <x:row r="1932">
      <x:c r="A1932" s="43" t="str">
        <x:v>L2024-00041-1</x:v>
      </x:c>
      <x:c r="B1932" s="43" t="str">
        <x:v>부가세·예비비</x:v>
      </x:c>
      <x:c r="C1932" s="46" t="str">
        <x:v>tax</x:v>
      </x:c>
      <x:c r="D1932" s="46" t="str"/>
      <x:c r="E1932" s="46" t="str">
        <x:v>USD 166,600 | USD 149,940, | USD 16,660 | USD 166,600 | USD 149,940, | USD 16,660</x:v>
      </x:c>
      <x:c r="F1932" s="46" t="str">
        <x:v>90% | 10% | 90% | 10%</x:v>
      </x:c>
      <x:c r="G1932" s="46" t="str">
        <x:v>L2024-00041-1/Section 2 - Bid Data Sheet (BDS)_v5_0604.docx</x:v>
      </x:c>
      <x:c r="H1932" s="43" t="str">
        <x:v>표 5 행 5</x:v>
      </x:c>
      <x:c r="I1932" s="46" t="str">
        <x:v>․ Bid Limit | USD 166,600 (Excluding value-added taxes and other fees) - Design(90%): USD149,940, - Author’s Supervision(10%): USD16,660 | USD 166,600 (Excluding value-added taxes and other fees) - Design(90%): USD149,940, - Author’s Supervision(10%): USD16,660</x:v>
      </x:c>
      <x:c r="J1932" s="43" t="str">
        <x:v>자동추출·검토필요</x:v>
      </x:c>
    </x:row>
    <x:row r="1933">
      <x:c r="A1933" s="43" t="str">
        <x:v>L2024-00041-1</x:v>
      </x:c>
      <x:c r="B1933" s="43" t="str">
        <x:v>부가세·예비비</x:v>
      </x:c>
      <x:c r="C1933" s="46" t="str">
        <x:v>vat</x:v>
      </x:c>
      <x:c r="D1933" s="46" t="str"/>
      <x:c r="E1933" s="46" t="str"/>
      <x:c r="F1933" s="46" t="str">
        <x:v>90%</x:v>
      </x:c>
      <x:c r="G1933" s="46" t="str">
        <x:v>L2024-00041-1/Section 2 - Bid Data Sheet (BDS)_v5_0604.docx</x:v>
      </x:c>
      <x:c r="H1933" s="43" t="str">
        <x:v>표 9 행 6</x:v>
      </x:c>
      <x:c r="I1933" s="46" t="str">
        <x:v>Qualitative (90%) | Technical | &lt;Design proposal and Action plan&gt; -The quality and creativity of architectural design proposals (including building layouts, floor plans, elevation plans, floor plans of mechanical and telecommunication rooms, and a list of building finishes) -Adequacy of design work execution plan | 30</x:v>
      </x:c>
      <x:c r="J1933" s="43" t="str">
        <x:v>자동추출·검토필요</x:v>
      </x:c>
    </x:row>
    <x:row r="1934">
      <x:c r="A1934" s="43" t="str">
        <x:v>L2024-00041-1</x:v>
      </x:c>
      <x:c r="B1934" s="43" t="str">
        <x:v>부가세·예비비</x:v>
      </x:c>
      <x:c r="C1934" s="46" t="str">
        <x:v>vat, tax</x:v>
      </x:c>
      <x:c r="D1934" s="46" t="str"/>
      <x:c r="E1934" s="46" t="str"/>
      <x:c r="F1934" s="46" t="str">
        <x:v>90% | 10%</x:v>
      </x:c>
      <x:c r="G1934" s="46" t="str">
        <x:v>L2024-00041-1/Section 2 - Bid Data Sheet (BDS)_v5_0604.docx</x:v>
      </x:c>
      <x:c r="H1934" s="43" t="str">
        <x:v>표 12 행 4</x:v>
      </x:c>
      <x:c r="I1934" s="46" t="str">
        <x:v>Contract Price(VAT) | Total Contract Price: -Design(90%): -Author Supervision(10%): Exclusive of VAT, tax and duties.</x:v>
      </x:c>
      <x:c r="J1934" s="43" t="str">
        <x:v>자동추출·검토필요</x:v>
      </x:c>
    </x:row>
    <x:row r="1935">
      <x:c r="A1935" s="43" t="str">
        <x:v>L2024-00041-1</x:v>
      </x:c>
      <x:c r="B1935" s="43" t="str">
        <x:v>부가세·예비비</x:v>
      </x:c>
      <x:c r="C1935" s="46" t="str">
        <x:v>tax</x:v>
      </x:c>
      <x:c r="D1935" s="46" t="str"/>
      <x:c r="E1935" s="46" t="str">
        <x:v>USD 166,600 | USD 149,940, | USD 16,660</x:v>
      </x:c>
      <x:c r="F1935" s="46" t="str">
        <x:v>90% | 10%</x:v>
      </x:c>
      <x:c r="G1935" s="46" t="str">
        <x:v>L2024-00041-1/Summary of Bidding (요약본)_v1_0517.docx</x:v>
      </x:c>
      <x:c r="H1935" s="43" t="str">
        <x:v>표 2 행 4</x:v>
      </x:c>
      <x:c r="I1935" s="46" t="str">
        <x:v>․ Project Budget | USD 166,600 (Excluding value-added taxes and other fees) - Design(90%): USD149,940, - Author’s Supervision(10%): USD16,660</x:v>
      </x:c>
      <x:c r="J1935" s="43" t="str">
        <x:v>자동추출·검토필요</x:v>
      </x:c>
    </x:row>
    <x:row r="1936">
      <x:c r="A1936" s="43" t="str">
        <x:v>L2024-00041-1</x:v>
      </x:c>
      <x:c r="B1936" s="43" t="str">
        <x:v>부가세·예비비</x:v>
      </x:c>
      <x:c r="C1936" s="46" t="str">
        <x:v>tax</x:v>
      </x:c>
      <x:c r="D1936" s="46" t="str"/>
      <x:c r="E1936" s="46" t="str">
        <x:v>USD 166,600 | USD 149,940, | USD 16,660</x:v>
      </x:c>
      <x:c r="F1936" s="46" t="str">
        <x:v>90% | 10%</x:v>
      </x:c>
      <x:c r="G1936" s="46" t="str">
        <x:v>L2024-00041-1/Summary of Bidding (요약본)_v2_0603.docx</x:v>
      </x:c>
      <x:c r="H1936" s="43" t="str">
        <x:v>표 2 행 4</x:v>
      </x:c>
      <x:c r="I1936" s="46" t="str">
        <x:v>․ Project Budget | USD 166,600 (Excluding value-added taxes and other fees) - Design(90%): USD149,940, - Author’s Supervision(10%): USD16,660</x:v>
      </x:c>
      <x:c r="J1936" s="43" t="str">
        <x:v>자동추출·검토필요</x:v>
      </x:c>
    </x:row>
    <x:row r="1937">
      <x:c r="A1937" s="43" t="str">
        <x:v>L2024-00039-1</x:v>
      </x:c>
      <x:c r="B1937" s="43" t="str">
        <x:v>부가세·예비비</x:v>
      </x:c>
      <x:c r="C1937" s="46" t="str">
        <x:v>vat</x:v>
      </x:c>
      <x:c r="D1937" s="46" t="str"/>
      <x:c r="E1937" s="46" t="str">
        <x:v>USD 1,811,491</x:v>
      </x:c>
      <x:c r="F1937" s="46" t="str"/>
      <x:c r="G1937" s="46" t="str">
        <x:v>L2024-00039-1/(이라크사무소) 한-이라크 직업훈련원 2차 지원사업 리노베이션 시공업체선정 현지.hwp</x:v>
      </x:c>
      <x:c r="H1937" s="43" t="str">
        <x:v>문단 17</x:v>
      </x:c>
      <x:c r="I1937" s="46" t="str">
        <x:v>ㅇ 집행한도액: USD 1,811,491(VAT 불포함)</x:v>
      </x:c>
      <x:c r="J1937" s="43" t="str">
        <x:v>자동추출·검토필요</x:v>
      </x:c>
    </x:row>
    <x:row r="1938">
      <x:c r="A1938" s="43" t="str">
        <x:v>L2024-00039-1</x:v>
      </x:c>
      <x:c r="B1938" s="43" t="str">
        <x:v>부가세·예비비</x:v>
      </x:c>
      <x:c r="C1938" s="46" t="str">
        <x:v>vat</x:v>
      </x:c>
      <x:c r="D1938" s="46" t="str"/>
      <x:c r="E1938" s="46" t="str">
        <x:v>USD 1,766,203</x:v>
      </x:c>
      <x:c r="F1938" s="46" t="str">
        <x:v>97.5%</x:v>
      </x:c>
      <x:c r="G1938" s="46" t="str">
        <x:v>L2024-00039-1/(이라크사무소) 한-이라크 직업훈련원 2차 지원사업 리노베이션 시공업체선정 현지.hwp</x:v>
      </x:c>
      <x:c r="H1938" s="43" t="str">
        <x:v>문단 18</x:v>
      </x:c>
      <x:c r="I1938" s="46" t="str">
        <x:v>ㅇ 기초금액: USD 1,766,203(VAT 불포함) / * 예가범위 고려 집행한도액의 97.5% 산정</x:v>
      </x:c>
      <x:c r="J1938" s="43" t="str">
        <x:v>자동추출·검토필요</x:v>
      </x:c>
    </x:row>
    <x:row r="1939">
      <x:c r="A1939" s="43" t="str">
        <x:v>L2024-00039-1</x:v>
      </x:c>
      <x:c r="B1939" s="43" t="str">
        <x:v>부가세·예비비</x:v>
      </x:c>
      <x:c r="C1939" s="46" t="str">
        <x:v>vat</x:v>
      </x:c>
      <x:c r="D1939" s="46" t="str"/>
      <x:c r="E1939" s="46" t="str">
        <x:v>USD 1,811,491</x:v>
      </x:c>
      <x:c r="F1939" s="46" t="str"/>
      <x:c r="G1939" s="46" t="str">
        <x:v>L2024-00039-1/붙임1. 이라크 한-이라크 직훈원 리노베이션 시공 재공고 입찰계획_20240701.hwp</x:v>
      </x:c>
      <x:c r="H1939" s="43" t="str">
        <x:v>문단 109</x:v>
      </x:c>
      <x:c r="I1939" s="46" t="str">
        <x:v>USD 1,811,491(VAT 불포함)</x:v>
      </x:c>
      <x:c r="J1939" s="43" t="str">
        <x:v>자동추출·검토필요</x:v>
      </x:c>
    </x:row>
    <x:row r="1940">
      <x:c r="A1940" s="43" t="str">
        <x:v>L2024-00039-1</x:v>
      </x:c>
      <x:c r="B1940" s="43" t="str">
        <x:v>부가세·예비비</x:v>
      </x:c>
      <x:c r="C1940" s="46" t="str">
        <x:v>vat</x:v>
      </x:c>
      <x:c r="D1940" s="46" t="str"/>
      <x:c r="E1940" s="46" t="str">
        <x:v>USD 1,766.203</x:v>
      </x:c>
      <x:c r="F1940" s="46" t="str"/>
      <x:c r="G1940" s="46" t="str">
        <x:v>L2024-00039-1/붙임1. 이라크 한-이라크 직훈원 리노베이션 시공 재공고 입찰계획_20240701.hwp</x:v>
      </x:c>
      <x:c r="H1940" s="43" t="str">
        <x:v>문단 111</x:v>
      </x:c>
      <x:c r="I1940" s="46" t="str">
        <x:v>USD 1,766.203(VAT 불포함)</x:v>
      </x:c>
      <x:c r="J1940" s="43" t="str">
        <x:v>자동추출·검토필요</x:v>
      </x:c>
    </x:row>
    <x:row r="1941">
      <x:c r="A1941" s="43" t="str">
        <x:v>L2024-00039-1</x:v>
      </x:c>
      <x:c r="B1941" s="43" t="str">
        <x:v>부가세·예비비</x:v>
      </x:c>
      <x:c r="C1941" s="46" t="str">
        <x:v>예비비</x:v>
      </x:c>
      <x:c r="D1941" s="46" t="str"/>
      <x:c r="E1941" s="46" t="str"/>
      <x:c r="F1941" s="46" t="str">
        <x:v>0.5%</x:v>
      </x:c>
      <x:c r="G1941" s="46" t="str">
        <x:v>L2024-00039-1/붙임1. 이라크 한-이라크 직훈원 리노베이션 시공 재공고 입찰계획_20240701.hwp</x:v>
      </x:c>
      <x:c r="H1941" s="43" t="str">
        <x:v>문단 223</x:v>
      </x:c>
      <x:c r="I1941" s="46" t="str">
        <x:v>- 총공사비 중 예비비 제외 금액 × 0.5% 이상을 고정 투찰</x:v>
      </x:c>
      <x:c r="J1941" s="43" t="str">
        <x:v>자동추출·검토필요</x:v>
      </x:c>
    </x:row>
    <x:row r="1942">
      <x:c r="A1942" s="43" t="str">
        <x:v>L2024-00039-1</x:v>
      </x:c>
      <x:c r="B1942" s="43" t="str">
        <x:v>부가세·예비비</x:v>
      </x:c>
      <x:c r="C1942" s="46" t="str">
        <x:v>vat, tax</x:v>
      </x:c>
      <x:c r="D1942" s="46" t="str"/>
      <x:c r="E1942" s="46" t="str">
        <x:v>USD 1,811,491 | USD 1,811,491</x:v>
      </x:c>
      <x:c r="F1942" s="46" t="str"/>
      <x:c r="G1942" s="46" t="str">
        <x:v>L2024-00039-1/붙임3. Bidding Documents_20240702/Section 2 - Bid Data Sheet_20240701.docx</x:v>
      </x:c>
      <x:c r="H1942" s="43" t="str">
        <x:v>표 4 행 14</x:v>
      </x:c>
      <x:c r="I1942" s="46" t="str">
        <x:v>․ Project Budget | USD 1,811,491 (Be inclusive of VAT and other applicable indirect taxes,) | USD 1,811,491 (Be inclusive of VAT and other applicable indirect taxes,)</x:v>
      </x:c>
      <x:c r="J1942" s="43" t="str">
        <x:v>자동추출·검토필요</x:v>
      </x:c>
    </x:row>
    <x:row r="1943">
      <x:c r="A1943" s="43" t="str">
        <x:v>L2024-00039-1</x:v>
      </x:c>
      <x:c r="B1943" s="43" t="str">
        <x:v>부가세·예비비</x:v>
      </x:c>
      <x:c r="C1943" s="46" t="str">
        <x:v>reserve</x:v>
      </x:c>
      <x:c r="D1943" s="46" t="str"/>
      <x:c r="E1943" s="46" t="str"/>
      <x:c r="F1943" s="46" t="str">
        <x:v>0.5%</x:v>
      </x:c>
      <x:c r="G1943" s="46" t="str">
        <x:v>L2024-00039-1/붙임3. Bidding Documents_20240702/Section 7 - General Conditions of Contract.docx</x:v>
      </x:c>
      <x:c r="H1943" s="43" t="str">
        <x:v>표 4 행 109</x:v>
      </x:c>
      <x:c r="I1943"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943" s="43" t="str">
        <x:v>자동추출·검토필요</x:v>
      </x:c>
    </x:row>
    <x:row r="1944">
      <x:c r="A1944" s="43" t="str">
        <x:v>L2024-00039-1</x:v>
      </x:c>
      <x:c r="B1944" s="43" t="str">
        <x:v>부가세·예비비</x:v>
      </x:c>
      <x:c r="C1944" s="46" t="str">
        <x:v>reserve</x:v>
      </x:c>
      <x:c r="D1944" s="46" t="str"/>
      <x:c r="E1944" s="46" t="str"/>
      <x:c r="F1944" s="46" t="str">
        <x:v>50% | 50%</x:v>
      </x:c>
      <x:c r="G1944" s="46" t="str">
        <x:v>L2024-00039-1/붙임3. Bidding Documents_20240702/Section 7 - General Conditions of Contract.docx</x:v>
      </x:c>
      <x:c r="H1944" s="43" t="str">
        <x:v>표 12 행 59</x:v>
      </x:c>
      <x:c r="I1944"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944" s="43" t="str">
        <x:v>자동추출·검토필요</x:v>
      </x:c>
    </x:row>
    <x:row r="1945">
      <x:c r="A1945" s="43" t="str">
        <x:v>L2024-00039-1</x:v>
      </x:c>
      <x:c r="B1945" s="43" t="str">
        <x:v>부가세·예비비</x:v>
      </x:c>
      <x:c r="C1945" s="46" t="str">
        <x:v>vat, tax</x:v>
      </x:c>
      <x:c r="D1945" s="46" t="str"/>
      <x:c r="E1945" s="46" t="str">
        <x:v>USD 1,811,491</x:v>
      </x:c>
      <x:c r="F1945" s="46" t="str"/>
      <x:c r="G1945" s="46" t="str">
        <x:v>L2024-00039-1/붙임3. Bidding Documents_20240702/Summary of Bidding_202405012.docx</x:v>
      </x:c>
      <x:c r="H1945" s="43" t="str">
        <x:v>표 2 행 4</x:v>
      </x:c>
      <x:c r="I1945" s="46" t="str">
        <x:v>․ Project Budget | USD 1,811,491 (Be inclusive of VAT and other applicable indirect taxes)</x:v>
      </x:c>
      <x:c r="J1945" s="43" t="str">
        <x:v>자동추출·검토필요</x:v>
      </x:c>
    </x:row>
    <x:row r="1946">
      <x:c r="A1946" s="43" t="str">
        <x:v>L2024-00039-1</x:v>
      </x:c>
      <x:c r="B1946" s="43" t="str">
        <x:v>부가세·예비비</x:v>
      </x:c>
      <x:c r="C1946" s="46" t="str">
        <x:v>vat, tax</x:v>
      </x:c>
      <x:c r="D1946" s="46" t="str"/>
      <x:c r="E1946" s="46" t="str">
        <x:v>USD 1,811,491 | USD 1,811,491</x:v>
      </x:c>
      <x:c r="F1946" s="46" t="str"/>
      <x:c r="G1946" s="46" t="str">
        <x:v>L2024-00039-1/붙임3. 입찰서류 및 계약서류(안)_재공고(20240701)/Section 2 - Bid Data Sheet_20240701.docx</x:v>
      </x:c>
      <x:c r="H1946" s="43" t="str">
        <x:v>표 4 행 14</x:v>
      </x:c>
      <x:c r="I1946" s="46" t="str">
        <x:v>․ Project Budget | USD 1,811,491 (Be inclusive of VAT and other applicable indirect taxes,) | USD 1,811,491 (Be inclusive of VAT and other applicable indirect taxes,)</x:v>
      </x:c>
      <x:c r="J1946" s="43" t="str">
        <x:v>자동추출·검토필요</x:v>
      </x:c>
    </x:row>
    <x:row r="1947">
      <x:c r="A1947" s="43" t="str">
        <x:v>L2024-00039-1</x:v>
      </x:c>
      <x:c r="B1947" s="43" t="str">
        <x:v>부가세·예비비</x:v>
      </x:c>
      <x:c r="C1947" s="46" t="str">
        <x:v>reserve</x:v>
      </x:c>
      <x:c r="D1947" s="46" t="str"/>
      <x:c r="E1947" s="46" t="str"/>
      <x:c r="F1947" s="46" t="str">
        <x:v>0.5%</x:v>
      </x:c>
      <x:c r="G1947" s="46" t="str">
        <x:v>L2024-00039-1/붙임3. 입찰서류 및 계약서류(안)_재공고(20240701)/Section 7 - General Conditions of Contract.docx</x:v>
      </x:c>
      <x:c r="H1947" s="43" t="str">
        <x:v>표 4 행 109</x:v>
      </x:c>
      <x:c r="I1947"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1947" s="43" t="str">
        <x:v>자동추출·검토필요</x:v>
      </x:c>
    </x:row>
    <x:row r="1948">
      <x:c r="A1948" s="43" t="str">
        <x:v>L2024-00039-1</x:v>
      </x:c>
      <x:c r="B1948" s="43" t="str">
        <x:v>부가세·예비비</x:v>
      </x:c>
      <x:c r="C1948" s="46" t="str">
        <x:v>reserve</x:v>
      </x:c>
      <x:c r="D1948" s="46" t="str"/>
      <x:c r="E1948" s="46" t="str"/>
      <x:c r="F1948" s="46" t="str">
        <x:v>50% | 50%</x:v>
      </x:c>
      <x:c r="G1948" s="46" t="str">
        <x:v>L2024-00039-1/붙임3. 입찰서류 및 계약서류(안)_재공고(20240701)/Section 7 - General Conditions of Contract.docx</x:v>
      </x:c>
      <x:c r="H1948" s="43" t="str">
        <x:v>표 12 행 59</x:v>
      </x:c>
      <x:c r="I1948"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948" s="43" t="str">
        <x:v>자동추출·검토필요</x:v>
      </x:c>
    </x:row>
    <x:row r="1949">
      <x:c r="A1949" s="43" t="str">
        <x:v>L2024-00039-1</x:v>
      </x:c>
      <x:c r="B1949" s="43" t="str">
        <x:v>부가세·예비비</x:v>
      </x:c>
      <x:c r="C1949" s="46" t="str">
        <x:v>vat, tax</x:v>
      </x:c>
      <x:c r="D1949" s="46" t="str"/>
      <x:c r="E1949" s="46" t="str">
        <x:v>USD 1,811,491</x:v>
      </x:c>
      <x:c r="F1949" s="46" t="str"/>
      <x:c r="G1949" s="46" t="str">
        <x:v>L2024-00039-1/붙임3. 입찰서류 및 계약서류(안)_재공고(20240701)/Summary of Bidding_202405012.docx</x:v>
      </x:c>
      <x:c r="H1949" s="43" t="str">
        <x:v>표 2 행 4</x:v>
      </x:c>
      <x:c r="I1949" s="46" t="str">
        <x:v>․ Project Budget | USD 1,811,491 (Be inclusive of VAT and other applicable indirect taxes)</x:v>
      </x:c>
      <x:c r="J1949" s="43" t="str">
        <x:v>자동추출·검토필요</x:v>
      </x:c>
    </x:row>
    <x:row r="1950">
      <x:c r="A1950" s="43" t="str">
        <x:v>L2024-00039-1</x:v>
      </x:c>
      <x:c r="B1950" s="43" t="str">
        <x:v>부가세·예비비</x:v>
      </x:c>
      <x:c r="C1950" s="46" t="str">
        <x:v>예비비</x:v>
      </x:c>
      <x:c r="D1950" s="46" t="str"/>
      <x:c r="E1950" s="46" t="str"/>
      <x:c r="F1950" s="46" t="str">
        <x:v>0.5%</x:v>
      </x:c>
      <x:c r="G1950" s="46" t="str">
        <x:v>L2024-00039-1/붙임3. 조달1팀 검토의견서 및 공문/2. (검토내역) 붙임1. 이라크 한-이라크 직훈원 리노베이션 시공 입찰계획(안)_20240424_최종(코이카 이라크사무소).hwp</x:v>
      </x:c>
      <x:c r="H1950" s="43" t="str">
        <x:v>문단 269</x:v>
      </x:c>
      <x:c r="I1950" s="46" t="str">
        <x:v>- 총공사비 중 예비비 제외 금액 × 0.5% 이상을 고정 투찰</x:v>
      </x:c>
      <x:c r="J1950" s="43" t="str">
        <x:v>자동추출·검토필요</x:v>
      </x:c>
    </x:row>
    <x:row r="1951">
      <x:c r="A1951" s="43" t="str">
        <x:v>L2024-00039-1</x:v>
      </x:c>
      <x:c r="B1951" s="43" t="str">
        <x:v>부가세·예비비</x:v>
      </x:c>
      <x:c r="C1951" s="46" t="str">
        <x:v>예비비</x:v>
      </x:c>
      <x:c r="D1951" s="46" t="str"/>
      <x:c r="E1951" s="46" t="str"/>
      <x:c r="F1951" s="46" t="str">
        <x:v>0.5%</x:v>
      </x:c>
      <x:c r="G1951" s="46" t="str">
        <x:v>L2024-00039-1/붙임3. 조달1팀 검토의견서 및 공문/3. (수정내역) 이라크 한-이라크 직훈원 리노베이션 시공 입찰계획(안)_20240505(검토메모)_사무소 작성.hwp</x:v>
      </x:c>
      <x:c r="H1951" s="43" t="str">
        <x:v>문단 270</x:v>
      </x:c>
      <x:c r="I1951" s="46" t="str">
        <x:v>- 총공사비 중 예비비 제외 금액 × 0.5% 이상을 고정 투찰</x:v>
      </x:c>
      <x:c r="J1951" s="43" t="str">
        <x:v>자동추출·검토필요</x:v>
      </x:c>
    </x:row>
    <x:row r="1952">
      <x:c r="A1952" s="43" t="str">
        <x:v>L2024-00035-1</x:v>
      </x:c>
      <x:c r="B1952" s="43" t="str">
        <x:v>부가세·예비비</x:v>
      </x:c>
      <x:c r="C1952" s="46" t="str">
        <x:v>vat</x:v>
      </x:c>
      <x:c r="D1952" s="46" t="str"/>
      <x:c r="E1952" s="46" t="str">
        <x:v>USD 57,500 | USD 20,000 | USD 37,500 | USD 57,500 | USD 20,000 | USD 37,500</x:v>
      </x:c>
      <x:c r="F1952" s="46" t="str"/>
      <x:c r="G1952" s="46" t="str">
        <x:v>L2024-00035-1/Section 2 - (영문) Bid Data Sheet (BDS)_kenya_0620.docx</x:v>
      </x:c>
      <x:c r="H1952" s="43" t="str">
        <x:v>표 4 행 5</x:v>
      </x:c>
      <x:c r="I1952" s="46" t="str">
        <x:v>․ Bid Limit | USD 57,500(VAT excluded) - Design: USD 20,000 - Construction Supervision: USD 37,500 | USD 57,500(VAT excluded) - Design: USD 20,000 - Construction Supervision: USD 37,500</x:v>
      </x:c>
      <x:c r="J1952" s="43" t="str">
        <x:v>자동추출·검토필요</x:v>
      </x:c>
    </x:row>
    <x:row r="1953">
      <x:c r="A1953" s="43" t="str">
        <x:v>L2024-00035-1</x:v>
      </x:c>
      <x:c r="B1953" s="43" t="str">
        <x:v>부가세·예비비</x:v>
      </x:c>
      <x:c r="C1953" s="46" t="str">
        <x:v>contingency</x:v>
      </x:c>
      <x:c r="D1953" s="46" t="str"/>
      <x:c r="E1953" s="46" t="str"/>
      <x:c r="F1953" s="46" t="str">
        <x:v>5%</x:v>
      </x:c>
      <x:c r="G1953" s="46" t="str">
        <x:v>L2024-00035-1/Section 4 - Request for Proposal_kenya_0620.docx</x:v>
      </x:c>
      <x:c r="H1953" s="43" t="str">
        <x:v>문단 129</x:v>
      </x:c>
      <x:c r="I1953" s="46" t="str">
        <x:v>Contingency shall be included in the BOQ and 5% of total construction cost minus overhead such as profit and insurance.</x:v>
      </x:c>
      <x:c r="J1953" s="43" t="str">
        <x:v>자동추출·검토필요</x:v>
      </x:c>
    </x:row>
    <x:row r="1954">
      <x:c r="A1954" s="43" t="str">
        <x:v>L2024-00035-1</x:v>
      </x:c>
      <x:c r="B1954" s="43" t="str">
        <x:v>부가세·예비비</x:v>
      </x:c>
      <x:c r="C1954" s="46" t="str">
        <x:v>vat, tax</x:v>
      </x:c>
      <x:c r="D1954" s="46" t="str"/>
      <x:c r="E1954" s="46" t="str">
        <x:v>USD 57,500 | USD 20,000, | USD 37,500</x:v>
      </x:c>
      <x:c r="F1954" s="46" t="str">
        <x:v>5%</x:v>
      </x:c>
      <x:c r="G1954" s="46" t="str">
        <x:v>L2024-00035-1/입찰공고문_홈페이지및SNS.pdf</x:v>
      </x:c>
      <x:c r="H1954" s="43" t="str">
        <x:v>페이지 1</x:v>
      </x:c>
      <x:c r="I1954" s="46" t="str">
        <x:v>Tender Notice Date: 28th June, 2024 1. The Korea International Cooperation Agency (KOICA) Kenya Office invites qualified firms to express their interest in Design and Construction Consultancy Services (Geological survey, Design and Construction supervision) for the Project of Improving Maternal and Child Health through Health System Strengthening in Kajiado County, Kenya 2. The project is to be implemented by the grant aid by the Government of the Republic of Korea. 3. Description of Project - Bid Title: Design &amp; Supervision services for the project of Improving Maternal and Child Health through Health System Strengthening in Kajiado County, Kenya - Summary of Consulting Services • Geological survey, Design and Construction supervision - Site area: Kajiado County, Kenya - Budget: USD 57,500 (VAT excluded) • Design: USD 20,000, Construction Supervision: USD 37,500 - Employer : Korea International Cooperation Agency (KOICA) Kenya Office - Bid Type : Open Competitive Bidding with Quality and Cost Based Selection - Criteria for Eligibility • Bidders who submit the application for the participation in this bid by the deadline • Bidders who has a legitimate and lawful entity legally by t</x:v>
      </x:c>
      <x:c r="J1954" s="43" t="str">
        <x:v>자동추출·검토필요</x:v>
      </x:c>
    </x:row>
    <x:row r="1955">
      <x:c r="A1955" s="43" t="str">
        <x:v>L2024-00031-1</x:v>
      </x:c>
      <x:c r="B1955" s="43" t="str">
        <x:v>부가세·예비비</x:v>
      </x:c>
      <x:c r="C1955" s="46" t="str">
        <x:v>vat</x:v>
      </x:c>
      <x:c r="D1955" s="46" t="str"/>
      <x:c r="E1955" s="46" t="str">
        <x:v>USD 4,653,720</x:v>
      </x:c>
      <x:c r="F1955" s="46" t="str"/>
      <x:c r="G1955" s="46" t="str">
        <x:v>L2024-00031-1/1-1. 네팔 박타푸르 취약지역의 빈곤층 건강수준 향상을 위한 역량강화 및 의료인프라 개선 사업-현지 시공업체 선정 입찰계획(안).hwp</x:v>
      </x:c>
      <x:c r="H1955" s="43" t="str">
        <x:v>문단 111</x:v>
      </x:c>
      <x:c r="I1955" s="46" t="str">
        <x:v>USD4,653,720/VAT제외</x:v>
      </x:c>
      <x:c r="J1955" s="43" t="str">
        <x:v>자동추출·검토필요</x:v>
      </x:c>
    </x:row>
    <x:row r="1956">
      <x:c r="A1956" s="43" t="str">
        <x:v>L2024-00031-1</x:v>
      </x:c>
      <x:c r="B1956" s="43" t="str">
        <x:v>부가세·예비비</x:v>
      </x:c>
      <x:c r="C1956" s="46" t="str">
        <x:v>예비비</x:v>
      </x:c>
      <x:c r="D1956" s="46" t="str"/>
      <x:c r="E1956" s="46" t="str"/>
      <x:c r="F1956" s="46" t="str">
        <x:v>0.5%</x:v>
      </x:c>
      <x:c r="G1956" s="46" t="str">
        <x:v>L2024-00031-1/1-1. 네팔 박타푸르 취약지역의 빈곤층 건강수준 향상을 위한 역량강화 및 의료인프라 개선 사업-현지 시공업체 선정 입찰계획(안).hwp</x:v>
      </x:c>
      <x:c r="H1956" s="43" t="str">
        <x:v>문단 215</x:v>
      </x:c>
      <x:c r="I1956" s="46" t="str">
        <x:v>- 총공사비 중 예비비 제외 금액 × 0.5% 이상을 고정 투찰</x:v>
      </x:c>
      <x:c r="J1956" s="43" t="str">
        <x:v>자동추출·검토필요</x:v>
      </x:c>
    </x:row>
    <x:row r="1957">
      <x:c r="A1957" s="43" t="str">
        <x:v>L2024-00031-1</x:v>
      </x:c>
      <x:c r="B1957" s="43" t="str">
        <x:v>부가세·예비비</x:v>
      </x:c>
      <x:c r="C1957" s="46" t="str">
        <x:v>tax</x:v>
      </x:c>
      <x:c r="D1957" s="46" t="str"/>
      <x:c r="E1957" s="46" t="str">
        <x:v>USD 4,537,300 | USD 4,537,300</x:v>
      </x:c>
      <x:c r="F1957" s="46" t="str"/>
      <x:c r="G1957" s="46" t="str">
        <x:v>L2024-00031-1/1-2. BID DOCUMENTS-Project for Universal Health Coverage for the poor in vulnerable area in Bha.docx</x:v>
      </x:c>
      <x:c r="H1957" s="43" t="str">
        <x:v>표 5 행 14</x:v>
      </x:c>
      <x:c r="I1957" s="46" t="str">
        <x:v>․ Projected Estimated Price | USD 4,537,300 (excluding Value-Added Taxes) | USD 4,537,300 (excluding Value-Added Taxes)</x:v>
      </x:c>
      <x:c r="J1957" s="43" t="str">
        <x:v>자동추출·검토필요</x:v>
      </x:c>
    </x:row>
    <x:row r="1958">
      <x:c r="A1958" s="43" t="str">
        <x:v>L2024-00024-1</x:v>
      </x:c>
      <x:c r="B1958" s="43" t="str">
        <x:v>부가세·예비비</x:v>
      </x:c>
      <x:c r="C1958" s="46" t="str">
        <x:v>vat, tax</x:v>
      </x:c>
      <x:c r="D1958" s="46" t="str"/>
      <x:c r="E1958" s="46" t="str">
        <x:v>USD 65,000 | USD 52,000 | USD 13,000</x:v>
      </x:c>
      <x:c r="F1958" s="46" t="str"/>
      <x:c r="G1958" s="46" t="str">
        <x:v>L2024-00024-1/★Section 2 - Bid Data Sheet (BDS).pdf</x:v>
      </x:c>
      <x:c r="H1958" s="43" t="str">
        <x:v>페이지 5</x:v>
      </x:c>
      <x:c r="I1958" s="46" t="str">
        <x:v>② Basic Drawing (Architecture, Electrical, mechanical, Civil, Communication, Fire Fighting &amp; etc) ③ Drawing for Construction (Architecture, Electrical, mechanical, Civil, Communication, Fire Fighting &amp; etc) ④ Structure , Mechanical &amp; Electrical calculation Sheet ⑤ Specification ⑥ Priced BOQ ⑦ Prospective Drawing ⑧ Documents for building permit from the authority Supervision of the construction work ⑨ Support for selecting the construction company: Bidding documents, etc. ⑩ Construction supervisor on-site (architecture and related fields) placed 1 or more and 2 or more not on-site in the mechanical and electrical field (obligation to report weekly and monthly) ⑪ On-site supervisors must submit daily supervision reports, weekly and monthly reports, and submit technical review opinions related to the field  Design period: 120 days from the contract date (Including public holidays) 1) Basic Drawing 30 days (including the review) : B/D review and Negotiation completed with PMC : 10day ․ Duration 2) Construction Drawing 50 days (including the review) : C/D review and Negotiation completed with PMC : 10day 3)Government construction permit and final delivery : 40 day.  Construction super</x:v>
      </x:c>
      <x:c r="J1958" s="43" t="str">
        <x:v>자동추출·검토필요</x:v>
      </x:c>
    </x:row>
    <x:row r="1959">
      <x:c r="A1959" s="43" t="str">
        <x:v>L2024-00024-1</x:v>
      </x:c>
      <x:c r="B1959" s="43" t="str">
        <x:v>부가세·예비비</x:v>
      </x:c>
      <x:c r="C1959" s="46" t="str">
        <x:v>tax</x:v>
      </x:c>
      <x:c r="D1959" s="46" t="str">
        <x:v>700 square meters</x:v>
      </x:c>
      <x:c r="E1959" s="46" t="str"/>
      <x:c r="F1959" s="46" t="str">
        <x:v>90% | 10%</x:v>
      </x:c>
      <x:c r="G1959" s="46" t="str">
        <x:v>L2024-00024-1/★Section 2 - Bid Data Sheet (BDS).pdf</x:v>
      </x:c>
      <x:c r="H1959" s="43" t="str">
        <x:v>페이지 7</x:v>
      </x:c>
      <x:c r="I1959" s="46" t="str">
        <x:v>B. Bid Type and Contract Award 1. Bid Type: (Urgent) International Open Competitive(Fixed Lump Sum Price Contract) 2. Contract Award: Contracting by Negotiation (Technical evaluation 90%, Pricing evaluation 10%) ○ Pursuant to KOICA Guidelines on Contracting by Negotiation, the bidders whose proposed price is lower than the bid limit with a combined score of 85 or higher in technical and pricing evaluation are eligible for negotiation. ○ The bidder who obtained the highest combined score in technical and pricing evaluation shall be the first in line for the pre-award negotiation with KOICA (In cases in which two or more bidders got the same combined score, a bidder with a higher technical score shall be given the priority. If technical score is the same, those who scored higher in the criteria with the largest weight shall be the first.) ○ If KOICA and a preferred bidder have successfully completed the pre-award negotiation, the contract shall be awarded to the bidder and KOICA shall not have any negotiation with other eligible bidders. - Should the negotiation with a preferred bidder fail, KOICA shall initiate the negotiation with the next preferred bidder. ○ After the public openi</x:v>
      </x:c>
      <x:c r="J1959" s="43" t="str">
        <x:v>자동추출·검토필요</x:v>
      </x:c>
    </x:row>
    <x:row r="1960">
      <x:c r="A1960" s="43" t="str">
        <x:v>L2024-00024-1</x:v>
      </x:c>
      <x:c r="B1960" s="43" t="str">
        <x:v>부가세·예비비</x:v>
      </x:c>
      <x:c r="C1960" s="46" t="str">
        <x:v>tax</x:v>
      </x:c>
      <x:c r="D1960" s="46" t="str">
        <x:v>700 ㎡</x:v>
      </x:c>
      <x:c r="E1960" s="46" t="str"/>
      <x:c r="F1960" s="46" t="str">
        <x:v>5%</x:v>
      </x:c>
      <x:c r="G1960" s="46" t="str">
        <x:v>L2024-00024-1/★Section 2 - Bid Data Sheet (BDS).pdf</x:v>
      </x:c>
      <x:c r="H1960" s="43" t="str">
        <x:v>페이지 9</x:v>
      </x:c>
      <x:c r="I1960" s="46" t="str">
        <x:v>bid. ○ Deadline:2024-05-31 ○ Email address: laos@koica.go.kr ○ Required documents - Application (in the prescribed form) - Copy of business license for Design and Supervision (issued by the Ministry of Industry and Commerce) - Copy of latest Design &amp; Survey license (license issued by the DPWT or MPWT) - Copy of latest registration of tax (issued by the Ministry of Finance) - Legal documents that show the authenticity of signature or corporate seal. - Performance certificate of design services for educational or business building projects within the last three years as of the bidding announcement date (total floor area of 700㎡ ) - Other documents required in this bid. 2. Inquires ○ To provide the same information to all bidders equally and fairly, KOICA Office in Lao PDR will not respond to telephone inquiries. - Email to laos@koica.go.kr, and CC leegag@topec.co.kr Inquiry deadline: 11 days prior to the deadline of bid submission. ○ Response: Response will be replied via email and KOICA office in Lao PDR website 11 days before the deadline of bid submission. 3. Bid security ○ Type of bid security: Bank guarantee, irrevocable credit, cash, certified check, or equivalent. ○ Amount: 5%</x:v>
      </x:c>
      <x:c r="J1960" s="43" t="str">
        <x:v>자동추출·검토필요</x:v>
      </x:c>
    </x:row>
    <x:row r="1961">
      <x:c r="A1961" s="43" t="str">
        <x:v>L2024-00024-1</x:v>
      </x:c>
      <x:c r="B1961" s="43" t="str">
        <x:v>부가세·예비비</x:v>
      </x:c>
      <x:c r="C1961" s="46" t="str">
        <x:v>tax</x:v>
      </x:c>
      <x:c r="D1961" s="46" t="str">
        <x:v>700 ㎡</x:v>
      </x:c>
      <x:c r="E1961" s="46" t="str"/>
      <x:c r="F1961" s="46" t="str"/>
      <x:c r="G1961" s="46" t="str">
        <x:v>L2024-00024-1/★Section 2 - Bid Data Sheet (BDS).pdf</x:v>
      </x:c>
      <x:c r="H1961" s="43" t="str">
        <x:v>페이지 10</x:v>
      </x:c>
      <x:c r="I1961" s="46" t="str">
        <x:v>○ Place (address): KOICA office in Lao PDR. 3rd Floor, Vientiane Plaza Hotel, Sailom Road, Hatsady-neua Village, Chanthabouly District, P.O.Box 10822, Vientiane Capital, Lao PDR - Person in charge: Mr. Phanomphone Bountisan (phanomphone333@gmail.com) - Contact details: +856 21-263-331 5.1. Submission of price (sealed): Lump-sum ○ Bid price shall be provided in the bid form Annex 3 and it shall be signed or sealed before submission. ○ Bid price shall be a lump-sum bid price and it is unnecessary to put forth price details. - The preferred bidder will be requested to provide price details after the initiation of negotiation. 5.2. Bid attachments: 2 copies *Original Submission / If the documents submitted for bidding are copies, they must be verified, compared, and stamped with the original Documents for Submission ⒜ bidder’s information sheet (in the prescribed form Annex 2) ⒝ bid security (in the prescribed form Annex 9) ⒞ documents evidencing the authenticity of the applicant’s signature or seal power of attorney ⒟ one set of documents evidencing the applicant’s eligibility to participate in the Bid. - Notice of Tender Eligible Company *As previously submitted during the applicatio</x:v>
      </x:c>
      <x:c r="J1961" s="43" t="str">
        <x:v>자동추출·검토필요</x:v>
      </x:c>
    </x:row>
    <x:row r="1962">
      <x:c r="A1962" s="43" t="str">
        <x:v>L2024-00024-1</x:v>
      </x:c>
      <x:c r="B1962" s="43" t="str">
        <x:v>부가세·예비비</x:v>
      </x:c>
      <x:c r="C1962" s="46" t="str">
        <x:v>vat</x:v>
      </x:c>
      <x:c r="D1962" s="46" t="str"/>
      <x:c r="E1962" s="46" t="str">
        <x:v>50,000 USD | 20,000 USD</x:v>
      </x:c>
      <x:c r="F1962" s="46" t="str"/>
      <x:c r="G1962" s="46" t="str">
        <x:v>L2024-00024-1/★Section 2 - Bid Data Sheet (BDS).pdf</x:v>
      </x:c>
      <x:c r="H1962" s="43" t="str">
        <x:v>페이지 14</x:v>
      </x:c>
      <x:c r="I1962" s="46" t="str">
        <x:v>to approach the members of Technical Evaluation Committee in the form of calling or visiting in hopes to make them aware of the bidders.) - Evaluation shall not be recorded (voice and video), photographed, live- streamed. - The bidders shall not use all kinds of telecommunication devices (telephone, smartphone, pagers, etc). 3. Evaluation criteria and grade &lt;Evaluation Criteria for a Proposal of Architectural Design Services&gt; Evaluation items Evaluation content Scoring Total amount of completed similar buildings of 50,000 USD or more in the 2 Design last 5 years as of the announcement Company date performance Total amount of completed similar Construction buildings of 20,000 USD or more in the 2 supervision last 5 years as of the announcement date Quantitative Average capital specified in the financial Capital statements for the last 3 years as of the 2 evaluation Business announcement date status Average annual sales specified in the Annual revenue financial statements for the last 3 years 2 as of the announcement date Average number of employees specified Number of Company size in the financial statements for the last 3 2 employees years as of the announcement date Subtotal 10 1)</x:v>
      </x:c>
      <x:c r="J1962" s="43" t="str">
        <x:v>자동추출·검토필요</x:v>
      </x:c>
    </x:row>
    <x:row r="1963">
      <x:c r="A1963" s="43" t="str">
        <x:v>L2024-00024-1</x:v>
      </x:c>
      <x:c r="B1963" s="43" t="str">
        <x:v>부가세·예비비</x:v>
      </x:c>
      <x:c r="C1963" s="46" t="str">
        <x:v>reserve</x:v>
      </x:c>
      <x:c r="D1963" s="46" t="str"/>
      <x:c r="E1963" s="46" t="str"/>
      <x:c r="F1963" s="46" t="str">
        <x:v>10%</x:v>
      </x:c>
      <x:c r="G1963" s="46" t="str">
        <x:v>L2024-00024-1/related documents/Section 6 - Special Conditions of Contract.docx</x:v>
      </x:c>
      <x:c r="H1963" s="43" t="str">
        <x:v>문단 73</x:v>
      </x:c>
      <x:c r="I1963" s="46" t="str">
        <x:v>* The 10% will be held as a warranty reserve or securities and will be paid after the warranty period ends.</x:v>
      </x:c>
      <x:c r="J1963" s="43" t="str">
        <x:v>자동추출·검토필요</x:v>
      </x:c>
    </x:row>
    <x:row r="1964">
      <x:c r="A1964" s="43" t="str">
        <x:v>L2024-00021-1</x:v>
      </x:c>
      <x:c r="B1964" s="43" t="str">
        <x:v>부가세·예비비</x:v>
      </x:c>
      <x:c r="C1964" s="46" t="str">
        <x:v>vat, tax</x:v>
      </x:c>
      <x:c r="D1964" s="46" t="str"/>
      <x:c r="E1964" s="46" t="str">
        <x:v>MNT 95,607,360 | MNT 38,443,360 | MNT 57,164,000</x:v>
      </x:c>
      <x:c r="F1964" s="46" t="str"/>
      <x:c r="G1964" s="46" t="str">
        <x:v>L2024-00021-1/첨부2-1#1,2_Contract_2024 2.21.doc</x:v>
      </x:c>
      <x:c r="H1964" s="43" t="str">
        <x:v>문단 32</x:v>
      </x:c>
      <x:c r="I1964" s="46" t="str">
        <x:v>The maximum amount payable by the Employer to the Contractor for services provided in accordance with the Annex shall be MNT95,607,360(Ninety five million six hundred seven thousand three hundred sixty), these are MNT38,443,360(Thirty eight million four hundred fourty three thousand three hundred sixty) for package-1, and MNT57,164,000(Fifty seven million one hundred sixty four thousand) for package-2. This includes all costs and profits excluding Contractor’s VAT, along with any applicable taxes and fees. The contract price does not incorporate VAT.</x:v>
      </x:c>
      <x:c r="J1964" s="43" t="str">
        <x:v>자동추출·검토필요</x:v>
      </x:c>
    </x:row>
    <x:row r="1965">
      <x:c r="A1965" s="43" t="str">
        <x:v>L2024-00021-1</x:v>
      </x:c>
      <x:c r="B1965" s="43" t="str">
        <x:v>부가세·예비비</x:v>
      </x:c>
      <x:c r="C1965" s="46" t="str">
        <x:v>vat, tax</x:v>
      </x:c>
      <x:c r="D1965" s="46" t="str"/>
      <x:c r="E1965" s="46" t="str">
        <x:v>MNT 108,000,000 | MNT 59,500,000 | MNT 48,500,000</x:v>
      </x:c>
      <x:c r="F1965" s="46" t="str"/>
      <x:c r="G1965" s="46" t="str">
        <x:v>L2024-00021-1/첨부2-2#3,4_Contract_2024 2.21.doc</x:v>
      </x:c>
      <x:c r="H1965" s="43" t="str">
        <x:v>문단 32</x:v>
      </x:c>
      <x:c r="I1965" s="46" t="str">
        <x:v>The maximum amount payable by the Employer to the Contractor for services provided in accordance with the Annex shall be MNT108,000,000(One hundred eight million), these are MNT59,500,000(Fifty nine million five hundred thousand) for package-3, and MNT48,500,000(Fourty eight million five hundred thousand) for package-4. This includes all costs and profits excluding Contractor’s VAT, along with any applicable taxes and fees. The contract price does not incorporate VAT.</x:v>
      </x:c>
      <x:c r="J1965" s="43" t="str">
        <x:v>자동추출·검토필요</x:v>
      </x:c>
    </x:row>
    <x:row r="1966">
      <x:c r="A1966" s="43" t="str">
        <x:v>L2024-00018-1</x:v>
      </x:c>
      <x:c r="B1966" s="43" t="str">
        <x:v>부가세·예비비</x:v>
      </x:c>
      <x:c r="C1966" s="46" t="str">
        <x:v>vat</x:v>
      </x:c>
      <x:c r="D1966" s="46" t="str"/>
      <x:c r="E1966" s="46" t="str">
        <x:v>KRW 420 billion</x:v>
      </x:c>
      <x:c r="F1966" s="46" t="str"/>
      <x:c r="G1966" s="46" t="str">
        <x:v>L2024-00018-1/붙임2. 현지 감리업체 선정 입찰 계획서 영문 및 붙임문서/Attachments/Attachment 1. KOICA Detailed Enforcement Rules of the Regulations for Procurement and Contract in Grant Aid Projects_20190503.pdf</x:v>
      </x:c>
      <x:c r="H1966" s="43" t="str">
        <x:v>페이지 61</x:v>
      </x:c>
      <x:c r="I1966"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1966" s="43" t="str">
        <x:v>자동추출·검토필요</x:v>
      </x:c>
    </x:row>
    <x:row r="1967">
      <x:c r="A1967" s="43" t="str">
        <x:v>L2024-00018-1</x:v>
      </x:c>
      <x:c r="B1967" s="43" t="str">
        <x:v>부가세·예비비</x:v>
      </x:c>
      <x:c r="C1967" s="46" t="str">
        <x:v>tax</x:v>
      </x:c>
      <x:c r="D1967" s="46" t="str"/>
      <x:c r="E1967" s="46" t="str"/>
      <x:c r="F1967" s="46" t="str">
        <x:v>50%</x:v>
      </x:c>
      <x:c r="G1967" s="46" t="str">
        <x:v>L2024-00018-1/붙임2. 현지 감리업체 선정 입찰 계획서 영문 및 붙임문서/Attachments/Attachment 1. KOICA Detailed Enforcement Rules of the Regulations for Procurement and Contract in Grant Aid Projects_20190503.pdf</x:v>
      </x:c>
      <x:c r="H1967" s="43" t="str">
        <x:v>페이지 90</x:v>
      </x:c>
      <x:c r="I1967" s="46" t="str">
        <x:v>[Form 8] Public Notice of a Tender Public Notice of a Tender The Korea International Cooperation Agency (KOICA) is an affiliate of the Ministry of Foreign Affairs and Trade in charge of the Grant Aid Project. As part of an economic cooperation project with developing countries, KOICA announces the following tenders to select (procure) (name of services or goods) for this (name of a project). 1. Public notice of a tender number: 2. Matters to be placed in the tender ① Name of the tendering: ② Details: Scope of services / Details of procured goods, etc. ※Refer to the appendix for details ③ Contract period: ④ Base Amount (estimated amount): (“zero” tax rate) 3. How to tender: General competitive tendering, limited competitive tendering 4. How to determine a successful tenderer: Lowest tender below Expected Maximum Price / Contract by negotiation/ Tendering in two-step competition 5. Qualification for participating in tendering: Those who have registered as KOICA's procurement partners. However, new companies shall register as procurement partners and participate in the tendering by the deadline for registration of tenders (registration of new companies is determined after reviewing re</x:v>
      </x:c>
      <x:c r="J1967" s="43" t="str">
        <x:v>자동추출·검토필요</x:v>
      </x:c>
    </x:row>
    <x:row r="1968">
      <x:c r="A1968" s="43" t="str">
        <x:v>L2024-00018-1</x:v>
      </x:c>
      <x:c r="B1968" s="43" t="str">
        <x:v>부가세·예비비</x:v>
      </x:c>
      <x:c r="C1968" s="46" t="str">
        <x:v>vat</x:v>
      </x:c>
      <x:c r="D1968" s="46" t="str"/>
      <x:c r="E1968" s="46" t="str">
        <x:v>KRW 10 billion</x:v>
      </x:c>
      <x:c r="F1968" s="46" t="str"/>
      <x:c r="G1968" s="46" t="str">
        <x:v>L2024-00018-1/붙임2. 현지 감리업체 선정 입찰 계획서 영문 및 붙임문서/Attachments/Attachment 1. KOICA Detailed Enforcement Rules of the Regulations for Procurement and Contract in Grant Aid Projects_20190503.pdf</x:v>
      </x:c>
      <x:c r="H1968" s="43" t="str">
        <x:v>페이지 94</x:v>
      </x:c>
      <x:c r="I1968" s="46" t="str">
        <x:v>Company Phone Number Company Name of No. Registration Participants Signature Name Representative Fax Number Number 1 2 3 4 5 Each of the above participants confirmed that the conditions for the above tendering have been amended as described above during at the time of the tendering presentation session; and each affirms that he/she fully understands the details of tendering-related matters such as instructions to tenderers, a request for proposal, and specifications are fully understood. Korea International Cooperation Agency [Form 12] Tender (Negotiation) Documents &lt;Amended on Jul. 20, 2017, Feb. 28, 2018&gt; Tender (Negotiation) Documents To Korea International Cooperation Agency Tender (Negotiation) Date and Time: . . . : I submit tender documents based upon the (international) construction, ((international) purchase of goods, (international) services)) tender instructions for the goods, construction, and service pursuant to the Detailed Enforcement Rules of the Regulations for Procurement and Contract in Grant Aid Projects with Public Notice of a Tender Number__. If this tender is accepted by your institution, I submit a tender proposal, affirming that the construction (goods, ser</x:v>
      </x:c>
      <x:c r="J1968" s="43" t="str">
        <x:v>자동추출·검토필요</x:v>
      </x:c>
    </x:row>
    <x:row r="1969">
      <x:c r="A1969" s="43" t="str">
        <x:v>L2024-00018-1</x:v>
      </x:c>
      <x:c r="B1969" s="43" t="str">
        <x:v>부가세·예비비</x:v>
      </x:c>
      <x:c r="C1969" s="46" t="str">
        <x:v>tax</x:v>
      </x:c>
      <x:c r="D1969" s="46" t="str"/>
      <x:c r="E1969" s="46" t="str"/>
      <x:c r="F1969" s="46" t="str">
        <x:v>50% | 50%</x:v>
      </x:c>
      <x:c r="G1969" s="46" t="str">
        <x:v>L2024-00018-1/붙임2. 현지 감리업체 선정 입찰 계획서 영문 및 붙임문서/Attachments/Attachment 2. KOICA Regulations for International Procurement_20190304.pdf</x:v>
      </x:c>
      <x:c r="H1969" s="43" t="str">
        <x:v>페이지 4</x:v>
      </x:c>
      <x:c r="I1969" s="46" t="str">
        <x:v>Tenders and the procedures prescribed in Section II of these Regulations shall apply. However, in accordance with Article 1(2) of these Regulations, KOICA may delegate or entrust its International Procurement duties related to the relevant Project to a KOICA Trustee; provided that such delegation or entrustment is recorded in writing. (3) For International Tenders, KOICA HQ shall be the Employer and the procedures prescribed in Section III of these Regulations shall apply. (4) Use of the procurement system of a Recipient Country shall be at the discretion of KOICA and the procedures prescribed in Section IV of these Regulations shall apply. Article 5 Eligibility (1) The Employer, the Bidder, and the Contracting Party must adhere to the highest standards of ethics in connection with tenders for and contracts of International Procurement. Accordingly, (a) if a selected Bidder is found to have been fraudulent or deceitful during the competitive bid process, the Employer shall be entitled to cancel such selection; and (b) if a Bidder or a Contracting Party is found to have been fraudulent or deceitful during a separate tender process or contracting process conducted by the Employer, KO</x:v>
      </x:c>
      <x:c r="J1969" s="43" t="str">
        <x:v>자동추출·검토필요</x:v>
      </x:c>
    </x:row>
    <x:row r="1970">
      <x:c r="A1970" s="43" t="str">
        <x:v>L2024-00018-1</x:v>
      </x:c>
      <x:c r="B1970" s="43" t="str">
        <x:v>부가세·예비비</x:v>
      </x:c>
      <x:c r="C1970" s="46" t="str">
        <x:v>vat</x:v>
      </x:c>
      <x:c r="D1970" s="46" t="str"/>
      <x:c r="E1970" s="46" t="str">
        <x:v>KRW 100 million | KRW 100 million | KRW 50 million</x:v>
      </x:c>
      <x:c r="F1970" s="46" t="str"/>
      <x:c r="G1970" s="46" t="str">
        <x:v>L2024-00018-1/붙임2. 현지 감리업체 선정 입찰 계획서 영문 및 붙임문서/Attachments/Attachment 3. KOICA Regulations for Procurement and Contract in Grant Aid Projects_20190520.pdf</x:v>
      </x:c>
      <x:c r="H1970" s="43" t="str">
        <x:v>페이지 15</x:v>
      </x:c>
      <x:c r="I1970" s="46" t="str">
        <x:v>works with an estimated price of KRW 100 million or less under other construction- related laws and regulations; manufacturing goods with an estimated price of KRW 100 million or less; &lt;Amended on Jan. 13, 2009&gt; 3. Contracts other than a contract for construction or manufacturing, or leases or rentals of goods, with an estimated price of KRW 50 million or less; &lt;Amended on Jan. 13, 2009&gt; 4. Products certified under Article 15 of the Industrial Standardization Act or standard products of excellent organizations under Article 25 of the same Act; &lt;Amended on Jan. 13, 2009, May 20, 2019&gt; 5. In a case of manufacture or purchase products conforming to the standards under Article 33 of the Act on the Promotion of Saving and Recycling of Resources; recycled products that have obtained quality certification pursuant to Article 17 (1) 3 of the Enforcement Decree of the Industrial Technology Innovation Promotion Act; products that have certified as eligible for the Environment Mark pursuant to Article 17 of the Environmental Technology and Industry Support Act; &lt;Amended on Jan. 13, 2009, Nov. 2, 2015, May 20, 2019&gt; 6. When manufacturing or purchasing goods designated or announced by the Minis</x:v>
      </x:c>
      <x:c r="J1970" s="43" t="str">
        <x:v>자동추출·검토필요</x:v>
      </x:c>
    </x:row>
    <x:row r="1971">
      <x:c r="A1971" s="43" t="str">
        <x:v>L2024-00018-1</x:v>
      </x:c>
      <x:c r="B1971" s="43" t="str">
        <x:v>부가세·예비비</x:v>
      </x:c>
      <x:c r="C1971" s="46" t="str">
        <x:v>contingency</x:v>
      </x:c>
      <x:c r="D1971" s="46" t="str"/>
      <x:c r="E1971" s="46" t="str"/>
      <x:c r="F1971" s="46" t="str">
        <x:v>0.5%</x:v>
      </x:c>
      <x:c r="G1971" s="46" t="str">
        <x:v>L2024-00018-1/붙임2. 현지 감리업체 선정 입찰 계획서 영문 및 붙임문서/Attachments/Attachment 5. KOICA Safety Management Manual(ENG).pdf</x:v>
      </x:c>
      <x:c r="H1971" s="43" t="str">
        <x:v>페이지 14</x:v>
      </x:c>
      <x:c r="I1971" s="46" t="str">
        <x:v>4.1.3 KOICA should check that the bill of quantity (BoQ) consists of safety management costs (0.5% or more of the total construction costs, excluding non- contingency) as separate items. 5. Construction Procurement and Contracting 5.1 Provision of Information on Preparing Safety Management Plans 5.1.1 KOICA shall provide the following information for the contractor to formulate a safety management plan that reflects the distinctive features of the site conditions and the final design outcome: (1) Matters regarding the existence of asbestos or harmful substances such as chemical waste within the site; (2) Matters regarding access to the worksite such as railroads and busy roads adjacent to the site; (3) Matters regarding underground facilities and groundwater flows (4) Matters regarding adjacent buildings, structures, and trees that may cause a collapse; (5) Matters regarding land subsidence that may negatively affect structure; (6) Matters regarding obstacles or advantages for the installation of facilities or equipment within the site. 5.2 Review of Safety Management Plans 5.2.1 Review of Safety Management Plans (1) As for the safety management plan formulated by the contractor, K</x:v>
      </x:c>
      <x:c r="J1971" s="43" t="str">
        <x:v>자동추출·검토필요</x:v>
      </x:c>
    </x:row>
    <x:row r="1972">
      <x:c r="A1972" s="43" t="str">
        <x:v>L2024-00018-1</x:v>
      </x:c>
      <x:c r="B1972" s="43" t="str">
        <x:v>부가세·예비비</x:v>
      </x:c>
      <x:c r="C1972" s="46" t="str">
        <x:v>reserve</x:v>
      </x:c>
      <x:c r="D1972" s="46" t="str"/>
      <x:c r="E1972" s="46" t="str"/>
      <x:c r="F1972" s="46" t="str">
        <x:v>0.5%</x:v>
      </x:c>
      <x:c r="G1972" s="46" t="str">
        <x:v>L2024-00018-1/붙임2. 현지 감리업체 선정 입찰 계획서 영문 및 붙임문서/Attachments/Attachment 5. KOICA Safety Management Manual(ENG).pdf</x:v>
      </x:c>
      <x:c r="H1972" s="43" t="str">
        <x:v>페이지 18</x:v>
      </x:c>
      <x:c r="I1972" s="46" t="str">
        <x:v>(1) Amount subject to safety management expenses: Amount excluding reserve funding from the total construction expenses (2) Calculation method: Amount subject to safety management expenses x 0.5% or more (2) Payment of safety management expenses: The contractor shall file a claim for payment of safety management expenses to KOICA along with a confirmation as to the proper disbursement of the safety management expenses to match the purpose prescribed under the safety management plan made by the construction manager. 6. Construction 6.1 Verifying Observance of Safety Management Plans 6.1.1 KOICA shall verify the contractor’s proper performance of the safety management plan. However, if construction project management, similar to consigned supervision, is being implemented, KOICA may allow the construction manager to verify the performance of the safety management plan and file a report on their own. 6.1.2 If there are any issues pointed out by the review of the safety management plan under the immediately preceding paragraph, KOICA shall review said issues and request the contractor make corrections, if necessary. 6.2 Verifying Disbursement of Safety Management Expenses 6.2.1 KOICA s</x:v>
      </x:c>
      <x:c r="J1972" s="43" t="str">
        <x:v>자동추출·검토필요</x:v>
      </x:c>
    </x:row>
    <x:row r="1973">
      <x:c r="A1973" s="43" t="str">
        <x:v>L2024-00018-1</x:v>
      </x:c>
      <x:c r="B1973" s="43" t="str">
        <x:v>부가세·예비비</x:v>
      </x:c>
      <x:c r="C1973" s="46" t="str">
        <x:v>vat, reserve</x:v>
      </x:c>
      <x:c r="D1973" s="46" t="str"/>
      <x:c r="E1973" s="46" t="str"/>
      <x:c r="F1973" s="46" t="str">
        <x:v>0.5%</x:v>
      </x:c>
      <x:c r="G1973" s="46" t="str">
        <x:v>L2024-00018-1/붙임2. 현지 감리업체 선정 입찰 계획서 영문 및 붙임문서/Attachments/Attachment 5. KOICA Safety Management Manual(ENG).pdf</x:v>
      </x:c>
      <x:c r="H1973" s="43" t="str">
        <x:v>페이지 28</x:v>
      </x:c>
      <x:c r="I1973" s="46" t="str">
        <x:v>D. Steel structure works - An overview of materials, equipment, etc.; and detailed shop drawings; - The procedures and precautions for safe construction; - A safety inspection plan and a safety inspection checklist; - A calculation sheet for the safety of steel structures. E. Earth filling and cutting works (including earth dam works) - An overview of materials, equipment, etc.; and detailed shop drawings; - The procedures and precautions for safe construction; - A safety inspection plan and a safety inspection checklist; - A calculation sheet for safety. F. Demolition works - An overview of structures to be demolished, demolition methods, etc.; and detailed shop drawings; - A plan on the order of demolition, and on facilities and measures for safety, etc. G. Mechanical and electrical works: - An overview of materials, equipment, etc.; and detailed shop drawings; - The procedures and precautions for safe construction; - A safety inspection plan and a safety inspection checklist; - A calculation sheet for safety. 1.4 Creation of Safety Management Expense Spending Plans 1.4.1 The contractor shall make a spending plan for safety management expenses by adding expenses incurred in formu</x:v>
      </x:c>
      <x:c r="J1973" s="43" t="str">
        <x:v>자동추출·검토필요</x:v>
      </x:c>
    </x:row>
    <x:row r="1974">
      <x:c r="A1974" s="43" t="str">
        <x:v>L2024-00018-1</x:v>
      </x:c>
      <x:c r="B1974" s="43" t="str">
        <x:v>부가세·예비비</x:v>
      </x:c>
      <x:c r="C1974" s="46" t="str">
        <x:v>vat</x:v>
      </x:c>
      <x:c r="D1974" s="46" t="str"/>
      <x:c r="E1974" s="46" t="str">
        <x:v>USD 145,600</x:v>
      </x:c>
      <x:c r="F1974" s="46" t="str"/>
      <x:c r="G1974" s="46" t="str">
        <x:v>L2024-00018-1/붙임2. 현지 감리업체 선정 입찰 계획서 영문 및 붙임문서/Section 2 - Bid Data Sheet (BDS)_ICT Supervision.docx</x:v>
      </x:c>
      <x:c r="H1974" s="43" t="str">
        <x:v>표 2 행 9</x:v>
      </x:c>
      <x:c r="I1974" s="46" t="str">
        <x:v>Max Bidding Price | USD 145,600 (Exclusive of VAT)</x:v>
      </x:c>
      <x:c r="J1974" s="43" t="str">
        <x:v>자동추출·검토필요</x:v>
      </x:c>
    </x:row>
    <x:row r="1975">
      <x:c r="A1975" s="43" t="str">
        <x:v>L2024-00018-1</x:v>
      </x:c>
      <x:c r="B1975" s="43" t="str">
        <x:v>부가세·예비비</x:v>
      </x:c>
      <x:c r="C1975" s="46" t="str">
        <x:v>vat, tax</x:v>
      </x:c>
      <x:c r="D1975" s="46" t="str">
        <x:v>2,000 ㎡</x:v>
      </x:c>
      <x:c r="E1975" s="46" t="str"/>
      <x:c r="F1975" s="46" t="str"/>
      <x:c r="G1975" s="46" t="str">
        <x:v>L2024-00018-1/붙임2. 현지 감리업체 선정 입찰 계획서 영문 및 붙임문서/Section 2 - Bid Data Sheet (BDS)_ICT Supervision.docx</x:v>
      </x:c>
      <x:c r="H1975" s="43" t="str">
        <x:v>표 4 행 3</x:v>
      </x:c>
      <x:c r="I1975" s="46" t="str">
        <x:v>2 | Documents evidencing the applicant’s eligibility to participate in the Bid - Article of Incorporation, Registry of the Company, and other registration documents - Paraguay Tax Office Registration as Construction/Design/Supervision - Commercial Architecture License registered in Asuncion or Central 1 Area - Proof of construction experience At least One (1) Similar Project in construction, design, or supervision for a single building (reinforced concrete structure + at least two floors) with at least 2,000㎡ (GFA) in Paraguay within last 10 years. In the case of public institution performance, the client's performance certificate required. In the case of private sector performance, the client's performance certificate and contract submission required.</x:v>
      </x:c>
      <x:c r="J1975" s="43" t="str">
        <x:v>자동추출·검토필요</x:v>
      </x:c>
    </x:row>
    <x:row r="1976">
      <x:c r="A1976" s="43" t="str">
        <x:v>L2024-00017-1</x:v>
      </x:c>
      <x:c r="B1976" s="43" t="str">
        <x:v>부가세·예비비</x:v>
      </x:c>
      <x:c r="C1976" s="46" t="str">
        <x:v>vat</x:v>
      </x:c>
      <x:c r="D1976" s="46" t="str"/>
      <x:c r="E1976" s="46" t="str">
        <x:v>KRW 420 billion</x:v>
      </x:c>
      <x:c r="F1976" s="46" t="str"/>
      <x:c r="G1976" s="46" t="str">
        <x:v>L2024-00017-1/붙임2. 파라과이 ICT 혁신센터 시공사 선정 입찰계획서(영문) 및 관련 양식/Attachments/Attachment 1. KOICA Detailed Enforcement Rules of the Regulations for Procurement and Contract in Grant Aid Projects.pdf</x:v>
      </x:c>
      <x:c r="H1976" s="43" t="str">
        <x:v>페이지 61</x:v>
      </x:c>
      <x:c r="I1976"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1976" s="43" t="str">
        <x:v>자동추출·검토필요</x:v>
      </x:c>
    </x:row>
    <x:row r="1977">
      <x:c r="A1977" s="43" t="str">
        <x:v>L2024-00017-1</x:v>
      </x:c>
      <x:c r="B1977" s="43" t="str">
        <x:v>부가세·예비비</x:v>
      </x:c>
      <x:c r="C1977" s="46" t="str">
        <x:v>tax</x:v>
      </x:c>
      <x:c r="D1977" s="46" t="str"/>
      <x:c r="E1977" s="46" t="str"/>
      <x:c r="F1977" s="46" t="str">
        <x:v>50%</x:v>
      </x:c>
      <x:c r="G1977" s="46" t="str">
        <x:v>L2024-00017-1/붙임2. 파라과이 ICT 혁신센터 시공사 선정 입찰계획서(영문) 및 관련 양식/Attachments/Attachment 1. KOICA Detailed Enforcement Rules of the Regulations for Procurement and Contract in Grant Aid Projects.pdf</x:v>
      </x:c>
      <x:c r="H1977" s="43" t="str">
        <x:v>페이지 90</x:v>
      </x:c>
      <x:c r="I1977" s="46" t="str">
        <x:v>[Form 8] Public Notice of a Tender Public Notice of a Tender The Korea International Cooperation Agency (KOICA) is an affiliate of the Ministry of Foreign Affairs and Trade in charge of the Grant Aid Project. As part of an economic cooperation project with developing countries, KOICA announces the following tenders to select (procure) (name of services or goods) for this (name of a project). 1. Public notice of a tender number: 2. Matters to be placed in the tender ① Name of the tendering: ② Details: Scope of services / Details of procured goods, etc. ※Refer to the appendix for details ③ Contract period: ④ Base Amount (estimated amount): (“zero” tax rate) 3. How to tender: General competitive tendering, limited competitive tendering 4. How to determine a successful tenderer: Lowest tender below Expected Maximum Price / Contract by negotiation/ Tendering in two-step competition 5. Qualification for participating in tendering: Those who have registered as KOICA's procurement partners. However, new companies shall register as procurement partners and participate in the tendering by the deadline for registration of tenders (registration of new companies is determined after reviewing re</x:v>
      </x:c>
      <x:c r="J1977" s="43" t="str">
        <x:v>자동추출·검토필요</x:v>
      </x:c>
    </x:row>
    <x:row r="1978">
      <x:c r="A1978" s="43" t="str">
        <x:v>L2024-00017-1</x:v>
      </x:c>
      <x:c r="B1978" s="43" t="str">
        <x:v>부가세·예비비</x:v>
      </x:c>
      <x:c r="C1978" s="46" t="str">
        <x:v>vat</x:v>
      </x:c>
      <x:c r="D1978" s="46" t="str"/>
      <x:c r="E1978" s="46" t="str">
        <x:v>KRW 10 billion</x:v>
      </x:c>
      <x:c r="F1978" s="46" t="str"/>
      <x:c r="G1978" s="46" t="str">
        <x:v>L2024-00017-1/붙임2. 파라과이 ICT 혁신센터 시공사 선정 입찰계획서(영문) 및 관련 양식/Attachments/Attachment 1. KOICA Detailed Enforcement Rules of the Regulations for Procurement and Contract in Grant Aid Projects.pdf</x:v>
      </x:c>
      <x:c r="H1978" s="43" t="str">
        <x:v>페이지 94</x:v>
      </x:c>
      <x:c r="I1978" s="46" t="str">
        <x:v>Company Phone Number Company Name of No. Registration Participants Signature Name Representative Fax Number Number 1 2 3 4 5 Each of the above participants confirmed that the conditions for the above tendering have been amended as described above during at the time of the tendering presentation session; and each affirms that he/she fully understands the details of tendering-related matters such as instructions to tenderers, a request for proposal, and specifications are fully understood. Korea International Cooperation Agency [Form 12] Tender (Negotiation) Documents &lt;Amended on Jul. 20, 2017, Feb. 28, 2018&gt; Tender (Negotiation) Documents To Korea International Cooperation Agency Tender (Negotiation) Date and Time: . . . : I submit tender documents based upon the (international) construction, ((international) purchase of goods, (international) services)) tender instructions for the goods, construction, and service pursuant to the Detailed Enforcement Rules of the Regulations for Procurement and Contract in Grant Aid Projects with Public Notice of a Tender Number__. If this tender is accepted by your institution, I submit a tender proposal, affirming that the construction (goods, ser</x:v>
      </x:c>
      <x:c r="J1978" s="43" t="str">
        <x:v>자동추출·검토필요</x:v>
      </x:c>
    </x:row>
    <x:row r="1979">
      <x:c r="A1979" s="43" t="str">
        <x:v>L2024-00017-1</x:v>
      </x:c>
      <x:c r="B1979" s="43" t="str">
        <x:v>부가세·예비비</x:v>
      </x:c>
      <x:c r="C1979" s="46" t="str">
        <x:v>tax</x:v>
      </x:c>
      <x:c r="D1979" s="46" t="str"/>
      <x:c r="E1979" s="46" t="str"/>
      <x:c r="F1979" s="46" t="str">
        <x:v>50% | 50%</x:v>
      </x:c>
      <x:c r="G1979" s="46" t="str">
        <x:v>L2024-00017-1/붙임2. 파라과이 ICT 혁신센터 시공사 선정 입찰계획서(영문) 및 관련 양식/Attachments/Attachment 2. KOICA Regulations for International Procurement.pdf</x:v>
      </x:c>
      <x:c r="H1979" s="43" t="str">
        <x:v>페이지 4</x:v>
      </x:c>
      <x:c r="I1979" s="46" t="str">
        <x:v>Tenders and the procedures prescribed in Section II of these Regulations shall apply. However, in accordance with Article 1(2) of these Regulations, KOICA may delegate or entrust its International Procurement duties related to the relevant Project to a KOICA Trustee; provided that such delegation or entrustment is recorded in writing. (3) For International Tenders, KOICA HQ shall be the Employer and the procedures prescribed in Section III of these Regulations shall apply. (4) Use of the procurement system of a Recipient Country shall be at the discretion of KOICA and the procedures prescribed in Section IV of these Regulations shall apply. Article 5 Eligibility (1) The Employer, the Bidder, and the Contracting Party must adhere to the highest standards of ethics in connection with tenders for and contracts of International Procurement. Accordingly, (a) if a selected Bidder is found to have been fraudulent or deceitful during the competitive bid process, the Employer shall be entitled to cancel such selection; and (b) if a Bidder or a Contracting Party is found to have been fraudulent or deceitful during a separate tender process or contracting process conducted by the Employer, KO</x:v>
      </x:c>
      <x:c r="J1979" s="43" t="str">
        <x:v>자동추출·검토필요</x:v>
      </x:c>
    </x:row>
    <x:row r="1980">
      <x:c r="A1980" s="43" t="str">
        <x:v>L2024-00017-1</x:v>
      </x:c>
      <x:c r="B1980" s="43" t="str">
        <x:v>부가세·예비비</x:v>
      </x:c>
      <x:c r="C1980" s="46" t="str">
        <x:v>vat</x:v>
      </x:c>
      <x:c r="D1980" s="46" t="str"/>
      <x:c r="E1980" s="46" t="str">
        <x:v>KRW 100 million | KRW 100 million | KRW 50 million</x:v>
      </x:c>
      <x:c r="F1980" s="46" t="str"/>
      <x:c r="G1980" s="46" t="str">
        <x:v>L2024-00017-1/붙임2. 파라과이 ICT 혁신센터 시공사 선정 입찰계획서(영문) 및 관련 양식/Attachments/Attachment 3. KOICA Regulations for Procurement and Contract in Grant Aid Projects.pdf</x:v>
      </x:c>
      <x:c r="H1980" s="43" t="str">
        <x:v>페이지 15</x:v>
      </x:c>
      <x:c r="I1980" s="46" t="str">
        <x:v>works with an estimated price of KRW 100 million or less under other construction- related laws and regulations; manufacturing goods with an estimated price of KRW 100 million or less; &lt;Amended on Jan. 13, 2009&gt; 3. Contracts other than a contract for construction or manufacturing, or leases or rentals of goods, with an estimated price of KRW 50 million or less; &lt;Amended on Jan. 13, 2009&gt; 4. Products certified under Article 15 of the Industrial Standardization Act or standard products of excellent organizations under Article 25 of the same Act; &lt;Amended on Jan. 13, 2009, May 20, 2019&gt; 5. In a case of manufacture or purchase products conforming to the standards under Article 33 of the Act on the Promotion of Saving and Recycling of Resources; recycled products that have obtained quality certification pursuant to Article 17 (1) 3 of the Enforcement Decree of the Industrial Technology Innovation Promotion Act; products that have certified as eligible for the Environment Mark pursuant to Article 17 of the Environmental Technology and Industry Support Act; &lt;Amended on Jan. 13, 2009, Nov. 2, 2015, May 20, 2019&gt; 6. When manufacturing or purchasing goods designated or announced by the Minis</x:v>
      </x:c>
      <x:c r="J1980" s="43" t="str">
        <x:v>자동추출·검토필요</x:v>
      </x:c>
    </x:row>
    <x:row r="1981">
      <x:c r="A1981" s="43" t="str">
        <x:v>L2024-00017-1</x:v>
      </x:c>
      <x:c r="B1981" s="43" t="str">
        <x:v>부가세·예비비</x:v>
      </x:c>
      <x:c r="C1981" s="46" t="str">
        <x:v>contingency</x:v>
      </x:c>
      <x:c r="D1981" s="46" t="str"/>
      <x:c r="E1981" s="46" t="str"/>
      <x:c r="F1981" s="46" t="str">
        <x:v>0.5%</x:v>
      </x:c>
      <x:c r="G1981" s="46" t="str">
        <x:v>L2024-00017-1/붙임2. 파라과이 ICT 혁신센터 시공사 선정 입찰계획서(영문) 및 관련 양식/Attachments/Attachment 5. KOICA Safety Management Manual(ENG).pdf</x:v>
      </x:c>
      <x:c r="H1981" s="43" t="str">
        <x:v>페이지 14</x:v>
      </x:c>
      <x:c r="I1981" s="46" t="str">
        <x:v>4.1.3 KOICA should check that the bill of quantity (BoQ) consists of safety management costs (0.5% or more of the total construction costs, excluding non- contingency) as separate items. 5. Construction Procurement and Contracting 5.1 Provision of Information on Preparing Safety Management Plans 5.1.1 KOICA shall provide the following information for the contractor to formulate a safety management plan that reflects the distinctive features of the site conditions and the final design outcome: (1) Matters regarding the existence of asbestos or harmful substances such as chemical waste within the site; (2) Matters regarding access to the worksite such as railroads and busy roads adjacent to the site; (3) Matters regarding underground facilities and groundwater flows (4) Matters regarding adjacent buildings, structures, and trees that may cause a collapse; (5) Matters regarding land subsidence that may negatively affect structure; (6) Matters regarding obstacles or advantages for the installation of facilities or equipment within the site. 5.2 Review of Safety Management Plans 5.2.1 Review of Safety Management Plans (1) As for the safety management plan formulated by the contractor, K</x:v>
      </x:c>
      <x:c r="J1981" s="43" t="str">
        <x:v>자동추출·검토필요</x:v>
      </x:c>
    </x:row>
    <x:row r="1982">
      <x:c r="A1982" s="43" t="str">
        <x:v>L2024-00017-1</x:v>
      </x:c>
      <x:c r="B1982" s="43" t="str">
        <x:v>부가세·예비비</x:v>
      </x:c>
      <x:c r="C1982" s="46" t="str">
        <x:v>reserve</x:v>
      </x:c>
      <x:c r="D1982" s="46" t="str"/>
      <x:c r="E1982" s="46" t="str"/>
      <x:c r="F1982" s="46" t="str">
        <x:v>0.5%</x:v>
      </x:c>
      <x:c r="G1982" s="46" t="str">
        <x:v>L2024-00017-1/붙임2. 파라과이 ICT 혁신센터 시공사 선정 입찰계획서(영문) 및 관련 양식/Attachments/Attachment 5. KOICA Safety Management Manual(ENG).pdf</x:v>
      </x:c>
      <x:c r="H1982" s="43" t="str">
        <x:v>페이지 18</x:v>
      </x:c>
      <x:c r="I1982" s="46" t="str">
        <x:v>(1) Amount subject to safety management expenses: Amount excluding reserve funding from the total construction expenses (2) Calculation method: Amount subject to safety management expenses x 0.5% or more (2) Payment of safety management expenses: The contractor shall file a claim for payment of safety management expenses to KOICA along with a confirmation as to the proper disbursement of the safety management expenses to match the purpose prescribed under the safety management plan made by the construction manager. 6. Construction 6.1 Verifying Observance of Safety Management Plans 6.1.1 KOICA shall verify the contractor’s proper performance of the safety management plan. However, if construction project management, similar to consigned supervision, is being implemented, KOICA may allow the construction manager to verify the performance of the safety management plan and file a report on their own. 6.1.2 If there are any issues pointed out by the review of the safety management plan under the immediately preceding paragraph, KOICA shall review said issues and request the contractor make corrections, if necessary. 6.2 Verifying Disbursement of Safety Management Expenses 6.2.1 KOICA s</x:v>
      </x:c>
      <x:c r="J1982" s="43" t="str">
        <x:v>자동추출·검토필요</x:v>
      </x:c>
    </x:row>
    <x:row r="1983">
      <x:c r="A1983" s="43" t="str">
        <x:v>L2024-00017-1</x:v>
      </x:c>
      <x:c r="B1983" s="43" t="str">
        <x:v>부가세·예비비</x:v>
      </x:c>
      <x:c r="C1983" s="46" t="str">
        <x:v>vat, reserve</x:v>
      </x:c>
      <x:c r="D1983" s="46" t="str"/>
      <x:c r="E1983" s="46" t="str"/>
      <x:c r="F1983" s="46" t="str">
        <x:v>0.5%</x:v>
      </x:c>
      <x:c r="G1983" s="46" t="str">
        <x:v>L2024-00017-1/붙임2. 파라과이 ICT 혁신센터 시공사 선정 입찰계획서(영문) 및 관련 양식/Attachments/Attachment 5. KOICA Safety Management Manual(ENG).pdf</x:v>
      </x:c>
      <x:c r="H1983" s="43" t="str">
        <x:v>페이지 28</x:v>
      </x:c>
      <x:c r="I1983" s="46" t="str">
        <x:v>D. Steel structure works - An overview of materials, equipment, etc.; and detailed shop drawings; - The procedures and precautions for safe construction; - A safety inspection plan and a safety inspection checklist; - A calculation sheet for the safety of steel structures. E. Earth filling and cutting works (including earth dam works) - An overview of materials, equipment, etc.; and detailed shop drawings; - The procedures and precautions for safe construction; - A safety inspection plan and a safety inspection checklist; - A calculation sheet for safety. F. Demolition works - An overview of structures to be demolished, demolition methods, etc.; and detailed shop drawings; - A plan on the order of demolition, and on facilities and measures for safety, etc. G. Mechanical and electrical works: - An overview of materials, equipment, etc.; and detailed shop drawings; - The procedures and precautions for safe construction; - A safety inspection plan and a safety inspection checklist; - A calculation sheet for safety. 1.4 Creation of Safety Management Expense Spending Plans 1.4.1 The contractor shall make a spending plan for safety management expenses by adding expenses incurred in formu</x:v>
      </x:c>
      <x:c r="J1983" s="43" t="str">
        <x:v>자동추출·검토필요</x:v>
      </x:c>
    </x:row>
    <x:row r="1984">
      <x:c r="A1984" s="43" t="str">
        <x:v>L2024-00017-1</x:v>
      </x:c>
      <x:c r="B1984" s="43" t="str">
        <x:v>부가세·예비비</x:v>
      </x:c>
      <x:c r="C1984" s="46" t="str">
        <x:v>vat, tax</x:v>
      </x:c>
      <x:c r="D1984" s="46" t="str"/>
      <x:c r="E1984" s="46" t="str">
        <x:v>USD 2,080,000 | USD 2,080,000</x:v>
      </x:c>
      <x:c r="F1984" s="46" t="str">
        <x:v>0.5% | 0.5%</x:v>
      </x:c>
      <x:c r="G1984" s="46" t="str">
        <x:v>L2024-00017-1/붙임2. 파라과이 ICT 혁신센터 시공사 선정 입찰계획서(영문) 및 관련 양식/Section 2 Bid data sheet_ICT Construction.docx</x:v>
      </x:c>
      <x:c r="H1984" s="43" t="str">
        <x:v>표 2 행 11</x:v>
      </x:c>
      <x:c r="I1984" s="46" t="str">
        <x:v>Project Budget | USD 2,080,000 (excluding VAT and other taxes, Incl. 0.5% of safety management cost) | USD 2,080,000 (excluding VAT and other taxes, Incl. 0.5% of safety management cost)</x:v>
      </x:c>
      <x:c r="J1984" s="43" t="str">
        <x:v>자동추출·검토필요</x:v>
      </x:c>
    </x:row>
    <x:row r="1985">
      <x:c r="A1985" s="43" t="str">
        <x:v>L2024-00017-1</x:v>
      </x:c>
      <x:c r="B1985" s="43" t="str">
        <x:v>부가세·예비비</x:v>
      </x:c>
      <x:c r="C1985" s="46" t="str">
        <x:v>vat, tax</x:v>
      </x:c>
      <x:c r="D1985" s="46" t="str"/>
      <x:c r="E1985" s="46" t="str">
        <x:v>USD 700,000</x:v>
      </x:c>
      <x:c r="F1985" s="46" t="str"/>
      <x:c r="G1985" s="46" t="str">
        <x:v>L2024-00017-1/붙임2. 파라과이 ICT 혁신센터 시공사 선정 입찰계획서(영문) 및 관련 양식/Section 2 Bid data sheet_ICT Construction.docx</x:v>
      </x:c>
      <x:c r="H1985" s="43" t="str">
        <x:v>표 4 행 5</x:v>
      </x:c>
      <x:c r="I1985" s="46" t="str">
        <x:v>④ One set of documents evidencing the applicant’s eligibility to participate in the Bid - Article of Incorporation, Registry of the Company, and other registration documents - Paraguay Tax Office Registration as Construction - Commercial Architecture License registered in Asuncion or Central 1 Area - Proof of construction experience At least One (1) Similar Construction Project for a Single Building (Reinforced Concrete Structure + at least Two Floors) with a value of at least USD 700,000 that have been successfully completed in Paraguay within last 10 years. In the case of public institution performance, the client's performance certificate required. In the case of private sector performance, the client's performance certificate and contract submission required.</x:v>
      </x:c>
      <x:c r="J1985" s="43" t="str">
        <x:v>자동추출·검토필요</x:v>
      </x:c>
    </x:row>
    <x:row r="1986">
      <x:c r="A1986" s="43" t="str">
        <x:v>L2024-00017-1</x:v>
      </x:c>
      <x:c r="B1986" s="43" t="str">
        <x:v>부가세·예비비</x:v>
      </x:c>
      <x:c r="C1986" s="46" t="str">
        <x:v>reserve</x:v>
      </x:c>
      <x:c r="D1986" s="46" t="str"/>
      <x:c r="E1986" s="46" t="str"/>
      <x:c r="F1986" s="46" t="str">
        <x:v>0.5%</x:v>
      </x:c>
      <x:c r="G1986" s="46" t="str">
        <x:v>L2024-00017-1/붙임2. 파라과이 ICT 혁신센터 시공사 선정 입찰계획서(영문) 및 관련 양식/Section 7 General Conditions_ICT Construction.docx</x:v>
      </x:c>
      <x:c r="H1986" s="43" t="str">
        <x:v>표 4 행 109</x:v>
      </x:c>
      <x:c r="I1986"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utilized.</x:v>
      </x:c>
      <x:c r="J1986" s="43" t="str">
        <x:v>자동추출·검토필요</x:v>
      </x:c>
    </x:row>
    <x:row r="1987">
      <x:c r="A1987" s="43" t="str">
        <x:v>L2024-00017-1</x:v>
      </x:c>
      <x:c r="B1987" s="43" t="str">
        <x:v>부가세·예비비</x:v>
      </x:c>
      <x:c r="C1987" s="46" t="str">
        <x:v>reserve</x:v>
      </x:c>
      <x:c r="D1987" s="46" t="str"/>
      <x:c r="E1987" s="46" t="str"/>
      <x:c r="F1987" s="46" t="str">
        <x:v>50% | 50%</x:v>
      </x:c>
      <x:c r="G1987" s="46" t="str">
        <x:v>L2024-00017-1/붙임2. 파라과이 ICT 혁신센터 시공사 선정 입찰계획서(영문) 및 관련 양식/Section 7 General Conditions_ICT Construction.docx</x:v>
      </x:c>
      <x:c r="H1987" s="43" t="str">
        <x:v>표 12 행 61</x:v>
      </x:c>
      <x:c r="I1987"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1987" s="43" t="str">
        <x:v>자동추출·검토필요</x:v>
      </x:c>
    </x:row>
    <x:row r="1988">
      <x:c r="A1988" s="43" t="str">
        <x:v>L2024-00017-1</x:v>
      </x:c>
      <x:c r="B1988" s="43" t="str">
        <x:v>부가세·예비비</x:v>
      </x:c>
      <x:c r="C1988" s="46" t="str">
        <x:v>reserve</x:v>
      </x:c>
      <x:c r="D1988" s="46" t="str"/>
      <x:c r="E1988" s="46" t="str"/>
      <x:c r="F1988" s="46" t="str">
        <x:v>50% | 50%</x:v>
      </x:c>
      <x:c r="G1988" s="46" t="str">
        <x:v>L2024-00017-1/붙임2. 파라과이 ICT 혁신센터 시공사 선정 입찰계획서(영문) 및 관련 양식/Section 8 Special Conditions_ICT Construction.docx</x:v>
      </x:c>
      <x:c r="H1988" s="43" t="str">
        <x:v>표 1 행 3</x:v>
      </x:c>
      <x:c r="I1988" s="46" t="str">
        <x:v>Article 12.5 (c) | Payment of Reserves (ORIGINAL)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 (REVISED) This clause is deleted and modified in SCC as below. “The retention shall be returned after the end of the defect warranty period or when a defect guarantee securities are submitted.” shall be applied.</x:v>
      </x:c>
      <x:c r="J1988" s="43" t="str">
        <x:v>자동추출·검토필요</x:v>
      </x:c>
    </x:row>
    <x:row r="1989">
      <x:c r="A1989" s="43" t="str">
        <x:v>L2024-00013-1</x:v>
      </x:c>
      <x:c r="B1989" s="43" t="str">
        <x:v>부가세·예비비</x:v>
      </x:c>
      <x:c r="C1989" s="46" t="str">
        <x:v>vat, tax</x:v>
      </x:c>
      <x:c r="D1989" s="46" t="str"/>
      <x:c r="E1989" s="46" t="str">
        <x:v>USD 8,086,003 | USD 8,086,003</x:v>
      </x:c>
      <x:c r="F1989" s="46" t="str"/>
      <x:c r="G1989" s="46" t="str">
        <x:v>L2024-00013-1/2-1. Section 2 - Bid Data Sheet.docx</x:v>
      </x:c>
      <x:c r="H1989" s="43" t="str">
        <x:v>표 4 행 11</x:v>
      </x:c>
      <x:c r="I1989" s="46" t="str">
        <x:v>․ Project Budget | USD 8,086,003 (Be inclusive of VAT and other applicable indirect taxes) | USD 8,086,003 (Be inclusive of VAT and other applicable indirect taxes)</x:v>
      </x:c>
      <x:c r="J1989" s="43" t="str">
        <x:v>자동추출·검토필요</x:v>
      </x:c>
    </x:row>
    <x:row r="1990">
      <x:c r="A1990" s="43" t="str">
        <x:v>L2024-00013-1</x:v>
      </x:c>
      <x:c r="B1990" s="43" t="str">
        <x:v>부가세·예비비</x:v>
      </x:c>
      <x:c r="C1990" s="46" t="str">
        <x:v>vat, tax</x:v>
      </x:c>
      <x:c r="D1990" s="46" t="str"/>
      <x:c r="E1990" s="46" t="str">
        <x:v>USD 7,350,912 | USD 7,350,912</x:v>
      </x:c>
      <x:c r="F1990" s="46" t="str"/>
      <x:c r="G1990" s="46" t="str">
        <x:v>L2024-00013-1/2-1. Section 2 - Bid Data Sheet.docx</x:v>
      </x:c>
      <x:c r="H1990" s="43" t="str">
        <x:v>표 4 행 13</x:v>
      </x:c>
      <x:c r="I1990" s="46" t="str">
        <x:v>․ Projected Estimated Price | USD 7,350,912 (Be exclusive of VAT and other applicable indirect taxes) | USD 7,350,912 (Be exclusive of VAT and other applicable indirect taxes)</x:v>
      </x:c>
      <x:c r="J1990" s="43" t="str">
        <x:v>자동추출·검토필요</x:v>
      </x:c>
    </x:row>
    <x:row r="1991">
      <x:c r="A1991" s="43" t="str">
        <x:v>L2024-00013-1</x:v>
      </x:c>
      <x:c r="B1991" s="43" t="str">
        <x:v>부가세·예비비</x:v>
      </x:c>
      <x:c r="C1991" s="46" t="str">
        <x:v>vat, tax</x:v>
      </x:c>
      <x:c r="D1991" s="46" t="str"/>
      <x:c r="E1991" s="46" t="str">
        <x:v>USD 8,086,003</x:v>
      </x:c>
      <x:c r="F1991" s="46" t="str"/>
      <x:c r="G1991" s="46" t="str">
        <x:v>L2024-00013-1/2-2. Invitation for Bids.docx</x:v>
      </x:c>
      <x:c r="H1991" s="43" t="str">
        <x:v>표 2 행 4</x:v>
      </x:c>
      <x:c r="I1991" s="46" t="str">
        <x:v>․ Project Budget | USD 8,086,003 (Be inclusive of VAT and other applicable indirect taxes)</x:v>
      </x:c>
      <x:c r="J1991" s="43" t="str">
        <x:v>자동추출·검토필요</x:v>
      </x:c>
    </x:row>
    <x:row r="1992">
      <x:c r="A1992" s="43" t="str">
        <x:v>L2024-00001-1</x:v>
      </x:c>
      <x:c r="B1992" s="43" t="str">
        <x:v>부가세·예비비</x:v>
      </x:c>
      <x:c r="C1992" s="46" t="str">
        <x:v>부가가치세</x:v>
      </x:c>
      <x:c r="D1992" s="46" t="str"/>
      <x:c r="E1992" s="46" t="str">
        <x:v>USD 127,677</x:v>
      </x:c>
      <x:c r="F1992" s="46" t="str"/>
      <x:c r="G1992" s="46" t="str">
        <x:v>L2024-00001-1/붙임 1. 국문 입찰공고문(BDS) (최종).hwp</x:v>
      </x:c>
      <x:c r="H1992" s="43" t="str">
        <x:v>문단 80</x:v>
      </x:c>
      <x:c r="I1992" s="46" t="str">
        <x:v>USD 127,677 (GST 및 부가가치세 포함)</x:v>
      </x:c>
      <x:c r="J1992" s="43" t="str">
        <x:v>자동추출·검토필요</x:v>
      </x:c>
    </x:row>
    <x:row r="1993">
      <x:c r="A1993" s="43" t="str">
        <x:v>L2024-00001-1</x:v>
      </x:c>
      <x:c r="B1993" s="43" t="str">
        <x:v>부가세·예비비</x:v>
      </x:c>
      <x:c r="C1993" s="46" t="str">
        <x:v>vat</x:v>
      </x:c>
      <x:c r="D1993" s="46" t="str"/>
      <x:c r="E1993" s="46" t="str">
        <x:v>USD 127,677 | USD 127,677</x:v>
      </x:c>
      <x:c r="F1993" s="46" t="str"/>
      <x:c r="G1993" s="46" t="str">
        <x:v>L2024-00001-1/붙임 2. 입찰서류 (최종)/Section 2 - Bid Data Sheet (BDS).docx</x:v>
      </x:c>
      <x:c r="H1993" s="43" t="str">
        <x:v>표 5 행 5</x:v>
      </x:c>
      <x:c r="I1993" s="46" t="str">
        <x:v>․ Bid Limit | USD 127,677 (including GST ,VAT and other fees) | USD 127,677 (including GST ,VAT and other fees)</x:v>
      </x:c>
      <x:c r="J1993" s="43" t="str">
        <x:v>자동추출·검토필요</x:v>
      </x:c>
    </x:row>
    <x:row r="1994">
      <x:c r="A1994" s="43" t="str">
        <x:v>L2024-00001-1</x:v>
      </x:c>
      <x:c r="B1994" s="43" t="str">
        <x:v>부가세·예비비</x:v>
      </x:c>
      <x:c r="C1994" s="46" t="str">
        <x:v>vat</x:v>
      </x:c>
      <x:c r="D1994" s="46" t="str"/>
      <x:c r="E1994" s="46" t="str"/>
      <x:c r="F1994" s="46" t="str">
        <x:v>90%</x:v>
      </x:c>
      <x:c r="G1994" s="46" t="str">
        <x:v>L2024-00001-1/붙임 2. 입찰서류 (최종)/Section 2 - Bid Data Sheet (BDS).docx</x:v>
      </x:c>
      <x:c r="H1994" s="43" t="str">
        <x:v>표 9 행 5</x:v>
      </x:c>
      <x:c r="I1994" s="46" t="str">
        <x:v>Qualitative (90%) | Design Proposal | Design Proposal - Survey and Reflection of stakeholder’s requirement - Design Concept in terms of functionality and creativity - Site Plan - Floor Plans (Each Floor) - Elevations (4 Sides) - Major Sections - And Bidder’s Proposal design - Design Guide Report | 25</x:v>
      </x:c>
      <x:c r="J1994" s="43" t="str">
        <x:v>자동추출·검토필요</x:v>
      </x:c>
    </x:row>
    <x:row r="1995">
      <x:c r="A1995" s="43" t="str">
        <x:v>L2024-00001-1</x:v>
      </x:c>
      <x:c r="B1995" s="43" t="str">
        <x:v>부가세·예비비</x:v>
      </x:c>
      <x:c r="C1995" s="46" t="str">
        <x:v>tax</x:v>
      </x:c>
      <x:c r="D1995" s="46" t="str"/>
      <x:c r="E1995" s="46" t="str">
        <x:v>USD 127,677</x:v>
      </x:c>
      <x:c r="F1995" s="46" t="str"/>
      <x:c r="G1995" s="46" t="str">
        <x:v>L2024-00001-1/붙임 2. 입찰서류 (최종)/Section 4 - Request for Propostal.docx</x:v>
      </x:c>
      <x:c r="H1995" s="43" t="str">
        <x:v>표 1 행 4</x:v>
      </x:c>
      <x:c r="I1995" s="46" t="str">
        <x:v>• Project Budget | -USD 127,677 (including GST) ∙ Any price proposal exceeding the project budget may result in rejection of its bid. ※If the Employer provides the Consultant with the tax exemption related to the Contract, the Employer will not be responsible for paying the exempt tax. If the Employer fails to provide the Consultant with the tax exemption, the Employer will pay the applicable taxes to the Consultant. ※KOICA has no authority or responsibility for any tax, including GST, incurred by such a bid and contract. The Federal Board of Revenue (FBR) is responsible for the taxation and tax exemption in accordance with the relevant laws and regulations of Pakistan.</x:v>
      </x:c>
      <x:c r="J1995" s="43" t="str">
        <x:v>자동추출·검토필요</x:v>
      </x:c>
    </x:row>
    <x:row r="1996">
      <x:c r="A1996" s="43" t="str">
        <x:v>L2024-00001-1</x:v>
      </x:c>
      <x:c r="B1996" s="43" t="str">
        <x:v>부가세·예비비</x:v>
      </x:c>
      <x:c r="C1996" s="46" t="str">
        <x:v>vat</x:v>
      </x:c>
      <x:c r="D1996" s="46" t="str">
        <x:v>2,551 ㎡</x:v>
      </x:c>
      <x:c r="E1996" s="46" t="str"/>
      <x:c r="F1996" s="46" t="str"/>
      <x:c r="G1996" s="46" t="str">
        <x:v>L2024-00001-1/붙임 2. 입찰서류 (최종)/Section 5- Terms of Reference for Design-Services.doc</x:v>
      </x:c>
      <x:c r="H1996" s="43" t="str">
        <x:v>문단 12</x:v>
      </x:c>
      <x:c r="I1996" s="46" t="str">
        <x:v>Existing structures and buildings within the site &amp; in the vicinity of the site Site boundaries Existing underground and over ground services : water, gas, electricity, drainage telephone and others Roads in the vicinity of the site, their size, existing elevation and conditions and planned elevations Setbacks approved by the local and related authority Contour lines with an interval of every 2 feet height contour or less. Status of all adjacent lands and their elevations related to the site Photographs B. Soil test report, analysis and evaluation of the soil condition and recommended type of foundation according to the international codes or the Pakistan codes. 5.1.2 The assignment consists of Design Service for the construction of the project mentioned below: 1 Project Title Design Services “Project for Strengthening of PAK-Korea Technical Textile Center (PKTC) -2nd Phase” 2 Location of the Site National Textile University, Faisalabad ,Pakistan. 3 Total Floor Area - 2-storey Building - Total floor area: 2,551㎡ (SM)</x:v>
      </x:c>
      <x:c r="J1996" s="43" t="str">
        <x:v>자동추출·검토필요</x:v>
      </x:c>
    </x:row>
    <x:row r="1997">
      <x:c r="A1997" s="43" t="str">
        <x:v>L2023-00077-1</x:v>
      </x:c>
      <x:c r="B1997" s="43" t="str">
        <x:v>부가세·예비비</x:v>
      </x:c>
      <x:c r="C1997" s="46" t="str">
        <x:v>vat</x:v>
      </x:c>
      <x:c r="D1997" s="46" t="str"/>
      <x:c r="E1997" s="46" t="str">
        <x:v>USD 347,000</x:v>
      </x:c>
      <x:c r="F1997" s="46" t="str"/>
      <x:c r="G1997" s="46" t="str">
        <x:v>L2023-00077-1/붙임0. 현지입찰계획_세네갈국회사업 리모델링입찰.docx</x:v>
      </x:c>
      <x:c r="H1997" s="43" t="str">
        <x:v>문단 62</x:v>
      </x:c>
      <x:c r="I1997" s="46" t="str">
        <x:v>ㅇ 예산한도액 : USD 347,000 (VAT 미포함)*</x:v>
      </x:c>
      <x:c r="J1997" s="43" t="str">
        <x:v>자동추출·검토필요</x:v>
      </x:c>
    </x:row>
    <x:row r="1998">
      <x:c r="A1998" s="43" t="str">
        <x:v>L2023-00077-1</x:v>
      </x:c>
      <x:c r="B1998" s="43" t="str">
        <x:v>부가세·예비비</x:v>
      </x:c>
      <x:c r="C1998" s="46" t="str">
        <x:v>vat</x:v>
      </x:c>
      <x:c r="D1998" s="46" t="str"/>
      <x:c r="E1998" s="46" t="str">
        <x:v>USD 347,000</x:v>
      </x:c>
      <x:c r="F1998" s="46" t="str"/>
      <x:c r="G1998" s="46" t="str">
        <x:v>L2023-00077-1/붙임1_제안요청서_Request_For_Proposal_for_NA_Project_CM수정.docx</x:v>
      </x:c>
      <x:c r="H1998" s="43" t="str">
        <x:v>문단 41</x:v>
      </x:c>
      <x:c r="I1998" s="46" t="str">
        <x:v>Budget limit : USD 347,000 (VAT excluded)</x:v>
      </x:c>
      <x:c r="J1998" s="43" t="str">
        <x:v>자동추출·검토필요</x:v>
      </x:c>
    </x:row>
    <x:row r="1999">
      <x:c r="A1999" s="43" t="str">
        <x:v>L2023-00077-1</x:v>
      </x:c>
      <x:c r="B1999" s="43" t="str">
        <x:v>부가세·예비비</x:v>
      </x:c>
      <x:c r="C1999" s="46" t="str">
        <x:v>vat</x:v>
      </x:c>
      <x:c r="D1999" s="46" t="str"/>
      <x:c r="E1999" s="46" t="str">
        <x:v>USD 347,000</x:v>
      </x:c>
      <x:c r="F1999" s="46" t="str"/>
      <x:c r="G1999" s="46" t="str">
        <x:v>L2023-00077-1/붙임1. 제안요청서( Request For Proposal for NA Project).docx</x:v>
      </x:c>
      <x:c r="H1999" s="43" t="str">
        <x:v>문단 43</x:v>
      </x:c>
      <x:c r="I1999" s="46" t="str">
        <x:v>Budget limit : USD 347,000 (VAT excluded)*</x:v>
      </x:c>
      <x:c r="J1999" s="43" t="str">
        <x:v>자동추출·검토필요</x:v>
      </x:c>
    </x:row>
    <x:row r="2000">
      <x:c r="A2000" s="43" t="str">
        <x:v>L2023-00077-1</x:v>
      </x:c>
      <x:c r="B2000" s="43" t="str">
        <x:v>부가세·예비비</x:v>
      </x:c>
      <x:c r="C2000" s="46" t="str">
        <x:v>vat</x:v>
      </x:c>
      <x:c r="D2000" s="46" t="str"/>
      <x:c r="E2000" s="46" t="str">
        <x:v>347,000 USD</x:v>
      </x:c>
      <x:c r="F2000" s="46" t="str"/>
      <x:c r="G2000" s="46" t="str">
        <x:v>L2023-00077-1/붙임3_입찰공고문Senegal_National_Assembly_Invitation_for_Bids_최종.docx</x:v>
      </x:c>
      <x:c r="H2000" s="43" t="str">
        <x:v>문단 49</x:v>
      </x:c>
      <x:c r="I2000" s="46" t="str">
        <x:v>2. The available budget for this procurement assignment is 347,000 USD.(VAT excluded)</x:v>
      </x:c>
      <x:c r="J2000" s="43" t="str">
        <x:v>자동추출·검토필요</x:v>
      </x:c>
    </x:row>
    <x:row r="2001">
      <x:c r="A2001" s="43" t="str">
        <x:v>L2023-00075-1</x:v>
      </x:c>
      <x:c r="B2001" s="43" t="str">
        <x:v>부가세·예비비</x:v>
      </x:c>
      <x:c r="C2001" s="46" t="str">
        <x:v>vat</x:v>
      </x:c>
      <x:c r="D2001" s="46" t="str"/>
      <x:c r="E2001" s="46" t="str">
        <x:v>0,000,000,000 MNT</x:v>
      </x:c>
      <x:c r="F2001" s="46" t="str"/>
      <x:c r="G2001" s="46" t="str">
        <x:v>L2023-00075-1/첨부1 RTCC 시공 3자계약서 (2023.12.18)_Rev1.docx</x:v>
      </x:c>
      <x:c r="H2001" s="43" t="str">
        <x:v>문단 12</x:v>
      </x:c>
      <x:c r="I2001" s="46" t="str">
        <x:v>3. The total Contract Amount is 0,000,000,000 MNT exclude the VAT. The contract amount will be transferred to OOOOOO Bank account number OOOOOOOOO of the contractor ‘OOOOOOOO’ LLC.</x:v>
      </x:c>
      <x:c r="J2001" s="43" t="str">
        <x:v>자동추출·검토필요</x:v>
      </x:c>
    </x:row>
    <x:row r="2002">
      <x:c r="A2002" s="43" t="str">
        <x:v>L2023-00074-1</x:v>
      </x:c>
      <x:c r="B2002" s="43" t="str">
        <x:v>부가세·예비비</x:v>
      </x:c>
      <x:c r="C2002" s="46" t="str">
        <x:v>reserve</x:v>
      </x:c>
      <x:c r="D2002" s="46" t="str"/>
      <x:c r="E2002" s="46" t="str">
        <x:v>2, $ | $ 75 million</x:v>
      </x:c>
      <x:c r="F2002" s="46" t="str">
        <x:v>6%</x:v>
      </x:c>
      <x:c r="G2002" s="46" t="str">
        <x:v>L2023-00074-1/붙임2. 신문공고 사본.pdf</x:v>
      </x:c>
      <x:c r="H2002" s="43" t="str">
        <x:v>페이지 2</x:v>
      </x:c>
      <x:c r="I2002" s="46" t="str">
        <x:v>THE HIMALAYAN TIMES, MONDAY, SEPTEMBER 4, 2023 www.thehimalayantimes.com PAGE 5 INTERNATIONAL s 4(% 7/2,$ /6%2 2USSIAN DRONES Scholz falls while jogging BERLIN: German Chancellor Olaf DOWNED AS -OSCOW HITS Scholz fell while jogging and sus- tained bruises to his face, prompting him to cancel some appointments this weekend, the government said on Saturday. In an emailed response to a 5KRAINE PORT query about the incident, the govern- ment said that the 65-year-old Ger- man leader had ‘a small sports acci- dent’ and cancelled appointments on Sunday in the central Hesse region, where a state election is being held on Agence France Presse October 8. But it said his appoint- ments next week wouldn’t be affected. The Hesse-based Frankfurter Rund- Kyiv, September 3 2OMANIA SLAMS schau newspaper first reported on Saturday’s incident. It cited a promi- Ukraine said today that it had destroyed 22 Russian drones on 2USSIAS $ANUBE nent lawmaker with Scholz’s cen- the southern Odesa region, as Moscow said it hit the Danube ATTACKS tre-left Social Democrats, Michael port of Reni, on the border with BUCHAREST: Romania’s Roth, who had invited the chancellor NATO member Romania. defence ministry o</x:v>
      </x:c>
      <x:c r="J2002" s="43" t="str">
        <x:v>자동추출·검토필요</x:v>
      </x:c>
    </x:row>
    <x:row r="2003">
      <x:c r="A2003" s="43" t="str">
        <x:v>L2023-00073-1</x:v>
      </x:c>
      <x:c r="B2003" s="43" t="str">
        <x:v>부가세·예비비</x:v>
      </x:c>
      <x:c r="C2003" s="46" t="str">
        <x:v>reserve</x:v>
      </x:c>
      <x:c r="D2003" s="46" t="str"/>
      <x:c r="E2003" s="46" t="str">
        <x:v>2, $ | $ 75 million</x:v>
      </x:c>
      <x:c r="F2003" s="46" t="str">
        <x:v>6%</x:v>
      </x:c>
      <x:c r="G2003" s="46" t="str">
        <x:v>L2023-00073-1/붙임2. 신문공고 사본.pdf</x:v>
      </x:c>
      <x:c r="H2003" s="43" t="str">
        <x:v>페이지 2</x:v>
      </x:c>
      <x:c r="I2003" s="46" t="str">
        <x:v>THE HIMALAYAN TIMES, MONDAY, SEPTEMBER 4, 2023 www.thehimalayantimes.com PAGE 5 INTERNATIONAL s 4(% 7/2,$ /6%2 2USSIAN DRONES Scholz falls while jogging BERLIN: German Chancellor Olaf DOWNED AS -OSCOW HITS Scholz fell while jogging and sus- tained bruises to his face, prompting him to cancel some appointments this weekend, the government said on Saturday. In an emailed response to a 5KRAINE PORT query about the incident, the govern- ment said that the 65-year-old Ger- man leader had ‘a small sports acci- dent’ and cancelled appointments on Sunday in the central Hesse region, where a state election is being held on Agence France Presse October 8. But it said his appoint- ments next week wouldn’t be affected. The Hesse-based Frankfurter Rund- Kyiv, September 3 2OMANIA SLAMS schau newspaper first reported on Saturday’s incident. It cited a promi- Ukraine said today that it had destroyed 22 Russian drones on 2USSIAS $ANUBE nent lawmaker with Scholz’s cen- the southern Odesa region, as Moscow said it hit the Danube ATTACKS tre-left Social Democrats, Michael port of Reni, on the border with BUCHAREST: Romania’s Roth, who had invited the chancellor NATO member Romania. defence ministry o</x:v>
      </x:c>
      <x:c r="J2003" s="43" t="str">
        <x:v>자동추출·검토필요</x:v>
      </x:c>
    </x:row>
    <x:row r="2004">
      <x:c r="A2004" s="43" t="str">
        <x:v>L2023-00072-2</x:v>
      </x:c>
      <x:c r="B2004" s="43" t="str">
        <x:v>부가세·예비비</x:v>
      </x:c>
      <x:c r="C2004" s="46" t="str">
        <x:v>reserve</x:v>
      </x:c>
      <x:c r="D2004" s="46" t="str"/>
      <x:c r="E2004" s="46" t="str"/>
      <x:c r="F2004" s="46" t="str">
        <x:v>3%</x:v>
      </x:c>
      <x:c r="G2004" s="46" t="str">
        <x:v>L2023-00072-2/Section_2_Bid_Data_Sheet_(BDS).docx</x:v>
      </x:c>
      <x:c r="H2004" s="43" t="str">
        <x:v>문단 170</x:v>
      </x:c>
      <x:c r="I2004" s="46" t="str">
        <x:v>3% of contract amount or cash reserve</x:v>
      </x:c>
      <x:c r="J2004" s="43" t="str">
        <x:v>자동추출·검토필요</x:v>
      </x:c>
    </x:row>
    <x:row r="2005">
      <x:c r="A2005" s="43" t="str">
        <x:v>L2023-00072-1</x:v>
      </x:c>
      <x:c r="B2005" s="43" t="str">
        <x:v>부가세·예비비</x:v>
      </x:c>
      <x:c r="C2005" s="46" t="str">
        <x:v>reserve</x:v>
      </x:c>
      <x:c r="D2005" s="46" t="str"/>
      <x:c r="E2005" s="46" t="str"/>
      <x:c r="F2005" s="46" t="str">
        <x:v>3%</x:v>
      </x:c>
      <x:c r="G2005" s="46" t="str">
        <x:v>L2023-00072-1/Section_2_Bid_Data_Sheet_(BDS).docx</x:v>
      </x:c>
      <x:c r="H2005" s="43" t="str">
        <x:v>문단 170</x:v>
      </x:c>
      <x:c r="I2005" s="46" t="str">
        <x:v>3% of contract amount or cash reserve</x:v>
      </x:c>
      <x:c r="J2005" s="43" t="str">
        <x:v>자동추출·검토필요</x:v>
      </x:c>
    </x:row>
    <x:row r="2006">
      <x:c r="A2006" s="43" t="str">
        <x:v>L2023-00071-1</x:v>
      </x:c>
      <x:c r="B2006" s="43" t="str">
        <x:v>부가세·예비비</x:v>
      </x:c>
      <x:c r="C2006" s="46" t="str">
        <x:v>vat, tax</x:v>
      </x:c>
      <x:c r="D2006" s="46" t="str"/>
      <x:c r="E2006" s="46" t="str">
        <x:v>USD 202,000</x:v>
      </x:c>
      <x:c r="F2006" s="46" t="str"/>
      <x:c r="G2006" s="46" t="str">
        <x:v>L2023-00071-1/붙임 2. Bid Announcement_입찰공고문(영문)_Final.docx</x:v>
      </x:c>
      <x:c r="H2006" s="43" t="str">
        <x:v>표 3 행 8</x:v>
      </x:c>
      <x:c r="I2006" s="46" t="str">
        <x:v>Project Budget | Basic Price : USD 202,000 (Be inclusive of VAT and other applicable indirect taxes)</x:v>
      </x:c>
      <x:c r="J2006" s="43" t="str">
        <x:v>자동추출·검토필요</x:v>
      </x:c>
    </x:row>
    <x:row r="2007">
      <x:c r="A2007" s="43" t="str">
        <x:v>L2023-00071-1</x:v>
      </x:c>
      <x:c r="B2007" s="43" t="str">
        <x:v>부가세·예비비</x:v>
      </x:c>
      <x:c r="C2007" s="46" t="str">
        <x:v>vat, tax</x:v>
      </x:c>
      <x:c r="D2007" s="46" t="str"/>
      <x:c r="E2007" s="46" t="str">
        <x:v>USD 202,000</x:v>
      </x:c>
      <x:c r="F2007" s="46" t="str"/>
      <x:c r="G2007" s="46" t="str">
        <x:v>L2023-00071-1/붙임 3. 기타 입찰서류/(║┘└╙2) Invitation to Bid_├╩├╗└σ(┐╡╣«)_final.docx</x:v>
      </x:c>
      <x:c r="H2007" s="43" t="str">
        <x:v>표 4 행 8</x:v>
      </x:c>
      <x:c r="I2007" s="46" t="str">
        <x:v>Project Budget | Basic Price : USD 202,000 (Be inclusive of VAT and other applicable indirect taxes)</x:v>
      </x:c>
      <x:c r="J2007" s="43" t="str">
        <x:v>자동추출·검토필요</x:v>
      </x:c>
    </x:row>
    <x:row r="2008">
      <x:c r="A2008" s="43" t="str">
        <x:v>L2023-00071-1</x:v>
      </x:c>
      <x:c r="B2008" s="43" t="str">
        <x:v>부가세·예비비</x:v>
      </x:c>
      <x:c r="C2008" s="46" t="str">
        <x:v>vat</x:v>
      </x:c>
      <x:c r="D2008" s="46" t="str"/>
      <x:c r="E2008" s="46" t="str">
        <x:v>USD 202,000</x:v>
      </x:c>
      <x:c r="F2008" s="46" t="str"/>
      <x:c r="G2008" s="46" t="str">
        <x:v>L2023-00071-1/붙임 3. 기타 입찰서류/[Section 2] Request for Proposal(RFP)_┴ª╛╚┐Σ├╗╝¡(┐╡╣«)_Finalv2.docx</x:v>
      </x:c>
      <x:c r="H2008" s="43" t="str">
        <x:v>문단 98</x:v>
      </x:c>
      <x:c r="I2008" s="46" t="str">
        <x:v>2.1 Estimated Budget : USD 202,000 (VAT included)</x:v>
      </x:c>
      <x:c r="J2008" s="43" t="str">
        <x:v>자동추출·검토필요</x:v>
      </x:c>
    </x:row>
    <x:row r="2009">
      <x:c r="A2009" s="43" t="str">
        <x:v>L2023-00070-2</x:v>
      </x:c>
      <x:c r="B2009" s="43" t="str">
        <x:v>부가세·예비비</x:v>
      </x:c>
      <x:c r="C2009" s="46" t="str">
        <x:v>vat</x:v>
      </x:c>
      <x:c r="D2009" s="46" t="str"/>
      <x:c r="E2009" s="46" t="str">
        <x:v>USD 175,786</x:v>
      </x:c>
      <x:c r="F2009" s="46" t="str">
        <x:v>13%</x:v>
      </x:c>
      <x:c r="G2009" s="46" t="str">
        <x:v>L2023-00070-2/붙임2. 재공고 입찰계획안_231029.hwp</x:v>
      </x:c>
      <x:c r="H2009" s="43" t="str">
        <x:v>문단 72</x:v>
      </x:c>
      <x:c r="I2009" s="46" t="str">
        <x:v>다. 입찰한도액 : USD 175,786 (VAT 13% 포함)湯湷  (부가세 등 제비용 포함)</x:v>
      </x:c>
      <x:c r="J2009" s="43" t="str">
        <x:v>자동추출·검토필요</x:v>
      </x:c>
    </x:row>
    <x:row r="2010">
      <x:c r="A2010" s="43" t="str">
        <x:v>L2023-00070-2</x:v>
      </x:c>
      <x:c r="B2010" s="43" t="str">
        <x:v>부가세·예비비</x:v>
      </x:c>
      <x:c r="C2010" s="46" t="str">
        <x:v>vat, tax</x:v>
      </x:c>
      <x:c r="D2010" s="46" t="str"/>
      <x:c r="E2010" s="46" t="str">
        <x:v>USD 176,786</x:v>
      </x:c>
      <x:c r="F2010" s="46" t="str">
        <x:v>13%</x:v>
      </x:c>
      <x:c r="G2010" s="46" t="str">
        <x:v>L2023-00070-2/붙임3. (입찰서류-영문) LDRL-설계입찰_1029/2. (└╘┬√╝¡╖∙-┐╡╣«) LDRL-╝│░Φ└╘┬√_1029/2. Bid Data Sheet (BDS)_LDRL_╝÷┴ñ_1029.docx</x:v>
      </x:c>
      <x:c r="H2010" s="43" t="str">
        <x:v>문단 41</x:v>
      </x:c>
      <x:c r="I2010" s="46" t="str">
        <x:v>Maximum Bidding Price : USD 176,786 (VAT 13% included) (All taxes and costs included)</x:v>
      </x:c>
      <x:c r="J2010" s="43" t="str">
        <x:v>자동추출·검토필요</x:v>
      </x:c>
    </x:row>
    <x:row r="2011">
      <x:c r="A2011" s="43" t="str">
        <x:v>L2023-00070-2</x:v>
      </x:c>
      <x:c r="B2011" s="43" t="str">
        <x:v>부가세·예비비</x:v>
      </x:c>
      <x:c r="C2011" s="46" t="str">
        <x:v>contingency</x:v>
      </x:c>
      <x:c r="D2011" s="46" t="str"/>
      <x:c r="E2011" s="46" t="str"/>
      <x:c r="F2011" s="46" t="str">
        <x:v>0.5% | 2%</x:v>
      </x:c>
      <x:c r="G2011" s="46" t="str">
        <x:v>L2023-00070-2/붙임3. (입찰서류-영문) LDRL-설계입찰_1029/2. (└╘┬√╝¡╖∙-┐╡╣«) LDRL-╝│░Φ└╘┬√_1029/4. Terms of Reference (TOR)_LDRL_╝÷┴ñ.docx</x:v>
      </x:c>
      <x:c r="H2011" s="43" t="str">
        <x:v>문단 124</x:v>
      </x:c>
      <x:c r="I2011" s="46" t="str">
        <x:v>BOQ shall include safety management cost (0.5% of total construction cost) and contingency (2% of total construction cost).</x:v>
      </x:c>
      <x:c r="J2011" s="43" t="str">
        <x:v>자동추출·검토필요</x:v>
      </x:c>
    </x:row>
    <x:row r="2012">
      <x:c r="A2012" s="43" t="str">
        <x:v>L2023-00070-2</x:v>
      </x:c>
      <x:c r="B2012" s="43" t="str">
        <x:v>부가세·예비비</x:v>
      </x:c>
      <x:c r="C2012" s="46" t="str">
        <x:v>vat</x:v>
      </x:c>
      <x:c r="D2012" s="46" t="str"/>
      <x:c r="E2012" s="46" t="str">
        <x:v>KRW 420 billion</x:v>
      </x:c>
      <x:c r="F2012" s="46" t="str"/>
      <x:c r="G2012" s="46" t="str">
        <x:v>L2023-00070-2/붙임4. (관련규정) KOICA Regulations/1. Detailed Enforcement Rules of the Regulations for Procurement and Contract in Grant Aid Projects.pdf</x:v>
      </x:c>
      <x:c r="H2012" s="43" t="str">
        <x:v>페이지 61</x:v>
      </x:c>
      <x:c r="I2012"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2012" s="43" t="str">
        <x:v>자동추출·검토필요</x:v>
      </x:c>
    </x:row>
    <x:row r="2013">
      <x:c r="A2013" s="43" t="str">
        <x:v>L2023-00070-2</x:v>
      </x:c>
      <x:c r="B2013" s="43" t="str">
        <x:v>부가세·예비비</x:v>
      </x:c>
      <x:c r="C2013" s="46" t="str">
        <x:v>tax</x:v>
      </x:c>
      <x:c r="D2013" s="46" t="str"/>
      <x:c r="E2013" s="46" t="str"/>
      <x:c r="F2013" s="46" t="str">
        <x:v>50%</x:v>
      </x:c>
      <x:c r="G2013" s="46" t="str">
        <x:v>L2023-00070-2/붙임4. (관련규정) KOICA Regulations/1. Detailed Enforcement Rules of the Regulations for Procurement and Contract in Grant Aid Projects.pdf</x:v>
      </x:c>
      <x:c r="H2013" s="43" t="str">
        <x:v>페이지 90</x:v>
      </x:c>
      <x:c r="I2013" s="46" t="str">
        <x:v>[Form 8] Public Notice of a Tender Public Notice of a Tender The Korea International Cooperation Agency (KOICA) is an affiliate of the Ministry of Foreign Affairs and Trade in charge of the Grant Aid Project. As part of an economic cooperation project with developing countries, KOICA announces the following tenders to select (procure) (name of services or goods) for this (name of a project). 1. Public notice of a tender number: 2. Matters to be placed in the tender ① Name of the tendering: ② Details: Scope of services / Details of procured goods, etc. ※Refer to the appendix for details ③ Contract period: ④ Base Amount (estimated amount): (“zero” tax rate) 3. How to tender: General competitive tendering, limited competitive tendering 4. How to determine a successful tenderer: Lowest tender below Expected Maximum Price / Contract by negotiation/ Tendering in two-step competition 5. Qualification for participating in tendering: Those who have registered as KOICA's procurement partners. However, new companies shall register as procurement partners and participate in the tendering by the deadline for registration of tenders (registration of new companies is determined after reviewing re</x:v>
      </x:c>
      <x:c r="J2013" s="43" t="str">
        <x:v>자동추출·검토필요</x:v>
      </x:c>
    </x:row>
    <x:row r="2014">
      <x:c r="A2014" s="43" t="str">
        <x:v>L2023-00070-2</x:v>
      </x:c>
      <x:c r="B2014" s="43" t="str">
        <x:v>부가세·예비비</x:v>
      </x:c>
      <x:c r="C2014" s="46" t="str">
        <x:v>vat</x:v>
      </x:c>
      <x:c r="D2014" s="46" t="str"/>
      <x:c r="E2014" s="46" t="str">
        <x:v>KRW 10 billion</x:v>
      </x:c>
      <x:c r="F2014" s="46" t="str"/>
      <x:c r="G2014" s="46" t="str">
        <x:v>L2023-00070-2/붙임4. (관련규정) KOICA Regulations/1. Detailed Enforcement Rules of the Regulations for Procurement and Contract in Grant Aid Projects.pdf</x:v>
      </x:c>
      <x:c r="H2014" s="43" t="str">
        <x:v>페이지 94</x:v>
      </x:c>
      <x:c r="I2014" s="46" t="str">
        <x:v>Company Phone Number Company Name of No. Registration Participants Signature Name Representative Fax Number Number 1 2 3 4 5 Each of the above participants confirmed that the conditions for the above tendering have been amended as described above during at the time of the tendering presentation session; and each affirms that he/she fully understands the details of tendering-related matters such as instructions to tenderers, a request for proposal, and specifications are fully understood. Korea International Cooperation Agency [Form 12] Tender (Negotiation) Documents &lt;Amended on Jul. 20, 2017, Feb. 28, 2018&gt; Tender (Negotiation) Documents To Korea International Cooperation Agency Tender (Negotiation) Date and Time: . . . : I submit tender documents based upon the (international) construction, ((international) purchase of goods, (international) services)) tender instructions for the goods, construction, and service pursuant to the Detailed Enforcement Rules of the Regulations for Procurement and Contract in Grant Aid Projects with Public Notice of a Tender Number__. If this tender is accepted by your institution, I submit a tender proposal, affirming that the construction (goods, ser</x:v>
      </x:c>
      <x:c r="J2014" s="43" t="str">
        <x:v>자동추출·검토필요</x:v>
      </x:c>
    </x:row>
    <x:row r="2015">
      <x:c r="A2015" s="43" t="str">
        <x:v>L2023-00070-2</x:v>
      </x:c>
      <x:c r="B2015" s="43" t="str">
        <x:v>부가세·예비비</x:v>
      </x:c>
      <x:c r="C2015" s="46" t="str">
        <x:v>vat</x:v>
      </x:c>
      <x:c r="D2015" s="46" t="str"/>
      <x:c r="E2015" s="46" t="str">
        <x:v>KRW 2 billion</x:v>
      </x:c>
      <x:c r="F2015" s="46" t="str"/>
      <x:c r="G2015" s="46" t="str">
        <x:v>L2023-00070-2/붙임4. (관련규정) KOICA Regulations/2. Guidelines for Technical Evaluation.pdf</x:v>
      </x:c>
      <x:c r="H2015" s="43" t="str">
        <x:v>페이지 13</x:v>
      </x:c>
      <x:c r="I2015"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2015" s="43" t="str">
        <x:v>자동추출·검토필요</x:v>
      </x:c>
    </x:row>
    <x:row r="2016">
      <x:c r="A2016" s="43" t="str">
        <x:v>L2023-00070-2</x:v>
      </x:c>
      <x:c r="B2016" s="43" t="str">
        <x:v>부가세·예비비</x:v>
      </x:c>
      <x:c r="C2016" s="46" t="str">
        <x:v>vat</x:v>
      </x:c>
      <x:c r="D2016" s="46" t="str"/>
      <x:c r="E2016" s="46" t="str">
        <x:v>KRW 2 billion</x:v>
      </x:c>
      <x:c r="F2016" s="46" t="str"/>
      <x:c r="G2016" s="46" t="str">
        <x:v>L2023-00070-2/붙임4. (관련규정) KOICA Regulations/2. Guidelines for Technical Evaluation.pdf</x:v>
      </x:c>
      <x:c r="H2016" s="43" t="str">
        <x:v>페이지 33</x:v>
      </x:c>
      <x:c r="I2016"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2016" s="43" t="str">
        <x:v>자동추출·검토필요</x:v>
      </x:c>
    </x:row>
    <x:row r="2017">
      <x:c r="A2017" s="43" t="str">
        <x:v>L2023-00070-2</x:v>
      </x:c>
      <x:c r="B2017" s="43" t="str">
        <x:v>부가세·예비비</x:v>
      </x:c>
      <x:c r="C2017" s="46" t="str">
        <x:v>vat</x:v>
      </x:c>
      <x:c r="D2017" s="46" t="str"/>
      <x:c r="E2017" s="46" t="str"/>
      <x:c r="F2017" s="46" t="str">
        <x:v>20% | 20% | 20% | 20% | 20%</x:v>
      </x:c>
      <x:c r="G2017" s="46" t="str">
        <x:v>L2023-00070-2/붙임4. (관련규정) KOICA Regulations/2. Guidelines for Technical Evaluation.pdf</x:v>
      </x:c>
      <x:c r="H2017" s="43" t="str">
        <x:v>페이지 41</x:v>
      </x:c>
      <x:c r="I2017" s="46" t="str">
        <x:v>[Table 4] Evaluation Table for Adding or Deducting Points &lt;Amended on Apr. 29, 2020&gt; Evaluation Table for Adding or Deducting Points Category Item and Ground Points A. Companies with no contracting track record with KOICA (if the 0.5 investment share rate or share ratio is at least 20%) (Maximum 0.5) B. Supporting medium, small, or micro-enterprises (if the investment share rate or share ratio is at least 20%) (1) Companies that have been designated as an innovative (venture, 0.5 technological innovation, management innovation, exceptional green business) small or medium-sized business by the Minister of SMEs and Startups (or delegate) (2) Others designated as medium, small, or micro-enterprises 0.25 C. Supporting female-owned businesses and promoting gender equality in employment (if the investment share rate or share ratio is at least 20%) (1) Female-owned businesses that have been defined in the Act on 0.2 Support for Female-owned Businesses and the enforcement decree of the same Act and have been issued a confirmation letter by the Minister of SMEs and Startups (including a delegate) (2) Companies that have been designated as a company with exceptional 0.25 gender equality in e</x:v>
      </x:c>
      <x:c r="J2017" s="43" t="str">
        <x:v>자동추출·검토필요</x:v>
      </x:c>
    </x:row>
    <x:row r="2018">
      <x:c r="A2018" s="43" t="str">
        <x:v>L2023-00070-2</x:v>
      </x:c>
      <x:c r="B2018" s="43" t="str">
        <x:v>부가세·예비비</x:v>
      </x:c>
      <x:c r="C2018" s="46" t="str">
        <x:v>vat</x:v>
      </x:c>
      <x:c r="D2018" s="46" t="str"/>
      <x:c r="E2018" s="46" t="str"/>
      <x:c r="F2018" s="46" t="str">
        <x:v>20% | 20%</x:v>
      </x:c>
      <x:c r="G2018" s="46" t="str">
        <x:v>L2023-00070-2/붙임4. (관련규정) KOICA Regulations/2. Guidelines for Technical Evaluation.pdf</x:v>
      </x:c>
      <x:c r="H2018" s="43" t="str">
        <x:v>페이지 43</x:v>
      </x:c>
      <x:c r="I2018" s="46" t="str">
        <x:v>1. Evaluation on “A (Companies with no contracting track record with KOICA)” (a) Based upon the date of tender notice, regardless of the project type such as research service, evaluation service, fellowship program, public-private partnership program, only companies with no contracting track record are evaluated. (b) For a contracting consortium, it is evaluated only when the investment share rate (or share ratio) is at least 20%. A maximum of 0.5 points is awarded regardless of the number of members. 2. Evaluation on “B (Supporting medium, small, or micro-enterprises)” (a) Medium, small, or micro-enterprises that have been issued a confirmation letter by the Minister of SMEs and Startups (or delegate) are evaluated when all relevant documents are submitted. In this case, evaluation is limited to those falling within the validity period based on the date of public notice of the tender, but if the validity period is not determined, evaluation is limited to those received within the two years since the day before the date of public notice of the tender. (b) In the case of competition between owners of medium or small enterprises, additional points are not awarded for small and medium</x:v>
      </x:c>
      <x:c r="J2018" s="43" t="str">
        <x:v>자동추출·검토필요</x:v>
      </x:c>
    </x:row>
    <x:row r="2019">
      <x:c r="A2019" s="43" t="str">
        <x:v>L2023-00070-2</x:v>
      </x:c>
      <x:c r="B2019" s="43" t="str">
        <x:v>부가세·예비비</x:v>
      </x:c>
      <x:c r="C2019" s="46" t="str">
        <x:v>tax</x:v>
      </x:c>
      <x:c r="D2019" s="46" t="str"/>
      <x:c r="E2019" s="46" t="str"/>
      <x:c r="F2019" s="46" t="str">
        <x:v>50% | 50%</x:v>
      </x:c>
      <x:c r="G2019" s="46" t="str">
        <x:v>L2023-00070-2/붙임4. (관련규정) KOICA Regulations/3. KOICA Regulations for International Procurement.pdf</x:v>
      </x:c>
      <x:c r="H2019" s="43" t="str">
        <x:v>페이지 4</x:v>
      </x:c>
      <x:c r="I2019" s="46" t="str">
        <x:v>Tenders and the procedures prescribed in Section II of these Regulations shall apply. However, in accordance with Article 1(2) of these Regulations, KOICA may delegate or entrust its International Procurement duties related to the relevant Project to a KOICA Trustee; provided that such delegation or entrustment is recorded in writing. (3) For International Tenders, KOICA HQ shall be the Employer and the procedures prescribed in Section III of these Regulations shall apply. (4) Use of the procurement system of a Recipient Country shall be at the discretion of KOICA and the procedures prescribed in Section IV of these Regulations shall apply. Article 5 Eligibility (1) The Employer, the Bidder, and the Contracting Party must adhere to the highest standards of ethics in connection with tenders for and contracts of International Procurement. Accordingly, (a) if a selected Bidder is found to have been fraudulent or deceitful during the competitive bid process, the Employer shall be entitled to cancel such selection; and (b) if a Bidder or a Contracting Party is found to have been fraudulent or deceitful during a separate tender process or contracting process conducted by the Employer, KO</x:v>
      </x:c>
      <x:c r="J2019" s="43" t="str">
        <x:v>자동추출·검토필요</x:v>
      </x:c>
    </x:row>
    <x:row r="2020">
      <x:c r="A2020" s="43" t="str">
        <x:v>L2023-00070-2</x:v>
      </x:c>
      <x:c r="B2020" s="43" t="str">
        <x:v>부가세·예비비</x:v>
      </x:c>
      <x:c r="C2020" s="46" t="str">
        <x:v>vat</x:v>
      </x:c>
      <x:c r="D2020" s="46" t="str"/>
      <x:c r="E2020" s="46" t="str">
        <x:v>KRW 100 million | KRW 100 million | KRW 50 million</x:v>
      </x:c>
      <x:c r="F2020" s="46" t="str"/>
      <x:c r="G2020" s="46" t="str">
        <x:v>L2023-00070-2/붙임4. (관련규정) KOICA Regulations/4. Regulations for Procurement and Contract in Grant Aid Projects.pdf</x:v>
      </x:c>
      <x:c r="H2020" s="43" t="str">
        <x:v>페이지 15</x:v>
      </x:c>
      <x:c r="I2020" s="46" t="str">
        <x:v>works with an estimated price of KRW 100 million or less under other construction- related laws and regulations; manufacturing goods with an estimated price of KRW 100 million or less; &lt;Amended on Jan. 13, 2009&gt; 3. Contracts other than a contract for construction or manufacturing, or leases or rentals of goods, with an estimated price of KRW 50 million or less; &lt;Amended on Jan. 13, 2009&gt; 4. Products certified under Article 15 of the Industrial Standardization Act or standard products of excellent organizations under Article 25 of the same Act; &lt;Amended on Jan. 13, 2009, May 20, 2019&gt; 5. In a case of manufacture or purchase products conforming to the standards under Article 33 of the Act on the Promotion of Saving and Recycling of Resources; recycled products that have obtained quality certification pursuant to Article 17 (1) 3 of the Enforcement Decree of the Industrial Technology Innovation Promotion Act; products that have certified as eligible for the Environment Mark pursuant to Article 17 of the Environmental Technology and Industry Support Act; &lt;Amended on Jan. 13, 2009, Nov. 2, 2015, May 20, 2019&gt; 6. When manufacturing or purchasing goods designated or announced by the Minis</x:v>
      </x:c>
      <x:c r="J2020" s="43" t="str">
        <x:v>자동추출·검토필요</x:v>
      </x:c>
    </x:row>
    <x:row r="2021">
      <x:c r="A2021" s="43" t="str">
        <x:v>L2023-00070-2</x:v>
      </x:c>
      <x:c r="B2021" s="43" t="str">
        <x:v>부가세·예비비</x:v>
      </x:c>
      <x:c r="C2021" s="46" t="str">
        <x:v>reserve</x:v>
      </x:c>
      <x:c r="D2021" s="46" t="str"/>
      <x:c r="E2021" s="46" t="str">
        <x:v>USD 100,000.</x:v>
      </x:c>
      <x:c r="F2021" s="46" t="str">
        <x:v>200% | 200%</x:v>
      </x:c>
      <x:c r="G2021" s="46" t="str">
        <x:v>L2023-00070-2/붙임4. (관련규정) KOICA Regulations/5. Standard of Prequalification Criteria.pdf</x:v>
      </x:c>
      <x:c r="H2021" s="43" t="str">
        <x:v>페이지 16</x:v>
      </x:c>
      <x:c r="I2021" s="46" t="str">
        <x:v>입찰참가자격 사전심사 기준 STANDARD OF PREQUALIFICATION CRITERIA of contracts for each tender. (e.g.) The debt ratio shall be not more than 200%, or the current ratio shall be at least 200%. 3) The capabilities to mobilize at least a certain amount of cash may be assessed based on the average balance in the relevant company's accounts in its principal transaction bank, cash reserves as at a certain time (e.g. as at the date of public notice for the tender), etc., and detailed eligibility criteria (period of owning the balance, the average balance, cash reserves, etc.) shall be set up by the official in charge of contracts for each tender. (e.g.) The cash reserves in its accounts of the principal transaction bank as of the base date for examination (date of public notice for the tender) shall be at least USD100,000. * In cases of joint implementation, only the representative may be examined. ② Average annual construction performance 1) Depending on tenders, the period for construction performance may be determined by the official in charge of contracts, but he/she shall be careful not to set an unduly short period as such period (A period of at least five years is desirable). 2) Depending on te</x:v>
      </x:c>
      <x:c r="J2021" s="43" t="str">
        <x:v>자동추출·검토필요</x:v>
      </x:c>
    </x:row>
    <x:row r="2022">
      <x:c r="A2022" s="43" t="str">
        <x:v>L2023-00070-1</x:v>
      </x:c>
      <x:c r="B2022" s="43" t="str">
        <x:v>부가세·예비비</x:v>
      </x:c>
      <x:c r="C2022" s="46" t="str">
        <x:v>vat</x:v>
      </x:c>
      <x:c r="D2022" s="46" t="str"/>
      <x:c r="E2022" s="46" t="str">
        <x:v>USD 175,786</x:v>
      </x:c>
      <x:c r="F2022" s="46" t="str">
        <x:v>13%</x:v>
      </x:c>
      <x:c r="G2022" s="46" t="str">
        <x:v>L2023-00070-1/1-1. (본부확인본) (입찰설명서) 라파즈주임상병리검사실 설계용역 입찰설명서.hwp</x:v>
      </x:c>
      <x:c r="H2022" s="43" t="str">
        <x:v>문단 72</x:v>
      </x:c>
      <x:c r="I2022" s="46" t="str">
        <x:v>다. 입찰한도액 : USD 175,786 (VAT 13% 포함)湯湷  (부가세 등 제비용 포함)</x:v>
      </x:c>
      <x:c r="J2022" s="43" t="str">
        <x:v>자동추출·검토필요</x:v>
      </x:c>
    </x:row>
    <x:row r="2023">
      <x:c r="A2023" s="43" t="str">
        <x:v>L2023-00070-1</x:v>
      </x:c>
      <x:c r="B2023" s="43" t="str">
        <x:v>부가세·예비비</x:v>
      </x:c>
      <x:c r="C2023" s="46" t="str">
        <x:v>vat</x:v>
      </x:c>
      <x:c r="D2023" s="46" t="str"/>
      <x:c r="E2023" s="46" t="str">
        <x:v>USD 175,786</x:v>
      </x:c>
      <x:c r="F2023" s="46" t="str">
        <x:v>13%</x:v>
      </x:c>
      <x:c r="G2023" s="46" t="str">
        <x:v>L2023-00070-1/1-2. (클린버전) (입찰설명서) 라파즈주임상병리검사실 설계용역 입찰설명서.hwp</x:v>
      </x:c>
      <x:c r="H2023" s="43" t="str">
        <x:v>문단 72</x:v>
      </x:c>
      <x:c r="I2023" s="46" t="str">
        <x:v>다. 입찰한도액 : USD 175,786 (VAT 13% 포함)湯湷  (부가세 등 제비용 포함)</x:v>
      </x:c>
      <x:c r="J2023" s="43" t="str">
        <x:v>자동추출·검토필요</x:v>
      </x:c>
    </x:row>
    <x:row r="2024">
      <x:c r="A2024" s="43" t="str">
        <x:v>L2023-00070-1</x:v>
      </x:c>
      <x:c r="B2024" s="43" t="str">
        <x:v>부가세·예비비</x:v>
      </x:c>
      <x:c r="C2024" s="46" t="str">
        <x:v>vat, tax</x:v>
      </x:c>
      <x:c r="D2024" s="46" t="str"/>
      <x:c r="E2024" s="46" t="str">
        <x:v>USD 176,786</x:v>
      </x:c>
      <x:c r="F2024" s="46" t="str">
        <x:v>13%</x:v>
      </x:c>
      <x:c r="G2024" s="46" t="str">
        <x:v>L2023-00070-1/2. (입찰서류-영문) LDRL-설계입찰/2. (입찰서류-영문) LDRL-설계입찰/2. Bid Data Sheet (BDS)_LDRL_수정.docx</x:v>
      </x:c>
      <x:c r="H2024" s="43" t="str">
        <x:v>문단 41</x:v>
      </x:c>
      <x:c r="I2024" s="46" t="str">
        <x:v>Maximum Bidding Price : USD 176,786 (VAT 13% included) (All taxes and costs included)</x:v>
      </x:c>
      <x:c r="J2024" s="43" t="str">
        <x:v>자동추출·검토필요</x:v>
      </x:c>
    </x:row>
    <x:row r="2025">
      <x:c r="A2025" s="43" t="str">
        <x:v>L2023-00070-1</x:v>
      </x:c>
      <x:c r="B2025" s="43" t="str">
        <x:v>부가세·예비비</x:v>
      </x:c>
      <x:c r="C2025" s="46" t="str">
        <x:v>contingency</x:v>
      </x:c>
      <x:c r="D2025" s="46" t="str"/>
      <x:c r="E2025" s="46" t="str"/>
      <x:c r="F2025" s="46" t="str">
        <x:v>0.5% | 2%</x:v>
      </x:c>
      <x:c r="G2025" s="46" t="str">
        <x:v>L2023-00070-1/2. (입찰서류-영문) LDRL-설계입찰/2. (입찰서류-영문) LDRL-설계입찰/4. Terms of Reference (TOR)_LDRL_수정.docx</x:v>
      </x:c>
      <x:c r="H2025" s="43" t="str">
        <x:v>문단 124</x:v>
      </x:c>
      <x:c r="I2025" s="46" t="str">
        <x:v>BOQ shall include safety management cost (0.5% of total construction cost) and contingency (2% of total construction cost).</x:v>
      </x:c>
      <x:c r="J2025" s="43" t="str">
        <x:v>자동추출·검토필요</x:v>
      </x:c>
    </x:row>
    <x:row r="2026">
      <x:c r="A2026" s="43" t="str">
        <x:v>L2023-00070-1</x:v>
      </x:c>
      <x:c r="B2026" s="43" t="str">
        <x:v>부가세·예비비</x:v>
      </x:c>
      <x:c r="C2026" s="46" t="str">
        <x:v>vat</x:v>
      </x:c>
      <x:c r="D2026" s="46" t="str"/>
      <x:c r="E2026" s="46" t="str">
        <x:v>KRW 420 billion</x:v>
      </x:c>
      <x:c r="F2026" s="46" t="str"/>
      <x:c r="G2026" s="46" t="str">
        <x:v>L2023-00070-1/3. (관련규정) KOICA Regulations/1. Detailed Enforcement Rules of the Regulations for Procurement and Contract in Grant Aid Projects.pdf</x:v>
      </x:c>
      <x:c r="H2026" s="43" t="str">
        <x:v>페이지 61</x:v>
      </x:c>
      <x:c r="I2026"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2026" s="43" t="str">
        <x:v>자동추출·검토필요</x:v>
      </x:c>
    </x:row>
    <x:row r="2027">
      <x:c r="A2027" s="43" t="str">
        <x:v>L2023-00070-1</x:v>
      </x:c>
      <x:c r="B2027" s="43" t="str">
        <x:v>부가세·예비비</x:v>
      </x:c>
      <x:c r="C2027" s="46" t="str">
        <x:v>tax</x:v>
      </x:c>
      <x:c r="D2027" s="46" t="str"/>
      <x:c r="E2027" s="46" t="str"/>
      <x:c r="F2027" s="46" t="str">
        <x:v>50%</x:v>
      </x:c>
      <x:c r="G2027" s="46" t="str">
        <x:v>L2023-00070-1/3. (관련규정) KOICA Regulations/1. Detailed Enforcement Rules of the Regulations for Procurement and Contract in Grant Aid Projects.pdf</x:v>
      </x:c>
      <x:c r="H2027" s="43" t="str">
        <x:v>페이지 90</x:v>
      </x:c>
      <x:c r="I2027" s="46" t="str">
        <x:v>[Form 8] Public Notice of a Tender Public Notice of a Tender The Korea International Cooperation Agency (KOICA) is an affiliate of the Ministry of Foreign Affairs and Trade in charge of the Grant Aid Project. As part of an economic cooperation project with developing countries, KOICA announces the following tenders to select (procure) (name of services or goods) for this (name of a project). 1. Public notice of a tender number: 2. Matters to be placed in the tender ① Name of the tendering: ② Details: Scope of services / Details of procured goods, etc. ※Refer to the appendix for details ③ Contract period: ④ Base Amount (estimated amount): (“zero” tax rate) 3. How to tender: General competitive tendering, limited competitive tendering 4. How to determine a successful tenderer: Lowest tender below Expected Maximum Price / Contract by negotiation/ Tendering in two-step competition 5. Qualification for participating in tendering: Those who have registered as KOICA's procurement partners. However, new companies shall register as procurement partners and participate in the tendering by the deadline for registration of tenders (registration of new companies is determined after reviewing re</x:v>
      </x:c>
      <x:c r="J2027" s="43" t="str">
        <x:v>자동추출·검토필요</x:v>
      </x:c>
    </x:row>
    <x:row r="2028">
      <x:c r="A2028" s="43" t="str">
        <x:v>L2023-00070-1</x:v>
      </x:c>
      <x:c r="B2028" s="43" t="str">
        <x:v>부가세·예비비</x:v>
      </x:c>
      <x:c r="C2028" s="46" t="str">
        <x:v>vat</x:v>
      </x:c>
      <x:c r="D2028" s="46" t="str"/>
      <x:c r="E2028" s="46" t="str">
        <x:v>KRW 10 billion</x:v>
      </x:c>
      <x:c r="F2028" s="46" t="str"/>
      <x:c r="G2028" s="46" t="str">
        <x:v>L2023-00070-1/3. (관련규정) KOICA Regulations/1. Detailed Enforcement Rules of the Regulations for Procurement and Contract in Grant Aid Projects.pdf</x:v>
      </x:c>
      <x:c r="H2028" s="43" t="str">
        <x:v>페이지 94</x:v>
      </x:c>
      <x:c r="I2028" s="46" t="str">
        <x:v>Company Phone Number Company Name of No. Registration Participants Signature Name Representative Fax Number Number 1 2 3 4 5 Each of the above participants confirmed that the conditions for the above tendering have been amended as described above during at the time of the tendering presentation session; and each affirms that he/she fully understands the details of tendering-related matters such as instructions to tenderers, a request for proposal, and specifications are fully understood. Korea International Cooperation Agency [Form 12] Tender (Negotiation) Documents &lt;Amended on Jul. 20, 2017, Feb. 28, 2018&gt; Tender (Negotiation) Documents To Korea International Cooperation Agency Tender (Negotiation) Date and Time: . . . : I submit tender documents based upon the (international) construction, ((international) purchase of goods, (international) services)) tender instructions for the goods, construction, and service pursuant to the Detailed Enforcement Rules of the Regulations for Procurement and Contract in Grant Aid Projects with Public Notice of a Tender Number__. If this tender is accepted by your institution, I submit a tender proposal, affirming that the construction (goods, ser</x:v>
      </x:c>
      <x:c r="J2028" s="43" t="str">
        <x:v>자동추출·검토필요</x:v>
      </x:c>
    </x:row>
    <x:row r="2029">
      <x:c r="A2029" s="43" t="str">
        <x:v>L2023-00070-1</x:v>
      </x:c>
      <x:c r="B2029" s="43" t="str">
        <x:v>부가세·예비비</x:v>
      </x:c>
      <x:c r="C2029" s="46" t="str">
        <x:v>vat</x:v>
      </x:c>
      <x:c r="D2029" s="46" t="str"/>
      <x:c r="E2029" s="46" t="str">
        <x:v>KRW 2 billion</x:v>
      </x:c>
      <x:c r="F2029" s="46" t="str"/>
      <x:c r="G2029" s="46" t="str">
        <x:v>L2023-00070-1/3. (관련규정) KOICA Regulations/2. Guidelines for Technical Evaluation.pdf</x:v>
      </x:c>
      <x:c r="H2029" s="43" t="str">
        <x:v>페이지 13</x:v>
      </x:c>
      <x:c r="I2029"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2029" s="43" t="str">
        <x:v>자동추출·검토필요</x:v>
      </x:c>
    </x:row>
    <x:row r="2030">
      <x:c r="A2030" s="43" t="str">
        <x:v>L2023-00070-1</x:v>
      </x:c>
      <x:c r="B2030" s="43" t="str">
        <x:v>부가세·예비비</x:v>
      </x:c>
      <x:c r="C2030" s="46" t="str">
        <x:v>vat</x:v>
      </x:c>
      <x:c r="D2030" s="46" t="str"/>
      <x:c r="E2030" s="46" t="str">
        <x:v>KRW 2 billion</x:v>
      </x:c>
      <x:c r="F2030" s="46" t="str"/>
      <x:c r="G2030" s="46" t="str">
        <x:v>L2023-00070-1/3. (관련규정) KOICA Regulations/2. Guidelines for Technical Evaluation.pdf</x:v>
      </x:c>
      <x:c r="H2030" s="43" t="str">
        <x:v>페이지 33</x:v>
      </x:c>
      <x:c r="I2030"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2030" s="43" t="str">
        <x:v>자동추출·검토필요</x:v>
      </x:c>
    </x:row>
    <x:row r="2031">
      <x:c r="A2031" s="43" t="str">
        <x:v>L2023-00070-1</x:v>
      </x:c>
      <x:c r="B2031" s="43" t="str">
        <x:v>부가세·예비비</x:v>
      </x:c>
      <x:c r="C2031" s="46" t="str">
        <x:v>vat</x:v>
      </x:c>
      <x:c r="D2031" s="46" t="str"/>
      <x:c r="E2031" s="46" t="str"/>
      <x:c r="F2031" s="46" t="str">
        <x:v>20% | 20% | 20% | 20% | 20%</x:v>
      </x:c>
      <x:c r="G2031" s="46" t="str">
        <x:v>L2023-00070-1/3. (관련규정) KOICA Regulations/2. Guidelines for Technical Evaluation.pdf</x:v>
      </x:c>
      <x:c r="H2031" s="43" t="str">
        <x:v>페이지 41</x:v>
      </x:c>
      <x:c r="I2031" s="46" t="str">
        <x:v>[Table 4] Evaluation Table for Adding or Deducting Points &lt;Amended on Apr. 29, 2020&gt; Evaluation Table for Adding or Deducting Points Category Item and Ground Points A. Companies with no contracting track record with KOICA (if the 0.5 investment share rate or share ratio is at least 20%) (Maximum 0.5) B. Supporting medium, small, or micro-enterprises (if the investment share rate or share ratio is at least 20%) (1) Companies that have been designated as an innovative (venture, 0.5 technological innovation, management innovation, exceptional green business) small or medium-sized business by the Minister of SMEs and Startups (or delegate) (2) Others designated as medium, small, or micro-enterprises 0.25 C. Supporting female-owned businesses and promoting gender equality in employment (if the investment share rate or share ratio is at least 20%) (1) Female-owned businesses that have been defined in the Act on 0.2 Support for Female-owned Businesses and the enforcement decree of the same Act and have been issued a confirmation letter by the Minister of SMEs and Startups (including a delegate) (2) Companies that have been designated as a company with exceptional 0.25 gender equality in e</x:v>
      </x:c>
      <x:c r="J2031" s="43" t="str">
        <x:v>자동추출·검토필요</x:v>
      </x:c>
    </x:row>
    <x:row r="2032">
      <x:c r="A2032" s="43" t="str">
        <x:v>L2023-00070-1</x:v>
      </x:c>
      <x:c r="B2032" s="43" t="str">
        <x:v>부가세·예비비</x:v>
      </x:c>
      <x:c r="C2032" s="46" t="str">
        <x:v>vat</x:v>
      </x:c>
      <x:c r="D2032" s="46" t="str"/>
      <x:c r="E2032" s="46" t="str"/>
      <x:c r="F2032" s="46" t="str">
        <x:v>20% | 20%</x:v>
      </x:c>
      <x:c r="G2032" s="46" t="str">
        <x:v>L2023-00070-1/3. (관련규정) KOICA Regulations/2. Guidelines for Technical Evaluation.pdf</x:v>
      </x:c>
      <x:c r="H2032" s="43" t="str">
        <x:v>페이지 43</x:v>
      </x:c>
      <x:c r="I2032" s="46" t="str">
        <x:v>1. Evaluation on “A (Companies with no contracting track record with KOICA)” (a) Based upon the date of tender notice, regardless of the project type such as research service, evaluation service, fellowship program, public-private partnership program, only companies with no contracting track record are evaluated. (b) For a contracting consortium, it is evaluated only when the investment share rate (or share ratio) is at least 20%. A maximum of 0.5 points is awarded regardless of the number of members. 2. Evaluation on “B (Supporting medium, small, or micro-enterprises)” (a) Medium, small, or micro-enterprises that have been issued a confirmation letter by the Minister of SMEs and Startups (or delegate) are evaluated when all relevant documents are submitted. In this case, evaluation is limited to those falling within the validity period based on the date of public notice of the tender, but if the validity period is not determined, evaluation is limited to those received within the two years since the day before the date of public notice of the tender. (b) In the case of competition between owners of medium or small enterprises, additional points are not awarded for small and medium</x:v>
      </x:c>
      <x:c r="J2032" s="43" t="str">
        <x:v>자동추출·검토필요</x:v>
      </x:c>
    </x:row>
    <x:row r="2033">
      <x:c r="A2033" s="43" t="str">
        <x:v>L2023-00070-1</x:v>
      </x:c>
      <x:c r="B2033" s="43" t="str">
        <x:v>부가세·예비비</x:v>
      </x:c>
      <x:c r="C2033" s="46" t="str">
        <x:v>tax</x:v>
      </x:c>
      <x:c r="D2033" s="46" t="str"/>
      <x:c r="E2033" s="46" t="str"/>
      <x:c r="F2033" s="46" t="str">
        <x:v>50% | 50%</x:v>
      </x:c>
      <x:c r="G2033" s="46" t="str">
        <x:v>L2023-00070-1/3. (관련규정) KOICA Regulations/3. KOICA Regulations for International Procurement.pdf</x:v>
      </x:c>
      <x:c r="H2033" s="43" t="str">
        <x:v>페이지 4</x:v>
      </x:c>
      <x:c r="I2033" s="46" t="str">
        <x:v>Tenders and the procedures prescribed in Section II of these Regulations shall apply. However, in accordance with Article 1(2) of these Regulations, KOICA may delegate or entrust its International Procurement duties related to the relevant Project to a KOICA Trustee; provided that such delegation or entrustment is recorded in writing. (3) For International Tenders, KOICA HQ shall be the Employer and the procedures prescribed in Section III of these Regulations shall apply. (4) Use of the procurement system of a Recipient Country shall be at the discretion of KOICA and the procedures prescribed in Section IV of these Regulations shall apply. Article 5 Eligibility (1) The Employer, the Bidder, and the Contracting Party must adhere to the highest standards of ethics in connection with tenders for and contracts of International Procurement. Accordingly, (a) if a selected Bidder is found to have been fraudulent or deceitful during the competitive bid process, the Employer shall be entitled to cancel such selection; and (b) if a Bidder or a Contracting Party is found to have been fraudulent or deceitful during a separate tender process or contracting process conducted by the Employer, KO</x:v>
      </x:c>
      <x:c r="J2033" s="43" t="str">
        <x:v>자동추출·검토필요</x:v>
      </x:c>
    </x:row>
    <x:row r="2034">
      <x:c r="A2034" s="43" t="str">
        <x:v>L2023-00070-1</x:v>
      </x:c>
      <x:c r="B2034" s="43" t="str">
        <x:v>부가세·예비비</x:v>
      </x:c>
      <x:c r="C2034" s="46" t="str">
        <x:v>vat</x:v>
      </x:c>
      <x:c r="D2034" s="46" t="str"/>
      <x:c r="E2034" s="46" t="str">
        <x:v>KRW 100 million | KRW 100 million | KRW 50 million</x:v>
      </x:c>
      <x:c r="F2034" s="46" t="str"/>
      <x:c r="G2034" s="46" t="str">
        <x:v>L2023-00070-1/3. (관련규정) KOICA Regulations/4. Regulations for Procurement and Contract in Grant Aid Projects.pdf</x:v>
      </x:c>
      <x:c r="H2034" s="43" t="str">
        <x:v>페이지 15</x:v>
      </x:c>
      <x:c r="I2034" s="46" t="str">
        <x:v>works with an estimated price of KRW 100 million or less under other construction- related laws and regulations; manufacturing goods with an estimated price of KRW 100 million or less; &lt;Amended on Jan. 13, 2009&gt; 3. Contracts other than a contract for construction or manufacturing, or leases or rentals of goods, with an estimated price of KRW 50 million or less; &lt;Amended on Jan. 13, 2009&gt; 4. Products certified under Article 15 of the Industrial Standardization Act or standard products of excellent organizations under Article 25 of the same Act; &lt;Amended on Jan. 13, 2009, May 20, 2019&gt; 5. In a case of manufacture or purchase products conforming to the standards under Article 33 of the Act on the Promotion of Saving and Recycling of Resources; recycled products that have obtained quality certification pursuant to Article 17 (1) 3 of the Enforcement Decree of the Industrial Technology Innovation Promotion Act; products that have certified as eligible for the Environment Mark pursuant to Article 17 of the Environmental Technology and Industry Support Act; &lt;Amended on Jan. 13, 2009, Nov. 2, 2015, May 20, 2019&gt; 6. When manufacturing or purchasing goods designated or announced by the Minis</x:v>
      </x:c>
      <x:c r="J2034" s="43" t="str">
        <x:v>자동추출·검토필요</x:v>
      </x:c>
    </x:row>
    <x:row r="2035">
      <x:c r="A2035" s="43" t="str">
        <x:v>L2023-00070-1</x:v>
      </x:c>
      <x:c r="B2035" s="43" t="str">
        <x:v>부가세·예비비</x:v>
      </x:c>
      <x:c r="C2035" s="46" t="str">
        <x:v>reserve</x:v>
      </x:c>
      <x:c r="D2035" s="46" t="str"/>
      <x:c r="E2035" s="46" t="str">
        <x:v>USD 100,000.</x:v>
      </x:c>
      <x:c r="F2035" s="46" t="str">
        <x:v>200% | 200%</x:v>
      </x:c>
      <x:c r="G2035" s="46" t="str">
        <x:v>L2023-00070-1/3. (관련규정) KOICA Regulations/5. Standard of Prequalification Criteria.pdf</x:v>
      </x:c>
      <x:c r="H2035" s="43" t="str">
        <x:v>페이지 16</x:v>
      </x:c>
      <x:c r="I2035" s="46" t="str">
        <x:v>입찰참가자격 사전심사 기준 STANDARD OF PREQUALIFICATION CRITERIA of contracts for each tender. (e.g.) The debt ratio shall be not more than 200%, or the current ratio shall be at least 200%. 3) The capabilities to mobilize at least a certain amount of cash may be assessed based on the average balance in the relevant company's accounts in its principal transaction bank, cash reserves as at a certain time (e.g. as at the date of public notice for the tender), etc., and detailed eligibility criteria (period of owning the balance, the average balance, cash reserves, etc.) shall be set up by the official in charge of contracts for each tender. (e.g.) The cash reserves in its accounts of the principal transaction bank as of the base date for examination (date of public notice for the tender) shall be at least USD100,000. * In cases of joint implementation, only the representative may be examined. ② Average annual construction performance 1) Depending on tenders, the period for construction performance may be determined by the official in charge of contracts, but he/she shall be careful not to set an unduly short period as such period (A period of at least five years is desirable). 2) Depending on te</x:v>
      </x:c>
      <x:c r="J2035" s="43" t="str">
        <x:v>자동추출·검토필요</x:v>
      </x:c>
    </x:row>
    <x:row r="2036">
      <x:c r="A2036" s="43" t="str">
        <x:v>L2023-00068-1</x:v>
      </x:c>
      <x:c r="B2036" s="43" t="str">
        <x:v>부가세·예비비</x:v>
      </x:c>
      <x:c r="C2036" s="46" t="str">
        <x:v>vat</x:v>
      </x:c>
      <x:c r="D2036" s="46" t="str"/>
      <x:c r="E2036" s="46" t="str">
        <x:v>KRW 420 billion</x:v>
      </x:c>
      <x:c r="F2036" s="46" t="str"/>
      <x:c r="G2036" s="46" t="str">
        <x:v>L2023-00068-1/(Additional Attachments) KOICA Regulations and Guidelines for Procurement/Detailed Enforcement Rules of the Regulations for Procurement and Contract in Grant Aid Projects(대외무상협력사업에 관한 조달 및 계약규정 시행세칙)_20190503.pdf</x:v>
      </x:c>
      <x:c r="H2036" s="43" t="str">
        <x:v>페이지 61</x:v>
      </x:c>
      <x:c r="I2036"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2036" s="43" t="str">
        <x:v>자동추출·검토필요</x:v>
      </x:c>
    </x:row>
    <x:row r="2037">
      <x:c r="A2037" s="43" t="str">
        <x:v>L2023-00068-1</x:v>
      </x:c>
      <x:c r="B2037" s="43" t="str">
        <x:v>부가세·예비비</x:v>
      </x:c>
      <x:c r="C2037" s="46" t="str">
        <x:v>tax</x:v>
      </x:c>
      <x:c r="D2037" s="46" t="str"/>
      <x:c r="E2037" s="46" t="str"/>
      <x:c r="F2037" s="46" t="str">
        <x:v>50%</x:v>
      </x:c>
      <x:c r="G2037" s="46" t="str">
        <x:v>L2023-00068-1/(Additional Attachments) KOICA Regulations and Guidelines for Procurement/Detailed Enforcement Rules of the Regulations for Procurement and Contract in Grant Aid Projects(대외무상협력사업에 관한 조달 및 계약규정 시행세칙)_20190503.pdf</x:v>
      </x:c>
      <x:c r="H2037" s="43" t="str">
        <x:v>페이지 90</x:v>
      </x:c>
      <x:c r="I2037" s="46" t="str">
        <x:v>[Form 8] Public Notice of a Tender Public Notice of a Tender The Korea International Cooperation Agency (KOICA) is an affiliate of the Ministry of Foreign Affairs and Trade in charge of the Grant Aid Project. As part of an economic cooperation project with developing countries, KOICA announces the following tenders to select (procure) (name of services or goods) for this (name of a project). 1. Public notice of a tender number: 2. Matters to be placed in the tender ① Name of the tendering: ② Details: Scope of services / Details of procured goods, etc. ※Refer to the appendix for details ③ Contract period: ④ Base Amount (estimated amount): (“zero” tax rate) 3. How to tender: General competitive tendering, limited competitive tendering 4. How to determine a successful tenderer: Lowest tender below Expected Maximum Price / Contract by negotiation/ Tendering in two-step competition 5. Qualification for participating in tendering: Those who have registered as KOICA's procurement partners. However, new companies shall register as procurement partners and participate in the tendering by the deadline for registration of tenders (registration of new companies is determined after reviewing re</x:v>
      </x:c>
      <x:c r="J2037" s="43" t="str">
        <x:v>자동추출·검토필요</x:v>
      </x:c>
    </x:row>
    <x:row r="2038">
      <x:c r="A2038" s="43" t="str">
        <x:v>L2023-00068-1</x:v>
      </x:c>
      <x:c r="B2038" s="43" t="str">
        <x:v>부가세·예비비</x:v>
      </x:c>
      <x:c r="C2038" s="46" t="str">
        <x:v>vat</x:v>
      </x:c>
      <x:c r="D2038" s="46" t="str"/>
      <x:c r="E2038" s="46" t="str">
        <x:v>KRW 10 billion</x:v>
      </x:c>
      <x:c r="F2038" s="46" t="str"/>
      <x:c r="G2038" s="46" t="str">
        <x:v>L2023-00068-1/(Additional Attachments) KOICA Regulations and Guidelines for Procurement/Detailed Enforcement Rules of the Regulations for Procurement and Contract in Grant Aid Projects(대외무상협력사업에 관한 조달 및 계약규정 시행세칙)_20190503.pdf</x:v>
      </x:c>
      <x:c r="H2038" s="43" t="str">
        <x:v>페이지 94</x:v>
      </x:c>
      <x:c r="I2038" s="46" t="str">
        <x:v>Company Phone Number Company Name of No. Registration Participants Signature Name Representative Fax Number Number 1 2 3 4 5 Each of the above participants confirmed that the conditions for the above tendering have been amended as described above during at the time of the tendering presentation session; and each affirms that he/she fully understands the details of tendering-related matters such as instructions to tenderers, a request for proposal, and specifications are fully understood. Korea International Cooperation Agency [Form 12] Tender (Negotiation) Documents &lt;Amended on Jul. 20, 2017, Feb. 28, 2018&gt; Tender (Negotiation) Documents To Korea International Cooperation Agency Tender (Negotiation) Date and Time: . . . : I submit tender documents based upon the (international) construction, ((international) purchase of goods, (international) services)) tender instructions for the goods, construction, and service pursuant to the Detailed Enforcement Rules of the Regulations for Procurement and Contract in Grant Aid Projects with Public Notice of a Tender Number__. If this tender is accepted by your institution, I submit a tender proposal, affirming that the construction (goods, ser</x:v>
      </x:c>
      <x:c r="J2038" s="43" t="str">
        <x:v>자동추출·검토필요</x:v>
      </x:c>
    </x:row>
    <x:row r="2039">
      <x:c r="A2039" s="43" t="str">
        <x:v>L2023-00068-1</x:v>
      </x:c>
      <x:c r="B2039" s="43" t="str">
        <x:v>부가세·예비비</x:v>
      </x:c>
      <x:c r="C2039" s="46" t="str">
        <x:v>vat</x:v>
      </x:c>
      <x:c r="D2039" s="46" t="str"/>
      <x:c r="E2039" s="46" t="str">
        <x:v>KRW 2 billion</x:v>
      </x:c>
      <x:c r="F2039" s="46" t="str"/>
      <x:c r="G2039" s="46" t="str">
        <x:v>L2023-00068-1/(Additional Attachments) KOICA Regulations and Guidelines for Procurement/Guidelines for Technical Evaluation(기술평가지침)_20210408.pdf</x:v>
      </x:c>
      <x:c r="H2039" s="43" t="str">
        <x:v>페이지 13</x:v>
      </x:c>
      <x:c r="I2039"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2039" s="43" t="str">
        <x:v>자동추출·검토필요</x:v>
      </x:c>
    </x:row>
    <x:row r="2040">
      <x:c r="A2040" s="43" t="str">
        <x:v>L2023-00068-1</x:v>
      </x:c>
      <x:c r="B2040" s="43" t="str">
        <x:v>부가세·예비비</x:v>
      </x:c>
      <x:c r="C2040" s="46" t="str">
        <x:v>vat</x:v>
      </x:c>
      <x:c r="D2040" s="46" t="str"/>
      <x:c r="E2040" s="46" t="str">
        <x:v>KRW 2 billion</x:v>
      </x:c>
      <x:c r="F2040" s="46" t="str"/>
      <x:c r="G2040" s="46" t="str">
        <x:v>L2023-00068-1/(Additional Attachments) KOICA Regulations and Guidelines for Procurement/Guidelines for Technical Evaluation(기술평가지침)_20210408.pdf</x:v>
      </x:c>
      <x:c r="H2040" s="43" t="str">
        <x:v>페이지 33</x:v>
      </x:c>
      <x:c r="I2040"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2040" s="43" t="str">
        <x:v>자동추출·검토필요</x:v>
      </x:c>
    </x:row>
    <x:row r="2041">
      <x:c r="A2041" s="43" t="str">
        <x:v>L2023-00068-1</x:v>
      </x:c>
      <x:c r="B2041" s="43" t="str">
        <x:v>부가세·예비비</x:v>
      </x:c>
      <x:c r="C2041" s="46" t="str">
        <x:v>vat</x:v>
      </x:c>
      <x:c r="D2041" s="46" t="str"/>
      <x:c r="E2041" s="46" t="str"/>
      <x:c r="F2041" s="46" t="str">
        <x:v>20% | 20% | 20% | 20% | 20%</x:v>
      </x:c>
      <x:c r="G2041" s="46" t="str">
        <x:v>L2023-00068-1/(Additional Attachments) KOICA Regulations and Guidelines for Procurement/Guidelines for Technical Evaluation(기술평가지침)_20210408.pdf</x:v>
      </x:c>
      <x:c r="H2041" s="43" t="str">
        <x:v>페이지 41</x:v>
      </x:c>
      <x:c r="I2041" s="46" t="str">
        <x:v>[Table 4] Evaluation Table for Adding or Deducting Points &lt;Amended on Apr. 29, 2020&gt; Evaluation Table for Adding or Deducting Points Category Item and Ground Points A. Companies with no contracting track record with KOICA (if the 0.5 investment share rate or share ratio is at least 20%) (Maximum 0.5) B. Supporting medium, small, or micro-enterprises (if the investment share rate or share ratio is at least 20%) (1) Companies that have been designated as an innovative (venture, 0.5 technological innovation, management innovation, exceptional green business) small or medium-sized business by the Minister of SMEs and Startups (or delegate) (2) Others designated as medium, small, or micro-enterprises 0.25 C. Supporting female-owned businesses and promoting gender equality in employment (if the investment share rate or share ratio is at least 20%) (1) Female-owned businesses that have been defined in the Act on 0.2 Support for Female-owned Businesses and the enforcement decree of the same Act and have been issued a confirmation letter by the Minister of SMEs and Startups (including a delegate) (2) Companies that have been designated as a company with exceptional 0.25 gender equality in e</x:v>
      </x:c>
      <x:c r="J2041" s="43" t="str">
        <x:v>자동추출·검토필요</x:v>
      </x:c>
    </x:row>
    <x:row r="2042">
      <x:c r="A2042" s="43" t="str">
        <x:v>L2023-00068-1</x:v>
      </x:c>
      <x:c r="B2042" s="43" t="str">
        <x:v>부가세·예비비</x:v>
      </x:c>
      <x:c r="C2042" s="46" t="str">
        <x:v>vat</x:v>
      </x:c>
      <x:c r="D2042" s="46" t="str"/>
      <x:c r="E2042" s="46" t="str"/>
      <x:c r="F2042" s="46" t="str">
        <x:v>20% | 20%</x:v>
      </x:c>
      <x:c r="G2042" s="46" t="str">
        <x:v>L2023-00068-1/(Additional Attachments) KOICA Regulations and Guidelines for Procurement/Guidelines for Technical Evaluation(기술평가지침)_20210408.pdf</x:v>
      </x:c>
      <x:c r="H2042" s="43" t="str">
        <x:v>페이지 43</x:v>
      </x:c>
      <x:c r="I2042" s="46" t="str">
        <x:v>1. Evaluation on “A (Companies with no contracting track record with KOICA)” (a) Based upon the date of tender notice, regardless of the project type such as research service, evaluation service, fellowship program, public-private partnership program, only companies with no contracting track record are evaluated. (b) For a contracting consortium, it is evaluated only when the investment share rate (or share ratio) is at least 20%. A maximum of 0.5 points is awarded regardless of the number of members. 2. Evaluation on “B (Supporting medium, small, or micro-enterprises)” (a) Medium, small, or micro-enterprises that have been issued a confirmation letter by the Minister of SMEs and Startups (or delegate) are evaluated when all relevant documents are submitted. In this case, evaluation is limited to those falling within the validity period based on the date of public notice of the tender, but if the validity period is not determined, evaluation is limited to those received within the two years since the day before the date of public notice of the tender. (b) In the case of competition between owners of medium or small enterprises, additional points are not awarded for small and medium</x:v>
      </x:c>
      <x:c r="J2042" s="43" t="str">
        <x:v>자동추출·검토필요</x:v>
      </x:c>
    </x:row>
    <x:row r="2043">
      <x:c r="A2043" s="43" t="str">
        <x:v>L2023-00068-1</x:v>
      </x:c>
      <x:c r="B2043" s="43" t="str">
        <x:v>부가세·예비비</x:v>
      </x:c>
      <x:c r="C2043" s="46" t="str">
        <x:v>tax</x:v>
      </x:c>
      <x:c r="D2043" s="46" t="str"/>
      <x:c r="E2043" s="46" t="str"/>
      <x:c r="F2043" s="46" t="str">
        <x:v>50% | 50%</x:v>
      </x:c>
      <x:c r="G2043" s="46" t="str">
        <x:v>L2023-00068-1/(Additional Attachments) KOICA Regulations and Guidelines for Procurement/KOICA Regulations for International Procurement(국제조달규정)_20190304.pdf</x:v>
      </x:c>
      <x:c r="H2043" s="43" t="str">
        <x:v>페이지 4</x:v>
      </x:c>
      <x:c r="I2043" s="46" t="str">
        <x:v>Tenders and the procedures prescribed in Section II of these Regulations shall apply. However, in accordance with Article 1(2) of these Regulations, KOICA may delegate or entrust its International Procurement duties related to the relevant Project to a KOICA Trustee; provided that such delegation or entrustment is recorded in writing. (3) For International Tenders, KOICA HQ shall be the Employer and the procedures prescribed in Section III of these Regulations shall apply. (4) Use of the procurement system of a Recipient Country shall be at the discretion of KOICA and the procedures prescribed in Section IV of these Regulations shall apply. Article 5 Eligibility (1) The Employer, the Bidder, and the Contracting Party must adhere to the highest standards of ethics in connection with tenders for and contracts of International Procurement. Accordingly, (a) if a selected Bidder is found to have been fraudulent or deceitful during the competitive bid process, the Employer shall be entitled to cancel such selection; and (b) if a Bidder or a Contracting Party is found to have been fraudulent or deceitful during a separate tender process or contracting process conducted by the Employer, KO</x:v>
      </x:c>
      <x:c r="J2043" s="43" t="str">
        <x:v>자동추출·검토필요</x:v>
      </x:c>
    </x:row>
    <x:row r="2044">
      <x:c r="A2044" s="43" t="str">
        <x:v>L2023-00068-1</x:v>
      </x:c>
      <x:c r="B2044" s="43" t="str">
        <x:v>부가세·예비비</x:v>
      </x:c>
      <x:c r="C2044" s="46" t="str">
        <x:v>vat</x:v>
      </x:c>
      <x:c r="D2044" s="46" t="str"/>
      <x:c r="E2044" s="46" t="str">
        <x:v>KRW 100 million | KRW 100 million | KRW 50 million</x:v>
      </x:c>
      <x:c r="F2044" s="46" t="str"/>
      <x:c r="G2044" s="46" t="str">
        <x:v>L2023-00068-1/(Additional Attachments) KOICA Regulations and Guidelines for Procurement/Regulations for Procurement and Contract in Grant Aid Projects(대외무상협력사업에 관한 조달 및 계약규정)_20190520.pdf</x:v>
      </x:c>
      <x:c r="H2044" s="43" t="str">
        <x:v>페이지 15</x:v>
      </x:c>
      <x:c r="I2044" s="46" t="str">
        <x:v>works with an estimated price of KRW 100 million or less under other construction- related laws and regulations; manufacturing goods with an estimated price of KRW 100 million or less; &lt;Amended on Jan. 13, 2009&gt; 3. Contracts other than a contract for construction or manufacturing, or leases or rentals of goods, with an estimated price of KRW 50 million or less; &lt;Amended on Jan. 13, 2009&gt; 4. Products certified under Article 15 of the Industrial Standardization Act or standard products of excellent organizations under Article 25 of the same Act; &lt;Amended on Jan. 13, 2009, May 20, 2019&gt; 5. In a case of manufacture or purchase products conforming to the standards under Article 33 of the Act on the Promotion of Saving and Recycling of Resources; recycled products that have obtained quality certification pursuant to Article 17 (1) 3 of the Enforcement Decree of the Industrial Technology Innovation Promotion Act; products that have certified as eligible for the Environment Mark pursuant to Article 17 of the Environmental Technology and Industry Support Act; &lt;Amended on Jan. 13, 2009, Nov. 2, 2015, May 20, 2019&gt; 6. When manufacturing or purchasing goods designated or announced by the Minis</x:v>
      </x:c>
      <x:c r="J2044" s="43" t="str">
        <x:v>자동추출·검토필요</x:v>
      </x:c>
    </x:row>
    <x:row r="2045">
      <x:c r="A2045" s="43" t="str">
        <x:v>L2023-00068-1</x:v>
      </x:c>
      <x:c r="B2045" s="43" t="str">
        <x:v>부가세·예비비</x:v>
      </x:c>
      <x:c r="C2045" s="46" t="str">
        <x:v>reserve</x:v>
      </x:c>
      <x:c r="D2045" s="46" t="str"/>
      <x:c r="E2045" s="46" t="str">
        <x:v>USD 100,000.</x:v>
      </x:c>
      <x:c r="F2045" s="46" t="str">
        <x:v>200% | 200%</x:v>
      </x:c>
      <x:c r="G2045" s="46" t="str">
        <x:v>L2023-00068-1/(Additional Attachments) KOICA Regulations and Guidelines for Procurement/Standard of Prequalification Criteria(입찰참가자격사전심사기준)_20130116.pdf</x:v>
      </x:c>
      <x:c r="H2045" s="43" t="str">
        <x:v>페이지 16</x:v>
      </x:c>
      <x:c r="I2045" s="46" t="str">
        <x:v>입찰참가자격 사전심사 기준 STANDARD OF PREQUALIFICATION CRITERIA of contracts for each tender. (e.g.) The debt ratio shall be not more than 200%, or the current ratio shall be at least 200%. 3) The capabilities to mobilize at least a certain amount of cash may be assessed based on the average balance in the relevant company's accounts in its principal transaction bank, cash reserves as at a certain time (e.g. as at the date of public notice for the tender), etc., and detailed eligibility criteria (period of owning the balance, the average balance, cash reserves, etc.) shall be set up by the official in charge of contracts for each tender. (e.g.) The cash reserves in its accounts of the principal transaction bank as of the base date for examination (date of public notice for the tender) shall be at least USD100,000. * In cases of joint implementation, only the representative may be examined. ② Average annual construction performance 1) Depending on tenders, the period for construction performance may be determined by the official in charge of contracts, but he/she shall be careful not to set an unduly short period as such period (A period of at least five years is desirable). 2) Depending on te</x:v>
      </x:c>
      <x:c r="J2045" s="43" t="str">
        <x:v>자동추출·검토필요</x:v>
      </x:c>
    </x:row>
    <x:row r="2046">
      <x:c r="A2046" s="43" t="str">
        <x:v>L2023-00068-1</x:v>
      </x:c>
      <x:c r="B2046" s="43" t="str">
        <x:v>부가세·예비비</x:v>
      </x:c>
      <x:c r="C2046" s="46" t="str">
        <x:v>vat, tax</x:v>
      </x:c>
      <x:c r="D2046" s="46" t="str"/>
      <x:c r="E2046" s="46" t="str">
        <x:v>USD 235,000</x:v>
      </x:c>
      <x:c r="F2046" s="46" t="str">
        <x:v>87.745%</x:v>
      </x:c>
      <x:c r="G2046" s="46" t="str">
        <x:v>L2023-00068-1/붙임2. Notice of Bid (Draft).doc</x:v>
      </x:c>
      <x:c r="H2046" s="43" t="str">
        <x:v>문단 4</x:v>
      </x:c>
      <x:c r="I2046" s="46" t="str">
        <x:v>Description of Project - Bid Title: The Renovation Works of the Project for the Establishment of Preah Angduong Eye Hospital in Phnom Penh, Cambodia - Summary of Construction: The Renovation Works Preah Angduong Eye Hospital - Duration: 4 Months from the effective date - Site: No. 118, Corner Norodom Blvd (41) and Kro Muon Sor (114), Phnom Penh, Cambodia - Base Price: USD 235,000 (Be inclusive of VAT and other applicable indirect taxes) ① Employer: Korea International Cooperation Agency (KOICA) Cambodia Office ② Bid Type: International Bidding, Open Competitive Bidding ③ Selection of the Successful Bidder: Post-qualification - Based upon bid prices which shall be below the Estimated Price, but above the floor price of 87.745% of the Estimated Price, the Qualification Examination will be conducted. - Selection as successful bidder is determined, when the overall grade is higher than 95 points (the passing grade). - Qualification examination will be conducted in accordance with the 「Standards of Qualification Examination for Selection of Constructor」. ④ Pre-Bid meeting (24.Nov. 2023 15:00) ⑤ Q&amp;A (21~30.Nov.2023) ⑥ Application for bidding(30.Nov.2023, 15:00) ⑦ Submission Deadline (19.</x:v>
      </x:c>
      <x:c r="J2046" s="43" t="str">
        <x:v>자동추출·검토필요</x:v>
      </x:c>
    </x:row>
    <x:row r="2047">
      <x:c r="A2047" s="43" t="str">
        <x:v>L2023-00068-1</x:v>
      </x:c>
      <x:c r="B2047" s="43" t="str">
        <x:v>부가세·예비비</x:v>
      </x:c>
      <x:c r="C2047" s="46" t="str">
        <x:v>tax</x:v>
      </x:c>
      <x:c r="D2047" s="46" t="str"/>
      <x:c r="E2047" s="46" t="str">
        <x:v>USD 200,000</x:v>
      </x:c>
      <x:c r="F2047" s="46" t="str"/>
      <x:c r="G2047" s="46" t="str">
        <x:v>L2023-00068-1/붙임2. Notice of Bid (Draft).doc</x:v>
      </x:c>
      <x:c r="H2047" s="43" t="str">
        <x:v>문단 5</x:v>
      </x:c>
      <x:c r="I2047" s="46" t="str">
        <x:v>2. Bidders’ Qualifications ① Have submitted a bid application on or before the Application Submission Deadline. ② Must be a legally registered company. - Have a valid registration (or a Construction License) to perform construction works in Cambodia. (All submitted documents must be notarized). - Enterprise Registration License - TAX Payment Certificate / Year 2022 -Business License for Construction (As of the tender announcement date) ③ Past performance - Must have performed at least one (1) similar project valued at not less than USD 200,000 in the past ten years.</x:v>
      </x:c>
      <x:c r="J2047" s="43" t="str">
        <x:v>자동추출·검토필요</x:v>
      </x:c>
    </x:row>
    <x:row r="2048">
      <x:c r="A2048" s="43" t="str">
        <x:v>L2023-00068-1</x:v>
      </x:c>
      <x:c r="B2048" s="43" t="str">
        <x:v>부가세·예비비</x:v>
      </x:c>
      <x:c r="C2048" s="46" t="str">
        <x:v>tax</x:v>
      </x:c>
      <x:c r="D2048" s="46" t="str"/>
      <x:c r="E2048" s="46" t="str">
        <x:v>USD 200,000</x:v>
      </x:c>
      <x:c r="F2048" s="46" t="str"/>
      <x:c r="G2048" s="46" t="str">
        <x:v>L2023-00068-1/붙임2. Notice of Bid (Draft).doc</x:v>
      </x:c>
      <x:c r="H2048" s="43" t="str">
        <x:v>문단 6</x:v>
      </x:c>
      <x:c r="I2048" s="46" t="str">
        <x:v>3. Application for bidding ① A duly completed bid application form (in the prescribed form) ② Power of Attorney: Authorization Letter to represent the bidder ③ Enterprise Registration License ④ TAX Payment Certificate / Year 2022 ⑤ Business License for Construction (As of the tender announcement date) ⑥ Performance Certificate of one (1) similar project of not less than USD 200,000 in the past ten years.</x:v>
      </x:c>
      <x:c r="J2048" s="43" t="str">
        <x:v>자동추출·검토필요</x:v>
      </x:c>
    </x:row>
    <x:row r="2049">
      <x:c r="A2049" s="43" t="str">
        <x:v>L2023-00068-1</x:v>
      </x:c>
      <x:c r="B2049" s="43" t="str">
        <x:v>부가세·예비비</x:v>
      </x:c>
      <x:c r="C2049" s="46" t="str">
        <x:v>vat, tax</x:v>
      </x:c>
      <x:c r="D2049" s="46" t="str"/>
      <x:c r="E2049" s="46" t="str">
        <x:v>USD 239,882 | USD 239,882</x:v>
      </x:c>
      <x:c r="F2049" s="46" t="str"/>
      <x:c r="G2049" s="46" t="str">
        <x:v>L2023-00068-1/입찰공고 관련서류 최종본/Section 2 - Bid Data Sheet (BDS).docx</x:v>
      </x:c>
      <x:c r="H2049" s="43" t="str">
        <x:v>표 5 행 14</x:v>
      </x:c>
      <x:c r="I2049" s="46" t="str">
        <x:v>․ Project Budget | USD 239,882 (Be inclusive of VAT and other applicable indirect taxes) | USD 239,882 (Be inclusive of VAT and other applicable indirect taxes)</x:v>
      </x:c>
      <x:c r="J2049" s="43" t="str">
        <x:v>자동추출·검토필요</x:v>
      </x:c>
    </x:row>
    <x:row r="2050">
      <x:c r="A2050" s="43" t="str">
        <x:v>L2023-00068-1</x:v>
      </x:c>
      <x:c r="B2050" s="43" t="str">
        <x:v>부가세·예비비</x:v>
      </x:c>
      <x:c r="C2050" s="46" t="str">
        <x:v>vat, tax</x:v>
      </x:c>
      <x:c r="D2050" s="46" t="str"/>
      <x:c r="E2050" s="46" t="str">
        <x:v>USD 235,000 | USD 235,000</x:v>
      </x:c>
      <x:c r="F2050" s="46" t="str"/>
      <x:c r="G2050" s="46" t="str">
        <x:v>L2023-00068-1/입찰공고 관련서류 최종본/Section 2 - Bid Data Sheet (BDS).docx</x:v>
      </x:c>
      <x:c r="H2050" s="43" t="str">
        <x:v>표 5 행 15</x:v>
      </x:c>
      <x:c r="I2050" s="46" t="str">
        <x:v>․ Base Price | USD 235,000 (Be inclusive of VAT and other applicable indirect taxes) | USD 235,000 (Be inclusive of VAT and other applicable indirect taxes)</x:v>
      </x:c>
      <x:c r="J2050" s="43" t="str">
        <x:v>자동추출·검토필요</x:v>
      </x:c>
    </x:row>
    <x:row r="2051">
      <x:c r="A2051" s="43" t="str">
        <x:v>L2023-00068-1</x:v>
      </x:c>
      <x:c r="B2051" s="43" t="str">
        <x:v>부가세·예비비</x:v>
      </x:c>
      <x:c r="C2051" s="46" t="str">
        <x:v>tax</x:v>
      </x:c>
      <x:c r="D2051" s="46" t="str"/>
      <x:c r="E2051" s="46" t="str">
        <x:v>USD 200,000</x:v>
      </x:c>
      <x:c r="F2051" s="46" t="str"/>
      <x:c r="G2051" s="46" t="str">
        <x:v>L2023-00068-1/입찰공고 관련서류 최종본/Section 2 - Bid Data Sheet (BDS).docx</x:v>
      </x:c>
      <x:c r="H2051" s="43" t="str">
        <x:v>표 7 행 5</x:v>
      </x:c>
      <x:c r="I2051" s="46" t="str">
        <x:v>④ one set of documents evidencing the applicant’s eligibility to participate in the Bid - Enterprise Registration License - TAX Payment Certificate / Year 2022 - Business License for Construction (As of the tender announcement date) - Performance Certificate of similar project (valued at not less than USD 200,000) in the past ten years.</x:v>
      </x:c>
      <x:c r="J2051" s="43" t="str">
        <x:v>자동추출·검토필요</x:v>
      </x:c>
    </x:row>
    <x:row r="2052">
      <x:c r="A2052" s="43" t="str">
        <x:v>L2023-00068-1</x:v>
      </x:c>
      <x:c r="B2052" s="43" t="str">
        <x:v>부가세·예비비</x:v>
      </x:c>
      <x:c r="C2052" s="46" t="str">
        <x:v>vat</x:v>
      </x:c>
      <x:c r="D2052" s="46" t="str"/>
      <x:c r="E2052" s="46" t="str">
        <x:v>USD 239,882 | USD 200,000</x:v>
      </x:c>
      <x:c r="F2052" s="46" t="str">
        <x:v>75% | 65% | 55% | 45% | 30% | 30%</x:v>
      </x:c>
      <x:c r="G2052" s="46" t="str">
        <x:v>L2023-00068-1/입찰공고 관련서류 최종본/Section 2 - Bid Data Sheet (BDS).docx</x:v>
      </x:c>
      <x:c r="H2052" s="43" t="str">
        <x:v>표 8 행 2</x:v>
      </x:c>
      <x:c r="I2052" s="46" t="str">
        <x:v>Records of performance of the similar projects as the project concerned in the past ten years | (Total amount of records of performance of the similar projects as the project concerned in the past ten years / Evaluation Base Price) × 100 * scored on a percentage basis and given the corresponding Grade A: above 75%: 10.0 B: above 65%: 9.2 C: above 55%: 8.4 D: above 45%: 7.6 E: above 30%: 6.6 F: under 30%: 5.5 | similar work: new building construction works or building renovation Works Evaluation Base Price: USD239,882 Minimum price that recognizes construction performance: USD200,000</x:v>
      </x:c>
      <x:c r="J2052" s="43" t="str">
        <x:v>자동추출·검토필요</x:v>
      </x:c>
    </x:row>
    <x:row r="2053">
      <x:c r="A2053" s="43" t="str">
        <x:v>L2023-00068-1</x:v>
      </x:c>
      <x:c r="B2053" s="43" t="str">
        <x:v>부가세·예비비</x:v>
      </x:c>
      <x:c r="C2053" s="46" t="str">
        <x:v>reserve</x:v>
      </x:c>
      <x:c r="D2053" s="46" t="str"/>
      <x:c r="E2053" s="46" t="str"/>
      <x:c r="F2053" s="46" t="str">
        <x:v>0.5%</x:v>
      </x:c>
      <x:c r="G2053" s="46" t="str">
        <x:v>L2023-00068-1/입찰공고 관련서류 최종본/Section 7 - General Conditions of Contract.docx</x:v>
      </x:c>
      <x:c r="H2053" s="43" t="str">
        <x:v>표 4 행 109</x:v>
      </x:c>
      <x:c r="I2053"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2053" s="43" t="str">
        <x:v>자동추출·검토필요</x:v>
      </x:c>
    </x:row>
    <x:row r="2054">
      <x:c r="A2054" s="43" t="str">
        <x:v>L2023-00068-1</x:v>
      </x:c>
      <x:c r="B2054" s="43" t="str">
        <x:v>부가세·예비비</x:v>
      </x:c>
      <x:c r="C2054" s="46" t="str">
        <x:v>reserve</x:v>
      </x:c>
      <x:c r="D2054" s="46" t="str"/>
      <x:c r="E2054" s="46" t="str"/>
      <x:c r="F2054" s="46" t="str">
        <x:v>50% | 50%</x:v>
      </x:c>
      <x:c r="G2054" s="46" t="str">
        <x:v>L2023-00068-1/입찰공고 관련서류 최종본/Section 7 - General Conditions of Contract.docx</x:v>
      </x:c>
      <x:c r="H2054" s="43" t="str">
        <x:v>표 12 행 61</x:v>
      </x:c>
      <x:c r="I2054"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054" s="43" t="str">
        <x:v>자동추출·검토필요</x:v>
      </x:c>
    </x:row>
    <x:row r="2055">
      <x:c r="A2055" s="43" t="str">
        <x:v>L2023-00068-1</x:v>
      </x:c>
      <x:c r="B2055" s="43" t="str">
        <x:v>부가세·예비비</x:v>
      </x:c>
      <x:c r="C2055" s="46" t="str">
        <x:v>contingency</x:v>
      </x:c>
      <x:c r="D2055" s="46" t="str"/>
      <x:c r="E2055" s="46" t="str"/>
      <x:c r="F2055" s="46" t="str">
        <x:v>0.5%</x:v>
      </x:c>
      <x:c r="G2055" s="46" t="str">
        <x:v>L2023-00068-1/입찰공고 관련서류 최종본/Section 8- Annex 10. KOICA Safety Management Manual(ENG).pdf</x:v>
      </x:c>
      <x:c r="H2055" s="43" t="str">
        <x:v>페이지 14</x:v>
      </x:c>
      <x:c r="I2055" s="46" t="str">
        <x:v>4.1.3 KOICA should check that the bill of quantity (BoQ) consists of safety management costs (0.5% or more of the total construction costs, excluding non- contingency) as separate items. 5. Construction Procurement and Contracting 5.1 Provision of Information on Preparing Safety Management Plans 5.1.1 KOICA shall provide the following information for the contractor to formulate a safety management plan that reflects the distinctive features of the site conditions and the final design outcome: (1) Matters regarding the existence of asbestos or harmful substances such as chemical waste within the site; (2) Matters regarding access to the worksite such as railroads and busy roads adjacent to the site; (3) Matters regarding underground facilities and groundwater flows (4) Matters regarding adjacent buildings, structures, and trees that may cause a collapse; (5) Matters regarding land subsidence that may negatively affect structure; (6) Matters regarding obstacles or advantages for the installation of facilities or equipment within the site. 5.2 Review of Safety Management Plans 5.2.1 Review of Safety Management Plans (1) As for the safety management plan formulated by the contractor, K</x:v>
      </x:c>
      <x:c r="J2055" s="43" t="str">
        <x:v>자동추출·검토필요</x:v>
      </x:c>
    </x:row>
    <x:row r="2056">
      <x:c r="A2056" s="43" t="str">
        <x:v>L2023-00068-1</x:v>
      </x:c>
      <x:c r="B2056" s="43" t="str">
        <x:v>부가세·예비비</x:v>
      </x:c>
      <x:c r="C2056" s="46" t="str">
        <x:v>reserve</x:v>
      </x:c>
      <x:c r="D2056" s="46" t="str"/>
      <x:c r="E2056" s="46" t="str"/>
      <x:c r="F2056" s="46" t="str">
        <x:v>0.5%</x:v>
      </x:c>
      <x:c r="G2056" s="46" t="str">
        <x:v>L2023-00068-1/입찰공고 관련서류 최종본/Section 8- Annex 10. KOICA Safety Management Manual(ENG).pdf</x:v>
      </x:c>
      <x:c r="H2056" s="43" t="str">
        <x:v>페이지 18</x:v>
      </x:c>
      <x:c r="I2056" s="46" t="str">
        <x:v>(1) Amount subject to safety management expenses: Amount excluding reserve funding from the total construction expenses (2) Calculation method: Amount subject to safety management expenses x 0.5% or more (2) Payment of safety management expenses: The contractor shall file a claim for payment of safety management expenses to KOICA along with a confirmation as to the proper disbursement of the safety management expenses to match the purpose prescribed under the safety management plan made by the construction manager. 6. Construction 6.1 Verifying Observance of Safety Management Plans 6.1.1 KOICA shall verify the contractor’s proper performance of the safety management plan. However, if construction project management, similar to consigned supervision, is being implemented, KOICA may allow the construction manager to verify the performance of the safety management plan and file a report on their own. 6.1.2 If there are any issues pointed out by the review of the safety management plan under the immediately preceding paragraph, KOICA shall review said issues and request the contractor make corrections, if necessary. 6.2 Verifying Disbursement of Safety Management Expenses 6.2.1 KOICA s</x:v>
      </x:c>
      <x:c r="J2056" s="43" t="str">
        <x:v>자동추출·검토필요</x:v>
      </x:c>
    </x:row>
    <x:row r="2057">
      <x:c r="A2057" s="43" t="str">
        <x:v>L2023-00068-1</x:v>
      </x:c>
      <x:c r="B2057" s="43" t="str">
        <x:v>부가세·예비비</x:v>
      </x:c>
      <x:c r="C2057" s="46" t="str">
        <x:v>vat, reserve</x:v>
      </x:c>
      <x:c r="D2057" s="46" t="str"/>
      <x:c r="E2057" s="46" t="str"/>
      <x:c r="F2057" s="46" t="str">
        <x:v>0.5%</x:v>
      </x:c>
      <x:c r="G2057" s="46" t="str">
        <x:v>L2023-00068-1/입찰공고 관련서류 최종본/Section 8- Annex 10. KOICA Safety Management Manual(ENG).pdf</x:v>
      </x:c>
      <x:c r="H2057" s="43" t="str">
        <x:v>페이지 28</x:v>
      </x:c>
      <x:c r="I2057" s="46" t="str">
        <x:v>D. Steel structure works - An overview of materials, equipment, etc.; and detailed shop drawings; - The procedures and precautions for safe construction; - A safety inspection plan and a safety inspection checklist; - A calculation sheet for the safety of steel structures. E. Earth filling and cutting works (including earth dam works) - An overview of materials, equipment, etc.; and detailed shop drawings; - The procedures and precautions for safe construction; - A safety inspection plan and a safety inspection checklist; - A calculation sheet for safety. F. Demolition works - An overview of structures to be demolished, demolition methods, etc.; and detailed shop drawings; - A plan on the order of demolition, and on facilities and measures for safety, etc. G. Mechanical and electrical works: - An overview of materials, equipment, etc.; and detailed shop drawings; - The procedures and precautions for safe construction; - A safety inspection plan and a safety inspection checklist; - A calculation sheet for safety. 1.4 Creation of Safety Management Expense Spending Plans 1.4.1 The contractor shall make a spending plan for safety management expenses by adding expenses incurred in formu</x:v>
      </x:c>
      <x:c r="J2057" s="43" t="str">
        <x:v>자동추출·검토필요</x:v>
      </x:c>
    </x:row>
    <x:row r="2058">
      <x:c r="A2058" s="43" t="str">
        <x:v>L2023-00067-1</x:v>
      </x:c>
      <x:c r="B2058" s="43" t="str">
        <x:v>부가세·예비비</x:v>
      </x:c>
      <x:c r="C2058" s="46" t="str">
        <x:v>vat, tax, reserve</x:v>
      </x:c>
      <x:c r="D2058" s="46" t="str"/>
      <x:c r="E2058" s="46" t="str">
        <x:v>USD 273,777.11 | USD 273,777.11</x:v>
      </x:c>
      <x:c r="F2058" s="46" t="str">
        <x:v>5% | 0.5 % | 2.5% | 5% | 0.5 % | 2.5%</x:v>
      </x:c>
      <x:c r="G2058" s="46" t="str">
        <x:v>L2023-00067-1/ENG Version/ENG Version/-ENG_Section 2 Bid Data Sheet.docx</x:v>
      </x:c>
      <x:c r="H2058" s="43" t="str">
        <x:v>표 3 행 14</x:v>
      </x:c>
      <x:c r="I2058" s="46" t="str">
        <x:v>- Base Price | USD 273,777.11 (Be exclusive of VAT and other applicable indirect taxes) The two(2) items below shall be added in the contract bid price which shall not be paid without Employer’s approval. The balance of the below costs shall be returned on the completion of works. * Reserve for unforeseen work and expenses (5%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USD 273,777.11 (Be exclusive of VAT and other applicable indirect taxes) The two(2) items below shall be added in the contract bid price which shall not be paid without Employer’s approval. The balance of the below costs shall be returned on the completion of works. * Reserve for unforeseen work and expenses (5% of the construction cost) *The safety management cost (0.5 % of the construction cost) ※Special Requirements for the Estimated Price; The Bidders’ Price Proposal should not ex</x:v>
      </x:c>
      <x:c r="J2058" s="43" t="str">
        <x:v>자동추출·검토필요</x:v>
      </x:c>
    </x:row>
    <x:row r="2059">
      <x:c r="A2059" s="43" t="str">
        <x:v>L2023-00067-1</x:v>
      </x:c>
      <x:c r="B2059" s="43" t="str">
        <x:v>부가세·예비비</x:v>
      </x:c>
      <x:c r="C2059" s="46" t="str">
        <x:v>reserve</x:v>
      </x:c>
      <x:c r="D2059" s="46" t="str"/>
      <x:c r="E2059" s="46" t="str"/>
      <x:c r="F2059" s="46" t="str">
        <x:v>5%</x:v>
      </x:c>
      <x:c r="G2059" s="46" t="str">
        <x:v>L2023-00067-1/ENG Version/ENG Version/-ENG_Section 3 - Bidding Forms_Kyrgyz G-Cloud Center.doc</x:v>
      </x:c>
      <x:c r="H2059" s="43" t="str">
        <x:v>문단 52</x:v>
      </x:c>
      <x:c r="I2059" s="46" t="str">
        <x:v>3 Reserve for unforeseen work and expenses (5% of the sum (1) +(2))</x:v>
      </x:c>
      <x:c r="J2059" s="43" t="str">
        <x:v>자동추출·검토필요</x:v>
      </x:c>
    </x:row>
    <x:row r="2060">
      <x:c r="A2060" s="43" t="str">
        <x:v>L2023-00067-1</x:v>
      </x:c>
      <x:c r="B2060" s="43" t="str">
        <x:v>부가세·예비비</x:v>
      </x:c>
      <x:c r="C2060" s="46" t="str">
        <x:v>reserve</x:v>
      </x:c>
      <x:c r="D2060" s="46" t="str"/>
      <x:c r="E2060" s="46" t="str"/>
      <x:c r="F2060" s="46" t="str">
        <x:v>0.5%</x:v>
      </x:c>
      <x:c r="G2060" s="46" t="str">
        <x:v>L2023-00067-1/ENG Version/ENG Version/ENG_Section 7 General_Conditions_of_Contract_Kyrgyz_G_Cloud_Center.docx</x:v>
      </x:c>
      <x:c r="H2060" s="43" t="str">
        <x:v>표 4 행 109</x:v>
      </x:c>
      <x:c r="I2060"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 (iv) hereof must include details of how the Safety Management Costs will be utilized.</x:v>
      </x:c>
      <x:c r="J2060" s="43" t="str">
        <x:v>자동추출·검토필요</x:v>
      </x:c>
    </x:row>
    <x:row r="2061">
      <x:c r="A2061" s="43" t="str">
        <x:v>L2023-00067-1</x:v>
      </x:c>
      <x:c r="B2061" s="43" t="str">
        <x:v>부가세·예비비</x:v>
      </x:c>
      <x:c r="C2061" s="46" t="str">
        <x:v>reserve</x:v>
      </x:c>
      <x:c r="D2061" s="46" t="str"/>
      <x:c r="E2061" s="46" t="str"/>
      <x:c r="F2061" s="46" t="str">
        <x:v>50% | 50%</x:v>
      </x:c>
      <x:c r="G2061" s="46" t="str">
        <x:v>L2023-00067-1/ENG Version/ENG Version/ENG_Section 7 General_Conditions_of_Contract_Kyrgyz_G_Cloud_Center.docx</x:v>
      </x:c>
      <x:c r="H2061" s="43" t="str">
        <x:v>표 12 행 61</x:v>
      </x:c>
      <x:c r="I2061"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061" s="43" t="str">
        <x:v>자동추출·검토필요</x:v>
      </x:c>
    </x:row>
    <x:row r="2062">
      <x:c r="A2062" s="43" t="str">
        <x:v>L2023-00067-1</x:v>
      </x:c>
      <x:c r="B2062" s="43" t="str">
        <x:v>부가세·예비비</x:v>
      </x:c>
      <x:c r="C2062" s="46" t="str">
        <x:v>reserve</x:v>
      </x:c>
      <x:c r="D2062" s="46" t="str"/>
      <x:c r="E2062" s="46" t="str"/>
      <x:c r="F2062" s="46" t="str">
        <x:v>3% | 3%</x:v>
      </x:c>
      <x:c r="G2062" s="46" t="str">
        <x:v>L2023-00067-1/ENG Version/ENG Version/ENG_Section 8 Special_Conditions_of_Contract_Kyrgyz_G_Cloud_Center.docx</x:v>
      </x:c>
      <x:c r="H2062" s="43" t="str">
        <x:v>표 3 행 18</x:v>
      </x:c>
      <x:c r="I2062" s="46" t="str">
        <x:v>Security Deposit for Defects | To reserve 3% of the Contract Price, or to provide the Maintenance Security Bond for Defects as a form attached hereto, valid no less than 60 days from the date of Defect Notification Period expires. | To reserve 3% of the Contract Price, or to provide the Maintenance Security Bond for Defects as a form attached hereto, valid no less than 60 days from the date of Defect Notification Period expires.</x:v>
      </x:c>
      <x:c r="J2062" s="43" t="str">
        <x:v>자동추출·검토필요</x:v>
      </x:c>
    </x:row>
    <x:row r="2063">
      <x:c r="A2063" s="43" t="str">
        <x:v>L2023-00065-1</x:v>
      </x:c>
      <x:c r="B2063" s="43" t="str">
        <x:v>부가세·예비비</x:v>
      </x:c>
      <x:c r="C2063" s="46" t="str">
        <x:v>tax</x:v>
      </x:c>
      <x:c r="D2063" s="46" t="str"/>
      <x:c r="E2063" s="46" t="str">
        <x:v>USD 115,668</x:v>
      </x:c>
      <x:c r="F2063" s="46" t="str"/>
      <x:c r="G2063" s="46" t="str">
        <x:v>L2023-00065-1/(attached) Pre_school_Education_Complex_Constsruction_Supervision_Contractor/Section 2 - Bid Data Sheet (BDS).docx</x:v>
      </x:c>
      <x:c r="H2063" s="43" t="str">
        <x:v>표 4 행 5</x:v>
      </x:c>
      <x:c r="I2063" s="46" t="str">
        <x:v>․ Project Budget | USD 115,668 (excluding value-added taxes and other fees)</x:v>
      </x:c>
      <x:c r="J2063" s="43" t="str">
        <x:v>자동추출·검토필요</x:v>
      </x:c>
    </x:row>
    <x:row r="2064">
      <x:c r="A2064" s="43" t="str">
        <x:v>L2023-00065-1</x:v>
      </x:c>
      <x:c r="B2064" s="43" t="str">
        <x:v>부가세·예비비</x:v>
      </x:c>
      <x:c r="C2064" s="46" t="str">
        <x:v>vat</x:v>
      </x:c>
      <x:c r="D2064" s="46" t="str"/>
      <x:c r="E2064" s="46" t="str">
        <x:v>115,668 USD</x:v>
      </x:c>
      <x:c r="F2064" s="46" t="str"/>
      <x:c r="G2064" s="46" t="str">
        <x:v>L2023-00065-1/BID Announcement (English).docx</x:v>
      </x:c>
      <x:c r="H2064" s="43" t="str">
        <x:v>표 2 행 7</x:v>
      </x:c>
      <x:c r="I2064" s="46" t="str">
        <x:v>Project Budget | 115,668 USD (VAT Excluded)</x:v>
      </x:c>
      <x:c r="J2064" s="43" t="str">
        <x:v>자동추출·검토필요</x:v>
      </x:c>
    </x:row>
    <x:row r="2065">
      <x:c r="A2065" s="43" t="str">
        <x:v>L2023-00065-1</x:v>
      </x:c>
      <x:c r="B2065" s="43" t="str">
        <x:v>부가세·예비비</x:v>
      </x:c>
      <x:c r="C2065" s="46" t="str">
        <x:v>부가가치세</x:v>
      </x:c>
      <x:c r="D2065" s="46" t="str"/>
      <x:c r="E2065" s="46" t="str">
        <x:v>USD 115,568</x:v>
      </x:c>
      <x:c r="F2065" s="46" t="str"/>
      <x:c r="G2065" s="46" t="str">
        <x:v>L2023-00065-1/BID_Announcement_Daily_News_of_Korean_Residents.docx</x:v>
      </x:c>
      <x:c r="H2065" s="43" t="str">
        <x:v>문단 6</x:v>
      </x:c>
      <x:c r="I2065" s="46" t="str">
        <x:v>■ 집행예산 예정금액 : USD 115,568 (부가가치세 미포함)</x:v>
      </x:c>
      <x:c r="J2065" s="43" t="str">
        <x:v>자동추출·검토필요</x:v>
      </x:c>
    </x:row>
    <x:row r="2066">
      <x:c r="A2066" s="43" t="str">
        <x:v>L2023-00065-1</x:v>
      </x:c>
      <x:c r="B2066" s="43" t="str">
        <x:v>부가세·예비비</x:v>
      </x:c>
      <x:c r="C2066" s="46" t="str">
        <x:v>vat</x:v>
      </x:c>
      <x:c r="D2066" s="46" t="str"/>
      <x:c r="E2066" s="46" t="str">
        <x:v>US$ 115 668,00</x:v>
      </x:c>
      <x:c r="F2066" s="46" t="str"/>
      <x:c r="G2066" s="46" t="str">
        <x:v>L2023-00065-1/Pre-Bid Explaination Meeting PPT.pptx</x:v>
      </x:c>
      <x:c r="H2066" s="43" t="str">
        <x:v>슬라이드 3</x:v>
      </x:c>
      <x:c r="I2066" s="46" t="str">
        <x:v>1. SYNOPSIS OF BID | BID ANNOUNCEMEN NUMBER: | KOICA-P-UZB-2023-10 | NAME OF PROJECT | CONSTRUCTION OF PRE-SCHOOL EDUCATIONAL COMPLEX PROJECT IN UZBEKISTAN | PROJECT BUDGET (USD) | APPROXIMATELY US$ 115 668,00 (VAT EXCLUDED) | SITE LOCATION | BETWEEN NURAFSHAN AND SHAROF RASHIDOV STREETS IN YUNUSABAD DISTRICT, TASHKENT, UZBEKISTAN | CONTRACT PERIOD | 24 MONTHS FROM THE DATE OF SIGNING THE CONTRACT (INCLUDING ONE MONTH PERIOD OF ACCEPTANCE FOR COMPLETION OF CONSTRUCTION) | SCOPE OF WORK | 1) ALL WORKS RELATED TO CONSTRUCTION SUPERVISION REQUIRED FROM COMMENCEMENT TO COMPLETION 2) REVIEW AND APPROVAL OF INITIAL DRAWINGS IN CONSULTATION WITH CM, PERIODIC REPORT AFTER THE START OF CONSTRUCTION (DAILY/WEEKLY/MONTHLY), REVIEW AND APPROVAL OF MATERIAL SELECTION APPLICATION, ON-SITE INSPECTION AND APPROVAL, 3) REVIEW AND APPROVAL OF CONSTRUCTION DRAWINGS AND AS-BUILT DRAWINGS, REVIEW AND APPROVAL OF MAINTENANCE MANUALS, AND COOPERATION AND APPROVAL OF BUILDING COMPLETION AND LICENSING UNDER CM CONSULTATION 4) SUBMISSION OF CONSTRUCTION SUPERVISION COMMENCEMENT REPORT, SERVICE COMPLETION REPORT</x:v>
      </x:c>
      <x:c r="J2066" s="43" t="str">
        <x:v>자동추출·검토필요</x:v>
      </x:c>
    </x:row>
    <x:row r="2067">
      <x:c r="A2067" s="43" t="str">
        <x:v>L2023-00065-1</x:v>
      </x:c>
      <x:c r="B2067" s="43" t="str">
        <x:v>부가세·예비비</x:v>
      </x:c>
      <x:c r="C2067" s="46" t="str">
        <x:v>vat, tax</x:v>
      </x:c>
      <x:c r="D2067" s="46" t="str"/>
      <x:c r="E2067" s="46" t="str"/>
      <x:c r="F2067" s="46" t="str">
        <x:v>2.5%</x:v>
      </x:c>
      <x:c r="G2067" s="46" t="str">
        <x:v>L2023-00065-1/Pre-Bid Explaination Meeting PPT.pptx</x:v>
      </x:c>
      <x:c r="H2067" s="43" t="str">
        <x:v>슬라이드 5</x:v>
      </x:c>
      <x:c r="I2067" s="46" t="str">
        <x:v>3. LIST OF BID DOCUMENTS FOR SUBMISSION | [1] Original Letter of Bid Participation Application Form | [2] Certified Copy Confirmation | [3] Original Letter of Power of Attorney (if needed) | [4] Documents proving the eligibility requirements for bid participation (Letter of Notice) | [5] Copy of company registration certificate | [6] Building related license | [7] Tax payment certificate | [8] Bid guarantee securities (2.5% of bid amount) | [9] Eligibility Pledge that the Bidder is not on the Lists of Sanction and Penalty | [10] Anti-Corruption Declaration on ODA Project Participation | [11] Integrity Pledge | Technical Proposal Evaluation Part #1: =&gt; 1 original copy + 4 hard copies, 2 sets of USB in English (1) Company supervision performance record (within the last 5 years, period 2018.11.10.~2023.11.09.) (2) Capital Evidence (within the last 3 years, period 2020.11.10.~2023.11.09.) (3) Annual sales Evidence (within the last 3 years, period 2020.11.10.~2023.11.09.) (4) Audit report for the last 3 years (2020~2022) (5) Current Projects Status | Technical Proposal Evaluation - Part #2: =&gt; 1 original copy + 4 hard copies, 2 sets of USB in English (1) Construction supervision impleme</x:v>
      </x:c>
      <x:c r="J2067" s="43" t="str">
        <x:v>자동추출·검토필요</x:v>
      </x:c>
    </x:row>
    <x:row r="2068">
      <x:c r="A2068" s="43" t="str">
        <x:v>L2023-00061-1</x:v>
      </x:c>
      <x:c r="B2068" s="43" t="str">
        <x:v>부가세·예비비</x:v>
      </x:c>
      <x:c r="C2068" s="46" t="str">
        <x:v>vat</x:v>
      </x:c>
      <x:c r="D2068" s="46" t="str"/>
      <x:c r="E2068" s="46" t="str">
        <x:v>USD 180,000</x:v>
      </x:c>
      <x:c r="F2068" s="46" t="str"/>
      <x:c r="G2068" s="46" t="str">
        <x:v>L2023-00061-1/붙임 1. 입찰 계획서(안).hwp</x:v>
      </x:c>
      <x:c r="H2068" s="43" t="str">
        <x:v>문단 138</x:v>
      </x:c>
      <x:c r="I2068" s="46" t="str">
        <x:v>1.3 집행한도액: USD 180,000 (VAT 미포함, 면세)</x:v>
      </x:c>
      <x:c r="J2068" s="43" t="str">
        <x:v>자동추출·검토필요</x:v>
      </x:c>
    </x:row>
    <x:row r="2069">
      <x:c r="A2069" s="43" t="str">
        <x:v>L2023-00061-1</x:v>
      </x:c>
      <x:c r="B2069" s="43" t="str">
        <x:v>부가세·예비비</x:v>
      </x:c>
      <x:c r="C2069" s="46" t="str">
        <x:v>vat</x:v>
      </x:c>
      <x:c r="D2069" s="46" t="str">
        <x:v>1,250 m2 | 230 m2 | 420 m2</x:v>
      </x:c>
      <x:c r="E2069" s="46" t="str"/>
      <x:c r="F2069" s="46" t="str"/>
      <x:c r="G2069" s="46" t="str">
        <x:v>L2023-00061-1/붙임 2. 입찰 공고문/1. Invitation for Bid_2023.9..docx</x:v>
      </x:c>
      <x:c r="H2069" s="43" t="str">
        <x:v>표 2 행 3</x:v>
      </x:c>
      <x:c r="I2069" s="46" t="str">
        <x:v>Scope of Works | 1) New Construction (1,250 m2): Last facility for Lather product 2) Remodeling (230 m2): SMEs Creative Center 3) Renovation (420 m2): Vegetable Tanning Facility •Topographic survey and geotechnical survey report •Design work including architecture, interior, structural, mechanical, electrical, communication, fire-fighting, landscaping, signage, specification and BOQ. •Related works for building permit including design submission and processing of building permit •Construction phase support service such as response to RFI upon CM’s request until construction completion •Support for selection of construction companies after design is completed. •Construction supervision tasks</x:v>
      </x:c>
      <x:c r="J2069" s="43" t="str">
        <x:v>자동추출·검토필요</x:v>
      </x:c>
    </x:row>
    <x:row r="2070">
      <x:c r="A2070" s="43" t="str">
        <x:v>L2023-00061-1</x:v>
      </x:c>
      <x:c r="B2070" s="43" t="str">
        <x:v>부가세·예비비</x:v>
      </x:c>
      <x:c r="C2070" s="46" t="str">
        <x:v>vat, tax</x:v>
      </x:c>
      <x:c r="D2070" s="46" t="str"/>
      <x:c r="E2070" s="46" t="str">
        <x:v>USD 180,000 | USD 110,000 | USD 70,000</x:v>
      </x:c>
      <x:c r="F2070" s="46" t="str"/>
      <x:c r="G2070" s="46" t="str">
        <x:v>L2023-00061-1/붙임 2. 입찰 공고문/1. Invitation for Bid_2023.9..docx</x:v>
      </x:c>
      <x:c r="H2070" s="43" t="str">
        <x:v>표 2 행 5</x:v>
      </x:c>
      <x:c r="I2070" s="46" t="str">
        <x:v>Price | Maximum Bidding Price: USD 180,000 (VAT exclusive) Design : USD 110,000 Construction Supervision USD 70,000 *Any kind of claim for compensation due to the fluctuation by inflation shall not be allowed. With regard to VAT, KOICA has no authority or responsibility for any tax, including VAT, incurred on this bid and contract. The consultant is responsible for reporting to taxation authority and implementing proper procedures in case of tax exemption is available. **Bid and contract shall be processed in US dollars. Any kind of request for increase in contract price due to inflation or fluctuation of exchange rate shall not be allowed. ***In accordance with Article 11, Paragraph 1 in the Regulation for Procurement and Contract in Grant Aid Projects, the estimated price shall not be prepared, and the Maximum Bidding Price shall be regarded as the estimated price.</x:v>
      </x:c>
      <x:c r="J2070" s="43" t="str">
        <x:v>자동추출·검토필요</x:v>
      </x:c>
    </x:row>
    <x:row r="2071">
      <x:c r="A2071" s="43" t="str">
        <x:v>L2023-00061-1</x:v>
      </x:c>
      <x:c r="B2071" s="43" t="str">
        <x:v>부가세·예비비</x:v>
      </x:c>
      <x:c r="C2071" s="46" t="str">
        <x:v>vat, tax</x:v>
      </x:c>
      <x:c r="D2071" s="46" t="str"/>
      <x:c r="E2071" s="46" t="str">
        <x:v>USD 180,000</x:v>
      </x:c>
      <x:c r="F2071" s="46" t="str"/>
      <x:c r="G2071" s="46" t="str">
        <x:v>L2023-00061-1/붙임 3. 입찰 문서/Section 2 - Bidding Data Sheet.docx</x:v>
      </x:c>
      <x:c r="H2071" s="43" t="str">
        <x:v>문단 39</x:v>
      </x:c>
      <x:c r="I2071" s="46" t="str">
        <x:v>1.3 Maximum Bidding Price: USD 180,000 (exempted from tax including VAT)</x:v>
      </x:c>
      <x:c r="J2071" s="43" t="str">
        <x:v>자동추출·검토필요</x:v>
      </x:c>
    </x:row>
    <x:row r="2072">
      <x:c r="A2072" s="43" t="str">
        <x:v>L2023-00061-1</x:v>
      </x:c>
      <x:c r="B2072" s="43" t="str">
        <x:v>부가세·예비비</x:v>
      </x:c>
      <x:c r="C2072" s="46" t="str">
        <x:v>vat</x:v>
      </x:c>
      <x:c r="D2072" s="46" t="str">
        <x:v>420 m2</x:v>
      </x:c>
      <x:c r="E2072" s="46" t="str"/>
      <x:c r="F2072" s="46" t="str"/>
      <x:c r="G2072" s="46" t="str">
        <x:v>L2023-00061-1/붙임 3. 입찰 문서/Section 2 - Bidding Data Sheet.docx</x:v>
      </x:c>
      <x:c r="H2072" s="43" t="str">
        <x:v>문단 63</x:v>
      </x:c>
      <x:c r="I2072" s="46" t="str">
        <x:v>-Renovation (420 m2): Vegetable Tanning Facility</x:v>
      </x:c>
      <x:c r="J2072" s="43" t="str">
        <x:v>자동추출·검토필요</x:v>
      </x:c>
    </x:row>
    <x:row r="2073">
      <x:c r="A2073" s="43" t="str">
        <x:v>L2023-00061-1</x:v>
      </x:c>
      <x:c r="B2073" s="43" t="str">
        <x:v>부가세·예비비</x:v>
      </x:c>
      <x:c r="C2073" s="46" t="str">
        <x:v>contingency</x:v>
      </x:c>
      <x:c r="D2073" s="46" t="str"/>
      <x:c r="E2073" s="46" t="str"/>
      <x:c r="F2073" s="46" t="str">
        <x:v>3%</x:v>
      </x:c>
      <x:c r="G2073" s="46" t="str">
        <x:v>L2023-00061-1/붙임 3. 입찰 문서/Section 4 - Request for Proposal.docx</x:v>
      </x:c>
      <x:c r="H2073" s="43" t="str">
        <x:v>문단 116</x:v>
      </x:c>
      <x:c r="I2073" s="46" t="str">
        <x:v>Contingency shall be included in the BOQ and 3% of total construction cost minus overhead such as profit and insurance.</x:v>
      </x:c>
      <x:c r="J2073" s="43" t="str">
        <x:v>자동추출·검토필요</x:v>
      </x:c>
    </x:row>
    <x:row r="2074">
      <x:c r="A2074" s="43" t="str">
        <x:v>L2023-00061-1</x:v>
      </x:c>
      <x:c r="B2074" s="43" t="str">
        <x:v>부가세·예비비</x:v>
      </x:c>
      <x:c r="C2074" s="46" t="str">
        <x:v>vat</x:v>
      </x:c>
      <x:c r="D2074" s="46" t="str">
        <x:v>1,900 m2 | 1,250 m2 | 420 m2 | 230 m2</x:v>
      </x:c>
      <x:c r="E2074" s="46" t="str"/>
      <x:c r="F2074" s="46" t="str"/>
      <x:c r="G2074" s="46" t="str">
        <x:v>L2023-00061-1/붙임 3. 입찰 문서/Section 4 - Request for Proposal.docx</x:v>
      </x:c>
      <x:c r="H2074" s="43" t="str">
        <x:v>표 1 행 4</x:v>
      </x:c>
      <x:c r="I2074" s="46" t="str">
        <x:v>Gross Floor Area | 1,900 m2 (New construction: (1,250 m2), Renovation: Vegetable Tanning Facility (420 m2), SMEs Creative Center (230 m2) |</x:v>
      </x:c>
      <x:c r="J2074" s="43" t="str">
        <x:v>자동추출·검토필요</x:v>
      </x:c>
    </x:row>
    <x:row r="2075">
      <x:c r="A2075" s="43" t="str">
        <x:v>L2023-00061-1</x:v>
      </x:c>
      <x:c r="B2075" s="43" t="str">
        <x:v>부가세·예비비</x:v>
      </x:c>
      <x:c r="C2075" s="46" t="str">
        <x:v>vat</x:v>
      </x:c>
      <x:c r="D2075" s="46" t="str">
        <x:v>420 ㎡ | 420 ㎡</x:v>
      </x:c>
      <x:c r="E2075" s="46" t="str"/>
      <x:c r="F2075" s="46" t="str"/>
      <x:c r="G2075" s="46" t="str">
        <x:v>L2023-00061-1/붙임 3. 입찰 문서/Section 4 - Request for Proposal.docx</x:v>
      </x:c>
      <x:c r="H2075" s="43" t="str">
        <x:v>표 8 행 2</x:v>
      </x:c>
      <x:c r="I2075" s="46" t="str">
        <x:v>C Renovation | Leather dry with high vibration | Leather dry with high vibration | 420㎡ | 1 | 420㎡ | Relocation of existing equipment</x:v>
      </x:c>
      <x:c r="J2075" s="43" t="str">
        <x:v>자동추출·검토필요</x:v>
      </x:c>
    </x:row>
    <x:row r="2076">
      <x:c r="A2076" s="43" t="str">
        <x:v>L2023-00061-1</x:v>
      </x:c>
      <x:c r="B2076" s="43" t="str">
        <x:v>부가세·예비비</x:v>
      </x:c>
      <x:c r="C2076" s="46" t="str">
        <x:v>vat</x:v>
      </x:c>
      <x:c r="D2076" s="46" t="str">
        <x:v>420 ㎡ | 420 ㎡ | 420 ㎡ | 420 ㎡</x:v>
      </x:c>
      <x:c r="E2076" s="46" t="str"/>
      <x:c r="F2076" s="46" t="str"/>
      <x:c r="G2076" s="46" t="str">
        <x:v>L2023-00061-1/붙임 3. 입찰 문서/Section 4 - Request for Proposal.docx</x:v>
      </x:c>
      <x:c r="H2076" s="43" t="str">
        <x:v>표 8 행 4</x:v>
      </x:c>
      <x:c r="I2076" s="46" t="str">
        <x:v>C Renovation | SUM | SUM | 420 ㎡ | 420 ㎡ | 420 ㎡ | 420 ㎡</x:v>
      </x:c>
      <x:c r="J2076" s="43" t="str">
        <x:v>자동추출·검토필요</x:v>
      </x:c>
    </x:row>
    <x:row r="2077">
      <x:c r="A2077" s="43" t="str">
        <x:v>L2023-00061-1</x:v>
      </x:c>
      <x:c r="B2077" s="43" t="str">
        <x:v>부가세·예비비</x:v>
      </x:c>
      <x:c r="C2077" s="46" t="str">
        <x:v>vat</x:v>
      </x:c>
      <x:c r="D2077" s="46" t="str">
        <x:v>42,000 ㎡ | 1,250 ㎡ | 230 ㎡ | 420 ㎡</x:v>
      </x:c>
      <x:c r="E2077" s="46" t="str"/>
      <x:c r="F2077" s="46" t="str"/>
      <x:c r="G2077" s="46" t="str">
        <x:v>L2023-00061-1/붙임 3. 입찰 문서/Section 5 - Space Program reference.pdf</x:v>
      </x:c>
      <x:c r="H2077" s="43" t="str">
        <x:v>페이지 2</x:v>
      </x:c>
      <x:c r="I2077" s="46" t="str">
        <x:v>I. Project Information and Scope of Work 1. Site Plan &lt;Figure 1&gt; LIDI R&amp;D CENTER Satellite Image and Site Plan A. Project Information - Details Ethiopia Addis Ababa Akaki Kaliti Project Region (8°92'60.4"N 38°75'82.8"E / About 42,000㎡) Project Address WQG5+84R, Addis Ababa, Ethiopia Building Occupancy Industrial and Business Classification Construction New construction and remodeling, renovation/ Steel structure and Type reinforced concrete A. New Construction: Shoe Last Automation and Surface Upgrading Facility Project B. Remodeling: SMEs Support Center (existing cafeteria) Description C. Renovation: High-Vibration Leather Drying Facility (existing tannery building) A. New Construction: Total 1,250㎡ / 1 Story /Long Span Structure Floor Area and B. Remodeling: Total 230㎡ / 1 Story / Reuse of the existing cafeteria Height C. Renovation(Repair &amp; Upgrade): Total 420㎡ / 1 Story / Reuse of existing tannery building Consideration Careful prior consultation and technical support are required for equipment &lt;Table 1&gt; Project Information - 2 -</x:v>
      </x:c>
      <x:c r="J2077" s="43" t="str">
        <x:v>자동추출·검토필요</x:v>
      </x:c>
    </x:row>
    <x:row r="2078">
      <x:c r="A2078" s="43" t="str">
        <x:v>L2023-00061-1</x:v>
      </x:c>
      <x:c r="B2078" s="43" t="str">
        <x:v>부가세·예비비</x:v>
      </x:c>
      <x:c r="C2078" s="46" t="str">
        <x:v>vat</x:v>
      </x:c>
      <x:c r="D2078" s="46" t="str">
        <x:v>95 ㎡ | 1 95 ㎡ | 285 ㎡ | 1 285 ㎡ | 95 ㎡ | 1 95 ㎡ | 90 ㎡ | 1 90 ㎡</x:v>
      </x:c>
      <x:c r="E2078" s="46" t="str"/>
      <x:c r="F2078" s="46" t="str"/>
      <x:c r="G2078" s="46" t="str">
        <x:v>L2023-00061-1/붙임 3. 입찰 문서/Section 5 - Space Program reference.pdf</x:v>
      </x:c>
      <x:c r="H2078" s="43" t="str">
        <x:v>페이지 3</x:v>
      </x:c>
      <x:c r="I2078" s="46" t="str">
        <x:v>ㅇ For New Buildings(Shoe Last Automation and Surface Upgrading Facility), it is recommended to be planned and constructed them with a long span structure in consideration of the flexible utilization of the building in the future. ㅇ The existing cafeteria, which is being remodeled as an SMEs Support Center, not only needs to review whether it is possible to change the structure of the space to be planned through a structural safety inspection in advance, but also needs to replace damaged ceilings, roofing materials, and gutters, so replacement of existing roof trusses (structures) may be requested. ㅇ For High-Vibration Leather Drying Facility, the existing tannery factory needs to be renovated by relocating(removing) existing equipments and install new equipments for the new purpose of space, as well as upgrading throughout surfaces of walls and floor finishes. In addition to, the concrete pad needs to be installed underneath of the new equipments in order to consider the load of new equipments while providing leveled the floor. ㅇ To archive the project goal, it is also necessary to carefully consider the surroundings, especially landscape design related to projects under constructi</x:v>
      </x:c>
      <x:c r="J2078" s="43" t="str">
        <x:v>자동추출·검토필요</x:v>
      </x:c>
    </x:row>
    <x:row r="2079">
      <x:c r="A2079" s="43" t="str">
        <x:v>L2023-00061-1</x:v>
      </x:c>
      <x:c r="B2079" s="43" t="str">
        <x:v>부가세·예비비</x:v>
      </x:c>
      <x:c r="C2079" s="46" t="str">
        <x:v>vat</x:v>
      </x:c>
      <x:c r="D2079" s="46" t="str"/>
      <x:c r="E2079" s="46" t="str"/>
      <x:c r="F2079" s="46" t="str">
        <x:v>5% | 7% | 10% | 15% | 5% | 7% | 10%</x:v>
      </x:c>
      <x:c r="G2079" s="46" t="str">
        <x:v>L2023-00061-1/붙임 4. 입찰 공고 견적/The Reporter.pdf</x:v>
      </x:c>
      <x:c r="H2079" s="43" t="str">
        <x:v>페이지 1</x:v>
      </x:c>
      <x:c r="I2079" s="46" t="str">
        <x:v>ADVERTISEMENT RATE ON AMHARIC AND ENGLISH NEWSPAPERS Size Per Issue 5% 7% 10% Special Front 4,600.00 4,370.00 4,278.00 4,140.00 Front 4,200.00 3,990.00 3,906.00 3,780.00 Quarter Page 4,700.00 4,465.00 4,371.00 4,230.00 Half Page 7,700.00 7,315.00 7,161.00 6,930.00 Full Page 13,600.00 12,920.00 12,648.00 12,240.00 Color Half Back Page 12,000.00 11,400.00 11,160.00 10,800.00 Color Full Page 15,500.00 14,725.00 14,415.00 13,950.00 Color Half Page 10,500.00 9,975.00 9,765.00 9,450.00 Insertion Birr 5.00 for one copy Tel: +251 116 616 179/85 N.B. Fax: +251 116 616 189 Please add 15% VAT to all prices P.O.Box 7023 Addis Ababa, Ethiopia Email: mccreporter@yahoo.com www.ethiopianreporter.com/, www.thereporterethiopia.com/, www.ethiopianreporterjobs.com/ and For 1 - 4 consecutive Issues have no discount www.reportertenders.com/ For 5 - 12 consecutive Issues 5% discount For 13 - 24 consecutive Issues 7% discount FREE PRESS | FREE SPEECH | FREE SPIRIT For 25 - 52 consecutive Issues 10% discount</x:v>
      </x:c>
      <x:c r="J2079" s="43" t="str">
        <x:v>자동추출·검토필요</x:v>
      </x:c>
    </x:row>
    <x:row r="2080">
      <x:c r="A2080" s="43" t="str">
        <x:v>L2023-00061-1</x:v>
      </x:c>
      <x:c r="B2080" s="43" t="str">
        <x:v>부가세·예비비</x:v>
      </x:c>
      <x:c r="C2080" s="46" t="str">
        <x:v>vat</x:v>
      </x:c>
      <x:c r="D2080" s="46" t="str"/>
      <x:c r="E2080" s="46" t="str"/>
      <x:c r="F2080" s="46" t="str">
        <x:v>15%</x:v>
      </x:c>
      <x:c r="G2080" s="46" t="str">
        <x:v>L2023-00061-1/붙임 4. 입찰 공고 견적/The Reporter.pdf</x:v>
      </x:c>
      <x:c r="H2080" s="43" t="str">
        <x:v>페이지 2</x:v>
      </x:c>
      <x:c r="I2080" s="46" t="str">
        <x:v>JOBS ADVERTISEMENT RATE ON NEWSPAPERS, WEBSITE AND SOCIAL MEDIA Newspapers Website Size and Website and Social Media Quarter Page 4,700.00 3,760.00 Special Quarter One 5,600.00 4,480.00 Half Page 7,700.00 6,160.00 Special Half 11,100.00 8,880.00 Full Page 13,600.00 10,880.00 TENDER/ BID ADVERTISEMENT RATE ON NEWSPAPERS, WEBSITE AND SOCIAL MEDIA Newspapers Website Size and Website and Social Media Quarter Page 4,700.00 3,760.00 Half Page 7,700.00 6,160.00 Full Page 13,600.00 10,880.00 Tel: +251 116 616 179/85 N.B. Fax: +251 116 616 189 Please add 15% VAT to all prices P.O.Box 7023 Addis Ababa, Ethiopia Email: mccreporter@yahoo.com www.ethiopianreporter.com/, www.thereporterethiopia.com/, www.ethiopianreporterjobs.com/ and www.reportertenders.com/ FREE PRESS | FREE SPEECH | FREE SPIRIT</x:v>
      </x:c>
      <x:c r="J2080" s="43" t="str">
        <x:v>자동추출·검토필요</x:v>
      </x:c>
    </x:row>
    <x:row r="2081">
      <x:c r="A2081" s="43" t="str">
        <x:v>L2023-00061-1</x:v>
      </x:c>
      <x:c r="B2081" s="43" t="str">
        <x:v>부가세·예비비</x:v>
      </x:c>
      <x:c r="C2081" s="46" t="str">
        <x:v>tax</x:v>
      </x:c>
      <x:c r="D2081" s="46" t="str"/>
      <x:c r="E2081" s="46" t="str"/>
      <x:c r="F2081" s="46" t="str">
        <x:v>20%</x:v>
      </x:c>
      <x:c r="G2081" s="46" t="str">
        <x:v>L2023-00061-1/붙임 5. 주재국 조달 지침(Federal Procument Directive).pdf</x:v>
      </x:c>
      <x:c r="H2081" s="43" t="str">
        <x:v>페이지 27</x:v>
      </x:c>
      <x:c r="I2081" s="46" t="str">
        <x:v>m) The validity period of the bid as well as the place and time of delivery. n) A statement indicating the manner of application of preference to local products and companies granted by the Proclamation. o) An indication whether the bids are to be submitted in a single or double envelopes, the manner in which the envelopes are sealed, the requirements that the original and copies of the bid documents shall be uniform, the number of copies, that all documents have to be signed by authorized persons and the seal of the organization shall be affixed there to, the manner in which supporting documents (current tax clearance certificate, renewed business license and other documents) that the Public Body requires should be submitted. p) If advance payment is to be made in accordance with article 16/26 of this Directive, the amount of such payment and the mode of the corresponding guarantee required as a prerequisite for such advance payment q) An indication that if bidders are aggrieved by the decision rendered during the procurement process, they have the right of complaint in accordance with chapter fourteen of the Proclamation and article 45 and 47 of this directive, and the place wher</x:v>
      </x:c>
      <x:c r="J2081" s="43" t="str">
        <x:v>자동추출·검토필요</x:v>
      </x:c>
    </x:row>
    <x:row r="2082">
      <x:c r="A2082" s="43" t="str">
        <x:v>L2023-00061-1</x:v>
      </x:c>
      <x:c r="B2082" s="43" t="str">
        <x:v>부가세·예비비</x:v>
      </x:c>
      <x:c r="C2082" s="46" t="str">
        <x:v>tax</x:v>
      </x:c>
      <x:c r="D2082" s="46" t="str"/>
      <x:c r="E2082" s="46" t="str"/>
      <x:c r="F2082" s="46" t="str">
        <x:v>35% | 3%</x:v>
      </x:c>
      <x:c r="G2082" s="46" t="str">
        <x:v>L2023-00061-1/붙임 5. 주재국 조달 지침(Federal Procument Directive).pdf</x:v>
      </x:c>
      <x:c r="H2082" s="43" t="str">
        <x:v>페이지 55</x:v>
      </x:c>
      <x:c r="I2082" s="46" t="str">
        <x:v>certified by a competent auditor that no less than 35% of the total value of such products is added in Ethiopia. For the purpose of this sub-sub article, value added in Ethiopia shall be calculated by deducting from the total value of the product in question, the cost , exclusive of indirect taxes, of imported raw materials and other supplies used in the production of such product as well as services rendered abroad in connection with the production of that product. 16.20.4. The following conditions must be satisfied for local companies engaged in Construction or Consultancy Services to qualify for preference: a) The company has to be incorporated in Ethiopia; b) more than fifty per cent of the company’s capital stock has to be held by Ethiopian natural or juridical persons; c) more than fifty per cent of members of the board of the company have to be Ethiopian nationals; d) At least fifty per cent of the key staff of the company has to be Ethiopian Nationals. 16.20.5. For small and micro enterprises established under the relevant law, a) Preference shall be given by a margin of 3% when such enterprises compete with local suppliers in national competitive bidding. b) When small and</x:v>
      </x:c>
      <x:c r="J2082" s="43" t="str">
        <x:v>자동추출·검토필요</x:v>
      </x:c>
    </x:row>
    <x:row r="2083">
      <x:c r="A2083" s="43" t="str">
        <x:v>L2023-00061-1</x:v>
      </x:c>
      <x:c r="B2083" s="43" t="str">
        <x:v>부가세·예비비</x:v>
      </x:c>
      <x:c r="C2083" s="46" t="str">
        <x:v>reserve</x:v>
      </x:c>
      <x:c r="D2083" s="46" t="str"/>
      <x:c r="E2083" s="46" t="str"/>
      <x:c r="F2083" s="46" t="str">
        <x:v>30%</x:v>
      </x:c>
      <x:c r="G2083" s="46" t="str">
        <x:v>L2023-00061-1/붙임 5. 주재국 조달 지침(Federal Procument Directive).pdf</x:v>
      </x:c>
      <x:c r="H2083" s="43" t="str">
        <x:v>페이지 61</x:v>
      </x:c>
      <x:c r="I2083" s="46" t="str">
        <x:v>a) A conditional insurance bond shall be accepted as performance security in respect of construction contracts or in respect of contracts for supply of drugs with local contractors or manufacturers of pharmaceutical products. b) A Public Body may require a consultant to furnish professional indemnity insurance in respect of consultancy service such consultant renders to that Public Body under a contract, where the Public Body finds it appropriate to make provision for any damage it may sustain as a result of possible default on the part of the consultant. c) Small and micro enterprises shall be required to submit a letter of guarantee from the body organizing and overseeing them in lieu of performance security. d) Enterprises engaged in insurance business and contracting with a Public Body may use their reserve with the National Bank of Ethiopia as performance security, it being necessary for such enterprises to produce a certificate from the bank that the reserve they have with the bank is sufficient to cover the required performance security. 16.25.7 Unless the parties agree otherwise, the performance security furnished by a supplier shall be returned to him upon complete perform</x:v>
      </x:c>
      <x:c r="J2083" s="43" t="str">
        <x:v>자동추출·검토필요</x:v>
      </x:c>
    </x:row>
    <x:row r="2084">
      <x:c r="A2084" s="43" t="str">
        <x:v>L2023-00061-1</x:v>
      </x:c>
      <x:c r="B2084" s="43" t="str">
        <x:v>부가세·예비비</x:v>
      </x:c>
      <x:c r="C2084" s="46" t="str">
        <x:v>tax</x:v>
      </x:c>
      <x:c r="D2084" s="46" t="str"/>
      <x:c r="E2084" s="46" t="str"/>
      <x:c r="F2084" s="46" t="str">
        <x:v>10% | 50% | 10% | 60% | 10% | 70% | 70%</x:v>
      </x:c>
      <x:c r="G2084" s="46" t="str">
        <x:v>L2023-00061-1/붙임 5. 주재국 조달 지침(Federal Procument Directive).pdf</x:v>
      </x:c>
      <x:c r="H2084" s="43" t="str">
        <x:v>페이지 75</x:v>
      </x:c>
      <x:c r="I2084" s="46" t="str">
        <x:v>21.10.2 The following percentage points shall be given for each criterion listed in article 21.10.1 above depending on the type of the required consultancy service: a) For experience of the consultant…………………………..5-10%; b) For method applied in doing the study or research.………..20-50%; c) For ability to transfer knowledge…….………………...…...5-10%; d) For competence of key professionals engaged in the Consultancy service ………………………………………... 30-60%; e) For participation of Ethiopians ……………….…………..5-10%; 21.10.3 Bidders getting less than 70% in the evaluation shall be rejected and the envelopes containing the financial proposals of those consultants scoring 70% and above shall be opened. 21.10.4 The envelopes containing the financial proposals of those consultants who failed to achieve the points required to qualify for financial evaluation shall be returned to them unopened. 21.10.5 Prices offered by local consultants shall, for the purpose of evaluation, include local taxes. Prices offered by foreign and local consultants may also include translation, travel, stationery and other incidental expenses. 21.10.6 In the financial evaluation, the highest point shall be given to the lowest priced</x:v>
      </x:c>
      <x:c r="J2084" s="43" t="str">
        <x:v>자동추출·검토필요</x:v>
      </x:c>
    </x:row>
    <x:row r="2085">
      <x:c r="A2085" s="43" t="str">
        <x:v>L2023-00061-1</x:v>
      </x:c>
      <x:c r="B2085" s="43" t="str">
        <x:v>부가세·예비비</x:v>
      </x:c>
      <x:c r="C2085" s="46" t="str">
        <x:v>vat</x:v>
      </x:c>
      <x:c r="D2085" s="46" t="str"/>
      <x:c r="E2085" s="46" t="str"/>
      <x:c r="F2085" s="46" t="str">
        <x:v>80% | 20%</x:v>
      </x:c>
      <x:c r="G2085" s="46" t="str">
        <x:v>L2023-00061-1/붙임 5. 주재국 조달 지침(Federal Procument Directive).pdf</x:v>
      </x:c>
      <x:c r="H2085" s="43" t="str">
        <x:v>페이지 76</x:v>
      </x:c>
      <x:c r="I2085" s="46" t="str">
        <x:v>of technical proposal shall be 80% and the remaining 20% shall be the share of financial proposal. 21.10.8 The consultant scoring the highest point in the total sum of the technical and financial Evaluation shall be selected as the successful bidder. 21.10.9 In addition to the method of selection described above, the procedure prescribed in article16 of this directive shall apply for a procurement of consultancy service made by means of International competitive bidding. 21.11 Quality Based Selection 21.11.1 Quality based selection shall be used under the following conditions:- a) Where the complexity of the consultancy service calls for special qualification and for this reason it is difficult to define precise terms of reference or the required input from the consultants, for which the client expects the consultants to demonstrate innovation in their proposals. b) Assignments that have a high downstream impact and in which the objective is to have the best experts. c) Assignments that can be carried out in substantially different ways, when comparison of such proposal is expected to be difficult. 21.11.2 The Envelopes containing the technical proposals shall be opened in the pres</x:v>
      </x:c>
      <x:c r="J2085" s="43" t="str">
        <x:v>자동추출·검토필요</x:v>
      </x:c>
    </x:row>
    <x:row r="2086">
      <x:c r="A2086" s="43" t="str">
        <x:v>L2023-00061-1</x:v>
      </x:c>
      <x:c r="B2086" s="43" t="str">
        <x:v>부가세·예비비</x:v>
      </x:c>
      <x:c r="C2086" s="46" t="str">
        <x:v>tax</x:v>
      </x:c>
      <x:c r="D2086" s="46" t="str"/>
      <x:c r="E2086" s="46" t="str">
        <x:v>$ 10,000</x:v>
      </x:c>
      <x:c r="F2086" s="46" t="str"/>
      <x:c r="G2086" s="46" t="str">
        <x:v>L2023-00061-1/붙임 5. 주재국 조달 지침(Federal Procument Directive).pdf</x:v>
      </x:c>
      <x:c r="H2086" s="43" t="str">
        <x:v>페이지 84</x:v>
      </x:c>
      <x:c r="I2086" s="46" t="str">
        <x:v>b) The Public Body has to establish a system to prevent possible acts of connivance in offering and accepting price in the process of procurement by request for quotation and carry out price verification regularly in accordance with article 24.8 below. 24.4. Each candidate shall be allowed to quote a firm price which may not be changed. No negotiation shall be allowed between the Public Body and the candidate on the price quoted by the candidate. 24.5. Notwithstanding the provisions of sub articles 24 (1,2,3 and 4) of this article, diplomatic missions of the Ethiopian Government may, by authorization of the Ministry of Foreign Affairs, procure requirements the value of which does not exceed USD $ 10,000 Per purchase order, by collecting Proforma invoices in the country to which they are assigned. 24.6. The successful supplier shall be selected on best price basis, by comparing supplies meeting the quality characteristics of the Public Body’s requirements as described in the specification. 24.7. For the purpose of evaluation, prices offered by suppliers in response to a request for quotation shall include taxes. 24.8. For the purpose of price verification in regard to procurements m</x:v>
      </x:c>
      <x:c r="J2086" s="43" t="str">
        <x:v>자동추출·검토필요</x:v>
      </x:c>
    </x:row>
    <x:row r="2087">
      <x:c r="A2087" s="43" t="str">
        <x:v>L2023-00060-1</x:v>
      </x:c>
      <x:c r="B2087" s="43" t="str">
        <x:v>부가세·예비비</x:v>
      </x:c>
      <x:c r="C2087" s="46" t="str">
        <x:v>vat, tax</x:v>
      </x:c>
      <x:c r="D2087" s="46" t="str">
        <x:v>1,490 ㎡ | 2,983 ㎡ | 2,983 ㎡ | 2,983 m2</x:v>
      </x:c>
      <x:c r="E2087" s="46" t="str">
        <x:v>$ 3,875,000.00 | $ 3,778,125.00</x:v>
      </x:c>
      <x:c r="F2087" s="46" t="str">
        <x:v>0.5% | 97.5%</x:v>
      </x:c>
      <x:c r="G2087" s="46" t="str">
        <x:v>L2023-00060-1/붙임 1. 입찰공고문 및 서류_영문/Section 2 - Bid data sheet_eng.doc</x:v>
      </x:c>
      <x:c r="H2087" s="43" t="str">
        <x:v>문단 24</x:v>
      </x:c>
      <x:c r="I2087" s="46" t="str">
        <x:v>- Program Classrooms, Health Practice Room, Multipurpose Room, Director's Office, Personnel Office, meeting room, dining room and kitchen, mechanical and electrical room (among others) - Site area 1,490㎡ - Building area 2,983㎡ - Gross floor area 2,983㎡ - Building scope Number of levels: 3 - Structure Reinforced concrete - Scope of Works Construction of the new building to occupy health training facilities; three (3) level with a total area of 2,983 m2 - Provide construction works that include, but are not limited to the following; - Repair work and/or circulation paving around the building if necessary - Construction of all associated infrastructure requirements such as water, sewage, rainwater drainage for new building and the connection to the existing system - Mechanics, electrical system, acoustic system, security system, fire protection and other necessary installations to make the new building functional - Reception of work with OPAMSS, firefighters, Mayor's Office, as well as the necessary institutions to deliver the respective operating records - All work and procedures related to the functionality of the building · Scheduled Construction Period 540 days · Contract Duration</x:v>
      </x:c>
      <x:c r="J2087" s="43" t="str">
        <x:v>자동추출·검토필요</x:v>
      </x:c>
    </x:row>
    <x:row r="2088">
      <x:c r="A2088" s="43" t="str">
        <x:v>L2023-00060-1</x:v>
      </x:c>
      <x:c r="B2088" s="43" t="str">
        <x:v>부가세·예비비</x:v>
      </x:c>
      <x:c r="C2088" s="46" t="str">
        <x:v>reserve</x:v>
      </x:c>
      <x:c r="D2088" s="46" t="str"/>
      <x:c r="E2088" s="46" t="str"/>
      <x:c r="F2088" s="46" t="str">
        <x:v>0.5%</x:v>
      </x:c>
      <x:c r="G2088" s="46" t="str">
        <x:v>L2023-00060-1/붙임 1. 입찰공고문 및 서류_영문/Section 7 - General Conditions of Contract_eng.docx</x:v>
      </x:c>
      <x:c r="H2088" s="43" t="str">
        <x:v>표 4 행 109</x:v>
      </x:c>
      <x:c r="I2088"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utilized.</x:v>
      </x:c>
      <x:c r="J2088" s="43" t="str">
        <x:v>자동추출·검토필요</x:v>
      </x:c>
    </x:row>
    <x:row r="2089">
      <x:c r="A2089" s="43" t="str">
        <x:v>L2023-00060-1</x:v>
      </x:c>
      <x:c r="B2089" s="43" t="str">
        <x:v>부가세·예비비</x:v>
      </x:c>
      <x:c r="C2089" s="46" t="str">
        <x:v>reserve</x:v>
      </x:c>
      <x:c r="D2089" s="46" t="str"/>
      <x:c r="E2089" s="46" t="str"/>
      <x:c r="F2089" s="46" t="str">
        <x:v>50% | 50%</x:v>
      </x:c>
      <x:c r="G2089" s="46" t="str">
        <x:v>L2023-00060-1/붙임 1. 입찰공고문 및 서류_영문/Section 7 - General Conditions of Contract_eng.docx</x:v>
      </x:c>
      <x:c r="H2089" s="43" t="str">
        <x:v>표 12 행 61</x:v>
      </x:c>
      <x:c r="I2089"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089" s="43" t="str">
        <x:v>자동추출·검토필요</x:v>
      </x:c>
    </x:row>
    <x:row r="2090">
      <x:c r="A2090" s="43" t="str">
        <x:v>L2023-00060-1</x:v>
      </x:c>
      <x:c r="B2090" s="43" t="str">
        <x:v>부가세·예비비</x:v>
      </x:c>
      <x:c r="C2090" s="46" t="str">
        <x:v>vat, tax</x:v>
      </x:c>
      <x:c r="D2090" s="46" t="str"/>
      <x:c r="E2090" s="46" t="str"/>
      <x:c r="F2090" s="46" t="str">
        <x:v>0.05%</x:v>
      </x:c>
      <x:c r="G2090" s="46" t="str">
        <x:v>L2023-00060-1/붙임 1. 입찰공고문 및 서류_영문/Section 9 - Contract Forms_eng.pdf</x:v>
      </x:c>
      <x:c r="H2090" s="43" t="str">
        <x:v>페이지 1</x:v>
      </x:c>
      <x:c r="I2090" s="46" t="str">
        <x:v>Contract for International Construction Works This Contract for International Construction Works (this “Contract”) is made on the _______________ day of _______________ 20XX (the “Effective Date”) BETWEEN (1) The ________ local office of the Korea International Cooperation Agency (“KOICA”), a governmental organization established under the laws of the Republic of Korea (“Korea”) and having its registered address Calle El Mirador y 87 Avenida Norte, Edificio Torre Futura, Nivel 10, Local 4, Colonia Escalón, San Salvador, El Salvador (the “Employer”); and (2) [insert name], a [insert type of company i.e. limited liability] company incorporated under the laws of [insert jurisdiction] and having its registered address at [insert full address] (the “Contractor”). A. CONTRACTOR’S COVENANT In connection with the Project to Strengthen the Capacity of Human Resources in Health of El Salvador (the “Project”) which KOICA is in the process of implementing in El Salvador (the “Recipient Country”) and the related construction and construction works covered under Construction of the National Training Center of the Ministry of Health of El Salvador (under Contract No. _______) (the “Construction” </x:v>
      </x:c>
      <x:c r="J2090" s="43" t="str">
        <x:v>자동추출·검토필요</x:v>
      </x:c>
    </x:row>
    <x:row r="2091">
      <x:c r="A2091" s="43" t="str">
        <x:v>L2023-00058-1</x:v>
      </x:c>
      <x:c r="B2091" s="43" t="str">
        <x:v>부가세·예비비</x:v>
      </x:c>
      <x:c r="C2091" s="46" t="str">
        <x:v>vat, tax</x:v>
      </x:c>
      <x:c r="D2091" s="46" t="str"/>
      <x:c r="E2091" s="46" t="str">
        <x:v>$ 3,875,000.00 | $ 3,778,125.00</x:v>
      </x:c>
      <x:c r="F2091" s="46" t="str">
        <x:v>0.5% | 85.495%</x:v>
      </x:c>
      <x:c r="G2091" s="46" t="str">
        <x:v>L2023-00058-1/Section 2 - Bid Data Sheet_reannouncement_final.pdf</x:v>
      </x:c>
      <x:c r="H2091" s="43" t="str">
        <x:v>페이지 5</x:v>
      </x:c>
      <x:c r="I2091" s="46" t="str">
        <x:v>the following; - Repair work and/or circulation paving around the building if necessary - Construction of all associated infrastructure requirements such as water, sewage, rainwater drainage for new building and the connection to the existing system - Mechanics, electrical system, acoustic system, security system, fire protection and other necessary installations to make the new building functional - Reception of work with OPAMSS, firefighters, Mayor's Office, as well as the necessary institutions to deliver the respective operating records - All work and procedures related to the functionality of the building · Scheduled Construction 540 days Period Until 600 days from the date of signing the contract · Duration (Shall commence 30 days from the date of signing the contract) USD $3,875,000.00 · Project Budget (Without VAT and other applicable indirect taxes; including 0.5% of safety management cost) · Expected Maximum Price USD $3,778,125.00 o Name of Currency: United States Dollar (USD) o KOICA has no responsibility for any tax related matter, including VAT. The collection and return of taxes will be handled by the relevant laws and regulations in El Salvador, and the agency respo</x:v>
      </x:c>
      <x:c r="J2091" s="43" t="str">
        <x:v>자동추출·검토필요</x:v>
      </x:c>
    </x:row>
    <x:row r="2092">
      <x:c r="A2092" s="43" t="str">
        <x:v>L2023-00058-1</x:v>
      </x:c>
      <x:c r="B2092" s="43" t="str">
        <x:v>부가세·예비비</x:v>
      </x:c>
      <x:c r="C2092" s="46" t="str">
        <x:v>vat, tax</x:v>
      </x:c>
      <x:c r="D2092" s="46" t="str"/>
      <x:c r="E2092" s="46" t="str">
        <x:v>USD 3,000,000.00</x:v>
      </x:c>
      <x:c r="F2092" s="46" t="str"/>
      <x:c r="G2092" s="46" t="str">
        <x:v>L2023-00058-1/Section 2 - Bid Data Sheet_reannouncement_final.pdf</x:v>
      </x:c>
      <x:c r="H2092" s="43" t="str">
        <x:v>페이지 6</x:v>
      </x:c>
      <x:c r="I2092" s="46" t="str">
        <x:v>Qualification Examination for Selection of Constructor (Apr. 3th, 2014). 3. Bidders’ Qualifications The Bidders must: (a) Have submitted a bid application on or before the Application Submission Deadline. (b) Must be a legally registered company. (c) Must be legitimately established in accordance with local regulations and qualified to carry on the relevant business in the designated area as of bid submission date. The certificates are: - Commercial registration certificate issued by the Chamber of Commerce of El Salvador - Tax payment certificate - Registration in CNR, Ministry of Finance and VAT card (d) Must have performed at least one (1) similar project valued at not less than USD 3,000,000.00 in the past ten years (2013-2022). * Similar Project: medical center, doctor's office, educational facilities (e) A bidder with a history of sanctions and penalties imposed by an international organization or the government of El Salvador is not eligible to apply. - If the Bidder is on any of the ineligibility lists of international organizations - In case of not having said lists or documents, the Bidders must present a guarantee that they have never been sanctioned or penalized by an i</x:v>
      </x:c>
      <x:c r="J2092" s="43" t="str">
        <x:v>자동추출·검토필요</x:v>
      </x:c>
    </x:row>
    <x:row r="2093">
      <x:c r="A2093" s="43" t="str">
        <x:v>L2023-00058-1</x:v>
      </x:c>
      <x:c r="B2093" s="43" t="str">
        <x:v>부가세·예비비</x:v>
      </x:c>
      <x:c r="C2093" s="46" t="str">
        <x:v>vat, tax</x:v>
      </x:c>
      <x:c r="D2093" s="46" t="str"/>
      <x:c r="E2093" s="46" t="str"/>
      <x:c r="F2093" s="46" t="str">
        <x:v>2.5%</x:v>
      </x:c>
      <x:c r="G2093" s="46" t="str">
        <x:v>L2023-00058-1/Section 2 - Bid Data Sheet_reannouncement_final.pdf</x:v>
      </x:c>
      <x:c r="H2093" s="43" t="str">
        <x:v>페이지 10</x:v>
      </x:c>
      <x:c r="I2093" s="46" t="str">
        <x:v>Documents for Submission ① Bidder’s information sheet (in the prescribed form) ② Bid security (in the prescribed form) ③ Documents evidencing the authenticity of the applicant’s signature or seal power of attorney ④ One set of documents evidencing the applicant’s eligibility to participate in the Bid - Commercial registration certificate issued by the Chamber of Commerce of El Salvador - Tax payment certificate - Registration in CNR, Ministry of Finance and VAT card - Performance Certificate as Final Reception Acts of the projects made. ⑤ - Declaration of Anti-corruption in ODA Business Participation (in free form) - A pledge that the bidder is not restricted or sanctioned from participating in a bid by an international organization or foreign government ⑥ Integrity Pledge (in the prescribed form) ⑦ Materials of qualification examination (in the prescribed form) - List and value of contracts for the last ten years of the same type projects/three years of similar works plus client’s contract details (name and email address) who may be contacted for further information on those contracts. - Audited financial statements including income statement and balance sheet for the last 3 Finan</x:v>
      </x:c>
      <x:c r="J2093" s="43" t="str">
        <x:v>자동추출·검토필요</x:v>
      </x:c>
    </x:row>
    <x:row r="2094">
      <x:c r="A2094" s="43" t="str">
        <x:v>L2023-00058-1</x:v>
      </x:c>
      <x:c r="B2094" s="43" t="str">
        <x:v>부가세·예비비</x:v>
      </x:c>
      <x:c r="C2094" s="46" t="str">
        <x:v>tax</x:v>
      </x:c>
      <x:c r="D2094" s="46" t="str"/>
      <x:c r="E2094" s="46" t="str"/>
      <x:c r="F2094" s="46" t="str">
        <x:v>15%</x:v>
      </x:c>
      <x:c r="G2094" s="46" t="str">
        <x:v>L2023-00058-1/Section 7 - General Conditions of Contract.pdf</x:v>
      </x:c>
      <x:c r="H2094" s="43" t="str">
        <x:v>페이지 15</x:v>
      </x:c>
      <x:c r="I2094" s="46" t="str">
        <x:v>(m) The Contractor shall not engage in any action that may interfere with the Construction Works or cause damage to the Employer, and shall indemnify the Employer for any damage suffered by the Employer as a result of causes attributable to the Contractor. Article 4.2 Performance Guarantee (a) Unless otherwise specified in the Detailed Terms and Conditions, the Contractor shall, by the [Effective Date] pay the Employer a cash amount equivalent to [15%] of the Contract Price to guarantee the performance of its obligations hereunder (the “Cash Guarantee”) or deliver to the Employer a Bank Guarantee for Performance in lieu of the Cash Guarantee. If the Employer agrees to exempt the Contractor from providing the whole or a portion of the Cash Guarantee, the Contractor shall deliver to the Employer a letter of undertaking pursuant to which it undertakes and covenants to pay the Cash Guarantee amount in cash upon the occurrence of certain events, including a breach by it of this Contract (the “Letter of Undertaking”). (b) If the Contract Period is extended or the Contract Price is increased due to changes in design of the Construction (the “Design”), each in accordance with this Contract</x:v>
      </x:c>
      <x:c r="J2094" s="43" t="str">
        <x:v>자동추출·검토필요</x:v>
      </x:c>
    </x:row>
    <x:row r="2095">
      <x:c r="A2095" s="43" t="str">
        <x:v>L2023-00058-1</x:v>
      </x:c>
      <x:c r="B2095" s="43" t="str">
        <x:v>부가세·예비비</x:v>
      </x:c>
      <x:c r="C2095" s="46" t="str">
        <x:v>reserve</x:v>
      </x:c>
      <x:c r="D2095" s="46" t="str"/>
      <x:c r="E2095" s="46" t="str"/>
      <x:c r="F2095" s="46" t="str">
        <x:v>0.5%</x:v>
      </x:c>
      <x:c r="G2095" s="46" t="str">
        <x:v>L2023-00058-1/Section 7 - General Conditions of Contract.pdf</x:v>
      </x:c>
      <x:c r="H2095" s="43" t="str">
        <x:v>페이지 18</x:v>
      </x:c>
      <x:c r="I2095" s="46" t="str">
        <x:v>(h) The Employer may deduct or offset any amount payable by the Contractor from any amount payable by the Employer to the Contractor. Article 4.5 Cooperation in respect of Relevant Construction Works If there are other construction works close to or related to the Construction Works hereunder (the “Relevant Construction Works”), the Contractor shall take all necessary measures to ensure that the Relevant Construction Works are not hindered or disrupted. Article 4.6 Standards and Criteria The Contractor shall, in compliance with this Contract and the instructions of the Construction Supervisor, establish standards or criteria to be applied to the Construction Works. The need to apply the standards or criteria consistently shall not excuse any breach by the Contractor of this Contract or the instructions of the Construction Supervisor or the Contractor’s omission to take action under this Contract or in accordance with the instructions of the Construction Supervisor unless the Contractor has obtained the prior written approval of the Employer. Article 4.7 Safety Obligations (a) In undertaking the Construction Works and any repair works, the Contractor shall comply with all safety and</x:v>
      </x:c>
      <x:c r="J2095" s="43" t="str">
        <x:v>자동추출·검토필요</x:v>
      </x:c>
    </x:row>
    <x:row r="2096">
      <x:c r="A2096" s="43" t="str">
        <x:v>L2023-00058-1</x:v>
      </x:c>
      <x:c r="B2096" s="43" t="str">
        <x:v>부가세·예비비</x:v>
      </x:c>
      <x:c r="C2096" s="46" t="str">
        <x:v>reserve</x:v>
      </x:c>
      <x:c r="D2096" s="46" t="str"/>
      <x:c r="E2096" s="46" t="str"/>
      <x:c r="F2096" s="46" t="str">
        <x:v>50% | 50%</x:v>
      </x:c>
      <x:c r="G2096" s="46" t="str">
        <x:v>L2023-00058-1/Section 7 - General Conditions of Contract.pdf</x:v>
      </x:c>
      <x:c r="H2096" s="43" t="str">
        <x:v>페이지 48</x:v>
      </x:c>
      <x:c r="I2096" s="46" t="str">
        <x:v>(c)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 Article 12.6 Payment for Completion (a) Within sixty (60) days from the date the Contractor receives a taking over certificate from the Employer, the Contractor shall, together with supporting documents, submit to the Employer a draft statement of account, which shall include the following details: (i) details of the Construction Works undertaken by the Contractor and the corresponding amount payable in respect thereto; and (ii) such other costs for which the Contractor may charge the Employer. (b) The Employer may reject the draft statement of account subm</x:v>
      </x:c>
      <x:c r="J2096" s="43" t="str">
        <x:v>자동추출·검토필요</x:v>
      </x:c>
    </x:row>
    <x:row r="2097">
      <x:c r="A2097" s="43" t="str">
        <x:v>L2023-00058-1</x:v>
      </x:c>
      <x:c r="B2097" s="43" t="str">
        <x:v>부가세·예비비</x:v>
      </x:c>
      <x:c r="C2097" s="46" t="str">
        <x:v>vat, tax</x:v>
      </x:c>
      <x:c r="D2097" s="46" t="str"/>
      <x:c r="E2097" s="46" t="str"/>
      <x:c r="F2097" s="46" t="str">
        <x:v>0.05%</x:v>
      </x:c>
      <x:c r="G2097" s="46" t="str">
        <x:v>L2023-00058-1/Section 9 - Contract Forms.pdf</x:v>
      </x:c>
      <x:c r="H2097" s="43" t="str">
        <x:v>페이지 1</x:v>
      </x:c>
      <x:c r="I2097" s="46" t="str">
        <x:v>Contract for International Construction Works This Contract for International Construction Works (this “Contract”) is made on the _______________ day of _______________ 2023 (the “Effective Date”) BETWEEN (1) The office in El Salvador of the Korea International Cooperation Agency (“KOICA”), a governmental organization established under the laws of the Republic of Korea (“Korea”) and having its registered address at Calle El Mirador y 87 Avenida Norte, Edificio Torre Futura, Nivel 10, Local 4, Colonia Escalón, San Salvador, El Salvador (the “Employer”); and (2) [insert name], a [insert type of company i.e. limited liability] company incorporated under the laws of [insert jurisdiction] and having its registered address at [insert full address] (the “Contractor”). A. CONTRACTOR’S COVENANT In connection with the Project for Strengthening the Capacity of the Human Resource in Health of El Salvador (the “Project”) which KOICA is in the process of implementing in El Salvador (the “Recipient Country”) and the related construction and construction works covered under the Construction of the National Training Center of the Ministry of Health of El Salvador (under Contract No. _______) (the “</x:v>
      </x:c>
      <x:c r="J2097" s="43" t="str">
        <x:v>자동추출·검토필요</x:v>
      </x:c>
    </x:row>
    <x:row r="2098">
      <x:c r="A2098" s="43" t="str">
        <x:v>L2023-00057-1</x:v>
      </x:c>
      <x:c r="B2098" s="43" t="str">
        <x:v>부가세·예비비</x:v>
      </x:c>
      <x:c r="C2098" s="46" t="str">
        <x:v>vat</x:v>
      </x:c>
      <x:c r="D2098" s="46" t="str"/>
      <x:c r="E2098" s="46" t="str">
        <x:v>USD 200,000</x:v>
      </x:c>
      <x:c r="F2098" s="46" t="str"/>
      <x:c r="G2098" s="46" t="str">
        <x:v>L2023-00057-1/2. Bid documents_eng_v4/2. Bid Data Sheet (BDS)_v4.docx</x:v>
      </x:c>
      <x:c r="H2098" s="43" t="str">
        <x:v>표 2 행 9</x:v>
      </x:c>
      <x:c r="I2098" s="46" t="str">
        <x:v>Max Bidding Price | USD 200,000 (Exclusive of VAT)</x:v>
      </x:c>
      <x:c r="J2098" s="43" t="str">
        <x:v>자동추출·검토필요</x:v>
      </x:c>
    </x:row>
    <x:row r="2099">
      <x:c r="A2099" s="43" t="str">
        <x:v>L2023-00054-2</x:v>
      </x:c>
      <x:c r="B2099" s="43" t="str">
        <x:v>부가세·예비비</x:v>
      </x:c>
      <x:c r="C2099" s="46" t="str">
        <x:v>vat, tax</x:v>
      </x:c>
      <x:c r="D2099" s="46" t="str">
        <x:v>6,682.620 ㎡ | 2,567.416 ㎡ | 4,284.375 ㎡ | 3,461.411 ㎡ | 637.133 ㎡ | 185.831 ㎡</x:v>
      </x:c>
      <x:c r="E2099" s="46" t="str">
        <x:v>USD 5,107,200 | USD 4,980,000 | USD 2,000,000</x:v>
      </x:c>
      <x:c r="F2099" s="46" t="str"/>
      <x:c r="G2099" s="46" t="str">
        <x:v>L2023-00054-2/Bidding Announcement_231103.pdf</x:v>
      </x:c>
      <x:c r="H2099" s="43" t="str">
        <x:v>페이지 1</x:v>
      </x:c>
      <x:c r="I2099" s="46" t="str">
        <x:v>Bid No: KOICA-PH-2023-3 Bidding Announcement for Construction Works Date: 03 November 2023 1. The Korea International Cooperation Agency (KOICA) Philippines Office invites the prospective Bidders for `the Construction of the Agricultural Genomics Research Center at the University of the Philippines Los Baños Project’. 2. These Construction Works are to be implemented with the grant aid of the Government of Republic of Korea. 3. Brief of Bidding The Construction of the Agricultural Genomics Research Center at the University of the Bid Title Philippines Los Baños Project Summary of Bidding Purpose Agricultural Genomics Research Center and Green House Project Site UPLB Campus, Los Baños, Laguna, Philippines 1. Lot area: 6,682.620㎡ 2. Building area: 2,567.416㎡ 3. Construction floor area: 4,284.375㎡ a) Main Building(2F) 3,461.411㎡ Scope of Works b) Green House 637.133㎡ c) Utilities 185.831㎡ (Warehouse, Pump room, Genset room, MRF, Guard house) * Construction Works shall include civil works, structural &amp; finishing works, piping/ mechanical works, electric/communication works, firefighting works, bench and signage according to the drawings and specifications Construction Duration 27 Month</x:v>
      </x:c>
      <x:c r="J2099" s="43" t="str">
        <x:v>자동추출·검토필요</x:v>
      </x:c>
    </x:row>
    <x:row r="2100">
      <x:c r="A2100" s="43" t="str">
        <x:v>L2023-00054-2</x:v>
      </x:c>
      <x:c r="B2100" s="43" t="str">
        <x:v>부가세·예비비</x:v>
      </x:c>
      <x:c r="C2100" s="46" t="str">
        <x:v>vat</x:v>
      </x:c>
      <x:c r="D2100" s="46" t="str"/>
      <x:c r="E2100" s="46" t="str">
        <x:v>pen 2023.11.14 10 | USD 5,107,200</x:v>
      </x:c>
      <x:c r="F2100" s="46" t="str">
        <x:v>5%</x:v>
      </x:c>
      <x:c r="G2100" s="46" t="str">
        <x:v>L2023-00054-2/Bidding Announcement_231103.pdf</x:v>
      </x:c>
      <x:c r="H2100" s="43" t="str">
        <x:v>페이지 2</x:v>
      </x:c>
      <x:c r="I2100" s="46" t="str">
        <x:v>10. Bid Schedule Event Date Remark KOICA PHILIPPINES OFFICE Website Bid Announcement 2023.11.3~11.5 (www.koica.go.kr/sites/phl_en/index.do) Registration to Participate 2023.11.6 15:00 Via e-mail Distribution of Bid Document 2023.11.7 Via e-mail Bid Inquiry Deadline 2023.11.8 15:00 Via e-mail Reply to Bid Inquiry 2023.11.9 Via e-mail Submission of Bid Document 2023.11.10 15:00 KOICA Philippines Office Bid open 2023.11.14 10:00 KOICA Philippines Office Post Qualification Evaluation 2023.11.15 KOICA Philippines Office Notify Preferred Bidder 2023.11.15 Via e-mail Negotiation 2023.11.16 KOICA Philippines Office Contract Sign 2023.11.24 KOICA Philippines Office *The dates of the bid schedule above are subject to change. 11. Bid proposal should not exceed USD 5,107,200 (including VAT). Any bid exceeding the project budget will result in rejection of bid. Details for bid price will be discussed during the pre-bid meeting. 12. Bid Security: at least 5% of bid amount; can be a bank guarantee, irrevocable credit, cash, or certified check 13. Further details regarding this bidding announcement is available in KOICA website provided above, 14. Contact Information E-mail: hwieun@koica.go.kr cop</x:v>
      </x:c>
      <x:c r="J2100" s="43" t="str">
        <x:v>자동추출·검토필요</x:v>
      </x:c>
    </x:row>
    <x:row r="2101">
      <x:c r="A2101" s="43" t="str">
        <x:v>L2023-00053-1</x:v>
      </x:c>
      <x:c r="B2101" s="43" t="str">
        <x:v>부가세·예비비</x:v>
      </x:c>
      <x:c r="C2101" s="46" t="str">
        <x:v>tax</x:v>
      </x:c>
      <x:c r="D2101" s="46" t="str"/>
      <x:c r="E2101" s="46" t="str">
        <x:v>USD 5,230,806</x:v>
      </x:c>
      <x:c r="F2101" s="46" t="str">
        <x:v>2.5%</x:v>
      </x:c>
      <x:c r="G2101" s="46" t="str">
        <x:v>L2023-00053-1/Urgench VTC Bid Attachment Documents/Urgench VTC Bid Attachment Documents/Invitation_for_Bids_Bid_Announcement.docx</x:v>
      </x:c>
      <x:c r="H2101" s="43" t="str">
        <x:v>표 1 행 9</x:v>
      </x:c>
      <x:c r="I2101" s="46" t="str">
        <x:v>• Base Price Practice | Base Price: USD 5,230,806 (excluding Value Added Tax and Customs Duty) *The safety management cost will be included in the contract price, which shall be zero point five (0.5) % of project cost that cannot be consumed for other purposes but safety management. the balance of the safety management cost shall be returned on the completion of works.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x:v>
      </x:c>
      <x:c r="J2101" s="43" t="str">
        <x:v>자동추출·검토필요</x:v>
      </x:c>
    </x:row>
    <x:row r="2102">
      <x:c r="A2102" s="43" t="str">
        <x:v>L2023-00053-1</x:v>
      </x:c>
      <x:c r="B2102" s="43" t="str">
        <x:v>부가세·예비비</x:v>
      </x:c>
      <x:c r="C2102" s="46" t="str">
        <x:v>tax</x:v>
      </x:c>
      <x:c r="D2102" s="46" t="str"/>
      <x:c r="E2102" s="46" t="str">
        <x:v>USD 1.74 million</x:v>
      </x:c>
      <x:c r="F2102" s="46" t="str"/>
      <x:c r="G2102" s="46" t="str">
        <x:v>L2023-00053-1/Urgench VTC Bid Attachment Documents/Urgench VTC Bid Attachment Documents/Section 3 - Bidding Forms.doc</x:v>
      </x:c>
      <x:c r="H2102" s="43" t="str">
        <x:v>문단 16</x:v>
      </x:c>
      <x:c r="I2102" s="46" t="str">
        <x:v>Required Documents Company License Certificate (Guvohnoma) An Evidence Document of Company Category, registered by Ministry of Construction of Uzbekistan (Only the companies, whose category rating is CCC or higher will be selected) Tax Payment Certificate (an evidence that the company has no debt for tax authorities for the date of Bidding Application) Copy of single project contract for Same/Similar Facilities completed within last 5 years : from 17.07.2018 till 16.07.2023 for more than USD 1.74 million. (Annex #4: Forms EXP-1, 2) Joint Venture Agreement Signed, (Annex #9) (if required)</x:v>
      </x:c>
      <x:c r="J2102" s="43" t="str">
        <x:v>자동추출·검토필요</x:v>
      </x:c>
    </x:row>
    <x:row r="2103">
      <x:c r="A2103" s="43" t="str">
        <x:v>L2023-00053-1</x:v>
      </x:c>
      <x:c r="B2103" s="43" t="str">
        <x:v>부가세·예비비</x:v>
      </x:c>
      <x:c r="C2103" s="46" t="str">
        <x:v>vat</x:v>
      </x:c>
      <x:c r="D2103" s="46" t="str"/>
      <x:c r="E2103" s="46" t="str"/>
      <x:c r="F2103" s="46" t="str">
        <x:v>12%</x:v>
      </x:c>
      <x:c r="G2103" s="46" t="str">
        <x:v>L2023-00053-1/Urgench VTC Bid Attachment Documents/Urgench VTC Bid Attachment Documents/Section 3 - Bidding Forms.doc</x:v>
      </x:c>
      <x:c r="H2103" s="43" t="str">
        <x:v>문단 48</x:v>
      </x:c>
      <x:c r="I2103" s="46" t="str">
        <x:v>B-1) SUMMARY Item Description Total Bid Price (without VAT) VAT (12%) Total Bid Price (with VAT) 1 The Construction Cost of Urgench Vocational Training Center</x:v>
      </x:c>
      <x:c r="J2103" s="43" t="str">
        <x:v>자동추출·검토필요</x:v>
      </x:c>
    </x:row>
    <x:row r="2104">
      <x:c r="A2104" s="43" t="str">
        <x:v>L2023-00053-1</x:v>
      </x:c>
      <x:c r="B2104" s="43" t="str">
        <x:v>부가세·예비비</x:v>
      </x:c>
      <x:c r="C2104" s="46" t="str">
        <x:v>vat</x:v>
      </x:c>
      <x:c r="D2104" s="46" t="str"/>
      <x:c r="E2104" s="46" t="str">
        <x:v>US$ 5,230,806</x:v>
      </x:c>
      <x:c r="F2104" s="46" t="str"/>
      <x:c r="G2104" s="46" t="str">
        <x:v>L2023-00053-1/Urgench VTC Bid Attachment Documents/Urgench VTC Bid Attachment Documents/Section 6. Specification(SNIF_ GOST_ Bid Explaination ).pptx</x:v>
      </x:c>
      <x:c r="H2104" s="43" t="str">
        <x:v>슬라이드 3</x:v>
      </x:c>
      <x:c r="I2104" s="46" t="str">
        <x:v>1. SYNOPSIS OF BID | BID ANNOUNCEMENT NUMBER: | KOICA-P-UZB-2023-6 | NAME OF PROJECT | Urgench Vocational Training Center and Teachers’ Training Center in Tashkent | BUDGET (USD) | Approximately US$ 5,230,806 (VAT excluded) | SITE LOCATION | Urgench Vocational Training Center : St. Khonka, "Buston" mahalla, Urgench city, Khorezm region. Teachers’ Training Center : Inside of Tashkent Vocational Training Center(Sergeli-8, 100085, Uzbekistan) | CONTRACT PERIOD | 1) Urgench Vocational Training Center : 19 months(Construction Period 18 months) 2) Teachers’ Training Center : 13 months(Construction Period 12 months) | SCOPE OF WORK | 1) Construction of Urgench Vocational Training Center - Administration building block: 2 storey above ground - Lecture and Work Shop building block: 2 storey above ground - Dormitory building block: 2 storey above ground - Guard Room and others : 1 storey above ground 2. Construction of Tashkent Teachers’ Training Center - Administration and Lecture building block: 2 storey above ground</x:v>
      </x:c>
      <x:c r="J2104" s="43" t="str">
        <x:v>자동추출·검토필요</x:v>
      </x:c>
    </x:row>
    <x:row r="2105">
      <x:c r="A2105" s="43" t="str">
        <x:v>L2023-00053-1</x:v>
      </x:c>
      <x:c r="B2105" s="43" t="str">
        <x:v>부가세·예비비</x:v>
      </x:c>
      <x:c r="C2105" s="46" t="str">
        <x:v>tax</x:v>
      </x:c>
      <x:c r="D2105" s="46" t="str"/>
      <x:c r="E2105" s="46" t="str">
        <x:v>USD 1.74 million</x:v>
      </x:c>
      <x:c r="F2105" s="46" t="str">
        <x:v>2.5%</x:v>
      </x:c>
      <x:c r="G2105" s="46" t="str">
        <x:v>L2023-00053-1/Urgench VTC Bid Attachment Documents/Urgench VTC Bid Attachment Documents/Section 6. Specification(SNIF_ GOST_ Bid Explaination ).pptx</x:v>
      </x:c>
      <x:c r="H2105" s="43" t="str">
        <x:v>슬라이드 5</x:v>
      </x:c>
      <x:c r="I2105" s="46" t="str">
        <x:v>3. LIST OF BID DOCUMENTS FOR SUBMISSION | [1] Construction License Certificate (Guvohnoma) | [2] Tax Payment Certificate (an evidence that the company has no debt for tax authorities for the date of Bidding Applying) | [3] Financial Statement Status for 3 years :2020~2022. (Annex #5). | [4] An Evidence Document of Company Category, registered by Ministry of Construction of Uzbekistan (Only the companies, whose category rating is CCC or higher will be selected). | [5] An Evidence (Annex #4: Forms EXP-1, 2) of construction performance record, Same/Similar facilities completed within last 5 years : from 17.07.2018 till 16.07.2023 (Completion Certificate &amp; Copy of the Single Contract for more than USD 1.74 million) | [6] Proposed site manager’s information &amp; certificates: - Copy of national identity document (passport/ID card) - Graduate Certificate (Diploma) of construction related Education Institute | - HR evidence document of professional experience (signed/stamped)/- CV (Annex #4: Form : EXP-3) - Additional Documents in Construction field (if available) | [7] Audit Reports over the past 3 fiscal years (2020 ~ 2022) signed and stamped by Audit Company:- Balance sheet to verify debt</x:v>
      </x:c>
      <x:c r="J2105" s="43" t="str">
        <x:v>자동추출·검토필요</x:v>
      </x:c>
    </x:row>
    <x:row r="2106">
      <x:c r="A2106" s="43" t="str">
        <x:v>L2023-00053-1</x:v>
      </x:c>
      <x:c r="B2106" s="43" t="str">
        <x:v>부가세·예비비</x:v>
      </x:c>
      <x:c r="C2106" s="46" t="str">
        <x:v>reserve</x:v>
      </x:c>
      <x:c r="D2106" s="46" t="str"/>
      <x:c r="E2106" s="46" t="str">
        <x:v>USD 5,230,806</x:v>
      </x:c>
      <x:c r="F2106" s="46" t="str">
        <x:v>2.5% | 85.495%</x:v>
      </x:c>
      <x:c r="G2106" s="46" t="str">
        <x:v>L2023-00053-1/Urgench VTC Bid Attachment Documents/Urgench VTC Bid Attachment Documents/Section 6. Specification(SNIF_ GOST_ Bid Explaination ).pptx</x:v>
      </x:c>
      <x:c r="H2106" s="43" t="str">
        <x:v>슬라이드 11</x:v>
      </x:c>
      <x:c r="I2106" s="46" t="str">
        <x:v>5.3.3 Bid Price Evaluation (50) | ※ ｜｜ indicates absolute value ※ If, value of “BP/EP” has decimal points, it is rounded off to the five decimals. ※ If the bid price is less than the estimated price and is 90.5/100 or more of the estimated price, the rating is 45 points. (only for the bidders whose BP is lower than the EP.) ※ The lowest rating is 2 points. ※ Decision of Estimated Price Estimated Price (method of determining the Estimated Price) : To Create and seal 15 different multiple reserve prices (proposed randomly by KOICA) within the range of ±2.5% of the Base Price (USD 5,230,806) at the time of the Price Opening To select 4 companies (lotters) who want to be selected from among the participating companies (bidders) and draw one by one. The four plural reserve prices drawn are arithmetically averaged and this is the Estimated Price. ※ Starting from the lowest price Bidder with 85.495% or more of the Estimated Price, the evaluation items of the performance ability including construction experience and company management status, and the bid price are evaluated and added to the total points. ※ The lowest price Bidder who obtains the total 95 points or more of evaluation will b</x:v>
      </x:c>
      <x:c r="J2106" s="43" t="str">
        <x:v>자동추출·검토필요</x:v>
      </x:c>
    </x:row>
    <x:row r="2107">
      <x:c r="A2107" s="43" t="str">
        <x:v>L2023-00053-1</x:v>
      </x:c>
      <x:c r="B2107" s="43" t="str">
        <x:v>부가세·예비비</x:v>
      </x:c>
      <x:c r="C2107" s="46" t="str">
        <x:v>reserve</x:v>
      </x:c>
      <x:c r="D2107" s="46" t="str"/>
      <x:c r="E2107" s="46" t="str"/>
      <x:c r="F2107" s="46" t="str">
        <x:v>0.5%</x:v>
      </x:c>
      <x:c r="G2107" s="46" t="str">
        <x:v>L2023-00053-1/Urgench VTC Bid Attachment Documents/Urgench VTC Bid Attachment Documents/Section 7 - General Conditions of Contract1.docx</x:v>
      </x:c>
      <x:c r="H2107" s="43" t="str">
        <x:v>표 4 행 109</x:v>
      </x:c>
      <x:c r="I2107"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 (iv) hereof must include details of how the Safety Management Costs will be utilized.</x:v>
      </x:c>
      <x:c r="J2107" s="43" t="str">
        <x:v>자동추출·검토필요</x:v>
      </x:c>
    </x:row>
    <x:row r="2108">
      <x:c r="A2108" s="43" t="str">
        <x:v>L2023-00053-1</x:v>
      </x:c>
      <x:c r="B2108" s="43" t="str">
        <x:v>부가세·예비비</x:v>
      </x:c>
      <x:c r="C2108" s="46" t="str">
        <x:v>reserve</x:v>
      </x:c>
      <x:c r="D2108" s="46" t="str"/>
      <x:c r="E2108" s="46" t="str"/>
      <x:c r="F2108" s="46" t="str">
        <x:v>50% | 50%</x:v>
      </x:c>
      <x:c r="G2108" s="46" t="str">
        <x:v>L2023-00053-1/Urgench VTC Bid Attachment Documents/Urgench VTC Bid Attachment Documents/Section 7 - General Conditions of Contract1.docx</x:v>
      </x:c>
      <x:c r="H2108" s="43" t="str">
        <x:v>표 12 행 61</x:v>
      </x:c>
      <x:c r="I2108"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108" s="43" t="str">
        <x:v>자동추출·검토필요</x:v>
      </x:c>
    </x:row>
    <x:row r="2109">
      <x:c r="A2109" s="43" t="str">
        <x:v>L2023-00053-1</x:v>
      </x:c>
      <x:c r="B2109" s="43" t="str">
        <x:v>부가세·예비비</x:v>
      </x:c>
      <x:c r="C2109" s="46" t="str">
        <x:v>reserve</x:v>
      </x:c>
      <x:c r="D2109" s="46" t="str"/>
      <x:c r="E2109" s="46" t="str"/>
      <x:c r="F2109" s="46" t="str">
        <x:v>3% | 3%</x:v>
      </x:c>
      <x:c r="G2109" s="46" t="str">
        <x:v>L2023-00053-1/Urgench VTC Bid Attachment Documents/Urgench VTC Bid Attachment Documents/Section 8 - Special Conditions of Contract1.docx</x:v>
      </x:c>
      <x:c r="H2109" s="43" t="str">
        <x:v>표 3 행 19</x:v>
      </x:c>
      <x:c r="I2109" s="46" t="str">
        <x:v>Security Deposit for Defects | To reserve 3% of the Contract Price, or to provide the Maintenance Security Bond for Defects as a form attached hereto, valid no less than 60 days from the date of Defect Notification Period expires. | To reserve 3% of the Contract Price, or to provide the Maintenance Security Bond for Defects as a form attached hereto, valid no less than 60 days from the date of Defect Notification Period expires.</x:v>
      </x:c>
      <x:c r="J2109" s="43" t="str">
        <x:v>자동추출·검토필요</x:v>
      </x:c>
    </x:row>
    <x:row r="2110">
      <x:c r="A2110" s="43" t="str">
        <x:v>L2023-00053-1</x:v>
      </x:c>
      <x:c r="B2110" s="43" t="str">
        <x:v>부가세·예비비</x:v>
      </x:c>
      <x:c r="C2110" s="46" t="str">
        <x:v>부가가치세</x:v>
      </x:c>
      <x:c r="D2110" s="46" t="str"/>
      <x:c r="E2110" s="46" t="str">
        <x:v>USD 5,230,806</x:v>
      </x:c>
      <x:c r="F2110" s="46" t="str"/>
      <x:c r="G2110" s="46" t="str">
        <x:v>L2023-00053-1/Urgench VTC Bid Attachment Documents/Urgench VTC Bid Attachment Documents/Urgench_VTC_Bid Annoncement(The Daily Korean News for Korean Residents).docx</x:v>
      </x:c>
      <x:c r="H2110" s="43" t="str">
        <x:v>문단 7</x:v>
      </x:c>
      <x:c r="I2110" s="46" t="str">
        <x:v>■ 기초금액 예정액 : USD 5,230,806 (부가가치세 미포함)</x:v>
      </x:c>
      <x:c r="J2110" s="43" t="str">
        <x:v>자동추출·검토필요</x:v>
      </x:c>
    </x:row>
    <x:row r="2111">
      <x:c r="A2111" s="43" t="str">
        <x:v>L2023-00045-1</x:v>
      </x:c>
      <x:c r="B2111" s="43" t="str">
        <x:v>부가세·예비비</x:v>
      </x:c>
      <x:c r="C2111" s="46" t="str">
        <x:v>vat</x:v>
      </x:c>
      <x:c r="D2111" s="46" t="str"/>
      <x:c r="E2111" s="46" t="str">
        <x:v>USD 297,000</x:v>
      </x:c>
      <x:c r="F2111" s="46" t="str"/>
      <x:c r="G2111" s="46" t="str">
        <x:v>L2023-00045-1/입찰공고문_영문_Final.docx</x:v>
      </x:c>
      <x:c r="H2111" s="43" t="str">
        <x:v>문단 15</x:v>
      </x:c>
      <x:c r="I2111" s="46" t="str">
        <x:v>Estimated Price: USD 297,000 (VAT exclusive)</x:v>
      </x:c>
      <x:c r="J2111" s="43" t="str">
        <x:v>자동추출·검토필요</x:v>
      </x:c>
    </x:row>
    <x:row r="2112">
      <x:c r="A2112" s="43" t="str">
        <x:v>L2023-00040-1</x:v>
      </x:c>
      <x:c r="B2112" s="43" t="str">
        <x:v>부가세·예비비</x:v>
      </x:c>
      <x:c r="C2112" s="46" t="str">
        <x:v>vat</x:v>
      </x:c>
      <x:c r="D2112" s="46" t="str"/>
      <x:c r="E2112" s="46" t="str">
        <x:v>USD 73,800</x:v>
      </x:c>
      <x:c r="F2112" s="46" t="str">
        <x:v>18%</x:v>
      </x:c>
      <x:c r="G2112" s="46" t="str">
        <x:v>L2023-00040-1/입찰설명서(국문).hwp</x:v>
      </x:c>
      <x:c r="H2112" s="43" t="str">
        <x:v>문단 73</x:v>
      </x:c>
      <x:c r="I2112" s="46" t="str">
        <x:v>다. 입찰한도액 : USD 73,800 (VAT 18% 포함)湯湷  (부가세 등 제비용 포함)</x:v>
      </x:c>
      <x:c r="J2112" s="43" t="str">
        <x:v>자동추출·검토필요</x:v>
      </x:c>
    </x:row>
    <x:row r="2113">
      <x:c r="A2113" s="43" t="str">
        <x:v>L2023-00040-1</x:v>
      </x:c>
      <x:c r="B2113" s="43" t="str">
        <x:v>부가세·예비비</x:v>
      </x:c>
      <x:c r="C2113" s="46" t="str">
        <x:v>vat, tax</x:v>
      </x:c>
      <x:c r="D2113" s="46" t="str"/>
      <x:c r="E2113" s="46" t="str">
        <x:v>USD 73,800</x:v>
      </x:c>
      <x:c r="F2113" s="46" t="str">
        <x:v>18%</x:v>
      </x:c>
      <x:c r="G2113" s="46" t="str">
        <x:v>L2023-00040-1/입찰안내자료(영문)/2. Bid Data Sheet (BDS).docx</x:v>
      </x:c>
      <x:c r="H2113" s="43" t="str">
        <x:v>문단 41</x:v>
      </x:c>
      <x:c r="I2113" s="46" t="str">
        <x:v>Maximum Bidding Price : USD 73,800 (VAT 18% included) (All taxes and costs included)</x:v>
      </x:c>
      <x:c r="J2113" s="43" t="str">
        <x:v>자동추출·검토필요</x:v>
      </x:c>
    </x:row>
    <x:row r="2114">
      <x:c r="A2114" s="43" t="str">
        <x:v>L2023-00040-1</x:v>
      </x:c>
      <x:c r="B2114" s="43" t="str">
        <x:v>부가세·예비비</x:v>
      </x:c>
      <x:c r="C2114" s="46" t="str">
        <x:v>contingency</x:v>
      </x:c>
      <x:c r="D2114" s="46" t="str"/>
      <x:c r="E2114" s="46" t="str"/>
      <x:c r="F2114" s="46" t="str">
        <x:v>0.5% | 2%</x:v>
      </x:c>
      <x:c r="G2114" s="46" t="str">
        <x:v>L2023-00040-1/입찰안내자료(영문)/4. Terms of Reference.docx</x:v>
      </x:c>
      <x:c r="H2114" s="43" t="str">
        <x:v>문단 130</x:v>
      </x:c>
      <x:c r="I2114" s="46" t="str">
        <x:v>Bill of quantity shall include safety management cost (0.5% of total construction cost) and contingency (2% of total construction cost).</x:v>
      </x:c>
      <x:c r="J2114" s="43" t="str">
        <x:v>자동추출·검토필요</x:v>
      </x:c>
    </x:row>
    <x:row r="2115">
      <x:c r="A2115" s="43" t="str">
        <x:v>L2023-00038-1</x:v>
      </x:c>
      <x:c r="B2115" s="43" t="str">
        <x:v>부가세·예비비</x:v>
      </x:c>
      <x:c r="C2115" s="46" t="str">
        <x:v>tax</x:v>
      </x:c>
      <x:c r="D2115" s="46" t="str"/>
      <x:c r="E2115" s="46" t="str">
        <x:v>USD 488,441 | USD 488,441</x:v>
      </x:c>
      <x:c r="F2115" s="46" t="str"/>
      <x:c r="G2115" s="46" t="str">
        <x:v>L2023-00038-1/2. 현지입찰 첨부문서 묶음/00_ KOICA_BID Announcement.doc</x:v>
      </x:c>
      <x:c r="H2115" s="43" t="str">
        <x:v>문단 3</x:v>
      </x:c>
      <x:c r="I2115" s="46" t="str">
        <x:v>Description of Project Bid Title: Design and Construction Supervision Consultant Services for the National Rehabilitation Center in Fiji Summary of Design &amp; Construction Supervision ◌ Duration: Contract period is 34months including Design (12 months), Supervision (19 months) and others (3months) ◌ Location of the site: Suva, Fiji ◌ Estimated Price: FJD 976,882 (Design: USD 488,441 Construction Supervision: USD 488,441) *All taxes and expenses are included</x:v>
      </x:c>
      <x:c r="J2115" s="43" t="str">
        <x:v>자동추출·검토필요</x:v>
      </x:c>
    </x:row>
    <x:row r="2116">
      <x:c r="A2116" s="43" t="str">
        <x:v>L2023-00038-1</x:v>
      </x:c>
      <x:c r="B2116" s="43" t="str">
        <x:v>부가세·예비비</x:v>
      </x:c>
      <x:c r="C2116" s="46" t="str">
        <x:v>vat</x:v>
      </x:c>
      <x:c r="D2116" s="46" t="str"/>
      <x:c r="E2116" s="46" t="str">
        <x:v>USD 488,441</x:v>
      </x:c>
      <x:c r="F2116" s="46" t="str"/>
      <x:c r="G2116" s="46" t="str">
        <x:v>L2023-00038-1/2. 현지입찰 첨부문서 묶음/04_Chapter_4._Invitation_to_Bid.docx</x:v>
      </x:c>
      <x:c r="H2116" s="43" t="str">
        <x:v>표 1 행 4</x:v>
      </x:c>
      <x:c r="I2116" s="46" t="str">
        <x:v>• Estimated Price | Estimated Price: FJD 976,882 (Design: FJD 488,441, Construction Supervision: USD 488,441) ** including VAT</x:v>
      </x:c>
      <x:c r="J2116" s="43" t="str">
        <x:v>자동추출·검토필요</x:v>
      </x:c>
    </x:row>
    <x:row r="2117">
      <x:c r="A2117" s="43" t="str">
        <x:v>L2023-00038-1</x:v>
      </x:c>
      <x:c r="B2117" s="43" t="str">
        <x:v>부가세·예비비</x:v>
      </x:c>
      <x:c r="C2117" s="46" t="str">
        <x:v>vat</x:v>
      </x:c>
      <x:c r="D2117" s="46" t="str">
        <x:v>40 ㎡ | 40 ㎡</x:v>
      </x:c>
      <x:c r="E2117" s="46" t="str"/>
      <x:c r="F2117" s="46" t="str">
        <x:v>40% | 40% | 40%</x:v>
      </x:c>
      <x:c r="G2117" s="46" t="str">
        <x:v>L2023-00038-1/2. 현지입찰 첨부문서 묶음/Addendum_No.3_Space program.pdf</x:v>
      </x:c>
      <x:c r="H2117" s="43" t="str">
        <x:v>페이지 3</x:v>
      </x:c>
      <x:c r="I2117" s="46" t="str">
        <x:v>FIJI_NRC_Space Program by PMC 2032.06.18. 실면적 Size of unit(㎡) 단위면적 부문 과 실수 실면적 계 비고 실명 Units Area per Section Department Number of Sum of area Note unit units (㎡) (㎡) 화장실(남/여) Toilet(M/F) 2 20 40 직원화장실 병동 공동이용 Staff toilet(M/F) 2 20 40 (남/여) shared upon wards 병동부 계 Ward department area sum 540 순면적 계 Net area sum 1,861.00 공용면적 Common area 744.40 hall, corridor(40%) 화장실 포함 경비실 security office 2 8 16 toilet included 유지관리실 maintenance room 1 15 15 발전기실 generator room 1 15 15 Medical Waste 소각장 대신 설치 의료폐기물저장 1 10 10 Installation in place of an Storage 기타 필요시설 incinerator (별동,외부) 별동 Other necessary 빨래 건조실 Drying shed 1 25 25 기타시설 Other separate building facilities facilities(separate buildings, exterior) 고가수조 elevated tank 정화조 septic tank 울타리 Fence 주차장(20대) parking lot(20) 설계단계에서 예산을 고려하여 결 정 조경 landscape Decide on a budget in design phase 기타시설 계 Other facilities area sum 81.00 피지 국립재활센터 면적 총 계 Total area 2,686.40 ※ 6.6m x 6m 모듈(40㎡)을 반영하고 적당한 복도폭을 고려하여 공용면적비를 40% 반영함 6.6m x 6m module (40㎡) is reflected and 40% of the common area ratio is reflected in consideration of the appropriate corridor width 페이지 3</x:v>
      </x:c>
      <x:c r="J2117" s="43" t="str">
        <x:v>자동추출·검토필요</x:v>
      </x:c>
    </x:row>
    <x:row r="2118">
      <x:c r="A2118" s="43" t="str">
        <x:v>L2023-00038-1</x:v>
      </x:c>
      <x:c r="B2118" s="43" t="str">
        <x:v>부가세·예비비</x:v>
      </x:c>
      <x:c r="C2118" s="46" t="str">
        <x:v>tax</x:v>
      </x:c>
      <x:c r="D2118" s="46" t="str"/>
      <x:c r="E2118" s="46" t="str">
        <x:v>$ 000,000.00 | $ 000,000.00 | $ 00,000.00</x:v>
      </x:c>
      <x:c r="F2118" s="46" t="str"/>
      <x:c r="G2118" s="46" t="str">
        <x:v>L2023-00038-1/2. 현지입찰 첨부문서 묶음/Attachment_1._Form_of_Price Proposal.doc</x:v>
      </x:c>
      <x:c r="H2118" s="43" t="str">
        <x:v>문단 13</x:v>
      </x:c>
      <x:c r="I2118" s="46" t="str">
        <x:v>[첨부 7-3-2 입찰서(용역) 서식] Form of B I D Bidding No. KOICA-Fiji-2023-03 Date of Bid MM dd, 2023 Bid Total Amount [numbers] U$ 000,000.00 [words] Contract Period 16months including Design (6 months), Supervision (8 months) and others (2months) Price for Design [numbers] U$ 000,000.00 [words] Price for Supervision [numbers] U$ 00,000.00 [words] Details of the Bidder Section Name of Firm Address Chief Executive Bidding Agent Name Taxpayer ID No.</x:v>
      </x:c>
      <x:c r="J2118" s="43" t="str">
        <x:v>자동추출·검토필요</x:v>
      </x:c>
    </x:row>
    <x:row r="2119">
      <x:c r="A2119" s="43" t="str">
        <x:v>L2023-00037-1</x:v>
      </x:c>
      <x:c r="B2119" s="43" t="str">
        <x:v>부가세·예비비</x:v>
      </x:c>
      <x:c r="C2119" s="46" t="str">
        <x:v>vat, tax</x:v>
      </x:c>
      <x:c r="D2119" s="46" t="str">
        <x:v>1,316.00 ㎡ | 2,983.00 ㎡</x:v>
      </x:c>
      <x:c r="E2119" s="46" t="str">
        <x:v>USD 200,000</x:v>
      </x:c>
      <x:c r="F2119" s="46" t="str"/>
      <x:c r="G2119" s="46" t="str">
        <x:v>L2023-00037-1/영서문 입찰문서 일체_v3/2. Bid Data Sheet (BDS)_v3.pdf</x:v>
      </x:c>
      <x:c r="H2119" s="43" t="str">
        <x:v>페이지 2</x:v>
      </x:c>
      <x:c r="I2119" s="46" t="str">
        <x:v>1. Brief of Bidding Invitation No. L2023-0000-3 Procurement of supervision consultant for “The Project for the Bid Title Establishment of National Health Training Center of the Ministry of Health of El Salvador” in El Salvador Centro Internacional de Ferias y Concenciones (CIFCO), Salon No. Location 5, Avenida La Revolution 222, Department of San Salvador Program Educational, Office Facility Site Area 1,316.00 ㎡ Gross Floor Area 2,983.00 ㎡ - Supervision of the construction work including architectural, structural, civil, sanitary, electricity, communication and landscaping works, etc., according to the bidding documents and design documents provided by KOICA El Salvador office. - Support for building permit, approval for construction from government agency and obtaining certificate of occupancy. - Inspection of construction works - Review of documents submitted by the contractor Scope of Work • Commencement report, request for material selection, work progress report, design change report • Report on design error, omission, defects, etc. • Shop drawing • Payment request, safety management expenses • As-built drawings and operation &amp; maintenance manual, etc. - Conduct preliminary an</x:v>
      </x:c>
      <x:c r="J2119" s="43" t="str">
        <x:v>자동추출·검토필요</x:v>
      </x:c>
    </x:row>
    <x:row r="2120">
      <x:c r="A2120" s="43" t="str">
        <x:v>L2023-00037-1</x:v>
      </x:c>
      <x:c r="B2120" s="43" t="str">
        <x:v>부가세·예비비</x:v>
      </x:c>
      <x:c r="C2120" s="46" t="str">
        <x:v>vat, tax</x:v>
      </x:c>
      <x:c r="D2120" s="46" t="str">
        <x:v>2,900 ㎡</x:v>
      </x:c>
      <x:c r="E2120" s="46" t="str"/>
      <x:c r="F2120" s="46" t="str">
        <x:v>85% | 90% | 10%</x:v>
      </x:c>
      <x:c r="G2120" s="46" t="str">
        <x:v>L2023-00037-1/영서문 입찰문서 일체_v3/2. Bid Data Sheet (BDS)_v3.pdf</x:v>
      </x:c>
      <x:c r="H2120" s="43" t="str">
        <x:v>페이지 3</x:v>
      </x:c>
      <x:c r="I2120" s="46" t="str">
        <x:v>(b) Selection of the Successful Bidder: Contract by Negotiation (Comprehensive Evaluation of Technical and Price Proposal) o Based on KOICA [Guideline for Contracting by Negotiation], the bidder with bid price below the estimated price and at least 85% technical capability score of the score limit will be selected as the qualified bidder. o Order of negotiation will be determined in order of higher score of the qualified bidders, combined score with technical evaluation (90%) and price evaluation (10%). (When there are two or more bidders with the same combined score, the bidder with higher technical score will have the priority. When technical scores are the same, the bidder with higher score in detailed scoring items with bigger proportion will have priority.) o Negotiation will be conducted in order described in above. When agreed, the preferred bidder will be decided and the contract will be signed. - When negotiation is settled, no other negotiation will be conducted. (If the negotiation with the preferred bidder is failed, the negotiation with the next bidder in order will be conducted.) - When all negotiations fail, the bidding can be re-announced. - After completed the sele</x:v>
      </x:c>
      <x:c r="J2120" s="43" t="str">
        <x:v>자동추출·검토필요</x:v>
      </x:c>
    </x:row>
    <x:row r="2121">
      <x:c r="A2121" s="43" t="str">
        <x:v>L2023-00037-1</x:v>
      </x:c>
      <x:c r="B2121" s="43" t="str">
        <x:v>부가세·예비비</x:v>
      </x:c>
      <x:c r="C2121" s="46" t="str">
        <x:v>vat, tax</x:v>
      </x:c>
      <x:c r="D2121" s="46" t="str">
        <x:v>2,900 ㎡</x:v>
      </x:c>
      <x:c r="E2121" s="46" t="str"/>
      <x:c r="F2121" s="46" t="str">
        <x:v>2.5%</x:v>
      </x:c>
      <x:c r="G2121" s="46" t="str">
        <x:v>L2023-00037-1/영서문 입찰문서 일체_v3/2. Bid Data Sheet (BDS)_v3.pdf</x:v>
      </x:c>
      <x:c r="H2121" s="43" t="str">
        <x:v>페이지 7</x:v>
      </x:c>
      <x:c r="I2121" s="46" t="str">
        <x:v>List of bid documents No List of bid documents • Letter of Bid [Bidding Form 1] 1 - Requires signature of representative and company stamp - Power of Attorney (requires notarization), if applicable • Documents evidencing the applicant’s eligibility to participate in the Bid - Commercial registration certificate issued by the Chamber of Commerce of El Salvador 2 - Tax payment certificate - Registration in CNR, Ministry of Finance and VAT card - Performance Certificate as Final Reception Acts of the projects made. 3 • Bidder’s Information Sheet [Bidding Form 2] • Performance Record [Bidding Form 3] - Project with no less than 2,900㎡ gross floor area (G.F.A.) for the last 5 years as of bid announcement. 4 - Certificate of project experience, official letter or confirmation of final payment issued by the client, or a copy of the contract • Financial Status [Bidding Form 4] - Ratio of debt and liquidity at FY 2020~2022 - Financial status with auditor’s report • Project Execution Plan [Bidding Form 5] - Understanding of Work 5 - Personnel Proposal and Operation - Work Execution Plan - Additional Propositions - Project Organization and Key Personnel [Bidding Form 6] • Price Proposal [Bidd</x:v>
      </x:c>
      <x:c r="J2121" s="43" t="str">
        <x:v>자동추출·검토필요</x:v>
      </x:c>
    </x:row>
    <x:row r="2122">
      <x:c r="A2122" s="43" t="str">
        <x:v>L2023-00037-1</x:v>
      </x:c>
      <x:c r="B2122" s="43" t="str">
        <x:v>부가세·예비비</x:v>
      </x:c>
      <x:c r="C2122" s="46" t="str">
        <x:v>vat, tax</x:v>
      </x:c>
      <x:c r="D2122" s="46" t="str"/>
      <x:c r="E2122" s="46" t="str"/>
      <x:c r="F2122" s="46" t="str">
        <x:v>60% | 60% | 30%</x:v>
      </x:c>
      <x:c r="G2122" s="46" t="str">
        <x:v>L2023-00037-1/영서문 입찰문서 일체_v3/3. Bidding Forms_v3.pdf</x:v>
      </x:c>
      <x:c r="H2122" s="43" t="str">
        <x:v>페이지 11</x:v>
      </x:c>
      <x:c r="I2122" s="46" t="str">
        <x:v>Bill of Quantities Unit Rate Amount Description Unit Q'ty Remarks (USD) (USD) 1. Direct Cost Project Manager M/M Full time on site Architect Engineer M/M Full time on site Electrical Engineer M/M Part time, 3 times/week (60%) Mechanical Engineer M/M Part time, 3 times/week (60%) Structural Engineer M/M Part time, as necessary (30%) Sub-Total 2. Indirect Cost Office Equipment &amp; Amenity L/S 1 3. Overhead &amp; Expenses L/S 1 Total 1. The bill of quantities shall be used for the calculation of an indicative price for the purpose of Price Proposal Submission. No need to submit this form for the bidding. After contracting, the Consultant may propose modified bill of quantities and obtain approval from the Employer, according to his own supervision planning. However, the total contract price shall not be changed. 2. Office equipment shall include personal computers, a printer with necessary supply of consumables such as toners and papers. Amenity shall include, but not limited to, portable waters, coffee and coffee pot, and a microwave for use of the Employer and CM in the project site office. 3. The Overhead &amp; Expenses shall include all costs for the non-resident consultant such as equipmen</x:v>
      </x:c>
      <x:c r="J2122" s="43" t="str">
        <x:v>자동추출·검토필요</x:v>
      </x:c>
    </x:row>
    <x:row r="2123">
      <x:c r="A2123" s="43" t="str">
        <x:v>L2023-00037-1</x:v>
      </x:c>
      <x:c r="B2123" s="43" t="str">
        <x:v>부가세·예비비</x:v>
      </x:c>
      <x:c r="C2123" s="46" t="str">
        <x:v>vat, tax</x:v>
      </x:c>
      <x:c r="D2123" s="46" t="str"/>
      <x:c r="E2123" s="46" t="str"/>
      <x:c r="F2123" s="46" t="str">
        <x:v>0.125%</x:v>
      </x:c>
      <x:c r="G2123" s="46" t="str">
        <x:v>L2023-00037-1/영서문 입찰문서 일체_v3/7. Contract Forms (Standard Format).pdf</x:v>
      </x:c>
      <x:c r="H2123" s="43" t="str">
        <x:v>페이지 1</x:v>
      </x:c>
      <x:c r="I2123" s="46" t="str">
        <x:v>Contract for International Supervision Works This Contract for International Supervision Works (this “Contract”) is made on the _______________ day of _______________ 2023 (the “Effective Date”) BETWEEN (1) The El Salvador local office of the Korea International Cooperation Agency (“KOICA”), a governmental organization established under the laws of the Republic of Korea (“Korea”) and having its registered address at 825, Daewangpangyo-ro, Sujeong-gu, Seongnam-si, Gyeonggi-do, Republic of Korea (13449) (the “Employer”); and (2) [insert name], a [insert type of company i.e. limited liability] company incorporated under the laws of [insert jurisdiction] and having its registered address at [insert full address] (the “Contractor”). A. CONTRACTOR’S COVENANT In connection with the Establishment of National Health Training Center of the Ministry of Health of El Salvador (the “Project”) which KOICA is in the process of implementing in El Salvador (the “Recipient Country”) and the related construction and construction works covered under [insert name of contract] (under Contract No. _______) (the “Construction” or the “Construction Works”), the Contractor hereby (i) represents and warrants </x:v>
      </x:c>
      <x:c r="J2123" s="43" t="str">
        <x:v>자동추출·검토필요</x:v>
      </x:c>
    </x:row>
    <x:row r="2124">
      <x:c r="A2124" s="43" t="str">
        <x:v>L2023-00036-1</x:v>
      </x:c>
      <x:c r="B2124" s="43" t="str">
        <x:v>부가세·예비비</x:v>
      </x:c>
      <x:c r="C2124" s="46" t="str">
        <x:v>tax</x:v>
      </x:c>
      <x:c r="D2124" s="46" t="str"/>
      <x:c r="E2124" s="46" t="str">
        <x:v>USD 5,230,806</x:v>
      </x:c>
      <x:c r="F2124" s="46" t="str">
        <x:v>2.5%</x:v>
      </x:c>
      <x:c r="G2124" s="46" t="str">
        <x:v>L2023-00036-1/붙임3_입찰관련서류_검토완_0717/Invitation_for_Bids_Bid_Announcement1.docx</x:v>
      </x:c>
      <x:c r="H2124" s="43" t="str">
        <x:v>표 1 행 9</x:v>
      </x:c>
      <x:c r="I2124" s="46" t="str">
        <x:v>• Base Price Practice | Base Price: USD 5,230,806 (excluding Value Added Tax and Customs Duty) *The safety management cost will be included in the contract price, which shall be zero point five (0.5) % of project cost that cannot be consumed for other purposes but safety management. the balance of the safety management cost shall be returned on the completion of works.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x:v>
      </x:c>
      <x:c r="J2124" s="43" t="str">
        <x:v>자동추출·검토필요</x:v>
      </x:c>
    </x:row>
    <x:row r="2125">
      <x:c r="A2125" s="43" t="str">
        <x:v>L2023-00036-1</x:v>
      </x:c>
      <x:c r="B2125" s="43" t="str">
        <x:v>부가세·예비비</x:v>
      </x:c>
      <x:c r="C2125" s="46" t="str">
        <x:v>vat</x:v>
      </x:c>
      <x:c r="D2125" s="46" t="str"/>
      <x:c r="E2125" s="46" t="str"/>
      <x:c r="F2125" s="46" t="str">
        <x:v>12%</x:v>
      </x:c>
      <x:c r="G2125" s="46" t="str">
        <x:v>L2023-00036-1/붙임3_입찰관련서류_검토완_0717/Section 3 - Bidding Forms.doc</x:v>
      </x:c>
      <x:c r="H2125" s="43" t="str">
        <x:v>문단 48</x:v>
      </x:c>
      <x:c r="I2125" s="46" t="str">
        <x:v>B-1) SUMMARY Item Description Total Bid Price (without VAT) VAT (12%) Total Bid Price (with VAT) 1 The Construction Cost of Urgench Vocational Training Center</x:v>
      </x:c>
      <x:c r="J2125" s="43" t="str">
        <x:v>자동추출·검토필요</x:v>
      </x:c>
    </x:row>
    <x:row r="2126">
      <x:c r="A2126" s="43" t="str">
        <x:v>L2023-00036-1</x:v>
      </x:c>
      <x:c r="B2126" s="43" t="str">
        <x:v>부가세·예비비</x:v>
      </x:c>
      <x:c r="C2126" s="46" t="str">
        <x:v>vat</x:v>
      </x:c>
      <x:c r="D2126" s="46" t="str"/>
      <x:c r="E2126" s="46" t="str">
        <x:v>US$ 5,230,806</x:v>
      </x:c>
      <x:c r="F2126" s="46" t="str"/>
      <x:c r="G2126" s="46" t="str">
        <x:v>L2023-00036-1/붙임3_입찰관련서류_검토완_0717/Section 6. Specification(SNIF_ GOST_ Bid Explaination ).pptx</x:v>
      </x:c>
      <x:c r="H2126" s="43" t="str">
        <x:v>슬라이드 3</x:v>
      </x:c>
      <x:c r="I2126" s="46" t="str">
        <x:v>1. SYNOPSIS OF BID | BID ANNOUNCEMENT NUMBER: | KOICA-P-UZB-2023-6 | NAME OF PROJECT | Urgench Vocational Training Center and Teachers’ Training Center in Tashkent | BUDGET (USD) | Approximately US$ 5,230,806 (VAT excluded) | SITE LOCATION | Urgench Vocational Training Center : St. Khonka, "Buston" mahalla, Urgench city, Khorezm region. Teachers’ Training Center : Inside of Tashkent Vocational Training Center(Sergeli-8, 100085, Uzbekistan) | CONTRACT PERIOD | 1) Urgench Vocational Training Center : 19 months(Construction Period 18 months) 2) Teachers’ Training Center : 13 months(Construction Period 12 months) | SCOPE OF WORK | 1) Construction of Urgench Vocational Training Center - Administration building block: 2 storey above ground - Lecture and Work Shop building block: 2 storey above ground - Dormitory building block: 2 storey above ground - Guard Room and others : 1 storey above ground 2. Construction of Tashkent Teachers’ Training Center - Administration and Lecture building block: 2 storey above ground</x:v>
      </x:c>
      <x:c r="J2126" s="43" t="str">
        <x:v>자동추출·검토필요</x:v>
      </x:c>
    </x:row>
    <x:row r="2127">
      <x:c r="A2127" s="43" t="str">
        <x:v>L2023-00036-1</x:v>
      </x:c>
      <x:c r="B2127" s="43" t="str">
        <x:v>부가세·예비비</x:v>
      </x:c>
      <x:c r="C2127" s="46" t="str">
        <x:v>tax</x:v>
      </x:c>
      <x:c r="D2127" s="46" t="str"/>
      <x:c r="E2127" s="46" t="str">
        <x:v>USD 1.74 million</x:v>
      </x:c>
      <x:c r="F2127" s="46" t="str">
        <x:v>2.5%</x:v>
      </x:c>
      <x:c r="G2127" s="46" t="str">
        <x:v>L2023-00036-1/붙임3_입찰관련서류_검토완_0717/Section 6. Specification(SNIF_ GOST_ Bid Explaination ).pptx</x:v>
      </x:c>
      <x:c r="H2127" s="43" t="str">
        <x:v>슬라이드 5</x:v>
      </x:c>
      <x:c r="I2127" s="46" t="str">
        <x:v>3. LIST OF BID DOCUMENTS FOR SUBMISSION | [1] Construction License Certificate (Guvohnoma) | [2] Tax Payment Certificate (an evidence that the company has no debt for tax authorities for the date of Bidding Applying) | [3] Financial Statement Status for 3 years :2020~2022. (Annex #5). | [4] An Evidence Document of Company Category, registered by Ministry of Construction of Uzbekistan (Only the companies, whose category rating is CCC or higher will be selected). | [5] An Evidence (Annex #4: Forms EXP-1, 2) of construction performance record, Same/Similar facilities completed within last 5 years : from 14.07.2018 till 13.07.2023 (Completion Certificate &amp; Copy of the Single Contract for more than USD 1.74 million) | [6] Proposed site manager’s information &amp; certificates: - Copy of national identity document (passport/ID card) - Graduate Certificate (Diploma) of construction related Education Institute | - HR evidence document of professional experience (signed/stamped)/- CV (Annex #4: Form : EXP-3) - Additional Documents in Construction field (if available) | [7] Audit Reports over the past 3 fiscal years (2020 ~ 2022) signed and stamped by Audit Company:- Balance sheet to verify debt</x:v>
      </x:c>
      <x:c r="J2127" s="43" t="str">
        <x:v>자동추출·검토필요</x:v>
      </x:c>
    </x:row>
    <x:row r="2128">
      <x:c r="A2128" s="43" t="str">
        <x:v>L2023-00036-1</x:v>
      </x:c>
      <x:c r="B2128" s="43" t="str">
        <x:v>부가세·예비비</x:v>
      </x:c>
      <x:c r="C2128" s="46" t="str">
        <x:v>reserve</x:v>
      </x:c>
      <x:c r="D2128" s="46" t="str"/>
      <x:c r="E2128" s="46" t="str">
        <x:v>USD 5,230,806</x:v>
      </x:c>
      <x:c r="F2128" s="46" t="str">
        <x:v>2.5% | 85.495%</x:v>
      </x:c>
      <x:c r="G2128" s="46" t="str">
        <x:v>L2023-00036-1/붙임3_입찰관련서류_검토완_0717/Section 6. Specification(SNIF_ GOST_ Bid Explaination ).pptx</x:v>
      </x:c>
      <x:c r="H2128" s="43" t="str">
        <x:v>슬라이드 11</x:v>
      </x:c>
      <x:c r="I2128" s="46" t="str">
        <x:v>5.3.3 Bid Price Evaluation (50) | ※ ｜｜ indicates absolute value ※ If, value of “BP/EP” has decimal points, it is rounded off to the five decimals. ※ If the bid price is less than the estimated price and is 90.5/100 or more of the estimated price, the rating is 45 points. (only for the bidders whose BP is lower than the EP.) ※ The lowest rating is 2 points. ※ Decision of Estimated Price Estimated Price (method of determining the Estimated Price) : To Create and seal 15 different multiple reserve prices (proposed randomly by KOICA) within the range of ±2.5% of the Base Price (USD 5,230,806) at the time of the Price Opening To select 4 companies (lotters) who want to be selected from among the participating companies (bidders) and draw one by one. The four plural reserve prices drawn are arithmetically averaged and this is the Estimated Price. ※ Starting from the lowest price Bidder with 85.495% or more of the Estimated Price, the evaluation items of the performance ability including construction experience and company management status, and the bid price are evaluated and added to the total points. ※ The lowest price Bidder who obtains the total 95 points or more of evaluation will b</x:v>
      </x:c>
      <x:c r="J2128" s="43" t="str">
        <x:v>자동추출·검토필요</x:v>
      </x:c>
    </x:row>
    <x:row r="2129">
      <x:c r="A2129" s="43" t="str">
        <x:v>L2023-00036-1</x:v>
      </x:c>
      <x:c r="B2129" s="43" t="str">
        <x:v>부가세·예비비</x:v>
      </x:c>
      <x:c r="C2129" s="46" t="str">
        <x:v>reserve</x:v>
      </x:c>
      <x:c r="D2129" s="46" t="str"/>
      <x:c r="E2129" s="46" t="str"/>
      <x:c r="F2129" s="46" t="str">
        <x:v>0.5%</x:v>
      </x:c>
      <x:c r="G2129" s="46" t="str">
        <x:v>L2023-00036-1/붙임3_입찰관련서류_검토완_0717/Section 7 - General Conditions of Contract1.docx</x:v>
      </x:c>
      <x:c r="H2129" s="43" t="str">
        <x:v>표 4 행 109</x:v>
      </x:c>
      <x:c r="I2129"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 (iv) hereof must include details of how the Safety Management Costs will be utilized.</x:v>
      </x:c>
      <x:c r="J2129" s="43" t="str">
        <x:v>자동추출·검토필요</x:v>
      </x:c>
    </x:row>
    <x:row r="2130">
      <x:c r="A2130" s="43" t="str">
        <x:v>L2023-00036-1</x:v>
      </x:c>
      <x:c r="B2130" s="43" t="str">
        <x:v>부가세·예비비</x:v>
      </x:c>
      <x:c r="C2130" s="46" t="str">
        <x:v>reserve</x:v>
      </x:c>
      <x:c r="D2130" s="46" t="str"/>
      <x:c r="E2130" s="46" t="str"/>
      <x:c r="F2130" s="46" t="str">
        <x:v>50% | 50%</x:v>
      </x:c>
      <x:c r="G2130" s="46" t="str">
        <x:v>L2023-00036-1/붙임3_입찰관련서류_검토완_0717/Section 7 - General Conditions of Contract1.docx</x:v>
      </x:c>
      <x:c r="H2130" s="43" t="str">
        <x:v>표 12 행 61</x:v>
      </x:c>
      <x:c r="I2130"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130" s="43" t="str">
        <x:v>자동추출·검토필요</x:v>
      </x:c>
    </x:row>
    <x:row r="2131">
      <x:c r="A2131" s="43" t="str">
        <x:v>L2023-00036-1</x:v>
      </x:c>
      <x:c r="B2131" s="43" t="str">
        <x:v>부가세·예비비</x:v>
      </x:c>
      <x:c r="C2131" s="46" t="str">
        <x:v>reserve</x:v>
      </x:c>
      <x:c r="D2131" s="46" t="str"/>
      <x:c r="E2131" s="46" t="str"/>
      <x:c r="F2131" s="46" t="str">
        <x:v>3% | 3%</x:v>
      </x:c>
      <x:c r="G2131" s="46" t="str">
        <x:v>L2023-00036-1/붙임3_입찰관련서류_검토완_0717/Section 8 - Special Conditions of Contract1.docx</x:v>
      </x:c>
      <x:c r="H2131" s="43" t="str">
        <x:v>표 3 행 19</x:v>
      </x:c>
      <x:c r="I2131" s="46" t="str">
        <x:v>Security Deposit for Defects | To reserve 3% of the Contract Price, or to provide the Maintenance Security Bond for Defects as a form attached hereto, valid no less than 60 days from the date of Defect Notification Period expires. | To reserve 3% of the Contract Price, or to provide the Maintenance Security Bond for Defects as a form attached hereto, valid no less than 60 days from the date of Defect Notification Period expires.</x:v>
      </x:c>
      <x:c r="J2131" s="43" t="str">
        <x:v>자동추출·검토필요</x:v>
      </x:c>
    </x:row>
    <x:row r="2132">
      <x:c r="A2132" s="43" t="str">
        <x:v>L2023-00036-1</x:v>
      </x:c>
      <x:c r="B2132" s="43" t="str">
        <x:v>부가세·예비비</x:v>
      </x:c>
      <x:c r="C2132" s="46" t="str">
        <x:v>부가가치세</x:v>
      </x:c>
      <x:c r="D2132" s="46" t="str"/>
      <x:c r="E2132" s="46" t="str">
        <x:v>USD 5,230,806</x:v>
      </x:c>
      <x:c r="F2132" s="46" t="str"/>
      <x:c r="G2132" s="46" t="str">
        <x:v>L2023-00036-1/붙임3_입찰관련서류_검토완_0717/Urgench_VTC_Bid Annoncement(The Daily Korean News for Korean Residents).docx</x:v>
      </x:c>
      <x:c r="H2132" s="43" t="str">
        <x:v>문단 7</x:v>
      </x:c>
      <x:c r="I2132" s="46" t="str">
        <x:v>■ 기초금액 예정액 : USD 5,230,806 (부가가치세 미포함)</x:v>
      </x:c>
      <x:c r="J2132" s="43" t="str">
        <x:v>자동추출·검토필요</x:v>
      </x:c>
    </x:row>
    <x:row r="2133">
      <x:c r="A2133" s="43" t="str">
        <x:v>L2023-00035-1</x:v>
      </x:c>
      <x:c r="B2133" s="43" t="str">
        <x:v>부가세·예비비</x:v>
      </x:c>
      <x:c r="C2133" s="46" t="str">
        <x:v>vat, reserve</x:v>
      </x:c>
      <x:c r="D2133" s="46" t="str"/>
      <x:c r="E2133" s="46" t="str">
        <x:v>USD 384 569 | USD 384 569</x:v>
      </x:c>
      <x:c r="F2133" s="46" t="str">
        <x:v>3% | 0.5 % | 2.5% | 3% | 0.5 % | 2.5%</x:v>
      </x:c>
      <x:c r="G2133" s="46" t="str">
        <x:v>L2023-00035-1/DOC/OPSC_eng/ENG_Section 2 - Bid Data Sheet (BDS)_Kyrgyzstan_OPSC_22 JUNE_CM reviewed.docx</x:v>
      </x:c>
      <x:c r="H2133" s="43" t="str">
        <x:v>표 3 행 15</x:v>
      </x:c>
      <x:c r="I2133" s="46" t="str">
        <x:v>․ Bid Price Practice | Base Price: USD 384 569 (inclusive all costs below, except VAT) Base price is based on GOSSTROY’s RIK estimates The two(2) items below shall be added in the contract bid price which shall not be paid without Employer’s approval. The balance of the below costs shall be returned on the completion of works. * Reserve for unforeseen work and expenses (3% of the construction cost) *The safety management cost (0.5 % of the construction cost)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 | Base Price: USD 384 569 (inclusive all costs below, except VAT) Base price is based on GOSSTROY’s RIK estimates The two(2) items below shall be added in the contract bid price which shall not be paid without Employer’s approval. The balance of the below costs shall be returned on the completion of works. * Reserve for unforeseen work and expenses (3% of the construction cost) *The safety management cost (0.5 % of the construction cost) Spe</x:v>
      </x:c>
      <x:c r="J2133" s="43" t="str">
        <x:v>자동추출·검토필요</x:v>
      </x:c>
    </x:row>
    <x:row r="2134">
      <x:c r="A2134" s="43" t="str">
        <x:v>L2023-00035-1</x:v>
      </x:c>
      <x:c r="B2134" s="43" t="str">
        <x:v>부가세·예비비</x:v>
      </x:c>
      <x:c r="C2134" s="46" t="str">
        <x:v>tax</x:v>
      </x:c>
      <x:c r="D2134" s="46" t="str"/>
      <x:c r="E2134" s="46" t="str"/>
      <x:c r="F2134" s="46" t="str">
        <x:v>209.68%</x:v>
      </x:c>
      <x:c r="G2134" s="46" t="str">
        <x:v>L2023-00035-1/DOC/OPSC_eng/ENG_Section 3 - Bidding Forms_Kyrgyz_OPSC_22 JUNE_CM reviewed.doc</x:v>
      </x:c>
      <x:c r="H2134" s="43" t="str">
        <x:v>문단 18</x:v>
      </x:c>
      <x:c r="I2134" s="46" t="str">
        <x:v>Registration Certificate or Business Permit Tax Payment Certificate(2022) The balance sheet over the past 3 years (The average debt ratio over the past 3 years(2020~2022) shall not be more than 209.68%) Contractor’s License for the construction of buildings (level 2 or higher) Power of Attorney: Authorization Letter to represent the bidder documents evidencing the authenticity of the applicant’s signature and seal power of attorney</x:v>
      </x:c>
      <x:c r="J2134" s="43" t="str">
        <x:v>자동추출·검토필요</x:v>
      </x:c>
    </x:row>
    <x:row r="2135">
      <x:c r="A2135" s="43" t="str">
        <x:v>L2023-00035-1</x:v>
      </x:c>
      <x:c r="B2135" s="43" t="str">
        <x:v>부가세·예비비</x:v>
      </x:c>
      <x:c r="C2135" s="46" t="str">
        <x:v>reserve</x:v>
      </x:c>
      <x:c r="D2135" s="46" t="str"/>
      <x:c r="E2135" s="46" t="str"/>
      <x:c r="F2135" s="46" t="str">
        <x:v>3%</x:v>
      </x:c>
      <x:c r="G2135" s="46" t="str">
        <x:v>L2023-00035-1/DOC/OPSC_eng/ENG_Section 3 - Bidding Forms_Kyrgyz_OPSC_22 JUNE_CM reviewed.doc</x:v>
      </x:c>
      <x:c r="H2135" s="43" t="str">
        <x:v>문단 54</x:v>
      </x:c>
      <x:c r="I2135" s="46" t="str">
        <x:v>3 Reserve for unforeseen work and expenses (3% of the sum (1) +(2))</x:v>
      </x:c>
      <x:c r="J2135" s="43" t="str">
        <x:v>자동추출·검토필요</x:v>
      </x:c>
    </x:row>
    <x:row r="2136">
      <x:c r="A2136" s="43" t="str">
        <x:v>L2023-00035-1</x:v>
      </x:c>
      <x:c r="B2136" s="43" t="str">
        <x:v>부가세·예비비</x:v>
      </x:c>
      <x:c r="C2136" s="46" t="str">
        <x:v>reserve</x:v>
      </x:c>
      <x:c r="D2136" s="46" t="str"/>
      <x:c r="E2136" s="46" t="str"/>
      <x:c r="F2136" s="46" t="str">
        <x:v>0.5%</x:v>
      </x:c>
      <x:c r="G2136" s="46" t="str">
        <x:v>L2023-00035-1/DOC/OPSC_eng/ENG_Section 7 - General Conditions of Contract_Kyrgyz_OPSC_22 JUNE.docx</x:v>
      </x:c>
      <x:c r="H2136" s="43" t="str">
        <x:v>표 4 행 109</x:v>
      </x:c>
      <x:c r="I2136"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 (iv) hereof must include details of how the Safety Management Costs will be utilized.</x:v>
      </x:c>
      <x:c r="J2136" s="43" t="str">
        <x:v>자동추출·검토필요</x:v>
      </x:c>
    </x:row>
    <x:row r="2137">
      <x:c r="A2137" s="43" t="str">
        <x:v>L2023-00035-1</x:v>
      </x:c>
      <x:c r="B2137" s="43" t="str">
        <x:v>부가세·예비비</x:v>
      </x:c>
      <x:c r="C2137" s="46" t="str">
        <x:v>reserve</x:v>
      </x:c>
      <x:c r="D2137" s="46" t="str"/>
      <x:c r="E2137" s="46" t="str"/>
      <x:c r="F2137" s="46" t="str">
        <x:v>50% | 50%</x:v>
      </x:c>
      <x:c r="G2137" s="46" t="str">
        <x:v>L2023-00035-1/DOC/OPSC_eng/ENG_Section 7 - General Conditions of Contract_Kyrgyz_OPSC_22 JUNE.docx</x:v>
      </x:c>
      <x:c r="H2137" s="43" t="str">
        <x:v>표 12 행 61</x:v>
      </x:c>
      <x:c r="I2137"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137" s="43" t="str">
        <x:v>자동추출·검토필요</x:v>
      </x:c>
    </x:row>
    <x:row r="2138">
      <x:c r="A2138" s="43" t="str">
        <x:v>L2023-00035-1</x:v>
      </x:c>
      <x:c r="B2138" s="43" t="str">
        <x:v>부가세·예비비</x:v>
      </x:c>
      <x:c r="C2138" s="46" t="str">
        <x:v>reserve</x:v>
      </x:c>
      <x:c r="D2138" s="46" t="str"/>
      <x:c r="E2138" s="46" t="str"/>
      <x:c r="F2138" s="46" t="str">
        <x:v>3% | 3%</x:v>
      </x:c>
      <x:c r="G2138" s="46" t="str">
        <x:v>L2023-00035-1/DOC/OPSC_eng/ENG_Section 8 - Special Conditions of Contract_Kyrgyz_OPSC_22 JUNE_CM reviewed.docx</x:v>
      </x:c>
      <x:c r="H2138" s="43" t="str">
        <x:v>표 3 행 19</x:v>
      </x:c>
      <x:c r="I2138" s="46" t="str">
        <x:v>Security Deposit for Defects | To reserve 3% of the Contract Price, or to provide the Maintenance Security Bond for Defects as a form attached hereto, valid no less than 60 days from the date of Defect Notification Period expires. | To reserve 3% of the Contract Price, or to provide the Maintenance Security Bond for Defects as a form attached hereto, valid no less than 60 days from the date of Defect Notification Period expires.</x:v>
      </x:c>
      <x:c r="J2138" s="43" t="str">
        <x:v>자동추출·검토필요</x:v>
      </x:c>
    </x:row>
    <x:row r="2139">
      <x:c r="A2139" s="43" t="str">
        <x:v>L2023-00032-1</x:v>
      </x:c>
      <x:c r="B2139" s="43" t="str">
        <x:v>부가세·예비비</x:v>
      </x:c>
      <x:c r="C2139" s="46" t="str">
        <x:v>예비비</x:v>
      </x:c>
      <x:c r="D2139" s="46" t="str"/>
      <x:c r="E2139" s="46" t="str"/>
      <x:c r="F2139" s="46" t="str">
        <x:v>0.5%</x:v>
      </x:c>
      <x:c r="G2139" s="46" t="str">
        <x:v>L2023-00032-1/1. 입찰공고문(국영문)_0628 수정/Section 2 - └╘┬√░°░φ╣«(▒╣╣«)_╝÷┴ñ.hwp</x:v>
      </x:c>
      <x:c r="H2139" s="43" t="str">
        <x:v>문단 256</x:v>
      </x:c>
      <x:c r="I2139" s="46" t="str">
        <x:v>총공사비 중 예비비 제외 금액 × 0.5% 이상을 고정투찰</x:v>
      </x:c>
      <x:c r="J2139" s="43" t="str">
        <x:v>자동추출·검토필요</x:v>
      </x:c>
    </x:row>
    <x:row r="2140">
      <x:c r="A2140" s="43" t="str">
        <x:v>L2023-00032-1</x:v>
      </x:c>
      <x:c r="B2140" s="43" t="str">
        <x:v>부가세·예비비</x:v>
      </x:c>
      <x:c r="C2140" s="46" t="str">
        <x:v>예비비</x:v>
      </x:c>
      <x:c r="D2140" s="46" t="str"/>
      <x:c r="E2140" s="46" t="str"/>
      <x:c r="F2140" s="46" t="str">
        <x:v>0.5%</x:v>
      </x:c>
      <x:c r="G2140" s="46" t="str">
        <x:v>L2023-00032-1/1. 입찰공고문(국영문)_0628 수정/Section 2 - └╘┬√░°░φ╣«(▒╣╣«)_╝÷┴ñ.hwp</x:v>
      </x:c>
      <x:c r="H2140" s="43" t="str">
        <x:v>문단 504</x:v>
      </x:c>
      <x:c r="I2140" s="46" t="str">
        <x:v>예비비 제외 총공사비의 0.5% 고정 투찰</x:v>
      </x:c>
      <x:c r="J2140" s="43" t="str">
        <x:v>자동추출·검토필요</x:v>
      </x:c>
    </x:row>
    <x:row r="2141">
      <x:c r="A2141" s="43" t="str">
        <x:v>L2023-00032-1</x:v>
      </x:c>
      <x:c r="B2141" s="43" t="str">
        <x:v>부가세·예비비</x:v>
      </x:c>
      <x:c r="C2141" s="46" t="str">
        <x:v>vat, tax</x:v>
      </x:c>
      <x:c r="D2141" s="46" t="str"/>
      <x:c r="E2141" s="46" t="str">
        <x:v>USD 2,060,000 | USD 2,060,000</x:v>
      </x:c>
      <x:c r="F2141" s="46" t="str"/>
      <x:c r="G2141" s="46" t="str">
        <x:v>L2023-00032-1/1. 입찰공고문(국영문)_0628 수정/Section 2 - Bid Data Sheet (BDS)_╝÷┴ñ.docx</x:v>
      </x:c>
      <x:c r="H2141" s="43" t="str">
        <x:v>표 3 행 9</x:v>
      </x:c>
      <x:c r="I2141" s="46" t="str">
        <x:v>Project Budget | USD 2,060,000 (VAT and other related indirect taxes are not included) | USD 2,060,000 (VAT and other related indirect taxes are not included)</x:v>
      </x:c>
      <x:c r="J2141" s="43" t="str">
        <x:v>자동추출·검토필요</x:v>
      </x:c>
    </x:row>
    <x:row r="2142">
      <x:c r="A2142" s="43" t="str">
        <x:v>L2023-00032-1</x:v>
      </x:c>
      <x:c r="B2142" s="43" t="str">
        <x:v>부가세·예비비</x:v>
      </x:c>
      <x:c r="C2142" s="46" t="str">
        <x:v>vat, tax</x:v>
      </x:c>
      <x:c r="D2142" s="46" t="str"/>
      <x:c r="E2142" s="46" t="str">
        <x:v>USD 2,009,728 | USD 2,009,728</x:v>
      </x:c>
      <x:c r="F2142" s="46" t="str"/>
      <x:c r="G2142" s="46" t="str">
        <x:v>L2023-00032-1/1. 입찰공고문(국영문)_0628 수정/Section 2 - Bid Data Sheet (BDS)_╝÷┴ñ.docx</x:v>
      </x:c>
      <x:c r="H2142" s="43" t="str">
        <x:v>표 3 행 10</x:v>
      </x:c>
      <x:c r="I2142" s="46" t="str">
        <x:v>- Projected Estimated Price | USD 2,009,728 (VAT and other related indirect taxes are not included) | USD 2,009,728 (VAT and other related indirect taxes are not included)</x:v>
      </x:c>
      <x:c r="J2142" s="43" t="str">
        <x:v>자동추출·검토필요</x:v>
      </x:c>
    </x:row>
    <x:row r="2143">
      <x:c r="A2143" s="43" t="str">
        <x:v>L2023-00032-1</x:v>
      </x:c>
      <x:c r="B2143" s="43" t="str">
        <x:v>부가세·예비비</x:v>
      </x:c>
      <x:c r="C2143" s="46" t="str">
        <x:v>vat, reserve</x:v>
      </x:c>
      <x:c r="D2143" s="46" t="str"/>
      <x:c r="E2143" s="46" t="str">
        <x:v>$ 700,000 | $ 700,000 | USD 2,000,000 | USD 1,000,000 | USD 1,00,000 | USD 600,000 | $ 700,000 | $ 700,000</x:v>
      </x:c>
      <x:c r="F2143" s="46" t="str">
        <x:v>50% | 60% | 50% | 60% | 50% | 60%</x:v>
      </x:c>
      <x:c r="G2143" s="46" t="str">
        <x:v>L2023-00032-1/1. 입찰공고문(국영문)_0628 수정/Section 2 - Bid Data Sheet (BDS)_╝÷┴ñ.docx</x:v>
      </x:c>
      <x:c r="H2143" s="43" t="str">
        <x:v>표 6 행 7</x:v>
      </x:c>
      <x:c r="I2143" s="46" t="str">
        <x:v>Note 1) Construction experience in the relevant Construction limited to "civil work including road Construction (amount of $ 700,000 or more) ordered by the private, government, or aid project organizations," and the phrase must be clearly expressed in the performance certificate. Note 2) Performance Certificates should be attached for each project. Attach a construction performance verification certificate from Construction Association, or if the association does not exist or issue a performance certificate, it can be replaced by performance verification documents confirmed by the employer. Note 3) Performance certificate must be submitted in English, and other languages must be translated and notarized. Note 4) If a copy, not the original, is submitted, the employer's confirmation signature must be added. It will not be recognized without verification from the employer Note 5) Only the construction performance in the last ten(10) years from the bid announcement date is recognized, and subcontract performance is not recognized. Note 6) When submitting Experience, write down whether the Experience was a single or joint venture; in the case of a joint venture, only the share ratio i</x:v>
      </x:c>
      <x:c r="J2143" s="43" t="str">
        <x:v>자동추출·검토필요</x:v>
      </x:c>
    </x:row>
    <x:row r="2144">
      <x:c r="A2144" s="43" t="str">
        <x:v>L2023-00032-1</x:v>
      </x:c>
      <x:c r="B2144" s="43" t="str">
        <x:v>부가세·예비비</x:v>
      </x:c>
      <x:c r="C2144" s="46" t="str">
        <x:v>vat, tax</x:v>
      </x:c>
      <x:c r="D2144" s="46" t="str"/>
      <x:c r="E2144" s="46" t="str">
        <x:v>USD 2,009,728 | USD 2,009,728</x:v>
      </x:c>
      <x:c r="F2144" s="46" t="str"/>
      <x:c r="G2144" s="46" t="str">
        <x:v>L2023-00032-1/2. 입찰서류(영문)/Section 0 - Notice of Bid for Construction.docx</x:v>
      </x:c>
      <x:c r="H2144" s="43" t="str">
        <x:v>표 1 행 8</x:v>
      </x:c>
      <x:c r="I2144" s="46" t="str">
        <x:v>- Projected Estimated Price | USD 2,009,728 (VAT and other related indirect taxes are not included) | USD 2,009,728 (VAT and other related indirect taxes are not included)</x:v>
      </x:c>
      <x:c r="J2144" s="43" t="str">
        <x:v>자동추출·검토필요</x:v>
      </x:c>
    </x:row>
    <x:row r="2145">
      <x:c r="A2145" s="43" t="str">
        <x:v>L2023-00032-1</x:v>
      </x:c>
      <x:c r="B2145" s="43" t="str">
        <x:v>부가세·예비비</x:v>
      </x:c>
      <x:c r="C2145" s="46" t="str">
        <x:v>vat</x:v>
      </x:c>
      <x:c r="D2145" s="46" t="str"/>
      <x:c r="E2145" s="46" t="str"/>
      <x:c r="F2145" s="46" t="str">
        <x:v>90%</x:v>
      </x:c>
      <x:c r="G2145" s="46" t="str">
        <x:v>L2023-00032-1/2. 입찰서류(영문)/Section 6 - Technical Specifications.docx</x:v>
      </x:c>
      <x:c r="H2145" s="43" t="str">
        <x:v>문단 2541</x:v>
      </x:c>
      <x:c r="I2145" s="46" t="str">
        <x:v>The tendered rates shall include full compensation for all excavation, backfilling, compacting to 90% of modified AASHTO density, disposing of surplus excavated material, keeping the excavations safe, dealing with any surface or subsurface water, procuring and furnishing all materials, providing, erecting and removing formwork, mixing, transporting, placing and curing the concrete, and all labour and constructional plant required for constructing the concrete outlet structures, manhole boxes, junction boxes and cleaning eyes, complete as specified.</x:v>
      </x:c>
      <x:c r="J2145" s="43" t="str">
        <x:v>자동추출·검토필요</x:v>
      </x:c>
    </x:row>
    <x:row r="2146">
      <x:c r="A2146" s="43" t="str">
        <x:v>L2023-00032-1</x:v>
      </x:c>
      <x:c r="B2146" s="43" t="str">
        <x:v>부가세·예비비</x:v>
      </x:c>
      <x:c r="C2146" s="46" t="str">
        <x:v>vat</x:v>
      </x:c>
      <x:c r="D2146" s="46" t="str"/>
      <x:c r="E2146" s="46" t="str"/>
      <x:c r="F2146" s="46" t="str">
        <x:v>40%</x:v>
      </x:c>
      <x:c r="G2146" s="46" t="str">
        <x:v>L2023-00032-1/2. 입찰서류(영문)/Section 6 - Technical Specifications.docx</x:v>
      </x:c>
      <x:c r="H2146" s="43" t="str">
        <x:v>문단 3562</x:v>
      </x:c>
      <x:c r="I2146" s="46" t="str">
        <x:v>Boulder excavation Class A shall be excavation in material containing in excess of 40% by volume of boulders between</x:v>
      </x:c>
      <x:c r="J2146" s="43" t="str">
        <x:v>자동추출·검토필요</x:v>
      </x:c>
    </x:row>
    <x:row r="2147">
      <x:c r="A2147" s="43" t="str">
        <x:v>L2023-00032-1</x:v>
      </x:c>
      <x:c r="B2147" s="43" t="str">
        <x:v>부가세·예비비</x:v>
      </x:c>
      <x:c r="C2147" s="46" t="str">
        <x:v>vat</x:v>
      </x:c>
      <x:c r="D2147" s="46" t="str"/>
      <x:c r="E2147" s="46" t="str"/>
      <x:c r="F2147" s="46" t="str">
        <x:v>40%</x:v>
      </x:c>
      <x:c r="G2147" s="46" t="str">
        <x:v>L2023-00032-1/2. 입찰서류(영문)/Section 6 - Technical Specifications.docx</x:v>
      </x:c>
      <x:c r="H2147" s="43" t="str">
        <x:v>문단 3565</x:v>
      </x:c>
      <x:c r="I2147" s="46" t="str">
        <x:v>Excavation in dolomite formations other than solid dolomite shall also be classed as Class A excavation if the formations contain in excess of 40% by volume of lumps of hard dolomite between 0.03 m3 and 20 m3 in size, in a matrix of softer material or smaller lumps of hard dolomite.</x:v>
      </x:c>
      <x:c r="J2147" s="43" t="str">
        <x:v>자동추출·검토필요</x:v>
      </x:c>
    </x:row>
    <x:row r="2148">
      <x:c r="A2148" s="43" t="str">
        <x:v>L2023-00032-1</x:v>
      </x:c>
      <x:c r="B2148" s="43" t="str">
        <x:v>부가세·예비비</x:v>
      </x:c>
      <x:c r="C2148" s="46" t="str">
        <x:v>vat</x:v>
      </x:c>
      <x:c r="D2148" s="46" t="str"/>
      <x:c r="E2148" s="46" t="str"/>
      <x:c r="F2148" s="46" t="str">
        <x:v>40%</x:v>
      </x:c>
      <x:c r="G2148" s="46" t="str">
        <x:v>L2023-00032-1/2. 입찰서류(영문)/Section 6 - Technical Specifications.docx</x:v>
      </x:c>
      <x:c r="H2148" s="43" t="str">
        <x:v>문단 3571</x:v>
      </x:c>
      <x:c r="I2148" s="46" t="str">
        <x:v>Where material contains 40% or less by volume of boulders or lumps of hard dolomite ranging from 0.03 m3 to 20 m3 in size, in a matrix of soft material or smaller boulders or lumps of hard dolomite, then those boulders or lumps of hard dolomite between 0.03 m3 and 20 m3 in size shall be classed as Class B boulder excavation.</x:v>
      </x:c>
      <x:c r="J2148" s="43" t="str">
        <x:v>자동추출·검토필요</x:v>
      </x:c>
    </x:row>
    <x:row r="2149">
      <x:c r="A2149" s="43" t="str">
        <x:v>L2023-00032-1</x:v>
      </x:c>
      <x:c r="B2149" s="43" t="str">
        <x:v>부가세·예비비</x:v>
      </x:c>
      <x:c r="C2149" s="46" t="str">
        <x:v>vat</x:v>
      </x:c>
      <x:c r="D2149" s="46" t="str"/>
      <x:c r="E2149" s="46" t="str"/>
      <x:c r="F2149" s="46" t="str">
        <x:v>10%</x:v>
      </x:c>
      <x:c r="G2149" s="46" t="str">
        <x:v>L2023-00032-1/2. 입찰서류(영문)/Section 6 - Technical Specifications.docx</x:v>
      </x:c>
      <x:c r="H2149" s="43" t="str">
        <x:v>문단 3858</x:v>
      </x:c>
      <x:c r="I2149" s="46" t="str">
        <x:v>At all fills adjoining uncompleted structures such as bridges and large culverts, where the construction of the fill and the backfilling behind the structure cannot be done simultaneously, the fills shall be so constructed that the longitudinal slope of the surface of the fill at all stages will form a continuous plane sloping towards ground level at the structure at a gradient not exceeding 10%. When the structure is completed, the remaining portion of the fill shall be similarly completed simultaneously with the backfilling behind the structure, while the backfill behind the structure is being maintained at the same elevation as the adjoining fill. No additional payment will be made for constructing fills in this manner outside the restricted areas as defined in Clause 6108.</x:v>
      </x:c>
      <x:c r="J2149" s="43" t="str">
        <x:v>자동추출·검토필요</x:v>
      </x:c>
    </x:row>
    <x:row r="2150">
      <x:c r="A2150" s="43" t="str">
        <x:v>L2023-00032-1</x:v>
      </x:c>
      <x:c r="B2150" s="43" t="str">
        <x:v>부가세·예비비</x:v>
      </x:c>
      <x:c r="C2150" s="46" t="str">
        <x:v>vat</x:v>
      </x:c>
      <x:c r="D2150" s="46" t="str"/>
      <x:c r="E2150" s="46" t="str"/>
      <x:c r="F2150" s="46" t="str">
        <x:v>50%</x:v>
      </x:c>
      <x:c r="G2150" s="46" t="str">
        <x:v>L2023-00032-1/2. 입찰서류(영문)/Section 6 - Technical Specifications.docx</x:v>
      </x:c>
      <x:c r="H2150" s="43" t="str">
        <x:v>문단 4052</x:v>
      </x:c>
      <x:c r="I2150" s="46" t="str">
        <x:v>excavation to be equivalent to 50% of the loose volume in the hauling vehicles.</x:v>
      </x:c>
      <x:c r="J2150" s="43" t="str">
        <x:v>자동추출·검토필요</x:v>
      </x:c>
    </x:row>
    <x:row r="2151">
      <x:c r="A2151" s="43" t="str">
        <x:v>L2023-00032-1</x:v>
      </x:c>
      <x:c r="B2151" s="43" t="str">
        <x:v>부가세·예비비</x:v>
      </x:c>
      <x:c r="C2151" s="46" t="str">
        <x:v>vat</x:v>
      </x:c>
      <x:c r="D2151" s="46" t="str"/>
      <x:c r="E2151" s="46" t="str"/>
      <x:c r="F2151" s="46" t="str">
        <x:v>50%</x:v>
      </x:c>
      <x:c r="G2151" s="46" t="str">
        <x:v>L2023-00032-1/2. 입찰서류(영문)/Section 6 - Technical Specifications.docx</x:v>
      </x:c>
      <x:c r="H2151" s="43" t="str">
        <x:v>문단 4079</x:v>
      </x:c>
      <x:c r="I2151" s="46" t="str">
        <x:v>Measurement of boulder excavation class B shall be by the volume of individual boulders being measured after removal, or, where this is considered to be impracticable, by taking the in situ volume of boulder excavation to be equivalent to 50% of the loose volume in the hauling vehicles.</x:v>
      </x:c>
      <x:c r="J2151" s="43" t="str">
        <x:v>자동추출·검토필요</x:v>
      </x:c>
    </x:row>
    <x:row r="2152">
      <x:c r="A2152" s="43" t="str">
        <x:v>L2023-00032-1</x:v>
      </x:c>
      <x:c r="B2152" s="43" t="str">
        <x:v>부가세·예비비</x:v>
      </x:c>
      <x:c r="C2152" s="46" t="str">
        <x:v>vat</x:v>
      </x:c>
      <x:c r="D2152" s="46" t="str"/>
      <x:c r="E2152" s="46" t="str"/>
      <x:c r="F2152" s="46" t="str">
        <x:v>5%</x:v>
      </x:c>
      <x:c r="G2152" s="46" t="str">
        <x:v>L2023-00032-1/2. 입찰서류(영문)/Section 6 - Technical Specifications.docx</x:v>
      </x:c>
      <x:c r="H2152" s="43" t="str">
        <x:v>문단 4627</x:v>
      </x:c>
      <x:c r="I2152" s="46" t="str">
        <x:v>The tendered rates shall include full compensation for procuring, as if from soft excavation or pits, breaking down, placing and compacting the material, including transporting the material for a distance of 1.0 km and its removal, disposal and transporting for a distance of 1.0 km, of up to 5% by volume of oversize material, and the protection and maintenance of the layer and the conducting of control tests, all as specified.</x:v>
      </x:c>
      <x:c r="J2152" s="43" t="str">
        <x:v>자동추출·검토필요</x:v>
      </x:c>
    </x:row>
    <x:row r="2153">
      <x:c r="A2153" s="43" t="str">
        <x:v>L2023-00032-1</x:v>
      </x:c>
      <x:c r="B2153" s="43" t="str">
        <x:v>부가세·예비비</x:v>
      </x:c>
      <x:c r="C2153" s="46" t="str">
        <x:v>vat</x:v>
      </x:c>
      <x:c r="D2153" s="46" t="str"/>
      <x:c r="E2153" s="46" t="str"/>
      <x:c r="F2153" s="46" t="str">
        <x:v>5%</x:v>
      </x:c>
      <x:c r="G2153" s="46" t="str">
        <x:v>L2023-00032-1/2. 입찰서류(영문)/Section 6 - Technical Specifications.docx</x:v>
      </x:c>
      <x:c r="H2153" s="43" t="str">
        <x:v>문단 6808</x:v>
      </x:c>
      <x:c r="I2153" s="46" t="str">
        <x:v>Paving shall, if possible, commence at the bottom of the grades and the lower edges of superelevated curves. Paving shall be done upgrade on grades steeper than 5%.</x:v>
      </x:c>
      <x:c r="J2153" s="43" t="str">
        <x:v>자동추출·검토필요</x:v>
      </x:c>
    </x:row>
    <x:row r="2154">
      <x:c r="A2154" s="43" t="str">
        <x:v>L2023-00032-1</x:v>
      </x:c>
      <x:c r="B2154" s="43" t="str">
        <x:v>부가세·예비비</x:v>
      </x:c>
      <x:c r="C2154" s="46" t="str">
        <x:v>vat</x:v>
      </x:c>
      <x:c r="D2154" s="46" t="str">
        <x:v>0.15 m2</x:v>
      </x:c>
      <x:c r="E2154" s="46" t="str"/>
      <x:c r="F2154" s="46" t="str"/>
      <x:c r="G2154" s="46" t="str">
        <x:v>L2023-00032-1/2. 입찰서류(영문)/Section 6 - Technical Specifications.docx</x:v>
      </x:c>
      <x:c r="H2154" s="43" t="str">
        <x:v>문단 10222</x:v>
      </x:c>
      <x:c r="I2154" s="46" t="str">
        <x:v>The unit of measurement shall be the cubic metre of excavation measured in place according to the neat dimensions of the footings or excavations as shown on the Drawings or directed by the Engineer. In the case of timber posts not in concrete, the plan area of the excavated hole shall be taken as 0.15 m2, irrespective of the actual size of the excavated hole.</x:v>
      </x:c>
      <x:c r="J2154" s="43" t="str">
        <x:v>자동추출·검토필요</x:v>
      </x:c>
    </x:row>
    <x:row r="2155">
      <x:c r="A2155" s="43" t="str">
        <x:v>L2023-00032-1</x:v>
      </x:c>
      <x:c r="B2155" s="43" t="str">
        <x:v>부가세·예비비</x:v>
      </x:c>
      <x:c r="C2155" s="46" t="str">
        <x:v>vat</x:v>
      </x:c>
      <x:c r="D2155" s="46" t="str"/>
      <x:c r="E2155" s="46" t="str"/>
      <x:c r="F2155" s="46" t="str">
        <x:v>90% | 100% | 93%</x:v>
      </x:c>
      <x:c r="G2155" s="46" t="str">
        <x:v>L2023-00032-1/2. 입찰서류(영문)/Section 6 - Technical Specifications.docx</x:v>
      </x:c>
      <x:c r="H2155" s="43" t="str">
        <x:v>문단 11318</x:v>
      </x:c>
      <x:c r="I2155" s="46" t="str">
        <x:v>Excavated areas around structures shall be backfilled with approved material in horizontal layers not exceeding 150 mm in thickness after compaction, to the level of the original ground surface. Each layer shall be moistened or dried to the optimum moisture content for the material and then compacted to a density of not less than 90% of modified AASHTO density for soils and gravels, and not less than 100% of modified AASHTO density for cohesionless sands, or the density of the surrounding soil, whichever shall be the less, except that, in the road prism, the material shall be compacted to a density of not less than 93% of modified AASHTO density.</x:v>
      </x:c>
      <x:c r="J2155" s="43" t="str">
        <x:v>자동추출·검토필요</x:v>
      </x:c>
    </x:row>
    <x:row r="2156">
      <x:c r="A2156" s="43" t="str">
        <x:v>L2023-00032-1</x:v>
      </x:c>
      <x:c r="B2156" s="43" t="str">
        <x:v>부가세·예비비</x:v>
      </x:c>
      <x:c r="C2156" s="46" t="str">
        <x:v>vat, tax</x:v>
      </x:c>
      <x:c r="D2156" s="46" t="str"/>
      <x:c r="E2156" s="46" t="str"/>
      <x:c r="F2156" s="46" t="str">
        <x:v>80% | 80%</x:v>
      </x:c>
      <x:c r="G2156" s="46" t="str">
        <x:v>L2023-00032-1/2. 입찰서류(영문)/Section 6 - Technical Specifications.pdf</x:v>
      </x:c>
      <x:c r="H2156" s="43" t="str">
        <x:v>페이지 14</x:v>
      </x:c>
      <x:c r="I2156" s="46" t="str">
        <x:v>Structures shall be measured to the neat lines shown on the hauling and delivering the material to the point of use; the Drawings and shall include any changes ordered in writing construction, repair, maintenance and making good after by the Engineer and, for purposes of payment, the completion of all access roads, and all work required in calculated volume of concrete structures shall include the opening, using and finishing off borrow pits unless covered volume of reinforcing steel, and minor ducts up to 150 mm by other pay items in the Schedule of Quantities. in diameter. (ii) Placing material 1209 PAYMENT The phrase ”placing material” shall mean the off-loading, spreading, blending, processing, watering, mixing, shaping (a) Contract rates and compacting (where specified) of the material in the pavement layers, fills and bypasses, as well as the In computing the final Contract amount, payment shall be procuring, furnishing, applying and admixing of water; the based on the actual quantity of authorised work done in breaking-down of oversize material, the removing of accordance with the Specifications and Drawings. The oversize material which cannot be broken down, correcting tend</x:v>
      </x:c>
      <x:c r="J2156" s="43" t="str">
        <x:v>자동추출·검토필요</x:v>
      </x:c>
    </x:row>
    <x:row r="2157">
      <x:c r="A2157" s="43" t="str">
        <x:v>L2023-00032-1</x:v>
      </x:c>
      <x:c r="B2157" s="43" t="str">
        <x:v>부가세·예비비</x:v>
      </x:c>
      <x:c r="C2157" s="46" t="str">
        <x:v>vat</x:v>
      </x:c>
      <x:c r="D2157" s="46" t="str"/>
      <x:c r="E2157" s="46" t="str"/>
      <x:c r="F2157" s="46" t="str">
        <x:v>70% | 60% | 75% | 25%</x:v>
      </x:c>
      <x:c r="G2157" s="46" t="str">
        <x:v>L2023-00032-1/2. 입찰서류(영문)/Section 6 - Technical Specifications.pdf</x:v>
      </x:c>
      <x:c r="H2157" s="43" t="str">
        <x:v>페이지 31</x:v>
      </x:c>
      <x:c r="I2157" s="46" t="str">
        <x:v>(b) Cut and borrow to fill . . . . . . . . . . cubic metre (m3) (m) Single guardrails attached to posts . . . . . . . . . . . . . . . . . . . . . . . . . . . . . . metre (m) The unit of measurement shall be the cubic metre of fill measured in situ from levelled cross-sections taken before (n) Barrier rails . . . . . . . . . . . . . . . . . . . . . . metre (m) and after construction where such material is either imported from a locality more than 100 m from the point of use or is (o) Movable concrete barriers . . . . . . . . . . metre (m) utilised in a portion of a fill which is in excess of 0.5 m above the original ground level. Road markings will be paid for as specified at the end of this Clause. Where measurement by cross-sections is impractical, the volume can be assumed to be equal to 70% of the loose (a) The lump sum tendered for flagmen shall include full volume measured in trucks in the case of soil and gravel compensation for all flagmen who may be required to control material, and equal to 60% of the loose volume in trucks in traffic by way of flags or portable STOP and GO signs and the case of hard material consisting predominantly of shall include the provision of flags</x:v>
      </x:c>
      <x:c r="J2157" s="43" t="str">
        <x:v>자동추출·검토필요</x:v>
      </x:c>
    </x:row>
    <x:row r="2158">
      <x:c r="A2158" s="43" t="str">
        <x:v>L2023-00032-1</x:v>
      </x:c>
      <x:c r="B2158" s="43" t="str">
        <x:v>부가세·예비비</x:v>
      </x:c>
      <x:c r="C2158" s="46" t="str">
        <x:v>vat, reserve</x:v>
      </x:c>
      <x:c r="D2158" s="46" t="str"/>
      <x:c r="E2158" s="46" t="str">
        <x:v>US$ 100.00</x:v>
      </x:c>
      <x:c r="F2158" s="46" t="str"/>
      <x:c r="G2158" s="46" t="str">
        <x:v>L2023-00032-1/2. 입찰서류(영문)/Section 6 - Technical Specifications.pdf</x:v>
      </x:c>
      <x:c r="H2158" s="43" t="str">
        <x:v>페이지 36</x:v>
      </x:c>
      <x:c r="I2158" s="46" t="str">
        <x:v>SERIES 1000 : GENERAL topsoil shall be transported and deposited in stockpiles for later use. The Contractor will not be required to remove SECTION 1700 : CLEARING AND GRUBBING topsoil to an average depth of less than 150 mm from any particular area. CONTENTS This work shall be measured and paid for under Section 5700. Where topsoil can be removed without the necessity 1701 SCOPE of first doing clearing and grubbing, no payment will be 1702 DESCRIPTION OF WORK made for clearing and grubbing under this Section. 1703 EXECUTION OF WORK 1704 MEASUREMENT AND PAYMENT (d) Conservation of vegetation 1701 SCOPE Where provided for in the Project Specifications, certain designated plants encountered in the road reserve and borrow areas shall be carefully protected by the Contractor. This Section covers the clearing of the site and the grubbing He shall include, in his tendered rates for clearing and necessary for construction of the Works covered by the grubbing full compensation for the careful removal and Contract, in accordance with these Specifications. planting of the plants in a protected and fenced-off area, and, on completion of the road, the replanting of the plants in suitable posit</x:v>
      </x:c>
      <x:c r="J2158" s="43" t="str">
        <x:v>자동추출·검토필요</x:v>
      </x:c>
    </x:row>
    <x:row r="2159">
      <x:c r="A2159" s="43" t="str">
        <x:v>L2023-00032-1</x:v>
      </x:c>
      <x:c r="B2159" s="43" t="str">
        <x:v>부가세·예비비</x:v>
      </x:c>
      <x:c r="C2159" s="46" t="str">
        <x:v>vat, reserve</x:v>
      </x:c>
      <x:c r="D2159" s="46" t="str"/>
      <x:c r="E2159" s="46" t="str"/>
      <x:c r="F2159" s="46" t="str">
        <x:v>90% | 90%</x:v>
      </x:c>
      <x:c r="G2159" s="46" t="str">
        <x:v>L2023-00032-1/2. 입찰서류(영문)/Section 6 - Technical Specifications.pdf</x:v>
      </x:c>
      <x:c r="H2159" s="43" t="str">
        <x:v>페이지 39</x:v>
      </x:c>
      <x:c r="I2159" s="46" t="str">
        <x:v>SERIES 2000 : DRAINAGE beyond the required grade shall be backfilled with suitable material and compacted to at least 90% of modified SECTION 2100 : DRAINS AASHTO density by the Contractor at his own expense. Material resulting from the excavations for open drains shall CONTENTS be used in the construction of fills, banks and dykes, or for other purposes, or shall be disposed of to spoil, all as 2101 SCOPE directed by the Engineer. 2102 OPEN DRAINS 2103 BANKS AND DYKES In respect of material resulting from open-drain excavation 2104 SUBSOIL DRAINAGE and not taken to spoil but used elsewhere in the 2105 CLASSIFICATION OF MATERIALS construction of the Works, payment will be made for open- 2106 MANHOLES, OUTLET STRUCTURES AND drain excavation as well as for any item of permanent CLEANING EYES construction built from such material. Material from open- 2107 MEASUREMENT AND PAYMENT drain excavation which is taken to spoil will be paid for as open-drain excavation only. 2101 SCOPE If ordered by the Engineer, all existing open drains, but excluding open drains constructed by the Contractor himself, shall be cleared and, where necessary, shaped by This Section covers all work in connection </x:v>
      </x:c>
      <x:c r="J2159" s="43" t="str">
        <x:v>자동추출·검토필요</x:v>
      </x:c>
    </x:row>
    <x:row r="2160">
      <x:c r="A2160" s="43" t="str">
        <x:v>L2023-00032-1</x:v>
      </x:c>
      <x:c r="B2160" s="43" t="str">
        <x:v>부가세·예비비</x:v>
      </x:c>
      <x:c r="C2160" s="46" t="str">
        <x:v>vat</x:v>
      </x:c>
      <x:c r="D2160" s="46" t="str"/>
      <x:c r="E2160" s="46" t="str"/>
      <x:c r="F2160" s="46" t="str">
        <x:v>10% | 5%</x:v>
      </x:c>
      <x:c r="G2160" s="46" t="str">
        <x:v>L2023-00032-1/2. 입찰서류(영문)/Section 6 - Technical Specifications.pdf</x:v>
      </x:c>
      <x:c r="H2160" s="43" t="str">
        <x:v>페이지 40</x:v>
      </x:c>
      <x:c r="I2160" s="46" t="str">
        <x:v>2104 SUBSOIL DRAINAGE The aggregate shall be evenly graded between these limits. The stone shall have a 10% FACT of not less than 110 kN (a) Materials when tested in accordance with TMH1 Method B2 or equivalent. (i) Pipes (3) General Pipes for subsoil drainage shall have the specified internal diameter, which shall be not less than 100 mm, and shall be When no suitable sand and/or crushed stone is available one of the following types: from borrow pits, the Engineer may require that it be procured from commercial sources outside the site. (1) Perforated pitch-fibre pipes complying with SABS 921 or equivalent; The Engineer shall indicate the grades of sand and crushed stone to be used in each case to comply with the (2) Perforated or slotted unplasticised PVC pipes requirements. complying with SABS 791 or equivalent; In the case of any sand and/or crushed stone, not more than (3) Perforated high-density polyethylene pressure pipes 5% of the material shall pass through the 0.075 mm sieve. complying with the requirements of SABS 533, Part II or equivalent. (iii) Synthetic-fibre filter fabric The size of perforations in perforated pipes shall in all cases Should the use of synthetic-fib</x:v>
      </x:c>
      <x:c r="J2160" s="43" t="str">
        <x:v>자동추출·검토필요</x:v>
      </x:c>
    </x:row>
    <x:row r="2161">
      <x:c r="A2161" s="43" t="str">
        <x:v>L2023-00032-1</x:v>
      </x:c>
      <x:c r="B2161" s="43" t="str">
        <x:v>부가세·예비비</x:v>
      </x:c>
      <x:c r="C2161" s="46" t="str">
        <x:v>vat</x:v>
      </x:c>
      <x:c r="D2161" s="46" t="str"/>
      <x:c r="E2161" s="46" t="str"/>
      <x:c r="F2161" s="46" t="str">
        <x:v>40%</x:v>
      </x:c>
      <x:c r="G2161" s="46" t="str">
        <x:v>L2023-00032-1/2. 입찰서류(영문)/Section 6 - Technical Specifications.pdf</x:v>
      </x:c>
      <x:c r="H2161" s="43" t="str">
        <x:v>페이지 41</x:v>
      </x:c>
      <x:c r="I2161" s="46" t="str">
        <x:v>subsoil drainage system and all natural permeable material of the trench shall be backfilled with impermeable material contaminated by soil or silt shall be removed and replaced which shall be compacted to the density of the surrounding by the Contractor at his own expense. material, in layers not exceeding 100 mm in thickness. Perforated and slotted pipes shall be jointed by means of couplings. Perforated pipes shall be laid with perforations (c) Test flushing at the top or bottom as may be prescribed. Final acceptance of longitudinal subsoil drains will be The higher end of each subsoil drainage pipe shall be subject to satisfactory test flushing after completion and sealed off with a loose concrete cap of Class 20/19 installation of the rodding eye inlets. Flushing tests shall be concrete, as shown on the Drawings, and at the lower end carried out in the presence of the Engineer's representative the pipe shall be built into a concrete head wall providing a by flushing the drain and metering the outflow to ensure the positive outlet or it shall be connected to stormwater pipes drain is clear of blockage. Should blockages be apparent or culverts. The complete system, together with</x:v>
      </x:c>
      <x:c r="J2161" s="43" t="str">
        <x:v>자동추출·검토필요</x:v>
      </x:c>
    </x:row>
    <x:row r="2162">
      <x:c r="A2162" s="43" t="str">
        <x:v>L2023-00032-1</x:v>
      </x:c>
      <x:c r="B2162" s="43" t="str">
        <x:v>부가세·예비비</x:v>
      </x:c>
      <x:c r="C2162" s="46" t="str">
        <x:v>vat</x:v>
      </x:c>
      <x:c r="D2162" s="46" t="str"/>
      <x:c r="E2162" s="46" t="str"/>
      <x:c r="F2162" s="46" t="str">
        <x:v>90% | 93% | 93%</x:v>
      </x:c>
      <x:c r="G2162" s="46" t="str">
        <x:v>L2023-00032-1/2. 입찰서류(영문)/Section 6 - Technical Specifications.pdf</x:v>
      </x:c>
      <x:c r="H2162" s="43" t="str">
        <x:v>페이지 44</x:v>
      </x:c>
      <x:c r="I2162" s="46" t="str">
        <x:v>(b) Manholes boxes . . . . . . . . . . . . . . . number (No) The tendered rate shall include full compensation for trimming the side drains, disposing of the resulting material (c) Junction boxes . . . . . . . . . . . . . . . . . number (No) and procuring, furnishing, transporting, placing and compacting the granular material and a free-haul of 1.0 km. (d) Cleaning eyes . . . . . . . . . . . . . . . . . number (No) The unit of measurement shall be the number of outlet Item Unit structures, manhole boxes, junction boxes and cleaning eyes for subsoil drainage systems constructed in 21.17 Test flushing of accordance with the details on the Drawings and the pipe subsoil drains . . . . . . . . . . . . number (No) Engineer's instructions. The unit of measurement shall be the number of tests The tendered rates shall include full compensation for all satisfactorily completed on unblocked sections of drain. No excavation, backfilling, compacting to 90% of modified payment will be made for tests which have to be repeated AASHTO density, disposing of surplus excavated material, due to blocked pipes or faulty workmanship. keeping the excavations safe, dealing with any surface or subsurface wat</x:v>
      </x:c>
      <x:c r="J2162" s="43" t="str">
        <x:v>자동추출·검토필요</x:v>
      </x:c>
    </x:row>
    <x:row r="2163">
      <x:c r="A2163" s="43" t="str">
        <x:v>L2023-00032-1</x:v>
      </x:c>
      <x:c r="B2163" s="43" t="str">
        <x:v>부가세·예비비</x:v>
      </x:c>
      <x:c r="C2163" s="46" t="str">
        <x:v>vat, reserve</x:v>
      </x:c>
      <x:c r="D2163" s="46" t="str"/>
      <x:c r="E2163" s="46" t="str"/>
      <x:c r="F2163" s="46" t="str">
        <x:v>2%</x:v>
      </x:c>
      <x:c r="G2163" s="46" t="str">
        <x:v>L2023-00032-1/2. 입찰서류(영문)/Section 6 - Technical Specifications.pdf</x:v>
      </x:c>
      <x:c r="H2163" s="43" t="str">
        <x:v>페이지 58</x:v>
      </x:c>
      <x:c r="I2163" s="46" t="str">
        <x:v>the fragments will be more or less equal to the layer 3208 PLACING AND COMPACTING THE MATERIALS thickness after compaction. The maximum layer thickness IN LAYER THICKNESSES OF 200 mm AND LESS (after compaction) required from the Contractor shall be AFTER COMPACTION 200 mm, but layer thicknesses as little as 100 mm will be permitted. When the layer thickness after compaction is 200 mm or In order to prevent the layer thicknesses from being less, any oversize material which cannot be broken down to determined by the presence of isolated large fragments, the the required size shall first be removed from the road and Engineer may require such isolated fragments to be then disposed of or used as may be prescribed by the removed from the road, as determined in Clause 3210. The Engineer. The material shall then be sprayed with water, Engineer may also agree to the material being compacted mixed, and compacted as described hereafter. in layers in excess of 200 mm or the maximum fragment size, provided that he is satisfied that the material will be properly compacted. Layer thicknesses shall be agreed on (a) Spraying and mixing in advance between the Engineer and the Contractor. (i) General</x:v>
      </x:c>
      <x:c r="J2163" s="43" t="str">
        <x:v>자동추출·검토필요</x:v>
      </x:c>
    </x:row>
    <x:row r="2164">
      <x:c r="A2164" s="43" t="str">
        <x:v>L2023-00032-1</x:v>
      </x:c>
      <x:c r="B2164" s="43" t="str">
        <x:v>부가세·예비비</x:v>
      </x:c>
      <x:c r="C2164" s="46" t="str">
        <x:v>vat</x:v>
      </x:c>
      <x:c r="D2164" s="46" t="str"/>
      <x:c r="E2164" s="46" t="str"/>
      <x:c r="F2164" s="46" t="str">
        <x:v>5% | 5% | 70%</x:v>
      </x:c>
      <x:c r="G2164" s="46" t="str">
        <x:v>L2023-00032-1/2. 입찰서류(영문)/Section 6 - Technical Specifications.pdf</x:v>
      </x:c>
      <x:c r="H2164" s="43" t="str">
        <x:v>페이지 60</x:v>
      </x:c>
      <x:c r="I2164" s="46" t="str">
        <x:v>in terms of Subclause 3207(a) shall be disposed of at the (b) Two-stage crusher . . . . . . . . . . . . . . number (No) Contractor's cost or, with the approval of the Engineer, may be used for other suitable purposes. (c) Screening plant . . . . . . . . . . . . . . . . number (No) Oversize pavement material left over after application of the (d) Multiple-stage crusher and provisions of Subclause 3204(b) and removed from the road screening plant . . . . . . . . . . . . . . . . . . . . . . number (No) in terms of Clause 3208, shall be loaded and disposed of as determined by the Engineer and will be paid for subject to The unit of measurement shall be the number of complete the provisions of payment Item 32.04. Where, however, plants supplied as ordered by the Engineer. such material is used direct for any construction work, the Contractor will be entitled only to compensation at the rate The tendered rates shall include full compensation for in respect of the construction item in question. providing the plant, transporting it to the site, erecting, commissioning and finally dismantling it, and loading and Notwithstanding the methods of payment described above, transporting it away fr</x:v>
      </x:c>
      <x:c r="J2164" s="43" t="str">
        <x:v>자동추출·검토필요</x:v>
      </x:c>
    </x:row>
    <x:row r="2165">
      <x:c r="A2165" s="43" t="str">
        <x:v>L2023-00032-1</x:v>
      </x:c>
      <x:c r="B2165" s="43" t="str">
        <x:v>부가세·예비비</x:v>
      </x:c>
      <x:c r="C2165" s="46" t="str">
        <x:v>vat</x:v>
      </x:c>
      <x:c r="D2165" s="46" t="str"/>
      <x:c r="E2165" s="46" t="str"/>
      <x:c r="F2165" s="46" t="str">
        <x:v>5%</x:v>
      </x:c>
      <x:c r="G2165" s="46" t="str">
        <x:v>L2023-00032-1/2. 입찰서류(영문)/Section 6 - Technical Specifications.pdf</x:v>
      </x:c>
      <x:c r="H2165" s="43" t="str">
        <x:v>페이지 61</x:v>
      </x:c>
      <x:c r="I2165" s="46" t="str">
        <x:v>Item Unit The tendered rate shall include full compensation for performing one additional normal grid-rolling operation in 32.4 Removal of oversize addition to the initial normal grid-rolling operation, the cost pavement material . . . . . . . . . . . . . . . . cubic metre (m3) of which has been included in the tender rates for pavement layers. The unit of measurement shall be the cubic metre of oversize pavement material from cut and borrow, which cannot be broken down as specified, and is removed. The Item Unit volume shall be determined as prescribed by the Engineer and shall be the loose volume in stockpiles or its equivalent 32.6 Stockpiling of material . . . . . . cubic metre (m3) measured in hauling vehicles. Only that volume of oversize pavement material in excess of 5% of the compacted The unit of measurement shall be the cubic metre of volume of pavement layers will be measured for payment, material temporarily stockpiled on the instruction of the all as specified in Clause 3210. Engineer. The tendered rate shall include full compensation for the The tendered rate shall include full compensation for excavation of material in all classes of excavation, loading cleaning and</x:v>
      </x:c>
      <x:c r="J2165" s="43" t="str">
        <x:v>자동추출·검토필요</x:v>
      </x:c>
    </x:row>
    <x:row r="2166">
      <x:c r="A2166" s="43" t="str">
        <x:v>L2023-00032-1</x:v>
      </x:c>
      <x:c r="B2166" s="43" t="str">
        <x:v>부가세·예비비</x:v>
      </x:c>
      <x:c r="C2166" s="46" t="str">
        <x:v>vat</x:v>
      </x:c>
      <x:c r="D2166" s="46" t="str"/>
      <x:c r="E2166" s="46" t="str"/>
      <x:c r="F2166" s="46" t="str">
        <x:v>90% | 93% | 98 % | 95% | 20% | 100% | 20% | 95%</x:v>
      </x:c>
      <x:c r="G2166" s="46" t="str">
        <x:v>L2023-00032-1/2. 입찰서류(영문)/Section 6 - Technical Specifications.pdf</x:v>
      </x:c>
      <x:c r="H2166" s="43" t="str">
        <x:v>페이지 63</x:v>
      </x:c>
      <x:c r="I2166" s="46" t="str">
        <x:v>SERIES 3000 : EARTHWORKS AND PAVEMENT Should the depth below the final road surface exceed 9 m, LAYERS OF GRAVEL OR or should the material be not in accordance with the said CRUSHED STONE requirements, the material shall conform to the requirements as set out in the Project Specifications or as prescribed by SECTION 3300 : MASS EARTHWORKS the Engineer. The Engineer may allow or order the use of material not CONTENTS meeting these requirements by an order in writing, provided that he has satisfied himself regarding the stability of the 3301 SCOPE embankments to be constructed from such material. 3302 MATERIALS 3303 CLASSIFICATION OF CUT AND BORROW (iii) Compaction requirements, minimum in situ dry EXCAVATION density 3304 CLASSIFICATION OF COMPACTION 3305 TREATING THE ROADBED When the material is compacted 3306 CUT AND BORROW to a percentage of modified 3307 FILLS AASHTO density . . . . . . . . . . 90% or 93% (as required). 3308 FINISHING THE SLOPES 3309 PROTECTING THE ROAD PRISM AND When the material is compacted STRUCTURES by proof rolling . . . . . . . . . . . . . . . 98 % of proof density 3310 CONSTRUCTION TOLERANCES 3311 ROUTINE INSPECTION AND TESTS Rockfill . . . . . . . . . . </x:v>
      </x:c>
      <x:c r="J2166" s="43" t="str">
        <x:v>자동추출·검토필요</x:v>
      </x:c>
    </x:row>
    <x:row r="2167">
      <x:c r="A2167" s="43" t="str">
        <x:v>L2023-00032-1</x:v>
      </x:c>
      <x:c r="B2167" s="43" t="str">
        <x:v>부가세·예비비</x:v>
      </x:c>
      <x:c r="C2167" s="46" t="str">
        <x:v>vat</x:v>
      </x:c>
      <x:c r="D2167" s="46" t="str"/>
      <x:c r="E2167" s="46" t="str"/>
      <x:c r="F2167" s="46" t="str">
        <x:v>40% | 40% | 40%</x:v>
      </x:c>
      <x:c r="G2167" s="46" t="str">
        <x:v>L2023-00032-1/2. 입찰서류(영문)/Section 6 - Technical Specifications.pdf</x:v>
      </x:c>
      <x:c r="H2167" s="43" t="str">
        <x:v>페이지 64</x:v>
      </x:c>
      <x:c r="I2167" s="46" t="str">
        <x:v>(iii) Hard excavation classification shall thereafter be final and binding, subject to the provisions of the General Conditions of Contract. Hard excavation shall be excavation (excluding boulder excavation) in material which cannot be efficiently ripped by The Contractor shall immediately inform the Engineer if and a bulldozer equivalent to properties as those described in when the nature of the material being excavated changes to Subclause 3303(a). the extent that a new classification for further excavation is warranted. Failure on the part of the Contractor to advise This type of excavation generally includes excavation in the Engineer thereof in good time shall entitle the Engineer material such as formations of unweathered rock, which can to classify, at his discretion, such excavation as may have be removed only after blasting. been executed in material of a different nature. (iv) Boulder excavation Class A 3304 CLASSIFICATION OF COMPACTION Boulder excavation Class A shall be excavation in material containing in excess of 40% by volume of boulders between 0.03 m3 and 20 m3 in size, in a matrix of softer material or For purposes of measurement and payment the method of smaller</x:v>
      </x:c>
      <x:c r="J2167" s="43" t="str">
        <x:v>자동추출·검토필요</x:v>
      </x:c>
    </x:row>
    <x:row r="2168">
      <x:c r="A2168" s="43" t="str">
        <x:v>L2023-00032-1</x:v>
      </x:c>
      <x:c r="B2168" s="43" t="str">
        <x:v>부가세·예비비</x:v>
      </x:c>
      <x:c r="C2168" s="46" t="str">
        <x:v>vat</x:v>
      </x:c>
      <x:c r="D2168" s="46" t="str"/>
      <x:c r="E2168" s="46" t="str"/>
      <x:c r="F2168" s="46" t="str">
        <x:v>98%</x:v>
      </x:c>
      <x:c r="G2168" s="46" t="str">
        <x:v>L2023-00032-1/2. 입찰서류(영문)/Section 6 - Technical Specifications.pdf</x:v>
      </x:c>
      <x:c r="H2168" s="43" t="str">
        <x:v>페이지 65</x:v>
      </x:c>
      <x:c r="I2168" s="46" t="str">
        <x:v>the layer 100 mm to 250 mm below the surface, and the (c) Rock fill proof density shall be the average of these dry densities. When so directed by the Engineer, the rock fill shall be The specified dry density to which the material shall be constructed as determined in Subclause 3209(c). compacted shall be 98% of the proof density, and shall be measured in the top 150 mm of the layer in the case of soils and gravels and in the layer 100 mm to 250 mm below the (d) Twelve-roller -passes compaction surface in the case of non-plastic sands. Where the degree of compaction cannot be satisfactorily The Engineer shall have the authority to decide when the controlled by way of testing the in situ density on account of characteristics of new materials vary sufficiently to warrant the nature of the material, the Engineer may instruct that the the determination of a new proof density. material be placed and compacted as described in Subclause 3304(b) by twelve passes or coverages (for every Compaction to a proof density shall only be used as an 150 mm of compacted layer thickness) by a combination of alternative to compaction to a percentage of modified various items of compaction equipment. T</x:v>
      </x:c>
      <x:c r="J2168" s="43" t="str">
        <x:v>자동추출·검토필요</x:v>
      </x:c>
    </x:row>
    <x:row r="2169">
      <x:c r="A2169" s="43" t="str">
        <x:v>L2023-00032-1</x:v>
      </x:c>
      <x:c r="B2169" s="43" t="str">
        <x:v>부가세·예비비</x:v>
      </x:c>
      <x:c r="C2169" s="46" t="str">
        <x:v>vat</x:v>
      </x:c>
      <x:c r="D2169" s="46" t="str"/>
      <x:c r="E2169" s="46" t="str"/>
      <x:c r="F2169" s="46" t="str">
        <x:v>70%</x:v>
      </x:c>
      <x:c r="G2169" s="46" t="str">
        <x:v>L2023-00032-1/2. 입찰서류(영문)/Section 6 - Technical Specifications.pdf</x:v>
      </x:c>
      <x:c r="H2169" s="43" t="str">
        <x:v>페이지 68</x:v>
      </x:c>
      <x:c r="I2169" s="46" t="str">
        <x:v>material shall be disposed of without the written instructions Subclause 3302(b) unless otherwise authorised by the of the Engineer. Spoil material shall not require compaction Engineer, as in the case of the bottom layer of a fill on but shall, if required, be spread, shaped and given a smooth marshy ground or in rock fill. surface as may normally be obtained by careful bulldozer operations. The layer thickness used for the construction of the fills will depend on the type and maximum size of material used. The Engineer shall first determine the layer thicknesses with (g) General reference to the provisions of Clauses 3207, 3208 and 3209, and shall also determine the type of compaction to be The Contractor shall take proper care when excavating cuts employed. not to loosen, where it can be avoided, any material outside the specified cut line, whether by ripping, blasting or by Wherever practicable, fill shall be placed in successive other means, which would endanger the stability of the layers parallel to the final road surface, and the construction slopes or which would subsequently cause undue erosion or of wedge-shaped layers shall be restricted to the bottom disintegration of </x:v>
      </x:c>
      <x:c r="J2169" s="43" t="str">
        <x:v>자동추출·검토필요</x:v>
      </x:c>
    </x:row>
    <x:row r="2170">
      <x:c r="A2170" s="43" t="str">
        <x:v>L2023-00032-1</x:v>
      </x:c>
      <x:c r="B2170" s="43" t="str">
        <x:v>부가세·예비비</x:v>
      </x:c>
      <x:c r="C2170" s="46" t="str">
        <x:v>vat</x:v>
      </x:c>
      <x:c r="D2170" s="46" t="str"/>
      <x:c r="E2170" s="46" t="str"/>
      <x:c r="F2170" s="46" t="str">
        <x:v>10%</x:v>
      </x:c>
      <x:c r="G2170" s="46" t="str">
        <x:v>L2023-00032-1/2. 입찰서류(영문)/Section 6 - Technical Specifications.pdf</x:v>
      </x:c>
      <x:c r="H2170" s="43" t="str">
        <x:v>페이지 69</x:v>
      </x:c>
      <x:c r="I2170" s="46" t="str">
        <x:v>floor of the first bench in rock material shall also be serrated The Engineer may require the layers immediately below and in order to resist horizontal forces effectively. Benches in above the filter blanket to be constructed from selected soil rock material shall also be excavated to slope slightly or gravel. Sand filter blankets will be measured and paid for inwards so as to obtain a better bond. separately. The benches may be constructed in either one of the following two ways: (g) Construction of fills near structures (i) Method A At all fills adjoining uncompleted structures such as bridges and large culverts, where the construction of the fill and the This method requires the cut of the first bench in the existing backfilling behind the structure cannot be done roadbed to be of adequate width for accommodating normal- simultaneously, the fills shall be so constructed that the width self-propelled construction equipment. The widths of longitudinal slope of the surface of the fill at all stages will successive benches shall be determined by the width of the form a continuous plane sloping towards ground level at the fill at the relevant height. structure at a gradient not exce</x:v>
      </x:c>
      <x:c r="J2170" s="43" t="str">
        <x:v>자동추출·검토필요</x:v>
      </x:c>
    </x:row>
    <x:row r="2171">
      <x:c r="A2171" s="43" t="str">
        <x:v>L2023-00032-1</x:v>
      </x:c>
      <x:c r="B2171" s="43" t="str">
        <x:v>부가세·예비비</x:v>
      </x:c>
      <x:c r="C2171" s="46" t="str">
        <x:v>vat</x:v>
      </x:c>
      <x:c r="D2171" s="46" t="str"/>
      <x:c r="E2171" s="46" t="str"/>
      <x:c r="F2171" s="46" t="str">
        <x:v>90% | 93% | 90% | 93% | 75%</x:v>
      </x:c>
      <x:c r="G2171" s="46" t="str">
        <x:v>L2023-00032-1/2. 입찰서류(영문)/Section 6 - Technical Specifications.pdf</x:v>
      </x:c>
      <x:c r="H2171" s="43" t="str">
        <x:v>페이지 71</x:v>
      </x:c>
      <x:c r="I2171" s="46" t="str">
        <x:v>125 mm less or 250 mm more than the specified dimension Item Unit when measured at any level. 33.1 Cut and borrow to fill, (ii) Rock fill including free-haul up to 0.5 km: The horizontal measurement taken from the centre line of (a) Gravel material in the road to the side of the fill, shall nowhere be more than compacted layer thicknesses 250 mm less or 500 mm more than the specified dimension of 200 mm and less: when measured at any level. (i) Compacted to 90% of (iii) Cut slopes modified AASHTO density . . . . . . . . . . cubic metre (m3) No specific tolerances are given, but the cut slopes shall be (ii) Compacted to 93% of finished to a standard generally attainable with proper care modified AASHTO density . . . . . . . . . . cubic metre (m3) and workmanship, where the nature of the excavated material is borne in mind. Care shall also be taken not to (iii) Twelve roller passes undercut any slopes which would cause sections to have a compaction . . . . . . . . . . . . . . . . . . . . . . cubic metre (m3) steeper slope than specified. All loose material shall be removed. (b) Gravel material in compacted layer thicknesses from 200 mm to 500 mm: 3311 ROUTINE INSPECTION AND TESTS (i)</x:v>
      </x:c>
      <x:c r="J2171" s="43" t="str">
        <x:v>자동추출·검토필요</x:v>
      </x:c>
    </x:row>
    <x:row r="2172">
      <x:c r="A2172" s="43" t="str">
        <x:v>L2023-00032-1</x:v>
      </x:c>
      <x:c r="B2172" s="43" t="str">
        <x:v>부가세·예비비</x:v>
      </x:c>
      <x:c r="C2172" s="46" t="str">
        <x:v>vat</x:v>
      </x:c>
      <x:c r="D2172" s="46" t="str"/>
      <x:c r="E2172" s="46" t="str"/>
      <x:c r="F2172" s="46" t="str">
        <x:v>50% | 5% | 20% | 100% | 20% | 95% | 50% | 70%</x:v>
      </x:c>
      <x:c r="G2172" s="46" t="str">
        <x:v>L2023-00032-1/2. 입찰서류(영문)/Section 6 - Technical Specifications.pdf</x:v>
      </x:c>
      <x:c r="H2172" s="43" t="str">
        <x:v>페이지 72</x:v>
      </x:c>
      <x:c r="I2172" s="46" t="str">
        <x:v>processing, shaping, watering, mixing, and compacting the excavation to be equivalent to 50% of the loose volume in materials to the densities or in the manner specified herein the hauling vehicles. and for removing and disposing of up to 5% oversize material from the road after processing, including transport Except as provided under Item 33.05, no material excavated for a free-haul distance of 1.0 km. in excess of the authorised cross-section shall be paid for, notwithstanding any tolerances in workmanship allowed. Payment shall distinguish between the various methods of processing and compacting specified, as itemised above. The tendered rates shall be paid as extra over the rates applying to soft excavation in Item 33.01 and shall include full compensation for additional costs to excavate and break Item Unit down the various classes of material, including the cost of all the necessary additional effort, plant, tools, materials, 33.2 Sand fills (as described labour and supervision. in Clause 3302, including free-haul up to 0.5 km): The extra over payment shall distinguish between intermediate, hard, boulder Class A and boulder Class B (a) Non-plastic sand excavation. with up to </x:v>
      </x:c>
      <x:c r="J2172" s="43" t="str">
        <x:v>자동추출·검토필요</x:v>
      </x:c>
    </x:row>
    <x:row r="2173">
      <x:c r="A2173" s="43" t="str">
        <x:v>L2023-00032-1</x:v>
      </x:c>
      <x:c r="B2173" s="43" t="str">
        <x:v>부가세·예비비</x:v>
      </x:c>
      <x:c r="C2173" s="46" t="str">
        <x:v>vat</x:v>
      </x:c>
      <x:c r="D2173" s="46" t="str"/>
      <x:c r="E2173" s="46" t="str"/>
      <x:c r="F2173" s="46" t="str">
        <x:v>10% | 6% | 30% | 95% | 15 % | 10 %</x:v>
      </x:c>
      <x:c r="G2173" s="46" t="str">
        <x:v>L2023-00032-1/2. 입찰서류(영문)/Section 6 - Technical Specifications.pdf</x:v>
      </x:c>
      <x:c r="H2173" s="43" t="str">
        <x:v>페이지 76</x:v>
      </x:c>
      <x:c r="I2173" s="46" t="str">
        <x:v>SERIES 3000 : EARTHWORKS AND PAVEMENT The maximum plasticity index of material to be chemically LAYERS OF GRAVEL OR stabilised shall be as directed by the Engineer for each CRUSHED STONE source and type of material used. SECTION 3400 : PAVEMENT LAYERS OF GRAVEL MATERIAL (c) Subbase Subbase materials shall be obtained from approved sources CONTENTS in borrow or cut or such other sources as may be specified or approved from time to time. 3401 SCOPE 3402 MATERIALS The completed subbase shall contain no material having a 3403 CONSTRUCTION maximum dimension larger than 63 mm or larger than two- 3404 PROTECTION AND MAINTENANCE thirds of the compacted layer thickness when approved by 3405 CONSTRUCTION TOLERANCES the Engineer. 3406 ROUTINE INSPECTION AND TESTS 3407 MEASUREMENT AND PAYMENT Subbase material shall, unless otherwise authorised, conform with the following requirements when finally placed: 3401 SCOPE (i) Grading modulus The minimum grading modulus shall be 1.5 unless This Section covers the construction of selected layers, authorised by the Engineer, in which case a minimum of 1.2 subbases, bases and shoulders, and also gravel wearing may be permitted. The grading modulus may be</x:v>
      </x:c>
      <x:c r="J2173" s="43" t="str">
        <x:v>자동추출·검토필요</x:v>
      </x:c>
    </x:row>
    <x:row r="2174">
      <x:c r="A2174" s="43" t="str">
        <x:v>L2023-00032-1</x:v>
      </x:c>
      <x:c r="B2174" s="43" t="str">
        <x:v>부가세·예비비</x:v>
      </x:c>
      <x:c r="C2174" s="46" t="str">
        <x:v>vat</x:v>
      </x:c>
      <x:c r="D2174" s="46" t="str"/>
      <x:c r="E2174" s="46" t="str"/>
      <x:c r="F2174" s="46" t="str">
        <x:v>93% | 95%</x:v>
      </x:c>
      <x:c r="G2174" s="46" t="str">
        <x:v>L2023-00032-1/2. 입찰서류(영문)/Section 6 - Technical Specifications.pdf</x:v>
      </x:c>
      <x:c r="H2174" s="43" t="str">
        <x:v>페이지 79</x:v>
      </x:c>
      <x:c r="I2174" s="46" t="str">
        <x:v>Shoulder material shall be spread, broken down, watered, any damage or defects that may occur, excluding the normal processed and compacted in accordance with the provisions wear and tear of bases and wearing courses, and shall be of Section 3200, and shall be compacted to a density of not repeated until the end of the maintenance period. less than 93% of modified AASHTO density or 95% modified AASHTO density if specified in the Drawings or by the Engineer. 3405 CONSTRUCTION TOLERANCES Work shall be so constructed that the road will be adequately drained at all times by means of temporary The completed pavement layers shall comply with the drainage pipes passing through the shoulders. The construction tolerances given below: Contractor shall not start constructing the final bituminous surfacing of any part of the road before he has completed the shoulders of such section and the Engineer has (a) Level approved it. The level tolerances referred to in Clause 7205 shall be as follows: (c) Crushing and screening H90 Hmax Where pavement material cannot be suitably broken down to the required size in excavation and during processing on Selected layer......................................</x:v>
      </x:c>
      <x:c r="J2174" s="43" t="str">
        <x:v>자동추출·검토필요</x:v>
      </x:c>
    </x:row>
    <x:row r="2175">
      <x:c r="A2175" s="43" t="str">
        <x:v>L2023-00032-1</x:v>
      </x:c>
      <x:c r="B2175" s="43" t="str">
        <x:v>부가세·예비비</x:v>
      </x:c>
      <x:c r="C2175" s="46" t="str">
        <x:v>vat</x:v>
      </x:c>
      <x:c r="D2175" s="46" t="str"/>
      <x:c r="E2175" s="46" t="str"/>
      <x:c r="F2175" s="46" t="str">
        <x:v>93% | 100% | 95% | 95% | 5% | 97% | 98% | 100%</x:v>
      </x:c>
      <x:c r="G2175" s="46" t="str">
        <x:v>L2023-00032-1/2. 입찰서류(영문)/Section 6 - Technical Specifications.pdf</x:v>
      </x:c>
      <x:c r="H2175" s="43" t="str">
        <x:v>페이지 81</x:v>
      </x:c>
      <x:c r="I2175" s="46" t="str">
        <x:v>(h) Gravel wearing course compacted to : (ii) cemented material (specify compacted layer (i) 93% of modified AASHTO thickness) . . . . . . . . . . . . . . . . . cubic metre (m3) density (specify compacted layer thickness) . . . . . . . . . . . . . cubic metre (m3) (c) Sand selected layer compacted to 100% of modified AASHTO (ii) 95% of modified AASHTO density (specify compacted layer density (specify compacted thickness) . . . . . . . . . . . . . . . . . cubic metre (m3) layer thickness) . . . . . . . . . . . . . cubic metre (m3) (d) Gravel subbase compacted The unit of measurement shall be the cubic metre of to 95% of modified AASHTO compacted pavement layer, and the quantity shall be density, using: calculated from the authorised dimensions of the completed layer. (i) non-cemented material (specify compacted layer The tendered rates shall include full compensation for thickness) . . . . . . . . . . . . . . . . . cubic metre (m3) procuring, as if from soft excavation or pits, breaking down, placing and compacting the material, including transporting (ii) cemented material the material for a distance of 1.0 km and its removal, (specify compacted layer disposal and transporting for </x:v>
      </x:c>
      <x:c r="J2175" s="43" t="str">
        <x:v>자동추출·검토필요</x:v>
      </x:c>
    </x:row>
    <x:row r="2176">
      <x:c r="A2176" s="43" t="str">
        <x:v>L2023-00032-1</x:v>
      </x:c>
      <x:c r="B2176" s="43" t="str">
        <x:v>부가세·예비비</x:v>
      </x:c>
      <x:c r="C2176" s="46" t="str">
        <x:v>vat</x:v>
      </x:c>
      <x:c r="D2176" s="46" t="str"/>
      <x:c r="E2176" s="46" t="str"/>
      <x:c r="F2176" s="46" t="str">
        <x:v>93% | 95% | 95% | 95% | 97% | 98% | 100% | 93%</x:v>
      </x:c>
      <x:c r="G2176" s="46" t="str">
        <x:v>L2023-00032-1/2. 입찰서류(영문)/Section 6 - Technical Specifications.pdf</x:v>
      </x:c>
      <x:c r="H2176" s="43" t="str">
        <x:v>페이지 82</x:v>
      </x:c>
      <x:c r="I2176" s="46" t="str">
        <x:v>(i) non-cemented material (i) non-cemented material (specify compacted layer (specify compacted layer thickness) . . . . . . . . . . . . . . . . . cubic metre (m3) thickness) . . . . . . . . . . . . . . . . . cubic metre (m3) (ii) cemented material (ii) cemented material (specify compacted layer (specify compacted layer thickness) . . . . . . . . . . . . . . . . . cubic metre (m3) thickness) . . . . . . . . . . . . . . . . . cubic metre (m3) (j) Gravel wearing course compacted (b) Gravel selected layer compacted to 93% of modified AASHTO to 95% of modified AASHTO density, using: density, using: (i) non cemented material (specify (i) non-cemented material compacted layer thickness) . . . . cubic metre (m3) (specify compacted layer thickness) . . . . . . . . . . . . . . . . . cubic metre (m3) (ii) cemented material (specify compacted layer thickness) . . . . cubic metre (m3) (ii) cemented material (specify compacted layer (k) Gravel wearing course compacted thickness) . . . . . . . . . . . . . . . . . cubic metre (m3) to 95% of modified AASHTO density, using: (c) Gravel subbase compacted to 95% of modified AASHTO (i) non cemented material (specify density, using: compacted layer thic</x:v>
      </x:c>
      <x:c r="J2176" s="43" t="str">
        <x:v>자동추출·검토필요</x:v>
      </x:c>
    </x:row>
    <x:row r="2177">
      <x:c r="A2177" s="43" t="str">
        <x:v>L2023-00032-1</x:v>
      </x:c>
      <x:c r="B2177" s="43" t="str">
        <x:v>부가세·예비비</x:v>
      </x:c>
      <x:c r="C2177" s="46" t="str">
        <x:v>vat</x:v>
      </x:c>
      <x:c r="D2177" s="46" t="str"/>
      <x:c r="E2177" s="46" t="str"/>
      <x:c r="F2177" s="46" t="str">
        <x:v>95% | 93% | 95%</x:v>
      </x:c>
      <x:c r="G2177" s="46" t="str">
        <x:v>L2023-00032-1/2. 입찰서류(영문)/Section 6 - Technical Specifications.pdf</x:v>
      </x:c>
      <x:c r="H2177" s="43" t="str">
        <x:v>페이지 83</x:v>
      </x:c>
      <x:c r="I2177" s="46" t="str">
        <x:v>(i) non-cemented material The tendered rates shall include full compensation for (specify compacted layer breaking up the existing pavement layer, excavating the thickness) . . . . . . . . . . . . . . . . . cubic metre (m3) material in the existing pavement, procuring, breaking down, placing and compacting the material, including haul (ii) cemented material for a free-haul distance of 1.0 km and for the protection and (specify compacted layer maintenance of the layer as well as for the performance of thickness) . . . . . . . . . . . . . . . . . cubic metre (m3) control tests, all as specified. (h) Gravel shoulder compacted Where excavation is executed over sections of the road, to 95% of modified AASHTO payment will also include compensation for the proper density, using: measuring and marking-off of the excavation, and the protection of the adjacent existing pavement and its repair (i) non-cemented material should it be damaged. (specify compacted layer thickness) . . . . . . . . . . . . . . . . . cubic metre (m3) The tendered rate for cemented material shall include full compensation for breaking down the material to comply with (ii) cemented material the specified grading requir</x:v>
      </x:c>
      <x:c r="J2177" s="43" t="str">
        <x:v>자동추출·검토필요</x:v>
      </x:c>
    </x:row>
    <x:row r="2178">
      <x:c r="A2178" s="43" t="str">
        <x:v>L2023-00032-1</x:v>
      </x:c>
      <x:c r="B2178" s="43" t="str">
        <x:v>부가세·예비비</x:v>
      </x:c>
      <x:c r="C2178" s="46" t="str">
        <x:v>reserve</x:v>
      </x:c>
      <x:c r="D2178" s="46" t="str"/>
      <x:c r="E2178" s="46" t="str"/>
      <x:c r="F2178" s="46" t="str">
        <x:v>0.5%</x:v>
      </x:c>
      <x:c r="G2178" s="46" t="str">
        <x:v>L2023-00032-1/2. 입찰서류(영문)/Section 6 - Technical Specifications.pdf</x:v>
      </x:c>
      <x:c r="H2178" s="43" t="str">
        <x:v>페이지 88</x:v>
      </x:c>
      <x:c r="I2178" s="46" t="str">
        <x:v>applied only on condition that the variation in these 3507 MEASUREMENT AND PAYMENT adjustments falls within the limits specified in Clause 7109. Item Unit 3506 QUALITY OF MATERIALS AND WORKMANSHIP 35.1 Chemical stabilisation (layer thickness indicated) (a) Process control extra over unstabilised com- pacted layers (layer to be (i) Stabilising agent stabilised indicated) . . . . . . . . . . cubic metre (m3) The Contractor shall keep detailed records of the quantities The unit of measurement shall be the cubic metre of of stabilising agent applied to the road and the volume of stabilised material, the quantity of which shall be determined material stabilised, and shall make these records available in accordance with the authorised dimensions of the layers to the Engineer. He shall also monitor the rate of treated as instructed by the Engineer. application when using bulk spreading equipment, by taking a canvas patch or tray test every 200 metres, unless the The tendered rates for chemical stabilisation shall be paid Engineer has permitted that the number of tests may be as extra over the rates tendered for constructing the reduced. When using a bulk spreader on Site for the first uns</x:v>
      </x:c>
      <x:c r="J2178" s="43" t="str">
        <x:v>자동추출·검토필요</x:v>
      </x:c>
    </x:row>
    <x:row r="2179">
      <x:c r="A2179" s="43" t="str">
        <x:v>L2023-00032-1</x:v>
      </x:c>
      <x:c r="B2179" s="43" t="str">
        <x:v>부가세·예비비</x:v>
      </x:c>
      <x:c r="C2179" s="46" t="str">
        <x:v>vat</x:v>
      </x:c>
      <x:c r="D2179" s="46" t="str"/>
      <x:c r="E2179" s="46" t="str"/>
      <x:c r="F2179" s="46" t="str">
        <x:v>5%</x:v>
      </x:c>
      <x:c r="G2179" s="46" t="str">
        <x:v>L2023-00032-1/2. 입찰서류(영문)/Section 6 - Technical Specifications.pdf</x:v>
      </x:c>
      <x:c r="H2179" s="43" t="str">
        <x:v>페이지 100</x:v>
      </x:c>
      <x:c r="I2179" s="46" t="str">
        <x:v>Bituminous material may be milled out or otherwise broken order to obtain milled material of the required grade. No up and removed to approved stockpile sites for recycling or payment will be made for trial milling. to spoil sites, whichever is required. The exposed surface shall be cleaned to the satisfaction of the Engineer after (iii) Asphalt removal of the bituminous material. Not more than 5% of the surface may be covered with bituminous material. Where the asphalt and/or the cemented base must be re- used, the asphalt shall be removed separately. Where the The existing pavement material shall be broken down to the asphalt consists of layers of various mixes or grades, the specified depth and removed, or reprocessed in place, Engineer may instruct the separate removal of the layers to whichever may be required. The underlying layers may not different stockpiles. Where the milled material is not be damaged, and material from one layer may not be mixed conveyed directly by conveyor belt and then loaded, and the with that of another layer. Where such mixing occurs or Engineer so approves, the material shall first be cut to where the material is contaminated in any other way by th</x:v>
      </x:c>
      <x:c r="J2179" s="43" t="str">
        <x:v>자동추출·검토필요</x:v>
      </x:c>
    </x:row>
    <x:row r="2180">
      <x:c r="A2180" s="43" t="str">
        <x:v>L2023-00032-1</x:v>
      </x:c>
      <x:c r="B2180" s="43" t="str">
        <x:v>부가세·예비비</x:v>
      </x:c>
      <x:c r="C2180" s="46" t="str">
        <x:v>vat</x:v>
      </x:c>
      <x:c r="D2180" s="46" t="str"/>
      <x:c r="E2180" s="46" t="str"/>
      <x:c r="F2180" s="46" t="str">
        <x:v>90%</x:v>
      </x:c>
      <x:c r="G2180" s="46" t="str">
        <x:v>L2023-00032-1/2. 입찰서류(영문)/Section 6 - Technical Specifications.pdf</x:v>
      </x:c>
      <x:c r="H2180" s="43" t="str">
        <x:v>페이지 101</x:v>
      </x:c>
      <x:c r="I2180" s="46" t="str">
        <x:v>excavation, the surface shall not deviate by more than 7 mm 3807 MEASUREMENT AND PAYMENT from the bottom edge of the straight-edge. (a) General Payment for milling will distinguish between various types of milled material and between various milling depths. (i) Material to be reprocessed Direct payment will not be made for breaking up and (c) Treatment of pavement excavation floor excavating existing payment material that is reprocessed and re-used, except when: The floor of any pavement excavation where material is not milled out, shall be treated and paid for as specified in the (1) The material is milled out in accordance with the relevant clauses of Sections 3400 and 3600. Milled provisions of the Project Specifications or upon the written surfaces shall be treated and paid for as specified in the instruction of the Engineer. Project Specifications. (2) Bituminous surfacing or other bituminous pavement layers are removed separately from the underlying material 3806 STORING RECOVERED PAVEMENT MATERIAL in accordance with the Project Specifications or the written instructions of the Engineer. Excavated pavement material intended for reprocessing but Full compensation for excavatin</x:v>
      </x:c>
      <x:c r="J2180" s="43" t="str">
        <x:v>자동추출·검토필요</x:v>
      </x:c>
    </x:row>
    <x:row r="2181">
      <x:c r="A2181" s="43" t="str">
        <x:v>L2023-00032-1</x:v>
      </x:c>
      <x:c r="B2181" s="43" t="str">
        <x:v>부가세·예비비</x:v>
      </x:c>
      <x:c r="C2181" s="46" t="str">
        <x:v>vat</x:v>
      </x:c>
      <x:c r="D2181" s="46" t="str"/>
      <x:c r="E2181" s="46" t="str"/>
      <x:c r="F2181" s="46" t="str">
        <x:v>70%</x:v>
      </x:c>
      <x:c r="G2181" s="46" t="str">
        <x:v>L2023-00032-1/2. 입찰서류(영문)/Section 6 - Technical Specifications.pdf</x:v>
      </x:c>
      <x:c r="H2181" s="43" t="str">
        <x:v>페이지 102</x:v>
      </x:c>
      <x:c r="I2181" s="46" t="str">
        <x:v>(c) General The tendered rate shall include full compensation for providing milling equipment and milling out the material to Item 38.05 is applicable solely to rehabilitation work that has the specified depth and in accordance with the requirements to be executed in a restricted area of which the width is less for evenness and for all measurements, labour, supervision than 3 m or length is less than 150 m. and incidentals for executing the work and obtaining milled material which will comply with the specified requirements. Item Unit The tendered rate shall also include full compensation for loading and transporting the material to approved stockpiles 38.01 Excavating and removing for a free-haul distance of 1.0 km irrespective of the method existing bituminous of loading, and for unloading the material and placing it in a material (except milled stockpile, also for screening out the oversize material if material): necessary. Separate payment will be made for preparing the stockpile site. (a) Material intended for recycling Payment for milling the material will distinguish between the with the average depth of excavation: various average depths of excavation, irrespective of the r</x:v>
      </x:c>
      <x:c r="J2181" s="43" t="str">
        <x:v>자동추출·검토필요</x:v>
      </x:c>
    </x:row>
    <x:row r="2182">
      <x:c r="A2182" s="43" t="str">
        <x:v>L2023-00032-1</x:v>
      </x:c>
      <x:c r="B2182" s="43" t="str">
        <x:v>부가세·예비비</x:v>
      </x:c>
      <x:c r="C2182" s="46" t="str">
        <x:v>vat, reserve</x:v>
      </x:c>
      <x:c r="D2182" s="46" t="str"/>
      <x:c r="E2182" s="46" t="str"/>
      <x:c r="F2182" s="46" t="str">
        <x:v>30% | 50%</x:v>
      </x:c>
      <x:c r="G2182" s="46" t="str">
        <x:v>L2023-00032-1/2. 입찰서류(영문)/Section 6 - Technical Specifications.pdf</x:v>
      </x:c>
      <x:c r="H2182" s="43" t="str">
        <x:v>페이지 116</x:v>
      </x:c>
      <x:c r="I2182" s="46" t="str">
        <x:v>than 30 mm with an allowable wind velocity of less than (iii) Tack coat 25 km/h. Where required in these Specifications or the Project (ii) With falling air temperatures, work must be stopped Specifications, or where indicated by the Engineer, a tack when the temperature reaches 6。C regardless of the wind coat shall be applied to the surface to be paved. velocity and may not be restarted before the temperature is definitely rising. The tack coat shall consist of a stable-grade bituminous emulsion diluted to have a 30% bitumen content and shall be applied at a rate of 0.55 Q/m2 or as directed by the (b) Moisture content Engineer. The mixing and placing of asphalt will not be allowed if the The use of hand operated equipment for the application of moisture content of the aggregate affects the uniformity of tack costs shall be at the sole discretion of the Engineer and temperature or if free water is present on the working his approval shall be timeously obtained. surface, or when the moisture content of the underlying layer, in the opinion of the Engineer, is too high. Portions of kerbing and guttering, bridge kerb and railing which will be exposed, shall be protected in terms of Sec</x:v>
      </x:c>
      <x:c r="J2182" s="43" t="str">
        <x:v>자동추출·검토필요</x:v>
      </x:c>
    </x:row>
    <x:row r="2183">
      <x:c r="A2183" s="43" t="str">
        <x:v>L2023-00032-1</x:v>
      </x:c>
      <x:c r="B2183" s="43" t="str">
        <x:v>부가세·예비비</x:v>
      </x:c>
      <x:c r="C2183" s="46" t="str">
        <x:v>vat</x:v>
      </x:c>
      <x:c r="D2183" s="46" t="str"/>
      <x:c r="E2183" s="46" t="str">
        <x:v>50 pen | 70 pen | 100 pen | 200 pen</x:v>
      </x:c>
      <x:c r="F2183" s="46" t="str">
        <x:v>0.5% | 2% | 0.5%</x:v>
      </x:c>
      <x:c r="G2183" s="46" t="str">
        <x:v>L2023-00032-1/2. 입찰서류(영문)/Section 6 - Technical Specifications.pdf</x:v>
      </x:c>
      <x:c r="H2183" s="43" t="str">
        <x:v>페이지 117</x:v>
      </x:c>
      <x:c r="I2183" s="46" t="str">
        <x:v>Table 4206/1 run, can be completed during daylight, unless artificial Temperature ranges for bitumen binders lighting, as approved by the Engineer, is provided. Any asphalt which has become wet due to rain or any other cause will be rejected. Hauling over freshly laid material is Max storage Temp range not permitted. Material temp of of mix binder 。C 。C (d) Small quantities of asphalt Over Under Cont A small quantity of asphalt shall be a quantity of less than 24 hrs 24 hrs graded 10 tonnes of a specified composition to be specially mixes produced on occasion. For a small quantity of asphalt of less than 10 tonnes extra payment will be made if its use Bitumens has been instructed by the Engineer, in writing, and where, 40/50 pen. 145 175 140-165 in the opinion of the Engineer it is necessary: 60/70 pen. 135 175 135-160 80/100 pen. 125 175 130-155 (i) in accordance with the approved working programme 150/200 pen. 115 165 125-150 of the Contractor, and/or (ii) for the safety of the work or the travelling public on account of weather conditions or abnormal traffic conditions. (b) Production of the mixture No extra payment will be made where small quantities of (i) Using batch plants a</x:v>
      </x:c>
      <x:c r="J2183" s="43" t="str">
        <x:v>자동추출·검토필요</x:v>
      </x:c>
    </x:row>
    <x:row r="2184">
      <x:c r="A2184" s="43" t="str">
        <x:v>L2023-00032-1</x:v>
      </x:c>
      <x:c r="B2184" s="43" t="str">
        <x:v>부가세·예비비</x:v>
      </x:c>
      <x:c r="C2184" s="46" t="str">
        <x:v>vat</x:v>
      </x:c>
      <x:c r="D2184" s="46" t="str"/>
      <x:c r="E2184" s="46" t="str"/>
      <x:c r="F2184" s="46" t="str">
        <x:v>5%</x:v>
      </x:c>
      <x:c r="G2184" s="46" t="str">
        <x:v>L2023-00032-1/2. 입찰서류(영문)/Section 6 - Technical Specifications.pdf</x:v>
      </x:c>
      <x:c r="H2184" s="43" t="str">
        <x:v>페이지 118</x:v>
      </x:c>
      <x:c r="I2184" s="46" t="str">
        <x:v>Paving shall, if possible, commence at the bottom of the to be placed. All loose and incompletely compacted grades and the lower edges of superelevated curves. Paving material shall be removed. A cutting wheel shall be used for shall be done upgrade on grades steeper than 5%. cutting longitudinal joints. Spreading shall be so arranged that longitudinal joints do Joints shall be either at right angles or parallel to the centre not coincide with joints in lower layers of asphalt base or line, and joints in the final layer of the surfacing shall, where surfacing. possible, correspond with the lane markings. Joints in lower layers shall be offset not less than 150 mm on either side of Unless otherwise specified in the Project Specifications the the edges of the traffic lanes. paver shall be equipped to provide automatic control of levels and cross section. In the case of asphalt base Before a new layer is placed next to an existing layer, the construction, automatic control shall be run off guidewires cut edge of the existing layer shall be painted with a thin and in the case of surfacing and overlays skids or coat of bituminous emulsion of the same type used for the guidewires shall b</x:v>
      </x:c>
      <x:c r="J2184" s="43" t="str">
        <x:v>자동추출·검토필요</x:v>
      </x:c>
    </x:row>
    <x:row r="2185">
      <x:c r="A2185" s="43" t="str">
        <x:v>L2023-00032-1</x:v>
      </x:c>
      <x:c r="B2185" s="43" t="str">
        <x:v>부가세·예비비</x:v>
      </x:c>
      <x:c r="C2185" s="46" t="str">
        <x:v>reserve</x:v>
      </x:c>
      <x:c r="D2185" s="46" t="str"/>
      <x:c r="E2185" s="46" t="str">
        <x:v>100 pen</x:v>
      </x:c>
      <x:c r="F2185" s="46" t="str">
        <x:v>0.5%</x:v>
      </x:c>
      <x:c r="G2185" s="46" t="str">
        <x:v>L2023-00032-1/2. 입찰서류(영문)/Section 6 - Technical Specifications.pdf</x:v>
      </x:c>
      <x:c r="H2185" s="43" t="str">
        <x:v>페이지 128</x:v>
      </x:c>
      <x:c r="I2185" s="46" t="str">
        <x:v>Table 4302/12 The time between the precoating and the placing of the Grading limits of aggregate for slurry used aggregate shall not exceed the time specified in the Project for texture improvement only Specifications or agreed on by the Engineer and the Contractor. Sieve size (mm) Percentage passing sieve All aggregates used with hot-applied homogeneous and non- by mass homogeneous modified binders, shall be precoated. 1.18 100 (ii) Precoating constraints 0.600 82 - 100 0.300 50 - 70 No precoating shall be applied where conventional and 0.150 20 - 35 modified emulsion binders are used unless specifically 0.075 7 - 15 specified or ordered by the Engineer. The sand equivalent determined in accordance with TMH1 Method B19 (SABS 838) shall be at least 35. 4303 PLANT AND EQUIPMENT The immersion index of briquettes made with slurry (a) General aggregate and 80/100 penetration-grade bitumen at the specified net bitumen content for the slurry shall be not less All plant and equipment used on the Works shall be of an than 75 when tested in accordance with Method C5 of adequate rated capacity and in a good working condition. TMH1. All plant and equipment that will be operated on the road du</x:v>
      </x:c>
      <x:c r="J2185" s="43" t="str">
        <x:v>자동추출·검토필요</x:v>
      </x:c>
    </x:row>
    <x:row r="2186">
      <x:c r="A2186" s="43" t="str">
        <x:v>L2023-00032-1</x:v>
      </x:c>
      <x:c r="B2186" s="43" t="str">
        <x:v>부가세·예비비</x:v>
      </x:c>
      <x:c r="C2186" s="46" t="str">
        <x:v>reserve</x:v>
      </x:c>
      <x:c r="D2186" s="46" t="str"/>
      <x:c r="E2186" s="46" t="str">
        <x:v>200 pen | 100 pen | 200 pen | 100 pen</x:v>
      </x:c>
      <x:c r="F2186" s="46" t="str">
        <x:v>50%</x:v>
      </x:c>
      <x:c r="G2186" s="46" t="str">
        <x:v>L2023-00032-1/2. 입찰서류(영문)/Section 6 - Technical Specifications.pdf</x:v>
      </x:c>
      <x:c r="H2186" s="43" t="str">
        <x:v>페이지 130</x:v>
      </x:c>
      <x:c r="I2186" s="46" t="str">
        <x:v>equipment for dealing with bitumen burns. (Refer to Sabita Conventional slurry shall not be applied at an air Manual 8 : Bitumen Safety Handbook.) temperature of less than 7。C when temperatures are rising, or less than 13。C when temperatures are dropping. Rapid The Engineer shall be entitled to request reserve plant, setting slurry shall be sufficiently versatile to be laid in air should there be any doubt as to the efficiency or capability temperatures of 4。C to 40。C, as well as capable of being of the equipment provided. laid under damp conditions. During hot weather slurry operations shall be suspended 4304 GENERAL LIMITATIONS AND REQUIREMENTS when aggregate is being displaced by the spreader box or squeegees. (a) Weather limitations When the breaking process accelerates to such an extent The minimum road-surface temperatures at which the that it renders the product unworkable to attain the required spraying of the different types and grades of binder may be end result, for instance when the surface temperature is in done are: excess of 60。C, or as otherwise prescribed by the Engineer, no sealing shall be done. (i) Conventional binders When strong winds are blowing which are lik</x:v>
      </x:c>
      <x:c r="J2186" s="43" t="str">
        <x:v>자동추출·검토필요</x:v>
      </x:c>
    </x:row>
    <x:row r="2187">
      <x:c r="A2187" s="43" t="str">
        <x:v>L2023-00032-1</x:v>
      </x:c>
      <x:c r="B2187" s="43" t="str">
        <x:v>부가세·예비비</x:v>
      </x:c>
      <x:c r="C2187" s="46" t="str">
        <x:v>reserve</x:v>
      </x:c>
      <x:c r="D2187" s="46" t="str"/>
      <x:c r="E2187" s="46" t="str"/>
      <x:c r="F2187" s="46" t="str">
        <x:v>30%</x:v>
      </x:c>
      <x:c r="G2187" s="46" t="str">
        <x:v>L2023-00032-1/2. 입찰서류(영문)/Section 6 - Technical Specifications.pdf</x:v>
      </x:c>
      <x:c r="H2187" s="43" t="str">
        <x:v>페이지 135</x:v>
      </x:c>
      <x:c r="I2187" s="46" t="str">
        <x:v>4311 OPENING TO TRAFFIC (ii) Method 2: Single seal with slurry: Severe bleeding The method to be used shall be the same as Method 1, The Engineer shall be responsible for determining when any except that the aggregate shall be nominal sized 9.5 mm or sealing layer is to be opened to public traffic. 13.2 mm and they shall be spread at the rate of 0.007 m3/m2 and 0.010 m3/m2 respectively. If only half the road width is The road shall not be opened to traffic until the binder has to be treated, the application of aggregate shall be finished set sufficiently to retain the aggregate, or in the case of in a neat line on the centre line of the road. slurry seals, the slurry has set sufficiently so as not to be picked up by the wheels of passing traffic. (iii) Method 3: Bleeding single or multiple seals The Contractor shall not allow any construction equipment, If the surface is non-uniform, ie partly bleeding and partly which is likely to cause damage, over the completed seal. coarse-textured, the surface shall be rectified by pretreating The Contractor shall display speed restriction signs in the coarse areas in accordance with Clause 4904 (Type 2 accordance with Section 1500 and the ins</x:v>
      </x:c>
      <x:c r="J2187" s="43" t="str">
        <x:v>자동추출·검토필요</x:v>
      </x:c>
    </x:row>
    <x:row r="2188">
      <x:c r="A2188" s="43" t="str">
        <x:v>L2023-00032-1</x:v>
      </x:c>
      <x:c r="B2188" s="43" t="str">
        <x:v>부가세·예비비</x:v>
      </x:c>
      <x:c r="C2188" s="46" t="str">
        <x:v>vat</x:v>
      </x:c>
      <x:c r="D2188" s="46" t="str">
        <x:v>100 m2</x:v>
      </x:c>
      <x:c r="E2188" s="46" t="str">
        <x:v>100 pen | 100 pen | 100 pen</x:v>
      </x:c>
      <x:c r="F2188" s="46" t="str">
        <x:v>30% | 60% | 60% | 30% | 60% | 30% | 60%</x:v>
      </x:c>
      <x:c r="G2188" s="46" t="str">
        <x:v>L2023-00032-1/2. 입찰서류(영문)/Section 6 - Technical Specifications.pdf</x:v>
      </x:c>
      <x:c r="H2188" s="43" t="str">
        <x:v>페이지 150</x:v>
      </x:c>
      <x:c r="I2188" s="46" t="str">
        <x:v>SERIES 4000 : AS P HAL T P AV E M E NTS AND (a) Binder for fog spray (Treatment Type 1) SEALS 30% or 60% cationic or anionic spray-grade bituminous SECTION 4900 : T R E A T M E N T O F S U R F AC E emulsion. DEFECTS, PATCHING, REPAIRING EDGE-BREAKS AND CRACK SEALING (b) Tack-coat binder (Treatment Type 2) 60% bituminous emulsion (Treatment Type 2) CONTENTS 30% bituminous emulsion (Treatment Types 3 and 4). 4901 SCOPE 4902 MATERIALS (c) Slurry binder (Treatment Type 3) 4903 PLANT AND EQUIPMENT 4904 TREATMENT OF SURFACE DEFECTS 60% stable-grade bituminous emulsion. 4905 PATCHING 4906 REPAIRING EDGE BREAKS 4907 CRACK SEALING (d) Binder for asphalt skim coat (Treatment Type 4) 4909 OPENING TO TRAFFIC 4910 JOINTS AND THE PROTECTION OF KERBS 80/100 penetration-grade bitumen. 4911 MEASUREMENT AND PAYMENT (e) Screed (Treatment Type 5) 4901 SCOPE 30% bitumen emulsion shall be used for the tack coat, and the binder for the asphalt shall be 80/100 penetration grade This Section covers the work in connection with the bitumen unless otherwise specified. treatment of existing road surfaces prior to the application of a seal or asphalt surfacing, patching, repairing edge breaks and crack sealing.</x:v>
      </x:c>
      <x:c r="J2188" s="43" t="str">
        <x:v>자동추출·검토필요</x:v>
      </x:c>
    </x:row>
    <x:row r="2189">
      <x:c r="A2189" s="43" t="str">
        <x:v>L2023-00032-1</x:v>
      </x:c>
      <x:c r="B2189" s="43" t="str">
        <x:v>부가세·예비비</x:v>
      </x:c>
      <x:c r="C2189" s="46" t="str">
        <x:v>vat</x:v>
      </x:c>
      <x:c r="D2189" s="46" t="str"/>
      <x:c r="E2189" s="46" t="str"/>
      <x:c r="F2189" s="46" t="str">
        <x:v>30% | 60% | 1.0%</x:v>
      </x:c>
      <x:c r="G2189" s="46" t="str">
        <x:v>L2023-00032-1/2. 입찰서류(영문)/Section 6 - Technical Specifications.pdf</x:v>
      </x:c>
      <x:c r="H2189" s="43" t="str">
        <x:v>페이지 153</x:v>
      </x:c>
      <x:c r="I2189" s="46" t="str">
        <x:v>used shall be as directed by the Engineer or as dictated by (b) Excavating pavement material the required thickness of the asphalt layer. Unless otherwise instructed by the Engineer, the patching The asphalt shall be applied as specified in Section 4200 in shall have a neat rectangular shape. The existing material thicknesses varying between 6 mm and 25 mm depending shall be excavated and removed to the full specified depth. on the nature of the irregularities that occur so that the final Asphalt layers and surfacing shall be cut with approved surface will conform to the surface tolerances for cross sawing equipment. section and smoothness as specified in Clause 4212. Where the thickness of asphalt required exceeds 25 mm, it Excavation for patching shall be cut with sideslopes of shall be laid in separate layers each not exceeding 25 mm approximately 60。 to the horizontal. thickness. Where required, excavation shall be done with an approved If the final surfacing shows signs of ravelling, disintegration, milling plant in accordance with Section 3800. or an uneven surface, the surface shall be given a Type 3 Treatment or removed and replaced, all at the Contractor's Excavated materi</x:v>
      </x:c>
      <x:c r="J2189" s="43" t="str">
        <x:v>자동추출·검토필요</x:v>
      </x:c>
    </x:row>
    <x:row r="2190">
      <x:c r="A2190" s="43" t="str">
        <x:v>L2023-00032-1</x:v>
      </x:c>
      <x:c r="B2190" s="43" t="str">
        <x:v>부가세·예비비</x:v>
      </x:c>
      <x:c r="C2190" s="46" t="str">
        <x:v>vat</x:v>
      </x:c>
      <x:c r="D2190" s="46" t="str"/>
      <x:c r="E2190" s="46" t="str"/>
      <x:c r="F2190" s="46" t="str">
        <x:v>60% | 60%</x:v>
      </x:c>
      <x:c r="G2190" s="46" t="str">
        <x:v>L2023-00032-1/2. 입찰서류(영문)/Section 6 - Technical Specifications.pdf</x:v>
      </x:c>
      <x:c r="H2190" s="43" t="str">
        <x:v>페이지 154</x:v>
      </x:c>
      <x:c r="I2190" s="46" t="str">
        <x:v>(d) Restrictions Twenty-four hours after application of the herbicide, the cracks shall be penetrated with primer specified by the Unless otherwise instructed in writing by the Engineer, the Engineer. excavation, backfilling and all patching work, complete as specified, for any patch shall be carried out and completed (iii) Cracks narrower than 3 mm on the same day. Special attention shall be given during patching to controlling and protecting traffic, as specified. Cracks narrower than 3 mm shall be treated with an emulsion or by means of resealing the surface. 4906 REPAIRING EDGE BREAKS (iv) Cracks 3 mm and wider After the primer has been applied, anionic stable-grade This treatment is intended for use where trimming and/or emulsion shall be mixed with synthetic modifiers, as repair of the edges of the surfaced area is required, specified in the Project Specifications, and applied by including restoring the road edges to the true edge lines of means of pneumatic spraying equipment or other approved the original road or to such other edge line as may be equipment at the rate specified in the Project Specifications. required. Where the cracks are to be rolled, the Contractor, in Wh</x:v>
      </x:c>
      <x:c r="J2190" s="43" t="str">
        <x:v>자동추출·검토필요</x:v>
      </x:c>
    </x:row>
    <x:row r="2191">
      <x:c r="A2191" s="43" t="str">
        <x:v>L2023-00032-1</x:v>
      </x:c>
      <x:c r="B2191" s="43" t="str">
        <x:v>부가세·예비비</x:v>
      </x:c>
      <x:c r="C2191" s="46" t="str">
        <x:v>vat</x:v>
      </x:c>
      <x:c r="D2191" s="46" t="str"/>
      <x:c r="E2191" s="46" t="str"/>
      <x:c r="F2191" s="46" t="str">
        <x:v>30% | 30%</x:v>
      </x:c>
      <x:c r="G2191" s="46" t="str">
        <x:v>L2023-00032-1/2. 입찰서류(영문)/Section 6 - Technical Specifications.pdf</x:v>
      </x:c>
      <x:c r="H2191" s="43" t="str">
        <x:v>페이지 156</x:v>
      </x:c>
      <x:c r="I2191" s="46" t="str">
        <x:v>Item Unit Item Unit 49.5 Treatment Type 4: 49.7 Sawing asphalt or (asphalt skim coat): cemented pavement layers for patching: (a) Tack coat using 30% bitumen emulsion . . . . . . . . . . . . . . . . . . . . . . . . . litre (Q) (a) Sawing asphalt to an average depth: (b) Continuously-graded asphalt . . . . . . . . . . . . . . . . . . . . . . . . . . . . . . . tonne (t) (i) Not exceeding 50 mm . . . . . . square metre (m2) The unit of measurement for the tack coat shall be the litre (ii) Exceeding 50 mm but not of emulsion applied, measured at spraying temperature. exceeding 100 mm . . . . . . . . square metre (m2) The unit of measurement for asphalt shall be the tonne of asphalt laid according to the Specifications. (iii) Exceeding 100 mm . . . . . . . . square metre (m2) The tendered rate for tack coat shall include full compensation for procuring, furnishing and applying the tack (b) Sawing cemented pavement coat and demarcating the areas to be sprayed, and for all layers to an average depth: incidentals necessary for completing the work as specified. (i) Not exceeding 50 mm . . . . . . square metre (m2) The tendered rate for asphalt shall include full compensation for procuring, </x:v>
      </x:c>
      <x:c r="J2191" s="43" t="str">
        <x:v>자동추출·검토필요</x:v>
      </x:c>
    </x:row>
    <x:row r="2192">
      <x:c r="A2192" s="43" t="str">
        <x:v>L2023-00032-1</x:v>
      </x:c>
      <x:c r="B2192" s="43" t="str">
        <x:v>부가세·예비비</x:v>
      </x:c>
      <x:c r="C2192" s="46" t="str">
        <x:v>vat</x:v>
      </x:c>
      <x:c r="D2192" s="46" t="str">
        <x:v>5 m2 | 5 m2 | 100 m2 | 100 m2 | 5 m2 | 5 m2 | 100 m2 | 100 m2</x:v>
      </x:c>
      <x:c r="E2192" s="46" t="str"/>
      <x:c r="F2192" s="46" t="str"/>
      <x:c r="G2192" s="46" t="str">
        <x:v>L2023-00032-1/2. 입찰서류(영문)/Section 6 - Technical Specifications.pdf</x:v>
      </x:c>
      <x:c r="H2192" s="43" t="str">
        <x:v>페이지 157</x:v>
      </x:c>
      <x:c r="I2192" s="46" t="str">
        <x:v>Item Unit Item Unit 49.9 Backfilling of 49.11 Edge breaks: excavations for patching with: (a) Trimming edges of existing surfacing . . . . . . . . . . . . . . . . . . . . . . metre (m) (a) Chemically stabilised pavement material (specify the pavement material (b) Reconstructing edges and the stabilising agent) for a patch from continuously-graded with a surface area: asphalt . . . . . . . . . . . . . . . . . . . . . . . . . . . . . . . tonne (t) (i) Not exceeding 5 m2 . . . . . . . . . cubic metre (m3) The unit of measurement for trimming edges shall be the metre of pavement edge cut back and trimmed as specified. (ii) Exceeding 5 m2 but not exceeding 100 m2 . . . . . . . . . . . cubic metre (m3) The unit of measurement for reconstructing pavement edges shall be the tonne of continuously-graded asphalt furnished (iii) Exceeding 100 m2 . . . . . . . . . . . cubic metre (m3) and compacted as specified. (b) Base material stabilised The tendered rate for trimming the edges shall include full with bituminous emulsion (specify compensation for cutting back the edges as directed, and the emulsion) for a patch with a removing and dumping of all excavated and loose material surface area: in</x:v>
      </x:c>
      <x:c r="J2192" s="43" t="str">
        <x:v>자동추출·검토필요</x:v>
      </x:c>
    </x:row>
    <x:row r="2193">
      <x:c r="A2193" s="43" t="str">
        <x:v>L2023-00032-1</x:v>
      </x:c>
      <x:c r="B2193" s="43" t="str">
        <x:v>부가세·예비비</x:v>
      </x:c>
      <x:c r="C2193" s="46" t="str">
        <x:v>vat</x:v>
      </x:c>
      <x:c r="D2193" s="46" t="str">
        <x:v>10 m2 | 0.15 m2 | 2 m2 | 2 m2 | 10 m2 | 10 m2 | 2 m2 | 10 m2</x:v>
      </x:c>
      <x:c r="E2193" s="46" t="str"/>
      <x:c r="F2193" s="46" t="str"/>
      <x:c r="G2193" s="46" t="str">
        <x:v>L2023-00032-1/2. 입찰서류(영문)/Section 6 - Technical Specifications.pdf</x:v>
      </x:c>
      <x:c r="H2193" s="43" t="str">
        <x:v>페이지 171</x:v>
      </x:c>
      <x:c r="I2193" s="46" t="str">
        <x:v>Item Unit (c) Exceeding 10 m2 . . . . . . . . . . . . . . . number (No) 54.4 Excavation and backfilling The unit of measurement shall be the number of signs for road sign supports . . . . . . cubic metre (m3) dismantled, stored and re-erected in each size group. The unit of measurement shall be the cubic metre of The tendered rates shall include full compensation for excavation measured in place according to the neat dismantling and storing the road signs and supporting dimensions of the footings or excavations as shown on the structures, transporting the material to a new location, re- Drawings or directed by the Engineer. In the case of timber erecting the road signs, and restoring the location where posts not in concrete, the plan area of the excavated hole they were dismantled. shall be taken as 0.15 m2, irrespective of the actual size of the excavated hole. Payment for excavations, and the new material and concrete required for re-erecting the road signs shall be made under The tendered rate shall be in full compensation for the appropriate Item, and any repairs and painting which excavating, backfilling and compacting the backfill material, may be necessary, shall be paid for</x:v>
      </x:c>
      <x:c r="J2193" s="43" t="str">
        <x:v>자동추출·검토필요</x:v>
      </x:c>
    </x:row>
    <x:row r="2194">
      <x:c r="A2194" s="43" t="str">
        <x:v>L2023-00032-1</x:v>
      </x:c>
      <x:c r="B2194" s="43" t="str">
        <x:v>부가세·예비비</x:v>
      </x:c>
      <x:c r="C2194" s="46" t="str">
        <x:v>vat</x:v>
      </x:c>
      <x:c r="D2194" s="46" t="str"/>
      <x:c r="E2194" s="46" t="str"/>
      <x:c r="F2194" s="46" t="str">
        <x:v>10% | 10% | 50%</x:v>
      </x:c>
      <x:c r="G2194" s="46" t="str">
        <x:v>L2023-00032-1/2. 입찰서류(영문)/Section 6 - Technical Specifications.pdf</x:v>
      </x:c>
      <x:c r="H2194" s="43" t="str">
        <x:v>페이지 185</x:v>
      </x:c>
      <x:c r="I2194" s="46" t="str">
        <x:v>SERIES 6000 : STRUCTURES (d) Granular fill SECTION 6100 : FOUNDATIONS FOR STRUCTURES Granular material used for constructing the compacted granular fill shall be approved granular material of at least gravel subbase quality. CONTENTS 6101 SCOPE (e) Sand fill 6102 MATERIALS 6103 GENERAL Sand used for filling the caissons shall be clean, hard sand 6104 ACCESS AND DRAINAGE free from lumps of clay or organic or other deleterious 6105 EXCAVATION matter. 6106 FOUNDING 6107 UTILISATION OF EXCAVATED MATERIAL 6108 BACKFILL AND FILL NEAR STRUCTURES (f) Structural steel 6109 FOUNDATION FILL 6110 GROUTING OF ROCK FISSURES Steel in the steel piles shall comply with the requirements of 6111 FOUNDATION DOWELS BS 4360 or SABS 1431 or equivalent, BS EN 10113 and BS 6112 FOUNDATION LINING EN 10155 for the grade of steel specified on the Drawings. 6113 FOUNDATION PILING 6114 CAISSONS I and H sections shall comply with the requirements of BS 4: 6115 MEASUREMENT AND PAYMENT Part 1. Fabricated sections shall comply with the details shown on 6101 SCOPE the Drawings and the requirements of Section 6700. This Section covers all foundation work which, for the (g) Permanent pile casings purposes of these Spe</x:v>
      </x:c>
      <x:c r="J2194" s="43" t="str">
        <x:v>자동추출·검토필요</x:v>
      </x:c>
    </x:row>
    <x:row r="2195">
      <x:c r="A2195" s="43" t="str">
        <x:v>L2023-00032-1</x:v>
      </x:c>
      <x:c r="B2195" s="43" t="str">
        <x:v>부가세·예비비</x:v>
      </x:c>
      <x:c r="C2195" s="46" t="str">
        <x:v>vat</x:v>
      </x:c>
      <x:c r="D2195" s="46" t="str"/>
      <x:c r="E2195" s="46" t="str"/>
      <x:c r="F2195" s="46" t="str">
        <x:v>93% | 90% | 95% | 100% | 100% | 93%</x:v>
      </x:c>
      <x:c r="G2195" s="46" t="str">
        <x:v>L2023-00032-1/2. 입찰서류(영문)/Section 6 - Technical Specifications.pdf</x:v>
      </x:c>
      <x:c r="H2195" s="43" t="str">
        <x:v>페이지 188</x:v>
      </x:c>
      <x:c r="I2195" s="46" t="str">
        <x:v>6107 UTILISATION OF EXCAVATED MATERIAL (c) Fill Before the space between the structure and the approach Excavated material and material recovered from temporary fill, or between the structure and the faces of the surrounding works shall, if suitable, be utilised for backfill. Material excavation is backfilled, the slope of the approach fill, or the unsuitable for use as backfill or in excess of the required faces of the excavation shall be shaped by benching or quantity, shall be spoiled or utilised as directed by the serrations to prevent wedge action from occurring between Engineer. the structure and the approach fill or the excavation faces. Excavated material not used for backfill or not taken to spoil The distance between the exposed face of the structure and but used in the construction of embankments or other parts the toe of the approach fill or the excavation face shall not of the work, as directed by the Engineer, will be paid for under any circumstances be less than the height of the under foundation excavation as well as under the relevant exposed face of the structure. item for the purpose for which it is used. The free-haul distance on excavated material and imported </x:v>
      </x:c>
      <x:c r="J2195" s="43" t="str">
        <x:v>자동추출·검토필요</x:v>
      </x:c>
    </x:row>
    <x:row r="2196">
      <x:c r="A2196" s="43" t="str">
        <x:v>L2023-00032-1</x:v>
      </x:c>
      <x:c r="B2196" s="43" t="str">
        <x:v>부가세·예비비</x:v>
      </x:c>
      <x:c r="C2196" s="46" t="str">
        <x:v>vat</x:v>
      </x:c>
      <x:c r="D2196" s="46" t="str"/>
      <x:c r="E2196" s="46" t="str"/>
      <x:c r="F2196" s="46" t="str">
        <x:v>50%</x:v>
      </x:c>
      <x:c r="G2196" s="46" t="str">
        <x:v>L2023-00032-1/2. 입찰서류(영문)/Section 6 - Technical Specifications.pdf</x:v>
      </x:c>
      <x:c r="H2196" s="43" t="str">
        <x:v>페이지 196</x:v>
      </x:c>
      <x:c r="I2196" s="46" t="str">
        <x:v>6114 CAISSONS The Contractor shall employ a competent diver to carry out work under water and shall make provision in the rates (a) General tendered for the respective items for this cost. Caissons shall, for the purposes of these Specifications, be Where the caisson strikes a hard inclined layer and work has hollow concrete vessels which are wholly or partly to be carried out below the cutting edge, such work shall be constructed at a higher level and lowered by internal measured and paid for under the relevant items of Clause excavation or kentledge to the desired founding level to form 6115, and, where no applicable items exist, such work shall structural bearing members. Caissons may be of circular, be paid for as extra work. rectangular or any other shape and may contain one or more excavation compartments, all as detailed on the Drawings. Should the Contractor wish to apply the pneumatic caisson method (with a compressed air chamber) for construction, Unless otherwise specified hereafter, the provisions of he shall furnish the Engineer with full details of the plant, BS 8004 shall apply in regard to the construction of equipment and method for approval. caissons. (c) Founding</x:v>
      </x:c>
      <x:c r="J2196" s="43" t="str">
        <x:v>자동추출·검토필요</x:v>
      </x:c>
    </x:row>
    <x:row r="2197">
      <x:c r="A2197" s="43" t="str">
        <x:v>L2023-00032-1</x:v>
      </x:c>
      <x:c r="B2197" s="43" t="str">
        <x:v>부가세·예비비</x:v>
      </x:c>
      <x:c r="C2197" s="46" t="str">
        <x:v>vat</x:v>
      </x:c>
      <x:c r="D2197" s="46" t="str"/>
      <x:c r="E2197" s="46" t="str"/>
      <x:c r="F2197" s="46" t="str">
        <x:v>20%</x:v>
      </x:c>
      <x:c r="G2197" s="46" t="str">
        <x:v>L2023-00032-1/2. 입찰서류(영문)/Section 6 - Technical Specifications.pdf</x:v>
      </x:c>
      <x:c r="H2197" s="43" t="str">
        <x:v>페이지 197</x:v>
      </x:c>
      <x:c r="I2197" s="46" t="str">
        <x:v>If this seal cannot be placed in the dry and has to be placed A provisional sum shall be provided in the Schedule of under water, the method of placing this concrete shall be Quantities to cover the cost of this work. approved by the Engineer. The Contractor shall cease placing the concrete under water when sufficient concrete The work authorised by the Engineer shall be paid for in has been placed to seal the foundation effectively. accordance with the provisions of the General Conditions of Contract. After the concrete has been placed, the concrete seal and the head of water over it shall remain undisturbed for a period of at least seven days after which the caisson shall be Item Unit dewatered by pumping for inspection. If more water is still leaking into the caisson, the process of sealing as specified 61.2 Excavation: herein shall be continued until the water level within the caisson does not rise at a rate exceeding 10 mm per hour. (a) Excavating soft material situated within the following successive depth The relevant requirements of Subclauses 6407(c) and ranges: 6113(i) shall apply for placing the concrete under water. For concrete placed under water by methods other than </x:v>
      </x:c>
      <x:c r="J2197" s="43" t="str">
        <x:v>자동추출·검토필요</x:v>
      </x:c>
    </x:row>
    <x:row r="2198">
      <x:c r="A2198" s="43" t="str">
        <x:v>L2023-00032-1</x:v>
      </x:c>
      <x:c r="B2198" s="43" t="str">
        <x:v>부가세·예비비</x:v>
      </x:c>
      <x:c r="C2198" s="46" t="str">
        <x:v>vat</x:v>
      </x:c>
      <x:c r="D2198" s="46" t="str"/>
      <x:c r="E2198" s="46" t="str"/>
      <x:c r="F2198" s="46" t="str">
        <x:v>75% | 25%</x:v>
      </x:c>
      <x:c r="G2198" s="46" t="str">
        <x:v>L2023-00032-1/2. 입찰서류(영문)/Section 6 - Technical Specifications.pdf</x:v>
      </x:c>
      <x:c r="H2198" s="43" t="str">
        <x:v>페이지 198</x:v>
      </x:c>
      <x:c r="I2198" s="46" t="str">
        <x:v>In no case shall any of the following excavations be included (c) Soil cement . . . . . . . . . . . . . . . . cubic metre (m3) in the measurement for payment: The unit of measurement shall be the cubic metre of backfill (i) The volume of excavation in excess of the above- material measured in the excavation. The quantity measured mentioned limits. shall be calculated from within the neat outlines defined for the excavation under Item 61.02 and the height to which the (ii) The volume included within the excavated road backfilling is constructed. The volume occupied by the prism, contiguous channels, ditches, etc, for which payment structure shall be subtracted when calculating the volume of is provided elsewhere in the specifications. backfilling. The volume occupied by the structure shall be subtracted when calculating the volume of backfilling. The tendered rates shall include full compensation for excavation in each class of material, the spoiling or The height shall be determined by the upper surface of the stockpiling of material, the hauling of excavated material for road prism or the reference ground surface (Subclause the free-haul distance of 1.0 km, any additional excavati</x:v>
      </x:c>
      <x:c r="J2198" s="43" t="str">
        <x:v>자동추출·검토필요</x:v>
      </x:c>
    </x:row>
    <x:row r="2199">
      <x:c r="A2199" s="43" t="str">
        <x:v>L2023-00032-1</x:v>
      </x:c>
      <x:c r="B2199" s="43" t="str">
        <x:v>부가세·예비비</x:v>
      </x:c>
      <x:c r="C2199" s="46" t="str">
        <x:v>vat</x:v>
      </x:c>
      <x:c r="D2199" s="46" t="str"/>
      <x:c r="E2199" s="46" t="str"/>
      <x:c r="F2199" s="46" t="str">
        <x:v>20%</x:v>
      </x:c>
      <x:c r="G2199" s="46" t="str">
        <x:v>L2023-00032-1/2. 입찰서류(영문)/Section 6 - Technical Specifications.pdf</x:v>
      </x:c>
      <x:c r="H2199" s="43" t="str">
        <x:v>페이지 223</x:v>
      </x:c>
      <x:c r="I2199" s="46" t="str">
        <x:v>(f) Ready-mixed concrete (ii) no plum laid shall have a dimension exceeding one third of the smallest dimension of the concrete in any Where ready-mixed concrete is delivered at the site, the plane, and requirements of SABS 878 or equivalent shall have priority over the requirements specified in this Section should (iii) each plum is surrounded by at least 75 mm of inconsistencies occur. concrete. 6407 PLACING AND COMPACTING (c) Placing under water (a) General Placing under water shall be allowed only in exceptional circumstances where it is not feasible to dewater the Concrete shall be transported and placed in a manner that location before the concrete is placed. No concrete shall be will prevent segregation or loss of constituent materials or placed in running water. the contamination of the concrete. Underwater concrete shall be placed by means of tremies. Concrete shall not be placed in any part of the Works until Full details of the method proposed by the Contractor shall the Engineer's approval has been given. If concreting is not be submitted in advance for approval. Placing by skip or started within 24 hours of approval having been given, pipeline will also be considered i</x:v>
      </x:c>
      <x:c r="J2199" s="43" t="str">
        <x:v>자동추출·검토필요</x:v>
      </x:c>
    </x:row>
    <x:row r="2200">
      <x:c r="A2200" s="43" t="str">
        <x:v>L2023-00032-1</x:v>
      </x:c>
      <x:c r="B2200" s="43" t="str">
        <x:v>부가세·예비비</x:v>
      </x:c>
      <x:c r="C2200" s="46" t="str">
        <x:v>vat</x:v>
      </x:c>
      <x:c r="D2200" s="46" t="str"/>
      <x:c r="E2200" s="46" t="str"/>
      <x:c r="F2200" s="46" t="str">
        <x:v>90% | 30%</x:v>
      </x:c>
      <x:c r="G2200" s="46" t="str">
        <x:v>L2023-00032-1/2. 입찰서류(영문)/Section 6 - Technical Specifications.pdf</x:v>
      </x:c>
      <x:c r="H2200" s="43" t="str">
        <x:v>페이지 231</x:v>
      </x:c>
      <x:c r="I2200" s="46" t="str">
        <x:v>(vii) Welds (e) Cable supports Prestressing steel used in structural prestressed concrete Supports of reinforcing steel or structural steel suitably shall be weld-free. Where the steel is supplied in standard braced to prevent buckling under load shall be used to lengths, the welds shall be cut out and delivered to the support the cables. The cable saddles shall be rigid and Engineer. secured in position by welding or by equivalent mechanical means to resist both gravitational and buoyancy forces. (c) Anchorages and couplers Normal web reinforcement shall not be utilised to support cables. Anchorages and couplers to be used in prestressed concrete shall comply with the requirements of BS 4447 and Saddles for external cables shall be of special design and shall be of a proved and approved type, constructed from material to ensure low friction and to prevent the tendon or durable material completely free from imperfections and parts thereof from grooving the surface. The saddle plates shall not damage, distort or kink the prestressing steel in a shall be curved to the requisite radius to prevent the tendon manner that will result in ultimate tensile strength reduction. or part thereo</x:v>
      </x:c>
      <x:c r="J2200" s="43" t="str">
        <x:v>자동추출·검토필요</x:v>
      </x:c>
    </x:row>
    <x:row r="2201">
      <x:c r="A2201" s="43" t="str">
        <x:v>L2023-00032-1</x:v>
      </x:c>
      <x:c r="B2201" s="43" t="str">
        <x:v>부가세·예비비</x:v>
      </x:c>
      <x:c r="C2201" s="46" t="str">
        <x:v>vat</x:v>
      </x:c>
      <x:c r="D2201" s="46" t="str"/>
      <x:c r="E2201" s="46" t="str"/>
      <x:c r="F2201" s="46" t="str">
        <x:v>70%</x:v>
      </x:c>
      <x:c r="G2201" s="46" t="str">
        <x:v>L2023-00032-1/2. 입찰서류(영문)/Section 6 - Technical Specifications.pdf</x:v>
      </x:c>
      <x:c r="H2201" s="43" t="str">
        <x:v>페이지 233</x:v>
      </x:c>
      <x:c r="I2201" s="46" t="str">
        <x:v>All connections in the pipes and between the pipe and the factor (k) caused by unintentional variation from the cable shall be airtight. Only bayonet, threaded, or similar specified alignment. types of connectors shall be used. (ii) Elastic deformation of concrete 6505 TECHNICAL DATA The elastic factor, which, when multiplied by the compressive stress in the concrete adjacent to the tendon, will give the loss caused by the deformation of the concrete. The following technical data for pre-tensioned and post- tensioned structural members required for the Contract will (iii) Creep of the concrete be furnished on the Drawings: The creep factor, which, when multiplied by the compressive stress in the concrete adjacent to the tendon, will give the (a) Tendon alignment loss caused by the creep of the concrete. A diagram showing the alignment of each tendon or group (iv) Shrinkage of the concrete of tendons in both the horizontal and vertical planes, together with the horizontal and vertical coordinates, and The stress loss in MPa caused by the shrinkage of the curve equations of the centroid of the tendon(s), as may be concrete. relevant. (v) Relaxation of prestressing steel (b) Tendon sy</x:v>
      </x:c>
      <x:c r="J2201" s="43" t="str">
        <x:v>자동추출·검토필요</x:v>
      </x:c>
    </x:row>
    <x:row r="2202">
      <x:c r="A2202" s="43" t="str">
        <x:v>L2023-00032-1</x:v>
      </x:c>
      <x:c r="B2202" s="43" t="str">
        <x:v>부가세·예비비</x:v>
      </x:c>
      <x:c r="C2202" s="46" t="str">
        <x:v>vat</x:v>
      </x:c>
      <x:c r="D2202" s="46" t="str"/>
      <x:c r="E2202" s="46" t="str"/>
      <x:c r="F2202" s="46" t="str">
        <x:v>50%</x:v>
      </x:c>
      <x:c r="G2202" s="46" t="str">
        <x:v>L2023-00032-1/2. 입찰서류(영문)/Section 6 - Technical Specifications.pdf</x:v>
      </x:c>
      <x:c r="H2202" s="43" t="str">
        <x:v>페이지 243</x:v>
      </x:c>
      <x:c r="I2202" s="46" t="str">
        <x:v>steel shall be bent flat onto the concrete surface of the waterstops shall be bonded or fused to have a tensile formed recess. strength of at least 50% of that of the unjointed material. At intersections and abrupt changes of direction, waterstops (ii) Before the asphalt surfacing is laid, the recess shall shall be jointed with prefabricated junction pieces. be filled with well-compacted crusher run, sand or weak mortar. The Contractor shall ensure that the concrete Restrictions on joint width and on the temperature at the surfaces of the recess and the reinforcing steel are not time of installing the sealant or seal will be shown on the contaminated with bituminous agents. The asphalt surfacing Drawings. In the absence of such restrictions on the shall then be laid continuously over the joint. Drawings, and unless otherwise specified, installation shall be carried out only within the temperature range between (iii) The asphalt surfacing shall be cut with a diamond 5。C and 30。C. saw blade to correspond to the width of the nosing and all material shall be removed from the nosing recess. The (ii) Preparing the joints concrete surfaces of the recess shall then be roughened to expose t</x:v>
      </x:c>
      <x:c r="J2202" s="43" t="str">
        <x:v>자동추출·검토필요</x:v>
      </x:c>
    </x:row>
    <x:row r="2203">
      <x:c r="A2203" s="43" t="str">
        <x:v>L2023-00032-1</x:v>
      </x:c>
      <x:c r="B2203" s="43" t="str">
        <x:v>부가세·예비비</x:v>
      </x:c>
      <x:c r="C2203" s="46" t="str">
        <x:v>vat</x:v>
      </x:c>
      <x:c r="D2203" s="46" t="str"/>
      <x:c r="E2203" s="46" t="str"/>
      <x:c r="F2203" s="46" t="str">
        <x:v>10% | 40% | 5% | 10% | 1.0%</x:v>
      </x:c>
      <x:c r="G2203" s="46" t="str">
        <x:v>L2023-00032-1/2. 입찰서류(영문)/Section 6 - Technical Specifications.pdf</x:v>
      </x:c>
      <x:c r="H2203" s="43" t="str">
        <x:v>페이지 268</x:v>
      </x:c>
      <x:c r="I2203" s="46" t="str">
        <x:v>Gbt = 100/(P1/Gbf + P2/Gbs) and sample together. (The sample should not take up more than half of the pycnometer's volume.) where P1 = percentage passing through the - Add clean water at 25。C to the pycnometer until it is 4.75 mm sieve approximately three quarters full. Add three drops of P2 = percentage retained on the 4.75 mm the 10% Teepol solution to the water, close the sieve. pycnometer and shake it thoroughly for one or two minutes. (v) General requirements - Fill the pycnometer to near the brim with water at The standard temperature is taken as 25。C. If the test is 25。C and place it in a thermostatically controlled conducted at any other temperature, this shall be stated, or bath at 25。C. Leave it for 30 minutes without the relative density shall be adjusted for a temperature of disturbing or for so long as may be determined by 25。C. the Engineer. The relative density of material retained on the 4.75 mm - Remove the pycnometer without shaking or jarring sieve can also be determined by using a pycnometer. The and place it on a spread-out towel. Fill it with water volume of the pycnometer should not be less than 2 Q (the at 25。C and carefully slide the glass sheet over the vo</x:v>
      </x:c>
      <x:c r="J2203" s="43" t="str">
        <x:v>자동추출·검토필요</x:v>
      </x:c>
    </x:row>
    <x:row r="2204">
      <x:c r="A2204" s="43" t="str">
        <x:v>L2023-00032-1</x:v>
      </x:c>
      <x:c r="B2204" s="43" t="str">
        <x:v>부가세·예비비</x:v>
      </x:c>
      <x:c r="C2204" s="46" t="str">
        <x:v>vat</x:v>
      </x:c>
      <x:c r="D2204" s="46" t="str"/>
      <x:c r="E2204" s="46" t="str"/>
      <x:c r="F2204" s="46" t="str">
        <x:v>2% | 150% | 20% | 20% | 100%</x:v>
      </x:c>
      <x:c r="G2204" s="46" t="str">
        <x:v>L2023-00032-1/2. 입찰서류(영문)/Section 6 - Technical Specifications.pdf</x:v>
      </x:c>
      <x:c r="H2204" s="43" t="str">
        <x:v>페이지 273</x:v>
      </x:c>
      <x:c r="I2204" s="46" t="str">
        <x:v>- Immediately after the grout has been mixed, the pre- The test load shall be applied to the top of the pile with a wetted flow cone, which is held firmly with its top rim hydraulic jack. Where more than one jack is used for in a level position, shall be filled with grout to the applying the load, all the jacks in the circuit shall be level indicated by the pre-set pointer, whilst the activated by the same pumping unit. The jack(s) shall be bottom orifice is held closed with a finger. placed so as to ensure that the load is applied axially. - As soon as the required volume of grout, The applied load shall be calculated in accordance with the (± 1 750 mQ), is reached, the finger shall be released hydraulic pressure which is being monitored by two pressure to allow the grout to flow out freely through the meters in the circuit. The pressure meter shall be calibrated bottom orifice. A stop watch shall be used to in divisions not exceeding 2% of the maximum pressure determine the flow time for emptying the cone, to the applied, and the range of the meters shall not exceed 150% nearest second. of the maximum pressure. The jack(s) and meters shall be calibrated by an approved testing lab</x:v>
      </x:c>
      <x:c r="J2204" s="43" t="str">
        <x:v>자동추출·검토필요</x:v>
      </x:c>
    </x:row>
    <x:row r="2205">
      <x:c r="A2205" s="43" t="str">
        <x:v>L2023-00032-1</x:v>
      </x:c>
      <x:c r="B2205" s="43" t="str">
        <x:v>부가세·예비비</x:v>
      </x:c>
      <x:c r="C2205" s="46" t="str">
        <x:v>vat</x:v>
      </x:c>
      <x:c r="D2205" s="46" t="str"/>
      <x:c r="E2205" s="46" t="str"/>
      <x:c r="F2205" s="46" t="str">
        <x:v>90% | 90%</x:v>
      </x:c>
      <x:c r="G2205" s="46" t="str">
        <x:v>L2023-00032-1/2. 입찰서류(영문)/Section 6 - Technical Specifications.pdf</x:v>
      </x:c>
      <x:c r="H2205" s="43" t="str">
        <x:v>페이지 281</x:v>
      </x:c>
      <x:c r="I2205" s="46" t="str">
        <x:v>Calculate the value of T from Where in the opinion of the Engineer no significant difference occurs, the submission of the lot shall be regarded and assessed as a resubmission. Where a lot is T = x xn resubmitted, it shall be assessed on the same basis as a Sn first submission, except that the original and the second set of sample results shall be combined for purposes of where assessment. -xn = arithmetic mean Sn = sample standard deviations x = value of the test result differing most from the 7205 PROCEDURES mean. Compare the value of T with the value of T for the The statistical judgement procedures described below will applicable value of ”n”, from Table 7204/1. apply to the corresponding product properties for purposes of acceptance control. Table 7204/1 Critical values (a) Surface levels of fills and pavement layers At least 50, but preferably more, level measurements shall No of observations Critical values be taken according to a stratified random pattern of each lot (n) (T) of completed layer work, and the specified levels shall then be determined. Outliers shall be identified and examined. 4 1.46 5 1.67 The lot will be considered to comply with the requirements 6 1.82 in </x:v>
      </x:c>
      <x:c r="J2205" s="43" t="str">
        <x:v>자동추출·검토필요</x:v>
      </x:c>
    </x:row>
    <x:row r="2206">
      <x:c r="A2206" s="43" t="str">
        <x:v>L2023-00032-1</x:v>
      </x:c>
      <x:c r="B2206" s="43" t="str">
        <x:v>부가세·예비비</x:v>
      </x:c>
      <x:c r="C2206" s="46" t="str">
        <x:v>reserve</x:v>
      </x:c>
      <x:c r="D2206" s="46" t="str"/>
      <x:c r="E2206" s="46" t="str"/>
      <x:c r="F2206" s="46" t="str">
        <x:v>0.5%</x:v>
      </x:c>
      <x:c r="G2206" s="46" t="str">
        <x:v>L2023-00032-1/2. 입찰서류(영문)/Section 7 - General Conditions of Contract.docx</x:v>
      </x:c>
      <x:c r="H2206" s="43" t="str">
        <x:v>표 4 행 109</x:v>
      </x:c>
      <x:c r="I2206"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2206" s="43" t="str">
        <x:v>자동추출·검토필요</x:v>
      </x:c>
    </x:row>
    <x:row r="2207">
      <x:c r="A2207" s="43" t="str">
        <x:v>L2023-00032-1</x:v>
      </x:c>
      <x:c r="B2207" s="43" t="str">
        <x:v>부가세·예비비</x:v>
      </x:c>
      <x:c r="C2207" s="46" t="str">
        <x:v>reserve</x:v>
      </x:c>
      <x:c r="D2207" s="46" t="str"/>
      <x:c r="E2207" s="46" t="str"/>
      <x:c r="F2207" s="46" t="str">
        <x:v>50% | 50%</x:v>
      </x:c>
      <x:c r="G2207" s="46" t="str">
        <x:v>L2023-00032-1/2. 입찰서류(영문)/Section 7 - General Conditions of Contract.docx</x:v>
      </x:c>
      <x:c r="H2207" s="43" t="str">
        <x:v>표 12 행 61</x:v>
      </x:c>
      <x:c r="I2207"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207" s="43" t="str">
        <x:v>자동추출·검토필요</x:v>
      </x:c>
    </x:row>
    <x:row r="2208">
      <x:c r="A2208" s="43" t="str">
        <x:v>L2023-00028-1</x:v>
      </x:c>
      <x:c r="B2208" s="43" t="str">
        <x:v>부가세·예비비</x:v>
      </x:c>
      <x:c r="C2208" s="46" t="str">
        <x:v>vat, tax</x:v>
      </x:c>
      <x:c r="D2208" s="46" t="str"/>
      <x:c r="E2208" s="46" t="str">
        <x:v>USD 274,330</x:v>
      </x:c>
      <x:c r="F2208" s="46" t="str"/>
      <x:c r="G2208" s="46" t="str">
        <x:v>L2023-00028-1/1. 입찰계획안(국, 영문)/1-2. Bidding Guideline_ENG_230622.docx</x:v>
      </x:c>
      <x:c r="H2208" s="43" t="str">
        <x:v>문단 34</x:v>
      </x:c>
      <x:c r="I2208" s="46" t="str">
        <x:v>1.3 Maximum Bidding Price : USD 274,330 (exempted from tax including VAT)</x:v>
      </x:c>
      <x:c r="J2208" s="43" t="str">
        <x:v>자동추출·검토필요</x:v>
      </x:c>
    </x:row>
    <x:row r="2209">
      <x:c r="A2209" s="43" t="str">
        <x:v>L2023-00028-1</x:v>
      </x:c>
      <x:c r="B2209" s="43" t="str">
        <x:v>부가세·예비비</x:v>
      </x:c>
      <x:c r="C2209" s="46" t="str">
        <x:v>vat, tax</x:v>
      </x:c>
      <x:c r="D2209" s="46" t="str"/>
      <x:c r="E2209" s="46" t="str">
        <x:v>USD 274,330</x:v>
      </x:c>
      <x:c r="F2209" s="46" t="str"/>
      <x:c r="G2209" s="46" t="str">
        <x:v>L2023-00028-1/2. 입찰서류(영문)/1. Bidding Guideline_ENG_230622.docx</x:v>
      </x:c>
      <x:c r="H2209" s="43" t="str">
        <x:v>문단 34</x:v>
      </x:c>
      <x:c r="I2209" s="46" t="str">
        <x:v>1.3 Maximum Bidding Price : USD 274,330 (exempted from tax including VAT)</x:v>
      </x:c>
      <x:c r="J2209" s="43" t="str">
        <x:v>자동추출·검토필요</x:v>
      </x:c>
    </x:row>
    <x:row r="2210">
      <x:c r="A2210" s="43" t="str">
        <x:v>L2023-00027-1</x:v>
      </x:c>
      <x:c r="B2210" s="43" t="str">
        <x:v>부가세·예비비</x:v>
      </x:c>
      <x:c r="C2210" s="46" t="str">
        <x:v>예비비</x:v>
      </x:c>
      <x:c r="D2210" s="46" t="str"/>
      <x:c r="E2210" s="46" t="str"/>
      <x:c r="F2210" s="46" t="str">
        <x:v>0.5%</x:v>
      </x:c>
      <x:c r="G2210" s="46" t="str">
        <x:v>L2023-00027-1/1. 입찰계획 (국문)_v2.hwp</x:v>
      </x:c>
      <x:c r="H2210" s="43" t="str">
        <x:v>문단 175</x:v>
      </x:c>
      <x:c r="I2210" s="46" t="str">
        <x:v>- 총공사비 중 예비비 제외 금액 × 0.5% 이상을 고정투찰</x:v>
      </x:c>
      <x:c r="J2210" s="43" t="str">
        <x:v>자동추출·검토필요</x:v>
      </x:c>
    </x:row>
    <x:row r="2211">
      <x:c r="A2211" s="43" t="str">
        <x:v>L2023-00027-1</x:v>
      </x:c>
      <x:c r="B2211" s="43" t="str">
        <x:v>부가세·예비비</x:v>
      </x:c>
      <x:c r="C2211" s="46" t="str">
        <x:v>vat, tax</x:v>
      </x:c>
      <x:c r="D2211" s="46" t="str"/>
      <x:c r="E2211" s="46" t="str">
        <x:v>$ 3,875,000.00 | $ 3,778,125.00</x:v>
      </x:c>
      <x:c r="F2211" s="46" t="str">
        <x:v>0.5% | 85.495%</x:v>
      </x:c>
      <x:c r="G2211" s="46" t="str">
        <x:v>L2023-00027-1/입찰서류 일체(영서)/Section 2 - Bid Data Sheet.pdf</x:v>
      </x:c>
      <x:c r="H2211" s="43" t="str">
        <x:v>페이지 5</x:v>
      </x:c>
      <x:c r="I2211" s="46" t="str">
        <x:v>- Repair work and/or circulation paving around the building if necessary - Construction of all associated infrastructure requirements such as water, sewage, rainwater drainage for new building and the connection to the existing system - Mechanics, electrical system, acoustic system, security system, fire protection and other necessary installations to make the new building functional - Reception of work with OPAMSS, firefighters, Mayor's Office, as well as the necessary institutions to deliver the respective operating records - All work and procedures related to the functionality of the building · Construction Period 540 days Until 600 days from the date of signing the contract · Contract Period (Shall commence 30 days from the date of signing the contract) USD $3,875,000.00 · Project Budget (Without VAT and other applicable indirect taxes; including 0.5% of safety management cost) · Expected Maximum Price USD $3,778,125.00 o Name of Currency: United States Dollar (USD) o KOICA has no responsibility for any tax related matter, including VAT. The collection and return of taxes will be handled by the relevant laws and regulations in El Salvador, and the agency responsible for the afo</x:v>
      </x:c>
      <x:c r="J2211" s="43" t="str">
        <x:v>자동추출·검토필요</x:v>
      </x:c>
    </x:row>
    <x:row r="2212">
      <x:c r="A2212" s="43" t="str">
        <x:v>L2023-00027-1</x:v>
      </x:c>
      <x:c r="B2212" s="43" t="str">
        <x:v>부가세·예비비</x:v>
      </x:c>
      <x:c r="C2212" s="46" t="str">
        <x:v>vat, tax</x:v>
      </x:c>
      <x:c r="D2212" s="46" t="str"/>
      <x:c r="E2212" s="46" t="str">
        <x:v>USD 3,000,000.00</x:v>
      </x:c>
      <x:c r="F2212" s="46" t="str"/>
      <x:c r="G2212" s="46" t="str">
        <x:v>L2023-00027-1/입찰서류 일체(영서)/Section 2 - Bid Data Sheet.pdf</x:v>
      </x:c>
      <x:c r="H2212" s="43" t="str">
        <x:v>페이지 6</x:v>
      </x:c>
      <x:c r="I2212" s="46" t="str">
        <x:v>3. Bidders’ Qualifications The Bidders must: (a) Must be a legally registered company. (b) Must be legitimately established in accordance with local regulations and qualified to carry on the relevant business in the designated area as of bid submission date. The certificates are: - Commercial registration certificate issued by the Chamber of Commerce of El Salvador - Tax payment certificate - Registration in CNR, Ministry of Finance and VAT card (c) Must have performed at least one (1) similar project valued at not less than USD 3,000,000.00 in the past ten years (2013-2022). * Similar Project: medical center, doctor's office, educational facilities (d) A bidder with a history of sanctions and penalties imposed by an international organization or the government of El Salvador is not eligible to apply. - If the Bidder is on any of the ineligibility lists of international organizations - In case of not having said lists or documents, the Bidders must present a guarantee that they have never been sanctioned or penalized by an international organization or the government of El Salvador. When the pledge is proven to be false, the Employer may rescind or cancel the contract. (e) (If the </x:v>
      </x:c>
      <x:c r="J2212" s="43" t="str">
        <x:v>자동추출·검토필요</x:v>
      </x:c>
    </x:row>
    <x:row r="2213">
      <x:c r="A2213" s="43" t="str">
        <x:v>L2023-00027-1</x:v>
      </x:c>
      <x:c r="B2213" s="43" t="str">
        <x:v>부가세·예비비</x:v>
      </x:c>
      <x:c r="C2213" s="46" t="str">
        <x:v>vat, tax</x:v>
      </x:c>
      <x:c r="D2213" s="46" t="str"/>
      <x:c r="E2213" s="46" t="str"/>
      <x:c r="F2213" s="46" t="str">
        <x:v>2.5%</x:v>
      </x:c>
      <x:c r="G2213" s="46" t="str">
        <x:v>L2023-00027-1/입찰서류 일체(영서)/Section 2 - Bid Data Sheet.pdf</x:v>
      </x:c>
      <x:c r="H2213" s="43" t="str">
        <x:v>페이지 10</x:v>
      </x:c>
      <x:c r="I2213" s="46" t="str">
        <x:v>Documents for Submission ① Bidder’s information sheet (in the prescribed form) ② Bid security (in the prescribed form) ③ Documents evidencing the authenticity of the applicant’s signature or seal power of attorney ④ One set of documents evidencing the applicant’s eligibility to participate in the Bid - Commercial registration certificate issued by the Chamber of Commerce of El Salvador - Tax payment certificate - Registration in CNR, Ministry of Finance and VAT card - Performance Certificate as Final Reception Acts of the projects made. ⑤ - Declaration of Anti-corruption in ODA Business Participation (in free form) - A pledge that the bidder is not restricted or sanctioned from participating in a bid by an international organization or foreign government ⑥ Integrity Pledge (in the prescribed form) ⑦ Materials of qualification examination (in the prescribed form) - List and value of contracts for the last ten years of the same type projects/three years of similar works plus client’s contract details (name and email address) who may be contacted for further information on those contracts. - Audited financial statements including income statement and balance sheet for the last 3 Finan</x:v>
      </x:c>
      <x:c r="J2213" s="43" t="str">
        <x:v>자동추출·검토필요</x:v>
      </x:c>
    </x:row>
    <x:row r="2214">
      <x:c r="A2214" s="43" t="str">
        <x:v>L2023-00027-1</x:v>
      </x:c>
      <x:c r="B2214" s="43" t="str">
        <x:v>부가세·예비비</x:v>
      </x:c>
      <x:c r="C2214" s="46" t="str">
        <x:v>tax</x:v>
      </x:c>
      <x:c r="D2214" s="46" t="str"/>
      <x:c r="E2214" s="46" t="str"/>
      <x:c r="F2214" s="46" t="str">
        <x:v>15%</x:v>
      </x:c>
      <x:c r="G2214" s="46" t="str">
        <x:v>L2023-00027-1/입찰서류 일체(영서)/Section 7 - General Conditions of Contract.pdf</x:v>
      </x:c>
      <x:c r="H2214" s="43" t="str">
        <x:v>페이지 15</x:v>
      </x:c>
      <x:c r="I2214" s="46" t="str">
        <x:v>(m) The Contractor shall not engage in any action that may interfere with the Construction Works or cause damage to the Employer, and shall indemnify the Employer for any damage suffered by the Employer as a result of causes attributable to the Contractor. Article 4.2 Performance Guarantee (a) Unless otherwise specified in the Detailed Terms and Conditions, the Contractor shall, by the [Effective Date] pay the Employer a cash amount equivalent to [15%] of the Contract Price to guarantee the performance of its obligations hereunder (the “Cash Guarantee”) or deliver to the Employer a Bank Guarantee for Performance in lieu of the Cash Guarantee. If the Employer agrees to exempt the Contractor from providing the whole or a portion of the Cash Guarantee, the Contractor shall deliver to the Employer a letter of undertaking pursuant to which it undertakes and covenants to pay the Cash Guarantee amount in cash upon the occurrence of certain events, including a breach by it of this Contract (the “Letter of Undertaking”). (b) If the Contract Period is extended or the Contract Price is increased due to changes in design of the Construction (the “Design”), each in accordance with this Contract</x:v>
      </x:c>
      <x:c r="J2214" s="43" t="str">
        <x:v>자동추출·검토필요</x:v>
      </x:c>
    </x:row>
    <x:row r="2215">
      <x:c r="A2215" s="43" t="str">
        <x:v>L2023-00027-1</x:v>
      </x:c>
      <x:c r="B2215" s="43" t="str">
        <x:v>부가세·예비비</x:v>
      </x:c>
      <x:c r="C2215" s="46" t="str">
        <x:v>reserve</x:v>
      </x:c>
      <x:c r="D2215" s="46" t="str"/>
      <x:c r="E2215" s="46" t="str"/>
      <x:c r="F2215" s="46" t="str">
        <x:v>0.5%</x:v>
      </x:c>
      <x:c r="G2215" s="46" t="str">
        <x:v>L2023-00027-1/입찰서류 일체(영서)/Section 7 - General Conditions of Contract.pdf</x:v>
      </x:c>
      <x:c r="H2215" s="43" t="str">
        <x:v>페이지 18</x:v>
      </x:c>
      <x:c r="I2215" s="46" t="str">
        <x:v>(h) The Employer may deduct or offset any amount payable by the Contractor from any amount payable by the Employer to the Contractor. Article 4.5 Cooperation in respect of Relevant Construction Works If there are other construction works close to or related to the Construction Works hereunder (the “Relevant Construction Works”), the Contractor shall take all necessary measures to ensure that the Relevant Construction Works are not hindered or disrupted. Article 4.6 Standards and Criteria The Contractor shall, in compliance with this Contract and the instructions of the Construction Supervisor, establish standards or criteria to be applied to the Construction Works. The need to apply the standards or criteria consistently shall not excuse any breach by the Contractor of this Contract or the instructions of the Construction Supervisor or the Contractor’s omission to take action under this Contract or in accordance with the instructions of the Construction Supervisor unless the Contractor has obtained the prior written approval of the Employer. Article 4.7 Safety Obligations (a) In undertaking the Construction Works and any repair works, the Contractor shall comply with all safety and</x:v>
      </x:c>
      <x:c r="J2215" s="43" t="str">
        <x:v>자동추출·검토필요</x:v>
      </x:c>
    </x:row>
    <x:row r="2216">
      <x:c r="A2216" s="43" t="str">
        <x:v>L2023-00027-1</x:v>
      </x:c>
      <x:c r="B2216" s="43" t="str">
        <x:v>부가세·예비비</x:v>
      </x:c>
      <x:c r="C2216" s="46" t="str">
        <x:v>reserve</x:v>
      </x:c>
      <x:c r="D2216" s="46" t="str"/>
      <x:c r="E2216" s="46" t="str"/>
      <x:c r="F2216" s="46" t="str">
        <x:v>50% | 50%</x:v>
      </x:c>
      <x:c r="G2216" s="46" t="str">
        <x:v>L2023-00027-1/입찰서류 일체(영서)/Section 7 - General Conditions of Contract.pdf</x:v>
      </x:c>
      <x:c r="H2216" s="43" t="str">
        <x:v>페이지 48</x:v>
      </x:c>
      <x:c r="I2216" s="46" t="str">
        <x:v>(c)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 Article 12.6 Payment for Completion (a) Within sixty (60) days from the date the Contractor receives a taking over certificate from the Employer, the Contractor shall, together with supporting documents, submit to the Employer a draft statement of account, which shall include the following details: (i) details of the Construction Works undertaken by the Contractor and the corresponding amount payable in respect thereto; and (ii) such other costs for which the Contractor may charge the Employer. (b) The Employer may reject the draft statement of account subm</x:v>
      </x:c>
      <x:c r="J2216" s="43" t="str">
        <x:v>자동추출·검토필요</x:v>
      </x:c>
    </x:row>
    <x:row r="2217">
      <x:c r="A2217" s="43" t="str">
        <x:v>L2023-00027-1</x:v>
      </x:c>
      <x:c r="B2217" s="43" t="str">
        <x:v>부가세·예비비</x:v>
      </x:c>
      <x:c r="C2217" s="46" t="str">
        <x:v>vat, tax</x:v>
      </x:c>
      <x:c r="D2217" s="46" t="str"/>
      <x:c r="E2217" s="46" t="str"/>
      <x:c r="F2217" s="46" t="str">
        <x:v>0.05%</x:v>
      </x:c>
      <x:c r="G2217" s="46" t="str">
        <x:v>L2023-00027-1/입찰서류 일체(영서)/Section 9 - Contract Forms.pdf</x:v>
      </x:c>
      <x:c r="H2217" s="43" t="str">
        <x:v>페이지 1</x:v>
      </x:c>
      <x:c r="I2217" s="46" t="str">
        <x:v>Contract for International Construction Works This Contract for International Construction Works (this “Contract”) is made on the _______________ day of _______________ 2023 (the “Effective Date”) BETWEEN (1) The office in El Salvador of the Korea International Cooperation Agency (“KOICA”), a governmental organization established under the laws of the Republic of Korea (“Korea”) and having its registered address at Calle El Mirador y 87 Avenida Norte, Edificio Torre Futura, Nivel 10, Local 4, Colonia Escalón, San Salvador, El Salvador (the “Employer”); and (2) [insert name], a [insert type of company i.e. limited liability] company incorporated under the laws of [insert jurisdiction] and having its registered address at [insert full address] (the “Contractor”). A. CONTRACTOR’S COVENANT In connection with the Project for Strengthening the Capacity of the Human Resource in Health of El Salvador (the “Project”) which KOICA is in the process of implementing in El Salvador (the “Recipient Country”) and the related construction and construction works covered under the Construction of the National Training Center of the Ministry of Health of El Salvador (under Contract No. _______) (the “</x:v>
      </x:c>
      <x:c r="J2217" s="43" t="str">
        <x:v>자동추출·검토필요</x:v>
      </x:c>
    </x:row>
    <x:row r="2218">
      <x:c r="A2218" s="43" t="str">
        <x:v>L2023-00024-1</x:v>
      </x:c>
      <x:c r="B2218" s="43" t="str">
        <x:v>부가세·예비비</x:v>
      </x:c>
      <x:c r="C2218" s="46" t="str">
        <x:v>tax</x:v>
      </x:c>
      <x:c r="D2218" s="46" t="str"/>
      <x:c r="E2218" s="46" t="str">
        <x:v>USD 135,628</x:v>
      </x:c>
      <x:c r="F2218" s="46" t="str">
        <x:v>209.68%</x:v>
      </x:c>
      <x:c r="G2218" s="46" t="str">
        <x:v>L2023-00024-1/(붙임2) 입찰공고문_ENG_DOC_30 March/(║┘└╙2) └╘┬√░°░φ╣«_ENG_DOC_30 March/ENG_Section 3 - Bidding Forms_Kyrgyz_30 March.doc</x:v>
      </x:c>
      <x:c r="H2218" s="43" t="str">
        <x:v>문단 18</x:v>
      </x:c>
      <x:c r="I2218" s="46" t="str">
        <x:v>Registration Certificate or Business Permit Tax Payment Certificate(2022) The balance sheet over the past 3 years (The average debt ratio over the past 3 years(2020~2022) shall not be more than 209.68%) Contractor’s License for the construction of buildings (level 2 or higher) Article of Incorporation Single Completed Construction Contact Certificate (The Contract price shall be USD 135,628 (or KGS 11,857,000) at the minimum) Power of Attorney: Authorization Letter to represent the bidder documents evidencing the authenticity of the applicant’s signature and seal power of attorney</x:v>
      </x:c>
      <x:c r="J2218" s="43" t="str">
        <x:v>자동추출·검토필요</x:v>
      </x:c>
    </x:row>
    <x:row r="2219">
      <x:c r="A2219" s="43" t="str">
        <x:v>L2023-00024-1</x:v>
      </x:c>
      <x:c r="B2219" s="43" t="str">
        <x:v>부가세·예비비</x:v>
      </x:c>
      <x:c r="C2219" s="46" t="str">
        <x:v>reserve</x:v>
      </x:c>
      <x:c r="D2219" s="46" t="str"/>
      <x:c r="E2219" s="46" t="str"/>
      <x:c r="F2219" s="46" t="str">
        <x:v>3%</x:v>
      </x:c>
      <x:c r="G2219" s="46" t="str">
        <x:v>L2023-00024-1/(붙임2) 입찰공고문_ENG_DOC_30 March/(║┘└╙2) └╘┬√░°░φ╣«_ENG_DOC_30 March/ENG_Section 3 - Bidding Forms_Kyrgyz_30 March.doc</x:v>
      </x:c>
      <x:c r="H2219" s="43" t="str">
        <x:v>문단 56</x:v>
      </x:c>
      <x:c r="I2219" s="46" t="str">
        <x:v>5 Reserve for unforeseen work and expenses (3% of the sum (1) +(2))</x:v>
      </x:c>
      <x:c r="J2219" s="43" t="str">
        <x:v>자동추출·검토필요</x:v>
      </x:c>
    </x:row>
    <x:row r="2220">
      <x:c r="A2220" s="43" t="str">
        <x:v>L2023-00024-1</x:v>
      </x:c>
      <x:c r="B2220" s="43" t="str">
        <x:v>부가세·예비비</x:v>
      </x:c>
      <x:c r="C2220" s="46" t="str">
        <x:v>reserve</x:v>
      </x:c>
      <x:c r="D2220" s="46" t="str"/>
      <x:c r="E2220" s="46" t="str"/>
      <x:c r="F2220" s="46" t="str">
        <x:v>0.5%</x:v>
      </x:c>
      <x:c r="G2220" s="46" t="str">
        <x:v>L2023-00024-1/(붙임2) 입찰공고문_ENG_DOC_30 March/(║┘└╙2) └╘┬√░°░φ╣«_ENG_DOC_30 March/ENG_Section 7 - General Conditions of Contract_Kyrgyz_30 March.docx</x:v>
      </x:c>
      <x:c r="H2220" s="43" t="str">
        <x:v>표 4 행 109</x:v>
      </x:c>
      <x:c r="I2220"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 (iv) hereof must include details of how the Safety Management Costs will be utilized.</x:v>
      </x:c>
      <x:c r="J2220" s="43" t="str">
        <x:v>자동추출·검토필요</x:v>
      </x:c>
    </x:row>
    <x:row r="2221">
      <x:c r="A2221" s="43" t="str">
        <x:v>L2023-00024-1</x:v>
      </x:c>
      <x:c r="B2221" s="43" t="str">
        <x:v>부가세·예비비</x:v>
      </x:c>
      <x:c r="C2221" s="46" t="str">
        <x:v>reserve</x:v>
      </x:c>
      <x:c r="D2221" s="46" t="str"/>
      <x:c r="E2221" s="46" t="str"/>
      <x:c r="F2221" s="46" t="str">
        <x:v>50% | 50%</x:v>
      </x:c>
      <x:c r="G2221" s="46" t="str">
        <x:v>L2023-00024-1/(붙임2) 입찰공고문_ENG_DOC_30 March/(║┘└╙2) └╘┬√░°░φ╣«_ENG_DOC_30 March/ENG_Section 7 - General Conditions of Contract_Kyrgyz_30 March.docx</x:v>
      </x:c>
      <x:c r="H2221" s="43" t="str">
        <x:v>표 12 행 61</x:v>
      </x:c>
      <x:c r="I2221"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221" s="43" t="str">
        <x:v>자동추출·검토필요</x:v>
      </x:c>
    </x:row>
    <x:row r="2222">
      <x:c r="A2222" s="43" t="str">
        <x:v>L2023-00024-1</x:v>
      </x:c>
      <x:c r="B2222" s="43" t="str">
        <x:v>부가세·예비비</x:v>
      </x:c>
      <x:c r="C2222" s="46" t="str">
        <x:v>reserve</x:v>
      </x:c>
      <x:c r="D2222" s="46" t="str"/>
      <x:c r="E2222" s="46" t="str"/>
      <x:c r="F2222" s="46" t="str">
        <x:v>3% | 3%</x:v>
      </x:c>
      <x:c r="G2222" s="46" t="str">
        <x:v>L2023-00024-1/(붙임2) 입찰공고문_ENG_DOC_30 March/(║┘└╙2) └╘┬√░°░φ╣«_ENG_DOC_30 March/ENG_Section 8 - Special Conditions of Contract_Kyrgyz_30 March.docx</x:v>
      </x:c>
      <x:c r="H2222" s="43" t="str">
        <x:v>표 3 행 19</x:v>
      </x:c>
      <x:c r="I2222" s="46" t="str">
        <x:v>Security Deposit for Defects | To reserve 3% of the Contract Price, or to provide the Maintenance Security Bond for Defects as a form attached hereto, valid no less than 60 days from the date of Defect Notification Period expires. | To reserve 3% of the Contract Price, or to provide the Maintenance Security Bond for Defects as a form attached hereto, valid no less than 60 days from the date of Defect Notification Period expires.</x:v>
      </x:c>
      <x:c r="J2222" s="43" t="str">
        <x:v>자동추출·검토필요</x:v>
      </x:c>
    </x:row>
    <x:row r="2223">
      <x:c r="A2223" s="43" t="str">
        <x:v>L2023-00022-1</x:v>
      </x:c>
      <x:c r="B2223" s="43" t="str">
        <x:v>부가세·예비비</x:v>
      </x:c>
      <x:c r="C2223" s="46" t="str">
        <x:v>vat, tax</x:v>
      </x:c>
      <x:c r="D2223" s="46" t="str"/>
      <x:c r="E2223" s="46" t="str">
        <x:v>USD 1,570,000 | USD 1,526,954</x:v>
      </x:c>
      <x:c r="F2223" s="46" t="str">
        <x:v>86.745%</x:v>
      </x:c>
      <x:c r="G2223" s="46" t="str">
        <x:v>L2023-00022-1/1. Section 2,3 (2)/Section 2 - Bid Data Sheet (BDS)_230503.pdf</x:v>
      </x:c>
      <x:c r="H2223" s="43" t="str">
        <x:v>페이지 5</x:v>
      </x:c>
      <x:c r="I2223" s="46" t="str">
        <x:v>- Scheduled 12 Months from the start of construction(Construction 8M and O&amp;M 4M) Construction Period Until 13 months from the date of signing the Contract Duration (Shall start the construction within 30 days from the date of signing the Contract) Project Budget USD 1,570,000 (VAT and other related indirect taxes are not included) - Projected USD 1,526,954 (VAT and other related indirect taxes are not included) Estimated Price ○ Currency: United States Dollar (USD) ○ KOICA has no responsibility for any matters regarding taxes, including VAT. Tax collection and refund will be managed by the relevant laws and regulations in the Ministry of Agriculture and Fisheries (MAF) 2. Bid Type, Selection of the Successful Bidders (a) Bid Type : URGENT International Bidding, Open Competitive Bidding ○ Reason for urgent bidding: Pursuant to Article 35(4)(1)(ii) of National Contract Act, "in cases where it is necessary for the early execution of the budget due to the government's fiscal policy," urgent bidding will be carried out. (b) Selection of the Successful Bidders ○ Based upon bid prices which shall be below the Estimated Price but above the floor price of 86.745% of the Estimated Price, the</x:v>
      </x:c>
      <x:c r="J2223" s="43" t="str">
        <x:v>자동추출·검토필요</x:v>
      </x:c>
    </x:row>
    <x:row r="2224">
      <x:c r="A2224" s="43" t="str">
        <x:v>L2023-00022-1</x:v>
      </x:c>
      <x:c r="B2224" s="43" t="str">
        <x:v>부가세·예비비</x:v>
      </x:c>
      <x:c r="C2224" s="46" t="str">
        <x:v>tax, reserve</x:v>
      </x:c>
      <x:c r="D2224" s="46" t="str"/>
      <x:c r="E2224" s="46" t="str">
        <x:v>USD 150,000 | USD 300,000</x:v>
      </x:c>
      <x:c r="F2224" s="46" t="str"/>
      <x:c r="G2224" s="46" t="str">
        <x:v>L2023-00022-1/1. Section 2,3 (2)/Section 2 - Bid Data Sheet (BDS)_230503.pdf</x:v>
      </x:c>
      <x:c r="H2224" s="43" t="str">
        <x:v>페이지 6</x:v>
      </x:c>
      <x:c r="I2224" s="46" t="str">
        <x:v>(c) Have the qualifications for business activity to be carried out at the project site ○ Bidder should have a valid business registration by the Government of Timor-Leste to perform construction works in Timor-Leste.  Latest/valid SERVE-Business Registration  Latest/valid SERVE-License of Construction Code Commercial Activity Authorized 410 CONSTRUCTION OF BUILDINGS (RESIDENCIAL AND NON RESIDENCIAL) 421 CONSTRUCTION OF ROADS AND RAILWAYS 422 CONSTRUCTION OF UTILITY PROJECTS  TAX Payment Certificate(2022) and/or TAX Record(2022) ※ In the case of non-registration as of the bid application deadline, the bid will be disqualified. (d) Have performed at least two (one Architecture + one Civil work) similar projects valued at not less than USD 150,000 in Architecture and not less than USD 300,000 in Civil works in completion within the last ten years from the date of Bidding announcement. ○ A similar project is defined as conducting construction works as a contractor in the field of civil infrastructure, such as roads and retaining walls, or building construction projects, such as agricultural collection centers, warehouses, schools, hospitals, and government offices. Geological surve</x:v>
      </x:c>
      <x:c r="J2224" s="43" t="str">
        <x:v>자동추출·검토필요</x:v>
      </x:c>
    </x:row>
    <x:row r="2225">
      <x:c r="A2225" s="43" t="str">
        <x:v>L2023-00022-1</x:v>
      </x:c>
      <x:c r="B2225" s="43" t="str">
        <x:v>부가세·예비비</x:v>
      </x:c>
      <x:c r="C2225" s="46" t="str">
        <x:v>tax</x:v>
      </x:c>
      <x:c r="D2225" s="46" t="str"/>
      <x:c r="E2225" s="46" t="str">
        <x:v>USD 150,000 | USD 300,000</x:v>
      </x:c>
      <x:c r="F2225" s="46" t="str"/>
      <x:c r="G2225" s="46" t="str">
        <x:v>L2023-00022-1/1. Section 2,3 (2)/Section 2 - Bid Data Sheet (BDS)_230503.pdf</x:v>
      </x:c>
      <x:c r="H2225" s="43" t="str">
        <x:v>페이지 9</x:v>
      </x:c>
      <x:c r="I2225" s="46" t="str">
        <x:v>the original. The original document will be promptly returned after verification. ※ All applicants/Bidders should submit documents either in English or notarized in English from the local language. ※ All documents should be submitted in the following order and clearly distinguished by section. &lt;Application Documents for Submittion&gt; ① List of bid documents submitted ② A duly completed bid application form (Section 3. bidding form-Annex 1_Form EXP 1) ③ Self-Checklist for Bidder’s Qualification (Section 3. bidding form-Annex 1_Form EXP 2) ④ JV Agreement (if applicable) (Secition 3. bidding form-Annex 9) ※ In the case of a joint venture, each and every entity in the JV shall submit the application form. ⑤ Proof of legality of establishment according to domestic law in the country of Establishment - All qualification documents according to domestic law in each country of establishment ⑥ Proof of meeting legal requirements for conducting construction in Timor-Leste (a) Latest/valid SERVE-Business Registration (b) Latest/valid SERVE-License of Construction – 410, 421, 422 (c) TAX Payment Certifica ⑦ Performance Certificate for Construction Completion in the past ten years (Section 3. Bidd</x:v>
      </x:c>
      <x:c r="J2225" s="43" t="str">
        <x:v>자동추출·검토필요</x:v>
      </x:c>
    </x:row>
    <x:row r="2226">
      <x:c r="A2226" s="43" t="str">
        <x:v>L2023-00022-1</x:v>
      </x:c>
      <x:c r="B2226" s="43" t="str">
        <x:v>부가세·예비비</x:v>
      </x:c>
      <x:c r="C2226" s="46" t="str">
        <x:v>reserve</x:v>
      </x:c>
      <x:c r="D2226" s="46" t="str"/>
      <x:c r="E2226" s="46" t="str"/>
      <x:c r="F2226" s="46" t="str">
        <x:v>2.5%</x:v>
      </x:c>
      <x:c r="G2226" s="46" t="str">
        <x:v>L2023-00022-1/1. Section 2,3 (2)/Section 2 - Bid Data Sheet (BDS)_230503.pdf</x:v>
      </x:c>
      <x:c r="H2226" s="43" t="str">
        <x:v>페이지 11</x:v>
      </x:c>
      <x:c r="I2226" s="46" t="str">
        <x:v>○ All documents should be submitted in the following order and clearly distinguished by section. Documents for Submission ① List of bid documents submitted ② Notice of eligibility (Invitation Letter from KOICA) ③ Official letter from bidding companies - In case of joint venture, submitted by the representative company and the name of the joint supply companies must be written on the official letter ※ If bid document submitted by authorized representative of the company, he/she bring his/her ID card, if the representative is not the bidder himself/herself, bring the power of attorney, bidder’s ID card, and copy of authorized representative’s one. ④ Bidder's information sheet(in the prescribed form, Section 3. bidding form-Annex 2) ⑤ Company profile - Includes business period, organizational chart, staffing, performance record (completed and ongoing), and more. ⑥ Bid security (in the prescribed form, Section 3. bidding form-Annex 8). - 2.5% of the bid amount ⑦ Materials of qualification examination (in the prescribed form, Section 3. bidding form-Annex 4 and 5) - Refer to the Annex 1 Evaluation Criteria for specific documents to be submitted. ⑧ Certificate demonstrating the absence o</x:v>
      </x:c>
      <x:c r="J2226" s="43" t="str">
        <x:v>자동추출·검토필요</x:v>
      </x:c>
    </x:row>
    <x:row r="2227">
      <x:c r="A2227" s="43" t="str">
        <x:v>L2023-00022-1</x:v>
      </x:c>
      <x:c r="B2227" s="43" t="str">
        <x:v>부가세·예비비</x:v>
      </x:c>
      <x:c r="C2227" s="46" t="str">
        <x:v>vat</x:v>
      </x:c>
      <x:c r="D2227" s="46" t="str"/>
      <x:c r="E2227" s="46" t="str">
        <x:v>$ 150,000 | $ 300,000 | $ 150,000 | $ 300,000 | USD 2,000,000 | USD 1,200,000 | USD 130,000 | USD 91,000</x:v>
      </x:c>
      <x:c r="F2227" s="46" t="str">
        <x:v>60% | 70%</x:v>
      </x:c>
      <x:c r="G2227" s="46" t="str">
        <x:v>L2023-00022-1/1. Section 2,3 (2)/Section 2 - Bid Data Sheet (BDS)_230503.pdf</x:v>
      </x:c>
      <x:c r="H2227" s="43" t="str">
        <x:v>페이지 15</x:v>
      </x:c>
      <x:c r="I2227" s="46" t="str">
        <x:v>Note 1) Construction experience in the relevant Construction limited to "Architecture (amount of $ 150,000 or more) and civil work (amount of $ 300,000 or more) ordered by the private, government, or aid project organizations," and the phrase must be clearly expressed in the performance certificate. Note 2) Performance Certificate should be attached for each project. - Attach construction performance verification certificate from Construction Association or if the association does not exist or issue a performance certificate, it can be replaced by performance verification documents confirmed by the employer. - Separate the performance of architecture and civil engineering fields. Note 3) Performance certificate must be submitted in English, and other languages must be translated and notarized. Note 4) If a copy, not the original, is submitted, the employer's confirmation signature must be added. It will not be recognized without verification from employer Note 5) Only the construction performance in the last 10 years from the bid announcement date is recognized, and subcontract performance is not recognized. Note 6) When submitting Experience, write down whether the Experiences was</x:v>
      </x:c>
      <x:c r="J2227" s="43" t="str">
        <x:v>자동추출·검토필요</x:v>
      </x:c>
    </x:row>
    <x:row r="2228">
      <x:c r="A2228" s="43" t="str">
        <x:v>L2023-00022-1</x:v>
      </x:c>
      <x:c r="B2228" s="43" t="str">
        <x:v>부가세·예비비</x:v>
      </x:c>
      <x:c r="C2228" s="46" t="str">
        <x:v>reserve</x:v>
      </x:c>
      <x:c r="D2228" s="46" t="str"/>
      <x:c r="E2228" s="46" t="str"/>
      <x:c r="F2228" s="46" t="str">
        <x:v>0.5%</x:v>
      </x:c>
      <x:c r="G2228" s="46" t="str">
        <x:v>L2023-00022-1/2. Section 1,7,8,9 (3)/Section 7 - General Conditions of Contract.docx</x:v>
      </x:c>
      <x:c r="H2228" s="43" t="str">
        <x:v>표 4 행 109</x:v>
      </x:c>
      <x:c r="I2228"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2228" s="43" t="str">
        <x:v>자동추출·검토필요</x:v>
      </x:c>
    </x:row>
    <x:row r="2229">
      <x:c r="A2229" s="43" t="str">
        <x:v>L2023-00022-1</x:v>
      </x:c>
      <x:c r="B2229" s="43" t="str">
        <x:v>부가세·예비비</x:v>
      </x:c>
      <x:c r="C2229" s="46" t="str">
        <x:v>reserve</x:v>
      </x:c>
      <x:c r="D2229" s="46" t="str"/>
      <x:c r="E2229" s="46" t="str"/>
      <x:c r="F2229" s="46" t="str">
        <x:v>50% | 50%</x:v>
      </x:c>
      <x:c r="G2229" s="46" t="str">
        <x:v>L2023-00022-1/2. Section 1,7,8,9 (3)/Section 7 - General Conditions of Contract.docx</x:v>
      </x:c>
      <x:c r="H2229" s="43" t="str">
        <x:v>표 12 행 61</x:v>
      </x:c>
      <x:c r="I2229"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229" s="43" t="str">
        <x:v>자동추출·검토필요</x:v>
      </x:c>
    </x:row>
    <x:row r="2230">
      <x:c r="A2230" s="43" t="str">
        <x:v>L2023-00022-1</x:v>
      </x:c>
      <x:c r="B2230" s="43" t="str">
        <x:v>부가세·예비비</x:v>
      </x:c>
      <x:c r="C2230" s="46" t="str">
        <x:v>contingency</x:v>
      </x:c>
      <x:c r="D2230" s="46" t="str"/>
      <x:c r="E2230" s="46" t="str"/>
      <x:c r="F2230" s="46" t="str">
        <x:v>0.5%</x:v>
      </x:c>
      <x:c r="G2230" s="46" t="str">
        <x:v>L2023-00022-1/3. KOICA Safty Mangement Manual (1)/KOICA Safety Management Manual(ENG).pdf</x:v>
      </x:c>
      <x:c r="H2230" s="43" t="str">
        <x:v>페이지 14</x:v>
      </x:c>
      <x:c r="I2230" s="46" t="str">
        <x:v>4.1.3 KOICA should check that the bill of quantity (BoQ) consists of safety management costs (0.5% or more of the total construction costs, excluding non- contingency) as separate items. 5. Construction Procurement and Contracting 5.1 Provision of Information on Preparing Safety Management Plans 5.1.1 KOICA shall provide the following information for the contractor to formulate a safety management plan that reflects the distinctive features of the site conditions and the final design outcome: (1) Matters regarding the existence of asbestos or harmful substances such as chemical waste within the site; (2) Matters regarding access to the worksite such as railroads and busy roads adjacent to the site; (3) Matters regarding underground facilities and groundwater flows (4) Matters regarding adjacent buildings, structures, and trees that may cause a collapse; (5) Matters regarding land subsidence that may negatively affect structure; (6) Matters regarding obstacles or advantages for the installation of facilities or equipment within the site. 5.2 Review of Safety Management Plans 5.2.1 Review of Safety Management Plans (1) As for the safety management plan formulated by the contractor, K</x:v>
      </x:c>
      <x:c r="J2230" s="43" t="str">
        <x:v>자동추출·검토필요</x:v>
      </x:c>
    </x:row>
    <x:row r="2231">
      <x:c r="A2231" s="43" t="str">
        <x:v>L2023-00022-1</x:v>
      </x:c>
      <x:c r="B2231" s="43" t="str">
        <x:v>부가세·예비비</x:v>
      </x:c>
      <x:c r="C2231" s="46" t="str">
        <x:v>reserve</x:v>
      </x:c>
      <x:c r="D2231" s="46" t="str"/>
      <x:c r="E2231" s="46" t="str"/>
      <x:c r="F2231" s="46" t="str">
        <x:v>0.5%</x:v>
      </x:c>
      <x:c r="G2231" s="46" t="str">
        <x:v>L2023-00022-1/3. KOICA Safty Mangement Manual (1)/KOICA Safety Management Manual(ENG).pdf</x:v>
      </x:c>
      <x:c r="H2231" s="43" t="str">
        <x:v>페이지 18</x:v>
      </x:c>
      <x:c r="I2231" s="46" t="str">
        <x:v>(1) Amount subject to safety management expenses: Amount excluding reserve funding from the total construction expenses (2) Calculation method: Amount subject to safety management expenses x 0.5% or more (2) Payment of safety management expenses: The contractor shall file a claim for payment of safety management expenses to KOICA along with a confirmation as to the proper disbursement of the safety management expenses to match the purpose prescribed under the safety management plan made by the construction manager. 6. Construction 6.1 Verifying Observance of Safety Management Plans 6.1.1 KOICA shall verify the contractor’s proper performance of the safety management plan. However, if construction project management, similar to consigned supervision, is being implemented, KOICA may allow the construction manager to verify the performance of the safety management plan and file a report on their own. 6.1.2 If there are any issues pointed out by the review of the safety management plan under the immediately preceding paragraph, KOICA shall review said issues and request the contractor make corrections, if necessary. 6.2 Verifying Disbursement of Safety Management Expenses 6.2.1 KOICA s</x:v>
      </x:c>
      <x:c r="J2231" s="43" t="str">
        <x:v>자동추출·검토필요</x:v>
      </x:c>
    </x:row>
    <x:row r="2232">
      <x:c r="A2232" s="43" t="str">
        <x:v>L2023-00022-1</x:v>
      </x:c>
      <x:c r="B2232" s="43" t="str">
        <x:v>부가세·예비비</x:v>
      </x:c>
      <x:c r="C2232" s="46" t="str">
        <x:v>vat, reserve</x:v>
      </x:c>
      <x:c r="D2232" s="46" t="str"/>
      <x:c r="E2232" s="46" t="str"/>
      <x:c r="F2232" s="46" t="str">
        <x:v>0.5%</x:v>
      </x:c>
      <x:c r="G2232" s="46" t="str">
        <x:v>L2023-00022-1/3. KOICA Safty Mangement Manual (1)/KOICA Safety Management Manual(ENG).pdf</x:v>
      </x:c>
      <x:c r="H2232" s="43" t="str">
        <x:v>페이지 28</x:v>
      </x:c>
      <x:c r="I2232" s="46" t="str">
        <x:v>D. Steel structure works - An overview of materials, equipment, etc.; and detailed shop drawings; - The procedures and precautions for safe construction; - A safety inspection plan and a safety inspection checklist; - A calculation sheet for the safety of steel structures. E. Earth filling and cutting works (including earth dam works) - An overview of materials, equipment, etc.; and detailed shop drawings; - The procedures and precautions for safe construction; - A safety inspection plan and a safety inspection checklist; - A calculation sheet for safety. F. Demolition works - An overview of structures to be demolished, demolition methods, etc.; and detailed shop drawings; - A plan on the order of demolition, and on facilities and measures for safety, etc. G. Mechanical and electrical works: - An overview of materials, equipment, etc.; and detailed shop drawings; - The procedures and precautions for safe construction; - A safety inspection plan and a safety inspection checklist; - A calculation sheet for safety. 1.4 Creation of Safety Management Expense Spending Plans 1.4.1 The contractor shall make a spending plan for safety management expenses by adding expenses incurred in formu</x:v>
      </x:c>
      <x:c r="J2232" s="43" t="str">
        <x:v>자동추출·검토필요</x:v>
      </x:c>
    </x:row>
    <x:row r="2233">
      <x:c r="A2233" s="43" t="str">
        <x:v>L2023-00022-1</x:v>
      </x:c>
      <x:c r="B2233" s="43" t="str">
        <x:v>부가세·예비비</x:v>
      </x:c>
      <x:c r="C2233" s="46" t="str">
        <x:v>예비비</x:v>
      </x:c>
      <x:c r="D2233" s="46" t="str"/>
      <x:c r="E2233" s="46" t="str"/>
      <x:c r="F2233" s="46" t="str">
        <x:v>0.5%</x:v>
      </x:c>
      <x:c r="G2233" s="46" t="str">
        <x:v>L2023-00022-1/3. KOICA Safty Mangement Manual (1)/KOICA_░╟╝│░°╗τ ╛╚└ⁿ░ⁿ╕«╛≈╣½ ╕┼┤║╛≤(▒╣╣«).pdf</x:v>
      </x:c>
      <x:c r="H2233" s="43" t="str">
        <x:v>페이지 15</x:v>
      </x:c>
      <x:c r="I2233" s="46" t="str">
        <x:v>함된 문서가 있는 지를 확인하고 시공자에게 전달하기 위해 정리 하여야 한다. (1) 설계과정 중에 도출한 건설안전 위험요소(Hazard) 및 위험성 (Risk) (2) 설계에 가정된 각종 시공법과 절차에 관한 사항 (3) 지반조사보고서(수원국에 의해 시행되었거나 자체 시행한 경 우 모두 해당) 4.1.2 KOICA 는 최종 설계 성과품이 설계서(과업지시서)의 설계조건을 충족하지 못한 경우에는 설계자로 하여금 수정․보완토록 하여야 한다. 4.1.3 KOICA 는 설계도서 내역서에 안전관리비(예비비를 제외한 총공 사비의 0.5%이상)가 별도로 계상되어있는지 확인하여야 한다. 5.1 안전관리계획서 작성을 위한 정보 제공 5.1.1 KOICA 는 용지조건의 특수성과 최종 설계 성과품을 반영하여 시 공자가 안전관리계획서를 작성하도록 다음과 같은 정보를 제공하 여야 한다. (1) 용지 내에 석면이나 화학폐기물과 같은 유해물질 존재여부에 관한 사항 (2) 용지 근처의 철길이나 혼잡한 인접도로 등과 같은 현장 접근 에 관한 사항 (3) 지하 매설물과 지하수 흐름에 관한 사항 (4) 붕괴를 유발할 수 있는 인접건물, 구조물 및 식수현황에 관 한 사항 (5) 구조물에 부정적 영향을 끼칠 수 있는 지반침하에 관한 사항 (6) 용지 내 설비나 장비설치의 난이점에 관한 사항 －10－</x:v>
      </x:c>
      <x:c r="J2233" s="43" t="str">
        <x:v>자동추출·검토필요</x:v>
      </x:c>
    </x:row>
    <x:row r="2234">
      <x:c r="A2234" s="43" t="str">
        <x:v>L2023-00022-1</x:v>
      </x:c>
      <x:c r="B2234" s="43" t="str">
        <x:v>부가세·예비비</x:v>
      </x:c>
      <x:c r="C2234" s="46" t="str">
        <x:v>예비비</x:v>
      </x:c>
      <x:c r="D2234" s="46" t="str"/>
      <x:c r="E2234" s="46" t="str"/>
      <x:c r="F2234" s="46" t="str">
        <x:v>0.5%</x:v>
      </x:c>
      <x:c r="G2234" s="46" t="str">
        <x:v>L2023-00022-1/3. KOICA Safty Mangement Manual (1)/KOICA_░╟╝│░°╗τ ╛╚└ⁿ░ⁿ╕«╛≈╣½ ╕┼┤║╛≤(▒╣╣«).pdf</x:v>
      </x:c>
      <x:c r="H2234" s="43" t="str">
        <x:v>페이지 19</x:v>
      </x:c>
      <x:c r="I2234" s="46" t="str">
        <x:v>용범위는 안전관리계획서 작성 및 검토비용, 공사현장의 안전점 검비용, 공사장 주변 안전관리 비용, 통행안전 및 교통소통 대책 비용, 시공 중 근로자의 산업재해 및 건강 장해 예방, 기타 안전 관리를 위해 시공자가 본 목적에 국한하여 사용하는 비용이다. 5.3.2 KOICA 는 안전관리비를 공사금액에 계상하는 경우에는 다음 기 준에 의하여야 한다. (1) 안전관리비 대상액: 총 공사비 중 예비비 제외 금액 (2) 계상방법: 안전관리비 대상액 × 0.5% 이상 (3) 안전관리비의 지급 : 시공자는 안전관리비가 안전관리계획서 에 기재한 목적에 맞게 사용되었는지 건설사업관리자의 확인 서를 첨부하여 KOICA에 청구하여야 한다. 6. 공사시행 6.1 안전관리계획서 이행여부 확인 6.1.1 KOICA 는 시공자가 착공서류에 안전·환경 및 품질관리계획을 제 대로 작성하여 제출하였는지 확인하여야 한다. 다만, 해당 건설공 사에 감독권한 대행 등 건설사업관리를 시행하는 경우에는 건설 사업관리기술자로 하여금 안전관리계획의 착공서류 포함 여부를 확인하여 보고하도록 할 수 있다. 6.1.2 전 항에 따라 안전관리계획을 검토하여 지적사항(건설사업관리기 술자가 보고한 안전관리계획 이행에 대한 지적사항을 말한다)이 있는 경우에는 KOICA는 해당 사항을 검토하여 필요한 경우 시 공자에게 시정하도록 하여야 한다. 6.2 안전관리비의 집행확인 6.2.1 KOICA 는 안전관리비가 사용기준에 맞게 사용되었는지 확인하여 야 한다. 다만, 해당 건설공사에 감독권한 대행 등 건설사업관리 를 시행하는 경우에는 건설사업관리기술자로 하여금 안전관리 활 －14－</x:v>
      </x:c>
      <x:c r="J2234" s="43" t="str">
        <x:v>자동추출·검토필요</x:v>
      </x:c>
    </x:row>
    <x:row r="2235">
      <x:c r="A2235" s="43" t="str">
        <x:v>L2023-00022-1</x:v>
      </x:c>
      <x:c r="B2235" s="43" t="str">
        <x:v>부가세·예비비</x:v>
      </x:c>
      <x:c r="C2235" s="46" t="str">
        <x:v>예비비</x:v>
      </x:c>
      <x:c r="D2235" s="46" t="str"/>
      <x:c r="E2235" s="46" t="str"/>
      <x:c r="F2235" s="46" t="str">
        <x:v>0.5%</x:v>
      </x:c>
      <x:c r="G2235" s="46" t="str">
        <x:v>L2023-00022-1/3. KOICA Safty Mangement Manual (1)/KOICA_░╟╝│░°╗τ ╛╚└ⁿ░ⁿ╕«╛≈╣½ ╕┼┤║╛≤(▒╣╣«).pdf</x:v>
      </x:c>
      <x:c r="H2235" s="43" t="str">
        <x:v>페이지 30</x:v>
      </x:c>
      <x:c r="I2235" s="46" t="str">
        <x:v>- 안전점검계획표 및 안전점검표 - 강구조물의 안전성 계산서 마. 성토 및 절토공사(흙댐공사를 포함한다) - 자재·장비 등의 개요 및 시공상세도면 - 안전시공 절차 및 주의사항 - 안전점검계획표 및 안전점검표 - 안전성계산서 바. 해체공사 - 구조물해체의 대상·공법 등의 개요 및 시공상세도면 - 해체순서, 안전시설 및 안전조치 등에 대한 계획 사. 건축설비공사 - 자재·장비 등의 개요 및 시공상세도면 - 안전시공 절차 및 주의사항 - 안전점검계획표 및 안전점검표 - 안전성 계산서 1.4 안전관리비 집행계획 작성 1.4.1 시공자는「건설기술 진흥법」제63조 및 같은 법 시행규칙 제60 조, 「산업안전보건법」 제30조 에 따라 안전관리계획서 작성 및 검토비용, 공사현장의 안전점검비용, 공사장 주변 안전관리 비용, 통행안전 및 교통소통 대책비용, 시공 중 근로자의 산업재해 및 건강 장해 예방을 목적으로 시공자가 본 목적에 국한하여 사용하 는 비용등을 공사금액에 계상하여 안전관리비 집행계획서를 작성 하여야 한다. (1) 안전관리비 대상액: 총 공사비 중 예비비 제외 금액 (2) 계상방법: 안전관리비 대상액 × 0.5% 이상 (3) 안전관리비의 계상액 및 집행계획서는 건설사업관리기술자의 확인서를 첨부하여 건설공사 착공하기 전에 KOICA에게 제 출하여야 한다. －25－</x:v>
      </x:c>
      <x:c r="J2235" s="43" t="str">
        <x:v>자동추출·검토필요</x:v>
      </x:c>
    </x:row>
    <x:row r="2236">
      <x:c r="A2236" s="43" t="str">
        <x:v>L2023-00022-1</x:v>
      </x:c>
      <x:c r="B2236" s="43" t="str">
        <x:v>부가세·예비비</x:v>
      </x:c>
      <x:c r="C2236" s="46" t="str">
        <x:v>vat</x:v>
      </x:c>
      <x:c r="D2236" s="46" t="str"/>
      <x:c r="E2236" s="46" t="str">
        <x:v>KRW 420 billion</x:v>
      </x:c>
      <x:c r="F2236" s="46" t="str"/>
      <x:c r="G2236" s="46" t="str">
        <x:v>L2023-00022-1/4. KOICA Regulations and Guidelines (2)/Detailed Enforcement Rules of the Regulations for Procurement and Contract in Grant Aid Projects(┤δ┐▄╣½╗≤╟∙╖┬╗τ╛≈┐í ░ⁿ╟╤ ┴╢┤▐ ╣╫ ░Φ╛α▒╘┴ñ ╜├╟α╝╝─ó)_20190503.pdf</x:v>
      </x:c>
      <x:c r="H2236" s="43" t="str">
        <x:v>페이지 61</x:v>
      </x:c>
      <x:c r="I2236"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2236" s="43" t="str">
        <x:v>자동추출·검토필요</x:v>
      </x:c>
    </x:row>
    <x:row r="2237">
      <x:c r="A2237" s="43" t="str">
        <x:v>L2023-00022-1</x:v>
      </x:c>
      <x:c r="B2237" s="43" t="str">
        <x:v>부가세·예비비</x:v>
      </x:c>
      <x:c r="C2237" s="46" t="str">
        <x:v>tax</x:v>
      </x:c>
      <x:c r="D2237" s="46" t="str"/>
      <x:c r="E2237" s="46" t="str"/>
      <x:c r="F2237" s="46" t="str">
        <x:v>50%</x:v>
      </x:c>
      <x:c r="G2237" s="46" t="str">
        <x:v>L2023-00022-1/4. KOICA Regulations and Guidelines (2)/Detailed Enforcement Rules of the Regulations for Procurement and Contract in Grant Aid Projects(┤δ┐▄╣½╗≤╟∙╖┬╗τ╛≈┐í ░ⁿ╟╤ ┴╢┤▐ ╣╫ ░Φ╛α▒╘┴ñ ╜├╟α╝╝─ó)_20190503.pdf</x:v>
      </x:c>
      <x:c r="H2237" s="43" t="str">
        <x:v>페이지 90</x:v>
      </x:c>
      <x:c r="I2237" s="46" t="str">
        <x:v>[Form 8] Public Notice of a Tender Public Notice of a Tender The Korea International Cooperation Agency (KOICA) is an affiliate of the Ministry of Foreign Affairs and Trade in charge of the Grant Aid Project. As part of an economic cooperation project with developing countries, KOICA announces the following tenders to select (procure) (name of services or goods) for this (name of a project). 1. Public notice of a tender number: 2. Matters to be placed in the tender ① Name of the tendering: ② Details: Scope of services / Details of procured goods, etc. ※Refer to the appendix for details ③ Contract period: ④ Base Amount (estimated amount): (“zero” tax rate) 3. How to tender: General competitive tendering, limited competitive tendering 4. How to determine a successful tenderer: Lowest tender below Expected Maximum Price / Contract by negotiation/ Tendering in two-step competition 5. Qualification for participating in tendering: Those who have registered as KOICA's procurement partners. However, new companies shall register as procurement partners and participate in the tendering by the deadline for registration of tenders (registration of new companies is determined after reviewing re</x:v>
      </x:c>
      <x:c r="J2237" s="43" t="str">
        <x:v>자동추출·검토필요</x:v>
      </x:c>
    </x:row>
    <x:row r="2238">
      <x:c r="A2238" s="43" t="str">
        <x:v>L2023-00022-1</x:v>
      </x:c>
      <x:c r="B2238" s="43" t="str">
        <x:v>부가세·예비비</x:v>
      </x:c>
      <x:c r="C2238" s="46" t="str">
        <x:v>vat</x:v>
      </x:c>
      <x:c r="D2238" s="46" t="str"/>
      <x:c r="E2238" s="46" t="str">
        <x:v>KRW 10 billion</x:v>
      </x:c>
      <x:c r="F2238" s="46" t="str"/>
      <x:c r="G2238" s="46" t="str">
        <x:v>L2023-00022-1/4. KOICA Regulations and Guidelines (2)/Detailed Enforcement Rules of the Regulations for Procurement and Contract in Grant Aid Projects(┤δ┐▄╣½╗≤╟∙╖┬╗τ╛≈┐í ░ⁿ╟╤ ┴╢┤▐ ╣╫ ░Φ╛α▒╘┴ñ ╜├╟α╝╝─ó)_20190503.pdf</x:v>
      </x:c>
      <x:c r="H2238" s="43" t="str">
        <x:v>페이지 94</x:v>
      </x:c>
      <x:c r="I2238" s="46" t="str">
        <x:v>Company Phone Number Company Name of No. Registration Participants Signature Name Representative Fax Number Number 1 2 3 4 5 Each of the above participants confirmed that the conditions for the above tendering have been amended as described above during at the time of the tendering presentation session; and each affirms that he/she fully understands the details of tendering-related matters such as instructions to tenderers, a request for proposal, and specifications are fully understood. Korea International Cooperation Agency [Form 12] Tender (Negotiation) Documents &lt;Amended on Jul. 20, 2017, Feb. 28, 2018&gt; Tender (Negotiation) Documents To Korea International Cooperation Agency Tender (Negotiation) Date and Time: . . . : I submit tender documents based upon the (international) construction, ((international) purchase of goods, (international) services)) tender instructions for the goods, construction, and service pursuant to the Detailed Enforcement Rules of the Regulations for Procurement and Contract in Grant Aid Projects with Public Notice of a Tender Number__. If this tender is accepted by your institution, I submit a tender proposal, affirming that the construction (goods, ser</x:v>
      </x:c>
      <x:c r="J2238" s="43" t="str">
        <x:v>자동추출·검토필요</x:v>
      </x:c>
    </x:row>
    <x:row r="2239">
      <x:c r="A2239" s="43" t="str">
        <x:v>L2023-00022-1</x:v>
      </x:c>
      <x:c r="B2239" s="43" t="str">
        <x:v>부가세·예비비</x:v>
      </x:c>
      <x:c r="C2239" s="46" t="str">
        <x:v>vat</x:v>
      </x:c>
      <x:c r="D2239" s="46" t="str"/>
      <x:c r="E2239" s="46" t="str">
        <x:v>KRW 2 billion</x:v>
      </x:c>
      <x:c r="F2239" s="46" t="str"/>
      <x:c r="G2239" s="46" t="str">
        <x:v>L2023-00022-1/4. KOICA Regulations and Guidelines (2)/Guidelines for Technical Evaluation(▒Γ╝·╞≥░í┴÷─º)_20210408.pdf</x:v>
      </x:c>
      <x:c r="H2239" s="43" t="str">
        <x:v>페이지 13</x:v>
      </x:c>
      <x:c r="I2239"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2239" s="43" t="str">
        <x:v>자동추출·검토필요</x:v>
      </x:c>
    </x:row>
    <x:row r="2240">
      <x:c r="A2240" s="43" t="str">
        <x:v>L2023-00022-1</x:v>
      </x:c>
      <x:c r="B2240" s="43" t="str">
        <x:v>부가세·예비비</x:v>
      </x:c>
      <x:c r="C2240" s="46" t="str">
        <x:v>vat</x:v>
      </x:c>
      <x:c r="D2240" s="46" t="str"/>
      <x:c r="E2240" s="46" t="str">
        <x:v>KRW 2 billion</x:v>
      </x:c>
      <x:c r="F2240" s="46" t="str"/>
      <x:c r="G2240" s="46" t="str">
        <x:v>L2023-00022-1/4. KOICA Regulations and Guidelines (2)/Guidelines for Technical Evaluation(▒Γ╝·╞≥░í┴÷─º)_20210408.pdf</x:v>
      </x:c>
      <x:c r="H2240" s="43" t="str">
        <x:v>페이지 33</x:v>
      </x:c>
      <x:c r="I2240"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2240" s="43" t="str">
        <x:v>자동추출·검토필요</x:v>
      </x:c>
    </x:row>
    <x:row r="2241">
      <x:c r="A2241" s="43" t="str">
        <x:v>L2023-00022-1</x:v>
      </x:c>
      <x:c r="B2241" s="43" t="str">
        <x:v>부가세·예비비</x:v>
      </x:c>
      <x:c r="C2241" s="46" t="str">
        <x:v>vat</x:v>
      </x:c>
      <x:c r="D2241" s="46" t="str"/>
      <x:c r="E2241" s="46" t="str"/>
      <x:c r="F2241" s="46" t="str">
        <x:v>20% | 20% | 20% | 20% | 20%</x:v>
      </x:c>
      <x:c r="G2241" s="46" t="str">
        <x:v>L2023-00022-1/4. KOICA Regulations and Guidelines (2)/Guidelines for Technical Evaluation(▒Γ╝·╞≥░í┴÷─º)_20210408.pdf</x:v>
      </x:c>
      <x:c r="H2241" s="43" t="str">
        <x:v>페이지 41</x:v>
      </x:c>
      <x:c r="I2241" s="46" t="str">
        <x:v>[Table 4] Evaluation Table for Adding or Deducting Points &lt;Amended on Apr. 29, 2020&gt; Evaluation Table for Adding or Deducting Points Category Item and Ground Points A. Companies with no contracting track record with KOICA (if the 0.5 investment share rate or share ratio is at least 20%) (Maximum 0.5) B. Supporting medium, small, or micro-enterprises (if the investment share rate or share ratio is at least 20%) (1) Companies that have been designated as an innovative (venture, 0.5 technological innovation, management innovation, exceptional green business) small or medium-sized business by the Minister of SMEs and Startups (or delegate) (2) Others designated as medium, small, or micro-enterprises 0.25 C. Supporting female-owned businesses and promoting gender equality in employment (if the investment share rate or share ratio is at least 20%) (1) Female-owned businesses that have been defined in the Act on 0.2 Support for Female-owned Businesses and the enforcement decree of the same Act and have been issued a confirmation letter by the Minister of SMEs and Startups (including a delegate) (2) Companies that have been designated as a company with exceptional 0.25 gender equality in e</x:v>
      </x:c>
      <x:c r="J2241" s="43" t="str">
        <x:v>자동추출·검토필요</x:v>
      </x:c>
    </x:row>
    <x:row r="2242">
      <x:c r="A2242" s="43" t="str">
        <x:v>L2023-00022-1</x:v>
      </x:c>
      <x:c r="B2242" s="43" t="str">
        <x:v>부가세·예비비</x:v>
      </x:c>
      <x:c r="C2242" s="46" t="str">
        <x:v>vat</x:v>
      </x:c>
      <x:c r="D2242" s="46" t="str"/>
      <x:c r="E2242" s="46" t="str"/>
      <x:c r="F2242" s="46" t="str">
        <x:v>20% | 20%</x:v>
      </x:c>
      <x:c r="G2242" s="46" t="str">
        <x:v>L2023-00022-1/4. KOICA Regulations and Guidelines (2)/Guidelines for Technical Evaluation(▒Γ╝·╞≥░í┴÷─º)_20210408.pdf</x:v>
      </x:c>
      <x:c r="H2242" s="43" t="str">
        <x:v>페이지 43</x:v>
      </x:c>
      <x:c r="I2242" s="46" t="str">
        <x:v>1. Evaluation on “A (Companies with no contracting track record with KOICA)” (a) Based upon the date of tender notice, regardless of the project type such as research service, evaluation service, fellowship program, public-private partnership program, only companies with no contracting track record are evaluated. (b) For a contracting consortium, it is evaluated only when the investment share rate (or share ratio) is at least 20%. A maximum of 0.5 points is awarded regardless of the number of members. 2. Evaluation on “B (Supporting medium, small, or micro-enterprises)” (a) Medium, small, or micro-enterprises that have been issued a confirmation letter by the Minister of SMEs and Startups (or delegate) are evaluated when all relevant documents are submitted. In this case, evaluation is limited to those falling within the validity period based on the date of public notice of the tender, but if the validity period is not determined, evaluation is limited to those received within the two years since the day before the date of public notice of the tender. (b) In the case of competition between owners of medium or small enterprises, additional points are not awarded for small and medium</x:v>
      </x:c>
      <x:c r="J2242" s="43" t="str">
        <x:v>자동추출·검토필요</x:v>
      </x:c>
    </x:row>
    <x:row r="2243">
      <x:c r="A2243" s="43" t="str">
        <x:v>L2023-00022-1</x:v>
      </x:c>
      <x:c r="B2243" s="43" t="str">
        <x:v>부가세·예비비</x:v>
      </x:c>
      <x:c r="C2243" s="46" t="str">
        <x:v>tax</x:v>
      </x:c>
      <x:c r="D2243" s="46" t="str"/>
      <x:c r="E2243" s="46" t="str"/>
      <x:c r="F2243" s="46" t="str">
        <x:v>50% | 50%</x:v>
      </x:c>
      <x:c r="G2243" s="46" t="str">
        <x:v>L2023-00022-1/4. KOICA Regulations and Guidelines (2)/KOICA Regulations for International Procurement(▒╣┴ª┴╢┤▐▒╘┴ñ)_20190304.pdf</x:v>
      </x:c>
      <x:c r="H2243" s="43" t="str">
        <x:v>페이지 4</x:v>
      </x:c>
      <x:c r="I2243" s="46" t="str">
        <x:v>Tenders and the procedures prescribed in Section II of these Regulations shall apply. However, in accordance with Article 1(2) of these Regulations, KOICA may delegate or entrust its International Procurement duties related to the relevant Project to a KOICA Trustee; provided that such delegation or entrustment is recorded in writing. (3) For International Tenders, KOICA HQ shall be the Employer and the procedures prescribed in Section III of these Regulations shall apply. (4) Use of the procurement system of a Recipient Country shall be at the discretion of KOICA and the procedures prescribed in Section IV of these Regulations shall apply. Article 5 Eligibility (1) The Employer, the Bidder, and the Contracting Party must adhere to the highest standards of ethics in connection with tenders for and contracts of International Procurement. Accordingly, (a) if a selected Bidder is found to have been fraudulent or deceitful during the competitive bid process, the Employer shall be entitled to cancel such selection; and (b) if a Bidder or a Contracting Party is found to have been fraudulent or deceitful during a separate tender process or contracting process conducted by the Employer, KO</x:v>
      </x:c>
      <x:c r="J2243" s="43" t="str">
        <x:v>자동추출·검토필요</x:v>
      </x:c>
    </x:row>
    <x:row r="2244">
      <x:c r="A2244" s="43" t="str">
        <x:v>L2023-00022-1</x:v>
      </x:c>
      <x:c r="B2244" s="43" t="str">
        <x:v>부가세·예비비</x:v>
      </x:c>
      <x:c r="C2244" s="46" t="str">
        <x:v>vat</x:v>
      </x:c>
      <x:c r="D2244" s="46" t="str"/>
      <x:c r="E2244" s="46" t="str">
        <x:v>KRW 100 million | KRW 100 million | KRW 50 million</x:v>
      </x:c>
      <x:c r="F2244" s="46" t="str"/>
      <x:c r="G2244" s="46" t="str">
        <x:v>L2023-00022-1/4. KOICA Regulations and Guidelines (2)/Regulations for Procurement and Contract in Grant Aid Projects(┤δ┐▄╣½╗≤╟∙╖┬╗τ╛≈┐í ░ⁿ╟╤ ┴╢┤▐ ╣╫ ░Φ╛α▒╘┴ñ)_20190520.pdf</x:v>
      </x:c>
      <x:c r="H2244" s="43" t="str">
        <x:v>페이지 15</x:v>
      </x:c>
      <x:c r="I2244" s="46" t="str">
        <x:v>works with an estimated price of KRW 100 million or less under other construction- related laws and regulations; manufacturing goods with an estimated price of KRW 100 million or less; &lt;Amended on Jan. 13, 2009&gt; 3. Contracts other than a contract for construction or manufacturing, or leases or rentals of goods, with an estimated price of KRW 50 million or less; &lt;Amended on Jan. 13, 2009&gt; 4. Products certified under Article 15 of the Industrial Standardization Act or standard products of excellent organizations under Article 25 of the same Act; &lt;Amended on Jan. 13, 2009, May 20, 2019&gt; 5. In a case of manufacture or purchase products conforming to the standards under Article 33 of the Act on the Promotion of Saving and Recycling of Resources; recycled products that have obtained quality certification pursuant to Article 17 (1) 3 of the Enforcement Decree of the Industrial Technology Innovation Promotion Act; products that have certified as eligible for the Environment Mark pursuant to Article 17 of the Environmental Technology and Industry Support Act; &lt;Amended on Jan. 13, 2009, Nov. 2, 2015, May 20, 2019&gt; 6. When manufacturing or purchasing goods designated or announced by the Minis</x:v>
      </x:c>
      <x:c r="J2244" s="43" t="str">
        <x:v>자동추출·검토필요</x:v>
      </x:c>
    </x:row>
    <x:row r="2245">
      <x:c r="A2245" s="43" t="str">
        <x:v>L2023-00022-1</x:v>
      </x:c>
      <x:c r="B2245" s="43" t="str">
        <x:v>부가세·예비비</x:v>
      </x:c>
      <x:c r="C2245" s="46" t="str">
        <x:v>reserve</x:v>
      </x:c>
      <x:c r="D2245" s="46" t="str"/>
      <x:c r="E2245" s="46" t="str">
        <x:v>USD 100,000.</x:v>
      </x:c>
      <x:c r="F2245" s="46" t="str">
        <x:v>200% | 200%</x:v>
      </x:c>
      <x:c r="G2245" s="46" t="str">
        <x:v>L2023-00022-1/4. KOICA Regulations and Guidelines (2)/Standard of Prequalification Criteria(└╘┬√┬ⁿ░í└┌░▌╗τ└ⁿ╜╔╗τ▒Γ┴╪)_20130116.pdf</x:v>
      </x:c>
      <x:c r="H2245" s="43" t="str">
        <x:v>페이지 16</x:v>
      </x:c>
      <x:c r="I2245" s="46" t="str">
        <x:v>입찰참가자격 사전심사 기준 STANDARD OF PREQUALIFICATION CRITERIA of contracts for each tender. (e.g.) The debt ratio shall be not more than 200%, or the current ratio shall be at least 200%. 3) The capabilities to mobilize at least a certain amount of cash may be assessed based on the average balance in the relevant company's accounts in its principal transaction bank, cash reserves as at a certain time (e.g. as at the date of public notice for the tender), etc., and detailed eligibility criteria (period of owning the balance, the average balance, cash reserves, etc.) shall be set up by the official in charge of contracts for each tender. (e.g.) The cash reserves in its accounts of the principal transaction bank as of the base date for examination (date of public notice for the tender) shall be at least USD100,000. * In cases of joint implementation, only the representative may be examined. ② Average annual construction performance 1) Depending on tenders, the period for construction performance may be determined by the official in charge of contracts, but he/she shall be careful not to set an unduly short period as such period (A period of at least five years is desirable). 2) Depending on te</x:v>
      </x:c>
      <x:c r="J2245" s="43" t="str">
        <x:v>자동추출·검토필요</x:v>
      </x:c>
    </x:row>
    <x:row r="2246">
      <x:c r="A2246" s="43" t="str">
        <x:v>L2023-00022-1</x:v>
      </x:c>
      <x:c r="B2246" s="43" t="str">
        <x:v>부가세·예비비</x:v>
      </x:c>
      <x:c r="C2246" s="46" t="str">
        <x:v>vat, tax</x:v>
      </x:c>
      <x:c r="D2246" s="46" t="str"/>
      <x:c r="E2246" s="46" t="str">
        <x:v>USD 1,570,000 | USD 1,570,000 | USD 1,570,000 | USD 1,570,000 | USD 1,570,000 | USD 1,570,000</x:v>
      </x:c>
      <x:c r="F2246" s="46" t="str"/>
      <x:c r="G2246" s="46" t="str">
        <x:v>L2023-00022-1/Notice of Bid for Construction_230503.docx</x:v>
      </x:c>
      <x:c r="H2246" s="43" t="str">
        <x:v>표 1 행 16</x:v>
      </x:c>
      <x:c r="I2246" s="46" t="str">
        <x:v>Project Budget | USD 1,570,000 =&gt; KOICA has no responsibility for any matters regarding taxes, including VAT. Tax collection and refund will be managed by the relevant laws and regulations in the Ministry of Agriculture and Fisheries (MAF). | USD 1,570,000 =&gt; KOICA has no responsibility for any matters regarding taxes, including VAT. Tax collection and refund will be managed by the relevant laws and regulations in the Ministry of Agriculture and Fisheries (MAF). | USD 1,570,000 =&gt; KOICA has no responsibility for any matters regarding taxes, including VAT. Tax collection and refund will be managed by the relevant laws and regulations in the Ministry of Agriculture and Fisheries (MAF). | USD 1,570,000 =&gt; KOICA has no responsibility for any matters regarding taxes, including VAT. Tax collection and refund will be managed by the relevant laws and regulations in the Ministry of Agriculture and Fisheries (MAF). | USD 1,570,000 =&gt; KOICA has no responsibility for any matters regarding taxes, including VAT. Tax collection and refund will be managed by the relevant laws and regulations in the Ministry of Agriculture and Fisheries (MAF). | USD 1,570,000 =&gt; KOICA has no responsibility for any </x:v>
      </x:c>
      <x:c r="J2246" s="43" t="str">
        <x:v>자동추출·검토필요</x:v>
      </x:c>
    </x:row>
    <x:row r="2247">
      <x:c r="A2247" s="43" t="str">
        <x:v>L2023-00021-1</x:v>
      </x:c>
      <x:c r="B2247" s="43" t="str">
        <x:v>부가세·예비비</x:v>
      </x:c>
      <x:c r="C2247" s="46" t="str">
        <x:v>vat</x:v>
      </x:c>
      <x:c r="D2247" s="46" t="str"/>
      <x:c r="E2247" s="46" t="str">
        <x:v>USD 88,000.00</x:v>
      </x:c>
      <x:c r="F2247" s="46" t="str"/>
      <x:c r="G2247" s="46" t="str">
        <x:v>L2023-00021-1/붙임1. 파라과이 멀티미디어 센터 설계용역 입찰설명서(국문본)_최종_230130_기평팀.hwp</x:v>
      </x:c>
      <x:c r="H2247" s="43" t="str">
        <x:v>문단 54</x:v>
      </x:c>
      <x:c r="I2247" s="46" t="str">
        <x:v>3. 입찰한도액 : 浥┥ USD 88,000.00 (VAT 제외)湯湷 </x:v>
      </x:c>
      <x:c r="J2247" s="43" t="str">
        <x:v>자동추출·검토필요</x:v>
      </x:c>
    </x:row>
    <x:row r="2248">
      <x:c r="A2248" s="43" t="str">
        <x:v>L2023-00021-1</x:v>
      </x:c>
      <x:c r="B2248" s="43" t="str">
        <x:v>부가세·예비비</x:v>
      </x:c>
      <x:c r="C2248" s="46" t="str">
        <x:v>vat</x:v>
      </x:c>
      <x:c r="D2248" s="46" t="str"/>
      <x:c r="E2248" s="46" t="str">
        <x:v>USD 88,000</x:v>
      </x:c>
      <x:c r="F2248" s="46" t="str"/>
      <x:c r="G2248" s="46" t="str">
        <x:v>L2023-00021-1/붙임2. 파라과이 멀티미디어 센터 설계용역 입찰설명서(영문본) 1식/1. Paraguay MULTI-MEDIA Center_Bidding Guideline.docx</x:v>
      </x:c>
      <x:c r="H2248" s="43" t="str">
        <x:v>문단 39</x:v>
      </x:c>
      <x:c r="I2248" s="46" t="str">
        <x:v>1.3 Maximum Bidding Price : USD 88,000 (VAT excluded)</x:v>
      </x:c>
      <x:c r="J2248" s="43" t="str">
        <x:v>자동추출·검토필요</x:v>
      </x:c>
    </x:row>
    <x:row r="2249">
      <x:c r="A2249" s="43" t="str">
        <x:v>L2023-00021-1</x:v>
      </x:c>
      <x:c r="B2249" s="43" t="str">
        <x:v>부가세·예비비</x:v>
      </x:c>
      <x:c r="C2249" s="46" t="str">
        <x:v>contingency</x:v>
      </x:c>
      <x:c r="D2249" s="46" t="str"/>
      <x:c r="E2249" s="46" t="str"/>
      <x:c r="F2249" s="46" t="str">
        <x:v>0.5% | 2%</x:v>
      </x:c>
      <x:c r="G2249" s="46" t="str">
        <x:v>L2023-00021-1/붙임2. 파라과이 멀티미디어 센터 설계용역 입찰설명서(영문본) 1식/4. Paraguay MULTI-MEDIA Center_Terms of Reference.docx</x:v>
      </x:c>
      <x:c r="H2249" s="43" t="str">
        <x:v>문단 119</x:v>
      </x:c>
      <x:c r="I2249" s="46" t="str">
        <x:v>BOQ shall be provided the summary that shows the total cost summed up with costs of each discipline (architecture, civil, landscape, mechanical, electrical, IT, fire). Also, includes health and safety (0.5%) and contingency (2%).</x:v>
      </x:c>
      <x:c r="J2249" s="43" t="str">
        <x:v>자동추출·검토필요</x:v>
      </x:c>
    </x:row>
    <x:row r="2250">
      <x:c r="A2250" s="43" t="str">
        <x:v>L2023-00021-1</x:v>
      </x:c>
      <x:c r="B2250" s="43" t="str">
        <x:v>부가세·예비비</x:v>
      </x:c>
      <x:c r="C2250" s="46" t="str">
        <x:v>contingency</x:v>
      </x:c>
      <x:c r="D2250" s="46" t="str"/>
      <x:c r="E2250" s="46" t="str"/>
      <x:c r="F2250" s="46" t="str">
        <x:v>2%</x:v>
      </x:c>
      <x:c r="G2250" s="46" t="str">
        <x:v>L2023-00021-1/붙임2. 파라과이 멀티미디어 센터 설계용역 입찰설명서(영문본) 1식/4. Paraguay MULTI-MEDIA Center_Terms of Reference.docx</x:v>
      </x:c>
      <x:c r="H2250" s="43" t="str">
        <x:v>문단 121</x:v>
      </x:c>
      <x:c r="I2250" s="46" t="str">
        <x:v>Contingency fund shall be included in the BOQ and shall be 2% of total construction cost minus overhead such as profit and insurance.</x:v>
      </x:c>
      <x:c r="J2250" s="43" t="str">
        <x:v>자동추출·검토필요</x:v>
      </x:c>
    </x:row>
    <x:row r="2251">
      <x:c r="A2251" s="43" t="str">
        <x:v>L2023-00021-1</x:v>
      </x:c>
      <x:c r="B2251" s="43" t="str">
        <x:v>부가세·예비비</x:v>
      </x:c>
      <x:c r="C2251" s="46" t="str">
        <x:v>contingency</x:v>
      </x:c>
      <x:c r="D2251" s="46" t="str"/>
      <x:c r="E2251" s="46" t="str"/>
      <x:c r="F2251" s="46" t="str">
        <x:v>0.5% | 2%</x:v>
      </x:c>
      <x:c r="G2251" s="46" t="str">
        <x:v>L2023-00021-1/붙임3. 파라과이 멀티미디어센터_설계계약서 초안/3-2. Paraguay MULTI-MEDIA Center_Terms of Reference.docx</x:v>
      </x:c>
      <x:c r="H2251" s="43" t="str">
        <x:v>문단 119</x:v>
      </x:c>
      <x:c r="I2251" s="46" t="str">
        <x:v>BOQ shall be provided the summary that shows the total cost summed up with costs of each discipline (architecture, civil, landscape, mechanical, electrical, IT, fire). Also, includes health and safety (0.5%) and contingency (2%).</x:v>
      </x:c>
      <x:c r="J2251" s="43" t="str">
        <x:v>자동추출·검토필요</x:v>
      </x:c>
    </x:row>
    <x:row r="2252">
      <x:c r="A2252" s="43" t="str">
        <x:v>L2023-00021-1</x:v>
      </x:c>
      <x:c r="B2252" s="43" t="str">
        <x:v>부가세·예비비</x:v>
      </x:c>
      <x:c r="C2252" s="46" t="str">
        <x:v>contingency</x:v>
      </x:c>
      <x:c r="D2252" s="46" t="str"/>
      <x:c r="E2252" s="46" t="str"/>
      <x:c r="F2252" s="46" t="str">
        <x:v>2%</x:v>
      </x:c>
      <x:c r="G2252" s="46" t="str">
        <x:v>L2023-00021-1/붙임3. 파라과이 멀티미디어센터_설계계약서 초안/3-2. Paraguay MULTI-MEDIA Center_Terms of Reference.docx</x:v>
      </x:c>
      <x:c r="H2252" s="43" t="str">
        <x:v>문단 121</x:v>
      </x:c>
      <x:c r="I2252" s="46" t="str">
        <x:v>Contingency fund shall be included in the BOQ and shall be 2% of total construction cost minus overhead such as profit and insurance.</x:v>
      </x:c>
      <x:c r="J2252" s="43" t="str">
        <x:v>자동추출·검토필요</x:v>
      </x:c>
    </x:row>
    <x:row r="2253">
      <x:c r="A2253" s="43" t="str">
        <x:v>L2023-00021-1</x:v>
      </x:c>
      <x:c r="B2253" s="43" t="str">
        <x:v>부가세·예비비</x:v>
      </x:c>
      <x:c r="C2253" s="46" t="str">
        <x:v>vat</x:v>
      </x:c>
      <x:c r="D2253" s="46" t="str"/>
      <x:c r="E2253" s="46" t="str">
        <x:v>USD 88,000</x:v>
      </x:c>
      <x:c r="F2253" s="46" t="str"/>
      <x:c r="G2253" s="46" t="str">
        <x:v>L2023-00021-1/붙임3. 파라과이 멀티미디어센터_설계계약서 초안/3-3. Paraguay MULTI-MEDIA Center_Bidding Guideline.docx</x:v>
      </x:c>
      <x:c r="H2253" s="43" t="str">
        <x:v>문단 39</x:v>
      </x:c>
      <x:c r="I2253" s="46" t="str">
        <x:v>1.3 Maximum Bidding Price : USD 88,000 (VAT excluded)</x:v>
      </x:c>
      <x:c r="J2253" s="43" t="str">
        <x:v>자동추출·검토필요</x:v>
      </x:c>
    </x:row>
    <x:row r="2254">
      <x:c r="A2254" s="43" t="str">
        <x:v>L2023-00019-1</x:v>
      </x:c>
      <x:c r="B2254" s="43" t="str">
        <x:v>부가세·예비비</x:v>
      </x:c>
      <x:c r="C2254" s="46" t="str">
        <x:v>vat, tax</x:v>
      </x:c>
      <x:c r="D2254" s="46" t="str"/>
      <x:c r="E2254" s="46" t="str">
        <x:v>USD 1,570,000 | USD 1,526,954</x:v>
      </x:c>
      <x:c r="F2254" s="46" t="str">
        <x:v>86.745%</x:v>
      </x:c>
      <x:c r="G2254" s="46" t="str">
        <x:v>L2023-00019-1/1. Section 2,3 (1)/Section 2 - Bid Data Sheet (BDS)_230411_rev..pdf</x:v>
      </x:c>
      <x:c r="H2254" s="43" t="str">
        <x:v>페이지 5</x:v>
      </x:c>
      <x:c r="I2254" s="46" t="str">
        <x:v>- Scheduled 12 Months from the start of construction(Construction 8M and O&amp;M 4M) Construction Period Until 13 months from the date of signing the Contract Duration (Shall start the construction within 30 days from the date of signing the Contract) Project Budget USD 1,570,000 (VAT and other related indirect taxes are not included) - Projected USD 1,526,954 (VAT and other related indirect taxes are not included) Estimated Price ○ Currency: United States Dollar (USD) ○ KOICA has no responsibility for any matters regarding taxes, including VAT. Tax collection and refund will be managed by the relevant laws and regulations in the Ministry of Agriculture and Fisheries (MAF) 2. Bid Type, Selection of the Successful Bidders (a) Bid Type : URGENT International Bidding, Open Competitive Bidding ○ Reason for urgent bidding: Pursuant to Article 35(4)(1)(ii) of National Contract Act, "in cases where it is necessary for the early execution of the budget due to the government's fiscal policy," urgent bidding will be carried out. (b) Selection of the Successful Bidders ○ Based upon bid prices which shall be below the Estimated Price but above the floor price of 86.745% of the Estimated Price, the</x:v>
      </x:c>
      <x:c r="J2254" s="43" t="str">
        <x:v>자동추출·검토필요</x:v>
      </x:c>
    </x:row>
    <x:row r="2255">
      <x:c r="A2255" s="43" t="str">
        <x:v>L2023-00019-1</x:v>
      </x:c>
      <x:c r="B2255" s="43" t="str">
        <x:v>부가세·예비비</x:v>
      </x:c>
      <x:c r="C2255" s="46" t="str">
        <x:v>tax, reserve</x:v>
      </x:c>
      <x:c r="D2255" s="46" t="str"/>
      <x:c r="E2255" s="46" t="str">
        <x:v>USD 150,000 | USD 300,000</x:v>
      </x:c>
      <x:c r="F2255" s="46" t="str"/>
      <x:c r="G2255" s="46" t="str">
        <x:v>L2023-00019-1/1. Section 2,3 (1)/Section 2 - Bid Data Sheet (BDS)_230411_rev..pdf</x:v>
      </x:c>
      <x:c r="H2255" s="43" t="str">
        <x:v>페이지 6</x:v>
      </x:c>
      <x:c r="I2255" s="46" t="str">
        <x:v>(c) Have the qualifications for business activity to be carried out at the project site ○ Bidder should have a valid business registration by the Government of Timor-Leste to perform construction works in Timor-Leste.  Latest/valid SERVE-Business Registration  Latest/valid SERVE-License of Construction Code Commercial Activity Authorized 410 CONSTRUCTION OF BUILDINGS (RESIDENCIAL AND NON RESIDENCIAL) 421 CONSTRUCTION OF ROADS AND RAILWAYS 422 CONSTRUCTION OF UTILITY PROJECTS  TAX Payment Certificate(2022) and/or TAX Record(2022) ※ In the case of non-registration as of the bid application deadline, the bid will be disqualified. (d) Have performed at least two (one Architecture + one Civil work) similar projects valued at not less than USD 150,000 in Architecture and not less than USD 300,000 in Civil works in completion within the last ten years from the date of Bidding announcement. ○ A similar project is defined as conducting construction works as a contractor in the field of civil infrastructure, such as roads and retaining walls, or building construction projects, such as agricultural collection centers, warehouses, schools, hospitals, and government offices. Geological surve</x:v>
      </x:c>
      <x:c r="J2255" s="43" t="str">
        <x:v>자동추출·검토필요</x:v>
      </x:c>
    </x:row>
    <x:row r="2256">
      <x:c r="A2256" s="43" t="str">
        <x:v>L2023-00019-1</x:v>
      </x:c>
      <x:c r="B2256" s="43" t="str">
        <x:v>부가세·예비비</x:v>
      </x:c>
      <x:c r="C2256" s="46" t="str">
        <x:v>tax</x:v>
      </x:c>
      <x:c r="D2256" s="46" t="str"/>
      <x:c r="E2256" s="46" t="str"/>
      <x:c r="F2256" s="46" t="str">
        <x:v>2.5%</x:v>
      </x:c>
      <x:c r="G2256" s="46" t="str">
        <x:v>L2023-00019-1/1. Section 2,3 (1)/Section 2 - Bid Data Sheet (BDS)_230411_rev..pdf</x:v>
      </x:c>
      <x:c r="H2256" s="43" t="str">
        <x:v>페이지 10</x:v>
      </x:c>
      <x:c r="I2256" s="46" t="str">
        <x:v>(ii) Submission of documents : 1 original hard copy as well as scanned copy to email : friend.koica@gmail.com ○ Each document must be provided in its original form.  If a copy is submitted instead of the original document, it must be verified or notarized by the employer or relevant institution.  Or alternatively, the bidder can present the original document in person to KOICA staff for verification, with a letter declaring that the copy is identical to the original. The original document will be promptly returned after verification. ○ All applicants/Bidders should submit documents either in English or notarized in English from the local language. ○ All documents should be submitted in the following order and clearly distinguished by section. Documents for Submission ① List of bid documents submitted ② Official letter from bidding companies - In case of joint venture, submitted by the representative company and the name of the joint supply companies must be written on the official letter ※ If bid document submitted by authorized representative of the company, he/she bring his/her ID card, if the representative is not the bidder himself/herself, bring the power of attorney, bidder</x:v>
      </x:c>
      <x:c r="J2256" s="43" t="str">
        <x:v>자동추출·검토필요</x:v>
      </x:c>
    </x:row>
    <x:row r="2257">
      <x:c r="A2257" s="43" t="str">
        <x:v>L2023-00019-1</x:v>
      </x:c>
      <x:c r="B2257" s="43" t="str">
        <x:v>부가세·예비비</x:v>
      </x:c>
      <x:c r="C2257" s="46" t="str">
        <x:v>vat, reserve</x:v>
      </x:c>
      <x:c r="D2257" s="46" t="str"/>
      <x:c r="E2257" s="46" t="str">
        <x:v>$ 150,000 | $ 300,000 | $ 150,000 | $ 300,000 | USD 2,000,000 | USD 1,200,000 | USD 130,000 | USD 91,000</x:v>
      </x:c>
      <x:c r="F2257" s="46" t="str">
        <x:v>60% | 70%</x:v>
      </x:c>
      <x:c r="G2257" s="46" t="str">
        <x:v>L2023-00019-1/1. Section 2,3 (1)/Section 2 - Bid Data Sheet (BDS)_230411_rev..pdf</x:v>
      </x:c>
      <x:c r="H2257" s="43" t="str">
        <x:v>페이지 15</x:v>
      </x:c>
      <x:c r="I2257" s="46" t="str">
        <x:v>Note 1) Construction experience in the relevant Construction limited to "Architecture (amount of $ 150,000 or more) and civil work (amount of $ 300,000 or more) ordered by the private, government, or aid project organizations," and the phrase must be clearly expressed in the performance certificate. Note 2) Performance Certificate should be attached for each project. - Attach construction performance verification certificate from Construction Association or if the association does not exist or issue a performance certificate, it can be replaced by performance verification documents confirmed by the employer. - Separate the performance of architecture and civil engineering fields. Note 3) Performance certificate must be submitted in English, and other languages must be translated and notarized. Note 4) If a copy, not the original, is submitted, the employer's confirmation signature must be added. It will not be recognized without verification from employer Note 5) Only the construction performance in the last 10 years from the bid announcement date is recognized, and subcontract performance is not recognized. Note 6) When submitting Experience, write down whether the Experiences was</x:v>
      </x:c>
      <x:c r="J2257" s="43" t="str">
        <x:v>자동추출·검토필요</x:v>
      </x:c>
    </x:row>
    <x:row r="2258">
      <x:c r="A2258" s="43" t="str">
        <x:v>L2023-00019-1</x:v>
      </x:c>
      <x:c r="B2258" s="43" t="str">
        <x:v>부가세·예비비</x:v>
      </x:c>
      <x:c r="C2258" s="46" t="str">
        <x:v>reserve</x:v>
      </x:c>
      <x:c r="D2258" s="46" t="str"/>
      <x:c r="E2258" s="46" t="str"/>
      <x:c r="F2258" s="46" t="str">
        <x:v>0.5%</x:v>
      </x:c>
      <x:c r="G2258" s="46" t="str">
        <x:v>L2023-00019-1/2. Section 1,7,8,9 (2)/Section 7 - General Conditions of Contract.docx</x:v>
      </x:c>
      <x:c r="H2258" s="43" t="str">
        <x:v>표 4 행 109</x:v>
      </x:c>
      <x:c r="I2258"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2258" s="43" t="str">
        <x:v>자동추출·검토필요</x:v>
      </x:c>
    </x:row>
    <x:row r="2259">
      <x:c r="A2259" s="43" t="str">
        <x:v>L2023-00019-1</x:v>
      </x:c>
      <x:c r="B2259" s="43" t="str">
        <x:v>부가세·예비비</x:v>
      </x:c>
      <x:c r="C2259" s="46" t="str">
        <x:v>reserve</x:v>
      </x:c>
      <x:c r="D2259" s="46" t="str"/>
      <x:c r="E2259" s="46" t="str"/>
      <x:c r="F2259" s="46" t="str">
        <x:v>50% | 50%</x:v>
      </x:c>
      <x:c r="G2259" s="46" t="str">
        <x:v>L2023-00019-1/2. Section 1,7,8,9 (2)/Section 7 - General Conditions of Contract.docx</x:v>
      </x:c>
      <x:c r="H2259" s="43" t="str">
        <x:v>표 12 행 61</x:v>
      </x:c>
      <x:c r="I2259"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259" s="43" t="str">
        <x:v>자동추출·검토필요</x:v>
      </x:c>
    </x:row>
    <x:row r="2260">
      <x:c r="A2260" s="43" t="str">
        <x:v>L2023-00019-1</x:v>
      </x:c>
      <x:c r="B2260" s="43" t="str">
        <x:v>부가세·예비비</x:v>
      </x:c>
      <x:c r="C2260" s="46" t="str">
        <x:v>contingency</x:v>
      </x:c>
      <x:c r="D2260" s="46" t="str"/>
      <x:c r="E2260" s="46" t="str"/>
      <x:c r="F2260" s="46" t="str">
        <x:v>0.5%</x:v>
      </x:c>
      <x:c r="G2260" s="46" t="str">
        <x:v>L2023-00019-1/3. KOICA Safty Mangement Manual/KOICA Safety Management Manual(ENG).pdf</x:v>
      </x:c>
      <x:c r="H2260" s="43" t="str">
        <x:v>페이지 14</x:v>
      </x:c>
      <x:c r="I2260" s="46" t="str">
        <x:v>4.1.3 KOICA should check that the bill of quantity (BoQ) consists of safety management costs (0.5% or more of the total construction costs, excluding non- contingency) as separate items. 5. Construction Procurement and Contracting 5.1 Provision of Information on Preparing Safety Management Plans 5.1.1 KOICA shall provide the following information for the contractor to formulate a safety management plan that reflects the distinctive features of the site conditions and the final design outcome: (1) Matters regarding the existence of asbestos or harmful substances such as chemical waste within the site; (2) Matters regarding access to the worksite such as railroads and busy roads adjacent to the site; (3) Matters regarding underground facilities and groundwater flows (4) Matters regarding adjacent buildings, structures, and trees that may cause a collapse; (5) Matters regarding land subsidence that may negatively affect structure; (6) Matters regarding obstacles or advantages for the installation of facilities or equipment within the site. 5.2 Review of Safety Management Plans 5.2.1 Review of Safety Management Plans (1) As for the safety management plan formulated by the contractor, K</x:v>
      </x:c>
      <x:c r="J2260" s="43" t="str">
        <x:v>자동추출·검토필요</x:v>
      </x:c>
    </x:row>
    <x:row r="2261">
      <x:c r="A2261" s="43" t="str">
        <x:v>L2023-00019-1</x:v>
      </x:c>
      <x:c r="B2261" s="43" t="str">
        <x:v>부가세·예비비</x:v>
      </x:c>
      <x:c r="C2261" s="46" t="str">
        <x:v>reserve</x:v>
      </x:c>
      <x:c r="D2261" s="46" t="str"/>
      <x:c r="E2261" s="46" t="str"/>
      <x:c r="F2261" s="46" t="str">
        <x:v>0.5%</x:v>
      </x:c>
      <x:c r="G2261" s="46" t="str">
        <x:v>L2023-00019-1/3. KOICA Safty Mangement Manual/KOICA Safety Management Manual(ENG).pdf</x:v>
      </x:c>
      <x:c r="H2261" s="43" t="str">
        <x:v>페이지 18</x:v>
      </x:c>
      <x:c r="I2261" s="46" t="str">
        <x:v>(1) Amount subject to safety management expenses: Amount excluding reserve funding from the total construction expenses (2) Calculation method: Amount subject to safety management expenses x 0.5% or more (2) Payment of safety management expenses: The contractor shall file a claim for payment of safety management expenses to KOICA along with a confirmation as to the proper disbursement of the safety management expenses to match the purpose prescribed under the safety management plan made by the construction manager. 6. Construction 6.1 Verifying Observance of Safety Management Plans 6.1.1 KOICA shall verify the contractor’s proper performance of the safety management plan. However, if construction project management, similar to consigned supervision, is being implemented, KOICA may allow the construction manager to verify the performance of the safety management plan and file a report on their own. 6.1.2 If there are any issues pointed out by the review of the safety management plan under the immediately preceding paragraph, KOICA shall review said issues and request the contractor make corrections, if necessary. 6.2 Verifying Disbursement of Safety Management Expenses 6.2.1 KOICA s</x:v>
      </x:c>
      <x:c r="J2261" s="43" t="str">
        <x:v>자동추출·검토필요</x:v>
      </x:c>
    </x:row>
    <x:row r="2262">
      <x:c r="A2262" s="43" t="str">
        <x:v>L2023-00019-1</x:v>
      </x:c>
      <x:c r="B2262" s="43" t="str">
        <x:v>부가세·예비비</x:v>
      </x:c>
      <x:c r="C2262" s="46" t="str">
        <x:v>vat, reserve</x:v>
      </x:c>
      <x:c r="D2262" s="46" t="str"/>
      <x:c r="E2262" s="46" t="str"/>
      <x:c r="F2262" s="46" t="str">
        <x:v>0.5%</x:v>
      </x:c>
      <x:c r="G2262" s="46" t="str">
        <x:v>L2023-00019-1/3. KOICA Safty Mangement Manual/KOICA Safety Management Manual(ENG).pdf</x:v>
      </x:c>
      <x:c r="H2262" s="43" t="str">
        <x:v>페이지 28</x:v>
      </x:c>
      <x:c r="I2262" s="46" t="str">
        <x:v>D. Steel structure works - An overview of materials, equipment, etc.; and detailed shop drawings; - The procedures and precautions for safe construction; - A safety inspection plan and a safety inspection checklist; - A calculation sheet for the safety of steel structures. E. Earth filling and cutting works (including earth dam works) - An overview of materials, equipment, etc.; and detailed shop drawings; - The procedures and precautions for safe construction; - A safety inspection plan and a safety inspection checklist; - A calculation sheet for safety. F. Demolition works - An overview of structures to be demolished, demolition methods, etc.; and detailed shop drawings; - A plan on the order of demolition, and on facilities and measures for safety, etc. G. Mechanical and electrical works: - An overview of materials, equipment, etc.; and detailed shop drawings; - The procedures and precautions for safe construction; - A safety inspection plan and a safety inspection checklist; - A calculation sheet for safety. 1.4 Creation of Safety Management Expense Spending Plans 1.4.1 The contractor shall make a spending plan for safety management expenses by adding expenses incurred in formu</x:v>
      </x:c>
      <x:c r="J2262" s="43" t="str">
        <x:v>자동추출·검토필요</x:v>
      </x:c>
    </x:row>
    <x:row r="2263">
      <x:c r="A2263" s="43" t="str">
        <x:v>L2023-00019-1</x:v>
      </x:c>
      <x:c r="B2263" s="43" t="str">
        <x:v>부가세·예비비</x:v>
      </x:c>
      <x:c r="C2263" s="46" t="str">
        <x:v>예비비</x:v>
      </x:c>
      <x:c r="D2263" s="46" t="str"/>
      <x:c r="E2263" s="46" t="str"/>
      <x:c r="F2263" s="46" t="str">
        <x:v>0.5%</x:v>
      </x:c>
      <x:c r="G2263" s="46" t="str">
        <x:v>L2023-00019-1/3. KOICA Safty Mangement Manual/KOICA_░╟╝│░°╗τ ╛╚└ⁿ░ⁿ╕«╛≈╣½ ╕┼┤║╛≤(▒╣╣«).pdf</x:v>
      </x:c>
      <x:c r="H2263" s="43" t="str">
        <x:v>페이지 15</x:v>
      </x:c>
      <x:c r="I2263" s="46" t="str">
        <x:v>함된 문서가 있는 지를 확인하고 시공자에게 전달하기 위해 정리 하여야 한다. (1) 설계과정 중에 도출한 건설안전 위험요소(Hazard) 및 위험성 (Risk) (2) 설계에 가정된 각종 시공법과 절차에 관한 사항 (3) 지반조사보고서(수원국에 의해 시행되었거나 자체 시행한 경 우 모두 해당) 4.1.2 KOICA 는 최종 설계 성과품이 설계서(과업지시서)의 설계조건을 충족하지 못한 경우에는 설계자로 하여금 수정․보완토록 하여야 한다. 4.1.3 KOICA 는 설계도서 내역서에 안전관리비(예비비를 제외한 총공 사비의 0.5%이상)가 별도로 계상되어있는지 확인하여야 한다. 5.1 안전관리계획서 작성을 위한 정보 제공 5.1.1 KOICA 는 용지조건의 특수성과 최종 설계 성과품을 반영하여 시 공자가 안전관리계획서를 작성하도록 다음과 같은 정보를 제공하 여야 한다. (1) 용지 내에 석면이나 화학폐기물과 같은 유해물질 존재여부에 관한 사항 (2) 용지 근처의 철길이나 혼잡한 인접도로 등과 같은 현장 접근 에 관한 사항 (3) 지하 매설물과 지하수 흐름에 관한 사항 (4) 붕괴를 유발할 수 있는 인접건물, 구조물 및 식수현황에 관 한 사항 (5) 구조물에 부정적 영향을 끼칠 수 있는 지반침하에 관한 사항 (6) 용지 내 설비나 장비설치의 난이점에 관한 사항 －10－</x:v>
      </x:c>
      <x:c r="J2263" s="43" t="str">
        <x:v>자동추출·검토필요</x:v>
      </x:c>
    </x:row>
    <x:row r="2264">
      <x:c r="A2264" s="43" t="str">
        <x:v>L2023-00019-1</x:v>
      </x:c>
      <x:c r="B2264" s="43" t="str">
        <x:v>부가세·예비비</x:v>
      </x:c>
      <x:c r="C2264" s="46" t="str">
        <x:v>예비비</x:v>
      </x:c>
      <x:c r="D2264" s="46" t="str"/>
      <x:c r="E2264" s="46" t="str"/>
      <x:c r="F2264" s="46" t="str">
        <x:v>0.5%</x:v>
      </x:c>
      <x:c r="G2264" s="46" t="str">
        <x:v>L2023-00019-1/3. KOICA Safty Mangement Manual/KOICA_░╟╝│░°╗τ ╛╚└ⁿ░ⁿ╕«╛≈╣½ ╕┼┤║╛≤(▒╣╣«).pdf</x:v>
      </x:c>
      <x:c r="H2264" s="43" t="str">
        <x:v>페이지 19</x:v>
      </x:c>
      <x:c r="I2264" s="46" t="str">
        <x:v>용범위는 안전관리계획서 작성 및 검토비용, 공사현장의 안전점 검비용, 공사장 주변 안전관리 비용, 통행안전 및 교통소통 대책 비용, 시공 중 근로자의 산업재해 및 건강 장해 예방, 기타 안전 관리를 위해 시공자가 본 목적에 국한하여 사용하는 비용이다. 5.3.2 KOICA 는 안전관리비를 공사금액에 계상하는 경우에는 다음 기 준에 의하여야 한다. (1) 안전관리비 대상액: 총 공사비 중 예비비 제외 금액 (2) 계상방법: 안전관리비 대상액 × 0.5% 이상 (3) 안전관리비의 지급 : 시공자는 안전관리비가 안전관리계획서 에 기재한 목적에 맞게 사용되었는지 건설사업관리자의 확인 서를 첨부하여 KOICA에 청구하여야 한다. 6. 공사시행 6.1 안전관리계획서 이행여부 확인 6.1.1 KOICA 는 시공자가 착공서류에 안전·환경 및 품질관리계획을 제 대로 작성하여 제출하였는지 확인하여야 한다. 다만, 해당 건설공 사에 감독권한 대행 등 건설사업관리를 시행하는 경우에는 건설 사업관리기술자로 하여금 안전관리계획의 착공서류 포함 여부를 확인하여 보고하도록 할 수 있다. 6.1.2 전 항에 따라 안전관리계획을 검토하여 지적사항(건설사업관리기 술자가 보고한 안전관리계획 이행에 대한 지적사항을 말한다)이 있는 경우에는 KOICA는 해당 사항을 검토하여 필요한 경우 시 공자에게 시정하도록 하여야 한다. 6.2 안전관리비의 집행확인 6.2.1 KOICA 는 안전관리비가 사용기준에 맞게 사용되었는지 확인하여 야 한다. 다만, 해당 건설공사에 감독권한 대행 등 건설사업관리 를 시행하는 경우에는 건설사업관리기술자로 하여금 안전관리 활 －14－</x:v>
      </x:c>
      <x:c r="J2264" s="43" t="str">
        <x:v>자동추출·검토필요</x:v>
      </x:c>
    </x:row>
    <x:row r="2265">
      <x:c r="A2265" s="43" t="str">
        <x:v>L2023-00019-1</x:v>
      </x:c>
      <x:c r="B2265" s="43" t="str">
        <x:v>부가세·예비비</x:v>
      </x:c>
      <x:c r="C2265" s="46" t="str">
        <x:v>예비비</x:v>
      </x:c>
      <x:c r="D2265" s="46" t="str"/>
      <x:c r="E2265" s="46" t="str"/>
      <x:c r="F2265" s="46" t="str">
        <x:v>0.5%</x:v>
      </x:c>
      <x:c r="G2265" s="46" t="str">
        <x:v>L2023-00019-1/3. KOICA Safty Mangement Manual/KOICA_░╟╝│░°╗τ ╛╚└ⁿ░ⁿ╕«╛≈╣½ ╕┼┤║╛≤(▒╣╣«).pdf</x:v>
      </x:c>
      <x:c r="H2265" s="43" t="str">
        <x:v>페이지 30</x:v>
      </x:c>
      <x:c r="I2265" s="46" t="str">
        <x:v>- 안전점검계획표 및 안전점검표 - 강구조물의 안전성 계산서 마. 성토 및 절토공사(흙댐공사를 포함한다) - 자재·장비 등의 개요 및 시공상세도면 - 안전시공 절차 및 주의사항 - 안전점검계획표 및 안전점검표 - 안전성계산서 바. 해체공사 - 구조물해체의 대상·공법 등의 개요 및 시공상세도면 - 해체순서, 안전시설 및 안전조치 등에 대한 계획 사. 건축설비공사 - 자재·장비 등의 개요 및 시공상세도면 - 안전시공 절차 및 주의사항 - 안전점검계획표 및 안전점검표 - 안전성 계산서 1.4 안전관리비 집행계획 작성 1.4.1 시공자는「건설기술 진흥법」제63조 및 같은 법 시행규칙 제60 조, 「산업안전보건법」 제30조 에 따라 안전관리계획서 작성 및 검토비용, 공사현장의 안전점검비용, 공사장 주변 안전관리 비용, 통행안전 및 교통소통 대책비용, 시공 중 근로자의 산업재해 및 건강 장해 예방을 목적으로 시공자가 본 목적에 국한하여 사용하 는 비용등을 공사금액에 계상하여 안전관리비 집행계획서를 작성 하여야 한다. (1) 안전관리비 대상액: 총 공사비 중 예비비 제외 금액 (2) 계상방법: 안전관리비 대상액 × 0.5% 이상 (3) 안전관리비의 계상액 및 집행계획서는 건설사업관리기술자의 확인서를 첨부하여 건설공사 착공하기 전에 KOICA에게 제 출하여야 한다. －25－</x:v>
      </x:c>
      <x:c r="J2265" s="43" t="str">
        <x:v>자동추출·검토필요</x:v>
      </x:c>
    </x:row>
    <x:row r="2266">
      <x:c r="A2266" s="43" t="str">
        <x:v>L2023-00019-1</x:v>
      </x:c>
      <x:c r="B2266" s="43" t="str">
        <x:v>부가세·예비비</x:v>
      </x:c>
      <x:c r="C2266" s="46" t="str">
        <x:v>vat</x:v>
      </x:c>
      <x:c r="D2266" s="46" t="str"/>
      <x:c r="E2266" s="46" t="str">
        <x:v>KRW 420 billion</x:v>
      </x:c>
      <x:c r="F2266" s="46" t="str"/>
      <x:c r="G2266" s="46" t="str">
        <x:v>L2023-00019-1/4. KOICA Regulations and Guidelines (1)/Detailed Enforcement Rules of the Regulations for Procurement and Contract in Grant Aid Projects(┤δ┐▄╣½╗≤╟∙╖┬╗τ╛≈┐í ░ⁿ╟╤ ┴╢┤▐ ╣╫ ░Φ╛α▒╘┴ñ ╜├╟α╝╝─ó)_20190503.pdf</x:v>
      </x:c>
      <x:c r="H2266" s="43" t="str">
        <x:v>페이지 61</x:v>
      </x:c>
      <x:c r="I2266"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2266" s="43" t="str">
        <x:v>자동추출·검토필요</x:v>
      </x:c>
    </x:row>
    <x:row r="2267">
      <x:c r="A2267" s="43" t="str">
        <x:v>L2023-00019-1</x:v>
      </x:c>
      <x:c r="B2267" s="43" t="str">
        <x:v>부가세·예비비</x:v>
      </x:c>
      <x:c r="C2267" s="46" t="str">
        <x:v>tax</x:v>
      </x:c>
      <x:c r="D2267" s="46" t="str"/>
      <x:c r="E2267" s="46" t="str"/>
      <x:c r="F2267" s="46" t="str">
        <x:v>50%</x:v>
      </x:c>
      <x:c r="G2267" s="46" t="str">
        <x:v>L2023-00019-1/4. KOICA Regulations and Guidelines (1)/Detailed Enforcement Rules of the Regulations for Procurement and Contract in Grant Aid Projects(┤δ┐▄╣½╗≤╟∙╖┬╗τ╛≈┐í ░ⁿ╟╤ ┴╢┤▐ ╣╫ ░Φ╛α▒╘┴ñ ╜├╟α╝╝─ó)_20190503.pdf</x:v>
      </x:c>
      <x:c r="H2267" s="43" t="str">
        <x:v>페이지 90</x:v>
      </x:c>
      <x:c r="I2267" s="46" t="str">
        <x:v>[Form 8] Public Notice of a Tender Public Notice of a Tender The Korea International Cooperation Agency (KOICA) is an affiliate of the Ministry of Foreign Affairs and Trade in charge of the Grant Aid Project. As part of an economic cooperation project with developing countries, KOICA announces the following tenders to select (procure) (name of services or goods) for this (name of a project). 1. Public notice of a tender number: 2. Matters to be placed in the tender ① Name of the tendering: ② Details: Scope of services / Details of procured goods, etc. ※Refer to the appendix for details ③ Contract period: ④ Base Amount (estimated amount): (“zero” tax rate) 3. How to tender: General competitive tendering, limited competitive tendering 4. How to determine a successful tenderer: Lowest tender below Expected Maximum Price / Contract by negotiation/ Tendering in two-step competition 5. Qualification for participating in tendering: Those who have registered as KOICA's procurement partners. However, new companies shall register as procurement partners and participate in the tendering by the deadline for registration of tenders (registration of new companies is determined after reviewing re</x:v>
      </x:c>
      <x:c r="J2267" s="43" t="str">
        <x:v>자동추출·검토필요</x:v>
      </x:c>
    </x:row>
    <x:row r="2268">
      <x:c r="A2268" s="43" t="str">
        <x:v>L2023-00019-1</x:v>
      </x:c>
      <x:c r="B2268" s="43" t="str">
        <x:v>부가세·예비비</x:v>
      </x:c>
      <x:c r="C2268" s="46" t="str">
        <x:v>vat</x:v>
      </x:c>
      <x:c r="D2268" s="46" t="str"/>
      <x:c r="E2268" s="46" t="str">
        <x:v>KRW 10 billion</x:v>
      </x:c>
      <x:c r="F2268" s="46" t="str"/>
      <x:c r="G2268" s="46" t="str">
        <x:v>L2023-00019-1/4. KOICA Regulations and Guidelines (1)/Detailed Enforcement Rules of the Regulations for Procurement and Contract in Grant Aid Projects(┤δ┐▄╣½╗≤╟∙╖┬╗τ╛≈┐í ░ⁿ╟╤ ┴╢┤▐ ╣╫ ░Φ╛α▒╘┴ñ ╜├╟α╝╝─ó)_20190503.pdf</x:v>
      </x:c>
      <x:c r="H2268" s="43" t="str">
        <x:v>페이지 94</x:v>
      </x:c>
      <x:c r="I2268" s="46" t="str">
        <x:v>Company Phone Number Company Name of No. Registration Participants Signature Name Representative Fax Number Number 1 2 3 4 5 Each of the above participants confirmed that the conditions for the above tendering have been amended as described above during at the time of the tendering presentation session; and each affirms that he/she fully understands the details of tendering-related matters such as instructions to tenderers, a request for proposal, and specifications are fully understood. Korea International Cooperation Agency [Form 12] Tender (Negotiation) Documents &lt;Amended on Jul. 20, 2017, Feb. 28, 2018&gt; Tender (Negotiation) Documents To Korea International Cooperation Agency Tender (Negotiation) Date and Time: . . . : I submit tender documents based upon the (international) construction, ((international) purchase of goods, (international) services)) tender instructions for the goods, construction, and service pursuant to the Detailed Enforcement Rules of the Regulations for Procurement and Contract in Grant Aid Projects with Public Notice of a Tender Number__. If this tender is accepted by your institution, I submit a tender proposal, affirming that the construction (goods, ser</x:v>
      </x:c>
      <x:c r="J2268" s="43" t="str">
        <x:v>자동추출·검토필요</x:v>
      </x:c>
    </x:row>
    <x:row r="2269">
      <x:c r="A2269" s="43" t="str">
        <x:v>L2023-00019-1</x:v>
      </x:c>
      <x:c r="B2269" s="43" t="str">
        <x:v>부가세·예비비</x:v>
      </x:c>
      <x:c r="C2269" s="46" t="str">
        <x:v>vat</x:v>
      </x:c>
      <x:c r="D2269" s="46" t="str"/>
      <x:c r="E2269" s="46" t="str">
        <x:v>KRW 2 billion</x:v>
      </x:c>
      <x:c r="F2269" s="46" t="str"/>
      <x:c r="G2269" s="46" t="str">
        <x:v>L2023-00019-1/4. KOICA Regulations and Guidelines (1)/Guidelines for Technical Evaluation(▒Γ╝·╞≥░í┴÷─º)_20210408.pdf</x:v>
      </x:c>
      <x:c r="H2269" s="43" t="str">
        <x:v>페이지 13</x:v>
      </x:c>
      <x:c r="I2269"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2269" s="43" t="str">
        <x:v>자동추출·검토필요</x:v>
      </x:c>
    </x:row>
    <x:row r="2270">
      <x:c r="A2270" s="43" t="str">
        <x:v>L2023-00019-1</x:v>
      </x:c>
      <x:c r="B2270" s="43" t="str">
        <x:v>부가세·예비비</x:v>
      </x:c>
      <x:c r="C2270" s="46" t="str">
        <x:v>vat</x:v>
      </x:c>
      <x:c r="D2270" s="46" t="str"/>
      <x:c r="E2270" s="46" t="str">
        <x:v>KRW 2 billion</x:v>
      </x:c>
      <x:c r="F2270" s="46" t="str"/>
      <x:c r="G2270" s="46" t="str">
        <x:v>L2023-00019-1/4. KOICA Regulations and Guidelines (1)/Guidelines for Technical Evaluation(▒Γ╝·╞≥░í┴÷─º)_20210408.pdf</x:v>
      </x:c>
      <x:c r="H2270" s="43" t="str">
        <x:v>페이지 33</x:v>
      </x:c>
      <x:c r="I2270"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2270" s="43" t="str">
        <x:v>자동추출·검토필요</x:v>
      </x:c>
    </x:row>
    <x:row r="2271">
      <x:c r="A2271" s="43" t="str">
        <x:v>L2023-00019-1</x:v>
      </x:c>
      <x:c r="B2271" s="43" t="str">
        <x:v>부가세·예비비</x:v>
      </x:c>
      <x:c r="C2271" s="46" t="str">
        <x:v>vat</x:v>
      </x:c>
      <x:c r="D2271" s="46" t="str"/>
      <x:c r="E2271" s="46" t="str"/>
      <x:c r="F2271" s="46" t="str">
        <x:v>20% | 20% | 20% | 20% | 20%</x:v>
      </x:c>
      <x:c r="G2271" s="46" t="str">
        <x:v>L2023-00019-1/4. KOICA Regulations and Guidelines (1)/Guidelines for Technical Evaluation(▒Γ╝·╞≥░í┴÷─º)_20210408.pdf</x:v>
      </x:c>
      <x:c r="H2271" s="43" t="str">
        <x:v>페이지 41</x:v>
      </x:c>
      <x:c r="I2271" s="46" t="str">
        <x:v>[Table 4] Evaluation Table for Adding or Deducting Points &lt;Amended on Apr. 29, 2020&gt; Evaluation Table for Adding or Deducting Points Category Item and Ground Points A. Companies with no contracting track record with KOICA (if the 0.5 investment share rate or share ratio is at least 20%) (Maximum 0.5) B. Supporting medium, small, or micro-enterprises (if the investment share rate or share ratio is at least 20%) (1) Companies that have been designated as an innovative (venture, 0.5 technological innovation, management innovation, exceptional green business) small or medium-sized business by the Minister of SMEs and Startups (or delegate) (2) Others designated as medium, small, or micro-enterprises 0.25 C. Supporting female-owned businesses and promoting gender equality in employment (if the investment share rate or share ratio is at least 20%) (1) Female-owned businesses that have been defined in the Act on 0.2 Support for Female-owned Businesses and the enforcement decree of the same Act and have been issued a confirmation letter by the Minister of SMEs and Startups (including a delegate) (2) Companies that have been designated as a company with exceptional 0.25 gender equality in e</x:v>
      </x:c>
      <x:c r="J2271" s="43" t="str">
        <x:v>자동추출·검토필요</x:v>
      </x:c>
    </x:row>
    <x:row r="2272">
      <x:c r="A2272" s="43" t="str">
        <x:v>L2023-00019-1</x:v>
      </x:c>
      <x:c r="B2272" s="43" t="str">
        <x:v>부가세·예비비</x:v>
      </x:c>
      <x:c r="C2272" s="46" t="str">
        <x:v>vat</x:v>
      </x:c>
      <x:c r="D2272" s="46" t="str"/>
      <x:c r="E2272" s="46" t="str"/>
      <x:c r="F2272" s="46" t="str">
        <x:v>20% | 20%</x:v>
      </x:c>
      <x:c r="G2272" s="46" t="str">
        <x:v>L2023-00019-1/4. KOICA Regulations and Guidelines (1)/Guidelines for Technical Evaluation(▒Γ╝·╞≥░í┴÷─º)_20210408.pdf</x:v>
      </x:c>
      <x:c r="H2272" s="43" t="str">
        <x:v>페이지 43</x:v>
      </x:c>
      <x:c r="I2272" s="46" t="str">
        <x:v>1. Evaluation on “A (Companies with no contracting track record with KOICA)” (a) Based upon the date of tender notice, regardless of the project type such as research service, evaluation service, fellowship program, public-private partnership program, only companies with no contracting track record are evaluated. (b) For a contracting consortium, it is evaluated only when the investment share rate (or share ratio) is at least 20%. A maximum of 0.5 points is awarded regardless of the number of members. 2. Evaluation on “B (Supporting medium, small, or micro-enterprises)” (a) Medium, small, or micro-enterprises that have been issued a confirmation letter by the Minister of SMEs and Startups (or delegate) are evaluated when all relevant documents are submitted. In this case, evaluation is limited to those falling within the validity period based on the date of public notice of the tender, but if the validity period is not determined, evaluation is limited to those received within the two years since the day before the date of public notice of the tender. (b) In the case of competition between owners of medium or small enterprises, additional points are not awarded for small and medium</x:v>
      </x:c>
      <x:c r="J2272" s="43" t="str">
        <x:v>자동추출·검토필요</x:v>
      </x:c>
    </x:row>
    <x:row r="2273">
      <x:c r="A2273" s="43" t="str">
        <x:v>L2023-00019-1</x:v>
      </x:c>
      <x:c r="B2273" s="43" t="str">
        <x:v>부가세·예비비</x:v>
      </x:c>
      <x:c r="C2273" s="46" t="str">
        <x:v>tax</x:v>
      </x:c>
      <x:c r="D2273" s="46" t="str"/>
      <x:c r="E2273" s="46" t="str"/>
      <x:c r="F2273" s="46" t="str">
        <x:v>50% | 50%</x:v>
      </x:c>
      <x:c r="G2273" s="46" t="str">
        <x:v>L2023-00019-1/4. KOICA Regulations and Guidelines (1)/KOICA Regulations for International Procurement(▒╣┴ª┴╢┤▐▒╘┴ñ)_20190304.pdf</x:v>
      </x:c>
      <x:c r="H2273" s="43" t="str">
        <x:v>페이지 4</x:v>
      </x:c>
      <x:c r="I2273" s="46" t="str">
        <x:v>Tenders and the procedures prescribed in Section II of these Regulations shall apply. However, in accordance with Article 1(2) of these Regulations, KOICA may delegate or entrust its International Procurement duties related to the relevant Project to a KOICA Trustee; provided that such delegation or entrustment is recorded in writing. (3) For International Tenders, KOICA HQ shall be the Employer and the procedures prescribed in Section III of these Regulations shall apply. (4) Use of the procurement system of a Recipient Country shall be at the discretion of KOICA and the procedures prescribed in Section IV of these Regulations shall apply. Article 5 Eligibility (1) The Employer, the Bidder, and the Contracting Party must adhere to the highest standards of ethics in connection with tenders for and contracts of International Procurement. Accordingly, (a) if a selected Bidder is found to have been fraudulent or deceitful during the competitive bid process, the Employer shall be entitled to cancel such selection; and (b) if a Bidder or a Contracting Party is found to have been fraudulent or deceitful during a separate tender process or contracting process conducted by the Employer, KO</x:v>
      </x:c>
      <x:c r="J2273" s="43" t="str">
        <x:v>자동추출·검토필요</x:v>
      </x:c>
    </x:row>
    <x:row r="2274">
      <x:c r="A2274" s="43" t="str">
        <x:v>L2023-00019-1</x:v>
      </x:c>
      <x:c r="B2274" s="43" t="str">
        <x:v>부가세·예비비</x:v>
      </x:c>
      <x:c r="C2274" s="46" t="str">
        <x:v>vat</x:v>
      </x:c>
      <x:c r="D2274" s="46" t="str"/>
      <x:c r="E2274" s="46" t="str">
        <x:v>KRW 100 million | KRW 100 million | KRW 50 million</x:v>
      </x:c>
      <x:c r="F2274" s="46" t="str"/>
      <x:c r="G2274" s="46" t="str">
        <x:v>L2023-00019-1/4. KOICA Regulations and Guidelines (1)/Regulations for Procurement and Contract in Grant Aid Projects(┤δ┐▄╣½╗≤╟∙╖┬╗τ╛≈┐í ░ⁿ╟╤ ┴╢┤▐ ╣╫ ░Φ╛α▒╘┴ñ)_20190520.pdf</x:v>
      </x:c>
      <x:c r="H2274" s="43" t="str">
        <x:v>페이지 15</x:v>
      </x:c>
      <x:c r="I2274" s="46" t="str">
        <x:v>works with an estimated price of KRW 100 million or less under other construction- related laws and regulations; manufacturing goods with an estimated price of KRW 100 million or less; &lt;Amended on Jan. 13, 2009&gt; 3. Contracts other than a contract for construction or manufacturing, or leases or rentals of goods, with an estimated price of KRW 50 million or less; &lt;Amended on Jan. 13, 2009&gt; 4. Products certified under Article 15 of the Industrial Standardization Act or standard products of excellent organizations under Article 25 of the same Act; &lt;Amended on Jan. 13, 2009, May 20, 2019&gt; 5. In a case of manufacture or purchase products conforming to the standards under Article 33 of the Act on the Promotion of Saving and Recycling of Resources; recycled products that have obtained quality certification pursuant to Article 17 (1) 3 of the Enforcement Decree of the Industrial Technology Innovation Promotion Act; products that have certified as eligible for the Environment Mark pursuant to Article 17 of the Environmental Technology and Industry Support Act; &lt;Amended on Jan. 13, 2009, Nov. 2, 2015, May 20, 2019&gt; 6. When manufacturing or purchasing goods designated or announced by the Minis</x:v>
      </x:c>
      <x:c r="J2274" s="43" t="str">
        <x:v>자동추출·검토필요</x:v>
      </x:c>
    </x:row>
    <x:row r="2275">
      <x:c r="A2275" s="43" t="str">
        <x:v>L2023-00019-1</x:v>
      </x:c>
      <x:c r="B2275" s="43" t="str">
        <x:v>부가세·예비비</x:v>
      </x:c>
      <x:c r="C2275" s="46" t="str">
        <x:v>reserve</x:v>
      </x:c>
      <x:c r="D2275" s="46" t="str"/>
      <x:c r="E2275" s="46" t="str">
        <x:v>USD 100,000.</x:v>
      </x:c>
      <x:c r="F2275" s="46" t="str">
        <x:v>200% | 200%</x:v>
      </x:c>
      <x:c r="G2275" s="46" t="str">
        <x:v>L2023-00019-1/4. KOICA Regulations and Guidelines (1)/Standard of Prequalification Criteria(└╘┬√┬ⁿ░í└┌░▌╗τ└ⁿ╜╔╗τ▒Γ┴╪)_20130116.pdf</x:v>
      </x:c>
      <x:c r="H2275" s="43" t="str">
        <x:v>페이지 16</x:v>
      </x:c>
      <x:c r="I2275" s="46" t="str">
        <x:v>입찰참가자격 사전심사 기준 STANDARD OF PREQUALIFICATION CRITERIA of contracts for each tender. (e.g.) The debt ratio shall be not more than 200%, or the current ratio shall be at least 200%. 3) The capabilities to mobilize at least a certain amount of cash may be assessed based on the average balance in the relevant company's accounts in its principal transaction bank, cash reserves as at a certain time (e.g. as at the date of public notice for the tender), etc., and detailed eligibility criteria (period of owning the balance, the average balance, cash reserves, etc.) shall be set up by the official in charge of contracts for each tender. (e.g.) The cash reserves in its accounts of the principal transaction bank as of the base date for examination (date of public notice for the tender) shall be at least USD100,000. * In cases of joint implementation, only the representative may be examined. ② Average annual construction performance 1) Depending on tenders, the period for construction performance may be determined by the official in charge of contracts, but he/she shall be careful not to set an unduly short period as such period (A period of at least five years is desirable). 2) Depending on te</x:v>
      </x:c>
      <x:c r="J2275" s="43" t="str">
        <x:v>자동추출·검토필요</x:v>
      </x:c>
    </x:row>
    <x:row r="2276">
      <x:c r="A2276" s="43" t="str">
        <x:v>L2023-00015-1</x:v>
      </x:c>
      <x:c r="B2276" s="43" t="str">
        <x:v>부가세·예비비</x:v>
      </x:c>
      <x:c r="C2276" s="46" t="str">
        <x:v>vat</x:v>
      </x:c>
      <x:c r="D2276" s="46" t="str"/>
      <x:c r="E2276" s="46" t="str">
        <x:v>USD 120,000</x:v>
      </x:c>
      <x:c r="F2276" s="46" t="str"/>
      <x:c r="G2276" s="46" t="str">
        <x:v>L2023-00015-1/붙임 3. 입찰 관련 부속서류 일체/20230320_Section 2 - Bid Data Sheet (BDS).docx</x:v>
      </x:c>
      <x:c r="H2276" s="43" t="str">
        <x:v>표 2 행 9</x:v>
      </x:c>
      <x:c r="I2276" s="46" t="str">
        <x:v>- Max bidding price | USD 120,000 (Be inclusive of VAT)</x:v>
      </x:c>
      <x:c r="J2276" s="43" t="str">
        <x:v>자동추출·검토필요</x:v>
      </x:c>
    </x:row>
    <x:row r="2277">
      <x:c r="A2277" s="43" t="str">
        <x:v>L2023-00012-1</x:v>
      </x:c>
      <x:c r="B2277" s="43" t="str">
        <x:v>부가세·예비비</x:v>
      </x:c>
      <x:c r="C2277" s="46" t="str">
        <x:v>예비비</x:v>
      </x:c>
      <x:c r="D2277" s="46" t="str"/>
      <x:c r="E2277" s="46" t="str"/>
      <x:c r="F2277" s="46" t="str">
        <x:v>0.5% | 2%</x:v>
      </x:c>
      <x:c r="G2277" s="46" t="str">
        <x:v>L2023-00012-1/붙임 2. (국문) 입찰 계획서.hwp</x:v>
      </x:c>
      <x:c r="H2277" s="43" t="str">
        <x:v>문단 100</x:v>
      </x:c>
      <x:c r="I2277" s="46" t="str">
        <x:v>＊안전관리비 0.5%, 예비비 2% 포함</x:v>
      </x:c>
      <x:c r="J2277" s="43" t="str">
        <x:v>자동추출·검토필요</x:v>
      </x:c>
    </x:row>
    <x:row r="2278">
      <x:c r="A2278" s="43" t="str">
        <x:v>L2023-00012-1</x:v>
      </x:c>
      <x:c r="B2278" s="43" t="str">
        <x:v>부가세·예비비</x:v>
      </x:c>
      <x:c r="C2278" s="46" t="str">
        <x:v>예비비</x:v>
      </x:c>
      <x:c r="D2278" s="46" t="str"/>
      <x:c r="E2278" s="46" t="str"/>
      <x:c r="F2278" s="46" t="str">
        <x:v>0.5%</x:v>
      </x:c>
      <x:c r="G2278" s="46" t="str">
        <x:v>L2023-00012-1/붙임 2. (국문) 입찰 계획서.hwp</x:v>
      </x:c>
      <x:c r="H2278" s="43" t="str">
        <x:v>문단 223</x:v>
      </x:c>
      <x:c r="I2278" s="46" t="str">
        <x:v>- 총공사비 중 예비비 제외 금액 × 0.5% 이상을 고정투찰</x:v>
      </x:c>
      <x:c r="J2278" s="43" t="str">
        <x:v>자동추출·검토필요</x:v>
      </x:c>
    </x:row>
    <x:row r="2279">
      <x:c r="A2279" s="43" t="str">
        <x:v>L2023-00012-1</x:v>
      </x:c>
      <x:c r="B2279" s="43" t="str">
        <x:v>부가세·예비비</x:v>
      </x:c>
      <x:c r="C2279" s="46" t="str">
        <x:v>vat, tax</x:v>
      </x:c>
      <x:c r="D2279" s="46" t="str"/>
      <x:c r="E2279" s="46" t="str">
        <x:v>USD 1,950,367.59</x:v>
      </x:c>
      <x:c r="F2279" s="46" t="str"/>
      <x:c r="G2279" s="46" t="str">
        <x:v>L2023-00012-1/붙임 3. 부속서류 일체/Section 2 - Bid Data Sheet (BDS).docx</x:v>
      </x:c>
      <x:c r="H2279" s="43" t="str">
        <x:v>표 2 행 11</x:v>
      </x:c>
      <x:c r="I2279" s="46" t="str">
        <x:v>- Project Budget | USD 1,950,367.59 (Be inclusive of VAT and other applicable indirect taxes)</x:v>
      </x:c>
      <x:c r="J2279" s="43" t="str">
        <x:v>자동추출·검토필요</x:v>
      </x:c>
    </x:row>
    <x:row r="2280">
      <x:c r="A2280" s="43" t="str">
        <x:v>L2023-00012-1</x:v>
      </x:c>
      <x:c r="B2280" s="43" t="str">
        <x:v>부가세·예비비</x:v>
      </x:c>
      <x:c r="C2280" s="46" t="str">
        <x:v>reserve</x:v>
      </x:c>
      <x:c r="D2280" s="46" t="str"/>
      <x:c r="E2280" s="46" t="str"/>
      <x:c r="F2280" s="46" t="str">
        <x:v>0.5%</x:v>
      </x:c>
      <x:c r="G2280" s="46" t="str">
        <x:v>L2023-00012-1/붙임 3. 부속서류 일체/Section 7 - General Conditions of Contract.docx</x:v>
      </x:c>
      <x:c r="H2280" s="43" t="str">
        <x:v>표 4 행 109</x:v>
      </x:c>
      <x:c r="I2280"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2280" s="43" t="str">
        <x:v>자동추출·검토필요</x:v>
      </x:c>
    </x:row>
    <x:row r="2281">
      <x:c r="A2281" s="43" t="str">
        <x:v>L2023-00012-1</x:v>
      </x:c>
      <x:c r="B2281" s="43" t="str">
        <x:v>부가세·예비비</x:v>
      </x:c>
      <x:c r="C2281" s="46" t="str">
        <x:v>reserve</x:v>
      </x:c>
      <x:c r="D2281" s="46" t="str"/>
      <x:c r="E2281" s="46" t="str"/>
      <x:c r="F2281" s="46" t="str">
        <x:v>50% | 50%</x:v>
      </x:c>
      <x:c r="G2281" s="46" t="str">
        <x:v>L2023-00012-1/붙임 3. 부속서류 일체/Section 7 - General Conditions of Contract.docx</x:v>
      </x:c>
      <x:c r="H2281" s="43" t="str">
        <x:v>표 12 행 61</x:v>
      </x:c>
      <x:c r="I2281"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281" s="43" t="str">
        <x:v>자동추출·검토필요</x:v>
      </x:c>
    </x:row>
    <x:row r="2282">
      <x:c r="A2282" s="43" t="str">
        <x:v>L2023-00011-1</x:v>
      </x:c>
      <x:c r="B2282" s="43" t="str">
        <x:v>부가세·예비비</x:v>
      </x:c>
      <x:c r="C2282" s="46" t="str">
        <x:v>vat, tax</x:v>
      </x:c>
      <x:c r="D2282" s="46" t="str"/>
      <x:c r="E2282" s="46" t="str">
        <x:v>USD 1,540,000 | USD 1,540,000</x:v>
      </x:c>
      <x:c r="F2282" s="46" t="str"/>
      <x:c r="G2282" s="46" t="str">
        <x:v>L2023-00011-1/Section 2 - Bid Data Sheet (BDS).docx</x:v>
      </x:c>
      <x:c r="H2282" s="43" t="str">
        <x:v>표 5 행 15</x:v>
      </x:c>
      <x:c r="I2282" s="46" t="str">
        <x:v>Project budget | USD 1,540,000 (Exclusive of VAT and other applicable indirect taxes) | USD 1,540,000 (Exclusive of VAT and other applicable indirect taxes)</x:v>
      </x:c>
      <x:c r="J2282" s="43" t="str">
        <x:v>자동추출·검토필요</x:v>
      </x:c>
    </x:row>
    <x:row r="2283">
      <x:c r="A2283" s="43" t="str">
        <x:v>L2023-00011-1</x:v>
      </x:c>
      <x:c r="B2283" s="43" t="str">
        <x:v>부가세·예비비</x:v>
      </x:c>
      <x:c r="C2283" s="46" t="str">
        <x:v>vat, tax</x:v>
      </x:c>
      <x:c r="D2283" s="46" t="str"/>
      <x:c r="E2283" s="46" t="str">
        <x:v>USD 1,500,000 | USD 1,500,000</x:v>
      </x:c>
      <x:c r="F2283" s="46" t="str"/>
      <x:c r="G2283" s="46" t="str">
        <x:v>L2023-00011-1/Section 2 - Bid Data Sheet (BDS).docx</x:v>
      </x:c>
      <x:c r="H2283" s="43" t="str">
        <x:v>표 5 행 16</x:v>
      </x:c>
      <x:c r="I2283" s="46" t="str">
        <x:v>Projected Estimated Price | USD 1,500,000 (Exclusive of VAT and other applicable indirect taxes) | USD 1,500,000 (Exclusive of VAT and other applicable indirect taxes)</x:v>
      </x:c>
      <x:c r="J2283" s="43" t="str">
        <x:v>자동추출·검토필요</x:v>
      </x:c>
    </x:row>
    <x:row r="2284">
      <x:c r="A2284" s="43" t="str">
        <x:v>L2023-00009-1</x:v>
      </x:c>
      <x:c r="B2284" s="43" t="str">
        <x:v>부가세·예비비</x:v>
      </x:c>
      <x:c r="C2284" s="46" t="str">
        <x:v>예비비</x:v>
      </x:c>
      <x:c r="D2284" s="46" t="str"/>
      <x:c r="E2284" s="46" t="str"/>
      <x:c r="F2284" s="46" t="str">
        <x:v>5%</x:v>
      </x:c>
      <x:c r="G2284" s="46" t="str">
        <x:v>L2023-00009-1/1. 입찰계획안(국영문)/└╘┬√░Φ╚╣╛╚(▒╣╣«)_0314.hwp</x:v>
      </x:c>
      <x:c r="H2284" s="43" t="str">
        <x:v>문단 111</x:v>
      </x:c>
      <x:c r="I2284" s="46" t="str">
        <x:v>*물량내역서 기준, 면제비용 및 중복항목 제외 후 예비비(전체공사비의 5%) 더하여 산정</x:v>
      </x:c>
      <x:c r="J2284" s="43" t="str">
        <x:v>자동추출·검토필요</x:v>
      </x:c>
    </x:row>
    <x:row r="2285">
      <x:c r="A2285" s="43" t="str">
        <x:v>L2023-00009-1</x:v>
      </x:c>
      <x:c r="B2285" s="43" t="str">
        <x:v>부가세·예비비</x:v>
      </x:c>
      <x:c r="C2285" s="46" t="str">
        <x:v>vat</x:v>
      </x:c>
      <x:c r="D2285" s="46" t="str"/>
      <x:c r="E2285" s="46" t="str"/>
      <x:c r="F2285" s="46" t="str">
        <x:v>95%</x:v>
      </x:c>
      <x:c r="G2285" s="46" t="str">
        <x:v>L2023-00009-1/2. 입찰서류(영문)/Part 2(░·╛≈┴÷╜├╝¡)/Section 4. Bill of Quantities_unpriced.xlsx</x:v>
      </x:c>
      <x:c r="H2285" s="43" t="str">
        <x:v>ADMIN BLOCK!15</x:v>
      </x:c>
      <x:c r="I2285" s="46" t="str">
        <x:v>A15=I | B15=Return, fill and ram: selected excavated materials around foundations,walling and columns; placed in 200mm layers compacted to 95% MDD. | C15=CM | D15=26</x:v>
      </x:c>
      <x:c r="J2285" s="43" t="str">
        <x:v>자동추출·검토필요</x:v>
      </x:c>
    </x:row>
    <x:row r="2286">
      <x:c r="A2286" s="43" t="str">
        <x:v>L2023-00009-1</x:v>
      </x:c>
      <x:c r="B2286" s="43" t="str">
        <x:v>부가세·예비비</x:v>
      </x:c>
      <x:c r="C2286" s="46" t="str">
        <x:v>reserve</x:v>
      </x:c>
      <x:c r="D2286" s="46" t="str"/>
      <x:c r="E2286" s="46" t="str"/>
      <x:c r="F2286" s="46" t="str">
        <x:v>10% | 25%</x:v>
      </x:c>
      <x:c r="G2286" s="46" t="str">
        <x:v>L2023-00009-1/2. 입찰서류(영문)/Part 2(░·╛≈┴÷╜├╝¡)/Section 6. Specification.pdf</x:v>
      </x:c>
      <x:c r="H2286" s="43" t="str">
        <x:v>페이지 31</x:v>
      </x:c>
      <x:c r="I2286" s="46" t="str">
        <x:v>Standard Specifications for Building Works Part 1 - Section 4 1.4.11 Design Mixes The strengths attained for each mix shall be in accordance with those stated in Table 4.12.1 as described later. If, because of the nature of the aggregates available, it becomes impossible to achieve the desired strength and workability, the Project Manager reserves the right to vary or “design” the mix proportion in order that concrete of the necessary quality will be produced. The Contractor shall include for this and for a minimum increase of 10% in the cement content of any specified mix, whether by volume or weight, without extra charge. 1.4.12 Trial Mixes When directed by the Project Manager, the Trial Contractor shall make trial mixes for his approval mixes, before general manufacture of concrete commences. Trail mixes shall be made using the identical plant and compaction methods which will be used in the works and deposited in suitable representative formwork. Careful measurements of the cement, aggregate and water: cement ratios, slump and workability shall be made and the time of mixing noted for each mix. Six “preliminary” test cubes shall also be made for each mix. Three cubes from each </x:v>
      </x:c>
      <x:c r="J2286" s="43" t="str">
        <x:v>자동추출·검토필요</x:v>
      </x:c>
    </x:row>
    <x:row r="2287">
      <x:c r="A2287" s="43" t="str">
        <x:v>L2023-00009-1</x:v>
      </x:c>
      <x:c r="B2287" s="43" t="str">
        <x:v>부가세·예비비</x:v>
      </x:c>
      <x:c r="C2287" s="46" t="str">
        <x:v>vat</x:v>
      </x:c>
      <x:c r="D2287" s="46" t="str"/>
      <x:c r="E2287" s="46" t="str"/>
      <x:c r="F2287" s="46" t="str">
        <x:v>50%</x:v>
      </x:c>
      <x:c r="G2287" s="46" t="str">
        <x:v>L2023-00009-1/2. 입찰서류(영문)/Part 2(░·╛≈┴÷╜├╝¡)/Section 6. Specification.pdf</x:v>
      </x:c>
      <x:c r="H2287" s="43" t="str">
        <x:v>페이지 82</x:v>
      </x:c>
      <x:c r="I2287" s="46" t="str">
        <x:v>Standard Specifications for Building Works Part 2 - Section 1 2.1.5 Tubing Generally All pipes shall whenever possible be located in such a manner as to minimize risk of mechanical damage and shall be readily accessible for inspection and repair, but shall nevertheless not appear unsightly. All waste pipes shall be fitted with sweep-tees with screwed cleaning caps at each change of direction. All services shall be connected to sanitary fittings, tanks, etc. with approved union connectors. The exposed ends of all overflow pipes shall be mosquito- proofed by means of 32 S.W.G x 20 mesh copper wire gauze, tightly bound on with stout wire. 2.1.6 Water Service and Distribution Pipework Service pipes shall be laid from the stop-valves at the boundary of the site to a storage tank; stop-valves being inserted in all positions as required by the Project Manager and all pipe work inside the building shall be securely fixed in position. 2.1.7 Branches to Drinking Water Draw-off Taps Branches to drinking water draw-off taps shall be taken directly from the service pipe to drinking water draw off points in the building. 2.1.8. Delivery Pipes Delivery on distribution pipes shall be fitted with s</x:v>
      </x:c>
      <x:c r="J2287" s="43" t="str">
        <x:v>자동추출·검토필요</x:v>
      </x:c>
    </x:row>
    <x:row r="2288">
      <x:c r="A2288" s="43" t="str">
        <x:v>L2023-00009-1</x:v>
      </x:c>
      <x:c r="B2288" s="43" t="str">
        <x:v>부가세·예비비</x:v>
      </x:c>
      <x:c r="C2288" s="46" t="str">
        <x:v>vat</x:v>
      </x:c>
      <x:c r="D2288" s="46" t="str"/>
      <x:c r="E2288" s="46" t="str"/>
      <x:c r="F2288" s="46" t="str">
        <x:v>25%</x:v>
      </x:c>
      <x:c r="G2288" s="46" t="str">
        <x:v>L2023-00009-1/2. 입찰서류(영문)/Part 2(░·╛≈┴÷╜├╝¡)/Section 6. Specification.pdf</x:v>
      </x:c>
      <x:c r="H2288" s="43" t="str">
        <x:v>페이지 85</x:v>
      </x:c>
      <x:c r="I2288" s="46" t="str">
        <x:v>Standard Specifications for Building Works Part 2 - Section 2 2.2 DRAIN LAYING 2.2.1 Drainage &amp; Sanitation Rules All drainage work is to be carried out in accordance with the Regulations for Sanitary Installations in Buildings 2.2.2 Excavation Excavation shall be made for manholes, lines of pipe and other works to the depth as shown on the Drawings, or as shall be required by the Project Manager or as necessary to permit proper execution of the work, should there be erroneous over-excavation to levels below those required for drains, foundations or other works, refilling and making up of levels shall be carried out in concrete of approved mix and no other material shall be used for this purpose. All excavations shall be kept clear of water or mud by approved means. Sides of excavations shall be adequately supported by timbering or other means approved by the Project Manager. 2.2.3 Laying Lines of Pipes The Contractor shall provide and fix properly painted sight rails which will be checked by the Project Manager before any pipes are laid, and there shall be no fewer than three sights rails in position at one time on every length of pipe under construction. Boning rods shall be provi</x:v>
      </x:c>
      <x:c r="J2288" s="43" t="str">
        <x:v>자동추출·검토필요</x:v>
      </x:c>
    </x:row>
    <x:row r="2289">
      <x:c r="A2289" s="43" t="str">
        <x:v>L2023-00009-1</x:v>
      </x:c>
      <x:c r="B2289" s="43" t="str">
        <x:v>부가세·예비비</x:v>
      </x:c>
      <x:c r="C2289" s="46" t="str">
        <x:v>reserve</x:v>
      </x:c>
      <x:c r="D2289" s="46" t="str"/>
      <x:c r="E2289" s="46" t="str"/>
      <x:c r="F2289" s="46" t="str">
        <x:v>0.5%</x:v>
      </x:c>
      <x:c r="G2289" s="46" t="str">
        <x:v>L2023-00009-1/2. 입찰서류(영문)/Part 3(░Φ╛α╝¡ ╣╫ ▒Γ┼╕ └┌╖ß)/Section 7 - General Conditions of Contract.docx</x:v>
      </x:c>
      <x:c r="H2289" s="43" t="str">
        <x:v>표 4 행 109</x:v>
      </x:c>
      <x:c r="I2289"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2289" s="43" t="str">
        <x:v>자동추출·검토필요</x:v>
      </x:c>
    </x:row>
    <x:row r="2290">
      <x:c r="A2290" s="43" t="str">
        <x:v>L2023-00009-1</x:v>
      </x:c>
      <x:c r="B2290" s="43" t="str">
        <x:v>부가세·예비비</x:v>
      </x:c>
      <x:c r="C2290" s="46" t="str">
        <x:v>reserve</x:v>
      </x:c>
      <x:c r="D2290" s="46" t="str"/>
      <x:c r="E2290" s="46" t="str"/>
      <x:c r="F2290" s="46" t="str">
        <x:v>50% | 50%</x:v>
      </x:c>
      <x:c r="G2290" s="46" t="str">
        <x:v>L2023-00009-1/2. 입찰서류(영문)/Part 3(░Φ╛α╝¡ ╣╫ ▒Γ┼╕ └┌╖ß)/Section 7 - General Conditions of Contract.docx</x:v>
      </x:c>
      <x:c r="H2290" s="43" t="str">
        <x:v>표 12 행 61</x:v>
      </x:c>
      <x:c r="I2290"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290" s="43" t="str">
        <x:v>자동추출·검토필요</x:v>
      </x:c>
    </x:row>
    <x:row r="2291">
      <x:c r="A2291" s="43" t="str">
        <x:v>L2023-00007-1</x:v>
      </x:c>
      <x:c r="B2291" s="43" t="str">
        <x:v>부가세·예비비</x:v>
      </x:c>
      <x:c r="C2291" s="46" t="str">
        <x:v>부가가치세</x:v>
      </x:c>
      <x:c r="D2291" s="46" t="str"/>
      <x:c r="E2291" s="46" t="str">
        <x:v>USD 5,230,806</x:v>
      </x:c>
      <x:c r="F2291" s="46" t="str"/>
      <x:c r="G2291" s="46" t="str">
        <x:v>L2023-00007-1/붙임1_우르겐치_시공사선정_입찰공고문_20230228최종수정본.docx</x:v>
      </x:c>
      <x:c r="H2291" s="43" t="str">
        <x:v>문단 7</x:v>
      </x:c>
      <x:c r="I2291" s="46" t="str">
        <x:v>■ 기초금액 예정액 : USD 5,230,806 (부가가치세 미포함, 미확정으로 변경 가능)</x:v>
      </x:c>
      <x:c r="J2291" s="43" t="str">
        <x:v>자동추출·검토필요</x:v>
      </x:c>
    </x:row>
    <x:row r="2292">
      <x:c r="A2292" s="43" t="str">
        <x:v>L2023-00007-1</x:v>
      </x:c>
      <x:c r="B2292" s="43" t="str">
        <x:v>부가세·예비비</x:v>
      </x:c>
      <x:c r="C2292" s="46" t="str">
        <x:v>tax</x:v>
      </x:c>
      <x:c r="D2292" s="46" t="str"/>
      <x:c r="E2292" s="46" t="str">
        <x:v>USD 5,230,806</x:v>
      </x:c>
      <x:c r="F2292" s="46" t="str">
        <x:v>2.5%</x:v>
      </x:c>
      <x:c r="G2292" s="46" t="str">
        <x:v>L2023-00007-1/붙임2_우르겐치_시공_입찰공고_첨부서류_모음_수정/Invitation_for_Bids_Bid_Announcement1.docx</x:v>
      </x:c>
      <x:c r="H2292" s="43" t="str">
        <x:v>표 1 행 9</x:v>
      </x:c>
      <x:c r="I2292" s="46" t="str">
        <x:v>• Base Price Practice | Base Price: USD 5,230,806 (excluding Value Added Tax and Customs Duty ) *The safety management cost will be included in the contract price, which shall be point five (0.25) % of project cost that cannot be consumed for other purposes but safety management. the balance of the safety management cost shall be returned on the completion of works.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x:v>
      </x:c>
      <x:c r="J2292" s="43" t="str">
        <x:v>자동추출·검토필요</x:v>
      </x:c>
    </x:row>
    <x:row r="2293">
      <x:c r="A2293" s="43" t="str">
        <x:v>L2023-00007-1</x:v>
      </x:c>
      <x:c r="B2293" s="43" t="str">
        <x:v>부가세·예비비</x:v>
      </x:c>
      <x:c r="C2293" s="46" t="str">
        <x:v>vat</x:v>
      </x:c>
      <x:c r="D2293" s="46" t="str"/>
      <x:c r="E2293" s="46" t="str">
        <x:v>US$ 5,230,806</x:v>
      </x:c>
      <x:c r="F2293" s="46" t="str"/>
      <x:c r="G2293" s="46" t="str">
        <x:v>L2023-00007-1/붙임2_우르겐치_시공_입찰공고_첨부서류_모음_수정/Pre_Bid_Meeting_Document_PPT.pptx</x:v>
      </x:c>
      <x:c r="H2293" s="43" t="str">
        <x:v>슬라이드 3</x:v>
      </x:c>
      <x:c r="I2293" s="46" t="str">
        <x:v>1. SYNOPSIS OF BID | BID ANNOUNCEMENT NUMBER: | KOICA-P-UZB-2023-1 | NAME OF PROJECT | The Construction of the Vocational Training Center in Urgench district of Khorezm region and Teachers’ Training Center in Tashkent city, Uzbekistan | BUDGET (USD) | Approximately US$ 5,230,806 (VAT excluded) | SITE LOCATION | Urgench Vocational Training Center : St. Khonka, "Buston" mahalla, Urgench city, Khorezm region. Teachers’ Training Center : Inside of Tashkent Vocational Training Center(Sergeli-8, 100085, Uzbekistan) | CONTRACT PERIOD | 1) Urgench Vocational Training Center : 19 months; 2) Teachers’ Training Center : 13 months | SCOPE OF WORK | 1) Construction of the Vocational Training Center in Urgench district of Khorezm region: - Administration building block: 2 storey above ground - Lecture and Work Shop building block: 2 storey above ground - Dormitory building block: 2 storey above ground - Guard Room and others : 1 storey above ground 2. Construction of the Teachers’ Training Center in Tashkent city: - Administration and Lecture building block: 2 storey above ground</x:v>
      </x:c>
      <x:c r="J2293" s="43" t="str">
        <x:v>자동추출·검토필요</x:v>
      </x:c>
    </x:row>
    <x:row r="2294">
      <x:c r="A2294" s="43" t="str">
        <x:v>L2023-00007-1</x:v>
      </x:c>
      <x:c r="B2294" s="43" t="str">
        <x:v>부가세·예비비</x:v>
      </x:c>
      <x:c r="C2294" s="46" t="str">
        <x:v>tax</x:v>
      </x:c>
      <x:c r="D2294" s="46" t="str"/>
      <x:c r="E2294" s="46" t="str">
        <x:v>USD 1.74 million</x:v>
      </x:c>
      <x:c r="F2294" s="46" t="str">
        <x:v>2.5%</x:v>
      </x:c>
      <x:c r="G2294" s="46" t="str">
        <x:v>L2023-00007-1/붙임2_우르겐치_시공_입찰공고_첨부서류_모음_수정/Pre_Bid_Meeting_Document_PPT.pptx</x:v>
      </x:c>
      <x:c r="H2294" s="43" t="str">
        <x:v>슬라이드 4</x:v>
      </x:c>
      <x:c r="I2294" s="46" t="str">
        <x:v>2. LIST OF BID DOCUMENTS FOR SUBMISSION | Bid Pre-Qualification Documents | Bidding Documents | 1. Bid application form | 1. Company profile (In case of joint supply) Co-supplier introduction). | 2. Registration Certificate (Guvohnoma) | 2. Bid bond (2.5% of Bid Price). | 3. Business Permit (For Overseas Companies only) | 3. A document confirming the authenticity of the signature and a power of attorney (Annex #11). | 4. Tax payment Certificate (an evidence that the company has no debt for tax authorities). | 4.. A document proving the qualifications for participation in the tender (Notice of eligible bidders). | 5. The Financial Statement Status Report (Turnover over the past 3 years (2019~2021) | 5. Anti-Corruption pledge to participate in ODA projects | 6. Contractor’s License for the construction of buildings | 6. Integrity pledge sheet. | 7. Evidence (contract copy OR filled in Annex #4 EX-2 Specific Construction Experience Form) of Single construction record, Same/Similar facilities completed within last 5 years : from 28.02.2018 till 27.02.2023 (more than USD 1.74 million) | 7. Eligibility Valuation documents * Proposed site manager’s information &amp; certificates (see Bidding </x:v>
      </x:c>
      <x:c r="J2294" s="43" t="str">
        <x:v>자동추출·검토필요</x:v>
      </x:c>
    </x:row>
    <x:row r="2295">
      <x:c r="A2295" s="43" t="str">
        <x:v>L2023-00007-1</x:v>
      </x:c>
      <x:c r="B2295" s="43" t="str">
        <x:v>부가세·예비비</x:v>
      </x:c>
      <x:c r="C2295" s="46" t="str">
        <x:v>reserve</x:v>
      </x:c>
      <x:c r="D2295" s="46" t="str"/>
      <x:c r="E2295" s="46" t="str">
        <x:v>USD 5,230,806</x:v>
      </x:c>
      <x:c r="F2295" s="46" t="str">
        <x:v>2.5%</x:v>
      </x:c>
      <x:c r="G2295" s="46" t="str">
        <x:v>L2023-00007-1/붙임2_우르겐치_시공_입찰공고_첨부서류_모음_수정/Pre_Bid_Meeting_Document_PPT.pptx</x:v>
      </x:c>
      <x:c r="H2295" s="43" t="str">
        <x:v>슬라이드 10</x:v>
      </x:c>
      <x:c r="I2295" s="46" t="str">
        <x:v>5.3.3 Bid Price Evaluation (50) | 50 - 2x (88/100 - bid price/estimated price / Estimated Price) x100 ｜ = Bid price score | ※ ｜｜ indicates absolute value ※ If, value of “BP/EP” has decimal points, it is rounded off to the five decimals. ※ If the bid price is less than the estimated price and is 90.5/100 or more of the estimated price, the rating is 45 points. (only for the bidders whose BP is lower than the EP.) ※ The lowest rating is 2 points. ※ Decision of Estimated Price Estimated Price (method of determining the Estimated Price) : Create and seal 15 different multiple reserve prices(proposed randomly by KOICA) within the range of ±2.5% of the Base Price (USD 5,230,806) at the time of the Price Opening, select 4 companies (lotters) who want to be selected from among the participating companies (bidders) and draw one by one. The four plural reserve prices drawn are arithmetically averaged and this is the Estimated Price. | 5. CONTRACTOR SELECTION CRITERIA QUALIFICATION (4) | ｜</x:v>
      </x:c>
      <x:c r="J2295" s="43" t="str">
        <x:v>자동추출·검토필요</x:v>
      </x:c>
    </x:row>
    <x:row r="2296">
      <x:c r="A2296" s="43" t="str">
        <x:v>L2023-00007-1</x:v>
      </x:c>
      <x:c r="B2296" s="43" t="str">
        <x:v>부가세·예비비</x:v>
      </x:c>
      <x:c r="C2296" s="46" t="str">
        <x:v>tax</x:v>
      </x:c>
      <x:c r="D2296" s="46" t="str"/>
      <x:c r="E2296" s="46" t="str">
        <x:v>USD 1.74 million</x:v>
      </x:c>
      <x:c r="F2296" s="46" t="str"/>
      <x:c r="G2296" s="46" t="str">
        <x:v>L2023-00007-1/붙임2_우르겐치_시공_입찰공고_첨부서류_모음_수정/Section 3 - Bidding Forms.doc</x:v>
      </x:c>
      <x:c r="H2296" s="43" t="str">
        <x:v>문단 19</x:v>
      </x:c>
      <x:c r="I2296" s="46" t="str">
        <x:v>Registration Certificate (Guvohnoma) Business Permit (For Overseas Companies only) Tax Payment Certificate (an evidence that the company has no debt for tax authorities) The Financial Statement Status Report (Turnover over the past 3 years (2019~2021) Contractor’s License for the construction of buildings Evidence (contract copy OR filled in Annex #4 EX-2 Specific Construction Experience Form) of Single construction record, Same/Similar facilities completed within last 5 years : from 28.02.2018 till 27.02.2023 (more than USD 1.74 million) Company category should be CCC or higher according to Uzbekistan standard. Article of Incorporation (only first 2 pages) Power of Attorney: Authorization Letter to represent the bidder (if required) Documents evidencing the authenticity of the applicant’s signature and seal (Annex #11) Joint Venture Agreement Signed, (Annex #9) (if required) Anti-Corruption pledge to participate in ODA projects (Annex #6) Integrity pledge sheet. (Annex #7)</x:v>
      </x:c>
      <x:c r="J2296" s="43" t="str">
        <x:v>자동추출·검토필요</x:v>
      </x:c>
    </x:row>
    <x:row r="2297">
      <x:c r="A2297" s="43" t="str">
        <x:v>L2023-00007-1</x:v>
      </x:c>
      <x:c r="B2297" s="43" t="str">
        <x:v>부가세·예비비</x:v>
      </x:c>
      <x:c r="C2297" s="46" t="str">
        <x:v>vat</x:v>
      </x:c>
      <x:c r="D2297" s="46" t="str"/>
      <x:c r="E2297" s="46" t="str"/>
      <x:c r="F2297" s="46" t="str">
        <x:v>12%</x:v>
      </x:c>
      <x:c r="G2297" s="46" t="str">
        <x:v>L2023-00007-1/붙임2_우르겐치_시공_입찰공고_첨부서류_모음_수정/Section 3 - Bidding Forms.doc</x:v>
      </x:c>
      <x:c r="H2297" s="43" t="str">
        <x:v>문단 63</x:v>
      </x:c>
      <x:c r="I2297" s="46" t="str">
        <x:v>11 VAT (12% of total price)</x:v>
      </x:c>
      <x:c r="J2297" s="43" t="str">
        <x:v>자동추출·검토필요</x:v>
      </x:c>
    </x:row>
    <x:row r="2298">
      <x:c r="A2298" s="43" t="str">
        <x:v>L2023-00007-1</x:v>
      </x:c>
      <x:c r="B2298" s="43" t="str">
        <x:v>부가세·예비비</x:v>
      </x:c>
      <x:c r="C2298" s="46" t="str">
        <x:v>reserve</x:v>
      </x:c>
      <x:c r="D2298" s="46" t="str"/>
      <x:c r="E2298" s="46" t="str"/>
      <x:c r="F2298" s="46" t="str">
        <x:v>0.5%</x:v>
      </x:c>
      <x:c r="G2298" s="46" t="str">
        <x:v>L2023-00007-1/붙임2_우르겐치_시공_입찰공고_첨부서류_모음_수정/Section 7 - General Conditions of Contract1.docx</x:v>
      </x:c>
      <x:c r="H2298" s="43" t="str">
        <x:v>표 4 행 109</x:v>
      </x:c>
      <x:c r="I2298"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 (iv) hereof must include details of how the Safety Management Costs will be utilized.</x:v>
      </x:c>
      <x:c r="J2298" s="43" t="str">
        <x:v>자동추출·검토필요</x:v>
      </x:c>
    </x:row>
    <x:row r="2299">
      <x:c r="A2299" s="43" t="str">
        <x:v>L2023-00007-1</x:v>
      </x:c>
      <x:c r="B2299" s="43" t="str">
        <x:v>부가세·예비비</x:v>
      </x:c>
      <x:c r="C2299" s="46" t="str">
        <x:v>reserve</x:v>
      </x:c>
      <x:c r="D2299" s="46" t="str"/>
      <x:c r="E2299" s="46" t="str"/>
      <x:c r="F2299" s="46" t="str">
        <x:v>50% | 50%</x:v>
      </x:c>
      <x:c r="G2299" s="46" t="str">
        <x:v>L2023-00007-1/붙임2_우르겐치_시공_입찰공고_첨부서류_모음_수정/Section 7 - General Conditions of Contract1.docx</x:v>
      </x:c>
      <x:c r="H2299" s="43" t="str">
        <x:v>표 12 행 61</x:v>
      </x:c>
      <x:c r="I2299"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299" s="43" t="str">
        <x:v>자동추출·검토필요</x:v>
      </x:c>
    </x:row>
    <x:row r="2300">
      <x:c r="A2300" s="43" t="str">
        <x:v>L2023-00007-1</x:v>
      </x:c>
      <x:c r="B2300" s="43" t="str">
        <x:v>부가세·예비비</x:v>
      </x:c>
      <x:c r="C2300" s="46" t="str">
        <x:v>reserve</x:v>
      </x:c>
      <x:c r="D2300" s="46" t="str"/>
      <x:c r="E2300" s="46" t="str"/>
      <x:c r="F2300" s="46" t="str">
        <x:v>3% | 3%</x:v>
      </x:c>
      <x:c r="G2300" s="46" t="str">
        <x:v>L2023-00007-1/붙임2_우르겐치_시공_입찰공고_첨부서류_모음_수정/Section 8 - Special Conditions of Contract1.docx</x:v>
      </x:c>
      <x:c r="H2300" s="43" t="str">
        <x:v>표 3 행 19</x:v>
      </x:c>
      <x:c r="I2300" s="46" t="str">
        <x:v>Security Deposit for Defects | To reserve 3% of the Contract Price, or to provide the Maintenance Security Bond for Defects as a form attached hereto, valid no less than 60 days from the date of Defect Notification Period expires. | To reserve 3% of the Contract Price, or to provide the Maintenance Security Bond for Defects as a form attached hereto, valid no less than 60 days from the date of Defect Notification Period expires.</x:v>
      </x:c>
      <x:c r="J2300" s="43" t="str">
        <x:v>자동추출·검토필요</x:v>
      </x:c>
    </x:row>
    <x:row r="2301">
      <x:c r="A2301" s="43" t="str">
        <x:v>L2023-00006-1</x:v>
      </x:c>
      <x:c r="B2301" s="43" t="str">
        <x:v>부가세·예비비</x:v>
      </x:c>
      <x:c r="C2301" s="46" t="str">
        <x:v>vat, tax</x:v>
      </x:c>
      <x:c r="D2301" s="46" t="str"/>
      <x:c r="E2301" s="46" t="str">
        <x:v>USD 1,570,000 | USD 1,526,954</x:v>
      </x:c>
      <x:c r="F2301" s="46" t="str"/>
      <x:c r="G2301" s="46" t="str">
        <x:v>L2023-00006-1/1. Section 2,3/Section 2 - Bid Data Sheet (BDS)_230223_eng.pdf</x:v>
      </x:c>
      <x:c r="H2301" s="43" t="str">
        <x:v>페이지 5</x:v>
      </x:c>
      <x:c r="I2301" s="46" t="str">
        <x:v>12 Months from the start of construction(Construction 8M and O&amp;M 4M) - Scheduled - Due to the weather condition of Timor-Leste, construction cannot be carried out during the rainy season from December to March. Therefore, the goal is to complete Construction construction before the start of this year's rainy season (December 2023). Period - When submitting the scheduled construction plan, a timeline should be established to complete the construction within 2023. Until 13 months from the date of signing the Contract Duration (Shall start the construction within 30 days from the date of signing the Contract) Project Budget USD 1,570,000 (VAT and other related indirect taxes are not included) - Projected Estimated Price USD 1,526,954 ○ Currency: United States Dollar (USD) ○ KOICA has no responsibility for any matters regarding taxes, including VAT. Tax collection and refund will be managed by the relevant laws and regulations in the Ministry of Agriculture and Fisheries (MAF). 5</x:v>
      </x:c>
      <x:c r="J2301" s="43" t="str">
        <x:v>자동추출·검토필요</x:v>
      </x:c>
    </x:row>
    <x:row r="2302">
      <x:c r="A2302" s="43" t="str">
        <x:v>L2023-00006-1</x:v>
      </x:c>
      <x:c r="B2302" s="43" t="str">
        <x:v>부가세·예비비</x:v>
      </x:c>
      <x:c r="C2302" s="46" t="str">
        <x:v>tax, reserve</x:v>
      </x:c>
      <x:c r="D2302" s="46" t="str"/>
      <x:c r="E2302" s="46" t="str">
        <x:v>USD 150,000 | USD 300,000</x:v>
      </x:c>
      <x:c r="F2302" s="46" t="str">
        <x:v>86.745%</x:v>
      </x:c>
      <x:c r="G2302" s="46" t="str">
        <x:v>L2023-00006-1/1. Section 2,3/Section 2 - Bid Data Sheet (BDS)_230223_eng.pdf</x:v>
      </x:c>
      <x:c r="H2302" s="43" t="str">
        <x:v>페이지 6</x:v>
      </x:c>
      <x:c r="I2302" s="46" t="str">
        <x:v>2. Bid Type, Selection of the Successful Bidders (a) Bid Type : URGENT International Bidding, Open Competitive Bidding ○ Reason for urgent bidding: Pursuant to Article 35(4)(1)(ii) of National Contract Act, "in cases where it is necessary for the early execution of the budget due to the government's fiscal policy," urgent bidding will be carried out. (b)Selection of the Successful Bidders ○ Based upon bid prices which shall be below the Estimated Price but above the floor price of 86.745% of the Project Budget, the Qualification Examination will be conducted. Selection as successful Bidder is determined when the overall grade is higher than 95 points (the passing grade). ○ Qualification examination will be conducted in accordance with the Standards of Qualification Examination for Selection of Constructor (Annex 1: Evaluation Criteria). 3. Bidders' Qualifications  In the case of forming a joint venture, each member must satisfy the following requirements. The Bidders must: (a) Have submitted a bid application on or before the Application Submission Deadline and notified as eligible to bid from KOICA (b) Have the legality of registration under domestic law at the place of establish</x:v>
      </x:c>
      <x:c r="J2302" s="43" t="str">
        <x:v>자동추출·검토필요</x:v>
      </x:c>
    </x:row>
    <x:row r="2303">
      <x:c r="A2303" s="43" t="str">
        <x:v>L2023-00006-1</x:v>
      </x:c>
      <x:c r="B2303" s="43" t="str">
        <x:v>부가세·예비비</x:v>
      </x:c>
      <x:c r="C2303" s="46" t="str">
        <x:v>tax</x:v>
      </x:c>
      <x:c r="D2303" s="46" t="str"/>
      <x:c r="E2303" s="46" t="str">
        <x:v>USD 150,000 | USD 300,000</x:v>
      </x:c>
      <x:c r="F2303" s="46" t="str"/>
      <x:c r="G2303" s="46" t="str">
        <x:v>L2023-00006-1/1. Section 2,3/Section 2 - Bid Data Sheet (BDS)_230223_eng.pdf</x:v>
      </x:c>
      <x:c r="H2303" s="43" t="str">
        <x:v>페이지 9</x:v>
      </x:c>
      <x:c r="I2303" s="46" t="str">
        <x:v>(a) Application for bidding ○ Place of submission : KOICA Timor-Leste Office ○ Deadline : 6th ~10th March, 2023 until 5:00pm ※ Documents submitted after the deadline will not be accepted, so please comply with the deadline. ※ In the case of documents submitted with unclear content, KOICA may request supplementary documents ○ Documents : 1 original and 1 scanned copy on USB drive ※ Each document must be provided in its original form, or if a copy is provided, the copy must be confirmed to be a true and accurate copy of the original document and must be notarized. ※ All applicants/Bidders should submit documents either in English or notarized in English from the local language. ① List of documents submitted for bid application ② A duly completed bid application form (Section 3. bidding form-Annex 1) ③ Bidder's information sheet (Section 3. bidding form-Annex 2) ④ JV Agreement (if applicable) (Secition 3. bidding form-Annex 9) ⑤ Proof of legality of establishment according to domestic law in the country of establishment ▪ All qualification documents according to domestic law in each country of establishment ⑥ Proof of meeting legal requirements for conducting construction in Timor-Les</x:v>
      </x:c>
      <x:c r="J2303" s="43" t="str">
        <x:v>자동추출·검토필요</x:v>
      </x:c>
    </x:row>
    <x:row r="2304">
      <x:c r="A2304" s="43" t="str">
        <x:v>L2023-00006-1</x:v>
      </x:c>
      <x:c r="B2304" s="43" t="str">
        <x:v>부가세·예비비</x:v>
      </x:c>
      <x:c r="C2304" s="46" t="str">
        <x:v>reserve</x:v>
      </x:c>
      <x:c r="D2304" s="46" t="str"/>
      <x:c r="E2304" s="46" t="str"/>
      <x:c r="F2304" s="46" t="str">
        <x:v>2.5% | 2.5%</x:v>
      </x:c>
      <x:c r="G2304" s="46" t="str">
        <x:v>L2023-00006-1/1. Section 2,3/Section 2 - Bid Data Sheet (BDS)_230223_eng.pdf</x:v>
      </x:c>
      <x:c r="H2304" s="43" t="str">
        <x:v>페이지 12</x:v>
      </x:c>
      <x:c r="I2304" s="46" t="str">
        <x:v>pledge stating that they have never been sanctioned or penalized by an international organization or the government of Timor-Leste and if the pledge is found to be false, the Employer shall reserve the right to terminate the Contract at any time. ⑧ Declaration of Anti-corruption in ODA Business Participation (in the prescribed form, Section 3. bidding form-Annex 6) ⑨ Integrity Pledge (in the prescribed form, Section 3. bidding form-Annex 7) ⑩ (if applicable) Power of attorney: written confirmation authorizing the signatory of the Bid to commit the Bidder ※ If the bidder submitting the bid documents is not the representative of the bidding company, a power of attorney must be submitted. ⑪ Any other documents specified in the Bid Data Sheet. (g) Bid security ○ The Bidders shall submit the bid security in any of the following forms; ▪ An unconditional bank guarantee (in the prescribed form, Section 3. bidding form- Annex 8); ▪ An irrevocable letter of credit; or ▪ A cashier's or certified check; ○ All bids must be accompanied by a bid security of not less than Two point five percent (2.5%) of the Total Bid Price. ○ The bid security must be valid from the Bid submission date to at leas</x:v>
      </x:c>
      <x:c r="J2304" s="43" t="str">
        <x:v>자동추출·검토필요</x:v>
      </x:c>
    </x:row>
    <x:row r="2305">
      <x:c r="A2305" s="43" t="str">
        <x:v>L2023-00006-1</x:v>
      </x:c>
      <x:c r="B2305" s="43" t="str">
        <x:v>부가세·예비비</x:v>
      </x:c>
      <x:c r="C2305" s="46" t="str">
        <x:v>vat</x:v>
      </x:c>
      <x:c r="D2305" s="46" t="str"/>
      <x:c r="E2305" s="46" t="str">
        <x:v>$ 400,000, | $ 1,000,000, | $ 150,000 | $ 300,000 | $ 150,000 | $ 300,000</x:v>
      </x:c>
      <x:c r="F2305" s="46" t="str">
        <x:v>100% | 100% | 85% | 85% | 70% | 70% | 55% | 55%</x:v>
      </x:c>
      <x:c r="G2305" s="46" t="str">
        <x:v>L2023-00006-1/1. Section 2,3/Section 2 - Bid Data Sheet (BDS)_230223_eng.pdf</x:v>
      </x:c>
      <x:c r="H2305" s="43" t="str">
        <x:v>페이지 14</x:v>
      </x:c>
      <x:c r="I2305" s="46" t="str">
        <x:v>Annex 1: Evaluation Criteria Evaluation Criteria 1. Technical Ability Evaluation (30 Points) (a-1) Construction Experience – similar project (12 Points) Items Architecture Civil (Total amount of records of performance of the similar projects as the Criteria project concerned in the past ten years / Evaluation Base Price) × 100 * scored on a percentage basis and given the corresponding Grade Distribution 4.0 Point 8.0 Point A: 100% or more : 4.0 A: 100% or more : 8.0 Allocate points B: Above 85% : 3.9 B: Above 85% : 7.8 based on C: Above 70% : 3.8 C: Above 70% : 7.6 Experience as a D: Above 55% : 3.7 D: Above 55% : 7.4 percentage E: Above 40% : 3.6 E: Above 40% : 7.2 F: Below 40% : 3.5 F: Below 40% : 7.0 Evaluation base If the sum of experiences is over If the sum of experiences is over price $400,000, it is a total score. $1,000,000, it is a total score. Recognition scale Per Case: Recognized over $150,000 Per Case: Recognized over $300,000 of Experience (Recent ten years from the date of the (Recent ten years from the date of the (Period) Bidding announcement) Bidding announcement) ○ List and value of contracts for the last ten years of the similar type projects plus client’s cont</x:v>
      </x:c>
      <x:c r="J2305" s="43" t="str">
        <x:v>자동추출·검토필요</x:v>
      </x:c>
    </x:row>
    <x:row r="2306">
      <x:c r="A2306" s="43" t="str">
        <x:v>L2023-00006-1</x:v>
      </x:c>
      <x:c r="B2306" s="43" t="str">
        <x:v>부가세·예비비</x:v>
      </x:c>
      <x:c r="C2306" s="46" t="str">
        <x:v>reserve</x:v>
      </x:c>
      <x:c r="D2306" s="46" t="str"/>
      <x:c r="E2306" s="46" t="str">
        <x:v>$ 150,000 | $ 300,000 | USD 2,000,000 | USD 1,200,000 | USD 130,000 | USD 91,000</x:v>
      </x:c>
      <x:c r="F2306" s="46" t="str">
        <x:v>60% | 70%</x:v>
      </x:c>
      <x:c r="G2306" s="46" t="str">
        <x:v>L2023-00006-1/1. Section 2,3/Section 2 - Bid Data Sheet (BDS)_230223_eng.pdf</x:v>
      </x:c>
      <x:c r="H2306" s="43" t="str">
        <x:v>페이지 15</x:v>
      </x:c>
      <x:c r="I2306" s="46" t="str">
        <x:v>joint venture, only the share ratio is recognized as Experience. Note 4) For the recognized amount of Experience according to the share ratio, the necessary amount of the Construction reserve price (Architecture amount of $ 150,000 or more and civil work amount of $ 300,000 or more) should be at least one Experience each. e.g1) Civil: USD 2,000,000 × 60% Past experience share = USD 1,200,000 Recognized as experience e.g2) Architecture: USD 130,000 × 70% Past experience share = USD 91,000 Not recognized as experience Note 5) Application of exchange rate: the selling exchange rate on the date of the bidding announcement specified by the central bank of the Timor-Leste. Note 6) Complementary Experience between JV participants is possible, and the number of cases should be summed up. (a-2) Construction Experience - personnel (3 Points) Staff for the Assignment Distribution Number of years Score X ≥ 10 3.0 10 &gt; X ≥ 8 2.9 Project Manager 3.0 8&gt;X≥6 2.8 6&gt;X≥4 2.7 4&gt;X 2.6 Documents to be ○ Proposal Personnel and Resume of Proposed Personnel (Section submitted 3. bidding form-Annex 4). ○ Proof documents such as graduation certificate, career certificate, qualification certificate, etc. Note </x:v>
      </x:c>
      <x:c r="J2306" s="43" t="str">
        <x:v>자동추출·검토필요</x:v>
      </x:c>
    </x:row>
    <x:row r="2307">
      <x:c r="A2307" s="43" t="str">
        <x:v>L2023-00006-1</x:v>
      </x:c>
      <x:c r="B2307" s="43" t="str">
        <x:v>부가세·예비비</x:v>
      </x:c>
      <x:c r="C2307" s="46" t="str">
        <x:v>tax</x:v>
      </x:c>
      <x:c r="D2307" s="46" t="str"/>
      <x:c r="E2307" s="46" t="str">
        <x:v>USD 150,000 | USD 300,000</x:v>
      </x:c>
      <x:c r="F2307" s="46" t="str">
        <x:v>86.745%</x:v>
      </x:c>
      <x:c r="G2307" s="46" t="str">
        <x:v>L2023-00006-1/1. Section 2,3/Section 2 - Bid Data Sheet (BDS)_230223_kor.pdf</x:v>
      </x:c>
      <x:c r="H2307" s="43" t="str">
        <x:v>페이지 7</x:v>
      </x:c>
      <x:c r="I2307" s="46" t="str">
        <x:v>2. 입찰방법 및 낙찰자 선정방법 가. 입찰방법 : (긴급) 국제일반경쟁입찰(General Competitive Bidding) ㅇ 긴급입찰 사유: 국가계약법 시행령 제35조(입찰공고의 시기) 제4항 제1의2호 ‘국가의 재정정책 상 예산의 조기집행을 위해 필요한 경우’에 의거, 긴급입찰 추진 ㅇ 공동계약방식(Joint Venture) 허용 (단, 입찰 참가신청서 제출 시 공동수급협정서 제출 및 분담 비율 명기 조건) 나. 낙찰자결정방법 : 최저가순 적격심사 ㅇ 예정가격 이하, 낙찰하한율(86.745%) 이상 투찰자 중 최저가격으로 입찰한 자의 순으로 계약이행능력(이행실적, 기술능력, 재무상태 등 정량요소)을 심사하여 적격 점수(95점) 이상인 자를 선정 ㅇ 계약이행능력심사는 [붙임1]적격심사 평가기준에 따라 평가 3. 입찰참가자격 ※공동수급체 구성할 경우 구성원 각각이 모두 아래 요건 충족해야함 가. 입찰 참가신청서를 적기에 제출하고 입찰적격자로 통보된 자 나. 설립지 국내법에 따른 설립의 적법성 ㅇ 각 업체별 해당 설립 국가 내 적법한 사업자등록증 및 건설업등록증, 납세증명 서 등 설립지의 국내법에 따른 자격조건 충족(입찰참가신청 마감일 기준). 다. 사업대상지에서 사업을 수행할 수 있는 사업자격 ㅇ 입찰참가신청 마감일 기준, 동티모르 내 현지법인 등록 업체로 건설공사 수행업 가능 자격에 대한 증빙 제출 업체 1) 사업자등록증 (SERVE- Business Registration)(2022) 2) 건설관련면허증 (SERVE-License of Construction)(2022) 3) 납세증명서 (TAX Payment Certificate)(2022) → 입찰참가신청 마감일 기준 미등록 시, 부적격 처리 라. 입찰공고일 기준 최근 10년 이내 준공된 USD 150,000 이상의 건축공사 실적과 USD 300,000 이상의 토목공사 실적을 최소 각각 1건 이상 모두 보유한 업체 &lt;결격사유&gt; 마. 국제기구 또는 외국정부로부터 입찰참가자격이 제한되거나 계약 부적격자로 공표된 자 또는 그에 해당하여 제재를 받은 자가 아닐 것 ㅇ 서약서 제출 (입증서류를 제출하기 어려운 경우에는 상기에 해당하지 아니하다는 사실을 적은 서약서를 제출, 이 경우 서약서에는 서약서에 적은 내용과 다른 사 - 7 -</x:v>
      </x:c>
      <x:c r="J2307" s="43" t="str">
        <x:v>자동추출·검토필요</x:v>
      </x:c>
    </x:row>
    <x:row r="2308">
      <x:c r="A2308" s="43" t="str">
        <x:v>L2023-00006-1</x:v>
      </x:c>
      <x:c r="B2308" s="43" t="str">
        <x:v>부가세·예비비</x:v>
      </x:c>
      <x:c r="C2308" s="46" t="str">
        <x:v>예비비</x:v>
      </x:c>
      <x:c r="D2308" s="46" t="str"/>
      <x:c r="E2308" s="46" t="str"/>
      <x:c r="F2308" s="46" t="str">
        <x:v>0.5% | 5% | 2.5%</x:v>
      </x:c>
      <x:c r="G2308" s="46" t="str">
        <x:v>L2023-00006-1/1. Section 2,3/Section 2 - Bid Data Sheet (BDS)_230223_kor.pdf</x:v>
      </x:c>
      <x:c r="H2308" s="43" t="str">
        <x:v>페이지 12</x:v>
      </x:c>
      <x:c r="I2308" s="46" t="str">
        <x:v>① 가격입찰서 제출(밀봉): 총액입찰 ㅇ 가격입찰서는 입찰서식3에 작성하고 서명하여 제출 ㅇ 총액입찰로 입찰서에 산출내역서를 첨부하지 않음(산출내역서는 공사 계약 시점에 제출) ㅇ 안전관리비 계상 대상 공사 - 총공사비 중 예비비 제외 금액 × 0.5% 이상을 고정투찰 - KOICA 건설공사 안전관리 업무 매뉴얼에 따라 사후정산 ㅇ 예비비 반영 대상 공사 - 전체 공사비의 5%를 고정투찰하며, 사전에 발주자의 승인을 받은 후 집행 ② 입찰에 관한 서류제출: 원본 1부 및 및 스캔본 USB 1개 ※ 원본제출 / 입찰에 제출되는 서류가 사본일 경우에는 원본대조필을 확인‧날인하여 제출 ※ 입찰서류는 영문으로 제출해야 하며, 인도네시아어 등 제3국 언어의 경우 영문 공증 제출목록 ① 입찰서 제출서류 목록표 입찰적격자 통지서 ② - 코이카 동티모르사무소로부터 받은 입찰적격 통지서 입찰참가 회사 공문 ③ - (공동수급 시) 대표사가 제출, 공문 본문에 공동수급 구성 업체명 기재 필수 회사소개서 ④ - 영업 기간, 조직도, 인력 구성, 수행 실적(완료 및 진행) 등 포함 입찰보증금(증서) ⑤ - 입찰금액의 2.5%(현금, 보증수표, 불능신용장, 은행지급보증서) 적격심사서류 (입찰서식4,5) ⑥ - 시공경험, 경영상태 *자세한 내용은 붙임1 참조 ⑦ 국제기구 부적격자 관련 서약서(자유양식. 단, 필수기재 내용 포함) ⑧ 청렴계약서 (입찰서식7) ⑨ ODA 사업 참여 반부패 서약서 (입찰서식6) 대리인 위임장: 입찰서 제출자가 입찰 회사의 대표가 아닌 경우 위임장 제출 ⑩ - 대표자인 경우 : 신분증 지참 - 대표자가 아닌 경우 : 신분증+위임장 ⑪ 기타 입찰공고에서 요구하는 서류 등 - 12 -</x:v>
      </x:c>
      <x:c r="J2308" s="43" t="str">
        <x:v>자동추출·검토필요</x:v>
      </x:c>
    </x:row>
    <x:row r="2309">
      <x:c r="A2309" s="43" t="str">
        <x:v>L2023-00006-1</x:v>
      </x:c>
      <x:c r="B2309" s="43" t="str">
        <x:v>부가세·예비비</x:v>
      </x:c>
      <x:c r="C2309" s="46" t="str">
        <x:v>예비비</x:v>
      </x:c>
      <x:c r="D2309" s="46" t="str"/>
      <x:c r="E2309" s="46" t="str"/>
      <x:c r="F2309" s="46" t="str">
        <x:v>15% | 0.05% | 15% | 5% | 0.5% | 30% | 3%</x:v>
      </x:c>
      <x:c r="G2309" s="46" t="str">
        <x:v>L2023-00006-1/1. Section 2,3/Section 2 - Bid Data Sheet (BDS)_230223_kor.pdf</x:v>
      </x:c>
      <x:c r="H2309" s="43" t="str">
        <x:v>페이지 19</x:v>
      </x:c>
      <x:c r="I2309" s="46" t="str">
        <x:v>[붙임2] 주요계약조건 주요계약조건 발주자의 상호/성명 및 주소 - 상호 : KOICA Timor-Leste - 주소 : Level 5, CBD 5, Timor Plaza CM/감리의 상호/성명 및 주소 - 상호 : KOICA PMC Projetu HADALA - 성명 : Olivio F. da Silva (Project Engineer/General Supervisor) - 주소 : Rua Prezidente Nicolao Lobato Comoro, Aldeia Zerro Tres (03), Suco Fatuhada, Postu Administrativu Dom Aleixo, Municipiu Dili. 준공기한 12개월(시공 8개월 + 시운전 4개월) 하자통지기간 2 years (하자보증보험 포함) 준거법 동티모르 현지법 계약 언어 English 교신 언어 (보고서 및 도면) English 계약 및 지급통화 USD 이행보증 The performance security will be in the form of an unconditional bank guarantee in the amount(s) of 15% of the Contract Price. 지체상금률 0.05% of the final Contract Price per day, in the currencies in which the Contract Price is payable. 지체상금 상한 15% of the final Contract Price. 기성지금조건 매 1~2개월마다 공정률에 따라 예비비 총공사비의 5% 고정 투찰. 사전에 발주자의 승인을 받은 후 집행 안전관리비 예비비 제외 총공사비의 0.5% 고정 투찰 물가변동 not applicable 선급금 총액 0~30% of the Accepted Contract Amount payable in the (낙찰 계약금액 비율) currencies in which the Accepted Contract Amount is payable. (shall be adjustable) 유보금 비율 3% 공사에 필요한 보험 동티모르 현지 기준에 따름 CAR=Contractor’s All Risk 법령과 현지 관행상 가입해야 하 근로자 보험 등 ITB 내에서 언급되지 않은 보험 및 기타 규정 는 기타 보험 준수는 관련 현지 법규 및 규정을 참조하고 준수 (예시. 근로자 보험) 국제중재 International a</x:v>
      </x:c>
      <x:c r="J2309" s="43" t="str">
        <x:v>자동추출·검토필요</x:v>
      </x:c>
    </x:row>
    <x:row r="2310">
      <x:c r="A2310" s="43" t="str">
        <x:v>L2023-00006-1</x:v>
      </x:c>
      <x:c r="B2310" s="43" t="str">
        <x:v>부가세·예비비</x:v>
      </x:c>
      <x:c r="C2310" s="46" t="str">
        <x:v>reserve</x:v>
      </x:c>
      <x:c r="D2310" s="46" t="str"/>
      <x:c r="E2310" s="46" t="str"/>
      <x:c r="F2310" s="46" t="str">
        <x:v>0.5%</x:v>
      </x:c>
      <x:c r="G2310" s="46" t="str">
        <x:v>L2023-00006-1/2. Section 1,7,8,9/Section 7 - General Conditions of Contract.docx</x:v>
      </x:c>
      <x:c r="H2310" s="43" t="str">
        <x:v>표 4 행 109</x:v>
      </x:c>
      <x:c r="I2310"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2310" s="43" t="str">
        <x:v>자동추출·검토필요</x:v>
      </x:c>
    </x:row>
    <x:row r="2311">
      <x:c r="A2311" s="43" t="str">
        <x:v>L2023-00006-1</x:v>
      </x:c>
      <x:c r="B2311" s="43" t="str">
        <x:v>부가세·예비비</x:v>
      </x:c>
      <x:c r="C2311" s="46" t="str">
        <x:v>reserve</x:v>
      </x:c>
      <x:c r="D2311" s="46" t="str"/>
      <x:c r="E2311" s="46" t="str"/>
      <x:c r="F2311" s="46" t="str">
        <x:v>50% | 50%</x:v>
      </x:c>
      <x:c r="G2311" s="46" t="str">
        <x:v>L2023-00006-1/2. Section 1,7,8,9/Section 7 - General Conditions of Contract.docx</x:v>
      </x:c>
      <x:c r="H2311" s="43" t="str">
        <x:v>표 12 행 61</x:v>
      </x:c>
      <x:c r="I2311"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311" s="43" t="str">
        <x:v>자동추출·검토필요</x:v>
      </x:c>
    </x:row>
    <x:row r="2312">
      <x:c r="A2312" s="43" t="str">
        <x:v>L2023-00006-1</x:v>
      </x:c>
      <x:c r="B2312" s="43" t="str">
        <x:v>부가세·예비비</x:v>
      </x:c>
      <x:c r="C2312" s="46" t="str">
        <x:v>contingency</x:v>
      </x:c>
      <x:c r="D2312" s="46" t="str"/>
      <x:c r="E2312" s="46" t="str"/>
      <x:c r="F2312" s="46" t="str">
        <x:v>0.5%</x:v>
      </x:c>
      <x:c r="G2312" s="46" t="str">
        <x:v>L2023-00006-1/3. KOICA Safty Management Manual/KOICA Safety Management Manual(ENG).pdf</x:v>
      </x:c>
      <x:c r="H2312" s="43" t="str">
        <x:v>페이지 14</x:v>
      </x:c>
      <x:c r="I2312" s="46" t="str">
        <x:v>4.1.3 KOICA should check that the bill of quantity (BoQ) consists of safety management costs (0.5% or more of the total construction costs, excluding non- contingency) as separate items. 5. Construction Procurement and Contracting 5.1 Provision of Information on Preparing Safety Management Plans 5.1.1 KOICA shall provide the following information for the contractor to formulate a safety management plan that reflects the distinctive features of the site conditions and the final design outcome: (1) Matters regarding the existence of asbestos or harmful substances such as chemical waste within the site; (2) Matters regarding access to the worksite such as railroads and busy roads adjacent to the site; (3) Matters regarding underground facilities and groundwater flows (4) Matters regarding adjacent buildings, structures, and trees that may cause a collapse; (5) Matters regarding land subsidence that may negatively affect structure; (6) Matters regarding obstacles or advantages for the installation of facilities or equipment within the site. 5.2 Review of Safety Management Plans 5.2.1 Review of Safety Management Plans (1) As for the safety management plan formulated by the contractor, K</x:v>
      </x:c>
      <x:c r="J2312" s="43" t="str">
        <x:v>자동추출·검토필요</x:v>
      </x:c>
    </x:row>
    <x:row r="2313">
      <x:c r="A2313" s="43" t="str">
        <x:v>L2023-00006-1</x:v>
      </x:c>
      <x:c r="B2313" s="43" t="str">
        <x:v>부가세·예비비</x:v>
      </x:c>
      <x:c r="C2313" s="46" t="str">
        <x:v>reserve</x:v>
      </x:c>
      <x:c r="D2313" s="46" t="str"/>
      <x:c r="E2313" s="46" t="str"/>
      <x:c r="F2313" s="46" t="str">
        <x:v>0.5%</x:v>
      </x:c>
      <x:c r="G2313" s="46" t="str">
        <x:v>L2023-00006-1/3. KOICA Safty Management Manual/KOICA Safety Management Manual(ENG).pdf</x:v>
      </x:c>
      <x:c r="H2313" s="43" t="str">
        <x:v>페이지 18</x:v>
      </x:c>
      <x:c r="I2313" s="46" t="str">
        <x:v>(1) Amount subject to safety management expenses: Amount excluding reserve funding from the total construction expenses (2) Calculation method: Amount subject to safety management expenses x 0.5% or more (2) Payment of safety management expenses: The contractor shall file a claim for payment of safety management expenses to KOICA along with a confirmation as to the proper disbursement of the safety management expenses to match the purpose prescribed under the safety management plan made by the construction manager. 6. Construction 6.1 Verifying Observance of Safety Management Plans 6.1.1 KOICA shall verify the contractor’s proper performance of the safety management plan. However, if construction project management, similar to consigned supervision, is being implemented, KOICA may allow the construction manager to verify the performance of the safety management plan and file a report on their own. 6.1.2 If there are any issues pointed out by the review of the safety management plan under the immediately preceding paragraph, KOICA shall review said issues and request the contractor make corrections, if necessary. 6.2 Verifying Disbursement of Safety Management Expenses 6.2.1 KOICA s</x:v>
      </x:c>
      <x:c r="J2313" s="43" t="str">
        <x:v>자동추출·검토필요</x:v>
      </x:c>
    </x:row>
    <x:row r="2314">
      <x:c r="A2314" s="43" t="str">
        <x:v>L2023-00006-1</x:v>
      </x:c>
      <x:c r="B2314" s="43" t="str">
        <x:v>부가세·예비비</x:v>
      </x:c>
      <x:c r="C2314" s="46" t="str">
        <x:v>vat, reserve</x:v>
      </x:c>
      <x:c r="D2314" s="46" t="str"/>
      <x:c r="E2314" s="46" t="str"/>
      <x:c r="F2314" s="46" t="str">
        <x:v>0.5%</x:v>
      </x:c>
      <x:c r="G2314" s="46" t="str">
        <x:v>L2023-00006-1/3. KOICA Safty Management Manual/KOICA Safety Management Manual(ENG).pdf</x:v>
      </x:c>
      <x:c r="H2314" s="43" t="str">
        <x:v>페이지 28</x:v>
      </x:c>
      <x:c r="I2314" s="46" t="str">
        <x:v>D. Steel structure works - An overview of materials, equipment, etc.; and detailed shop drawings; - The procedures and precautions for safe construction; - A safety inspection plan and a safety inspection checklist; - A calculation sheet for the safety of steel structures. E. Earth filling and cutting works (including earth dam works) - An overview of materials, equipment, etc.; and detailed shop drawings; - The procedures and precautions for safe construction; - A safety inspection plan and a safety inspection checklist; - A calculation sheet for safety. F. Demolition works - An overview of structures to be demolished, demolition methods, etc.; and detailed shop drawings; - A plan on the order of demolition, and on facilities and measures for safety, etc. G. Mechanical and electrical works: - An overview of materials, equipment, etc.; and detailed shop drawings; - The procedures and precautions for safe construction; - A safety inspection plan and a safety inspection checklist; - A calculation sheet for safety. 1.4 Creation of Safety Management Expense Spending Plans 1.4.1 The contractor shall make a spending plan for safety management expenses by adding expenses incurred in formu</x:v>
      </x:c>
      <x:c r="J2314" s="43" t="str">
        <x:v>자동추출·검토필요</x:v>
      </x:c>
    </x:row>
    <x:row r="2315">
      <x:c r="A2315" s="43" t="str">
        <x:v>L2023-00006-1</x:v>
      </x:c>
      <x:c r="B2315" s="43" t="str">
        <x:v>부가세·예비비</x:v>
      </x:c>
      <x:c r="C2315" s="46" t="str">
        <x:v>예비비</x:v>
      </x:c>
      <x:c r="D2315" s="46" t="str"/>
      <x:c r="E2315" s="46" t="str"/>
      <x:c r="F2315" s="46" t="str">
        <x:v>0.5%</x:v>
      </x:c>
      <x:c r="G2315" s="46" t="str">
        <x:v>L2023-00006-1/3. KOICA Safty Management Manual/KOICA_░╟╝│░°╗τ ╛╚└ⁿ░ⁿ╕«╛≈╣½ ╕┼┤║╛≤(▒╣╣«).pdf</x:v>
      </x:c>
      <x:c r="H2315" s="43" t="str">
        <x:v>페이지 15</x:v>
      </x:c>
      <x:c r="I2315" s="46" t="str">
        <x:v>함된 문서가 있는 지를 확인하고 시공자에게 전달하기 위해 정리 하여야 한다. (1) 설계과정 중에 도출한 건설안전 위험요소(Hazard) 및 위험성 (Risk) (2) 설계에 가정된 각종 시공법과 절차에 관한 사항 (3) 지반조사보고서(수원국에 의해 시행되었거나 자체 시행한 경 우 모두 해당) 4.1.2 KOICA 는 최종 설계 성과품이 설계서(과업지시서)의 설계조건을 충족하지 못한 경우에는 설계자로 하여금 수정․보완토록 하여야 한다. 4.1.3 KOICA 는 설계도서 내역서에 안전관리비(예비비를 제외한 총공 사비의 0.5%이상)가 별도로 계상되어있는지 확인하여야 한다. 5.1 안전관리계획서 작성을 위한 정보 제공 5.1.1 KOICA 는 용지조건의 특수성과 최종 설계 성과품을 반영하여 시 공자가 안전관리계획서를 작성하도록 다음과 같은 정보를 제공하 여야 한다. (1) 용지 내에 석면이나 화학폐기물과 같은 유해물질 존재여부에 관한 사항 (2) 용지 근처의 철길이나 혼잡한 인접도로 등과 같은 현장 접근 에 관한 사항 (3) 지하 매설물과 지하수 흐름에 관한 사항 (4) 붕괴를 유발할 수 있는 인접건물, 구조물 및 식수현황에 관 한 사항 (5) 구조물에 부정적 영향을 끼칠 수 있는 지반침하에 관한 사항 (6) 용지 내 설비나 장비설치의 난이점에 관한 사항 －10－</x:v>
      </x:c>
      <x:c r="J2315" s="43" t="str">
        <x:v>자동추출·검토필요</x:v>
      </x:c>
    </x:row>
    <x:row r="2316">
      <x:c r="A2316" s="43" t="str">
        <x:v>L2023-00006-1</x:v>
      </x:c>
      <x:c r="B2316" s="43" t="str">
        <x:v>부가세·예비비</x:v>
      </x:c>
      <x:c r="C2316" s="46" t="str">
        <x:v>예비비</x:v>
      </x:c>
      <x:c r="D2316" s="46" t="str"/>
      <x:c r="E2316" s="46" t="str"/>
      <x:c r="F2316" s="46" t="str">
        <x:v>0.5%</x:v>
      </x:c>
      <x:c r="G2316" s="46" t="str">
        <x:v>L2023-00006-1/3. KOICA Safty Management Manual/KOICA_░╟╝│░°╗τ ╛╚└ⁿ░ⁿ╕«╛≈╣½ ╕┼┤║╛≤(▒╣╣«).pdf</x:v>
      </x:c>
      <x:c r="H2316" s="43" t="str">
        <x:v>페이지 19</x:v>
      </x:c>
      <x:c r="I2316" s="46" t="str">
        <x:v>용범위는 안전관리계획서 작성 및 검토비용, 공사현장의 안전점 검비용, 공사장 주변 안전관리 비용, 통행안전 및 교통소통 대책 비용, 시공 중 근로자의 산업재해 및 건강 장해 예방, 기타 안전 관리를 위해 시공자가 본 목적에 국한하여 사용하는 비용이다. 5.3.2 KOICA 는 안전관리비를 공사금액에 계상하는 경우에는 다음 기 준에 의하여야 한다. (1) 안전관리비 대상액: 총 공사비 중 예비비 제외 금액 (2) 계상방법: 안전관리비 대상액 × 0.5% 이상 (3) 안전관리비의 지급 : 시공자는 안전관리비가 안전관리계획서 에 기재한 목적에 맞게 사용되었는지 건설사업관리자의 확인 서를 첨부하여 KOICA에 청구하여야 한다. 6. 공사시행 6.1 안전관리계획서 이행여부 확인 6.1.1 KOICA 는 시공자가 착공서류에 안전·환경 및 품질관리계획을 제 대로 작성하여 제출하였는지 확인하여야 한다. 다만, 해당 건설공 사에 감독권한 대행 등 건설사업관리를 시행하는 경우에는 건설 사업관리기술자로 하여금 안전관리계획의 착공서류 포함 여부를 확인하여 보고하도록 할 수 있다. 6.1.2 전 항에 따라 안전관리계획을 검토하여 지적사항(건설사업관리기 술자가 보고한 안전관리계획 이행에 대한 지적사항을 말한다)이 있는 경우에는 KOICA는 해당 사항을 검토하여 필요한 경우 시 공자에게 시정하도록 하여야 한다. 6.2 안전관리비의 집행확인 6.2.1 KOICA 는 안전관리비가 사용기준에 맞게 사용되었는지 확인하여 야 한다. 다만, 해당 건설공사에 감독권한 대행 등 건설사업관리 를 시행하는 경우에는 건설사업관리기술자로 하여금 안전관리 활 －14－</x:v>
      </x:c>
      <x:c r="J2316" s="43" t="str">
        <x:v>자동추출·검토필요</x:v>
      </x:c>
    </x:row>
    <x:row r="2317">
      <x:c r="A2317" s="43" t="str">
        <x:v>L2023-00006-1</x:v>
      </x:c>
      <x:c r="B2317" s="43" t="str">
        <x:v>부가세·예비비</x:v>
      </x:c>
      <x:c r="C2317" s="46" t="str">
        <x:v>예비비</x:v>
      </x:c>
      <x:c r="D2317" s="46" t="str"/>
      <x:c r="E2317" s="46" t="str"/>
      <x:c r="F2317" s="46" t="str">
        <x:v>0.5%</x:v>
      </x:c>
      <x:c r="G2317" s="46" t="str">
        <x:v>L2023-00006-1/3. KOICA Safty Management Manual/KOICA_░╟╝│░°╗τ ╛╚└ⁿ░ⁿ╕«╛≈╣½ ╕┼┤║╛≤(▒╣╣«).pdf</x:v>
      </x:c>
      <x:c r="H2317" s="43" t="str">
        <x:v>페이지 30</x:v>
      </x:c>
      <x:c r="I2317" s="46" t="str">
        <x:v>- 안전점검계획표 및 안전점검표 - 강구조물의 안전성 계산서 마. 성토 및 절토공사(흙댐공사를 포함한다) - 자재·장비 등의 개요 및 시공상세도면 - 안전시공 절차 및 주의사항 - 안전점검계획표 및 안전점검표 - 안전성계산서 바. 해체공사 - 구조물해체의 대상·공법 등의 개요 및 시공상세도면 - 해체순서, 안전시설 및 안전조치 등에 대한 계획 사. 건축설비공사 - 자재·장비 등의 개요 및 시공상세도면 - 안전시공 절차 및 주의사항 - 안전점검계획표 및 안전점검표 - 안전성 계산서 1.4 안전관리비 집행계획 작성 1.4.1 시공자는「건설기술 진흥법」제63조 및 같은 법 시행규칙 제60 조, 「산업안전보건법」 제30조 에 따라 안전관리계획서 작성 및 검토비용, 공사현장의 안전점검비용, 공사장 주변 안전관리 비용, 통행안전 및 교통소통 대책비용, 시공 중 근로자의 산업재해 및 건강 장해 예방을 목적으로 시공자가 본 목적에 국한하여 사용하 는 비용등을 공사금액에 계상하여 안전관리비 집행계획서를 작성 하여야 한다. (1) 안전관리비 대상액: 총 공사비 중 예비비 제외 금액 (2) 계상방법: 안전관리비 대상액 × 0.5% 이상 (3) 안전관리비의 계상액 및 집행계획서는 건설사업관리기술자의 확인서를 첨부하여 건설공사 착공하기 전에 KOICA에게 제 출하여야 한다. －25－</x:v>
      </x:c>
      <x:c r="J2317" s="43" t="str">
        <x:v>자동추출·검토필요</x:v>
      </x:c>
    </x:row>
    <x:row r="2318">
      <x:c r="A2318" s="43" t="str">
        <x:v>L2023-00006-1</x:v>
      </x:c>
      <x:c r="B2318" s="43" t="str">
        <x:v>부가세·예비비</x:v>
      </x:c>
      <x:c r="C2318" s="46" t="str">
        <x:v>vat</x:v>
      </x:c>
      <x:c r="D2318" s="46" t="str"/>
      <x:c r="E2318" s="46" t="str">
        <x:v>KRW 420 billion</x:v>
      </x:c>
      <x:c r="F2318" s="46" t="str"/>
      <x:c r="G2318" s="46" t="str">
        <x:v>L2023-00006-1/4. KOICA Regulations and Guidelines/Detailed Enforcement Rules of the Regulations for Procurement and Contract in Grant Aid Projects(┤δ┐▄╣½╗≤╟∙╖┬╗τ╛≈┐í ░ⁿ╟╤ ┴╢┤▐ ╣╫ ░Φ╛α▒╘┴ñ ╜├╟α╝╝─ó)_20190503.pdf</x:v>
      </x:c>
      <x:c r="H2318" s="43" t="str">
        <x:v>페이지 61</x:v>
      </x:c>
      <x:c r="I2318" s="46" t="str">
        <x:v>(including heads of state agencies, local governments, and public institutions) and are registered and identified as Dishonest Business Operator in the Korea Online E- Procurement System and a e-Procurement System; and whose sanction period ends within the two years preceding the date of signing the contract. [Wholly Amended on Jul. 20, 2017] Article 65-2 (Indemnity Insurance and Mutual Aid Association) (1) Pursuant to Article 31-2 of the Regulations, it is mandatory to purchase indemnity insurance and join a mutual aid association. When preparing the Expected Maximum Price, the insurance premiums shall be appropriated in the budget for the following: 1. Design services of architects and construction technical services contractors; 2. Construction project management; 3. Engineering business; 4. Construction over KRW 420 billion. (2) Insurance and mutual aid association subscription amount shall be the amount excluding VAT (contract to which VAT payment is applied), the indemnity insurance premium, or mutual aid association fee from the contract amount. (3) If the contract amount increases or decreases, the insurance or mutual aid association subscription amount shall be increased o</x:v>
      </x:c>
      <x:c r="J2318" s="43" t="str">
        <x:v>자동추출·검토필요</x:v>
      </x:c>
    </x:row>
    <x:row r="2319">
      <x:c r="A2319" s="43" t="str">
        <x:v>L2023-00006-1</x:v>
      </x:c>
      <x:c r="B2319" s="43" t="str">
        <x:v>부가세·예비비</x:v>
      </x:c>
      <x:c r="C2319" s="46" t="str">
        <x:v>tax</x:v>
      </x:c>
      <x:c r="D2319" s="46" t="str"/>
      <x:c r="E2319" s="46" t="str"/>
      <x:c r="F2319" s="46" t="str">
        <x:v>50%</x:v>
      </x:c>
      <x:c r="G2319" s="46" t="str">
        <x:v>L2023-00006-1/4. KOICA Regulations and Guidelines/Detailed Enforcement Rules of the Regulations for Procurement and Contract in Grant Aid Projects(┤δ┐▄╣½╗≤╟∙╖┬╗τ╛≈┐í ░ⁿ╟╤ ┴╢┤▐ ╣╫ ░Φ╛α▒╘┴ñ ╜├╟α╝╝─ó)_20190503.pdf</x:v>
      </x:c>
      <x:c r="H2319" s="43" t="str">
        <x:v>페이지 90</x:v>
      </x:c>
      <x:c r="I2319" s="46" t="str">
        <x:v>[Form 8] Public Notice of a Tender Public Notice of a Tender The Korea International Cooperation Agency (KOICA) is an affiliate of the Ministry of Foreign Affairs and Trade in charge of the Grant Aid Project. As part of an economic cooperation project with developing countries, KOICA announces the following tenders to select (procure) (name of services or goods) for this (name of a project). 1. Public notice of a tender number: 2. Matters to be placed in the tender ① Name of the tendering: ② Details: Scope of services / Details of procured goods, etc. ※Refer to the appendix for details ③ Contract period: ④ Base Amount (estimated amount): (“zero” tax rate) 3. How to tender: General competitive tendering, limited competitive tendering 4. How to determine a successful tenderer: Lowest tender below Expected Maximum Price / Contract by negotiation/ Tendering in two-step competition 5. Qualification for participating in tendering: Those who have registered as KOICA's procurement partners. However, new companies shall register as procurement partners and participate in the tendering by the deadline for registration of tenders (registration of new companies is determined after reviewing re</x:v>
      </x:c>
      <x:c r="J2319" s="43" t="str">
        <x:v>자동추출·검토필요</x:v>
      </x:c>
    </x:row>
    <x:row r="2320">
      <x:c r="A2320" s="43" t="str">
        <x:v>L2023-00006-1</x:v>
      </x:c>
      <x:c r="B2320" s="43" t="str">
        <x:v>부가세·예비비</x:v>
      </x:c>
      <x:c r="C2320" s="46" t="str">
        <x:v>vat</x:v>
      </x:c>
      <x:c r="D2320" s="46" t="str"/>
      <x:c r="E2320" s="46" t="str">
        <x:v>KRW 10 billion</x:v>
      </x:c>
      <x:c r="F2320" s="46" t="str"/>
      <x:c r="G2320" s="46" t="str">
        <x:v>L2023-00006-1/4. KOICA Regulations and Guidelines/Detailed Enforcement Rules of the Regulations for Procurement and Contract in Grant Aid Projects(┤δ┐▄╣½╗≤╟∙╖┬╗τ╛≈┐í ░ⁿ╟╤ ┴╢┤▐ ╣╫ ░Φ╛α▒╘┴ñ ╜├╟α╝╝─ó)_20190503.pdf</x:v>
      </x:c>
      <x:c r="H2320" s="43" t="str">
        <x:v>페이지 94</x:v>
      </x:c>
      <x:c r="I2320" s="46" t="str">
        <x:v>Company Phone Number Company Name of No. Registration Participants Signature Name Representative Fax Number Number 1 2 3 4 5 Each of the above participants confirmed that the conditions for the above tendering have been amended as described above during at the time of the tendering presentation session; and each affirms that he/she fully understands the details of tendering-related matters such as instructions to tenderers, a request for proposal, and specifications are fully understood. Korea International Cooperation Agency [Form 12] Tender (Negotiation) Documents &lt;Amended on Jul. 20, 2017, Feb. 28, 2018&gt; Tender (Negotiation) Documents To Korea International Cooperation Agency Tender (Negotiation) Date and Time: . . . : I submit tender documents based upon the (international) construction, ((international) purchase of goods, (international) services)) tender instructions for the goods, construction, and service pursuant to the Detailed Enforcement Rules of the Regulations for Procurement and Contract in Grant Aid Projects with Public Notice of a Tender Number__. If this tender is accepted by your institution, I submit a tender proposal, affirming that the construction (goods, ser</x:v>
      </x:c>
      <x:c r="J2320" s="43" t="str">
        <x:v>자동추출·검토필요</x:v>
      </x:c>
    </x:row>
    <x:row r="2321">
      <x:c r="A2321" s="43" t="str">
        <x:v>L2023-00006-1</x:v>
      </x:c>
      <x:c r="B2321" s="43" t="str">
        <x:v>부가세·예비비</x:v>
      </x:c>
      <x:c r="C2321" s="46" t="str">
        <x:v>vat</x:v>
      </x:c>
      <x:c r="D2321" s="46" t="str"/>
      <x:c r="E2321" s="46" t="str">
        <x:v>KRW 2 billion</x:v>
      </x:c>
      <x:c r="F2321" s="46" t="str"/>
      <x:c r="G2321" s="46" t="str">
        <x:v>L2023-00006-1/4. KOICA Regulations and Guidelines/Guidelines for Technical Evaluation(▒Γ╝·╞≥░í┴÷─º)_20210408.pdf</x:v>
      </x:c>
      <x:c r="H2321" s="43" t="str">
        <x:v>페이지 13</x:v>
      </x:c>
      <x:c r="I2321" s="46" t="str">
        <x:v>3. Establishment of an informatization strategy (consulting), Services for developing software (operation), etc.: [Table 3-3]; 4. Services for computer supervision: [Table 3-4]; &lt;Amended on Apr. 29, 2020&gt; 5. Services for supply goods: [Table 3-5]. &lt;Amended on Apr. 29, 2020&gt; (2) If the department that commissioned the evaluation deems necessary when preparing a request for proposal, the allocation limit for each evaluation item shall be increased or reduced by up to 10 points considering the characteristics, purpose, and contents of the project, upon discussing it with the evaluation department. Evaluation criteria shall be added or removed. (3) When evaluating a proposal, if points are added or deducted according to factors other than the reasons specified in the evaluation criteria table in [Table 3] to [Table 3-5], points may be added or deducted based upon [Table 4]. &lt;Amended on Apr. 29, 2020&gt; (4) According to [Table 5-2], "win-win cooperation" shall be included in the quantitative evaluation criteria for a software business that orders at least KRW 2 billion worth of software based on the project budget (including VAT) that mid-sized software business operators can participate </x:v>
      </x:c>
      <x:c r="J2321" s="43" t="str">
        <x:v>자동추출·검토필요</x:v>
      </x:c>
    </x:row>
    <x:row r="2322">
      <x:c r="A2322" s="43" t="str">
        <x:v>L2023-00006-1</x:v>
      </x:c>
      <x:c r="B2322" s="43" t="str">
        <x:v>부가세·예비비</x:v>
      </x:c>
      <x:c r="C2322" s="46" t="str">
        <x:v>vat</x:v>
      </x:c>
      <x:c r="D2322" s="46" t="str"/>
      <x:c r="E2322" s="46" t="str">
        <x:v>KRW 2 billion</x:v>
      </x:c>
      <x:c r="F2322" s="46" t="str"/>
      <x:c r="G2322" s="46" t="str">
        <x:v>L2023-00006-1/4. KOICA Regulations and Guidelines/Guidelines for Technical Evaluation(▒Γ╝·╞≥░í┴÷─º)_20210408.pdf</x:v>
      </x:c>
      <x:c r="H2322" s="43" t="str">
        <x:v>페이지 33</x:v>
      </x:c>
      <x:c r="I2322" s="46" t="str">
        <x:v>- Quality assurance - Test operation - Education and training Project - Maintenance 15 Support - Defect repair plan - Confidential security - Emergency measures (If applicable) Appropriateness of subcontracting plan 5 Subtract [Note] 1. For qualitative evaluation, a standing member or a non-standing member awards an evaluation score out of a maximum score of 90 points and calculates the score by arithmetic average (related to Article 17). 2. Considering the content and characteristics of the project, it is possible to amend details such as the above evaluation items and the scoring criteria for each item if necessary (however, the allocation for each item cannot exceed the 30-point limit) 3. According to [Table 5-2], “win-win cooperation” shall be included in the quantitative evaluation items for a software business that orders at least KRW 2 billion worth of software based on the project budget (including VAT) that mid-sized software business operators can participate in. At least five shall be awarded. However, in cases of competition between SMEs, the item “win-win cooperation” shall be excluded. 4. Where the software project subcontracting plan in [Form 6] submitted at the time</x:v>
      </x:c>
      <x:c r="J2322" s="43" t="str">
        <x:v>자동추출·검토필요</x:v>
      </x:c>
    </x:row>
    <x:row r="2323">
      <x:c r="A2323" s="43" t="str">
        <x:v>L2023-00006-1</x:v>
      </x:c>
      <x:c r="B2323" s="43" t="str">
        <x:v>부가세·예비비</x:v>
      </x:c>
      <x:c r="C2323" s="46" t="str">
        <x:v>vat</x:v>
      </x:c>
      <x:c r="D2323" s="46" t="str"/>
      <x:c r="E2323" s="46" t="str"/>
      <x:c r="F2323" s="46" t="str">
        <x:v>20% | 20% | 20% | 20% | 20%</x:v>
      </x:c>
      <x:c r="G2323" s="46" t="str">
        <x:v>L2023-00006-1/4. KOICA Regulations and Guidelines/Guidelines for Technical Evaluation(▒Γ╝·╞≥░í┴÷─º)_20210408.pdf</x:v>
      </x:c>
      <x:c r="H2323" s="43" t="str">
        <x:v>페이지 41</x:v>
      </x:c>
      <x:c r="I2323" s="46" t="str">
        <x:v>[Table 4] Evaluation Table for Adding or Deducting Points &lt;Amended on Apr. 29, 2020&gt; Evaluation Table for Adding or Deducting Points Category Item and Ground Points A. Companies with no contracting track record with KOICA (if the 0.5 investment share rate or share ratio is at least 20%) (Maximum 0.5) B. Supporting medium, small, or micro-enterprises (if the investment share rate or share ratio is at least 20%) (1) Companies that have been designated as an innovative (venture, 0.5 technological innovation, management innovation, exceptional green business) small or medium-sized business by the Minister of SMEs and Startups (or delegate) (2) Others designated as medium, small, or micro-enterprises 0.25 C. Supporting female-owned businesses and promoting gender equality in employment (if the investment share rate or share ratio is at least 20%) (1) Female-owned businesses that have been defined in the Act on 0.2 Support for Female-owned Businesses and the enforcement decree of the same Act and have been issued a confirmation letter by the Minister of SMEs and Startups (including a delegate) (2) Companies that have been designated as a company with exceptional 0.25 gender equality in e</x:v>
      </x:c>
      <x:c r="J2323" s="43" t="str">
        <x:v>자동추출·검토필요</x:v>
      </x:c>
    </x:row>
    <x:row r="2324">
      <x:c r="A2324" s="43" t="str">
        <x:v>L2023-00006-1</x:v>
      </x:c>
      <x:c r="B2324" s="43" t="str">
        <x:v>부가세·예비비</x:v>
      </x:c>
      <x:c r="C2324" s="46" t="str">
        <x:v>vat</x:v>
      </x:c>
      <x:c r="D2324" s="46" t="str"/>
      <x:c r="E2324" s="46" t="str"/>
      <x:c r="F2324" s="46" t="str">
        <x:v>20% | 20%</x:v>
      </x:c>
      <x:c r="G2324" s="46" t="str">
        <x:v>L2023-00006-1/4. KOICA Regulations and Guidelines/Guidelines for Technical Evaluation(▒Γ╝·╞≥░í┴÷─º)_20210408.pdf</x:v>
      </x:c>
      <x:c r="H2324" s="43" t="str">
        <x:v>페이지 43</x:v>
      </x:c>
      <x:c r="I2324" s="46" t="str">
        <x:v>1. Evaluation on “A (Companies with no contracting track record with KOICA)” (a) Based upon the date of tender notice, regardless of the project type such as research service, evaluation service, fellowship program, public-private partnership program, only companies with no contracting track record are evaluated. (b) For a contracting consortium, it is evaluated only when the investment share rate (or share ratio) is at least 20%. A maximum of 0.5 points is awarded regardless of the number of members. 2. Evaluation on “B (Supporting medium, small, or micro-enterprises)” (a) Medium, small, or micro-enterprises that have been issued a confirmation letter by the Minister of SMEs and Startups (or delegate) are evaluated when all relevant documents are submitted. In this case, evaluation is limited to those falling within the validity period based on the date of public notice of the tender, but if the validity period is not determined, evaluation is limited to those received within the two years since the day before the date of public notice of the tender. (b) In the case of competition between owners of medium or small enterprises, additional points are not awarded for small and medium</x:v>
      </x:c>
      <x:c r="J2324" s="43" t="str">
        <x:v>자동추출·검토필요</x:v>
      </x:c>
    </x:row>
    <x:row r="2325">
      <x:c r="A2325" s="43" t="str">
        <x:v>L2023-00006-1</x:v>
      </x:c>
      <x:c r="B2325" s="43" t="str">
        <x:v>부가세·예비비</x:v>
      </x:c>
      <x:c r="C2325" s="46" t="str">
        <x:v>tax</x:v>
      </x:c>
      <x:c r="D2325" s="46" t="str"/>
      <x:c r="E2325" s="46" t="str"/>
      <x:c r="F2325" s="46" t="str">
        <x:v>50% | 50%</x:v>
      </x:c>
      <x:c r="G2325" s="46" t="str">
        <x:v>L2023-00006-1/4. KOICA Regulations and Guidelines/KOICA Regulations for International Procurement(▒╣┴ª┴╢┤▐▒╘┴ñ)_20190304.pdf</x:v>
      </x:c>
      <x:c r="H2325" s="43" t="str">
        <x:v>페이지 4</x:v>
      </x:c>
      <x:c r="I2325" s="46" t="str">
        <x:v>Tenders and the procedures prescribed in Section II of these Regulations shall apply. However, in accordance with Article 1(2) of these Regulations, KOICA may delegate or entrust its International Procurement duties related to the relevant Project to a KOICA Trustee; provided that such delegation or entrustment is recorded in writing. (3) For International Tenders, KOICA HQ shall be the Employer and the procedures prescribed in Section III of these Regulations shall apply. (4) Use of the procurement system of a Recipient Country shall be at the discretion of KOICA and the procedures prescribed in Section IV of these Regulations shall apply. Article 5 Eligibility (1) The Employer, the Bidder, and the Contracting Party must adhere to the highest standards of ethics in connection with tenders for and contracts of International Procurement. Accordingly, (a) if a selected Bidder is found to have been fraudulent or deceitful during the competitive bid process, the Employer shall be entitled to cancel such selection; and (b) if a Bidder or a Contracting Party is found to have been fraudulent or deceitful during a separate tender process or contracting process conducted by the Employer, KO</x:v>
      </x:c>
      <x:c r="J2325" s="43" t="str">
        <x:v>자동추출·검토필요</x:v>
      </x:c>
    </x:row>
    <x:row r="2326">
      <x:c r="A2326" s="43" t="str">
        <x:v>L2023-00006-1</x:v>
      </x:c>
      <x:c r="B2326" s="43" t="str">
        <x:v>부가세·예비비</x:v>
      </x:c>
      <x:c r="C2326" s="46" t="str">
        <x:v>vat</x:v>
      </x:c>
      <x:c r="D2326" s="46" t="str"/>
      <x:c r="E2326" s="46" t="str">
        <x:v>KRW 100 million | KRW 100 million | KRW 50 million</x:v>
      </x:c>
      <x:c r="F2326" s="46" t="str"/>
      <x:c r="G2326" s="46" t="str">
        <x:v>L2023-00006-1/4. KOICA Regulations and Guidelines/Regulations for Procurement and Contract in Grant Aid Projects(┤δ┐▄╣½╗≤╟∙╖┬╗τ╛≈┐í ░ⁿ╟╤ ┴╢┤▐ ╣╫ ░Φ╛α▒╘┴ñ)_20190520.pdf</x:v>
      </x:c>
      <x:c r="H2326" s="43" t="str">
        <x:v>페이지 15</x:v>
      </x:c>
      <x:c r="I2326" s="46" t="str">
        <x:v>works with an estimated price of KRW 100 million or less under other construction- related laws and regulations; manufacturing goods with an estimated price of KRW 100 million or less; &lt;Amended on Jan. 13, 2009&gt; 3. Contracts other than a contract for construction or manufacturing, or leases or rentals of goods, with an estimated price of KRW 50 million or less; &lt;Amended on Jan. 13, 2009&gt; 4. Products certified under Article 15 of the Industrial Standardization Act or standard products of excellent organizations under Article 25 of the same Act; &lt;Amended on Jan. 13, 2009, May 20, 2019&gt; 5. In a case of manufacture or purchase products conforming to the standards under Article 33 of the Act on the Promotion of Saving and Recycling of Resources; recycled products that have obtained quality certification pursuant to Article 17 (1) 3 of the Enforcement Decree of the Industrial Technology Innovation Promotion Act; products that have certified as eligible for the Environment Mark pursuant to Article 17 of the Environmental Technology and Industry Support Act; &lt;Amended on Jan. 13, 2009, Nov. 2, 2015, May 20, 2019&gt; 6. When manufacturing or purchasing goods designated or announced by the Minis</x:v>
      </x:c>
      <x:c r="J2326" s="43" t="str">
        <x:v>자동추출·검토필요</x:v>
      </x:c>
    </x:row>
    <x:row r="2327">
      <x:c r="A2327" s="43" t="str">
        <x:v>L2023-00006-1</x:v>
      </x:c>
      <x:c r="B2327" s="43" t="str">
        <x:v>부가세·예비비</x:v>
      </x:c>
      <x:c r="C2327" s="46" t="str">
        <x:v>reserve</x:v>
      </x:c>
      <x:c r="D2327" s="46" t="str"/>
      <x:c r="E2327" s="46" t="str">
        <x:v>USD 100,000.</x:v>
      </x:c>
      <x:c r="F2327" s="46" t="str">
        <x:v>200% | 200%</x:v>
      </x:c>
      <x:c r="G2327" s="46" t="str">
        <x:v>L2023-00006-1/4. KOICA Regulations and Guidelines/Standard of Prequalification Criteria(└╘┬√┬ⁿ░í└┌░▌╗τ└ⁿ╜╔╗τ▒Γ┴╪)_20130116.pdf</x:v>
      </x:c>
      <x:c r="H2327" s="43" t="str">
        <x:v>페이지 16</x:v>
      </x:c>
      <x:c r="I2327" s="46" t="str">
        <x:v>입찰참가자격 사전심사 기준 STANDARD OF PREQUALIFICATION CRITERIA of contracts for each tender. (e.g.) The debt ratio shall be not more than 200%, or the current ratio shall be at least 200%. 3) The capabilities to mobilize at least a certain amount of cash may be assessed based on the average balance in the relevant company's accounts in its principal transaction bank, cash reserves as at a certain time (e.g. as at the date of public notice for the tender), etc., and detailed eligibility criteria (period of owning the balance, the average balance, cash reserves, etc.) shall be set up by the official in charge of contracts for each tender. (e.g.) The cash reserves in its accounts of the principal transaction bank as of the base date for examination (date of public notice for the tender) shall be at least USD100,000. * In cases of joint implementation, only the representative may be examined. ② Average annual construction performance 1) Depending on tenders, the period for construction performance may be determined by the official in charge of contracts, but he/she shall be careful not to set an unduly short period as such period (A period of at least five years is desirable). 2) Depending on te</x:v>
      </x:c>
      <x:c r="J2327" s="43" t="str">
        <x:v>자동추출·검토필요</x:v>
      </x:c>
    </x:row>
    <x:row r="2328">
      <x:c r="A2328" s="43" t="str">
        <x:v>L2023-00004-1</x:v>
      </x:c>
      <x:c r="B2328" s="43" t="str">
        <x:v>부가세·예비비</x:v>
      </x:c>
      <x:c r="C2328" s="46" t="str">
        <x:v>vat</x:v>
      </x:c>
      <x:c r="D2328" s="46" t="str"/>
      <x:c r="E2328" s="46" t="str">
        <x:v>USD 686,820</x:v>
      </x:c>
      <x:c r="F2328" s="46" t="str"/>
      <x:c r="G2328" s="46" t="str">
        <x:v>L2023-00004-1/붙임 1. 에티오피아 ICT 센터 입찰 계획.hwp</x:v>
      </x:c>
      <x:c r="H2328" s="43" t="str">
        <x:v>문단 108</x:v>
      </x:c>
      <x:c r="I2328" s="46" t="str">
        <x:v>USD 686,820 (VAT 제외)</x:v>
      </x:c>
      <x:c r="J2328" s="43" t="str">
        <x:v>자동추출·검토필요</x:v>
      </x:c>
    </x:row>
    <x:row r="2329">
      <x:c r="A2329" s="43" t="str">
        <x:v>L2023-00004-1</x:v>
      </x:c>
      <x:c r="B2329" s="43" t="str">
        <x:v>부가세·예비비</x:v>
      </x:c>
      <x:c r="C2329" s="46" t="str">
        <x:v>예비비</x:v>
      </x:c>
      <x:c r="D2329" s="46" t="str"/>
      <x:c r="E2329" s="46" t="str"/>
      <x:c r="F2329" s="46" t="str">
        <x:v>6% | 0.5% | 97.5% | 97.5% | 82.7% | 100%</x:v>
      </x:c>
      <x:c r="G2329" s="46" t="str">
        <x:v>L2023-00004-1/붙임 1. 에티오피아 ICT 센터 입찰 계획.hwp</x:v>
      </x:c>
      <x:c r="H2329" s="43" t="str">
        <x:v>문단 152</x:v>
      </x:c>
      <x:c r="I2329" s="46" t="str">
        <x:v>1) 일반적으로 기초금액은 설계예정가격(예비비6% 및 안전관리비0.5% 포함) 대비 약 97.5%를 산정기초가격은 설계가격 대비 97.5%를 산정하였으나, 금번 추가검토를 통한 설계가격은 집행한도액 대비 약 82.7%정도로써 기초금액의 안전성을 확보하고 있기에 100% 산정함. 함.</x:v>
      </x:c>
      <x:c r="J2329" s="43" t="str">
        <x:v>자동추출·검토필요</x:v>
      </x:c>
    </x:row>
    <x:row r="2330">
      <x:c r="A2330" s="43" t="str">
        <x:v>L2023-00004-1</x:v>
      </x:c>
      <x:c r="B2330" s="43" t="str">
        <x:v>부가세·예비비</x:v>
      </x:c>
      <x:c r="C2330" s="46" t="str">
        <x:v>예비비</x:v>
      </x:c>
      <x:c r="D2330" s="46" t="str"/>
      <x:c r="E2330" s="46" t="str"/>
      <x:c r="F2330" s="46" t="str">
        <x:v>0.5%</x:v>
      </x:c>
      <x:c r="G2330" s="46" t="str">
        <x:v>L2023-00004-1/붙임 1. 에티오피아 ICT 센터 입찰 계획.hwp</x:v>
      </x:c>
      <x:c r="H2330" s="43" t="str">
        <x:v>문단 155</x:v>
      </x:c>
      <x:c r="I2330" s="46" t="str">
        <x:v>- 총공사비 중 예비비 제외금액 × 0.5% 이상을 고정투찰</x:v>
      </x:c>
      <x:c r="J2330" s="43" t="str">
        <x:v>자동추출·검토필요</x:v>
      </x:c>
    </x:row>
    <x:row r="2331">
      <x:c r="A2331" s="43" t="str">
        <x:v>L2023-00004-1</x:v>
      </x:c>
      <x:c r="B2331" s="43" t="str">
        <x:v>부가세·예비비</x:v>
      </x:c>
      <x:c r="C2331" s="46" t="str">
        <x:v>예비비</x:v>
      </x:c>
      <x:c r="D2331" s="46" t="str"/>
      <x:c r="E2331" s="46" t="str"/>
      <x:c r="F2331" s="46" t="str">
        <x:v>3%</x:v>
      </x:c>
      <x:c r="G2331" s="46" t="str">
        <x:v>L2023-00004-1/붙임 1. 에티오피아 ICT 센터 입찰 계획.hwp</x:v>
      </x:c>
      <x:c r="H2331" s="43" t="str">
        <x:v>문단 180</x:v>
      </x:c>
      <x:c r="I2331" s="46" t="str">
        <x:v>ྠ Ā ㅇ 예비비 (Provisional Sum) : 전체공사비 x 3%</x:v>
      </x:c>
      <x:c r="J2331" s="43" t="str">
        <x:v>자동추출·검토필요</x:v>
      </x:c>
    </x:row>
    <x:row r="2332">
      <x:c r="A2332" s="43" t="str">
        <x:v>L2023-00004-1</x:v>
      </x:c>
      <x:c r="B2332" s="43" t="str">
        <x:v>부가세·예비비</x:v>
      </x:c>
      <x:c r="C2332" s="46" t="str">
        <x:v>예비비</x:v>
      </x:c>
      <x:c r="D2332" s="46" t="str"/>
      <x:c r="E2332" s="46" t="str"/>
      <x:c r="F2332" s="46" t="str">
        <x:v>3% | 0.5%</x:v>
      </x:c>
      <x:c r="G2332" s="46" t="str">
        <x:v>L2023-00004-1/붙임 1. 에티오피아 ICT 센터 입찰 계획.hwp</x:v>
      </x:c>
      <x:c r="H2332" s="43" t="str">
        <x:v>문단 671</x:v>
      </x:c>
      <x:c r="I2332" s="46" t="str">
        <x:v>- 입찰가격은 예비비(3%) 및 안전관리비(0.5%)를 포함하여 적용함.</x:v>
      </x:c>
      <x:c r="J2332" s="43" t="str">
        <x:v>자동추출·검토필요</x:v>
      </x:c>
    </x:row>
    <x:row r="2333">
      <x:c r="A2333" s="43" t="str">
        <x:v>L2023-00004-1</x:v>
      </x:c>
      <x:c r="B2333" s="43" t="str">
        <x:v>부가세·예비비</x:v>
      </x:c>
      <x:c r="C2333" s="46" t="str">
        <x:v>reserve</x:v>
      </x:c>
      <x:c r="D2333" s="46" t="str"/>
      <x:c r="E2333" s="46" t="str"/>
      <x:c r="F2333" s="46" t="str">
        <x:v>25%</x:v>
      </x:c>
      <x:c r="G2333" s="46" t="str">
        <x:v>L2023-00004-1/붙임 2. 입찰 서류/02_Part2(░·╛≈┴÷╜├╝¡)/Section_8_BOQ_unpriced/ICT PROJECT ESTIMATION_empty.xlsx</x:v>
      </x:c>
      <x:c r="H2333" s="43" t="str">
        <x:v>02_ELECTRICAL !21</x:v>
      </x:c>
      <x:c r="I2333" s="46" t="str">
        <x:v>E21=25% reserve pitches | F21=NO. | G21=1 | I21==H21*G21</x:v>
      </x:c>
      <x:c r="J2333" s="43" t="str">
        <x:v>자동추출·검토필요</x:v>
      </x:c>
    </x:row>
    <x:row r="2334">
      <x:c r="A2334" s="43" t="str">
        <x:v>L2023-00004-1</x:v>
      </x:c>
      <x:c r="B2334" s="43" t="str">
        <x:v>부가세·예비비</x:v>
      </x:c>
      <x:c r="C2334" s="46" t="str">
        <x:v>reserve</x:v>
      </x:c>
      <x:c r="D2334" s="46" t="str"/>
      <x:c r="E2334" s="46" t="str"/>
      <x:c r="F2334" s="46" t="str">
        <x:v>25%</x:v>
      </x:c>
      <x:c r="G2334" s="46" t="str">
        <x:v>L2023-00004-1/붙임 2. 입찰 서류/02_Part2(░·╛≈┴÷╜├╝¡)/Section_8_BOQ_unpriced/ICT PROJECT ESTIMATION_empty.xlsx</x:v>
      </x:c>
      <x:c r="H2334" s="43" t="str">
        <x:v>02_ELECTRICAL !71</x:v>
      </x:c>
      <x:c r="I2334" s="46" t="str">
        <x:v>E71=25% reserve pitches | F71=NO. | G71=2 | I71==H71*G71</x:v>
      </x:c>
      <x:c r="J2334" s="43" t="str">
        <x:v>자동추출·검토필요</x:v>
      </x:c>
    </x:row>
    <x:row r="2335">
      <x:c r="A2335" s="43" t="str">
        <x:v>L2023-00004-1</x:v>
      </x:c>
      <x:c r="B2335" s="43" t="str">
        <x:v>부가세·예비비</x:v>
      </x:c>
      <x:c r="C2335" s="46" t="str">
        <x:v>reserve</x:v>
      </x:c>
      <x:c r="D2335" s="46" t="str"/>
      <x:c r="E2335" s="46" t="str"/>
      <x:c r="F2335" s="46" t="str">
        <x:v>25%</x:v>
      </x:c>
      <x:c r="G2335" s="46" t="str">
        <x:v>L2023-00004-1/붙임 2. 입찰 서류/02_Part2(░·╛≈┴÷╜├╝¡)/Section_8_BOQ_unpriced/ICT PROJECT ESTIMATION_empty.xlsx</x:v>
      </x:c>
      <x:c r="H2335" s="43" t="str">
        <x:v>02_ELECTRICAL !76</x:v>
      </x:c>
      <x:c r="I2335" s="46" t="str">
        <x:v>E76=25% reserve pitches | F76=NO. | G76=1 | I76==H76*G76</x:v>
      </x:c>
      <x:c r="J2335" s="43" t="str">
        <x:v>자동추출·검토필요</x:v>
      </x:c>
    </x:row>
    <x:row r="2336">
      <x:c r="A2336" s="43" t="str">
        <x:v>L2023-00004-1</x:v>
      </x:c>
      <x:c r="B2336" s="43" t="str">
        <x:v>부가세·예비비</x:v>
      </x:c>
      <x:c r="C2336" s="46" t="str">
        <x:v>reserve</x:v>
      </x:c>
      <x:c r="D2336" s="46" t="str"/>
      <x:c r="E2336" s="46" t="str"/>
      <x:c r="F2336" s="46" t="str">
        <x:v>25%</x:v>
      </x:c>
      <x:c r="G2336" s="46" t="str">
        <x:v>L2023-00004-1/붙임 2. 입찰 서류/02_Part2(░·╛≈┴÷╜├╝¡)/Section_8_BOQ_unpriced/ICT PROJECT ESTIMATION_empty.xlsx</x:v>
      </x:c>
      <x:c r="H2336" s="43" t="str">
        <x:v>02_ELECTRICAL !80</x:v>
      </x:c>
      <x:c r="I2336" s="46" t="str">
        <x:v>E80=25% reserve pitches | F80=NO. | G80=1 | I80==H80*G80</x:v>
      </x:c>
      <x:c r="J2336" s="43" t="str">
        <x:v>자동추출·검토필요</x:v>
      </x:c>
    </x:row>
    <x:row r="2337">
      <x:c r="A2337" s="43" t="str">
        <x:v>L2023-00004-1</x:v>
      </x:c>
      <x:c r="B2337" s="43" t="str">
        <x:v>부가세·예비비</x:v>
      </x:c>
      <x:c r="C2337" s="46" t="str">
        <x:v>reserve</x:v>
      </x:c>
      <x:c r="D2337" s="46" t="str"/>
      <x:c r="E2337" s="46" t="str"/>
      <x:c r="F2337" s="46" t="str">
        <x:v>25%</x:v>
      </x:c>
      <x:c r="G2337" s="46" t="str">
        <x:v>L2023-00004-1/붙임 2. 입찰 서류/02_Part2(░·╛≈┴÷╜├╝¡)/Section_8_BOQ_unpriced/ICT PROJECT ESTIMATION_empty.xlsx</x:v>
      </x:c>
      <x:c r="H2337" s="43" t="str">
        <x:v>02_ELECTRICAL !83</x:v>
      </x:c>
      <x:c r="I2337" s="46" t="str">
        <x:v>E83=25% reserve pitches | F83=NO. | G83=1 | I83==H83*G83</x:v>
      </x:c>
      <x:c r="J2337" s="43" t="str">
        <x:v>자동추출·검토필요</x:v>
      </x:c>
    </x:row>
    <x:row r="2338">
      <x:c r="A2338" s="43" t="str">
        <x:v>L2023-00004-1</x:v>
      </x:c>
      <x:c r="B2338" s="43" t="str">
        <x:v>부가세·예비비</x:v>
      </x:c>
      <x:c r="C2338" s="46" t="str">
        <x:v>reserve</x:v>
      </x:c>
      <x:c r="D2338" s="46" t="str"/>
      <x:c r="E2338" s="46" t="str"/>
      <x:c r="F2338" s="46" t="str">
        <x:v>25%</x:v>
      </x:c>
      <x:c r="G2338" s="46" t="str">
        <x:v>L2023-00004-1/붙임 2. 입찰 서류/02_Part2(░·╛≈┴÷╜├╝¡)/Section_8_BOQ_unpriced/ICT PROJECT ESTIMATION_empty.xlsx</x:v>
      </x:c>
      <x:c r="H2338" s="43" t="str">
        <x:v>02_ELECTRICAL !87</x:v>
      </x:c>
      <x:c r="I2338" s="46" t="str">
        <x:v>E87=25% reserve pitches | F87=NO. | G87=1 | I87==H87*G87</x:v>
      </x:c>
      <x:c r="J2338" s="43" t="str">
        <x:v>자동추출·검토필요</x:v>
      </x:c>
    </x:row>
    <x:row r="2339">
      <x:c r="A2339" s="43" t="str">
        <x:v>L2023-00004-1</x:v>
      </x:c>
      <x:c r="B2339" s="43" t="str">
        <x:v>부가세·예비비</x:v>
      </x:c>
      <x:c r="C2339" s="46" t="str">
        <x:v>reserve</x:v>
      </x:c>
      <x:c r="D2339" s="46" t="str"/>
      <x:c r="E2339" s="46" t="str"/>
      <x:c r="F2339" s="46" t="str">
        <x:v>0.5%</x:v>
      </x:c>
      <x:c r="G2339" s="46" t="str">
        <x:v>L2023-00004-1/붙임 2. 입찰 서류/03_Part3(░Φ╛α╝¡ ╣╫ ▒Γ┼╕ └┌╖ß)/Section_10_GCC/Section_10_GCC.docx</x:v>
      </x:c>
      <x:c r="H2339" s="43" t="str">
        <x:v>표 4 행 109</x:v>
      </x:c>
      <x:c r="I2339"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2339" s="43" t="str">
        <x:v>자동추출·검토필요</x:v>
      </x:c>
    </x:row>
    <x:row r="2340">
      <x:c r="A2340" s="43" t="str">
        <x:v>L2023-00004-1</x:v>
      </x:c>
      <x:c r="B2340" s="43" t="str">
        <x:v>부가세·예비비</x:v>
      </x:c>
      <x:c r="C2340" s="46" t="str">
        <x:v>reserve</x:v>
      </x:c>
      <x:c r="D2340" s="46" t="str"/>
      <x:c r="E2340" s="46" t="str"/>
      <x:c r="F2340" s="46" t="str">
        <x:v>50% | 50%</x:v>
      </x:c>
      <x:c r="G2340" s="46" t="str">
        <x:v>L2023-00004-1/붙임 2. 입찰 서류/03_Part3(░Φ╛α╝¡ ╣╫ ▒Γ┼╕ └┌╖ß)/Section_10_GCC/Section_10_GCC.docx</x:v>
      </x:c>
      <x:c r="H2340" s="43" t="str">
        <x:v>표 12 행 61</x:v>
      </x:c>
      <x:c r="I2340"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340" s="43" t="str">
        <x:v>자동추출·검토필요</x:v>
      </x:c>
    </x:row>
    <x:row r="2341">
      <x:c r="A2341" s="43" t="str">
        <x:v>L2023-00004-1</x:v>
      </x:c>
      <x:c r="B2341" s="43" t="str">
        <x:v>부가세·예비비</x:v>
      </x:c>
      <x:c r="C2341" s="46" t="str">
        <x:v>contingency</x:v>
      </x:c>
      <x:c r="D2341" s="46" t="str"/>
      <x:c r="E2341" s="46" t="str"/>
      <x:c r="F2341" s="46" t="str">
        <x:v>0.5%</x:v>
      </x:c>
      <x:c r="G2341" s="46" t="str">
        <x:v>L2023-00004-1/붙임 2. 입찰 서류/03_Part3(░Φ╛α╝¡ ╣╫ ▒Γ┼╕ └┌╖ß)/Section_12_Other Form/Reference1_KOICA Safety Management Manual.docx</x:v>
      </x:c>
      <x:c r="H2341" s="43" t="str">
        <x:v>문단 279</x:v>
      </x:c>
      <x:c r="I2341" s="46" t="str">
        <x:v>4.1.3 KOICA should check that the bill of quantity (BoQ) consists of safety management costs (0.5% or more of the total construction costs, excluding non-contingency) as separate items.</x:v>
      </x:c>
      <x:c r="J2341" s="43" t="str">
        <x:v>자동추출·검토필요</x:v>
      </x:c>
    </x:row>
    <x:row r="2342">
      <x:c r="A2342" s="43" t="str">
        <x:v>L2023-00004-1</x:v>
      </x:c>
      <x:c r="B2342" s="43" t="str">
        <x:v>부가세·예비비</x:v>
      </x:c>
      <x:c r="C2342" s="46" t="str">
        <x:v>vat, tax</x:v>
      </x:c>
      <x:c r="D2342" s="46" t="str"/>
      <x:c r="E2342" s="46" t="str">
        <x:v>USD 686,820</x:v>
      </x:c>
      <x:c r="F2342" s="46" t="str"/>
      <x:c r="G2342" s="46" t="str">
        <x:v>L2023-00004-1/붙임 3. 입찰 공고문/Invitation for Bid_for ad.docx</x:v>
      </x:c>
      <x:c r="H2342" s="43" t="str">
        <x:v>표 2 행 6</x:v>
      </x:c>
      <x:c r="I2342" s="46" t="str">
        <x:v>Price | Basic Price: USD 686,820 (VAT exclusive) Estimate Price: to be determined ※ The Bidders’ Price Proposal should not exceed the Estimated Price, which will be decided by calculation from this Basic Price, according to KOICA’s Bidding regulation. Any Bidder’s price exceeding such value may result in rejection of its Bid. ※ The successful bidder shall be responsible for the preparation of any documentation regarding tax exemption. KOICA shall provide all necessary documents as required by the Ministry for their relevant transaction. ※ KOICA shall neither retain right nor take responsibility regarding any taxes including VAT, which may incur in the process of bidding &amp; contract agreement. The successful bidder shall be responsible for any tax collection and refund per Ethiopia law.</x:v>
      </x:c>
      <x:c r="J2342" s="43" t="str">
        <x:v>자동추출·검토필요</x:v>
      </x:c>
    </x:row>
    <x:row r="2343">
      <x:c r="A2343" s="43" t="str">
        <x:v>L2023-00004-1</x:v>
      </x:c>
      <x:c r="B2343" s="43" t="str">
        <x:v>부가세·예비비</x:v>
      </x:c>
      <x:c r="C2343" s="46" t="str">
        <x:v>vat</x:v>
      </x:c>
      <x:c r="D2343" s="46" t="str"/>
      <x:c r="E2343" s="46" t="str"/>
      <x:c r="F2343" s="46" t="str">
        <x:v>3% | 4.5% | 7% | 9% | 11% | 13% | 15% | 17%</x:v>
      </x:c>
      <x:c r="G2343" s="46" t="str">
        <x:v>L2023-00004-1/붙임 4. 입찰 공고 견적서/2. Ethiopian Herald.pdf</x:v>
      </x:c>
      <x:c r="H2343" s="43" t="str">
        <x:v>페이지 2</x:v>
      </x:c>
      <x:c r="I2343" s="46" t="str">
        <x:v>Table 1- 2 Frequency discount on EBC Channels Table: 1.2.1 discount on Commercials No Advertising cost amount (Birr) Discount in % 1 300000.00 No discount 2 300,001.00 _ 600,000.00 3% 3 600,001.00 _ 1,000,000.00 4.5% 4 1,000,001.00 _ 2,000,000.00 7% 5 2,000,001.00 _ 4,000,000.00 9% 6 4,000,001.00 _ 6,000,000.00 11% 7 6,000,001.00 - 8,000,000.00 13% 8 8,000,001.00 - 10,000,000.00 15% 9 10,000,001.00 - 12,000,000.00 17% 10 12,000,001.00- 15,000,000.00 19% 11 15,000,001.00- 18,000,000.00 22% 12 18,000,001.00 - 21,000,000.00 24% 13 21,000,001.00 - 24,000,000.00 27% 14 24,000,001.00 - 27,000,000.00 29% 15 27,000,001.00 - 30,000,000.00 33% 16 More than 30,000,001.00 35% 1.3 Ethiopian languages Channel Commercials Price 1.3.1 Table: Commercial price on Ethiopian languages Channel Commercial price per second /without vat/ Advertising Service Number Grade Time products theater and Cinema books Commercials and music commercials PTA Usually Monday to 1 Sunday from 12 199.00 189.00 noon to 5 pm PTB Usually Monday to 2 Sunday from 12 149.00 110.00 noon to 12 noon PTC Usually Monday to 3 Sunday from 5pm 100.00 70.00 to 12 noon 4 Special rate 221.00 221.00 Source: Ethiopian Broadcasting Corporati</x:v>
      </x:c>
      <x:c r="J2343" s="43" t="str">
        <x:v>자동추출·검토필요</x:v>
      </x:c>
    </x:row>
    <x:row r="2344">
      <x:c r="A2344" s="43" t="str">
        <x:v>L2023-00004-1</x:v>
      </x:c>
      <x:c r="B2344" s="43" t="str">
        <x:v>부가세·예비비</x:v>
      </x:c>
      <x:c r="C2344" s="46" t="str">
        <x:v>vat</x:v>
      </x:c>
      <x:c r="D2344" s="46" t="str"/>
      <x:c r="E2344" s="46" t="str"/>
      <x:c r="F2344" s="46" t="str">
        <x:v>5% | 7% | 10% | 15% | 5% | 7% | 10%</x:v>
      </x:c>
      <x:c r="G2344" s="46" t="str">
        <x:v>L2023-00004-1/붙임 4. 입찰 공고 견적서/3. Reporter ░▀└√╝¡.pdf</x:v>
      </x:c>
      <x:c r="H2344" s="43" t="str">
        <x:v>페이지 1</x:v>
      </x:c>
      <x:c r="I2344" s="46" t="str">
        <x:v>ADVERTISEMENT RATE ON AMHARIC AND ENGLISH NEWSPAPERS Size Per Issue 5% 7% 10% Special Front 4,600.00 4,370.00 4,278.00 4,140.00 Front 4,200.00 3,990.00 3,906.00 3,780.00 Quarter Page 4,700.00 4,465.00 4,371.00 4,230.00 Half Page 7,700.00 7,315.00 7,161.00 6,930.00 Full Page 13,600.00 12,920.00 12,648.00 12,240.00 Color Half Back Page 12,000.00 11,400.00 11,160.00 10,800.00 Color Full Page 15,500.00 14,725.00 14,415.00 13,950.00 Color Half Page 10,500.00 9,975.00 9,765.00 9,450.00 Insertion Birr 5.00 for one copy Tel: +251 116 616 179/85 N.B. Fax: +251 116 616 189 Please add 15% VAT to all prices P.O.Box 7023 Addis Ababa, Ethiopia Email: mccreporter@yahoo.com www.ethiopianreporter.com/, www.thereporterethiopia.com/, www.ethiopianreporterjobs.com/ and For 1 - 4 consecutive Issues have no discount www.reportertenders.com/ For 5 - 12 consecutive Issues 5% discount For 13 - 24 consecutive Issues 7% discount FREE PRESS | FREE SPEECH | FREE SPIRIT For 25 - 52 consecutive Issues 10% discount</x:v>
      </x:c>
      <x:c r="J2344" s="43" t="str">
        <x:v>자동추출·검토필요</x:v>
      </x:c>
    </x:row>
    <x:row r="2345">
      <x:c r="A2345" s="43" t="str">
        <x:v>L2023-00004-1</x:v>
      </x:c>
      <x:c r="B2345" s="43" t="str">
        <x:v>부가세·예비비</x:v>
      </x:c>
      <x:c r="C2345" s="46" t="str">
        <x:v>vat</x:v>
      </x:c>
      <x:c r="D2345" s="46" t="str"/>
      <x:c r="E2345" s="46" t="str"/>
      <x:c r="F2345" s="46" t="str">
        <x:v>15%</x:v>
      </x:c>
      <x:c r="G2345" s="46" t="str">
        <x:v>L2023-00004-1/붙임 4. 입찰 공고 견적서/3. Reporter ░▀└√╝¡.pdf</x:v>
      </x:c>
      <x:c r="H2345" s="43" t="str">
        <x:v>페이지 2</x:v>
      </x:c>
      <x:c r="I2345" s="46" t="str">
        <x:v>JOBS ADVERTISEMENT RATE ON NEWSPAPERS, WEBSITE AND SOCIAL MEDIA Newspapers Website Size and Website and Social Media Quarter Page 4,700.00 3,760.00 Special Quarter One 5,600.00 4,480.00 Half Page 7,700.00 6,160.00 Special Half 11,100.00 8,880.00 Full Page 13,600.00 10,880.00 TENDER/ BID ADVERTISEMENT RATE ON NEWSPAPERS, WEBSITE AND SOCIAL MEDIA Newspapers Website Size and Website and Social Media Quarter Page 4,700.00 3,760.00 Half Page 7,700.00 6,160.00 Full Page 13,600.00 10,880.00 Tel: +251 116 616 179/85 N.B. Fax: +251 116 616 189 Please add 15% VAT to all prices P.O.Box 7023 Addis Ababa, Ethiopia Email: mccreporter@yahoo.com www.ethiopianreporter.com/, www.thereporterethiopia.com/, www.ethiopianreporterjobs.com/ and www.reportertenders.com/ FREE PRESS | FREE SPEECH | FREE SPIRIT</x:v>
      </x:c>
      <x:c r="J2345" s="43" t="str">
        <x:v>자동추출·검토필요</x:v>
      </x:c>
    </x:row>
    <x:row r="2346">
      <x:c r="A2346" s="43" t="str">
        <x:v>L2023-00003-1</x:v>
      </x:c>
      <x:c r="B2346" s="43" t="str">
        <x:v>부가세·예비비</x:v>
      </x:c>
      <x:c r="C2346" s="46" t="str">
        <x:v>vat</x:v>
      </x:c>
      <x:c r="D2346" s="46" t="str"/>
      <x:c r="E2346" s="46" t="str"/>
      <x:c r="F2346" s="46" t="str">
        <x:v>95%</x:v>
      </x:c>
      <x:c r="G2346" s="46" t="str">
        <x:v>L2023-00003-1/Bid Document(ESMV II)_separately attached/Bid Document(ESMV II)_separately attached/Part 2 Requirements/Section 4. Bill of Quantities_unpriced.xlsx</x:v>
      </x:c>
      <x:c r="H2346" s="43" t="str">
        <x:v>ADMIN BLOCK!15</x:v>
      </x:c>
      <x:c r="I2346" s="46" t="str">
        <x:v>A15=I | B15=Return, fill and ram: selected excavated materials around foundations,walling and columns; placed in 200mm layers compacted to 95% MDD. | C15=CM | D15=26</x:v>
      </x:c>
      <x:c r="J2346" s="43" t="str">
        <x:v>자동추출·검토필요</x:v>
      </x:c>
    </x:row>
    <x:row r="2347">
      <x:c r="A2347" s="43" t="str">
        <x:v>L2023-00003-1</x:v>
      </x:c>
      <x:c r="B2347" s="43" t="str">
        <x:v>부가세·예비비</x:v>
      </x:c>
      <x:c r="C2347" s="46" t="str">
        <x:v>reserve</x:v>
      </x:c>
      <x:c r="D2347" s="46" t="str"/>
      <x:c r="E2347" s="46" t="str"/>
      <x:c r="F2347" s="46" t="str">
        <x:v>10% | 25%</x:v>
      </x:c>
      <x:c r="G2347" s="46" t="str">
        <x:v>L2023-00003-1/Bid Document(ESMV II)_separately attached/Bid Document(ESMV II)_separately attached/Part 2 Requirements/Section 6. Specification.pdf</x:v>
      </x:c>
      <x:c r="H2347" s="43" t="str">
        <x:v>페이지 31</x:v>
      </x:c>
      <x:c r="I2347" s="46" t="str">
        <x:v>Standard Specifications for Building Works Part 1 - Section 4 1.4.11 Design Mixes The strengths attained for each mix shall be in accordance with those stated in Table 4.12.1 as described later. If, because of the nature of the aggregates available, it becomes impossible to achieve the desired strength and workability, the Project Manager reserves the right to vary or “design” the mix proportion in order that concrete of the necessary quality will be produced. The Contractor shall include for this and for a minimum increase of 10% in the cement content of any specified mix, whether by volume or weight, without extra charge. 1.4.12 Trial Mixes When directed by the Project Manager, the Trial Contractor shall make trial mixes for his approval mixes, before general manufacture of concrete commences. Trail mixes shall be made using the identical plant and compaction methods which will be used in the works and deposited in suitable representative formwork. Careful measurements of the cement, aggregate and water: cement ratios, slump and workability shall be made and the time of mixing noted for each mix. Six “preliminary” test cubes shall also be made for each mix. Three cubes from each </x:v>
      </x:c>
      <x:c r="J2347" s="43" t="str">
        <x:v>자동추출·검토필요</x:v>
      </x:c>
    </x:row>
    <x:row r="2348">
      <x:c r="A2348" s="43" t="str">
        <x:v>L2023-00003-1</x:v>
      </x:c>
      <x:c r="B2348" s="43" t="str">
        <x:v>부가세·예비비</x:v>
      </x:c>
      <x:c r="C2348" s="46" t="str">
        <x:v>vat</x:v>
      </x:c>
      <x:c r="D2348" s="46" t="str"/>
      <x:c r="E2348" s="46" t="str"/>
      <x:c r="F2348" s="46" t="str">
        <x:v>50%</x:v>
      </x:c>
      <x:c r="G2348" s="46" t="str">
        <x:v>L2023-00003-1/Bid Document(ESMV II)_separately attached/Bid Document(ESMV II)_separately attached/Part 2 Requirements/Section 6. Specification.pdf</x:v>
      </x:c>
      <x:c r="H2348" s="43" t="str">
        <x:v>페이지 82</x:v>
      </x:c>
      <x:c r="I2348" s="46" t="str">
        <x:v>Standard Specifications for Building Works Part 2 - Section 1 2.1.5 Tubing Generally All pipes shall whenever possible be located in such a manner as to minimize risk of mechanical damage and shall be readily accessible for inspection and repair, but shall nevertheless not appear unsightly. All waste pipes shall be fitted with sweep-tees with screwed cleaning caps at each change of direction. All services shall be connected to sanitary fittings, tanks, etc. with approved union connectors. The exposed ends of all overflow pipes shall be mosquito- proofed by means of 32 S.W.G x 20 mesh copper wire gauze, tightly bound on with stout wire. 2.1.6 Water Service and Distribution Pipework Service pipes shall be laid from the stop-valves at the boundary of the site to a storage tank; stop-valves being inserted in all positions as required by the Project Manager and all pipe work inside the building shall be securely fixed in position. 2.1.7 Branches to Drinking Water Draw-off Taps Branches to drinking water draw-off taps shall be taken directly from the service pipe to drinking water draw off points in the building. 2.1.8. Delivery Pipes Delivery on distribution pipes shall be fitted with s</x:v>
      </x:c>
      <x:c r="J2348" s="43" t="str">
        <x:v>자동추출·검토필요</x:v>
      </x:c>
    </x:row>
    <x:row r="2349">
      <x:c r="A2349" s="43" t="str">
        <x:v>L2023-00003-1</x:v>
      </x:c>
      <x:c r="B2349" s="43" t="str">
        <x:v>부가세·예비비</x:v>
      </x:c>
      <x:c r="C2349" s="46" t="str">
        <x:v>vat</x:v>
      </x:c>
      <x:c r="D2349" s="46" t="str"/>
      <x:c r="E2349" s="46" t="str"/>
      <x:c r="F2349" s="46" t="str">
        <x:v>25%</x:v>
      </x:c>
      <x:c r="G2349" s="46" t="str">
        <x:v>L2023-00003-1/Bid Document(ESMV II)_separately attached/Bid Document(ESMV II)_separately attached/Part 2 Requirements/Section 6. Specification.pdf</x:v>
      </x:c>
      <x:c r="H2349" s="43" t="str">
        <x:v>페이지 85</x:v>
      </x:c>
      <x:c r="I2349" s="46" t="str">
        <x:v>Standard Specifications for Building Works Part 2 - Section 2 2.2 DRAIN LAYING 2.2.1 Drainage &amp; Sanitation Rules All drainage work is to be carried out in accordance with the Regulations for Sanitary Installations in Buildings 2.2.2 Excavation Excavation shall be made for manholes, lines of pipe and other works to the depth as shown on the Drawings, or as shall be required by the Project Manager or as necessary to permit proper execution of the work, should there be erroneous over-excavation to levels below those required for drains, foundations or other works, refilling and making up of levels shall be carried out in concrete of approved mix and no other material shall be used for this purpose. All excavations shall be kept clear of water or mud by approved means. Sides of excavations shall be adequately supported by timbering or other means approved by the Project Manager. 2.2.3 Laying Lines of Pipes The Contractor shall provide and fix properly painted sight rails which will be checked by the Project Manager before any pipes are laid, and there shall be no fewer than three sights rails in position at one time on every length of pipe under construction. Boning rods shall be provi</x:v>
      </x:c>
      <x:c r="J2349" s="43" t="str">
        <x:v>자동추출·검토필요</x:v>
      </x:c>
    </x:row>
    <x:row r="2350">
      <x:c r="A2350" s="43" t="str">
        <x:v>L2023-00003-1</x:v>
      </x:c>
      <x:c r="B2350" s="43" t="str">
        <x:v>부가세·예비비</x:v>
      </x:c>
      <x:c r="C2350" s="46" t="str">
        <x:v>reserve</x:v>
      </x:c>
      <x:c r="D2350" s="46" t="str"/>
      <x:c r="E2350" s="46" t="str"/>
      <x:c r="F2350" s="46" t="str">
        <x:v>0.5%</x:v>
      </x:c>
      <x:c r="G2350" s="46" t="str">
        <x:v>L2023-00003-1/Bid Document(ESMV II)_separately attached/Bid Document(ESMV II)_separately attached/Part 3 Conditions of Contract and Contract Forms/Section 7. General Conditions of Contract.docx</x:v>
      </x:c>
      <x:c r="H2350" s="43" t="str">
        <x:v>표 4 행 109</x:v>
      </x:c>
      <x:c r="I2350"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2350" s="43" t="str">
        <x:v>자동추출·검토필요</x:v>
      </x:c>
    </x:row>
    <x:row r="2351">
      <x:c r="A2351" s="43" t="str">
        <x:v>L2023-00003-1</x:v>
      </x:c>
      <x:c r="B2351" s="43" t="str">
        <x:v>부가세·예비비</x:v>
      </x:c>
      <x:c r="C2351" s="46" t="str">
        <x:v>reserve</x:v>
      </x:c>
      <x:c r="D2351" s="46" t="str"/>
      <x:c r="E2351" s="46" t="str"/>
      <x:c r="F2351" s="46" t="str">
        <x:v>50% | 50%</x:v>
      </x:c>
      <x:c r="G2351" s="46" t="str">
        <x:v>L2023-00003-1/Bid Document(ESMV II)_separately attached/Bid Document(ESMV II)_separately attached/Part 3 Conditions of Contract and Contract Forms/Section 7. General Conditions of Contract.docx</x:v>
      </x:c>
      <x:c r="H2351" s="43" t="str">
        <x:v>표 12 행 61</x:v>
      </x:c>
      <x:c r="I2351"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351" s="43" t="str">
        <x:v>자동추출·검토필요</x:v>
      </x:c>
    </x:row>
    <x:row r="2352">
      <x:c r="A2352" s="43" t="str">
        <x:v>L2022-00068-1</x:v>
      </x:c>
      <x:c r="B2352" s="43" t="str">
        <x:v>부가세·예비비</x:v>
      </x:c>
      <x:c r="C2352" s="46" t="str">
        <x:v>vat</x:v>
      </x:c>
      <x:c r="D2352" s="46" t="str"/>
      <x:c r="E2352" s="46" t="str">
        <x:v>USD 686,820</x:v>
      </x:c>
      <x:c r="F2352" s="46" t="str"/>
      <x:c r="G2352" s="46" t="str">
        <x:v>L2022-00068-1/붙임 1. 입찰 계획서.hwp</x:v>
      </x:c>
      <x:c r="H2352" s="43" t="str">
        <x:v>문단 109</x:v>
      </x:c>
      <x:c r="I2352" s="46" t="str">
        <x:v>USD 686,820 (VAT 제외)</x:v>
      </x:c>
      <x:c r="J2352" s="43" t="str">
        <x:v>자동추출·검토필요</x:v>
      </x:c>
    </x:row>
    <x:row r="2353">
      <x:c r="A2353" s="43" t="str">
        <x:v>L2022-00068-1</x:v>
      </x:c>
      <x:c r="B2353" s="43" t="str">
        <x:v>부가세·예비비</x:v>
      </x:c>
      <x:c r="C2353" s="46" t="str">
        <x:v>예비비</x:v>
      </x:c>
      <x:c r="D2353" s="46" t="str"/>
      <x:c r="E2353" s="46" t="str"/>
      <x:c r="F2353" s="46" t="str">
        <x:v>3% | 0.5% | 97.5% | 97.5% | 82.7% | 100%</x:v>
      </x:c>
      <x:c r="G2353" s="46" t="str">
        <x:v>L2022-00068-1/붙임 1. 입찰 계획서.hwp</x:v>
      </x:c>
      <x:c r="H2353" s="43" t="str">
        <x:v>문단 153</x:v>
      </x:c>
      <x:c r="I2353" s="46" t="str">
        <x:v>1) 일반적으로 기초금액은 설계예정가격(예비비3%) 및 안전관리비0.5% 포함) 대비 약 97.5%를 산정기초가격은 설계가격 대비 97.5%를 산정하였으나, 금번 추가검토를 통한 설계가격은 집행한도액 대비 약 82.7%정도로써 기초금액의 안전성을 확보하고 있기에 100% 산정함. 함.</x:v>
      </x:c>
      <x:c r="J2353" s="43" t="str">
        <x:v>자동추출·검토필요</x:v>
      </x:c>
    </x:row>
    <x:row r="2354">
      <x:c r="A2354" s="43" t="str">
        <x:v>L2022-00068-1</x:v>
      </x:c>
      <x:c r="B2354" s="43" t="str">
        <x:v>부가세·예비비</x:v>
      </x:c>
      <x:c r="C2354" s="46" t="str">
        <x:v>예비비</x:v>
      </x:c>
      <x:c r="D2354" s="46" t="str"/>
      <x:c r="E2354" s="46" t="str"/>
      <x:c r="F2354" s="46" t="str">
        <x:v>0.5%</x:v>
      </x:c>
      <x:c r="G2354" s="46" t="str">
        <x:v>L2022-00068-1/붙임 1. 입찰 계획서.hwp</x:v>
      </x:c>
      <x:c r="H2354" s="43" t="str">
        <x:v>문단 156</x:v>
      </x:c>
      <x:c r="I2354" s="46" t="str">
        <x:v>- 총공사비 중 예비비 제외금액 × 0.5% 이상을 고정투찰</x:v>
      </x:c>
      <x:c r="J2354" s="43" t="str">
        <x:v>자동추출·검토필요</x:v>
      </x:c>
    </x:row>
    <x:row r="2355">
      <x:c r="A2355" s="43" t="str">
        <x:v>L2022-00068-1</x:v>
      </x:c>
      <x:c r="B2355" s="43" t="str">
        <x:v>부가세·예비비</x:v>
      </x:c>
      <x:c r="C2355" s="46" t="str">
        <x:v>예비비</x:v>
      </x:c>
      <x:c r="D2355" s="46" t="str"/>
      <x:c r="E2355" s="46" t="str"/>
      <x:c r="F2355" s="46" t="str">
        <x:v>3%</x:v>
      </x:c>
      <x:c r="G2355" s="46" t="str">
        <x:v>L2022-00068-1/붙임 1. 입찰 계획서.hwp</x:v>
      </x:c>
      <x:c r="H2355" s="43" t="str">
        <x:v>문단 181</x:v>
      </x:c>
      <x:c r="I2355" s="46" t="str">
        <x:v>ྠ Ā ㅇ 예비비 (Provisional Sum) : 전체공사비 x 3%</x:v>
      </x:c>
      <x:c r="J2355" s="43" t="str">
        <x:v>자동추출·검토필요</x:v>
      </x:c>
    </x:row>
    <x:row r="2356">
      <x:c r="A2356" s="43" t="str">
        <x:v>L2022-00068-1</x:v>
      </x:c>
      <x:c r="B2356" s="43" t="str">
        <x:v>부가세·예비비</x:v>
      </x:c>
      <x:c r="C2356" s="46" t="str">
        <x:v>예비비</x:v>
      </x:c>
      <x:c r="D2356" s="46" t="str"/>
      <x:c r="E2356" s="46" t="str"/>
      <x:c r="F2356" s="46" t="str">
        <x:v>3% | 0.5%</x:v>
      </x:c>
      <x:c r="G2356" s="46" t="str">
        <x:v>L2022-00068-1/붙임 1. 입찰 계획서.hwp</x:v>
      </x:c>
      <x:c r="H2356" s="43" t="str">
        <x:v>문단 672</x:v>
      </x:c>
      <x:c r="I2356" s="46" t="str">
        <x:v>- 입찰가격은 예비비(3%) 및 안전관리비(0.5%)를 포함하여 적용함.</x:v>
      </x:c>
      <x:c r="J2356" s="43" t="str">
        <x:v>자동추출·검토필요</x:v>
      </x:c>
    </x:row>
    <x:row r="2357">
      <x:c r="A2357" s="43" t="str">
        <x:v>L2022-00068-1</x:v>
      </x:c>
      <x:c r="B2357" s="43" t="str">
        <x:v>부가세·예비비</x:v>
      </x:c>
      <x:c r="C2357" s="46" t="str">
        <x:v>reserve</x:v>
      </x:c>
      <x:c r="D2357" s="46" t="str"/>
      <x:c r="E2357" s="46" t="str"/>
      <x:c r="F2357" s="46" t="str">
        <x:v>25%</x:v>
      </x:c>
      <x:c r="G2357" s="46" t="str">
        <x:v>L2022-00068-1/붙임 2. 입찰 관련 서류/02_Part2(░·╛≈┴÷╜├╝¡)/Section_8_BOQ_unpriced/ICT PROJECT ESTIMATION_empty.xlsx</x:v>
      </x:c>
      <x:c r="H2357" s="43" t="str">
        <x:v>02_ELECTRICAL !21</x:v>
      </x:c>
      <x:c r="I2357" s="46" t="str">
        <x:v>E21=25% reserve pitches | F21=NO. | G21=1 | I21==H21*G21</x:v>
      </x:c>
      <x:c r="J2357" s="43" t="str">
        <x:v>자동추출·검토필요</x:v>
      </x:c>
    </x:row>
    <x:row r="2358">
      <x:c r="A2358" s="43" t="str">
        <x:v>L2022-00068-1</x:v>
      </x:c>
      <x:c r="B2358" s="43" t="str">
        <x:v>부가세·예비비</x:v>
      </x:c>
      <x:c r="C2358" s="46" t="str">
        <x:v>reserve</x:v>
      </x:c>
      <x:c r="D2358" s="46" t="str"/>
      <x:c r="E2358" s="46" t="str"/>
      <x:c r="F2358" s="46" t="str">
        <x:v>25%</x:v>
      </x:c>
      <x:c r="G2358" s="46" t="str">
        <x:v>L2022-00068-1/붙임 2. 입찰 관련 서류/02_Part2(░·╛≈┴÷╜├╝¡)/Section_8_BOQ_unpriced/ICT PROJECT ESTIMATION_empty.xlsx</x:v>
      </x:c>
      <x:c r="H2358" s="43" t="str">
        <x:v>02_ELECTRICAL !71</x:v>
      </x:c>
      <x:c r="I2358" s="46" t="str">
        <x:v>E71=25% reserve pitches | F71=NO. | G71=2 | I71==H71*G71</x:v>
      </x:c>
      <x:c r="J2358" s="43" t="str">
        <x:v>자동추출·검토필요</x:v>
      </x:c>
    </x:row>
    <x:row r="2359">
      <x:c r="A2359" s="43" t="str">
        <x:v>L2022-00068-1</x:v>
      </x:c>
      <x:c r="B2359" s="43" t="str">
        <x:v>부가세·예비비</x:v>
      </x:c>
      <x:c r="C2359" s="46" t="str">
        <x:v>reserve</x:v>
      </x:c>
      <x:c r="D2359" s="46" t="str"/>
      <x:c r="E2359" s="46" t="str"/>
      <x:c r="F2359" s="46" t="str">
        <x:v>25%</x:v>
      </x:c>
      <x:c r="G2359" s="46" t="str">
        <x:v>L2022-00068-1/붙임 2. 입찰 관련 서류/02_Part2(░·╛≈┴÷╜├╝¡)/Section_8_BOQ_unpriced/ICT PROJECT ESTIMATION_empty.xlsx</x:v>
      </x:c>
      <x:c r="H2359" s="43" t="str">
        <x:v>02_ELECTRICAL !76</x:v>
      </x:c>
      <x:c r="I2359" s="46" t="str">
        <x:v>E76=25% reserve pitches | F76=NO. | G76=1 | I76==H76*G76</x:v>
      </x:c>
      <x:c r="J2359" s="43" t="str">
        <x:v>자동추출·검토필요</x:v>
      </x:c>
    </x:row>
    <x:row r="2360">
      <x:c r="A2360" s="43" t="str">
        <x:v>L2022-00068-1</x:v>
      </x:c>
      <x:c r="B2360" s="43" t="str">
        <x:v>부가세·예비비</x:v>
      </x:c>
      <x:c r="C2360" s="46" t="str">
        <x:v>reserve</x:v>
      </x:c>
      <x:c r="D2360" s="46" t="str"/>
      <x:c r="E2360" s="46" t="str"/>
      <x:c r="F2360" s="46" t="str">
        <x:v>25%</x:v>
      </x:c>
      <x:c r="G2360" s="46" t="str">
        <x:v>L2022-00068-1/붙임 2. 입찰 관련 서류/02_Part2(░·╛≈┴÷╜├╝¡)/Section_8_BOQ_unpriced/ICT PROJECT ESTIMATION_empty.xlsx</x:v>
      </x:c>
      <x:c r="H2360" s="43" t="str">
        <x:v>02_ELECTRICAL !80</x:v>
      </x:c>
      <x:c r="I2360" s="46" t="str">
        <x:v>E80=25% reserve pitches | F80=NO. | G80=1 | I80==H80*G80</x:v>
      </x:c>
      <x:c r="J2360" s="43" t="str">
        <x:v>자동추출·검토필요</x:v>
      </x:c>
    </x:row>
    <x:row r="2361">
      <x:c r="A2361" s="43" t="str">
        <x:v>L2022-00068-1</x:v>
      </x:c>
      <x:c r="B2361" s="43" t="str">
        <x:v>부가세·예비비</x:v>
      </x:c>
      <x:c r="C2361" s="46" t="str">
        <x:v>reserve</x:v>
      </x:c>
      <x:c r="D2361" s="46" t="str"/>
      <x:c r="E2361" s="46" t="str"/>
      <x:c r="F2361" s="46" t="str">
        <x:v>25%</x:v>
      </x:c>
      <x:c r="G2361" s="46" t="str">
        <x:v>L2022-00068-1/붙임 2. 입찰 관련 서류/02_Part2(░·╛≈┴÷╜├╝¡)/Section_8_BOQ_unpriced/ICT PROJECT ESTIMATION_empty.xlsx</x:v>
      </x:c>
      <x:c r="H2361" s="43" t="str">
        <x:v>02_ELECTRICAL !83</x:v>
      </x:c>
      <x:c r="I2361" s="46" t="str">
        <x:v>E83=25% reserve pitches | F83=NO. | G83=1 | I83==H83*G83</x:v>
      </x:c>
      <x:c r="J2361" s="43" t="str">
        <x:v>자동추출·검토필요</x:v>
      </x:c>
    </x:row>
    <x:row r="2362">
      <x:c r="A2362" s="43" t="str">
        <x:v>L2022-00068-1</x:v>
      </x:c>
      <x:c r="B2362" s="43" t="str">
        <x:v>부가세·예비비</x:v>
      </x:c>
      <x:c r="C2362" s="46" t="str">
        <x:v>reserve</x:v>
      </x:c>
      <x:c r="D2362" s="46" t="str"/>
      <x:c r="E2362" s="46" t="str"/>
      <x:c r="F2362" s="46" t="str">
        <x:v>25%</x:v>
      </x:c>
      <x:c r="G2362" s="46" t="str">
        <x:v>L2022-00068-1/붙임 2. 입찰 관련 서류/02_Part2(░·╛≈┴÷╜├╝¡)/Section_8_BOQ_unpriced/ICT PROJECT ESTIMATION_empty.xlsx</x:v>
      </x:c>
      <x:c r="H2362" s="43" t="str">
        <x:v>02_ELECTRICAL !87</x:v>
      </x:c>
      <x:c r="I2362" s="46" t="str">
        <x:v>E87=25% reserve pitches | F87=NO. | G87=1 | I87==H87*G87</x:v>
      </x:c>
      <x:c r="J2362" s="43" t="str">
        <x:v>자동추출·검토필요</x:v>
      </x:c>
    </x:row>
    <x:row r="2363">
      <x:c r="A2363" s="43" t="str">
        <x:v>L2022-00068-1</x:v>
      </x:c>
      <x:c r="B2363" s="43" t="str">
        <x:v>부가세·예비비</x:v>
      </x:c>
      <x:c r="C2363" s="46" t="str">
        <x:v>reserve</x:v>
      </x:c>
      <x:c r="D2363" s="46" t="str"/>
      <x:c r="E2363" s="46" t="str"/>
      <x:c r="F2363" s="46" t="str">
        <x:v>0.5%</x:v>
      </x:c>
      <x:c r="G2363" s="46" t="str">
        <x:v>L2022-00068-1/붙임 2. 입찰 관련 서류/03_Part3(░Φ╛α╝¡ ╣╫ ▒Γ┼╕ └┌╖ß)/Section_10_GCC/Section_10_GCC.docx</x:v>
      </x:c>
      <x:c r="H2363" s="43" t="str">
        <x:v>표 4 행 109</x:v>
      </x:c>
      <x:c r="I2363"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2363" s="43" t="str">
        <x:v>자동추출·검토필요</x:v>
      </x:c>
    </x:row>
    <x:row r="2364">
      <x:c r="A2364" s="43" t="str">
        <x:v>L2022-00068-1</x:v>
      </x:c>
      <x:c r="B2364" s="43" t="str">
        <x:v>부가세·예비비</x:v>
      </x:c>
      <x:c r="C2364" s="46" t="str">
        <x:v>reserve</x:v>
      </x:c>
      <x:c r="D2364" s="46" t="str"/>
      <x:c r="E2364" s="46" t="str"/>
      <x:c r="F2364" s="46" t="str">
        <x:v>50% | 50%</x:v>
      </x:c>
      <x:c r="G2364" s="46" t="str">
        <x:v>L2022-00068-1/붙임 2. 입찰 관련 서류/03_Part3(░Φ╛α╝¡ ╣╫ ▒Γ┼╕ └┌╖ß)/Section_10_GCC/Section_10_GCC.docx</x:v>
      </x:c>
      <x:c r="H2364" s="43" t="str">
        <x:v>표 12 행 61</x:v>
      </x:c>
      <x:c r="I2364"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364" s="43" t="str">
        <x:v>자동추출·검토필요</x:v>
      </x:c>
    </x:row>
    <x:row r="2365">
      <x:c r="A2365" s="43" t="str">
        <x:v>L2022-00068-1</x:v>
      </x:c>
      <x:c r="B2365" s="43" t="str">
        <x:v>부가세·예비비</x:v>
      </x:c>
      <x:c r="C2365" s="46" t="str">
        <x:v>contingency</x:v>
      </x:c>
      <x:c r="D2365" s="46" t="str"/>
      <x:c r="E2365" s="46" t="str"/>
      <x:c r="F2365" s="46" t="str">
        <x:v>0.5%</x:v>
      </x:c>
      <x:c r="G2365" s="46" t="str">
        <x:v>L2022-00068-1/붙임 2. 입찰 관련 서류/03_Part3(░Φ╛α╝¡ ╣╫ ▒Γ┼╕ └┌╖ß)/Section_12_Other Form/Reference1_KOICA Safety Management Manual.docx</x:v>
      </x:c>
      <x:c r="H2365" s="43" t="str">
        <x:v>문단 279</x:v>
      </x:c>
      <x:c r="I2365" s="46" t="str">
        <x:v>4.1.3 KOICA should check that the bill of quantity (BoQ) consists of safety management costs (0.5% or more of the total construction costs, excluding non-contingency) as separate items.</x:v>
      </x:c>
      <x:c r="J2365" s="43" t="str">
        <x:v>자동추출·검토필요</x:v>
      </x:c>
    </x:row>
    <x:row r="2366">
      <x:c r="A2366" s="43" t="str">
        <x:v>L2022-00068-1</x:v>
      </x:c>
      <x:c r="B2366" s="43" t="str">
        <x:v>부가세·예비비</x:v>
      </x:c>
      <x:c r="C2366" s="46" t="str">
        <x:v>vat, tax</x:v>
      </x:c>
      <x:c r="D2366" s="46" t="str"/>
      <x:c r="E2366" s="46" t="str">
        <x:v>USD 686,820</x:v>
      </x:c>
      <x:c r="F2366" s="46" t="str"/>
      <x:c r="G2366" s="46" t="str">
        <x:v>L2022-00068-1/붙임 3. 입찰 공고문(Invitation for Bid)/Invitation for Bid_for ad_2022.11.25.docx</x:v>
      </x:c>
      <x:c r="H2366" s="43" t="str">
        <x:v>표 2 행 6</x:v>
      </x:c>
      <x:c r="I2366" s="46" t="str">
        <x:v>Price | Basic Price: USD 686,820 (VAT exclusive) Estimate Price: to be determined ※ The Bidders’ Price Proposal should not exceed the Estimated Price, which will be decided by calculation from this Basic Price, according to KOICA’s Bidding regulation. Any Bidder’s price exceeding such value may result in rejection of its Bid. ※ The successful bidder shall be responsible for the preparation of any documentation regarding tax exemption. KOICA shall provide all necessary documents as required by the Ministry for their relevant transaction. ※ KOICA shall neither retain right nor take responsibility regarding any taxes including VAT, which may incur in the process of bidding &amp; contract agreement. The successful bidder shall be responsible for any tax collection and refund per Ethiopia law.</x:v>
      </x:c>
      <x:c r="J2366" s="43" t="str">
        <x:v>자동추출·검토필요</x:v>
      </x:c>
    </x:row>
    <x:row r="2367">
      <x:c r="A2367" s="43" t="str">
        <x:v>L2022-00060-1</x:v>
      </x:c>
      <x:c r="B2367" s="43" t="str">
        <x:v>부가세·예비비</x:v>
      </x:c>
      <x:c r="C2367" s="46" t="str">
        <x:v>vat</x:v>
      </x:c>
      <x:c r="D2367" s="46" t="str"/>
      <x:c r="E2367" s="46" t="str">
        <x:v>USD 105,490</x:v>
      </x:c>
      <x:c r="F2367" s="46" t="str">
        <x:v>18%</x:v>
      </x:c>
      <x:c r="G2367" s="46" t="str">
        <x:v>L2022-00060-1/(붙임2) 입찰안내서(영문)/01. Dominican Rep Guideline.docx</x:v>
      </x:c>
      <x:c r="H2367" s="43" t="str">
        <x:v>문단 38</x:v>
      </x:c>
      <x:c r="I2367" s="46" t="str">
        <x:v>Maximum Bidding Price : USD 105,490 (VAT 18% included)</x:v>
      </x:c>
      <x:c r="J2367" s="43" t="str">
        <x:v>자동추출·검토필요</x:v>
      </x:c>
    </x:row>
    <x:row r="2368">
      <x:c r="A2368" s="43" t="str">
        <x:v>L2022-00060-1</x:v>
      </x:c>
      <x:c r="B2368" s="43" t="str">
        <x:v>부가세·예비비</x:v>
      </x:c>
      <x:c r="C2368" s="46" t="str">
        <x:v>vat</x:v>
      </x:c>
      <x:c r="D2368" s="46" t="str"/>
      <x:c r="E2368" s="46" t="str">
        <x:v>USD 105,490</x:v>
      </x:c>
      <x:c r="F2368" s="46" t="str">
        <x:v>18%</x:v>
      </x:c>
      <x:c r="G2368" s="46" t="str">
        <x:v>L2022-00060-1/(붙임4) 감리 입찰계획서(국문).hwp</x:v>
      </x:c>
      <x:c r="H2368" s="43" t="str">
        <x:v>문단 50</x:v>
      </x:c>
      <x:c r="I2368" s="46" t="str">
        <x:v>4. 입찰 한도액 : USD 105,490 (VAT 18% 포함) (부가세 등 제비용 포함)</x:v>
      </x:c>
      <x:c r="J2368" s="43" t="str">
        <x:v>자동추출·검토필요</x:v>
      </x:c>
    </x:row>
    <x:row r="2369">
      <x:c r="A2369" s="43" t="str">
        <x:v>L2022-00059-1</x:v>
      </x:c>
      <x:c r="B2369" s="43" t="str">
        <x:v>부가세·예비비</x:v>
      </x:c>
      <x:c r="C2369" s="46" t="str">
        <x:v>vat</x:v>
      </x:c>
      <x:c r="D2369" s="46" t="str"/>
      <x:c r="E2369" s="46" t="str">
        <x:v>USD 117,460.00</x:v>
      </x:c>
      <x:c r="F2369" s="46" t="str">
        <x:v>18%</x:v>
      </x:c>
      <x:c r="G2369" s="46" t="str">
        <x:v>L2022-00059-1/입찰설명서(국문).hwp</x:v>
      </x:c>
      <x:c r="H2369" s="43" t="str">
        <x:v>문단 58</x:v>
      </x:c>
      <x:c r="I2369" s="46" t="str">
        <x:v>3. 입찰한도액 : USD 117,460.00 (VAT 18% 포함)湯湷  (부가세 등 제비용 포함)</x:v>
      </x:c>
      <x:c r="J2369" s="43" t="str">
        <x:v>자동추출·검토필요</x:v>
      </x:c>
    </x:row>
    <x:row r="2370">
      <x:c r="A2370" s="43" t="str">
        <x:v>L2022-00059-1</x:v>
      </x:c>
      <x:c r="B2370" s="43" t="str">
        <x:v>부가세·예비비</x:v>
      </x:c>
      <x:c r="C2370" s="46" t="str">
        <x:v>vat</x:v>
      </x:c>
      <x:c r="D2370" s="46" t="str"/>
      <x:c r="E2370" s="46" t="str">
        <x:v>USD 117,460</x:v>
      </x:c>
      <x:c r="F2370" s="46" t="str">
        <x:v>18%</x:v>
      </x:c>
      <x:c r="G2370" s="46" t="str">
        <x:v>L2022-00059-1/입찰안내자료(영문)/1. Dominican Rep Haina n Monte Cristi CCPP Bidding  Guideline.docx</x:v>
      </x:c>
      <x:c r="H2370" s="43" t="str">
        <x:v>문단 40</x:v>
      </x:c>
      <x:c r="I2370" s="46" t="str">
        <x:v>1.3 Maximum Bidding Price : USD 117,460 (VAT 18% included)</x:v>
      </x:c>
      <x:c r="J2370" s="43" t="str">
        <x:v>자동추출·검토필요</x:v>
      </x:c>
    </x:row>
    <x:row r="2371">
      <x:c r="A2371" s="43" t="str">
        <x:v>L2022-00059-1</x:v>
      </x:c>
      <x:c r="B2371" s="43" t="str">
        <x:v>부가세·예비비</x:v>
      </x:c>
      <x:c r="C2371" s="46" t="str">
        <x:v>contingency</x:v>
      </x:c>
      <x:c r="D2371" s="46" t="str"/>
      <x:c r="E2371" s="46" t="str"/>
      <x:c r="F2371" s="46" t="str">
        <x:v>0.5% | 2%</x:v>
      </x:c>
      <x:c r="G2371" s="46" t="str">
        <x:v>L2022-00059-1/입찰안내자료(영문)/4. Dominican Rep Haina n Monte Cristi CCPP Terms of Reference.docx</x:v>
      </x:c>
      <x:c r="H2371" s="43" t="str">
        <x:v>문단 138</x:v>
      </x:c>
      <x:c r="I2371" s="46" t="str">
        <x:v>Bill of quantity shall include safety management cost (0.5% of total construction cost) and contingency (2% of total construction cost).</x:v>
      </x:c>
      <x:c r="J2371" s="43" t="str">
        <x:v>자동추출·검토필요</x:v>
      </x:c>
    </x:row>
    <x:row r="2372">
      <x:c r="A2372" s="43" t="str">
        <x:v>L2022-00056-1</x:v>
      </x:c>
      <x:c r="B2372" s="43" t="str">
        <x:v>부가세·예비비</x:v>
      </x:c>
      <x:c r="C2372" s="46" t="str">
        <x:v>vat</x:v>
      </x:c>
      <x:c r="D2372" s="46" t="str"/>
      <x:c r="E2372" s="46" t="str">
        <x:v>USD 166,241</x:v>
      </x:c>
      <x:c r="F2372" s="46" t="str"/>
      <x:c r="G2372" s="46" t="str">
        <x:v>L2022-00056-1/과테말라 웨웨떼낭고 모자병원 보수공사 공사입찰계획서-2022.09.19..hwp</x:v>
      </x:c>
      <x:c r="H2372" s="43" t="str">
        <x:v>문단 53</x:v>
      </x:c>
      <x:c r="I2372" s="46" t="str">
        <x:v>4. 집행한도액 : USD 166,241 (VAT 포함)</x:v>
      </x:c>
      <x:c r="J2372" s="43" t="str">
        <x:v>자동추출·검토필요</x:v>
      </x:c>
    </x:row>
    <x:row r="2373">
      <x:c r="A2373" s="43" t="str">
        <x:v>L2022-00056-1</x:v>
      </x:c>
      <x:c r="B2373" s="43" t="str">
        <x:v>부가세·예비비</x:v>
      </x:c>
      <x:c r="C2373" s="46" t="str">
        <x:v>vat</x:v>
      </x:c>
      <x:c r="D2373" s="46" t="str"/>
      <x:c r="E2373" s="46" t="str">
        <x:v>USD 162,085</x:v>
      </x:c>
      <x:c r="F2373" s="46" t="str"/>
      <x:c r="G2373" s="46" t="str">
        <x:v>L2022-00056-1/과테말라 웨웨떼낭고 모자병원 보수공사 공사입찰계획서-2022.09.19..hwp</x:v>
      </x:c>
      <x:c r="H2373" s="43" t="str">
        <x:v>문단 55</x:v>
      </x:c>
      <x:c r="I2373" s="46" t="str">
        <x:v>ㅇ 기초금액 : USD 162,085 (VAT포함)</x:v>
      </x:c>
      <x:c r="J2373" s="43" t="str">
        <x:v>자동추출·검토필요</x:v>
      </x:c>
    </x:row>
    <x:row r="2374">
      <x:c r="A2374" s="43" t="str">
        <x:v>L2022-00055-1</x:v>
      </x:c>
      <x:c r="B2374" s="43" t="str">
        <x:v>부가세·예비비</x:v>
      </x:c>
      <x:c r="C2374" s="46" t="str">
        <x:v>예비비</x:v>
      </x:c>
      <x:c r="D2374" s="46" t="str"/>
      <x:c r="E2374" s="46" t="str"/>
      <x:c r="F2374" s="46" t="str">
        <x:v>0.5%</x:v>
      </x:c>
      <x:c r="G2374" s="46" t="str">
        <x:v>L2022-00055-1/(붙임1) 키르기즈 약초건조장 신축공사 현지 입찰 계획서(안) 국문_v4_0914_추가수정.hwp</x:v>
      </x:c>
      <x:c r="H2374" s="43" t="str">
        <x:v>문단 294</x:v>
      </x:c>
      <x:c r="I2374" s="46" t="str">
        <x:v>- 총공사비 중 예비비 제외 금액 × 0.5% 이상을 고정투찰</x:v>
      </x:c>
      <x:c r="J2374" s="43" t="str">
        <x:v>자동추출·검토필요</x:v>
      </x:c>
    </x:row>
    <x:row r="2375">
      <x:c r="A2375" s="43" t="str">
        <x:v>L2022-00055-1</x:v>
      </x:c>
      <x:c r="B2375" s="43" t="str">
        <x:v>부가세·예비비</x:v>
      </x:c>
      <x:c r="C2375" s="46" t="str">
        <x:v>vat</x:v>
      </x:c>
      <x:c r="D2375" s="46" t="str"/>
      <x:c r="E2375" s="46" t="str">
        <x:v>USD 420,653.57</x:v>
      </x:c>
      <x:c r="F2375" s="46" t="str">
        <x:v>2.5%</x:v>
      </x:c>
      <x:c r="G2375" s="46" t="str">
        <x:v>L2022-00055-1/[ENG]_Bidding_DOCs_HDES/[ENG]_21092022_bidding notice_HDES.docx</x:v>
      </x:c>
      <x:c r="H2375" s="43" t="str">
        <x:v>표 1 행 8</x:v>
      </x:c>
      <x:c r="I2375" s="46" t="str">
        <x:v>Bid Price Practice | Base Price: USD 420,653.57 (inclusive of a safety management cost, except VAT) *The safety management cost shall be eight (0.5) % of project cost that cannot be consumed for other purposes but safety management. the balance of the safety management cost shall be returned on the completion of works. Special Requirements for the Estimated Price; The Bidders’ Price Proposal should not exceed the Estimated Price that will be decided in the range of ±2.5% from the Base Price according to KOICA’s Bidding regulation. Any Bidder’s price exceeding such value may result in rejection of its Bid.</x:v>
      </x:c>
      <x:c r="J2375" s="43" t="str">
        <x:v>자동추출·검토필요</x:v>
      </x:c>
    </x:row>
    <x:row r="2376">
      <x:c r="A2376" s="43" t="str">
        <x:v>L2022-00055-1</x:v>
      </x:c>
      <x:c r="B2376" s="43" t="str">
        <x:v>부가세·예비비</x:v>
      </x:c>
      <x:c r="C2376" s="46" t="str">
        <x:v>tax</x:v>
      </x:c>
      <x:c r="D2376" s="46" t="str"/>
      <x:c r="E2376" s="46" t="str">
        <x:v>US$ 130,000 | US$ 130,000 | US$ 130,000 | US$ 130,000 | US$ 130,000 | US$ 130,000</x:v>
      </x:c>
      <x:c r="F2376" s="46" t="str">
        <x:v>209.68% | 209.68% | 209.68% | 209.68% | 209.68% | 209.68%</x:v>
      </x:c>
      <x:c r="G2376" s="46" t="str">
        <x:v>L2022-00055-1/[ENG]_Bidding_DOCs_HDES/[ENG]_21092022_bidding notice_HDES.docx</x:v>
      </x:c>
      <x:c r="H2376" s="43" t="str">
        <x:v>표 5 행 14</x:v>
      </x:c>
      <x:c r="I2376" s="46" t="str">
        <x:v>Required Documents | Required Documents | -Registration Certificate -Business Permit -Tax Payment Certificate(2021) -The balance sheet over the past 3 years (The average debt ratio over the past 3 years(2019~2021) shall not be more than 209.68%) -Contractor’s License for the construction of buildings (level 2 or higher) -Article of Incorporation -Single Completed Construction Contact Certificate (The Contract price shall be US$130,000 at the minimum) -Power of Attorney: Authorization Letter to represent the bidder -Certificate of seal impression (Seal &amp; signature) | -Registration Certificate -Business Permit -Tax Payment Certificate(2021) -The balance sheet over the past 3 years (The average debt ratio over the past 3 years(2019~2021) shall not be more than 209.68%) -Contractor’s License for the construction of buildings (level 2 or higher) -Article of Incorporation -Single Completed Construction Contact Certificate (The Contract price shall be US$130,000 at the minimum) -Power of Attorney: Authorization Letter to represent the bidder -Certificate of seal impression (Seal &amp; signature) | -Registration Certificate -Business Permit -Tax Payment Certificate(2021) -The balance sheet ove</x:v>
      </x:c>
      <x:c r="J2376" s="43" t="str">
        <x:v>자동추출·검토필요</x:v>
      </x:c>
    </x:row>
    <x:row r="2377">
      <x:c r="A2377" s="43" t="str">
        <x:v>L2022-00046-1</x:v>
      </x:c>
      <x:c r="B2377" s="43" t="str">
        <x:v>부가세·예비비</x:v>
      </x:c>
      <x:c r="C2377" s="46" t="str">
        <x:v>vat</x:v>
      </x:c>
      <x:c r="D2377" s="46" t="str"/>
      <x:c r="E2377" s="46" t="str">
        <x:v>USD 1,507,000</x:v>
      </x:c>
      <x:c r="F2377" s="46" t="str">
        <x:v>18%</x:v>
      </x:c>
      <x:c r="G2377" s="46" t="str">
        <x:v>L2022-00046-1/(붙임2) 입찰안내서(영문)_최종/Section I_Bidding Guideline for Procurement of Contractor.docx</x:v>
      </x:c>
      <x:c r="H2377" s="43" t="str">
        <x:v>문단 35</x:v>
      </x:c>
      <x:c r="I2377" s="46" t="str">
        <x:v>Maximum Bidding Price: USD 1,507,000 (VAT 18% included)</x:v>
      </x:c>
      <x:c r="J2377" s="43" t="str">
        <x:v>자동추출·검토필요</x:v>
      </x:c>
    </x:row>
    <x:row r="2378">
      <x:c r="A2378" s="43" t="str">
        <x:v>L2022-00046-1</x:v>
      </x:c>
      <x:c r="B2378" s="43" t="str">
        <x:v>부가세·예비비</x:v>
      </x:c>
      <x:c r="C2378" s="46" t="str">
        <x:v>contingency</x:v>
      </x:c>
      <x:c r="D2378" s="46" t="str"/>
      <x:c r="E2378" s="46" t="str"/>
      <x:c r="F2378" s="46" t="str">
        <x:v>0.5%</x:v>
      </x:c>
      <x:c r="G2378" s="46" t="str">
        <x:v>L2022-00046-1/(붙임2) 입찰안내서(영문)_최종/Section I_Bidding Guideline for Procurement of Contractor.docx</x:v>
      </x:c>
      <x:c r="H2378" s="43" t="str">
        <x:v>문단 40</x:v>
      </x:c>
      <x:c r="I2378" s="46" t="str">
        <x:v>Health and safety measures cost shall be 0.5% of total cost minus contingency.</x:v>
      </x:c>
      <x:c r="J2378" s="43" t="str">
        <x:v>자동추출·검토필요</x:v>
      </x:c>
    </x:row>
    <x:row r="2379">
      <x:c r="A2379" s="43" t="str">
        <x:v>L2022-00046-1</x:v>
      </x:c>
      <x:c r="B2379" s="43" t="str">
        <x:v>부가세·예비비</x:v>
      </x:c>
      <x:c r="C2379" s="46" t="str">
        <x:v>contingency</x:v>
      </x:c>
      <x:c r="D2379" s="46" t="str"/>
      <x:c r="E2379" s="46" t="str"/>
      <x:c r="F2379" s="46" t="str">
        <x:v>2%</x:v>
      </x:c>
      <x:c r="G2379" s="46" t="str">
        <x:v>L2022-00046-1/(붙임2) 입찰안내서(영문)_최종/Section I_Bidding Guideline for Procurement of Contractor.docx</x:v>
      </x:c>
      <x:c r="H2379" s="43" t="str">
        <x:v>문단 42</x:v>
      </x:c>
      <x:c r="I2379" s="46" t="str">
        <x:v>Contingency with 2% of total price shall be included.</x:v>
      </x:c>
      <x:c r="J2379" s="43" t="str">
        <x:v>자동추출·검토필요</x:v>
      </x:c>
    </x:row>
    <x:row r="2380">
      <x:c r="A2380" s="43" t="str">
        <x:v>L2022-00046-1</x:v>
      </x:c>
      <x:c r="B2380" s="43" t="str">
        <x:v>부가세·예비비</x:v>
      </x:c>
      <x:c r="C2380" s="46" t="str">
        <x:v>contingency</x:v>
      </x:c>
      <x:c r="D2380" s="46" t="str"/>
      <x:c r="E2380" s="46" t="str"/>
      <x:c r="F2380" s="46" t="str">
        <x:v>2%</x:v>
      </x:c>
      <x:c r="G2380" s="46" t="str">
        <x:v>L2022-00046-1/(붙임2) 입찰안내서(영문)_최종/Section I_Bidding Guideline for Procurement of Contractor.docx</x:v>
      </x:c>
      <x:c r="H2380" s="43" t="str">
        <x:v>문단 178</x:v>
      </x:c>
      <x:c r="I2380" s="46" t="str">
        <x:v>The pricing and proportion of Contingency (2%) shall be reflected without adjustment. Contingency cost shall only be used, in whole or in part, with the approval of the Employer.</x:v>
      </x:c>
      <x:c r="J2380" s="43" t="str">
        <x:v>자동추출·검토필요</x:v>
      </x:c>
    </x:row>
    <x:row r="2381">
      <x:c r="A2381" s="43" t="str">
        <x:v>L2022-00046-1</x:v>
      </x:c>
      <x:c r="B2381" s="43" t="str">
        <x:v>부가세·예비비</x:v>
      </x:c>
      <x:c r="C2381" s="46" t="str">
        <x:v>vat</x:v>
      </x:c>
      <x:c r="D2381" s="46" t="str"/>
      <x:c r="E2381" s="46" t="str">
        <x:v>USD 1,000,000</x:v>
      </x:c>
      <x:c r="F2381" s="46" t="str"/>
      <x:c r="G2381" s="46" t="str">
        <x:v>L2022-00046-1/(붙임2) 입찰안내서(영문)_최종/Section I_Bidding Guideline for Procurement of Contractor.docx</x:v>
      </x:c>
      <x:c r="H2381" s="43" t="str">
        <x:v>표 2 행 5</x:v>
      </x:c>
      <x:c r="I2381" s="46" t="str">
        <x:v>4 | Qualification Documents | Performance record of individual building(s) with a value of minimum USD 1,000,000 successfully completed within the last 5 years, from the date of the bidding announcement. - Must have at least 1 performance record of completed construction project - In case of public institution performance, the client's performance certificate is required. - In case of private sector performance, the client's performance certificate and contract documents are required. Financial status (debt ratio &amp; current liquidity ratio of last 3 years) Auditor’s report (Fiscal years: 2019-2021) notarized by a public accountant Business period Submission of relevant documents proving</x:v>
      </x:c>
      <x:c r="J2381" s="43" t="str">
        <x:v>자동추출·검토필요</x:v>
      </x:c>
    </x:row>
    <x:row r="2382">
      <x:c r="A2382" s="43" t="str">
        <x:v>L2022-00046-1</x:v>
      </x:c>
      <x:c r="B2382" s="43" t="str">
        <x:v>부가세·예비비</x:v>
      </x:c>
      <x:c r="C2382" s="46" t="str">
        <x:v>reserve</x:v>
      </x:c>
      <x:c r="D2382" s="46" t="str"/>
      <x:c r="E2382" s="46" t="str"/>
      <x:c r="F2382" s="46" t="str">
        <x:v>0.5%</x:v>
      </x:c>
      <x:c r="G2382" s="46" t="str">
        <x:v>L2022-00046-1/(붙임2) 입찰안내서(영문)_최종/Section V_Standard Forms of Contract.docx</x:v>
      </x:c>
      <x:c r="H2382" s="43" t="str">
        <x:v>표 6 행 107</x:v>
      </x:c>
      <x:c r="I2382"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2382" s="43" t="str">
        <x:v>자동추출·검토필요</x:v>
      </x:c>
    </x:row>
    <x:row r="2383">
      <x:c r="A2383" s="43" t="str">
        <x:v>L2022-00046-1</x:v>
      </x:c>
      <x:c r="B2383" s="43" t="str">
        <x:v>부가세·예비비</x:v>
      </x:c>
      <x:c r="C2383" s="46" t="str">
        <x:v>reserve</x:v>
      </x:c>
      <x:c r="D2383" s="46" t="str"/>
      <x:c r="E2383" s="46" t="str"/>
      <x:c r="F2383" s="46" t="str">
        <x:v>50% | 50%</x:v>
      </x:c>
      <x:c r="G2383" s="46" t="str">
        <x:v>L2022-00046-1/(붙임2) 입찰안내서(영문)_최종/Section V_Standard Forms of Contract.docx</x:v>
      </x:c>
      <x:c r="H2383" s="43" t="str">
        <x:v>표 14 행 61</x:v>
      </x:c>
      <x:c r="I2383"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383" s="43" t="str">
        <x:v>자동추출·검토필요</x:v>
      </x:c>
    </x:row>
    <x:row r="2384">
      <x:c r="A2384" s="43" t="str">
        <x:v>L2022-00046-1</x:v>
      </x:c>
      <x:c r="B2384" s="43" t="str">
        <x:v>부가세·예비비</x:v>
      </x:c>
      <x:c r="C2384" s="46" t="str">
        <x:v>reserve</x:v>
      </x:c>
      <x:c r="D2384" s="46" t="str"/>
      <x:c r="E2384" s="46" t="str"/>
      <x:c r="F2384" s="46" t="str">
        <x:v>3% | 3%</x:v>
      </x:c>
      <x:c r="G2384" s="46" t="str">
        <x:v>L2022-00046-1/(붙임2) 입찰안내서(영문)_최종/Section V_Standard Forms of Contract.docx</x:v>
      </x:c>
      <x:c r="H2384" s="43" t="str">
        <x:v>표 26 행 18</x:v>
      </x:c>
      <x:c r="I2384" s="46" t="str">
        <x:v>Security Deposit for Defects | 3% of the Contract Price May be exempted if reserves are available | 3% of the Contract Price May be exempted if reserves are available</x:v>
      </x:c>
      <x:c r="J2384" s="43" t="str">
        <x:v>자동추출·검토필요</x:v>
      </x:c>
    </x:row>
    <x:row r="2385">
      <x:c r="A2385" s="43" t="str">
        <x:v>L2022-00046-1</x:v>
      </x:c>
      <x:c r="B2385" s="43" t="str">
        <x:v>부가세·예비비</x:v>
      </x:c>
      <x:c r="C2385" s="46" t="str">
        <x:v>vat</x:v>
      </x:c>
      <x:c r="D2385" s="46" t="str"/>
      <x:c r="E2385" s="46" t="str">
        <x:v>USD 1,507,000</x:v>
      </x:c>
      <x:c r="F2385" s="46" t="str">
        <x:v>18%</x:v>
      </x:c>
      <x:c r="G2385" s="46" t="str">
        <x:v>L2022-00046-1/(붙임4) 도미니카공화국 성보건센터 시공 입찰계획서.hwp</x:v>
      </x:c>
      <x:c r="H2385" s="43" t="str">
        <x:v>문단 59</x:v>
      </x:c>
      <x:c r="I2385" s="46" t="str">
        <x:v>4. 집행 한도액 : USD 1,507,000 (VAT 18% 포함) (부가세 등 제비용 포함)</x:v>
      </x:c>
      <x:c r="J2385" s="43" t="str">
        <x:v>자동추출·검토필요</x:v>
      </x:c>
    </x:row>
    <x:row r="2386">
      <x:c r="A2386" s="43" t="str">
        <x:v>L2022-00046-1</x:v>
      </x:c>
      <x:c r="B2386" s="43" t="str">
        <x:v>부가세·예비비</x:v>
      </x:c>
      <x:c r="C2386" s="46" t="str">
        <x:v>예비비</x:v>
      </x:c>
      <x:c r="D2386" s="46" t="str"/>
      <x:c r="E2386" s="46" t="str"/>
      <x:c r="F2386" s="46" t="str">
        <x:v>0.5%</x:v>
      </x:c>
      <x:c r="G2386" s="46" t="str">
        <x:v>L2022-00046-1/(붙임4) 도미니카공화국 성보건센터 시공 입찰계획서.hwp</x:v>
      </x:c>
      <x:c r="H2386" s="43" t="str">
        <x:v>문단 65</x:v>
      </x:c>
      <x:c r="I2386" s="46" t="str">
        <x:v>- 총공사비 중 예비비 제외 금액 × 0.5% 이상</x:v>
      </x:c>
      <x:c r="J2386" s="43" t="str">
        <x:v>자동추출·검토필요</x:v>
      </x:c>
    </x:row>
    <x:row r="2387">
      <x:c r="A2387" s="43" t="str">
        <x:v>L2022-00046-1</x:v>
      </x:c>
      <x:c r="B2387" s="43" t="str">
        <x:v>부가세·예비비</x:v>
      </x:c>
      <x:c r="C2387" s="46" t="str">
        <x:v>예비비</x:v>
      </x:c>
      <x:c r="D2387" s="46" t="str"/>
      <x:c r="E2387" s="46" t="str"/>
      <x:c r="F2387" s="46" t="str">
        <x:v>2%</x:v>
      </x:c>
      <x:c r="G2387" s="46" t="str">
        <x:v>L2022-00046-1/(붙임4) 도미니카공화국 성보건센터 시공 입찰계획서.hwp</x:v>
      </x:c>
      <x:c r="H2387" s="43" t="str">
        <x:v>문단 215</x:v>
      </x:c>
      <x:c r="I2387" s="46" t="str">
        <x:v>- 예비비(2%) 금액(비율)에 대하여는 명시된 금액(비율)을 조정하지 않고 그대로 반영하여야 하며, 사전에 협력단 승인을 받은 후 집행하여야 함</x:v>
      </x:c>
      <x:c r="J2387" s="43" t="str">
        <x:v>자동추출·검토필요</x:v>
      </x:c>
    </x:row>
    <x:row r="2388">
      <x:c r="A2388" s="43" t="str">
        <x:v>L2022-00043-1</x:v>
      </x:c>
      <x:c r="B2388" s="43" t="str">
        <x:v>부가세·예비비</x:v>
      </x:c>
      <x:c r="C2388" s="46" t="str">
        <x:v>vat, tax</x:v>
      </x:c>
      <x:c r="D2388" s="46" t="str">
        <x:v>2,194 ㎡</x:v>
      </x:c>
      <x:c r="E2388" s="46" t="str">
        <x:v>USD 1,559,175</x:v>
      </x:c>
      <x:c r="F2388" s="46" t="str"/>
      <x:c r="G2388" s="46" t="str">
        <x:v>L2022-00043-1/붙임. 사이버안전을 위한 디지털 수사 역량 확산 사업 사이버 경찰센터 시공 입.doc</x:v>
      </x:c>
      <x:c r="H2388" s="43" t="str">
        <x:v>문단 3</x:v>
      </x:c>
      <x:c r="I2388" s="46" t="str">
        <x:v>Description of Project - Bid Title: Construction Works for Cyber Police Center in Chattogram for the Project for “Safer Cyberspace for Digital Bangladesh: Enhancing National &amp; Regional Digital Investigation Capability of Bangladesh Police” - Bidding No.: KOICA Bangladesh 2022-02 - Summary of Construction: Four (4) stories new building, floor area 2,194 ㎡ - Duration: 20 Months from the effective date - Site: Dampara Metropolition Police Line, Dampara, Chitiagong. Bangladesh. - Approx. Budget: USD 1,559,175 (VAT included) * KOICA has no authority or responsibility in relation to any taxes or VAT incurred from the tender and contract. ① Employer: Korea International Cooperation Agency (KOICA) Bangladesh Office ② Bid Type: International Open Competitive Bidding with Pre-Qualification (PQ) process * Joint venture is not allowed. ③ Selection of the Successful Bidder: - Evaluation of the Bid Proposal of Prequalified Bidders - Bid Proposal Evaluation Criteria i. Performance Capacity (30 scores) ii. Bid Price (70 scores) * Details of bid proposal evaluation will be provided. ④ Applicants are required to send a Letter of Interest (LOI) to KOICA Bangladesh Office via E-mail (below no.9. atten</x:v>
      </x:c>
      <x:c r="J2388" s="43" t="str">
        <x:v>자동추출·검토필요</x:v>
      </x:c>
    </x:row>
    <x:row r="2389">
      <x:c r="A2389" s="43" t="str">
        <x:v>L2022-00043-1</x:v>
      </x:c>
      <x:c r="B2389" s="43" t="str">
        <x:v>부가세·예비비</x:v>
      </x:c>
      <x:c r="C2389" s="46" t="str">
        <x:v>tax</x:v>
      </x:c>
      <x:c r="D2389" s="46" t="str"/>
      <x:c r="E2389" s="46" t="str">
        <x:v>USD 15 million | USD 1,000,000</x:v>
      </x:c>
      <x:c r="F2389" s="46" t="str">
        <x:v>200% | 70%</x:v>
      </x:c>
      <x:c r="G2389" s="46" t="str">
        <x:v>L2022-00043-1/붙임. 사이버안전을 위한 디지털 수사 역량 확산 사업 사이버 경찰센터 시공 입.doc</x:v>
      </x:c>
      <x:c r="H2389" s="43" t="str">
        <x:v>문단 5</x:v>
      </x:c>
      <x:c r="I2389" s="46" t="str">
        <x:v>① Legal Requirement - Business License and General Contractor in accordance with laws applicable in construction industry in Bangladesh. - ABC Electrical and Supervisory License. - List of technical manpower ② Capability of Contract Fulfillment - No history of contract nonfulfillment (last 3 years). - No pending litigation (last 3 years) ③ Financial Status - Average Debt ratio below 200%, or Average Current ratio more than 70% in historic financial statement (last 3years). ④ Experience Requirement - More than USD 15 million in total accumulative amount in building construction over the last 5 years. - Having experience in successful completion of at least 1 (one) number of similar works of USD1,000,000 and more in a single bid during the last three(3) years. ⑤ Tax - The company has paid all taxes in accordance with the relevant rules and regulations of Bangladesh. 3. PQ Application documents are: ① Letter of Interest (Form PQ-1) ② Company Profile (Form PQ-2) with evidential document ③ History of Contract Nonfulfillment (Form PQ-3) ④ Pending Litigation (Form PQ-4) ⑤ Financial Situation (Form PQ-5) with evidential document ⑥ Building Construction Experience (Form PQ-6) with evidentia</x:v>
      </x:c>
      <x:c r="J2389" s="43" t="str">
        <x:v>자동추출·검토필요</x:v>
      </x:c>
    </x:row>
    <x:row r="2390">
      <x:c r="A2390" s="43" t="str">
        <x:v>L2022-00042-1</x:v>
      </x:c>
      <x:c r="B2390" s="43" t="str">
        <x:v>부가세·예비비</x:v>
      </x:c>
      <x:c r="C2390" s="46" t="str">
        <x:v>vat</x:v>
      </x:c>
      <x:c r="D2390" s="46" t="str"/>
      <x:c r="E2390" s="46" t="str">
        <x:v>1,406,000 USD</x:v>
      </x:c>
      <x:c r="F2390" s="46" t="str"/>
      <x:c r="G2390" s="46" t="str">
        <x:v>L2022-00042-1/1.1 잔여공사 입찰계획서_QIRDP_220817_v2.docx</x:v>
      </x:c>
      <x:c r="H2390" s="43" t="str">
        <x:v>문단 51</x:v>
      </x:c>
      <x:c r="I2390" s="46" t="str">
        <x:v>집행 한도액: 1,406,000 USD (VAT 포함)</x:v>
      </x:c>
      <x:c r="J2390" s="43" t="str">
        <x:v>자동추출·검토필요</x:v>
      </x:c>
    </x:row>
    <x:row r="2391">
      <x:c r="A2391" s="43" t="str">
        <x:v>L2022-00042-1</x:v>
      </x:c>
      <x:c r="B2391" s="43" t="str">
        <x:v>부가세·예비비</x:v>
      </x:c>
      <x:c r="C2391" s="46" t="str">
        <x:v>vat</x:v>
      </x:c>
      <x:c r="D2391" s="46" t="str"/>
      <x:c r="E2391" s="46" t="str">
        <x:v>1,371,000 USD</x:v>
      </x:c>
      <x:c r="F2391" s="46" t="str"/>
      <x:c r="G2391" s="46" t="str">
        <x:v>L2022-00042-1/1.1 잔여공사 입찰계획서_QIRDP_220817_v2.docx</x:v>
      </x:c>
      <x:c r="H2391" s="43" t="str">
        <x:v>표 4 행 3</x:v>
      </x:c>
      <x:c r="I2391" s="46" t="str">
        <x:v>기초 금액 | 잔여 공사 물량에 대한 현실 가격을 지역CM에서 반영 | 1,371,000 USD (VAT 포함) | 입찰공고 금액</x:v>
      </x:c>
      <x:c r="J2391" s="43" t="str">
        <x:v>자동추출·검토필요</x:v>
      </x:c>
    </x:row>
    <x:row r="2392">
      <x:c r="A2392" s="43" t="str">
        <x:v>L2022-00042-1</x:v>
      </x:c>
      <x:c r="B2392" s="43" t="str">
        <x:v>부가세·예비비</x:v>
      </x:c>
      <x:c r="C2392" s="46" t="str">
        <x:v>vat</x:v>
      </x:c>
      <x:c r="D2392" s="46" t="str"/>
      <x:c r="E2392" s="46" t="str">
        <x:v>USD 1,406,000</x:v>
      </x:c>
      <x:c r="F2392" s="46" t="str"/>
      <x:c r="G2392" s="46" t="str">
        <x:v>L2022-00042-1/1.1 잔여공사 입찰계획서_QIRDP_220817_v2.docx</x:v>
      </x:c>
      <x:c r="H2392" s="43" t="str">
        <x:v>표 12 행 2</x:v>
      </x:c>
      <x:c r="I2392" s="46" t="str">
        <x:v>조달집행예산 | USD1,406,000 (VAT 포함) |</x:v>
      </x:c>
      <x:c r="J2392" s="43" t="str">
        <x:v>자동추출·검토필요</x:v>
      </x:c>
    </x:row>
    <x:row r="2393">
      <x:c r="A2393" s="43" t="str">
        <x:v>L2022-00040-1</x:v>
      </x:c>
      <x:c r="B2393" s="43" t="str">
        <x:v>부가세·예비비</x:v>
      </x:c>
      <x:c r="C2393" s="46" t="str">
        <x:v>vat</x:v>
      </x:c>
      <x:c r="D2393" s="46" t="str"/>
      <x:c r="E2393" s="46" t="str">
        <x:v>USD 105,490</x:v>
      </x:c>
      <x:c r="F2393" s="46" t="str">
        <x:v>18%</x:v>
      </x:c>
      <x:c r="G2393" s="46" t="str">
        <x:v>L2022-00040-1/(붙임2) 입찰안내서(영문)/1. Dominican Rep Guideline.docx</x:v>
      </x:c>
      <x:c r="H2393" s="43" t="str">
        <x:v>문단 38</x:v>
      </x:c>
      <x:c r="I2393" s="46" t="str">
        <x:v>Maximum Bidding Price : USD 105,490 (VAT 18% included)</x:v>
      </x:c>
      <x:c r="J2393" s="43" t="str">
        <x:v>자동추출·검토필요</x:v>
      </x:c>
    </x:row>
    <x:row r="2394">
      <x:c r="A2394" s="43" t="str">
        <x:v>L2022-00040-1</x:v>
      </x:c>
      <x:c r="B2394" s="43" t="str">
        <x:v>부가세·예비비</x:v>
      </x:c>
      <x:c r="C2394" s="46" t="str">
        <x:v>vat</x:v>
      </x:c>
      <x:c r="D2394" s="46" t="str"/>
      <x:c r="E2394" s="46" t="str">
        <x:v>USD 105,490</x:v>
      </x:c>
      <x:c r="F2394" s="46" t="str">
        <x:v>18%</x:v>
      </x:c>
      <x:c r="G2394" s="46" t="str">
        <x:v>L2022-00040-1/(붙임4) 감리 입찰계획서(국문).hwp</x:v>
      </x:c>
      <x:c r="H2394" s="43" t="str">
        <x:v>문단 50</x:v>
      </x:c>
      <x:c r="I2394" s="46" t="str">
        <x:v>4. 입찰 한도액 : USD 105,490 (VAT 18% 포함) (부가세 등 제비용 포함)</x:v>
      </x:c>
      <x:c r="J2394" s="43" t="str">
        <x:v>자동추출·검토필요</x:v>
      </x:c>
    </x:row>
    <x:row r="2395">
      <x:c r="A2395" s="43" t="str">
        <x:v>L2022-00038-1</x:v>
      </x:c>
      <x:c r="B2395" s="43" t="str">
        <x:v>부가세·예비비</x:v>
      </x:c>
      <x:c r="C2395" s="46" t="str">
        <x:v>vat</x:v>
      </x:c>
      <x:c r="D2395" s="46" t="str"/>
      <x:c r="E2395" s="46" t="str">
        <x:v>USD 36,300</x:v>
      </x:c>
      <x:c r="F2395" s="46" t="str"/>
      <x:c r="G2395" s="46" t="str">
        <x:v>L2022-00038-1/붙임 5. 표제사업 일반기자재 현지입찰 공고문(안).docx</x:v>
      </x:c>
      <x:c r="H2395" s="43" t="str">
        <x:v>문단 33</x:v>
      </x:c>
      <x:c r="I2395" s="46" t="str">
        <x:v>Limit of Budget: Approx. USD 36,300 (VAT exempted).</x:v>
      </x:c>
      <x:c r="J2395" s="43" t="str">
        <x:v>자동추출·검토필요</x:v>
      </x:c>
    </x:row>
    <x:row r="2396">
      <x:c r="A2396" s="43" t="str">
        <x:v>L2022-00037-1</x:v>
      </x:c>
      <x:c r="B2396" s="43" t="str">
        <x:v>부가세·예비비</x:v>
      </x:c>
      <x:c r="C2396" s="46" t="str">
        <x:v>vat</x:v>
      </x:c>
      <x:c r="D2396" s="46" t="str">
        <x:v>1,140 m2 | 42 ㎡</x:v>
      </x:c>
      <x:c r="E2396" s="46" t="str"/>
      <x:c r="F2396" s="46" t="str"/>
      <x:c r="G2396" s="46" t="str">
        <x:v>L2022-00037-1/입찰공고문(최종).docx</x:v>
      </x:c>
      <x:c r="H2396" s="43" t="str">
        <x:v>표 1 행 5</x:v>
      </x:c>
      <x:c r="I2396" s="46" t="str">
        <x:v>Scope of Works | Becora Site - New Building Construction for Sports Center (1,140m2) - Two Football Fields 2) 3 Local Fields (Comoro, Kampo Alor, Bintang Sites) - Renovation of Local Football Fields - New Storage Construction (3 Buildings: 42㎡ each) * The Scope of Works includes RC structures and building finishes, Electromechanical works, External Landscaping, Communications and Firefighting facilities, Test &amp; Commissioning etc.</x:v>
      </x:c>
      <x:c r="J2396" s="43" t="str">
        <x:v>자동추출·검토필요</x:v>
      </x:c>
    </x:row>
    <x:row r="2397">
      <x:c r="A2397" s="43" t="str">
        <x:v>L2022-00034-1</x:v>
      </x:c>
      <x:c r="B2397" s="43" t="str">
        <x:v>부가세·예비비</x:v>
      </x:c>
      <x:c r="C2397" s="46" t="str">
        <x:v>vat</x:v>
      </x:c>
      <x:c r="D2397" s="46" t="str"/>
      <x:c r="E2397" s="46" t="str"/>
      <x:c r="F2397" s="46" t="str">
        <x:v>95%</x:v>
      </x:c>
      <x:c r="G2397" s="46" t="str">
        <x:v>L2022-00034-1/2. 영양교육센터 설립사업 입찰관련 서류/Chapter 2. BID BOQs.xlsx</x:v>
      </x:c>
      <x:c r="H2397" s="43" t="str">
        <x:v>Structural Works!7</x:v>
      </x:c>
      <x:c r="I2397" s="46" t="str">
        <x:v>B7=Excavation in the type of soil encountered on site, up to any depth for foundation, including separating and stacking suitable excavated material for back filling in trenches along with other approved suitable material, in layers not exceeding 225mm in thickness, watering and compacting to a minimum of 95% modified AASHTO density and disposal of surplus and unsuitable material anywhere outside the building premises, complete in all respects and to the direction of the Engineer including septic tanks, rainwater harvesting tanks, and underground water tanks. | C7=cft | D7=52066 | F7==D7*E7</x:v>
      </x:c>
      <x:c r="J2397" s="43" t="str">
        <x:v>자동추출·검토필요</x:v>
      </x:c>
    </x:row>
    <x:row r="2398">
      <x:c r="A2398" s="43" t="str">
        <x:v>L2022-00034-1</x:v>
      </x:c>
      <x:c r="B2398" s="43" t="str">
        <x:v>부가세·예비비</x:v>
      </x:c>
      <x:c r="C2398" s="46" t="str">
        <x:v>vat</x:v>
      </x:c>
      <x:c r="D2398" s="46" t="str"/>
      <x:c r="E2398" s="46" t="str"/>
      <x:c r="F2398" s="46" t="str">
        <x:v>95%</x:v>
      </x:c>
      <x:c r="G2398" s="46" t="str">
        <x:v>L2022-00034-1/2. 영양교육센터 설립사업 입찰관련 서류/Chapter 2. BID BOQs.xlsx</x:v>
      </x:c>
      <x:c r="H2398" s="43" t="str">
        <x:v>Architectural Works!377</x:v>
      </x:c>
      <x:c r="I2398" s="46" t="str">
        <x:v>B377=Excavation in the type of soil encountered on site, up to any depth for foundation, including separating and stacking suitable excavated material for back filling in trenches along with other approved suitable material, in layers not exceeding 225mm in thickness, watering and compacting to a minimum of 95% modified AASHTO density and disposal of surplus and unsuitable material anywhere outside the building premises, Complete in all respects and to the direction of the Engineer. | C377=cft | D377=105408 | F377==D377*E377</x:v>
      </x:c>
      <x:c r="J2398" s="43" t="str">
        <x:v>자동추출·검토필요</x:v>
      </x:c>
    </x:row>
    <x:row r="2399">
      <x:c r="A2399" s="43" t="str">
        <x:v>L2022-00034-1</x:v>
      </x:c>
      <x:c r="B2399" s="43" t="str">
        <x:v>부가세·예비비</x:v>
      </x:c>
      <x:c r="C2399" s="46" t="str">
        <x:v>reserve</x:v>
      </x:c>
      <x:c r="D2399" s="46" t="str"/>
      <x:c r="E2399" s="46" t="str"/>
      <x:c r="F2399" s="46" t="str">
        <x:v>0.5%</x:v>
      </x:c>
      <x:c r="G2399" s="46" t="str">
        <x:v>L2022-00034-1/2. 영양교육센터 설립사업 입찰관련 서류/Chapter 5. Conditions of Contract (GCC, SCC).docx</x:v>
      </x:c>
      <x:c r="H2399" s="43" t="str">
        <x:v>표 5 행 109</x:v>
      </x:c>
      <x:c r="I2399"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2399" s="43" t="str">
        <x:v>자동추출·검토필요</x:v>
      </x:c>
    </x:row>
    <x:row r="2400">
      <x:c r="A2400" s="43" t="str">
        <x:v>L2022-00034-1</x:v>
      </x:c>
      <x:c r="B2400" s="43" t="str">
        <x:v>부가세·예비비</x:v>
      </x:c>
      <x:c r="C2400" s="46" t="str">
        <x:v>reserve</x:v>
      </x:c>
      <x:c r="D2400" s="46" t="str"/>
      <x:c r="E2400" s="46" t="str"/>
      <x:c r="F2400" s="46" t="str">
        <x:v>50% | 50%</x:v>
      </x:c>
      <x:c r="G2400" s="46" t="str">
        <x:v>L2022-00034-1/2. 영양교육센터 설립사업 입찰관련 서류/Chapter 5. Conditions of Contract (GCC, SCC).docx</x:v>
      </x:c>
      <x:c r="H2400" s="43" t="str">
        <x:v>표 13 행 61</x:v>
      </x:c>
      <x:c r="I2400"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400" s="43" t="str">
        <x:v>자동추출·검토필요</x:v>
      </x:c>
    </x:row>
    <x:row r="2401">
      <x:c r="A2401" s="43" t="str">
        <x:v>L2022-00034-1</x:v>
      </x:c>
      <x:c r="B2401" s="43" t="str">
        <x:v>부가세·예비비</x:v>
      </x:c>
      <x:c r="C2401" s="46" t="str">
        <x:v>contingency</x:v>
      </x:c>
      <x:c r="D2401" s="46" t="str"/>
      <x:c r="E2401" s="46" t="str"/>
      <x:c r="F2401" s="46" t="str">
        <x:v>0.5%</x:v>
      </x:c>
      <x:c r="G2401" s="46" t="str">
        <x:v>L2022-00034-1/2. 영양교육센터 설립사업 입찰관련 서류/Chapter 8. Safety Management Manual(ENG).pdf</x:v>
      </x:c>
      <x:c r="H2401" s="43" t="str">
        <x:v>페이지 14</x:v>
      </x:c>
      <x:c r="I2401" s="46" t="str">
        <x:v>4.1.3 KOICA should check that the bill of quantity (BoQ) consists of safety management costs (0.5% or more of the total construction costs, excluding non- contingency) as separate items. 5. Construction Procurement and Contracting 5.1 Provision of Information on Preparing Safety Management Plans 5.1.1 KOICA shall provide the following information for the contractor to formulate a safety management plan that reflects the distinctive features of the site conditions and the final design outcome: (1) Matters regarding the existence of asbestos or harmful substances such as chemical waste within the site; (2) Matters regarding access to the worksite such as railroads and busy roads adjacent to the site; (3) Matters regarding underground facilities and groundwater flows (4) Matters regarding adjacent buildings, structures, and trees that may cause a collapse; (5) Matters regarding land subsidence that may negatively affect structure; (6) Matters regarding obstacles or advantages for the installation of facilities or equipment within the site. 5.2 Review of Safety Management Plans 5.2.1 Review of Safety Management Plans (1) As for the safety management plan formulated by the contractor, K</x:v>
      </x:c>
      <x:c r="J2401" s="43" t="str">
        <x:v>자동추출·검토필요</x:v>
      </x:c>
    </x:row>
    <x:row r="2402">
      <x:c r="A2402" s="43" t="str">
        <x:v>L2022-00034-1</x:v>
      </x:c>
      <x:c r="B2402" s="43" t="str">
        <x:v>부가세·예비비</x:v>
      </x:c>
      <x:c r="C2402" s="46" t="str">
        <x:v>reserve</x:v>
      </x:c>
      <x:c r="D2402" s="46" t="str"/>
      <x:c r="E2402" s="46" t="str"/>
      <x:c r="F2402" s="46" t="str">
        <x:v>0.5%</x:v>
      </x:c>
      <x:c r="G2402" s="46" t="str">
        <x:v>L2022-00034-1/2. 영양교육센터 설립사업 입찰관련 서류/Chapter 8. Safety Management Manual(ENG).pdf</x:v>
      </x:c>
      <x:c r="H2402" s="43" t="str">
        <x:v>페이지 18</x:v>
      </x:c>
      <x:c r="I2402" s="46" t="str">
        <x:v>(1) Amount subject to safety management expenses: Amount excluding reserve funding from the total construction expenses (2) Calculation method: Amount subject to safety management expenses x 0.5% or more (2) Payment of safety management expenses: The contractor shall file a claim for payment of safety management expenses to KOICA along with a confirmation as to the proper disbursement of the safety management expenses to match the purpose prescribed under the safety management plan made by the construction manager. 6. Construction 6.1 Verifying Observance of Safety Management Plans 6.1.1 KOICA shall verify the contractor’s proper performance of the safety management plan. However, if construction project management, similar to consigned supervision, is being implemented, KOICA may allow the construction manager to verify the performance of the safety management plan and file a report on their own. 6.1.2 If there are any issues pointed out by the review of the safety management plan under the immediately preceding paragraph, KOICA shall review said issues and request the contractor make corrections, if necessary. 6.2 Verifying Disbursement of Safety Management Expenses 6.2.1 KOICA s</x:v>
      </x:c>
      <x:c r="J2402" s="43" t="str">
        <x:v>자동추출·검토필요</x:v>
      </x:c>
    </x:row>
    <x:row r="2403">
      <x:c r="A2403" s="43" t="str">
        <x:v>L2022-00034-1</x:v>
      </x:c>
      <x:c r="B2403" s="43" t="str">
        <x:v>부가세·예비비</x:v>
      </x:c>
      <x:c r="C2403" s="46" t="str">
        <x:v>vat, reserve</x:v>
      </x:c>
      <x:c r="D2403" s="46" t="str"/>
      <x:c r="E2403" s="46" t="str"/>
      <x:c r="F2403" s="46" t="str">
        <x:v>0.5%</x:v>
      </x:c>
      <x:c r="G2403" s="46" t="str">
        <x:v>L2022-00034-1/2. 영양교육센터 설립사업 입찰관련 서류/Chapter 8. Safety Management Manual(ENG).pdf</x:v>
      </x:c>
      <x:c r="H2403" s="43" t="str">
        <x:v>페이지 28</x:v>
      </x:c>
      <x:c r="I2403" s="46" t="str">
        <x:v>D. Steel structure works - An overview of materials, equipment, etc.; and detailed shop drawings; - The procedures and precautions for safe construction; - A safety inspection plan and a safety inspection checklist; - A calculation sheet for the safety of steel structures. E. Earth filling and cutting works (including earth dam works) - An overview of materials, equipment, etc.; and detailed shop drawings; - The procedures and precautions for safe construction; - A safety inspection plan and a safety inspection checklist; - A calculation sheet for safety. F. Demolition works - An overview of structures to be demolished, demolition methods, etc.; and detailed shop drawings; - A plan on the order of demolition, and on facilities and measures for safety, etc. G. Mechanical and electrical works: - An overview of materials, equipment, etc.; and detailed shop drawings; - The procedures and precautions for safe construction; - A safety inspection plan and a safety inspection checklist; - A calculation sheet for safety. 1.4 Creation of Safety Management Expense Spending Plans 1.4.1 The contractor shall make a spending plan for safety management expenses by adding expenses incurred in formu</x:v>
      </x:c>
      <x:c r="J2403" s="43" t="str">
        <x:v>자동추출·검토필요</x:v>
      </x:c>
    </x:row>
    <x:row r="2404">
      <x:c r="A2404" s="43" t="str">
        <x:v>L2022-00034-1</x:v>
      </x:c>
      <x:c r="B2404" s="43" t="str">
        <x:v>부가세·예비비</x:v>
      </x:c>
      <x:c r="C2404" s="46" t="str">
        <x:v>tax</x:v>
      </x:c>
      <x:c r="D2404" s="46" t="str"/>
      <x:c r="E2404" s="46" t="str"/>
      <x:c r="F2404" s="46" t="str">
        <x:v>0.5%</x:v>
      </x:c>
      <x:c r="G2404" s="46" t="str">
        <x:v>L2022-00034-1/2. 영양교육센터 설립사업 입찰관련 서류/영문 RFP (Request for Proposal).docx</x:v>
      </x:c>
      <x:c r="H2404" s="43" t="str">
        <x:v>표 1 행 6</x:v>
      </x:c>
      <x:c r="I2404" s="46" t="str">
        <x:v>Summary of Bid ※Base Price will be used for the determination of the Estimated Price in the Opening of the Bids. ※GST is included in the Base Price. Therefore, the GST amount shall be included in the proposed Bid Price (Refer to Attachment 4. Form of Bid / GST shall be indicated separately in the form.). ※Safety Management Cost, which is above 0.5% of the direct cost of the bidding price, shall be included in the Bid Price. ※If the Employer provides the Contractor with the tax exemption related to the Contract, the Employer will not be responsible for paying the exempt tax to the Contractor. If the Employer fails to provide the Contractor with the tax exemption, the Employer will pay the applicable taxes to the Contractor. ※KOICA has no authority or responsibility for any tax, including GST, incurred by such a bid and contract. The Federal Board of Revenue (FBR) is responsible for the taxation and tax exemption in accordance with the relevant laws and regulations of Pakistan.</x:v>
      </x:c>
      <x:c r="J2404" s="43" t="str">
        <x:v>자동추출·검토필요</x:v>
      </x:c>
    </x:row>
    <x:row r="2405">
      <x:c r="A2405" s="43" t="str">
        <x:v>L2022-00034-1</x:v>
      </x:c>
      <x:c r="B2405" s="43" t="str">
        <x:v>부가세·예비비</x:v>
      </x:c>
      <x:c r="C2405" s="46" t="str">
        <x:v>tax</x:v>
      </x:c>
      <x:c r="D2405" s="46" t="str"/>
      <x:c r="E2405" s="46" t="str"/>
      <x:c r="F2405" s="46" t="str">
        <x:v>2.5%</x:v>
      </x:c>
      <x:c r="G2405" s="46" t="str">
        <x:v>L2022-00034-1/2. 영양교육센터 설립사업 입찰관련 서류/영문 RFP (Request for Proposal).docx</x:v>
      </x:c>
      <x:c r="H2405" s="43" t="str">
        <x:v>표 1 행 14</x:v>
      </x:c>
      <x:c r="I2405" s="46" t="str">
        <x:v>Preparation of Bids The bidder who passes the PQ shall proceed with the bid process and shall submit its Bid with the following additional documents: Official Letter of Bidding Participation Letter of Undertaking (refer to Attachment 2. Letter of Undertaking) Power of Attorney Sealed Form of Bid (refer to Attachment 5.security form) with Bid Security (Not less than 2.5% of Bid Price) enclosed Form of Capability Evaluation (refer to Attachment 4. Form of Capacity Evaluation) Completion Certificates of Architectural (building) Construction Work (FY July 2019 ~ FY June 2022) Company’s Tax Returns over the last 3 (three) fiscal years (FY July 2019 ~ FY June 2022) Action Pledge to Integrate Human Rights into Business Management (refer to Chapter 7 Action Pledge to Integrate Human Rights into Business Management) Declaration of Anti-Corruption (refer to Chapter 9. Declaration of Anti-Corruption) Integrity Pledge (refer to chapter 10. Integrity Pledge) Affidavit of Non-Sanction on the bidding and the contract (refer to Chapter 12. Affidavit of Non-sanction on the bidding and the contract) Audit Financial Statement for the year (FY July 2020 ~ FY June 2021) Checklist of the Bid documents (</x:v>
      </x:c>
      <x:c r="J2405" s="43" t="str">
        <x:v>자동추출·검토필요</x:v>
      </x:c>
    </x:row>
    <x:row r="2406">
      <x:c r="A2406" s="43" t="str">
        <x:v>L2022-00032-1</x:v>
      </x:c>
      <x:c r="B2406" s="43" t="str">
        <x:v>부가세·예비비</x:v>
      </x:c>
      <x:c r="C2406" s="46" t="str">
        <x:v>vat</x:v>
      </x:c>
      <x:c r="D2406" s="46" t="str"/>
      <x:c r="E2406" s="46" t="str">
        <x:v>USD 1,507,000</x:v>
      </x:c>
      <x:c r="F2406" s="46" t="str">
        <x:v>18%</x:v>
      </x:c>
      <x:c r="G2406" s="46" t="str">
        <x:v>L2022-00032-1/(붙임2) 입찰안내서(영문)_최종/Section I_Bidding Guideline for Procurement of Contractor.docx</x:v>
      </x:c>
      <x:c r="H2406" s="43" t="str">
        <x:v>문단 35</x:v>
      </x:c>
      <x:c r="I2406" s="46" t="str">
        <x:v>Maximum Bidding Price: USD 1,507,000 (VAT 18% included)</x:v>
      </x:c>
      <x:c r="J2406" s="43" t="str">
        <x:v>자동추출·검토필요</x:v>
      </x:c>
    </x:row>
    <x:row r="2407">
      <x:c r="A2407" s="43" t="str">
        <x:v>L2022-00032-1</x:v>
      </x:c>
      <x:c r="B2407" s="43" t="str">
        <x:v>부가세·예비비</x:v>
      </x:c>
      <x:c r="C2407" s="46" t="str">
        <x:v>contingency</x:v>
      </x:c>
      <x:c r="D2407" s="46" t="str"/>
      <x:c r="E2407" s="46" t="str"/>
      <x:c r="F2407" s="46" t="str">
        <x:v>0.5%</x:v>
      </x:c>
      <x:c r="G2407" s="46" t="str">
        <x:v>L2022-00032-1/(붙임2) 입찰안내서(영문)_최종/Section I_Bidding Guideline for Procurement of Contractor.docx</x:v>
      </x:c>
      <x:c r="H2407" s="43" t="str">
        <x:v>문단 40</x:v>
      </x:c>
      <x:c r="I2407" s="46" t="str">
        <x:v>Health and safety measures cost shall be 0.5% of total cost minus contingency.</x:v>
      </x:c>
      <x:c r="J2407" s="43" t="str">
        <x:v>자동추출·검토필요</x:v>
      </x:c>
    </x:row>
    <x:row r="2408">
      <x:c r="A2408" s="43" t="str">
        <x:v>L2022-00032-1</x:v>
      </x:c>
      <x:c r="B2408" s="43" t="str">
        <x:v>부가세·예비비</x:v>
      </x:c>
      <x:c r="C2408" s="46" t="str">
        <x:v>contingency</x:v>
      </x:c>
      <x:c r="D2408" s="46" t="str"/>
      <x:c r="E2408" s="46" t="str"/>
      <x:c r="F2408" s="46" t="str">
        <x:v>2%</x:v>
      </x:c>
      <x:c r="G2408" s="46" t="str">
        <x:v>L2022-00032-1/(붙임2) 입찰안내서(영문)_최종/Section I_Bidding Guideline for Procurement of Contractor.docx</x:v>
      </x:c>
      <x:c r="H2408" s="43" t="str">
        <x:v>문단 42</x:v>
      </x:c>
      <x:c r="I2408" s="46" t="str">
        <x:v>Contingency with 2% of total price shall be included.</x:v>
      </x:c>
      <x:c r="J2408" s="43" t="str">
        <x:v>자동추출·검토필요</x:v>
      </x:c>
    </x:row>
    <x:row r="2409">
      <x:c r="A2409" s="43" t="str">
        <x:v>L2022-00032-1</x:v>
      </x:c>
      <x:c r="B2409" s="43" t="str">
        <x:v>부가세·예비비</x:v>
      </x:c>
      <x:c r="C2409" s="46" t="str">
        <x:v>contingency</x:v>
      </x:c>
      <x:c r="D2409" s="46" t="str"/>
      <x:c r="E2409" s="46" t="str"/>
      <x:c r="F2409" s="46" t="str">
        <x:v>2%</x:v>
      </x:c>
      <x:c r="G2409" s="46" t="str">
        <x:v>L2022-00032-1/(붙임2) 입찰안내서(영문)_최종/Section I_Bidding Guideline for Procurement of Contractor.docx</x:v>
      </x:c>
      <x:c r="H2409" s="43" t="str">
        <x:v>문단 178</x:v>
      </x:c>
      <x:c r="I2409" s="46" t="str">
        <x:v>The pricing and proportion of Contingency (2%) shall be reflected without adjustment. Contingency cost shall only be used, in whole or in part, with the approval of the Employer.</x:v>
      </x:c>
      <x:c r="J2409" s="43" t="str">
        <x:v>자동추출·검토필요</x:v>
      </x:c>
    </x:row>
    <x:row r="2410">
      <x:c r="A2410" s="43" t="str">
        <x:v>L2022-00032-1</x:v>
      </x:c>
      <x:c r="B2410" s="43" t="str">
        <x:v>부가세·예비비</x:v>
      </x:c>
      <x:c r="C2410" s="46" t="str">
        <x:v>vat</x:v>
      </x:c>
      <x:c r="D2410" s="46" t="str"/>
      <x:c r="E2410" s="46" t="str">
        <x:v>USD 1,000,000</x:v>
      </x:c>
      <x:c r="F2410" s="46" t="str"/>
      <x:c r="G2410" s="46" t="str">
        <x:v>L2022-00032-1/(붙임2) 입찰안내서(영문)_최종/Section I_Bidding Guideline for Procurement of Contractor.docx</x:v>
      </x:c>
      <x:c r="H2410" s="43" t="str">
        <x:v>표 2 행 5</x:v>
      </x:c>
      <x:c r="I2410" s="46" t="str">
        <x:v>4 | Qualification Documents | Performance record of individual building(s) with a value of minimum USD 1,000,000 successfully completed within the last 5 years, from the date of the bidding announcement. - Must have at least 1 performance record of completed construction project - In case of public institution performance, the client's performance certificate is required. - In case of private sector performance, the client's performance certificate and contract documents are required. Financial status (debt ratio &amp; current liquidity ratio of last 3 years) Auditor’s report (Fiscal years: 2019-2021) notarized by a public accountant Business period Submission of relevant documents proving</x:v>
      </x:c>
      <x:c r="J2410" s="43" t="str">
        <x:v>자동추출·검토필요</x:v>
      </x:c>
    </x:row>
    <x:row r="2411">
      <x:c r="A2411" s="43" t="str">
        <x:v>L2022-00032-1</x:v>
      </x:c>
      <x:c r="B2411" s="43" t="str">
        <x:v>부가세·예비비</x:v>
      </x:c>
      <x:c r="C2411" s="46" t="str">
        <x:v>reserve</x:v>
      </x:c>
      <x:c r="D2411" s="46" t="str"/>
      <x:c r="E2411" s="46" t="str"/>
      <x:c r="F2411" s="46" t="str">
        <x:v>0.5%</x:v>
      </x:c>
      <x:c r="G2411" s="46" t="str">
        <x:v>L2022-00032-1/(붙임2) 입찰안내서(영문)_최종/Section V_Standard Forms of Contract.docx</x:v>
      </x:c>
      <x:c r="H2411" s="43" t="str">
        <x:v>표 6 행 107</x:v>
      </x:c>
      <x:c r="I2411"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4.17(a)(iv) hereof must include details of how the Safety Management Costs will be utilised.</x:v>
      </x:c>
      <x:c r="J2411" s="43" t="str">
        <x:v>자동추출·검토필요</x:v>
      </x:c>
    </x:row>
    <x:row r="2412">
      <x:c r="A2412" s="43" t="str">
        <x:v>L2022-00032-1</x:v>
      </x:c>
      <x:c r="B2412" s="43" t="str">
        <x:v>부가세·예비비</x:v>
      </x:c>
      <x:c r="C2412" s="46" t="str">
        <x:v>reserve</x:v>
      </x:c>
      <x:c r="D2412" s="46" t="str"/>
      <x:c r="E2412" s="46" t="str"/>
      <x:c r="F2412" s="46" t="str">
        <x:v>50% | 50%</x:v>
      </x:c>
      <x:c r="G2412" s="46" t="str">
        <x:v>L2022-00032-1/(붙임2) 입찰안내서(영문)_최종/Section V_Standard Forms of Contract.docx</x:v>
      </x:c>
      <x:c r="H2412" s="43" t="str">
        <x:v>표 14 행 61</x:v>
      </x:c>
      <x:c r="I2412"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412" s="43" t="str">
        <x:v>자동추출·검토필요</x:v>
      </x:c>
    </x:row>
    <x:row r="2413">
      <x:c r="A2413" s="43" t="str">
        <x:v>L2022-00032-1</x:v>
      </x:c>
      <x:c r="B2413" s="43" t="str">
        <x:v>부가세·예비비</x:v>
      </x:c>
      <x:c r="C2413" s="46" t="str">
        <x:v>reserve</x:v>
      </x:c>
      <x:c r="D2413" s="46" t="str"/>
      <x:c r="E2413" s="46" t="str"/>
      <x:c r="F2413" s="46" t="str">
        <x:v>3% | 3%</x:v>
      </x:c>
      <x:c r="G2413" s="46" t="str">
        <x:v>L2022-00032-1/(붙임2) 입찰안내서(영문)_최종/Section V_Standard Forms of Contract.docx</x:v>
      </x:c>
      <x:c r="H2413" s="43" t="str">
        <x:v>표 26 행 18</x:v>
      </x:c>
      <x:c r="I2413" s="46" t="str">
        <x:v>Security Deposit for Defects | 3% of the Contract Price May be exempted if reserves are available | 3% of the Contract Price May be exempted if reserves are available</x:v>
      </x:c>
      <x:c r="J2413" s="43" t="str">
        <x:v>자동추출·검토필요</x:v>
      </x:c>
    </x:row>
    <x:row r="2414">
      <x:c r="A2414" s="43" t="str">
        <x:v>L2022-00032-1</x:v>
      </x:c>
      <x:c r="B2414" s="43" t="str">
        <x:v>부가세·예비비</x:v>
      </x:c>
      <x:c r="C2414" s="46" t="str">
        <x:v>vat</x:v>
      </x:c>
      <x:c r="D2414" s="46" t="str"/>
      <x:c r="E2414" s="46" t="str">
        <x:v>USD 1,507,000</x:v>
      </x:c>
      <x:c r="F2414" s="46" t="str">
        <x:v>18%</x:v>
      </x:c>
      <x:c r="G2414" s="46" t="str">
        <x:v>L2022-00032-1/(붙임4) 도미니카공화국 성보건센터 시공 입찰계획서.hwp</x:v>
      </x:c>
      <x:c r="H2414" s="43" t="str">
        <x:v>문단 59</x:v>
      </x:c>
      <x:c r="I2414" s="46" t="str">
        <x:v>4. 집행 한도액 : USD 1,507,000 (VAT 18% 포함) (부가세 등 제비용 포함)</x:v>
      </x:c>
      <x:c r="J2414" s="43" t="str">
        <x:v>자동추출·검토필요</x:v>
      </x:c>
    </x:row>
    <x:row r="2415">
      <x:c r="A2415" s="43" t="str">
        <x:v>L2022-00032-1</x:v>
      </x:c>
      <x:c r="B2415" s="43" t="str">
        <x:v>부가세·예비비</x:v>
      </x:c>
      <x:c r="C2415" s="46" t="str">
        <x:v>예비비</x:v>
      </x:c>
      <x:c r="D2415" s="46" t="str"/>
      <x:c r="E2415" s="46" t="str"/>
      <x:c r="F2415" s="46" t="str">
        <x:v>0.5%</x:v>
      </x:c>
      <x:c r="G2415" s="46" t="str">
        <x:v>L2022-00032-1/(붙임4) 도미니카공화국 성보건센터 시공 입찰계획서.hwp</x:v>
      </x:c>
      <x:c r="H2415" s="43" t="str">
        <x:v>문단 65</x:v>
      </x:c>
      <x:c r="I2415" s="46" t="str">
        <x:v>- 총공사비 중 예비비 제외 금액 × 0.5% 이상</x:v>
      </x:c>
      <x:c r="J2415" s="43" t="str">
        <x:v>자동추출·검토필요</x:v>
      </x:c>
    </x:row>
    <x:row r="2416">
      <x:c r="A2416" s="43" t="str">
        <x:v>L2022-00032-1</x:v>
      </x:c>
      <x:c r="B2416" s="43" t="str">
        <x:v>부가세·예비비</x:v>
      </x:c>
      <x:c r="C2416" s="46" t="str">
        <x:v>예비비</x:v>
      </x:c>
      <x:c r="D2416" s="46" t="str"/>
      <x:c r="E2416" s="46" t="str"/>
      <x:c r="F2416" s="46" t="str">
        <x:v>2%</x:v>
      </x:c>
      <x:c r="G2416" s="46" t="str">
        <x:v>L2022-00032-1/(붙임4) 도미니카공화국 성보건센터 시공 입찰계획서.hwp</x:v>
      </x:c>
      <x:c r="H2416" s="43" t="str">
        <x:v>문단 215</x:v>
      </x:c>
      <x:c r="I2416" s="46" t="str">
        <x:v>- 예비비(2%) 금액(비율)에 대하여는 명시된 금액(비율)을 조정하지 않고 그대로 반영하여야 하며, 사전에 협력단 승인을 받은 후 집행하여야 함</x:v>
      </x:c>
      <x:c r="J2416" s="43" t="str">
        <x:v>자동추출·검토필요</x:v>
      </x:c>
    </x:row>
    <x:row r="2417">
      <x:c r="A2417" s="43" t="str">
        <x:v>L2022-00031-1</x:v>
      </x:c>
      <x:c r="B2417" s="43" t="str">
        <x:v>부가세·예비비</x:v>
      </x:c>
      <x:c r="C2417" s="46" t="str">
        <x:v>vat</x:v>
      </x:c>
      <x:c r="D2417" s="46" t="str"/>
      <x:c r="E2417" s="46" t="str">
        <x:v>USD 302,740</x:v>
      </x:c>
      <x:c r="F2417" s="46" t="str"/>
      <x:c r="G2417" s="46" t="str">
        <x:v>L2022-00031-1/붙임 1. 설계업체 선정 국제입찰 추진계획서 (220628).hwp</x:v>
      </x:c>
      <x:c r="H2417" s="43" t="str">
        <x:v>문단 120</x:v>
      </x:c>
      <x:c r="I2417" s="46" t="str">
        <x:v>󰏚 집행한도액 : USD 302,740(GST 및 VAT 포함)</x:v>
      </x:c>
      <x:c r="J2417" s="43" t="str">
        <x:v>자동추출·검토필요</x:v>
      </x:c>
    </x:row>
    <x:row r="2418">
      <x:c r="A2418" s="43" t="str">
        <x:v>L2022-00031-1</x:v>
      </x:c>
      <x:c r="B2418" s="43" t="str">
        <x:v>부가세·예비비</x:v>
      </x:c>
      <x:c r="C2418" s="46" t="str">
        <x:v>vat</x:v>
      </x:c>
      <x:c r="D2418" s="46" t="str"/>
      <x:c r="E2418" s="46" t="str">
        <x:v>USD 302,740</x:v>
      </x:c>
      <x:c r="F2418" s="46" t="str">
        <x:v>90% | 10% | 2.5%</x:v>
      </x:c>
      <x:c r="G2418" s="46" t="str">
        <x:v>L2022-00031-1/붙임 2 입찰 관련 문서 (220628)/00. └╘┬√░°░φ╣«_Newspaper.docx</x:v>
      </x:c>
      <x:c r="H2418" s="43" t="str">
        <x:v>표 1 행 1</x:v>
      </x:c>
      <x:c r="I2418" s="46" t="str">
        <x:v>Tender Notice The Korea International Cooperation Agency (KOICA) Pakistan Office invites qualified bidders to bidding in Consulting Services(Design works, EIA/Environmental and Social Impact Assessment (ESIA), and Environmental and Social Management Plan (ESMP), and preparation of bidding documents) for the Gravity based safe drinking Water Supply System in Havelian, Abbottabad, Khyber Pakhtunkhwa province, Pakistan. The project for the water supply system is to be implemented by the grant aid of the Government of the Republic of Korea. Description of Project Bid Title: Basic and detailed design of gravity based safe drinking Water Supply System in Havelian, Abbottabad, Khyber Pakhtunkhwa province, Pakistan. Summary of Consulting Services • Basic and detailed design works for Water Treatment System(10,800㎥/day) include intake facilities, raw water supply and treated water supply pipeline and replacement existing water supply pipeline. • Topographic Survey • Environmental Impact Assessment and Environmental and Social Impact Assessment (ESIA), and Environmental and Social Management Plan (ESMP) • Preparation of Bidding Document • Site area: Havelian area, Abbottabad city, Khyber Pak</x:v>
      </x:c>
      <x:c r="J2418" s="43" t="str">
        <x:v>자동추출·검토필요</x:v>
      </x:c>
    </x:row>
    <x:row r="2419">
      <x:c r="A2419" s="43" t="str">
        <x:v>L2022-00031-1</x:v>
      </x:c>
      <x:c r="B2419" s="43" t="str">
        <x:v>부가세·예비비</x:v>
      </x:c>
      <x:c r="C2419" s="46" t="str">
        <x:v>vat, tax</x:v>
      </x:c>
      <x:c r="D2419" s="46" t="str"/>
      <x:c r="E2419" s="46" t="str">
        <x:v>USD 302,740</x:v>
      </x:c>
      <x:c r="F2419" s="46" t="str"/>
      <x:c r="G2419" s="46" t="str">
        <x:v>L2022-00031-1/붙임 2 입찰 관련 문서 (220628)/01. Invitation for bids.docx</x:v>
      </x:c>
      <x:c r="H2419" s="43" t="str">
        <x:v>표 2 행 7</x:v>
      </x:c>
      <x:c r="I2419" s="46" t="str">
        <x:v>Project Budget | USD 302,740 (including GST, VAT) ※ In accordance with Article 11 paragraph (1) of the regulations for procurement and contract in grant aid project, this tender does not have an estimated price and the project budget is regarded as the estimated price ※If the Employer provides the Consultant with the tax exemption related to the Contract, the Employer will not be responsible for paying the exempt tax. If the Employer fails to provide the Consultant with the tax exemption, the Employer will pay the applicable taxes to the Consultant. ※KOICA has no authority or responsibility for any tax, including GST, incurred by such a bid and contract. The Federal Board of Revenue (FBR) is responsible for the taxation and tax exemption in accordance with the relevant laws and regulations of Pakistan.</x:v>
      </x:c>
      <x:c r="J2419" s="43" t="str">
        <x:v>자동추출·검토필요</x:v>
      </x:c>
    </x:row>
    <x:row r="2420">
      <x:c r="A2420" s="43" t="str">
        <x:v>L2022-00031-1</x:v>
      </x:c>
      <x:c r="B2420" s="43" t="str">
        <x:v>부가세·예비비</x:v>
      </x:c>
      <x:c r="C2420" s="46" t="str">
        <x:v>tax</x:v>
      </x:c>
      <x:c r="D2420" s="46" t="str"/>
      <x:c r="E2420" s="46" t="str"/>
      <x:c r="F2420" s="46" t="str">
        <x:v>2.5%</x:v>
      </x:c>
      <x:c r="G2420" s="46" t="str">
        <x:v>L2022-00031-1/붙임 2 입찰 관련 문서 (220628)/02. Informaiton to Consultant(ITC) and Data Sheet.docx</x:v>
      </x:c>
      <x:c r="H2420" s="43" t="str">
        <x:v>표 2 행 8</x:v>
      </x:c>
      <x:c r="I2420" s="46" t="str">
        <x:v>7.1 | The Proposal shall comprise the following: 1st Inner Envelope with the Technical Proposal: Power of Attorney to sign the Proposal Official letter for participating in bid Letter of Oath and Declaration of Anti-Corruption in ODA business participation According to the Article 27 of Act on Contracts to which the State is a Party, the Article 31 of Act on Contracts to which a Local Government is a Party, or the Article 39 of Act on Management of Public Institution, In case of Korean companies participating to this bidding, they should not be in the process of being subject to restrictions on the eligibility to participate in bidding as an illegal bidders. → Check the Korean On-Line E-Procurement System Integrity Pledge Proof of Legal Status and Eligibility (see below) Bid security (All bids must be accompanied by a Bid Security of not less than 2.5% of Bid Price. It must be delivered on or before the bid submission date) Payment method : Cash, Bank guarantee of payment, bank check Proof of legal status and Eligibility establish Consultant’s legal capacity to enter into binding and enforceable contracts and may be supported by: Authenticated copy of the certificate of incorporati</x:v>
      </x:c>
      <x:c r="J2420" s="43" t="str">
        <x:v>자동추출·검토필요</x:v>
      </x:c>
    </x:row>
    <x:row r="2421">
      <x:c r="A2421" s="43" t="str">
        <x:v>L2022-00031-1</x:v>
      </x:c>
      <x:c r="B2421" s="43" t="str">
        <x:v>부가세·예비비</x:v>
      </x:c>
      <x:c r="C2421" s="46" t="str">
        <x:v>vat</x:v>
      </x:c>
      <x:c r="D2421" s="46" t="str"/>
      <x:c r="E2421" s="46" t="str">
        <x:v>302,740 USD</x:v>
      </x:c>
      <x:c r="F2421" s="46" t="str"/>
      <x:c r="G2421" s="46" t="str">
        <x:v>L2022-00031-1/붙임 2 입찰 관련 문서 (220628)/02. Informaiton to Consultant(ITC) and Data Sheet.docx</x:v>
      </x:c>
      <x:c r="H2421" s="43" t="str">
        <x:v>표 2 행 14</x:v>
      </x:c>
      <x:c r="I2421" s="46" t="str">
        <x:v>11.1.2 | Maximum budget for the assignment: 302,740 USD (including GST,VAT)</x:v>
      </x:c>
      <x:c r="J2421" s="43" t="str">
        <x:v>자동추출·검토필요</x:v>
      </x:c>
    </x:row>
    <x:row r="2422">
      <x:c r="A2422" s="43" t="str">
        <x:v>L2022-00029-1</x:v>
      </x:c>
      <x:c r="B2422" s="43" t="str">
        <x:v>부가세·예비비</x:v>
      </x:c>
      <x:c r="C2422" s="46" t="str">
        <x:v>vat</x:v>
      </x:c>
      <x:c r="D2422" s="46" t="str"/>
      <x:c r="E2422" s="46" t="str">
        <x:v>USD 3,744,400</x:v>
      </x:c>
      <x:c r="F2422" s="46" t="str"/>
      <x:c r="G2422" s="46" t="str">
        <x:v>L2022-00029-1/1. 국문입찰계획서 (네팔사무소 조정안)_0531.hwp</x:v>
      </x:c>
      <x:c r="H2422" s="43" t="str">
        <x:v>문단 81</x:v>
      </x:c>
      <x:c r="I2422" s="46" t="str">
        <x:v>1) 기초금액 : USD 3,744,400 (VAT 제외)</x:v>
      </x:c>
      <x:c r="J2422" s="43" t="str">
        <x:v>자동추출·검토필요</x:v>
      </x:c>
    </x:row>
    <x:row r="2423">
      <x:c r="A2423" s="43" t="str">
        <x:v>L2022-00029-1</x:v>
      </x:c>
      <x:c r="B2423" s="43" t="str">
        <x:v>부가세·예비비</x:v>
      </x:c>
      <x:c r="C2423" s="46" t="str">
        <x:v>예비비</x:v>
      </x:c>
      <x:c r="D2423" s="46" t="str"/>
      <x:c r="E2423" s="46" t="str"/>
      <x:c r="F2423" s="46" t="str">
        <x:v>0.5%</x:v>
      </x:c>
      <x:c r="G2423" s="46" t="str">
        <x:v>L2022-00029-1/1. 국문입찰계획서 (네팔사무소 조정안)_0531.hwp</x:v>
      </x:c>
      <x:c r="H2423" s="43" t="str">
        <x:v>문단 86</x:v>
      </x:c>
      <x:c r="I2423" s="46" t="str">
        <x:v>- 총 입찰 금액 × 0.5% 이상 반영(예비비 없음)</x:v>
      </x:c>
      <x:c r="J2423" s="43" t="str">
        <x:v>자동추출·검토필요</x:v>
      </x:c>
    </x:row>
    <x:row r="2424">
      <x:c r="A2424" s="43" t="str">
        <x:v>L2022-00029-1</x:v>
      </x:c>
      <x:c r="B2424" s="43" t="str">
        <x:v>부가세·예비비</x:v>
      </x:c>
      <x:c r="C2424" s="46" t="str">
        <x:v>vat</x:v>
      </x:c>
      <x:c r="D2424" s="46" t="str"/>
      <x:c r="E2424" s="46" t="str">
        <x:v>USD 3,744,400</x:v>
      </x:c>
      <x:c r="F2424" s="46" t="str"/>
      <x:c r="G2424" s="46" t="str">
        <x:v>L2022-00029-1/2. 영문입찰계획서(네팔사무소 조정안)_0531.docx</x:v>
      </x:c>
      <x:c r="H2424" s="43" t="str">
        <x:v>표 1 행 9</x:v>
      </x:c>
      <x:c r="I2424" s="46" t="str">
        <x:v>Construction Budget(Basic) | USD 3,744,400(VAT excluded)</x:v>
      </x:c>
      <x:c r="J2424" s="43" t="str">
        <x:v>자동추출·검토필요</x:v>
      </x:c>
    </x:row>
    <x:row r="2425">
      <x:c r="A2425" s="43" t="str">
        <x:v>L2022-00029-1</x:v>
      </x:c>
      <x:c r="B2425" s="43" t="str">
        <x:v>부가세·예비비</x:v>
      </x:c>
      <x:c r="C2425" s="46" t="str">
        <x:v>vat</x:v>
      </x:c>
      <x:c r="D2425" s="46" t="str"/>
      <x:c r="E2425" s="46" t="str">
        <x:v>USD 7 | USD 1,862</x:v>
      </x:c>
      <x:c r="F2425" s="46" t="str"/>
      <x:c r="G2425" s="46" t="str">
        <x:v>L2022-00029-1/Rising Nepal.pdf</x:v>
      </x:c>
      <x:c r="H2425" s="43" t="str">
        <x:v>페이지 1</x:v>
      </x:c>
      <x:c r="I2425" s="46" t="str">
        <x:v>2 2022 June 6 2079 B.S. Jeth 23 Monday BUSINESS risingnepaldaily.com BULLION (Rs. per tola) 159,000 tourists visit Chitwan National Park in ten months Hallmark Gold : Rs. 97,900 Worked Gold : Rs. 97,400 Silver : Rs. 1,275 GOLD PRICE BY OUR CORRESPONDENT they would visit Sauraha on the occa- sion of the New Year. He said that the Chitwan, June 5 number of tourists visiting Sauraha FALLS has increased due to the New Year and various programmes and seminars at It has been found that the tourism sec- the same time. In December, 20,855 peo- BY A STAFF REPORTER tor in Chitwan has been supported ple had visited; in April, 20,869 people Kathmandu, June 5 by domestic tourists. Entrepreneurs had visited. have said that the tourism sector here "In the last 10 months, 159,881 tourists is dominated by Nepalese as domestic have visited the park," stated informa- The prices of gold and silver decreased tourists are more active in visiting the tion officer Tiwari. In other words, in in the domestic bullion market on Sun- parks and staying in hotels. Tourists ten months, it has generated Rs. 91.91 day. The price of gold declined by Rs. coming to Chitwan have been going on million in revenue. 600 pe</x:v>
      </x:c>
      <x:c r="J2425" s="43" t="str">
        <x:v>자동추출·검토필요</x:v>
      </x:c>
    </x:row>
    <x:row r="2426">
      <x:c r="A2426" s="43" t="str">
        <x:v>L2022-00027-1</x:v>
      </x:c>
      <x:c r="B2426" s="43" t="str">
        <x:v>부가세·예비비</x:v>
      </x:c>
      <x:c r="C2426" s="46" t="str">
        <x:v>vat</x:v>
      </x:c>
      <x:c r="D2426" s="46" t="str"/>
      <x:c r="E2426" s="46" t="str">
        <x:v>USD 160,350</x:v>
      </x:c>
      <x:c r="F2426" s="46" t="str"/>
      <x:c r="G2426" s="46" t="str">
        <x:v>L2022-00027-1/1. 입찰계획안(국문)_키토혁신센터 설계_220601.hwp</x:v>
      </x:c>
      <x:c r="H2426" s="43" t="str">
        <x:v>문단 29</x:v>
      </x:c>
      <x:c r="I2426" s="46" t="str">
        <x:v>다. 입찰한도액 : USD 160,350 (VAT 포함)</x:v>
      </x:c>
      <x:c r="J2426" s="43" t="str">
        <x:v>자동추출·검토필요</x:v>
      </x:c>
    </x:row>
    <x:row r="2427">
      <x:c r="A2427" s="43" t="str">
        <x:v>L2022-00027-1</x:v>
      </x:c>
      <x:c r="B2427" s="43" t="str">
        <x:v>부가세·예비비</x:v>
      </x:c>
      <x:c r="C2427" s="46" t="str">
        <x:v>vat</x:v>
      </x:c>
      <x:c r="D2427" s="46" t="str"/>
      <x:c r="E2427" s="46" t="str">
        <x:v>USD 160,350</x:v>
      </x:c>
      <x:c r="F2427" s="46" t="str"/>
      <x:c r="G2427" s="46" t="str">
        <x:v>L2022-00027-1/2. 입찰서류(영문)_키토혁신센터 설계_220531/1. Ecuador Bidding Guideline 20220531.docx</x:v>
      </x:c>
      <x:c r="H2427" s="43" t="str">
        <x:v>문단 55</x:v>
      </x:c>
      <x:c r="I2427" s="46" t="str">
        <x:v>1.3 Maximum Bidding Price : USD 160,350 (VAT included)</x:v>
      </x:c>
      <x:c r="J2427" s="43" t="str">
        <x:v>자동추출·검토필요</x:v>
      </x:c>
    </x:row>
    <x:row r="2428">
      <x:c r="A2428" s="43" t="str">
        <x:v>L2022-00027-1</x:v>
      </x:c>
      <x:c r="B2428" s="43" t="str">
        <x:v>부가세·예비비</x:v>
      </x:c>
      <x:c r="C2428" s="46" t="str">
        <x:v>contingency</x:v>
      </x:c>
      <x:c r="D2428" s="46" t="str"/>
      <x:c r="E2428" s="46" t="str"/>
      <x:c r="F2428" s="46" t="str">
        <x:v>2%</x:v>
      </x:c>
      <x:c r="G2428" s="46" t="str">
        <x:v>L2022-00027-1/2. 입찰서류(영문)_키토혁신센터 설계_220531/4. Ecuador Terms of Reference 20220601.docx</x:v>
      </x:c>
      <x:c r="H2428" s="43" t="str">
        <x:v>문단 128</x:v>
      </x:c>
      <x:c r="I2428" s="46" t="str">
        <x:v>Contingency shall be included in the BOQ and 2% of total construction cost minus overhead such as profit and insurance.</x:v>
      </x:c>
      <x:c r="J2428" s="43" t="str">
        <x:v>자동추출·검토필요</x:v>
      </x:c>
    </x:row>
    <x:row r="2429">
      <x:c r="A2429" s="43" t="str">
        <x:v>L2022-00025-1</x:v>
      </x:c>
      <x:c r="B2429" s="43" t="str">
        <x:v>부가세·예비비</x:v>
      </x:c>
      <x:c r="C2429" s="46" t="str">
        <x:v>vat, tax</x:v>
      </x:c>
      <x:c r="D2429" s="46" t="str"/>
      <x:c r="E2429" s="46" t="str"/>
      <x:c r="F2429" s="46" t="str">
        <x:v>50% | 50% | 50% | 10% | 110%</x:v>
      </x:c>
      <x:c r="G2429" s="46" t="str">
        <x:v>L2022-00025-1/(붙임1-8) 영문입찰6-미티아나 및 음피지 건축자재 공급.doc</x:v>
      </x:c>
      <x:c r="H2429" s="43" t="str">
        <x:v>문단 193</x:v>
      </x:c>
      <x:c r="I2429" s="46" t="str">
        <x:v>For notices, the Provider’s address shall be: Attention: ______________________ Street Address: ______________________ Floor/Room number: ______________________ Town/City: ______________________ P. O. Box: ______________________ Country: ______________________ Telephone: ______________________ Facsimile number: ______________________ Electronic mail address: ______________________ GCC 9 The Governing law shall be the law of Uganda GCC 10.2 The formal mechanism for the resolution of disputes shall be the Arbitration and Conciliation Act, 2000 of Uganda. GCC 12 Date of delivery shall be: Within Thirty (30) days from advance payment date. The point of delivery shall be: Bongole parish in Mpigi District, Kikandwa and Bukooba Parish, Mityana District. GCC 15.2 The price adjustment shall be: N/A GCC 16.1 The structure of payments shall be: 50% of Contract sum on the contract signing and upon submission of an accepted advance payment guarantee. 50% payment will be done after delivery of all materials specified. GCC 16.3 The payment period shall be: Within ten (10) days after delivery GCC 16.4 The currency(ies) for payments shall be: Uganda shillings (UGX) GCC 17.1 On demand Advance Paymen</x:v>
      </x:c>
      <x:c r="J2429" s="43" t="str">
        <x:v>자동추출·검토필요</x:v>
      </x:c>
    </x:row>
    <x:row r="2430">
      <x:c r="A2430" s="43" t="str">
        <x:v>L2022-00019-1</x:v>
      </x:c>
      <x:c r="B2430" s="43" t="str">
        <x:v>부가세·예비비</x:v>
      </x:c>
      <x:c r="C2430" s="46" t="str">
        <x:v>vat</x:v>
      </x:c>
      <x:c r="D2430" s="46" t="str"/>
      <x:c r="E2430" s="46" t="str">
        <x:v>USD 1,411,000</x:v>
      </x:c>
      <x:c r="F2430" s="46" t="str"/>
      <x:c r="G2430" s="46" t="str">
        <x:v>L2022-00019-1/02. Notice of Tender For New Construction Project(As of May 20 2022).docx</x:v>
      </x:c>
      <x:c r="H2430" s="43" t="str">
        <x:v>문단 13</x:v>
      </x:c>
      <x:c r="I2430" s="46" t="str">
        <x:v> Estimated Budget: Approx. USD 1,411,000 (VAT excluded)</x:v>
      </x:c>
      <x:c r="J2430" s="43" t="str">
        <x:v>자동추출·검토필요</x:v>
      </x:c>
    </x:row>
    <x:row r="2431">
      <x:c r="A2431" s="43" t="str">
        <x:v>L2022-00019-1</x:v>
      </x:c>
      <x:c r="B2431" s="43" t="str">
        <x:v>부가세·예비비</x:v>
      </x:c>
      <x:c r="C2431" s="46" t="str">
        <x:v>reserve</x:v>
      </x:c>
      <x:c r="D2431" s="46" t="str"/>
      <x:c r="E2431" s="46" t="str"/>
      <x:c r="F2431" s="46" t="str">
        <x:v>0.5%</x:v>
      </x:c>
      <x:c r="G2431" s="46" t="str">
        <x:v>L2022-00019-1/04. Appendix-3 . Contract Agreement, GCC&amp; SCC-Final of Final(As of May 20 2022).docx</x:v>
      </x:c>
      <x:c r="H2431" s="43" t="str">
        <x:v>표 6 행 109</x:v>
      </x:c>
      <x:c r="I2431" s="46" t="str">
        <x:v>| The Contractor shall prepare and submit to the Employer the safety, environment and quality management plan specified in Article 4.17(a)(iv) hereof, conduct safety inspections to prevent industrial accidents, and take all necessary measures, including without limitation installing safety facilities and purchasing insurance. The costs for undertaking all necessary measures for safety management (the “Safety Management Costs”) must be more than 0.5% of the Contract Price (which, for the purposes of the calculations hereunder shall be the Contract Price excluding any reserve funds (to the extent the Contract Price is inclusive of any reserve funds)) and the Contractor shall prepare and submit to the Employer the Calculation Statement reflecting the Safety Management Costs as a separate line item. The safety, environment and quality management plan specified in Article 4.17(a) (iv) hereof must include details of how the Safety Management Costs will be utilized.</x:v>
      </x:c>
      <x:c r="J2431" s="43" t="str">
        <x:v>자동추출·검토필요</x:v>
      </x:c>
    </x:row>
    <x:row r="2432">
      <x:c r="A2432" s="43" t="str">
        <x:v>L2022-00019-1</x:v>
      </x:c>
      <x:c r="B2432" s="43" t="str">
        <x:v>부가세·예비비</x:v>
      </x:c>
      <x:c r="C2432" s="46" t="str">
        <x:v>reserve</x:v>
      </x:c>
      <x:c r="D2432" s="46" t="str"/>
      <x:c r="E2432" s="46" t="str"/>
      <x:c r="F2432" s="46" t="str">
        <x:v>50% | 50%</x:v>
      </x:c>
      <x:c r="G2432" s="46" t="str">
        <x:v>L2022-00019-1/04. Appendix-3 . Contract Agreement, GCC&amp; SCC-Final of Final(As of May 20 2022).docx</x:v>
      </x:c>
      <x:c r="H2432" s="43" t="str">
        <x:v>표 14 행 61</x:v>
      </x:c>
      <x:c r="I2432" s="46" t="str">
        <x:v>| Unless this Contract provides otherwise in respect of the repayment of reserves, the Employer shall return 50% of the reserves to the Contractor when the inspection process as set out in this Contract completes and a taking over certificate for all of the Construction Works is issued. The remaining 50% of the reserves shall be returned without delay upon expiration of the Defect Notification Period. If there is a part of the Construction Works for which the Contractor remains liable to repair any defects, the Employer shall be entitled to additionally reserve an amount equivalent to the costs required to repair such defects.</x:v>
      </x:c>
      <x:c r="J2432" s="43" t="str">
        <x:v>자동추출·검토필요</x:v>
      </x:c>
    </x:row>
    <x:row r="2433">
      <x:c r="A2433" s="43" t="str">
        <x:v>L2022-00019-1</x:v>
      </x:c>
      <x:c r="B2433" s="43" t="str">
        <x:v>부가세·예비비</x:v>
      </x:c>
      <x:c r="C2433" s="46" t="str">
        <x:v>vat</x:v>
      </x:c>
      <x:c r="D2433" s="46" t="str"/>
      <x:c r="E2433" s="46" t="str">
        <x:v>USD 1,411,000 | USD 1,411,000</x:v>
      </x:c>
      <x:c r="F2433" s="46" t="str"/>
      <x:c r="G2433" s="46" t="str">
        <x:v>L2022-00019-1/05. Bidding Documents (220523).docx</x:v>
      </x:c>
      <x:c r="H2433" s="43" t="str">
        <x:v>표 32 행 3</x:v>
      </x:c>
      <x:c r="I2433" s="46" t="str">
        <x:v>Estimated Budget | Approx. USD 1,411,000 (VAT excluded) | Approx. USD 1,411,000 (VAT excluded)</x:v>
      </x:c>
      <x:c r="J2433" s="43" t="str">
        <x:v>자동추출·검토필요</x:v>
      </x:c>
    </x:row>
    <x:row r="2434">
      <x:c r="A2434" s="43" t="str">
        <x:v>L2022-00015-1</x:v>
      </x:c>
      <x:c r="B2434" s="43" t="str">
        <x:v>부가세·예비비</x:v>
      </x:c>
      <x:c r="C2434" s="46" t="str">
        <x:v>vat</x:v>
      </x:c>
      <x:c r="D2434" s="46" t="str"/>
      <x:c r="E2434" s="46" t="str">
        <x:v>USD 1,848,000 | USD 1,801,800</x:v>
      </x:c>
      <x:c r="F2434" s="46" t="str"/>
      <x:c r="G2434" s="46" t="str">
        <x:v>L2022-00015-1/01 필리핀 농기계 현대화 사업 센터 신축 ITB Rev02_20220513_edited.doc</x:v>
      </x:c>
      <x:c r="H2434" s="43" t="str">
        <x:v>문단 2</x:v>
      </x:c>
      <x:c r="I2434" s="46" t="str">
        <x:v>1. The Korea International Cooperation Agency (KOICA) Philippines Office intends to invite foreign and local eligible bidders for the construction of the PHilMech Agricultural Machinery Design and Prototyping Center in Nueva Ecija. This project is being conducted through the grant aid program of the Government of the Republic of Korea. 2. Brief of Bidding Bid Title Construction of the PHilMech Agricultural Machinery Design and Prototyping Center Summary of Construction Purpose Office and Workshop Building Summary Building combined Office and Workshop - Office: 22.5mⅹ20m (h=6.5m), 2story, Reinforced Concrete Structure - Workshop: 55mⅹ20m(h=15.05m), 1story, Steel Structure - External Finish; Sandwich Panel / Al. Window &amp; Glass Duration 15 Months Execution Cap Amount USD 1,848,000 (Including VAT) Base Amount USD 1,801,800 (Including VAT)</x:v>
      </x:c>
      <x:c r="J2434" s="43" t="str">
        <x:v>자동추출·검토필요</x:v>
      </x:c>
    </x:row>
    <x:row r="2435">
      <x:c r="A2435" s="43" t="str">
        <x:v>L2022-00015-1</x:v>
      </x:c>
      <x:c r="B2435" s="43" t="str">
        <x:v>부가세·예비비</x:v>
      </x:c>
      <x:c r="C2435" s="46" t="str">
        <x:v>vat, tax</x:v>
      </x:c>
      <x:c r="D2435" s="46" t="str"/>
      <x:c r="E2435" s="46" t="str">
        <x:v>USD 1,801,800</x:v>
      </x:c>
      <x:c r="F2435" s="46" t="str"/>
      <x:c r="G2435" s="46" t="str">
        <x:v>L2022-00015-1/01 필리핀 농기계 현대화 사업 센터 신축 ITB Rev02_20220513_edited.doc</x:v>
      </x:c>
      <x:c r="H2435" s="43" t="str">
        <x:v>문단 3</x:v>
      </x:c>
      <x:c r="I2435" s="46" t="str">
        <x:v>1) Employer: KOICA Philippines Office 2) Bid Type: International Open Competitive Bidding (Fixed Lump Sum Price Contract) 3) Selection of the Successful Bidder: Qualified Lowest Price 4) Technical Specifications of Construction: Philippine Standard 5) Eligibility to Bid: A bidder shall meet all items below in order to be eligible to bid. ① As of the date of the announcement of the bid, a company that has been legally established in accordance with the laws and regulations of the country of establishment, regardless of nationality, and can perform construction business in Philippines with a related license from Philippine government. Documents to be submitted at registration to participate in the bidding: - Enterprise Registration License (Issued by the country of establishment and the Philippine Government) - Construction License (Issued by the country of establishment) - Tax payment Certificate (Issued by the country of establishment) - PCAB General Building Registration Certification (GB-1) ② Consortium with another company is not allowed. 6) Contract Currency: USD 7) Time Schedule of Bid Event Schedule Remark Bid Announcement 2022.05.18. ~ 05.20 Local Newspaper, KOICA website (n</x:v>
      </x:c>
      <x:c r="J2435" s="43" t="str">
        <x:v>자동추출·검토필요</x:v>
      </x:c>
    </x:row>
    <x:row r="2436">
      <x:c r="A2436" s="43" t="str">
        <x:v>L2022-00009-1</x:v>
      </x:c>
      <x:c r="B2436" s="43" t="str">
        <x:v>부가세·예비비</x:v>
      </x:c>
      <x:c r="C2436" s="46" t="str">
        <x:v>vat</x:v>
      </x:c>
      <x:c r="D2436" s="46" t="str"/>
      <x:c r="E2436" s="46" t="str">
        <x:v>255,360 USD</x:v>
      </x:c>
      <x:c r="F2436" s="46" t="str"/>
      <x:c r="G2436" s="46" t="str">
        <x:v>L2022-00009-1/Bid Announcement_KOICA-UPLB Project.docx</x:v>
      </x:c>
      <x:c r="H2436" s="43" t="str">
        <x:v>문단 13</x:v>
      </x:c>
      <x:c r="I2436" s="46" t="str">
        <x:v>The available budget for this procurement assignment is 255,360 USD (VAT Included)</x:v>
      </x:c>
      <x:c r="J2436" s="43" t="str">
        <x:v>자동추출·검토필요</x:v>
      </x:c>
    </x:row>
    <x:row r="2437">
      <x:c r="A2437" s="43" t="str">
        <x:v>L2022-00009-1</x:v>
      </x:c>
      <x:c r="B2437" s="43" t="str">
        <x:v>부가세·예비비</x:v>
      </x:c>
      <x:c r="C2437" s="46" t="str">
        <x:v>vat</x:v>
      </x:c>
      <x:c r="D2437" s="46" t="str"/>
      <x:c r="E2437" s="46" t="str">
        <x:v>255,360 USD</x:v>
      </x:c>
      <x:c r="F2437" s="46" t="str"/>
      <x:c r="G2437" s="46" t="str">
        <x:v>L2022-00009-1/Bid Announcement_KOICA-UPLB Project.docx</x:v>
      </x:c>
      <x:c r="H2437" s="43" t="str">
        <x:v>표 1 행 2</x:v>
      </x:c>
      <x:c r="I2437" s="46" t="str">
        <x:v>Estimated Price | 255,360 USD (Including VAT)</x:v>
      </x:c>
      <x:c r="J2437" s="43" t="str">
        <x:v>자동추출·검토필요</x:v>
      </x:c>
    </x:row>
    <x:row r="2438">
      <x:c r="A2438" s="43" t="str">
        <x:v>L2022-00006-1</x:v>
      </x:c>
      <x:c r="B2438" s="43" t="str">
        <x:v>부가세·예비비</x:v>
      </x:c>
      <x:c r="C2438" s="46" t="str">
        <x:v>vat</x:v>
      </x:c>
      <x:c r="D2438" s="46" t="str"/>
      <x:c r="E2438" s="46" t="str">
        <x:v>154,872 USD | 92,920 USD | 61,952 USD</x:v>
      </x:c>
      <x:c r="F2438" s="46" t="str"/>
      <x:c r="G2438" s="46" t="str">
        <x:v>L2022-00006-1/붙임 1. 네팔경찰 역량강화를 위한 사이버안전국 설립사업 -국문본(조달실 반영분).hwp</x:v>
      </x:c>
      <x:c r="H2438" s="43" t="str">
        <x:v>문단 32</x:v>
      </x:c>
      <x:c r="I2438" s="46" t="str">
        <x:v>1.3. - 사업금액(예정금액) : 154,872 USD (설계- 92,920 USD/감리-61,952 USD)/VAT 제외</x:v>
      </x:c>
      <x:c r="J2438" s="43" t="str">
        <x:v>자동추출·검토필요</x:v>
      </x:c>
    </x:row>
    <x:row r="2439">
      <x:c r="A2439" s="43" t="str">
        <x:v>L2022-00006-1</x:v>
      </x:c>
      <x:c r="B2439" s="43" t="str">
        <x:v>부가세·예비비</x:v>
      </x:c>
      <x:c r="C2439" s="46" t="str">
        <x:v>vat</x:v>
      </x:c>
      <x:c r="D2439" s="46" t="str"/>
      <x:c r="E2439" s="46" t="str">
        <x:v>USD 257,741</x:v>
      </x:c>
      <x:c r="F2439" s="46" t="str"/>
      <x:c r="G2439" s="46" t="str">
        <x:v>L2022-00006-1/붙임 2. 입찰공고.docx</x:v>
      </x:c>
      <x:c r="H2439" s="43" t="str">
        <x:v>문단 119</x:v>
      </x:c>
      <x:c r="I2439" s="46" t="str">
        <x:v>3. The available budget for this procurement assignment is USD 257,741 (VAT excluded) and Bidders’ Proposals should not exceed this budget. any bid exceeding the project budget may be negotiated within the limit of budget.</x:v>
      </x:c>
      <x:c r="J2439" s="43" t="str">
        <x:v>자동추출·검토필요</x:v>
      </x:c>
    </x:row>
    <x:row r="2440">
      <x:c r="A2440" s="43" t="str">
        <x:v>L2022-00006-1</x:v>
      </x:c>
      <x:c r="B2440" s="43" t="str">
        <x:v>부가세·예비비</x:v>
      </x:c>
      <x:c r="C2440" s="46" t="str">
        <x:v>vat</x:v>
      </x:c>
      <x:c r="D2440" s="46" t="str"/>
      <x:c r="E2440" s="46" t="str">
        <x:v>USD 257,741</x:v>
      </x:c>
      <x:c r="F2440" s="46" t="str"/>
      <x:c r="G2440" s="46" t="str">
        <x:v>L2022-00006-1/붙임 2. 입찰공고.docx</x:v>
      </x:c>
      <x:c r="H2440" s="43" t="str">
        <x:v>표 2 행 6</x:v>
      </x:c>
      <x:c r="I2440" s="46" t="str">
        <x:v>Estimated Price | USD 257,741(VAT excluded)</x:v>
      </x:c>
      <x:c r="J2440" s="43" t="str">
        <x:v>자동추출·검토필요</x:v>
      </x:c>
    </x:row>
    <x:row r="2441">
      <x:c r="A2441" s="43" t="str">
        <x:v>L2022-00006-1</x:v>
      </x:c>
      <x:c r="B2441" s="43" t="str">
        <x:v>부가세·예비비</x:v>
      </x:c>
      <x:c r="C2441" s="46" t="str">
        <x:v>vat</x:v>
      </x:c>
      <x:c r="D2441" s="46" t="str"/>
      <x:c r="E2441" s="46" t="str">
        <x:v>USD 154,872</x:v>
      </x:c>
      <x:c r="F2441" s="46" t="str"/>
      <x:c r="G2441" s="46" t="str">
        <x:v>L2022-00006-1/붙임 3. 입찰계획안 -영문본.docx</x:v>
      </x:c>
      <x:c r="H2441" s="43" t="str">
        <x:v>문단 20</x:v>
      </x:c>
      <x:c r="I2441" s="46" t="str">
        <x:v>2.3. - PROJECT BUDGET : USD 154,872 (Exclude VAT)</x:v>
      </x:c>
      <x:c r="J2441" s="43" t="str">
        <x:v>자동추출·검토필요</x:v>
      </x:c>
    </x:row>
    <x:row r="2442">
      <x:c r="A2442" s="43" t="str">
        <x:v>L2022-00006-1</x:v>
      </x:c>
      <x:c r="B2442" s="43" t="str">
        <x:v>부가세·예비비</x:v>
      </x:c>
      <x:c r="C2442" s="46" t="str">
        <x:v>vat</x:v>
      </x:c>
      <x:c r="D2442" s="46" t="str"/>
      <x:c r="E2442" s="46" t="str">
        <x:v>USD 151,000</x:v>
      </x:c>
      <x:c r="F2442" s="46" t="str"/>
      <x:c r="G2442" s="46" t="str">
        <x:v>L2022-00006-1/붙임 3. 입찰계획안 -영문본.docx</x:v>
      </x:c>
      <x:c r="H2442" s="43" t="str">
        <x:v>표 5 행 3</x:v>
      </x:c>
      <x:c r="I2442" s="46" t="str">
        <x:v>2.PROJECT BUDGET | USD 151,000 | DESIGN+SUPERVISION /VAT Excluded</x:v>
      </x:c>
      <x:c r="J2442" s="43" t="str">
        <x:v>자동추출·검토필요</x:v>
      </x:c>
    </x:row>
    <x:row r="2443">
      <x:c r="A2443" s="43" t="str">
        <x:v>L2022-00003-1</x:v>
      </x:c>
      <x:c r="B2443" s="43" t="str">
        <x:v>부가세·예비비</x:v>
      </x:c>
      <x:c r="C2443" s="46" t="str">
        <x:v>vat</x:v>
      </x:c>
      <x:c r="D2443" s="46" t="str"/>
      <x:c r="E2443" s="46" t="str">
        <x:v>248,335 USD</x:v>
      </x:c>
      <x:c r="F2443" s="46" t="str"/>
      <x:c r="G2443" s="46" t="str">
        <x:v>L2022-00003-1/KOICA URGENCH BID DOCUMENTS-FINAL(FINAL)/Attachment 1. KOICA_BID Announcement.docx</x:v>
      </x:c>
      <x:c r="H2443" s="43" t="str">
        <x:v>표 2 행 7</x:v>
      </x:c>
      <x:c r="I2443" s="46" t="str">
        <x:v>Estimated Price | 248,335 USD(VAT Excluded)</x:v>
      </x:c>
      <x:c r="J2443" s="43" t="str">
        <x:v>자동추출·검토필요</x:v>
      </x:c>
    </x:row>
    <x:row r="2444">
      <x:c r="A2444" s="43" t="str">
        <x:v>L2022-00003-1</x:v>
      </x:c>
      <x:c r="B2444" s="43" t="str">
        <x:v>부가세·예비비</x:v>
      </x:c>
      <x:c r="C2444" s="46" t="str">
        <x:v>tax</x:v>
      </x:c>
      <x:c r="D2444" s="46" t="str"/>
      <x:c r="E2444" s="46" t="str">
        <x:v>$ 000,000.00 | $ 000,000 | $ 000,000 | $ 000,000</x:v>
      </x:c>
      <x:c r="F2444" s="46" t="str"/>
      <x:c r="G2444" s="46" t="str">
        <x:v>L2022-00003-1/KOICA URGENCH BID DOCUMENTS-FINAL(FINAL)/Form 6. Form of Price Proposal.doc</x:v>
      </x:c>
      <x:c r="H2444" s="43" t="str">
        <x:v>문단 11</x:v>
      </x:c>
      <x:c r="I2444" s="46" t="str">
        <x:v>Authorized Signature: Name and Title of Signatory: Duly authorized to sign bid for and on behalf of: Address: Form of BID Invitation No. KOICA-P-UZB-2022-1 Date of Bid MM, DD, 2022 Bid Total Amount [numbers] U$ 000,000.00 [words] Contract Period 1. Design: 6 months 2. Construction Supervision: 25 months 3. Bidding Support for selecting the Contractors: 2 months Total 33 months 1) Price for Design Stage [numbers] U$ 000,000 [words] _________________________ Design Contract Period 6 months + Bidding Support Period: 2 months 2) Price for Construction Supervision Stage [numbers] U$ 000,000 [words] _________________________ ( ________ U$/Months X 25 Months = ______________ U$) CS Contract Period 25 months 3) Total Contract Price [numbers] U$000,000 [words] _________________________ Details of the Bidder Section Name of Firm Address Chief Executive Bidding Agent Name Taxpayer ID No.</x:v>
      </x:c>
      <x:c r="J2444" s="43" t="str">
        <x:v>자동추출·검토필요</x:v>
      </x:c>
    </x:row>
    <x:row r="2445">
      <x:c r="A2445" s="43" t="str">
        <x:v>L2022-00003-1</x:v>
      </x:c>
      <x:c r="B2445" s="43" t="str">
        <x:v>부가세·예비비</x:v>
      </x:c>
      <x:c r="C2445" s="46" t="str">
        <x:v>부가가치세</x:v>
      </x:c>
      <x:c r="D2445" s="46" t="str">
        <x:v>7,021 M2</x:v>
      </x:c>
      <x:c r="E2445" s="46" t="str">
        <x:v>USD 248,335 | USD 147,535, | USD 100,800,</x:v>
      </x:c>
      <x:c r="F2445" s="46" t="str">
        <x:v>90% | 10% | 10% | 90% | 2.5%</x:v>
      </x:c>
      <x:c r="G2445" s="46" t="str">
        <x:v>L2022-00003-1/코이카사무소_우르겐치직훈원 입찰공고문(홈페이지게시).pdf</x:v>
      </x:c>
      <x:c r="H2445" s="43" t="str">
        <x:v>페이지 1</x:v>
      </x:c>
      <x:c r="I2445" s="46" t="str">
        <x:v>KOICA 사무소 우르겐치 직업훈련원 설계 및 감리사 선정 입찰 공고 2022.02.21.(월) KOICA(Korea International Cooperation Agency, 한국국제협력단) 우즈베키스탄 사무소에서는 우르겐치 직업훈련원 및 타슈켄트 교사연수센터 설계 및 감리 용역업체 선정을 위한 입찰 공고를 하오니, 관심있는 업체의 많은 참여 바랍니다. ■ 입찰형태 : 국제 일반경쟁입찰(입찰번호 : KOICA-P-UZB-2022-1) ■ 집행한도액 : USD 248,335 (설계용역 : USD 147,535, 감리용역: USD 100,800, 부가가치세 미포함) ■ 계약기간 : 계약일로부터 33개월(설계 6개월 + 시공사입찰지원 2개월 + 시공감리 25개월) ■ 부지위치 : (우르겐치 직훈원) 우르겐치 기차역 인접, (교사연수센터) 타슈켄트 직업훈련원 부지 내 ■ 건축규모 : 연면적 총 7,021M2, 지상 2층 3개동, 1층 2개동 및 부속 건물 ■ 참가자격 : 우즈베키스탄 법률과 규정에 따라 건설공사의 설계 및 시공감리 용역업무 수행관련 합법적인 자격 보유한 국내외 업체 (공동수급은 허용하지 않습니다) ■ 낙찰업체 선정 방식 : 기술평가 90% + 가격평가 10% (기술평가 : 정량 10%+ 정성 90%) ■ 입찰일정(우즈베키스탄 시간 기준) 구 분 일정(안) 비 고 02.28. ~ 1. 입찰참가 신청 ㅇ KOICA 공용메일로 접수(tender.uzkoica@gmail.com) 03.22. 16:30 ㅇ 설명회 참가희망 업체 사전신청(02.25 16:30까지) ㅇ 신청업체대상 설명회 및 영문 입찰안내서류 이메일 송부 2. 온라인 입찰설명회 02.28. 10:00 - 입찰안내서류는 사무소 홈페이지 및 페이스북 內 게재 https://www.koica.go.kr/sites/uzb_kr https://www.facebook.com/koica.uzbek 03.07. ~ 3. 질의기간 ㅇ KOICA 공용메일로 접수(tender.uzkoica@gmail.com) 03.14. 16:30 ㅇ 설명회 참가자 및 질의자 전원대상 이메일 회신(15:00) 4. 질의응답자료 게재 03.16. 15:00 - 사무소 홈페이지 및 페이스북에 게재 5. 입찰서 접수마감 03.24. 16:30 ㅇ 입찰서 밀봉 후, 제출처에 방문제출(우편제출 불가) ㅇ 시간과 장소 사전 통보: 03.28. 16:30 6. 온라인 평가위원회 개최 03.</x:v>
      </x:c>
      <x:c r="J2445" s="43" t="str">
        <x:v>자동추출·검토필요</x:v>
      </x:c>
    </x:row>
    <x:row r="2446">
      <x:c r="A2446" s="43" t="str">
        <x:v>L2022-00002-1</x:v>
      </x:c>
      <x:c r="B2446" s="43" t="str">
        <x:v>부가세·예비비</x:v>
      </x:c>
      <x:c r="C2446" s="46" t="str">
        <x:v>vat</x:v>
      </x:c>
      <x:c r="D2446" s="46" t="str"/>
      <x:c r="E2446" s="46" t="str">
        <x:v>USD 205,000</x:v>
      </x:c>
      <x:c r="F2446" s="46" t="str"/>
      <x:c r="G2446" s="46" t="str">
        <x:v>L2022-00002-1/0 Bidding Guideline for supervision service.docx</x:v>
      </x:c>
      <x:c r="H2446" s="43" t="str">
        <x:v>문단 81</x:v>
      </x:c>
      <x:c r="I2446" s="46" t="str">
        <x:v>1.3 Maximum Bidding Price: USD 205,000 (VAT not included)</x:v>
      </x:c>
      <x:c r="J2446" s="43" t="str">
        <x:v>자동추출·검토필요</x:v>
      </x:c>
    </x:row>
    <x:row r="2447">
      <x:c r="A2447" s="43" t="str">
        <x:v>L2022-00002-1</x:v>
      </x:c>
      <x:c r="B2447" s="43" t="str">
        <x:v>부가세·예비비</x:v>
      </x:c>
      <x:c r="C2447" s="46" t="str">
        <x:v>vat</x:v>
      </x:c>
      <x:c r="D2447" s="46" t="str">
        <x:v>2,800 ㎡</x:v>
      </x:c>
      <x:c r="E2447" s="46" t="str"/>
      <x:c r="F2447" s="46" t="str"/>
      <x:c r="G2447" s="46" t="str">
        <x:v>L2022-00002-1/0 Bidding Guideline for supervision service.docx</x:v>
      </x:c>
      <x:c r="H2447" s="43" t="str">
        <x:v>표 4 행 7</x:v>
      </x:c>
      <x:c r="I2447" s="46" t="str">
        <x:v>3-3 | Experience Proof Documents | The Bidder shall have participated in Supervision or Construction or Detailed Design in at least One (1) Similar Project for a Single Building (Reinforced Concrete Structure + at least Two Floors) with at least 2,800㎡ that has been successfully completed in Paraguay within last 10 years. In the case of public institution performance, the client's performance certificate required, and in the case of private sector performance, the client's performance certificate and contract submission required.</x:v>
      </x:c>
      <x:c r="J2447" s="43" t="str">
        <x:v>자동추출·검토필요</x:v>
      </x:c>
    </x:row>
    <x:row r="2448">
      <x:c r="A2448" s="43" t="str">
        <x:v>L2022-00002-1</x:v>
      </x:c>
      <x:c r="B2448" s="43" t="str">
        <x:v>부가세·예비비</x:v>
      </x:c>
      <x:c r="C2448" s="46" t="str">
        <x:v>vat</x:v>
      </x:c>
      <x:c r="D2448" s="46" t="str">
        <x:v>2,800 ㎡</x:v>
      </x:c>
      <x:c r="E2448" s="46" t="str"/>
      <x:c r="F2448" s="46" t="str"/>
      <x:c r="G2448" s="46" t="str">
        <x:v>L2022-00002-1/0 Bidding Guideline for supervision service.docx</x:v>
      </x:c>
      <x:c r="H2448" s="43" t="str">
        <x:v>표 4 행 13</x:v>
      </x:c>
      <x:c r="I2448" s="46" t="str">
        <x:v>4-1 | Technical Proposal #1 (Quantitative) | Performance Record Experience in Supervision or Construction or Detailed Design of Similar Projects for a Single Building (Reinforced Concrete Structure + at least Two Floors) with at least 2,800㎡ that have been successfully completed in Paraguay within last 10 years, from the date of the bidding announcement. In the case of public institution performance, the client's performance certificate required, and in the case of private sector performance, the client's performance certificate and contract submission required. Financial Status with Auditor’s Report (FY2018-FY2020) issued by Ministry of Treasury Submit the notarized documents by a registered accountant</x:v>
      </x:c>
      <x:c r="J2448" s="43" t="str">
        <x:v>자동추출·검토필요</x:v>
      </x:c>
    </x:row>
    <x:row r="2449">
      <x:c r="A2449" s="43" t="str">
        <x:v>L2022-00001-1</x:v>
      </x:c>
      <x:c r="B2449" s="43" t="str">
        <x:v>부가세·예비비</x:v>
      </x:c>
      <x:c r="C2449" s="46" t="str">
        <x:v>vat</x:v>
      </x:c>
      <x:c r="D2449" s="46" t="str"/>
      <x:c r="E2449" s="46" t="str">
        <x:v>USD 1,819,948</x:v>
      </x:c>
      <x:c r="F2449" s="46" t="str"/>
      <x:c r="G2449" s="46" t="str">
        <x:v>L2022-00001-1/모잠비크 직훈사업 시공업체 선정 입찰계획.hwp</x:v>
      </x:c>
      <x:c r="H2449" s="43" t="str">
        <x:v>문단 70</x:v>
      </x:c>
      <x:c r="I2449" s="46" t="str">
        <x:v>汤捯 기초금액: USD 1,819,948 (VAT제외)</x:v>
      </x:c>
      <x:c r="J2449" s="43" t="str">
        <x:v>자동추출·검토필요</x:v>
      </x:c>
    </x:row>
    <x:row r="2450">
      <x:c r="A2450" s="43" t="str">
        <x:v>L2022-00001-1</x:v>
      </x:c>
      <x:c r="B2450" s="43" t="str">
        <x:v>부가세·예비비</x:v>
      </x:c>
      <x:c r="C2450" s="46" t="str">
        <x:v>vat</x:v>
      </x:c>
      <x:c r="D2450" s="46" t="str"/>
      <x:c r="E2450" s="46" t="str">
        <x:v>USD 1,819,948</x:v>
      </x:c>
      <x:c r="F2450" s="46" t="str"/>
      <x:c r="G2450" s="46" t="str">
        <x:v>L2022-00001-1/모잠비크 직훈사업 시공업체 선정 입찰계획.hwp</x:v>
      </x:c>
      <x:c r="H2450" s="43" t="str">
        <x:v>문단 336</x:v>
      </x:c>
      <x:c r="I2450" s="46" t="str">
        <x:v>USD 1,819,948 (VAT 제외)</x:v>
      </x:c>
      <x:c r="J2450" s="43" t="str">
        <x:v>자동추출·검토필요</x:v>
      </x:c>
    </x:row>
    <x:row r="2451">
      <x:c r="A2451" s="43" t="str">
        <x:v>L2022-00001-1</x:v>
      </x:c>
      <x:c r="B2451" s="43" t="str">
        <x:v>부가세·예비비</x:v>
      </x:c>
      <x:c r="C2451" s="46" t="str">
        <x:v>예비비</x:v>
      </x:c>
      <x:c r="D2451" s="46" t="str"/>
      <x:c r="E2451" s="46" t="str"/>
      <x:c r="F2451" s="46" t="str">
        <x:v>5%</x:v>
      </x:c>
      <x:c r="G2451" s="46" t="str">
        <x:v>L2022-00001-1/모잠비크 직훈사업 시공업체 선정 입찰계획.hwp</x:v>
      </x:c>
      <x:c r="H2451" s="43" t="str">
        <x:v>문단 373</x:v>
      </x:c>
      <x:c r="I2451" s="46" t="str">
        <x:v>ྠ Ā ㅇ 예비비(Provisional Sum) : 직접비 x 5%</x:v>
      </x:c>
      <x:c r="J2451" s="43" t="str">
        <x:v>자동추출·검토필요</x:v>
      </x:c>
    </x:row>
    <x:row r="2452">
      <x:c r="A2452" s="43" t="str">
        <x:v>L2021-00045-1</x:v>
      </x:c>
      <x:c r="B2452" s="43" t="str">
        <x:v>부가세·예비비</x:v>
      </x:c>
      <x:c r="C2452" s="46" t="str">
        <x:v>vat</x:v>
      </x:c>
      <x:c r="D2452" s="46" t="str"/>
      <x:c r="E2452" s="46" t="str">
        <x:v>USD 2,415,000</x:v>
      </x:c>
      <x:c r="F2452" s="46" t="str"/>
      <x:c r="G2452" s="46" t="str">
        <x:v>L2021-00045-1/0 Bidding Guideline for Construction_ATC.docx</x:v>
      </x:c>
      <x:c r="H2452" s="43" t="str">
        <x:v>문단 78</x:v>
      </x:c>
      <x:c r="I2452" s="46" t="str">
        <x:v>1.3 Maximum Bidding Price: USD 2,415,000 (VAT not included)</x:v>
      </x:c>
      <x:c r="J2452" s="43" t="str">
        <x:v>자동추출·검토필요</x:v>
      </x:c>
    </x:row>
    <x:row r="2453">
      <x:c r="A2453" s="43" t="str">
        <x:v>L2021-00045-1</x:v>
      </x:c>
      <x:c r="B2453" s="43" t="str">
        <x:v>부가세·예비비</x:v>
      </x:c>
      <x:c r="C2453" s="46" t="str">
        <x:v>vat</x:v>
      </x:c>
      <x:c r="D2453" s="46" t="str"/>
      <x:c r="E2453" s="46" t="str">
        <x:v>USD 800,000</x:v>
      </x:c>
      <x:c r="F2453" s="46" t="str"/>
      <x:c r="G2453" s="46" t="str">
        <x:v>L2021-00045-1/0 Bidding Guideline for Construction_ATC.docx</x:v>
      </x:c>
      <x:c r="H2453" s="43" t="str">
        <x:v>표 5 행 7</x:v>
      </x:c>
      <x:c r="I2453" s="46" t="str">
        <x:v>3-3 | Experience Proof Documents | The Bidder shall have participated as a General Contractor in at least One (1) Similar Construction Project for a Single Building (Reinforced Concrete Structure + at least Two Floors) with a value of at least USD 800,000 that have been successfully completed in Paraguay within last 10 years. In the case of public institution performance, the client's performance certificate required, and in the case of private sector performance, the client's performance certificate and contract submission required.</x:v>
      </x:c>
      <x:c r="J2453" s="43" t="str">
        <x:v>자동추출·검토필요</x:v>
      </x:c>
    </x:row>
    <x:row r="2454">
      <x:c r="A2454" s="43" t="str">
        <x:v>L2021-00045-1</x:v>
      </x:c>
      <x:c r="B2454" s="43" t="str">
        <x:v>부가세·예비비</x:v>
      </x:c>
      <x:c r="C2454" s="46" t="str">
        <x:v>vat</x:v>
      </x:c>
      <x:c r="D2454" s="46" t="str"/>
      <x:c r="E2454" s="46" t="str">
        <x:v>USD 800,000</x:v>
      </x:c>
      <x:c r="F2454" s="46" t="str"/>
      <x:c r="G2454" s="46" t="str">
        <x:v>L2021-00045-1/0 Bidding Guideline for Construction_ATC.docx</x:v>
      </x:c>
      <x:c r="H2454" s="43" t="str">
        <x:v>표 5 행 11</x:v>
      </x:c>
      <x:c r="I2454" s="46" t="str">
        <x:v>4 | Documents for the Performance Evaluation | Requires to use the bid forms provided by KOICA Performance Record Experience in construction of Similar Projects for a Single Building (Reinforced Concrete Structure + at least Two Floors) with a value of at least USD 800,000 that have been successfully completed in Paraguay within last 10 years, from the date of the bidding announcement. In the case of public institution performance, the client's performance certificate required, and in the case of private sector performance, the client's performance certificate and contract submission required. Financial Status with Auditor’s Report(FY2018-FY2020) issued by Ministry of Treasury Submit the notarized documents by a registered accountant Submission of relevant documents proving business period</x:v>
      </x:c>
      <x:c r="J2454" s="43" t="str">
        <x:v>자동추출·검토필요</x:v>
      </x:c>
    </x:row>
    <x:row r="2455">
      <x:c r="A2455" s="43" t="str">
        <x:v>L2021-00045-1</x:v>
      </x:c>
      <x:c r="B2455" s="43" t="str">
        <x:v>부가세·예비비</x:v>
      </x:c>
      <x:c r="C2455" s="46" t="str">
        <x:v>vat</x:v>
      </x:c>
      <x:c r="D2455" s="46" t="str"/>
      <x:c r="E2455" s="46" t="str">
        <x:v>USD 2,415,000</x:v>
      </x:c>
      <x:c r="F2455" s="46" t="str"/>
      <x:c r="G2455" s="46" t="str">
        <x:v>L2021-00045-1/1.0 Section I. Invitation for Bids_ATC.docx</x:v>
      </x:c>
      <x:c r="H2455" s="43" t="str">
        <x:v>문단 130</x:v>
      </x:c>
      <x:c r="I2455" s="46" t="str">
        <x:v>Maximum bidding price (VAT not included): USD 2,415,000</x:v>
      </x:c>
      <x:c r="J2455" s="43" t="str">
        <x:v>자동추출·검토필요</x:v>
      </x:c>
    </x:row>
    <x:row r="2456">
      <x:c r="A2456" s="43" t="str">
        <x:v>L2021-00045-1</x:v>
      </x:c>
      <x:c r="B2456" s="43" t="str">
        <x:v>부가세·예비비</x:v>
      </x:c>
      <x:c r="C2456" s="46" t="str">
        <x:v>tax</x:v>
      </x:c>
      <x:c r="D2456" s="46" t="str"/>
      <x:c r="E2456" s="46" t="str"/>
      <x:c r="F2456" s="46" t="str">
        <x:v>2% | 0.5%</x:v>
      </x:c>
      <x:c r="G2456" s="46" t="str">
        <x:v>L2021-00045-1/3.0 Section III. Bidding Forms_ATC.docx</x:v>
      </x:c>
      <x:c r="H2456" s="43" t="str">
        <x:v>표 4 행 1</x:v>
      </x:c>
      <x:c r="I2456" s="46" t="str">
        <x:v>Form 3. Performance Record Form 4. Financial Status Information from Balance Sheet Form 5. Project Execution Plan 1. Understanding of the Project and Objectives 2. Project Management Plan 3. Schedule Management Plan 3.1 Schedule-1: Master Schedule 3.2 Schedule-2: Material Delivery Schedule 4. Temporary work plan (fence, field office, field laboratory, etc.) 5. Quality control plan 6. Shop drawing management plan 7. HSE (Health, Security and Environment) safety management plan 8. Other proposals for quality control. Form 6. Project Organization and Key Personnel Form 6-1. List of Key Personnel Bidders should provide the names of qualified personnel to meet the specified requirements stated in Bidding Guideline (Qualification of Key personnel). Form 6-2. Resume of Key Personnel Summarize professional experience in reverse chronological order. Indicate particular technical and managerial experience relevant to the Project. Form 7. List of Equipment Form 8. Price Proposal (Bill of Quantities) Bill of Quantities, which are prepared and distributed separately as a part of Section Ⅳ Scope of Works, are to be used for the Bid. Objectives The objectives of the Bill of Quantities are (a) to </x:v>
      </x:c>
      <x:c r="J2456" s="43" t="str">
        <x:v>자동추출·검토필요</x:v>
      </x:c>
    </x:row>
    <x:row r="2457">
      <x:c r="A2457" s="43" t="str">
        <x:v>L2021-00045-1</x:v>
      </x:c>
      <x:c r="B2457" s="43" t="str">
        <x:v>부가세·예비비</x:v>
      </x:c>
      <x:c r="C2457" s="46" t="str">
        <x:v>vat</x:v>
      </x:c>
      <x:c r="D2457" s="46" t="str"/>
      <x:c r="E2457" s="46" t="str">
        <x:v>USD 2,415,000</x:v>
      </x:c>
      <x:c r="F2457" s="46" t="str"/>
      <x:c r="G2457" s="46" t="str">
        <x:v>L2021-00045-1/붙임5. 입찰계획안.hwp</x:v>
      </x:c>
      <x:c r="H2457" s="43" t="str">
        <x:v>문단 33</x:v>
      </x:c>
      <x:c r="I2457" s="46" t="str">
        <x:v>나. 집행한도액 : USD 2,415,000 (VAT 제외)</x:v>
      </x:c>
      <x:c r="J2457" s="43" t="str">
        <x:v>자동추출·검토필요</x:v>
      </x:c>
    </x:row>
    <x:row r="2458">
      <x:c r="A2458" s="43" t="str">
        <x:v>L2021-00045-1</x:v>
      </x:c>
      <x:c r="B2458" s="43" t="str">
        <x:v>부가세·예비비</x:v>
      </x:c>
      <x:c r="C2458" s="46" t="str">
        <x:v>예비비</x:v>
      </x:c>
      <x:c r="D2458" s="46" t="str"/>
      <x:c r="E2458" s="46" t="str"/>
      <x:c r="F2458" s="46" t="str">
        <x:v>0.5%</x:v>
      </x:c>
      <x:c r="G2458" s="46" t="str">
        <x:v>L2021-00045-1/붙임5. 입찰계획안.hwp</x:v>
      </x:c>
      <x:c r="H2458" s="43" t="str">
        <x:v>문단 37</x:v>
      </x:c>
      <x:c r="I2458" s="46" t="str">
        <x:v>- 안전관리비 대상액(총 공사비 중 예비비 제외금액) × 0.5% 적용</x:v>
      </x:c>
      <x:c r="J2458" s="43" t="str">
        <x:v>자동추출·검토필요</x:v>
      </x:c>
    </x:row>
    <x:row r="2459">
      <x:c r="A2459" s="43" t="str">
        <x:v>L2021-00045-1</x:v>
      </x:c>
      <x:c r="B2459" s="43" t="str">
        <x:v>부가세·예비비</x:v>
      </x:c>
      <x:c r="C2459" s="46" t="str">
        <x:v>예비비</x:v>
      </x:c>
      <x:c r="D2459" s="46" t="str"/>
      <x:c r="E2459" s="46" t="str"/>
      <x:c r="F2459" s="46" t="str">
        <x:v>2%</x:v>
      </x:c>
      <x:c r="G2459" s="46" t="str">
        <x:v>L2021-00045-1/붙임5. 입찰계획안.hwp</x:v>
      </x:c>
      <x:c r="H2459" s="43" t="str">
        <x:v>문단 38</x:v>
      </x:c>
      <x:c r="I2459" s="46" t="str">
        <x:v>ㅇ 예비비 2% 적용</x:v>
      </x:c>
      <x:c r="J2459" s="43" t="str">
        <x:v>자동추출·검토필요</x:v>
      </x:c>
    </x:row>
    <x:row r="2460">
      <x:c r="A2460" s="43" t="str">
        <x:v>L2021-00045-1</x:v>
      </x:c>
      <x:c r="B2460" s="43" t="str">
        <x:v>부가세·예비비</x:v>
      </x:c>
      <x:c r="C2460" s="46" t="str">
        <x:v>예비비</x:v>
      </x:c>
      <x:c r="D2460" s="46" t="str"/>
      <x:c r="E2460" s="46" t="str"/>
      <x:c r="F2460" s="46" t="str">
        <x:v>2%</x:v>
      </x:c>
      <x:c r="G2460" s="46" t="str">
        <x:v>L2021-00045-1/붙임5. 입찰계획안.hwp</x:v>
      </x:c>
      <x:c r="H2460" s="43" t="str">
        <x:v>문단 193</x:v>
      </x:c>
      <x:c r="I2460" s="46" t="str">
        <x:v>- 예비비(2%) 금액(비율)에 대하여는 명시된 금액(비율)을 조정하지 않고 그대로 반영하여야 하며, 浥┥ 사전에 협력단 승인을 받은 후 집행하여야 함浥%！ÿ </x:v>
      </x:c>
      <x:c r="J2460" s="43" t="str">
        <x:v>자동추출·검토필요</x:v>
      </x:c>
    </x:row>
    <x:row r="2461">
      <x:c r="A2461" s="43" t="str">
        <x:v>L2021-00042-1</x:v>
      </x:c>
      <x:c r="B2461" s="43" t="str">
        <x:v>부가세·예비비</x:v>
      </x:c>
      <x:c r="C2461" s="46" t="str">
        <x:v>vat</x:v>
      </x:c>
      <x:c r="D2461" s="46" t="str"/>
      <x:c r="E2461" s="46" t="str">
        <x:v>USD 71,000</x:v>
      </x:c>
      <x:c r="F2461" s="46" t="str"/>
      <x:c r="G2461" s="46" t="str">
        <x:v>L2021-00042-1/1.0 입찰안내서(영문).docx</x:v>
      </x:c>
      <x:c r="H2461" s="43" t="str">
        <x:v>문단 81</x:v>
      </x:c>
      <x:c r="I2461" s="46" t="str">
        <x:v>1.3 Maximum Bidding Price: USD 71,000 (VAT not included)</x:v>
      </x:c>
      <x:c r="J2461" s="43" t="str">
        <x:v>자동추출·검토필요</x:v>
      </x:c>
    </x:row>
    <x:row r="2462">
      <x:c r="A2462" s="43" t="str">
        <x:v>L2021-00042-1</x:v>
      </x:c>
      <x:c r="B2462" s="43" t="str">
        <x:v>부가세·예비비</x:v>
      </x:c>
      <x:c r="C2462" s="46" t="str">
        <x:v>vat</x:v>
      </x:c>
      <x:c r="D2462" s="46" t="str">
        <x:v>900 ㎡</x:v>
      </x:c>
      <x:c r="E2462" s="46" t="str"/>
      <x:c r="F2462" s="46" t="str"/>
      <x:c r="G2462" s="46" t="str">
        <x:v>L2021-00042-1/1.0 입찰안내서(영문).docx</x:v>
      </x:c>
      <x:c r="H2462" s="43" t="str">
        <x:v>표 4 행 7</x:v>
      </x:c>
      <x:c r="I2462" s="46" t="str">
        <x:v>3-3 | Experience Proof Documents | The Bidder shall have participated in Supervision or Construction or Detailed Design in at least One (1) Hangar or/and Similar Projects with at least 900㎡ that have been successfully completed in Paraguay within last 12 years. In the case of public institution performance, the client's performance certificate required, and in the case of private sector performance, the client's performance certificate and contract submission required.</x:v>
      </x:c>
      <x:c r="J2462" s="43" t="str">
        <x:v>자동추출·검토필요</x:v>
      </x:c>
    </x:row>
    <x:row r="2463">
      <x:c r="A2463" s="43" t="str">
        <x:v>L2021-00042-1</x:v>
      </x:c>
      <x:c r="B2463" s="43" t="str">
        <x:v>부가세·예비비</x:v>
      </x:c>
      <x:c r="C2463" s="46" t="str">
        <x:v>vat</x:v>
      </x:c>
      <x:c r="D2463" s="46" t="str">
        <x:v>900 ㎡</x:v>
      </x:c>
      <x:c r="E2463" s="46" t="str"/>
      <x:c r="F2463" s="46" t="str"/>
      <x:c r="G2463" s="46" t="str">
        <x:v>L2021-00042-1/1.0 입찰안내서(영문).docx</x:v>
      </x:c>
      <x:c r="H2463" s="43" t="str">
        <x:v>표 4 행 12</x:v>
      </x:c>
      <x:c r="I2463" s="46" t="str">
        <x:v>4-1 | Technical Proposal #1 (Quantitative) | Performance Record Experience in Supervision or Construction or Detailed Design of Hangar or/and Similar Projects with at least 900㎡ for last 12 years from the date of the bidding announcement. Copy of contract or certificate of invoice of last progress payment of the contract issued by the Employer. If applicable, submit the confirmation of transaction issued by the Employer (private or corporation) Financial Status with Auditor’s Report (FY2018-FY2020) issued by Ministry of Treasury Submit the notarized documents by a registered accountant</x:v>
      </x:c>
      <x:c r="J2463" s="43" t="str">
        <x:v>자동추출·검토필요</x:v>
      </x:c>
    </x:row>
    <x:row r="2464">
      <x:c r="A2464" s="43" t="str">
        <x:v>L2021-00037-1</x:v>
      </x:c>
      <x:c r="B2464" s="43" t="str">
        <x:v>부가세·예비비</x:v>
      </x:c>
      <x:c r="C2464" s="46" t="str">
        <x:v>vat</x:v>
      </x:c>
      <x:c r="D2464" s="46" t="str"/>
      <x:c r="E2464" s="46" t="str">
        <x:v>USD 1,022,588</x:v>
      </x:c>
      <x:c r="F2464" s="46" t="str"/>
      <x:c r="G2464" s="46" t="str">
        <x:v>L2021-00037-1/00. Bid announcemet(20.11.04)_(Maternal &amp; Child Health)_REV.2.docx</x:v>
      </x:c>
      <x:c r="H2464" s="43" t="str">
        <x:v>문단 14</x:v>
      </x:c>
      <x:c r="I2464" s="46" t="str">
        <x:v>Estimated Budget: Approx. USD 1,022,588 (VAT excluded)</x:v>
      </x:c>
      <x:c r="J2464" s="43" t="str">
        <x:v>자동추출·검토필요</x:v>
      </x:c>
    </x:row>
    <x:row r="2465">
      <x:c r="A2465" s="43" t="str">
        <x:v>L2021-00037-1</x:v>
      </x:c>
      <x:c r="B2465" s="43" t="str">
        <x:v>부가세·예비비</x:v>
      </x:c>
      <x:c r="C2465" s="46" t="str">
        <x:v>vat, tax</x:v>
      </x:c>
      <x:c r="D2465" s="46" t="str"/>
      <x:c r="E2465" s="46" t="str"/>
      <x:c r="F2465" s="46" t="str">
        <x:v>2.5%</x:v>
      </x:c>
      <x:c r="G2465" s="46" t="str">
        <x:v>L2021-00037-1/1. RFP_(21.11.04_Maternal &amp; Child Health).pdf</x:v>
      </x:c>
      <x:c r="H2465" s="43" t="str">
        <x:v>페이지 9</x:v>
      </x:c>
      <x:c r="I2465" s="46" t="str">
        <x:v>3) Attention: Kim KwangWook, Deputy Representative of KOICA Office in Phnom Penh, Cambodia Email: koicakim@koica.go.kr / gkdud0109@koica.go.kr / saodonainfo@gmail.com CM : pjwoo312@heerim.com 2.7. Bid Documents(to be submitted) 1) Company Qualification assessment documents a. Copy of business license(issued by relevant authorities ) b. Copy of latest construction license(issued by the authority ) c. Copy of latest registration of tax(issued by the Ministry of Finance) 2) Bid documents a. Attached documents in BID DOCUMENT Section.Ⅳ Bidding Form. 3) Bid security 2.5% of Bid price, Bank Guarantee, Valid 30 days after Bid submission date, Return on Contract date. 4) Cost Proposal a. Price Proposal: Proposed Bid Price . (Seal and submit) b. Price proposal should exclude all taxes (VAT and etc.) 2.8. Bid Submission All Bid documents shall be submitted to KOICA office directly by hand within the date stipulated in the “Bid Announcement and BDS in BID DOCUMENT” 1) The bidding documents shall be submitted with its envelope properly sealed to following address. a. Address: Boritra Building 4th Floors, #61-64, Preah Norodom Blvd(41), Corner of St.306, Sangkat Boeng Keng Kang 1, Khan Chamkarm</x:v>
      </x:c>
      <x:c r="J2465" s="43" t="str">
        <x:v>자동추출·검토필요</x:v>
      </x:c>
    </x:row>
    <x:row r="2466">
      <x:c r="A2466" s="43" t="str">
        <x:v>L2021-00037-1</x:v>
      </x:c>
      <x:c r="B2466" s="43" t="str">
        <x:v>부가세·예비비</x:v>
      </x:c>
      <x:c r="C2466" s="46" t="str">
        <x:v>tax</x:v>
      </x:c>
      <x:c r="D2466" s="46" t="str"/>
      <x:c r="E2466" s="46" t="str"/>
      <x:c r="F2466" s="46" t="str">
        <x:v>0.5% | 40% | 15% | 0.05% | 15% | 3%</x:v>
      </x:c>
      <x:c r="G2466" s="46" t="str">
        <x:v>L2021-00037-1/1. RFP_(21.11.04_Maternal &amp; Child Health).pdf</x:v>
      </x:c>
      <x:c r="H2466" s="43" t="str">
        <x:v>페이지 10</x:v>
      </x:c>
      <x:c r="I2466" s="46" t="str">
        <x:v>d. Price proposal (in a separate sealed envelope) : Original 1, 2 copies 3. Contract Data Summary 3.1. Contract Price: Fixed lump-sum price (attached the priced BOQ) 1) The Contract Document includes priced BOQ. (Within the BOQ, a safety management cost of more than 0.5% of the total construction cost shall be set.) 2) The contract price fluctuation due to the escalation or de-escalation shall not be considered. (The contractor shall not be entitled to request the contract price adjustment due to the escalation or de-escalation after contract agreement.) 3) In the case of the variation caused by Employer, the Contractor is entitled to request a cost adjustment in accordance with the terms and conditions. 3.2. Key Condition of Contract: Item KOICA procurement Remark Contract Type Fixed Lump Sum price (attached the priced BOQ) Currency US Dollars TAX Excluded All taxes (refer to the BIDDING DOCUMENT for details) After Advance Payment 0 ~ 40% of Contract price. submission of A/P Bond Bank Guarantee(credit rating of bank: Over single A.P. Bond A), more than 60 days after the completion of contract period 15% of Contract price, Bank Guarantee(credit It shall be Performance rating of ban</x:v>
      </x:c>
      <x:c r="J2466" s="43" t="str">
        <x:v>자동추출·검토필요</x:v>
      </x:c>
    </x:row>
    <x:row r="2467">
      <x:c r="A2467" s="43" t="str">
        <x:v>L2021-00037-1</x:v>
      </x:c>
      <x:c r="B2467" s="43" t="str">
        <x:v>부가세·예비비</x:v>
      </x:c>
      <x:c r="C2467" s="46" t="str">
        <x:v>vat</x:v>
      </x:c>
      <x:c r="D2467" s="46" t="str"/>
      <x:c r="E2467" s="46" t="str">
        <x:v>USD 1,022,588 | USD 1,022,588</x:v>
      </x:c>
      <x:c r="F2467" s="46" t="str"/>
      <x:c r="G2467" s="46" t="str">
        <x:v>L2021-00037-1/3. Bid Document-1_(21.11.04_Maternal &amp; Child Health).docx</x:v>
      </x:c>
      <x:c r="H2467" s="43" t="str">
        <x:v>표 17 행 3</x:v>
      </x:c>
      <x:c r="I2467" s="46" t="str">
        <x:v>Estimated Budget | Approx. USD 1,022,588 (VAT excluded) | Approx. USD 1,022,588 (VAT excluded)</x:v>
      </x:c>
      <x:c r="J2467" s="43" t="str">
        <x:v>자동추출·검토필요</x:v>
      </x:c>
    </x:row>
    <x:row r="2468">
      <x:c r="A2468" s="43" t="str">
        <x:v>L2021-00037-1</x:v>
      </x:c>
      <x:c r="B2468" s="43" t="str">
        <x:v>부가세·예비비</x:v>
      </x:c>
      <x:c r="C2468" s="46" t="str">
        <x:v>vat, tax</x:v>
      </x:c>
      <x:c r="D2468" s="46" t="str"/>
      <x:c r="E2468" s="46" t="str">
        <x:v>USD 1,022,588</x:v>
      </x:c>
      <x:c r="F2468" s="46" t="str"/>
      <x:c r="G2468" s="46" t="str">
        <x:v>L2021-00037-1/5. Pre-Bid Meeting_(21.11.04_Maternal &amp; Child Health).pdf</x:v>
      </x:c>
      <x:c r="H2468" s="43" t="str">
        <x:v>페이지 12</x:v>
      </x:c>
      <x:c r="I2468" s="46" t="str">
        <x:v>ESTIMATED CONSTRUCTION BUDGET USD 1,022,588(VAT excluded) TYPE OF BID International Open Competitive Bidding with QUALIFICATION TYPE OF CONTRACT Fixed Lump Sum Contract [NOTE] As this bid is a part of ODA (Official Development Assistance) project between the Government of Republic of Korea and Kingdom of Cambodia, this project benefits exemption of Value Add Tax(VAT) according to MOU between countries, and the Record of Discussion (RD) between KOICA and MOH. Thus, KOICA Cambodia office is not responsible for any VAT discharge or refund. All inquiries regarding VAT exemption or tax refund shall be referred to MOH in case needed. Summary of Contract Condition 1</x:v>
      </x:c>
      <x:c r="J2468" s="43" t="str">
        <x:v>자동추출·검토필요</x:v>
      </x:c>
    </x:row>
    <x:row r="2469">
      <x:c r="A2469" s="43" t="str">
        <x:v>L2021-00036-1</x:v>
      </x:c>
      <x:c r="B2469" s="43" t="str">
        <x:v>부가세·예비비</x:v>
      </x:c>
      <x:c r="C2469" s="46" t="str">
        <x:v>vat, tax</x:v>
      </x:c>
      <x:c r="D2469" s="46" t="str"/>
      <x:c r="E2469" s="46" t="str">
        <x:v>USD 20,000</x:v>
      </x:c>
      <x:c r="F2469" s="46" t="str"/>
      <x:c r="G2469" s="46" t="str">
        <x:v>L2021-00036-1/[붙임] 입찰 서류_11.1.docx</x:v>
      </x:c>
      <x:c r="H2469" s="43" t="str">
        <x:v>문단 128</x:v>
      </x:c>
      <x:c r="I2469" s="46" t="str">
        <x:v>6. The available budget for this procurement is USD 20,000 (including VAT and other taxes) and Bidders’ Proposals should not exceed this budget. Any bid exceeding the project budget may result in rejection of its bid.</x:v>
      </x:c>
      <x:c r="J2469" s="43" t="str">
        <x:v>자동추출·검토필요</x:v>
      </x:c>
    </x:row>
    <x:row r="2470">
      <x:c r="A2470" s="43" t="str">
        <x:v>L2021-00036-1</x:v>
      </x:c>
      <x:c r="B2470" s="43" t="str">
        <x:v>부가세·예비비</x:v>
      </x:c>
      <x:c r="C2470" s="46" t="str">
        <x:v>vat, tax</x:v>
      </x:c>
      <x:c r="D2470" s="46" t="str"/>
      <x:c r="E2470" s="46" t="str">
        <x:v>20,000 USD</x:v>
      </x:c>
      <x:c r="F2470" s="46" t="str"/>
      <x:c r="G2470" s="46" t="str">
        <x:v>L2021-00036-1/[붙임] 입찰 서류_11.1.docx</x:v>
      </x:c>
      <x:c r="H2470" s="43" t="str">
        <x:v>문단 279</x:v>
      </x:c>
      <x:c r="I2470" s="46" t="str">
        <x:v>Project Budget : 20,000 USD(VAT and other taxes included)</x:v>
      </x:c>
      <x:c r="J2470" s="43" t="str">
        <x:v>자동추출·검토필요</x:v>
      </x:c>
    </x:row>
    <x:row r="2471">
      <x:c r="A2471" s="43" t="str">
        <x:v>L2021-00036-1</x:v>
      </x:c>
      <x:c r="B2471" s="43" t="str">
        <x:v>부가세·예비비</x:v>
      </x:c>
      <x:c r="C2471" s="46" t="str">
        <x:v>tax</x:v>
      </x:c>
      <x:c r="D2471" s="46" t="str"/>
      <x:c r="E2471" s="46" t="str"/>
      <x:c r="F2471" s="46" t="str">
        <x:v>0.5%</x:v>
      </x:c>
      <x:c r="G2471" s="46" t="str">
        <x:v>L2021-00036-1/[붙임] 입찰 서류_11.1.docx</x:v>
      </x:c>
      <x:c r="H2471" s="43" t="str">
        <x:v>문단 353</x:v>
      </x:c>
      <x:c r="I2471" s="46" t="str">
        <x:v>BOQ(Bill of Quantity) shall be provided in an itemized format by each applicable specification section including estimated quantities, unit prices for materials, labor, and equipment, sub-total and total costs including any taxes, and/or other costs such as safety management cost related to delivery and installation. Safety management cost shall be no less than 0.5% of Total Construction Cost.</x:v>
      </x:c>
      <x:c r="J2471" s="43" t="str">
        <x:v>자동추출·검토필요</x:v>
      </x:c>
    </x:row>
    <x:row r="2472">
      <x:c r="A2472" s="43" t="str">
        <x:v>L2021-00036-1</x:v>
      </x:c>
      <x:c r="B2472" s="43" t="str">
        <x:v>부가세·예비비</x:v>
      </x:c>
      <x:c r="C2472" s="46" t="str">
        <x:v>tax</x:v>
      </x:c>
      <x:c r="D2472" s="46" t="str"/>
      <x:c r="E2472" s="46" t="str">
        <x:v>USD 400 | USD 20,000 | USD 400 | USD 400 | USD 20,000 | USD 400</x:v>
      </x:c>
      <x:c r="F2472" s="46" t="str">
        <x:v>2% | 2% | 2% | 2%</x:v>
      </x:c>
      <x:c r="G2472" s="46" t="str">
        <x:v>L2021-00036-1/[붙임] 입찰 서류_11.1.docx</x:v>
      </x:c>
      <x:c r="H2472" s="43" t="str">
        <x:v>표 7 행 8</x:v>
      </x:c>
      <x:c r="I2472" s="46" t="str">
        <x:v>2.4 2.5 2.6 2.7 2.8 2.9 | The price shall be quoted by the bidder is in USD only The bid security is USD 400 which is 2% of the bid budget(USD 20,000) shall be paid in cash or bond issued by bank when submitting the bid by 16 :00pm 12 Nov, 2021 Bidding Clarification Question is only requested by KOICA Kyrgyzstan Office emails by 18:00pm 9 November,2021. The address for requesting clarifications is: kyrgyzstan@koica.go.kr The bidder shall submit with its bid the following documents Form of Bid : Shall be sealed with the Form of Price Proposal Official Letter for Submission : - Signed by representative of the company and stamped by official seal of the company Bid Security : USD 400 in cash(2% of the project budget) License and Registration(valid as of bidding announcement date) : - Architectural Design License issued by the State Agency Architecture, Construction and Housing and Communal Services - Local/Int’l Business Registration License - Tax Clearance Certificate - Declaration of Anti-Corruption in ODA Business Participation ★ If any of documents is not submitted, the bid shall be rejected. Power of Attorney(for the signature authority) Form of Technical Proposal - Refer to para</x:v>
      </x:c>
      <x:c r="J2472" s="43" t="str">
        <x:v>자동추출·검토필요</x:v>
      </x:c>
    </x:row>
    <x:row r="2473">
      <x:c r="A2473" s="43" t="str">
        <x:v>L2021-00031-1</x:v>
      </x:c>
      <x:c r="B2473" s="43" t="str">
        <x:v>부가세·예비비</x:v>
      </x:c>
      <x:c r="C2473" s="46" t="str">
        <x:v>tax</x:v>
      </x:c>
      <x:c r="D2473" s="46" t="str"/>
      <x:c r="E2473" s="46" t="str"/>
      <x:c r="F2473" s="46" t="str">
        <x:v>0.5%</x:v>
      </x:c>
      <x:c r="G2473" s="46" t="str">
        <x:v>L2021-00031-1/1. RFP (Request for Proposal)_1021.docx</x:v>
      </x:c>
      <x:c r="H2473" s="43" t="str">
        <x:v>표 1 행 6</x:v>
      </x:c>
      <x:c r="I2473" s="46" t="str">
        <x:v>Summary of Bid ※Base Price will be used for the determination of the Estimated Price in the Opening of the Bids. ※GST is included in the Base Price. Therefore, the GST amount shall be included in the proposed Bid Price (Refer to Attachment 3. Form of Bid / GST shall be indicated separately in the form.). ※Safety Management Cost, which is above 0.5% of the direct cost of the construction price, shall be included in the Bid Price. ※If the Employer provides the Contractor with the tax exemption related to the Contract, the Employer will not be responsible for paying the exempt tax to the Contractor. If the Employer fails to provide the Contractor with the tax exemption, the Employer will pay the applicable taxes to the Contractor. ※KOICA has no authority or responsibility for any tax, including GST, incurred by such a bid and contract. The Federal Board of Revenue (FBR) is responsible for the taxation and tax exemption in accordance with the relevant laws and regulations of Pakistan.</x:v>
      </x:c>
      <x:c r="J2473" s="43" t="str">
        <x:v>자동추출·검토필요</x:v>
      </x:c>
    </x:row>
    <x:row r="2474">
      <x:c r="A2474" s="43" t="str">
        <x:v>L2021-00031-1</x:v>
      </x:c>
      <x:c r="B2474" s="43" t="str">
        <x:v>부가세·예비비</x:v>
      </x:c>
      <x:c r="C2474" s="46" t="str">
        <x:v>tax</x:v>
      </x:c>
      <x:c r="D2474" s="46" t="str"/>
      <x:c r="E2474" s="46" t="str"/>
      <x:c r="F2474" s="46" t="str">
        <x:v>2.5%</x:v>
      </x:c>
      <x:c r="G2474" s="46" t="str">
        <x:v>L2021-00031-1/1. RFP (Request for Proposal)_1021.docx</x:v>
      </x:c>
      <x:c r="H2474" s="43" t="str">
        <x:v>표 1 행 14</x:v>
      </x:c>
      <x:c r="I2474" s="46" t="str">
        <x:v>Preparation of Bids The bidder who passes the PQ shall proceed with the bid process and shall submit its Bid with the following additional documents: PQ Documents including evidentiary documents Official Letter of Bidding Participation Letter of Undertaking (refer to Attachment 2. Letter of Undertaking) Power of Attorney Sealed Form of Bid (refer to Attachment 3. Form of Bid) within Bid Security (Not less than 2.5% of Bid Price) enclosed Form of Capability Evaluation (refer to Attachment 4. Form of Capacity Evaluation) Completion Certificates of Architectural Construction Work (FY July 2018 ~ FY June 2021) Company’s Tax Returns over the last 3 (three) fiscal years (FY July 2018 ~ FY June 2021) Declaration of Anti-Corruption (refer to Attachment 6. Declaration of Anti-Corruption) Checklist of the Bid documents (refer to Attachment 7. Checklist of Bid Documents) * All Bid Documents including PQ Documents and evidentiary documents should be submitted in original or certified copy. Without a stamp to certify it, the copy would not be considered true.</x:v>
      </x:c>
      <x:c r="J2474" s="43" t="str">
        <x:v>자동추출·검토필요</x:v>
      </x:c>
    </x:row>
    <x:row r="2475">
      <x:c r="A2475" s="43" t="str">
        <x:v>L2021-00031-1</x:v>
      </x:c>
      <x:c r="B2475" s="43" t="str">
        <x:v>부가세·예비비</x:v>
      </x:c>
      <x:c r="C2475" s="46" t="str">
        <x:v>contingency</x:v>
      </x:c>
      <x:c r="D2475" s="46" t="str"/>
      <x:c r="E2475" s="46" t="str"/>
      <x:c r="F2475" s="46" t="str">
        <x:v>0.5%</x:v>
      </x:c>
      <x:c r="G2475" s="46" t="str">
        <x:v>L2021-00031-1/2. Chapters/Chapter 5. Conditions of Contract (GCC, SCC)_1020.docx</x:v>
      </x:c>
      <x:c r="H2475" s="43" t="str">
        <x:v>문단 111</x:v>
      </x:c>
      <x:c r="I2475" s="46" t="str">
        <x:v>The Contractor shall conduct a sufficient investigation on the safety of the Works to prevent industrial perils, and take the best necessary measures including the installation of safety facilities and insurance, etc. The Contract Price shall include the cost for such measures to prevent industrial perils (hereinafter referred to as the "Safety Management Cost"). Safety Management Cost excluding a contingency shall be allocated no less than 0.5% of the Contract Price and shall be reflected on the Bill of Quantities.</x:v>
      </x:c>
      <x:c r="J2475" s="43" t="str">
        <x:v>자동추출·검토필요</x:v>
      </x:c>
    </x:row>
    <x:row r="2476">
      <x:c r="A2476" s="43" t="str">
        <x:v>L2021-00031-1</x:v>
      </x:c>
      <x:c r="B2476" s="43" t="str">
        <x:v>부가세·예비비</x:v>
      </x:c>
      <x:c r="C2476" s="46" t="str">
        <x:v>contingency</x:v>
      </x:c>
      <x:c r="D2476" s="46" t="str"/>
      <x:c r="E2476" s="46" t="str"/>
      <x:c r="F2476" s="46" t="str">
        <x:v>0.5%</x:v>
      </x:c>
      <x:c r="G2476" s="46" t="str">
        <x:v>L2021-00031-1/2. Chapters/Chapter 8. Safety Management Manual(ENG).pdf</x:v>
      </x:c>
      <x:c r="H2476" s="43" t="str">
        <x:v>페이지 14</x:v>
      </x:c>
      <x:c r="I2476" s="46" t="str">
        <x:v>4.1.3 KOICA should check that the bill of quantity (BoQ) consists of safety management costs (0.5% or more of the total construction costs, excluding non- contingency) as separate items. 5. Construction Procurement and Contracting 5.1 Provision of Information on Preparing Safety Management Plans 5.1.1 KOICA shall provide the following information for the contractor to formulate a safety management plan that reflects the distinctive features of the site conditions and the final design outcome: (1) Matters regarding the existence of asbestos or harmful substances such as chemical waste within the site; (2) Matters regarding access to the worksite such as railroads and busy roads adjacent to the site; (3) Matters regarding underground facilities and groundwater flows (4) Matters regarding adjacent buildings, structures, and trees that may cause a collapse; (5) Matters regarding land subsidence that may negatively affect structure; (6) Matters regarding obstacles or advantages for the installation of facilities or equipment within the site. 5.2 Review of Safety Management Plans 5.2.1 Review of Safety Management Plans (1) As for the safety management plan formulated by the contractor, K</x:v>
      </x:c>
      <x:c r="J2476" s="43" t="str">
        <x:v>자동추출·검토필요</x:v>
      </x:c>
    </x:row>
    <x:row r="2477">
      <x:c r="A2477" s="43" t="str">
        <x:v>L2021-00031-1</x:v>
      </x:c>
      <x:c r="B2477" s="43" t="str">
        <x:v>부가세·예비비</x:v>
      </x:c>
      <x:c r="C2477" s="46" t="str">
        <x:v>reserve</x:v>
      </x:c>
      <x:c r="D2477" s="46" t="str"/>
      <x:c r="E2477" s="46" t="str"/>
      <x:c r="F2477" s="46" t="str">
        <x:v>0.5%</x:v>
      </x:c>
      <x:c r="G2477" s="46" t="str">
        <x:v>L2021-00031-1/2. Chapters/Chapter 8. Safety Management Manual(ENG).pdf</x:v>
      </x:c>
      <x:c r="H2477" s="43" t="str">
        <x:v>페이지 18</x:v>
      </x:c>
      <x:c r="I2477" s="46" t="str">
        <x:v>(1) Amount subject to safety management expenses: Amount excluding reserve funding from the total construction expenses (2) Calculation method: Amount subject to safety management expenses x 0.5% or more (2) Payment of safety management expenses: The contractor shall file a claim for payment of safety management expenses to KOICA along with a confirmation as to the proper disbursement of the safety management expenses to match the purpose prescribed under the safety management plan made by the construction manager. 6. Construction 6.1 Verifying Observance of Safety Management Plans 6.1.1 KOICA shall verify the contractor’s proper performance of the safety management plan. However, if construction project management, similar to consigned supervision, is being implemented, KOICA may allow the construction manager to verify the performance of the safety management plan and file a report on their own. 6.1.2 If there are any issues pointed out by the review of the safety management plan under the immediately preceding paragraph, KOICA shall review said issues and request the contractor make corrections, if necessary. 6.2 Verifying Disbursement of Safety Management Expenses 6.2.1 KOICA s</x:v>
      </x:c>
      <x:c r="J2477" s="43" t="str">
        <x:v>자동추출·검토필요</x:v>
      </x:c>
    </x:row>
    <x:row r="2478">
      <x:c r="A2478" s="43" t="str">
        <x:v>L2021-00031-1</x:v>
      </x:c>
      <x:c r="B2478" s="43" t="str">
        <x:v>부가세·예비비</x:v>
      </x:c>
      <x:c r="C2478" s="46" t="str">
        <x:v>vat, reserve</x:v>
      </x:c>
      <x:c r="D2478" s="46" t="str"/>
      <x:c r="E2478" s="46" t="str"/>
      <x:c r="F2478" s="46" t="str">
        <x:v>0.5%</x:v>
      </x:c>
      <x:c r="G2478" s="46" t="str">
        <x:v>L2021-00031-1/2. Chapters/Chapter 8. Safety Management Manual(ENG).pdf</x:v>
      </x:c>
      <x:c r="H2478" s="43" t="str">
        <x:v>페이지 28</x:v>
      </x:c>
      <x:c r="I2478" s="46" t="str">
        <x:v>D. Steel structure works - An overview of materials, equipment, etc.; and detailed shop drawings; - The procedures and precautions for safe construction; - A safety inspection plan and a safety inspection checklist; - A calculation sheet for the safety of steel structures. E. Earth filling and cutting works (including earth dam works) - An overview of materials, equipment, etc.; and detailed shop drawings; - The procedures and precautions for safe construction; - A safety inspection plan and a safety inspection checklist; - A calculation sheet for safety. F. Demolition works - An overview of structures to be demolished, demolition methods, etc.; and detailed shop drawings; - A plan on the order of demolition, and on facilities and measures for safety, etc. G. Mechanical and electrical works: - An overview of materials, equipment, etc.; and detailed shop drawings; - The procedures and precautions for safe construction; - A safety inspection plan and a safety inspection checklist; - A calculation sheet for safety. 1.4 Creation of Safety Management Expense Spending Plans 1.4.1 The contractor shall make a spending plan for safety management expenses by adding expenses incurred in formu</x:v>
      </x:c>
      <x:c r="J2478" s="43" t="str">
        <x:v>자동추출·검토필요</x:v>
      </x:c>
    </x:row>
    <x:row r="2479">
      <x:c r="A2479" s="43" t="str">
        <x:v>L2021-00031-1</x:v>
      </x:c>
      <x:c r="B2479" s="43" t="str">
        <x:v>부가세·예비비</x:v>
      </x:c>
      <x:c r="C2479" s="46" t="str">
        <x:v>예비비</x:v>
      </x:c>
      <x:c r="D2479" s="46" t="str"/>
      <x:c r="E2479" s="46" t="str"/>
      <x:c r="F2479" s="46" t="str">
        <x:v>0.5%</x:v>
      </x:c>
      <x:c r="G2479" s="46" t="str">
        <x:v>L2021-00031-1/붙임1. 태양전지 인증시험소 시공업체 선정 국문 입찰계획안_최종.hwp</x:v>
      </x:c>
      <x:c r="H2479" s="43" t="str">
        <x:v>문단 86</x:v>
      </x:c>
      <x:c r="I2479" s="46" t="str">
        <x:v>3) 안전관리비: 안전관리비 대상액(총 공사비 중 예비비 제외 금액) × 0.5% 이상</x:v>
      </x:c>
      <x:c r="J2479" s="43" t="str">
        <x:v>자동추출·검토필요</x:v>
      </x:c>
    </x:row>
    <x:row r="2480">
      <x:c r="A2480" s="43" t="str">
        <x:v>L2021-00030-1</x:v>
      </x:c>
      <x:c r="B2480" s="43" t="str">
        <x:v>부가세·예비비</x:v>
      </x:c>
      <x:c r="C2480" s="46" t="str">
        <x:v>vat</x:v>
      </x:c>
      <x:c r="D2480" s="46" t="str"/>
      <x:c r="E2480" s="46" t="str">
        <x:v>USD 892,000</x:v>
      </x:c>
      <x:c r="F2480" s="46" t="str"/>
      <x:c r="G2480" s="46" t="str">
        <x:v>L2021-00030-1/0 Bidding Guideline for Construction Contractor_Hangar.docx</x:v>
      </x:c>
      <x:c r="H2480" s="43" t="str">
        <x:v>문단 78</x:v>
      </x:c>
      <x:c r="I2480" s="46" t="str">
        <x:v>1.3 Maximum Bidding Price: USD 892,000 (VAT not included)</x:v>
      </x:c>
      <x:c r="J2480" s="43" t="str">
        <x:v>자동추출·검토필요</x:v>
      </x:c>
    </x:row>
    <x:row r="2481">
      <x:c r="A2481" s="43" t="str">
        <x:v>L2021-00030-1</x:v>
      </x:c>
      <x:c r="B2481" s="43" t="str">
        <x:v>부가세·예비비</x:v>
      </x:c>
      <x:c r="C2481" s="46" t="str">
        <x:v>vat</x:v>
      </x:c>
      <x:c r="D2481" s="46" t="str"/>
      <x:c r="E2481" s="46" t="str">
        <x:v>USD 300,000</x:v>
      </x:c>
      <x:c r="F2481" s="46" t="str"/>
      <x:c r="G2481" s="46" t="str">
        <x:v>L2021-00030-1/0 Bidding Guideline for Construction Contractor_Hangar.docx</x:v>
      </x:c>
      <x:c r="H2481" s="43" t="str">
        <x:v>표 5 행 7</x:v>
      </x:c>
      <x:c r="I2481" s="46" t="str">
        <x:v>3-3 | Experience Proof Documents | The Bidder shall have participated as a General Contractor in at least One (1) Hangar or/and Similar Projects with a value of at least USD 300,000 that have been successfully completed in Paraguay within last 12 years. In the case of public institution performance, the client's performance certificate required, and in the case of private sector performance, the client's performance certificate and contract submission required.</x:v>
      </x:c>
      <x:c r="J2481" s="43" t="str">
        <x:v>자동추출·검토필요</x:v>
      </x:c>
    </x:row>
    <x:row r="2482">
      <x:c r="A2482" s="43" t="str">
        <x:v>L2021-00030-1</x:v>
      </x:c>
      <x:c r="B2482" s="43" t="str">
        <x:v>부가세·예비비</x:v>
      </x:c>
      <x:c r="C2482" s="46" t="str">
        <x:v>vat</x:v>
      </x:c>
      <x:c r="D2482" s="46" t="str"/>
      <x:c r="E2482" s="46" t="str">
        <x:v>USD 892,000</x:v>
      </x:c>
      <x:c r="F2482" s="46" t="str"/>
      <x:c r="G2482" s="46" t="str">
        <x:v>L2021-00030-1/1.0 Section I. Invitation for Bids_Hangar_Contractor.docx</x:v>
      </x:c>
      <x:c r="H2482" s="43" t="str">
        <x:v>문단 127</x:v>
      </x:c>
      <x:c r="I2482" s="46" t="str">
        <x:v>Maximum bidding price (VAT not included): USD 892,000</x:v>
      </x:c>
      <x:c r="J2482" s="43" t="str">
        <x:v>자동추출·검토필요</x:v>
      </x:c>
    </x:row>
    <x:row r="2483">
      <x:c r="A2483" s="43" t="str">
        <x:v>L2021-00030-1</x:v>
      </x:c>
      <x:c r="B2483" s="43" t="str">
        <x:v>부가세·예비비</x:v>
      </x:c>
      <x:c r="C2483" s="46" t="str">
        <x:v>tax</x:v>
      </x:c>
      <x:c r="D2483" s="46" t="str"/>
      <x:c r="E2483" s="46" t="str"/>
      <x:c r="F2483" s="46" t="str">
        <x:v>2% | 0.5%</x:v>
      </x:c>
      <x:c r="G2483" s="46" t="str">
        <x:v>L2021-00030-1/3.0 Section III. Bidding Forms_Hangar_Contractor.docx</x:v>
      </x:c>
      <x:c r="H2483" s="43" t="str">
        <x:v>표 4 행 1</x:v>
      </x:c>
      <x:c r="I2483" s="46" t="str">
        <x:v>Form 3. Performance Record Form 4. Financial Status Information from Balance Sheet Form 5. Project Execution Plan 1. Understanding of the Project and Objectives 2. Project Management Plan 3. Schedule Management Plan 3.1 Schedule-1: Master Schedule 3.2 Schedule-2: Material Delivery Schedule 4. Temporary work plan (fence, field office, field laboratory, etc.) 5. Quality control plan 6. Shop drawing management plan 7. HSE (Health, Security and Environment) safety management plan 8. Other proposals for quality control. Form 6. Project Organization and Key Personnel Form 6-1. List of Key Personnel Bidders should provide the names of qualified personnel to meet the specified requirements stated in Bidding Guideline (Qualification of Key personnel). Form 6-2. Resume of Key Personnel Summarize professional experience in reverse chronological order. Indicate particular technical and managerial experience relevant to the Project. Form 7. List of Equipment Form 8. Price Proposal (Bill of Quantities) Bill of Quantities, which are prepared and distributed separately as a part of Section Ⅳ Scope of Works, are to be used for the Bid. Objectives The objectives of the Bill of Quantities are (a) to </x:v>
      </x:c>
      <x:c r="J2483" s="43" t="str">
        <x:v>자동추출·검토필요</x:v>
      </x:c>
    </x:row>
    <x:row r="2484">
      <x:c r="A2484" s="43" t="str">
        <x:v>L2021-00030-1</x:v>
      </x:c>
      <x:c r="B2484" s="43" t="str">
        <x:v>부가세·예비비</x:v>
      </x:c>
      <x:c r="C2484" s="46" t="str">
        <x:v>vat</x:v>
      </x:c>
      <x:c r="D2484" s="46" t="str"/>
      <x:c r="E2484" s="46" t="str">
        <x:v>USD 892,000</x:v>
      </x:c>
      <x:c r="F2484" s="46" t="str"/>
      <x:c r="G2484" s="46" t="str">
        <x:v>L2021-00030-1/파라과이 항공교육센터 격납고_시공 입찰계획서.hwp</x:v>
      </x:c>
      <x:c r="H2484" s="43" t="str">
        <x:v>문단 37</x:v>
      </x:c>
      <x:c r="I2484" s="46" t="str">
        <x:v>나. 집행한도액 : 浥┥ USD 892,000浥%！ÿ  (VAT 제외)</x:v>
      </x:c>
      <x:c r="J2484" s="43" t="str">
        <x:v>자동추출·검토필요</x:v>
      </x:c>
    </x:row>
    <x:row r="2485">
      <x:c r="A2485" s="43" t="str">
        <x:v>L2021-00030-1</x:v>
      </x:c>
      <x:c r="B2485" s="43" t="str">
        <x:v>부가세·예비비</x:v>
      </x:c>
      <x:c r="C2485" s="46" t="str">
        <x:v>예비비</x:v>
      </x:c>
      <x:c r="D2485" s="46" t="str"/>
      <x:c r="E2485" s="46" t="str"/>
      <x:c r="F2485" s="46" t="str">
        <x:v>0.5%</x:v>
      </x:c>
      <x:c r="G2485" s="46" t="str">
        <x:v>L2021-00030-1/파라과이 항공교육센터 격납고_시공 입찰계획서.hwp</x:v>
      </x:c>
      <x:c r="H2485" s="43" t="str">
        <x:v>문단 41</x:v>
      </x:c>
      <x:c r="I2485" s="46" t="str">
        <x:v>- 안전관리비 대상액(총 공사비 중 예비비 제외금액) × 0.5% 적용</x:v>
      </x:c>
      <x:c r="J2485" s="43" t="str">
        <x:v>자동추출·검토필요</x:v>
      </x:c>
    </x:row>
    <x:row r="2486">
      <x:c r="A2486" s="43" t="str">
        <x:v>L2021-00030-1</x:v>
      </x:c>
      <x:c r="B2486" s="43" t="str">
        <x:v>부가세·예비비</x:v>
      </x:c>
      <x:c r="C2486" s="46" t="str">
        <x:v>예비비</x:v>
      </x:c>
      <x:c r="D2486" s="46" t="str"/>
      <x:c r="E2486" s="46" t="str"/>
      <x:c r="F2486" s="46" t="str">
        <x:v>2%</x:v>
      </x:c>
      <x:c r="G2486" s="46" t="str">
        <x:v>L2021-00030-1/파라과이 항공교육센터 격납고_시공 입찰계획서.hwp</x:v>
      </x:c>
      <x:c r="H2486" s="43" t="str">
        <x:v>문단 42</x:v>
      </x:c>
      <x:c r="I2486" s="46" t="str">
        <x:v>ㅇ 예비비 2% 적용浥%！ÿ </x:v>
      </x:c>
      <x:c r="J2486" s="43" t="str">
        <x:v>자동추출·검토필요</x:v>
      </x:c>
    </x:row>
    <x:row r="2487">
      <x:c r="A2487" s="43" t="str">
        <x:v>L2021-00030-1</x:v>
      </x:c>
      <x:c r="B2487" s="43" t="str">
        <x:v>부가세·예비비</x:v>
      </x:c>
      <x:c r="C2487" s="46" t="str">
        <x:v>예비비</x:v>
      </x:c>
      <x:c r="D2487" s="46" t="str"/>
      <x:c r="E2487" s="46" t="str"/>
      <x:c r="F2487" s="46" t="str">
        <x:v>2%</x:v>
      </x:c>
      <x:c r="G2487" s="46" t="str">
        <x:v>L2021-00030-1/파라과이 항공교육센터 격납고_시공 입찰계획서.hwp</x:v>
      </x:c>
      <x:c r="H2487" s="43" t="str">
        <x:v>문단 198</x:v>
      </x:c>
      <x:c r="I2487" s="46" t="str">
        <x:v>- 浥┥ 예비비(2%) 금액(비율)에 대하여는 명시된 금액(비율)을 조정하지 않고 그대로 반영하여야 하며 사후정산 하여야 함浥%！ÿ </x:v>
      </x:c>
      <x:c r="J2487" s="43" t="str">
        <x:v>자동추출·검토필요</x:v>
      </x:c>
    </x:row>
    <x:row r="2488">
      <x:c r="A2488" s="43" t="str">
        <x:v>L2021-00029-1</x:v>
      </x:c>
      <x:c r="B2488" s="43" t="str">
        <x:v>부가세·예비비</x:v>
      </x:c>
      <x:c r="C2488" s="46" t="str">
        <x:v>부가가치세, vat</x:v>
      </x:c>
      <x:c r="D2488" s="46" t="str">
        <x:v>1,120.30 M2 | 833.20 m2 | 287.10 m2</x:v>
      </x:c>
      <x:c r="E2488" s="46" t="str">
        <x:v>USD 953,460 | USD 929,600</x:v>
      </x:c>
      <x:c r="F2488" s="46" t="str">
        <x:v>97.5% | 0.5% | 86.745%</x:v>
      </x:c>
      <x:c r="G2488" s="46" t="str">
        <x:v>L2021-00029-1/국문 입찰계획서(Rev02).pdf</x:v>
      </x:c>
      <x:c r="H2488" s="43" t="str">
        <x:v>페이지 2</x:v>
      </x:c>
      <x:c r="I2488" s="46" t="str">
        <x:v>I. 시공업체 선정 입찰방안 - 옹벽공사, Site clearing, Paving, Gate, Fence 주차장 외 설계도서에 명기된 사항 1. 입찰 개요(입찰에 부치는 사항) - Landscape, 내.외부 Signage, Apron drain, Ramp 등 1.1. 입찰건명 : “네팔 보건 및 소득증대를 통한 통합적 농촌지역 역량간화사업“ 시공업체 - 외부 전기공사, 기계공사, 우수관로 공사 선정 현지 입찰 - 화단을 포함한 내부 조경공사 기타 관련된 공사. (The Construction of Outreach Center (ORC) for Empowering Rural Communities in Nepal through an integrated approach Health and Income growth. 1.2. 집행한도액 ○ 필요시 착공신고, 준공검사 등 시공 관련 인허가 사항 지원 1) 집행한도액: USD 953,460 (VAT 제외) ○ As-Built Drawings 및 Operation Manual (O&amp;M) 작성, 준공 후 하자보수 2) 기초금액 : USD 929,600 (VAT제외)/ 집행한도액의 97.5%적용 행정절차상 민원발생, 안전사고, 사업 참여자 및 주변인과의 분쟁 등 시공 시 3) 안전관리비 발생하는 모든 제반사항 ○ 안전관리비 비용 반영 의무 : 입찰금액의 0.5% 이상 ○ 안전관리비 사용계획서 제출 및 분기별(3개월) 정산보고 의무 ○ 제외공사(수원국 공사범위 기타) - 전기 인입공사(공사용) 부가가치세와 관련하여 KOICA는 동 입찰 및 계약에 대해 발생하는 VAT포함 그 어떠한 세 - 전화, 인터넷 인입공사(공사용) 금과 관련해서도 아무런 권한이나 책임이 없으며, 주재국의 법규에 따라 세금징수 및 환급 - 급수 및 오수라인 및 진입도로(공사용) 과 관련한 책임기관은 재무부(Ministry of Finance)이다. - 가구 및 각종 비품 * VAT는 시공사에서 선 납부 후 네팔 국세청에서 환급 1.3 계약방식 : 총액 계약방식 (Lump-sum Contract) 2. 입찰방법 및 낙찰자 선정방법 1.4 계약기간 : 계약일로부터 16개월(계약체결 후 14일이내 착공 ) 2.1 입찰방법 : (긴급)국제입찰, 일반경쟁입찰 ○ Puttar현장 공사기간 : 계약체결일로부터 16개월 ○ 긴급입찰사유 : 국가계약법 시행령 제4항 제1의2호 : ”국가의 재정정책 상 예산의 조 ○ Hind</x:v>
      </x:c>
      <x:c r="J2488" s="43" t="str">
        <x:v>자동추출·검토필요</x:v>
      </x:c>
    </x:row>
    <x:row r="2489">
      <x:c r="A2489" s="43" t="str">
        <x:v>L2021-00029-1</x:v>
      </x:c>
      <x:c r="B2489" s="43" t="str">
        <x:v>부가세·예비비</x:v>
      </x:c>
      <x:c r="C2489" s="46" t="str">
        <x:v>vat</x:v>
      </x:c>
      <x:c r="D2489" s="46" t="str"/>
      <x:c r="E2489" s="46" t="str">
        <x:v>USD 50</x:v>
      </x:c>
      <x:c r="F2489" s="46" t="str">
        <x:v>50% | 100%</x:v>
      </x:c>
      <x:c r="G2489" s="46" t="str">
        <x:v>L2021-00029-1/국문 입찰계획서(Rev02).pdf</x:v>
      </x:c>
      <x:c r="H2489" s="43" t="str">
        <x:v>페이지 3</x:v>
      </x:c>
      <x:c r="I2489" s="46" t="str">
        <x:v>6. 입찰진행 관련 세부사항 ㅇ 입찰참여 신청서 및 이후 적격심사서류 제출까지 발생하는 모든 사안에 대하여 입찰 6.1. 입찰의향서 제출 자측은 행정대외비로 취급해야 하며, 적격심사서류와 관련되어 협력단에 제출된 모든 ○ 제출방법 : 방문제출 문서에 대해 제안사의 이익을 보호하기 위하여 외부 타기관이나 회사에 공개 및 제 ○ 제출서류 : 6.2 입찰참가자격 사전심사 내 2) 사전걱격심사제출서류 참조 공하지 않도록 할 것임. ○ 제출기한 : 2021. 10.21(목) 오후 16:00 ○ 제출장소 : 코이카 네팔사무소 ㅇ 계약을 체결한 사업자는 협력단의 승인 없이 금번 사업의 전부 또는 일부에 대한 권리 의무를 제3자에게 양도할 수 없으며, 계약내용 일체에 대해 별도의 언급 없는 한 하도급을 금지함. 6.2 입찰참가자격 사전심사(PQ) 1) 사전적격심사 평가 기준 (4개 부문으로 구성) ㅇ 계약이행을 위해 취득한 모든 사항에 대해서는 보안을 유지해야 함. ① 법적 요건 부문 번호 심사항목 심사내용 3. 입찰참가자격 ㅇ 설립지 국내법에 따라 적법하게 설립된 업체인지 여부 ○ 사전 적격심사(PQ)를 통과한 업체(입찰설명회 참석은 의무사항이 아님) 1) 네팔업체: 네팔법에 따른 설립 여부 2) 한국업체: 한국법에 따른 설립 여부 1 적법성 3) 제3국업체: 자국법에 따른 설립 여부 ○ 국내외 법령에 따라 뇌물 관련 범죄로 유죄판결을 받은 자가 아닐 것 - 반부패서약서 제출 ㅇ 사업대상지에서 사업을 수행할 수 있는 법적 요건을 갖춘 업체인지 여부 (네팔 건설업면허 “A”등급, VAT &amp; PAN 등록증) 4. 공동계약 사항 : 공동도급 불가 5. 입찰 일정(입찰진행순서) ② 계약이행능력 부문 절차 세부내용 일 정 장 소 소요일 기간 번호 심사항목 심사내용 1.입찰공고 입찰 공고(현지신문) 2021.10.11.(월) 네팔사무소 0 D+0 채무 관련 민사소송 ㅇ 입찰공고일 기준, 대상 업체를 상대로 동 업체 자본금의 50% 이상의 지급 1 2.LOI 접수 및 LOI(입찰의향서)접수 및 PQ 2021.10.18.(월) 진행 여부 을 청구하는 소송이 제기 중인지 여부 네팔사무소 7 D+7 PQ 서류 서류 배부 16:00 2021.10.21.(목) 2 사회책임성 ㅇ 입찰공고일 현재, 대상 업체가 설립지국과 사업대상지국에 세금완납 여부 3.PQ서류 접수 PQ서류 접수/평가/업체선정 네팔사무소 3 D+10 16:00 4.PQ검토결과 P</x:v>
      </x:c>
      <x:c r="J2489" s="43" t="str">
        <x:v>자동추출·검토필요</x:v>
      </x:c>
    </x:row>
    <x:row r="2490">
      <x:c r="A2490" s="43" t="str">
        <x:v>L2021-00029-1</x:v>
      </x:c>
      <x:c r="B2490" s="43" t="str">
        <x:v>부가세·예비비</x:v>
      </x:c>
      <x:c r="C2490" s="46" t="str">
        <x:v>vat</x:v>
      </x:c>
      <x:c r="D2490" s="46" t="str"/>
      <x:c r="E2490" s="46" t="str">
        <x:v>USD 150 | 118 NPR | 118 NPR | 1 USD | 118 NPR</x:v>
      </x:c>
      <x:c r="F2490" s="46" t="str">
        <x:v>0.5%</x:v>
      </x:c>
      <x:c r="G2490" s="46" t="str">
        <x:v>L2021-00029-1/국문 입찰계획서(Rev02).pdf</x:v>
      </x:c>
      <x:c r="H2490" s="43" t="str">
        <x:v>페이지 4</x:v>
      </x:c>
      <x:c r="I2490" s="46" t="str">
        <x:v>※ 현장 설명회 - 입찰기간 내에 현장을 방문할 수 있으며 그에 따른 비용은 입찰자 부담 번호 심사항목 심사내용 및 코비드-19 상황에 따라 현장방문 대신 코이카 사무소에서 PPT로 대신할 ㅇ 최근 3년간(2018 ~ 2020) 총시공액 USD 150만불 이상 규모의 준공 수 있음 1 최근 공사실적 건축공사 6.4 관련 질의 접수 ○ 입찰자에게 동일한 정보 제공 및 공정한 입찰 진행을 위해 유선질의 불가 ※ 단독 또는 공동수급체의 일원으로 수행했는지 여부를 명시하도록 하되, 공동수급체의 일원으로 수행한 경 우 실제 지분율 혹은 분담율 만큼만 실적으로 인정함. ※ 하도급업체로서 수행한 실적을 인정하는 경우에는 하도급업체로서 수행한 실적임을 명시하도록 ○ 질의 접수 : 2021년 11월 08일 /이메일 접수-procurement.koicanepal@gmail.com 하고 원도급업체의 실적증빙을 함께 제출토록 함. with the title of KOICA-NEPAL-2021-04 ○ 질의 답변 : 질의 마감 이후 3일 이내/이메일 (모든 입찰자에게) 6.5. 입찰보증금 납부와 그 귀속에 관한 사항 2). 사전적격심사 제출서류 ○ 납부방법 : 현금, 취소불능신용장, 은행지급보증서,보증수표 등 심사부문 심사항목 제출서류 발행기관 ○ 납부금액 : 입찰금액의 100분의 2.5이상 사전심사 신청서/대리인 위임장 신 청 자 ○ 입찰보증기간 : 입찰일 이전부터 개찰일 이후 30일 이상 총괄 - 사전심사 제출서류 목록표 신 청 자 ○ 낙찰자가 정해진 기일내에 계약을 체결하지 아니한 경우 입찰보증금은 KOICA 수입으로 귀속 설립의 적법성을 증명하는 서류 관계기관 (법인등기부등본, 사업자등록증 6.6. 입찰서 제출 : 방문 제출 법적요건 적법성 사업수행 자격을 증명하는 서류 ○ 기한 : 2021년 11.24(수) 오후 16:00 (건설업등록증, 해외건설업신고필증, 관계기관 ○ 장소 : 코이카 네팔 사무소 ○ 가격입찰서 제출 (밀봉) : 총액금액으로 투찰 /원본대조필) 채무관련 민사 채무관련 법적 분쟁 소송 사실이 없음을 확인하는 관계기관 계약이행 소송 진행여부 서류 (또는 신청자) - 총액입찰로 입찰서에 산출내역서 첨부하지 않음(산출내역서는 계약체결단계에서 제출) 능력 - 안전관리비(0.5%이상)등 고정투찰금액에 대해서는 명시된금액을 조정하지않고 그대로 사회책임성 세금완납증명서 및 VAT &amp; PAN 등록증 관계기관 반영 (코이카 </x:v>
      </x:c>
      <x:c r="J2490" s="43" t="str">
        <x:v>자동추출·검토필요</x:v>
      </x:c>
    </x:row>
    <x:row r="2491">
      <x:c r="A2491" s="43" t="str">
        <x:v>L2021-00029-1</x:v>
      </x:c>
      <x:c r="B2491" s="43" t="str">
        <x:v>부가세·예비비</x:v>
      </x:c>
      <x:c r="C2491" s="46" t="str">
        <x:v>vat</x:v>
      </x:c>
      <x:c r="D2491" s="46" t="str">
        <x:v>948.45 m2 | 566.9 m2 | 381.55 m2 | 1,120.30 m2</x:v>
      </x:c>
      <x:c r="E2491" s="46" t="str">
        <x:v>USD 929,600</x:v>
      </x:c>
      <x:c r="F2491" s="46" t="str"/>
      <x:c r="G2491" s="46" t="str">
        <x:v>L2021-00029-1/네팔 ORC시공업체선정 영문 RFP.pdf</x:v>
      </x:c>
      <x:c r="H2491" s="43" t="str">
        <x:v>페이지 3</x:v>
      </x:c>
      <x:c r="I2491" s="46" t="str">
        <x:v>1.SUMMARY OF PROJECT: 1.1 Project Summary The Construction of Outreach Center(ORC) for Empowering Bid Title Rural Communities in Nepal through an integrated approach to Health and income Growth Summary of Construction Site Area 948.45m2 (Puttar -566.9m2/Hindi -381.55m2) Total Gross Floor Area 1,120.30m2 Floors 1~2 Floors Structure Reinforced Concrete (RC) Tanahun District in Province-4/Bhotekoshi Rural Municipality Location Ward 4(2places) Duration 16 months and 14months from contract signing date Construction Budget USD 929,600(VAT excluded) Type of Contract Fixed Lump Sum contract with Priced BOQ 1.2 Scope of Works: 1.2.1 The construction of ORC building as shown on the design documents such as Structural works, Architectural works, Plumbing, Sanitary and Mechanical works including Ventilation and Heating system, Electrical works, Communication works including telephone and internet, External works and others. (Drawing, Engineering calculation, Specifications, Bill of Quantity, Geotechnical investigation report). 1.2.2 External works; a) All the civil works including site leveling, site clearing, paving and others; b) Landscape and signboards, apron drain, Ramps etc. c) Outdoor f</x:v>
      </x:c>
      <x:c r="J2491" s="43" t="str">
        <x:v>자동추출·검토필요</x:v>
      </x:c>
    </x:row>
    <x:row r="2492">
      <x:c r="A2492" s="43" t="str">
        <x:v>L2021-00029-1</x:v>
      </x:c>
      <x:c r="B2492" s="43" t="str">
        <x:v>부가세·예비비</x:v>
      </x:c>
      <x:c r="C2492" s="46" t="str">
        <x:v>vat, tax</x:v>
      </x:c>
      <x:c r="D2492" s="46" t="str"/>
      <x:c r="E2492" s="46" t="str"/>
      <x:c r="F2492" s="46" t="str">
        <x:v>0.5% | 86.745% | 95%</x:v>
      </x:c>
      <x:c r="G2492" s="46" t="str">
        <x:v>L2021-00029-1/네팔 ORC시공업체선정 영문 RFP.pdf</x:v>
      </x:c>
      <x:c r="H2492" s="43" t="str">
        <x:v>페이지 4</x:v>
      </x:c>
      <x:c r="I2492" s="46" t="str">
        <x:v>1.2.4 Provide temporary Site office space, office furniture, stationary and any other type of necessary assistance to the CM or Construction Supervisor. 1.2.5 Safety management cost -Safety management cost is mandatory and priced as described in BOQ descriptions -Submission and approval of Safety management implementation plan is requisite within 14days from the project start. - Cost is at least 0.5% or more of bid amount and actual safety expenses is requested to report at every 3 months 2. CONTRACT AWARD PROCEDURE: 2.1. Bid Type: International Open Competitive Bidding with Pre-Qualification (PQ) 2.2 Bid Participation : Bidders who pass the Pre-qualification will be eligible to participate in the bid process. 2.2.1 Submission of PQ documents 1) The PQ application letter 2) Power of Attorney (POA) 3) Bidder’s Company Profile (Registration Certificate, Business Registration License) 4) Construction Business Certificate 5) Audit Reports of the latest 3 years (2017~2020 FY)/2017~2018/2018~2019/2019~2021 6) Full Payment Certificate of TAX Clearance 7) VAT &amp; PAN Registration Certificate 8) Confirmation of Legal proceeding related to Debt 9) Certificate for performance record in the last</x:v>
      </x:c>
      <x:c r="J2492" s="43" t="str">
        <x:v>자동추출·검토필요</x:v>
      </x:c>
    </x:row>
    <x:row r="2493">
      <x:c r="A2493" s="43" t="str">
        <x:v>L2021-00029-1</x:v>
      </x:c>
      <x:c r="B2493" s="43" t="str">
        <x:v>부가세·예비비</x:v>
      </x:c>
      <x:c r="C2493" s="46" t="str">
        <x:v>vat, tax</x:v>
      </x:c>
      <x:c r="D2493" s="46" t="str"/>
      <x:c r="E2493" s="46" t="str"/>
      <x:c r="F2493" s="46" t="str">
        <x:v>50% | 100%</x:v>
      </x:c>
      <x:c r="G2493" s="46" t="str">
        <x:v>L2021-00029-1/네팔 ORC시공업체선정 영문 RFP.pdf</x:v>
      </x:c>
      <x:c r="H2493" s="43" t="str">
        <x:v>페이지 8</x:v>
      </x:c>
      <x:c r="I2493" s="46" t="str">
        <x:v>4. CRITERIA FOR BIDDERS SELECTION: 4.1 Pre-Qualification 4.1.1 Criteria for pre-qualification (4 sections) 4.1.1.1 Legal requirements: No. Evaluation factor Content 1. Nepal Construction Company: - Compliance with the legality of company establishment in accordance with law and regulation of Nepal Government. 2. Korean Construction Company - Compliance with the legality of company establishment in accordance with law and regulation of the Republic of Korea. 3. The Third Country Construction Company - Compliance with the legality of company establishment in 1 Legality accordance with law and regulation of their own Country. 4. Confirm whether the company is legalized to do construction business work(class A) or not in Nepal Market 1) Company Registration for construction 2) Registration Certification from Government Authorities. 3) Construction Classification from Ministry of Physical Infrastructure &amp; Transport 4) VAT &amp; PAN Registration 4.1.1.2 Capability to perform the contract No. Evaluating Fact0r Content Confirmation of legal civil 1. Confirm whether pending litigation relating to debts (debts amount 1 lawsuit related to debt is more than 50% of the total capital of the bidder) </x:v>
      </x:c>
      <x:c r="J2493" s="43" t="str">
        <x:v>자동추출·검토필요</x:v>
      </x:c>
    </x:row>
    <x:row r="2494">
      <x:c r="A2494" s="43" t="str">
        <x:v>L2021-00029-1</x:v>
      </x:c>
      <x:c r="B2494" s="43" t="str">
        <x:v>부가세·예비비</x:v>
      </x:c>
      <x:c r="C2494" s="46" t="str">
        <x:v>vat, tax</x:v>
      </x:c>
      <x:c r="D2494" s="46" t="str"/>
      <x:c r="E2494" s="46" t="str">
        <x:v>USD 0.5</x:v>
      </x:c>
      <x:c r="F2494" s="46" t="str"/>
      <x:c r="G2494" s="46" t="str">
        <x:v>L2021-00029-1/네팔 ORC시공업체선정 영문 RFP.pdf</x:v>
      </x:c>
      <x:c r="H2494" s="43" t="str">
        <x:v>페이지 9</x:v>
      </x:c>
      <x:c r="I2494" s="46" t="str">
        <x:v>At least two (2) or more completed track records of the Building with 1 Construction work the value of more than USD 0.5mil each over the latest 3 years (2018~2020). ※ Bidders must specify their portions in the project (Single contractor or Joint Venture). In case Bidders were Joint Venture or consortium, only their portions shall be evaluated and recognized as construction experiences, and the bidders have to submit the necessary documents. In case of recognition as subcontractor under Main Contractor, Track record of Main contractor required to be submitted to verify accordingly. 4.1.2 Submission documents for Pre-qualification Sections Evaluation factor Submitted Documents Issuing Agencies Application letter for Pre-qualification Applicant General - Submission Lists of PQ documents Applicant Documents related to company establishment. Class 'A' 1. Company Registration for construction Government Legal requirement Legality 2. Registration Certification from authorities Government Authorities 3. Construction Grading from Ministry of Physical Infrastructure &amp; Transport Confirmation of Government legal proceedings Related documents to be confirmed authorities and Capability to perfo</x:v>
      </x:c>
      <x:c r="J2494" s="43" t="str">
        <x:v>자동추출·검토필요</x:v>
      </x:c>
    </x:row>
    <x:row r="2495">
      <x:c r="A2495" s="43" t="str">
        <x:v>L2021-00029-1</x:v>
      </x:c>
      <x:c r="B2495" s="43" t="str">
        <x:v>부가세·예비비</x:v>
      </x:c>
      <x:c r="C2495" s="46" t="str">
        <x:v>vat, tax</x:v>
      </x:c>
      <x:c r="D2495" s="46" t="str"/>
      <x:c r="E2495" s="46" t="str"/>
      <x:c r="F2495" s="46" t="str">
        <x:v>86.745% | 5%</x:v>
      </x:c>
      <x:c r="G2495" s="46" t="str">
        <x:v>L2021-00029-1/네팔 ORC시공업체선정 영문 RFP.pdf</x:v>
      </x:c>
      <x:c r="H2495" s="43" t="str">
        <x:v>페이지 11</x:v>
      </x:c>
      <x:c r="I2495" s="46" t="str">
        <x:v>The bid amount shall be 86.745% or more of estimated amount (estimated amount is calculated in accordance with KOICA rule) ◼ ｜｜is absolute value. ◼ In case bid amount divided by estimate amount is decimal point, the figure under decimal point would be rounded up on five (5) digit. ◼ In case bid amount divided by estimate amount is 89.25 and more, then scored point is minimum 65 points. ◼ The lowest scored point is 2 points. 4.2.2 Bidding-related documents: Item Elevation factor Submission Documents Issuing agencies Application letter for bid participation Applicant List of submission documents Applicant General - Bid bond Related association - over 5% of bid price (and applicant) Certificate of seal certificate (Seal and signature) Applicant Documentary evidence for the performance track Construction Related association Evaluation of record of recent 3 years (amount) - completed building Experiences (and client) performance project only(2018~2020FY) Capability Financial Latest 3 years audit report (2017~2020FY) Audit agency statement Proposal letter for bid price (sealed envelope) 1. Price proposal should exclude VAT (in regard the article of VAT Exemption between the Korea-Nepal G</x:v>
      </x:c>
      <x:c r="J2495" s="43" t="str">
        <x:v>자동추출·검토필요</x:v>
      </x:c>
    </x:row>
    <x:row r="2496">
      <x:c r="A2496" s="43" t="str">
        <x:v>L2021-00029-1</x:v>
      </x:c>
      <x:c r="B2496" s="43" t="str">
        <x:v>부가세·예비비</x:v>
      </x:c>
      <x:c r="C2496" s="46" t="str">
        <x:v>vat, tax</x:v>
      </x:c>
      <x:c r="D2496" s="46" t="str"/>
      <x:c r="E2496" s="46" t="str"/>
      <x:c r="F2496" s="46" t="str">
        <x:v>5%</x:v>
      </x:c>
      <x:c r="G2496" s="46" t="str">
        <x:v>L2021-00029-1/네팔 ORC시공업체선정 영문 RFP.pdf</x:v>
      </x:c>
      <x:c r="H2496" s="43" t="str">
        <x:v>페이지 16</x:v>
      </x:c>
      <x:c r="I2496" s="46" t="str">
        <x:v>Screening Screening Documents Issuing office section items Application for bid participation Applicant List of documents Applicant General - Bid bond - Related association (over 5% of bid amount) and applicant seal certificate (Seal and signature) Applicant Documentary evidence for the performance Evaluation of Construction record of recent 3 years(amount): Actual Related association Experiences completed building projects only (2017~2019) (and or client) performance Except Apartment / Housing / Factory Capability Financial Latest3 years audit report (2017~2019) Audit agency statement Proposal letter of bid price (sealed envelope) ◼ Price proposal should exclude VAT (in regard the article of VAT Exemption Evaluation of between the Korea-Nepal Grant Applicant - Agreement). Bidder’s prepayment of bid amount VAT will be refundable from tax office later with help of KOICA The Detailed Price Proposal (sealed envelope) Applicant 16</x:v>
      </x:c>
      <x:c r="J2496" s="43" t="str">
        <x:v>자동추출·검토필요</x:v>
      </x:c>
    </x:row>
    <x:row r="2497">
      <x:c r="A2497" s="43" t="str">
        <x:v>L2021-00028-1</x:v>
      </x:c>
      <x:c r="B2497" s="43" t="str">
        <x:v>부가세·예비비</x:v>
      </x:c>
      <x:c r="C2497" s="46" t="str">
        <x:v>vat</x:v>
      </x:c>
      <x:c r="D2497" s="46" t="str"/>
      <x:c r="E2497" s="46" t="str">
        <x:v>XOF 18,419,333</x:v>
      </x:c>
      <x:c r="F2497" s="46" t="str"/>
      <x:c r="G2497" s="46" t="str">
        <x:v>L2021-00028-1/(붙임 1) 한코센터 추가 IT 기자재 구매 입찰계획안_국문본(210915).hwp</x:v>
      </x:c>
      <x:c r="H2497" s="43" t="str">
        <x:v>문단 96</x:v>
      </x:c>
      <x:c r="I2497" s="46" t="str">
        <x:v>마. 입찰한도액 : XOF 18,419,333 (VAT 포함)</x:v>
      </x:c>
      <x:c r="J2497" s="43" t="str">
        <x:v>자동추출·검토필요</x:v>
      </x:c>
    </x:row>
    <x:row r="2498">
      <x:c r="A2498" s="43" t="str">
        <x:v>L2021-00028-1</x:v>
      </x:c>
      <x:c r="B2498" s="43" t="str">
        <x:v>부가세·예비비</x:v>
      </x:c>
      <x:c r="C2498" s="46" t="str">
        <x:v>vat</x:v>
      </x:c>
      <x:c r="D2498" s="46" t="str"/>
      <x:c r="E2498" s="46" t="str"/>
      <x:c r="F2498" s="46" t="str">
        <x:v>10 % | 10%</x:v>
      </x:c>
      <x:c r="G2498" s="46" t="str">
        <x:v>L2021-00028-1/(붙임 5) 제안요청서 DAO.docx</x:v>
      </x:c>
      <x:c r="H2498" s="43" t="str">
        <x:v>표 17 행 6</x:v>
      </x:c>
      <x:c r="I2498" s="46" t="str">
        <x:v>Garantie de performances (Garantie bancaire) | ■ 10 % de la valeur totale du contrat ■ 10% de l'argent de la réservation requis au lieu du cautionnement bancaire</x:v>
      </x:c>
      <x:c r="J2498" s="43" t="str">
        <x:v>자동추출·검토필요</x:v>
      </x:c>
    </x:row>
    <x:row r="2499">
      <x:c r="A2499" s="43" t="str">
        <x:v>L2021-00025-1</x:v>
      </x:c>
      <x:c r="B2499" s="43" t="str">
        <x:v>부가세·예비비</x:v>
      </x:c>
      <x:c r="C2499" s="46" t="str">
        <x:v>vat</x:v>
      </x:c>
      <x:c r="D2499" s="46" t="str"/>
      <x:c r="E2499" s="46" t="str">
        <x:v>USD 1,022,588</x:v>
      </x:c>
      <x:c r="F2499" s="46" t="str"/>
      <x:c r="G2499" s="46" t="str">
        <x:v>L2021-00025-1/2. Bid announcemet(20.08.27)_(Maternal &amp; Child Health)1.docx</x:v>
      </x:c>
      <x:c r="H2499" s="43" t="str">
        <x:v>문단 14</x:v>
      </x:c>
      <x:c r="I2499" s="46" t="str">
        <x:v>Estimated Budget: Approx. USD 1,022,588 (VAT excluded)</x:v>
      </x:c>
      <x:c r="J2499" s="43" t="str">
        <x:v>자동추출·검토필요</x:v>
      </x:c>
    </x:row>
    <x:row r="2500">
      <x:c r="A2500" s="43" t="str">
        <x:v>L2021-00025-1</x:v>
      </x:c>
      <x:c r="B2500" s="43" t="str">
        <x:v>부가세·예비비</x:v>
      </x:c>
      <x:c r="C2500" s="46" t="str">
        <x:v>vat</x:v>
      </x:c>
      <x:c r="D2500" s="46" t="str"/>
      <x:c r="E2500" s="46" t="str">
        <x:v>USD 1,022,588 | USD 1,022,588</x:v>
      </x:c>
      <x:c r="F2500" s="46" t="str"/>
      <x:c r="G2500" s="46" t="str">
        <x:v>L2021-00025-1/5. Bid Document-1_(20.08.27_Maternal &amp; Child Health).docx</x:v>
      </x:c>
      <x:c r="H2500" s="43" t="str">
        <x:v>표 17 행 3</x:v>
      </x:c>
      <x:c r="I2500" s="46" t="str">
        <x:v>Estimated Budget | Approx. USD 1,022,588 (VAT excluded) | Approx. USD 1,022,588 (VAT excluded)</x:v>
      </x:c>
      <x:c r="J2500" s="43" t="str">
        <x:v>자동추출·검토필요</x:v>
      </x:c>
    </x:row>
    <x:row r="2501">
      <x:c r="A2501" s="43" t="str">
        <x:v>L2021-00025-1</x:v>
      </x:c>
      <x:c r="B2501" s="43" t="str">
        <x:v>부가세·예비비</x:v>
      </x:c>
      <x:c r="C2501" s="46" t="str">
        <x:v>vat, tax</x:v>
      </x:c>
      <x:c r="D2501" s="46" t="str"/>
      <x:c r="E2501" s="46" t="str">
        <x:v>USD 1,022,588</x:v>
      </x:c>
      <x:c r="F2501" s="46" t="str"/>
      <x:c r="G2501" s="46" t="str">
        <x:v>L2021-00025-1/7. Pre-Bid Meeting_(20.08.27_Maternal &amp; Child Health).pdf</x:v>
      </x:c>
      <x:c r="H2501" s="43" t="str">
        <x:v>페이지 12</x:v>
      </x:c>
      <x:c r="I2501" s="46" t="str">
        <x:v>ESTIMATED CONSTRUCTION BUDGET USD 1,022,588(VAT excluded) TYPE OF BID International Open Competitive Bidding with PREQUALIFICATION TYPE OF CONTRACT Fixed Lump Sum Contract [NOTE] As this bid is a part of ODA (Official Development Assistance) project between the Government of Republic of Korea and Kingdom of Cambodia, this project benefits exemption of Value Add Tax(VAT) according to MOU between countries, and the Record of Discussion (RD) between KOICA and MOH. Thus, KOICA Cambodia office is not responsible for any VAT discharge or refund. All inquiries regarding VAT exemption or tax refund shall be referred to MOH in case needed. Summary of Contract Condition 1</x:v>
      </x:c>
      <x:c r="J2501" s="43" t="str">
        <x:v>자동추출·검토필요</x:v>
      </x:c>
    </x:row>
    <x:row r="2502">
      <x:c r="A2502" s="43" t="str">
        <x:v>L2021-00022-1</x:v>
      </x:c>
      <x:c r="B2502" s="43" t="str">
        <x:v>부가세·예비비</x:v>
      </x:c>
      <x:c r="C2502" s="46" t="str">
        <x:v>vat</x:v>
      </x:c>
      <x:c r="D2502" s="46" t="str"/>
      <x:c r="E2502" s="46" t="str">
        <x:v>XOF 16,990,167</x:v>
      </x:c>
      <x:c r="F2502" s="46" t="str"/>
      <x:c r="G2502" s="46" t="str">
        <x:v>L2021-00022-1/(붙임 1) 한코센터 IT 기자재 입찰계획안_국문본(210622).hwp</x:v>
      </x:c>
      <x:c r="H2502" s="43" t="str">
        <x:v>문단 132</x:v>
      </x:c>
      <x:c r="I2502" s="46" t="str">
        <x:v>마. 입찰한도액 : XOF 16,990,167 (VAT 포함)</x:v>
      </x:c>
      <x:c r="J2502" s="43" t="str">
        <x:v>자동추출·검토필요</x:v>
      </x:c>
    </x:row>
    <x:row r="2503">
      <x:c r="A2503" s="43" t="str">
        <x:v>L2021-00022-1</x:v>
      </x:c>
      <x:c r="B2503" s="43" t="str">
        <x:v>부가세·예비비</x:v>
      </x:c>
      <x:c r="C2503" s="46" t="str">
        <x:v>vat</x:v>
      </x:c>
      <x:c r="D2503" s="46" t="str"/>
      <x:c r="E2503" s="46" t="str"/>
      <x:c r="F2503" s="46" t="str">
        <x:v>10 % | 10%</x:v>
      </x:c>
      <x:c r="G2503" s="46" t="str">
        <x:v>L2021-00022-1/(붙임 5) 제안요청서_불문본(210623).docx</x:v>
      </x:c>
      <x:c r="H2503" s="43" t="str">
        <x:v>표 17 행 6</x:v>
      </x:c>
      <x:c r="I2503" s="46" t="str">
        <x:v>Garantie de performances (Garantie bancaire) | ■ 10 % de la valeur totale du contrat ■ 10% de l'argent de la réservation requis au lieu du cautionnement bancaire</x:v>
      </x:c>
      <x:c r="J2503" s="43" t="str">
        <x:v>자동추출·검토필요</x:v>
      </x:c>
    </x:row>
    <x:row r="2504">
      <x:c r="A2504" s="43" t="str">
        <x:v>L2021-00022-1</x:v>
      </x:c>
      <x:c r="B2504" s="43" t="str">
        <x:v>부가세·예비비</x:v>
      </x:c>
      <x:c r="C2504" s="46" t="str">
        <x:v>vat</x:v>
      </x:c>
      <x:c r="D2504" s="46" t="str"/>
      <x:c r="E2504" s="46" t="str"/>
      <x:c r="F2504" s="46" t="str">
        <x:v>10 %</x:v>
      </x:c>
      <x:c r="G2504" s="46" t="str">
        <x:v>L2021-00022-1/(붙임 6) 코트디부아르 공공계약규정(Code-Marches-Publics-Ordonnance).pdf</x:v>
      </x:c>
      <x:c r="H2504" s="43" t="str">
        <x:v>페이지 4</x:v>
      </x:c>
      <x:c r="I2504" s="46" t="str">
        <x:v>468 JOURNAL OFFICIEL DE LA REPUBLIQUE DE COTE D'IVOIRE 11 décembre 2019 11 décembre 2019 JOURNAL OFFICIEL DE LA REPUBLIQUE DE COTE D'IVOIRE 505 Les achats groupés ou collectifs font l'objet d'une convention 5.4 : Le choix de la procédure applicable à un marché est Art. 135. -Montant des acomptes Art. 138. - Règlement en cas de co-traitance signée par leurs membres qui définit les modalités de fonction- déterminé dans les conditions suivantes, quel que soit le nombre Le montant des acomptes ne doit pas excéder la valeur des La rémunération des entrepreneurs dans le cas d'un marché nement du groupement ou de la coordination de commandes. de prestataires auxquels il est fait appel : prestations auxquelles ils se rapportent, une fois déduites, le cas passé avec un groupement solidaire fait l'objet d'un paiement Cette convention désigne l'un des membres du groupement - en ce qui concerne les travaux, est prise en compte la valeur échéant, les sommes nécessaires au remboursement des avances. dans un compte unique, sauf stipulation contraire prévue au marché. comme coordonnateur chargé de procéder, dans le respect des globale des travaux se rapportant à une opération de travaux Dans le ca</x:v>
      </x:c>
      <x:c r="J2504" s="43" t="str">
        <x:v>자동추출·검토필요</x:v>
      </x:c>
    </x:row>
    <x:row r="2505">
      <x:c r="A2505" s="43" t="str">
        <x:v>L2021-00022-1</x:v>
      </x:c>
      <x:c r="B2505" s="43" t="str">
        <x:v>부가세·예비비</x:v>
      </x:c>
      <x:c r="C2505" s="46" t="str">
        <x:v>vat</x:v>
      </x:c>
      <x:c r="D2505" s="46" t="str"/>
      <x:c r="E2505" s="46" t="str">
        <x:v>eur 15.3</x:v>
      </x:c>
      <x:c r="F2505" s="46" t="str"/>
      <x:c r="G2505" s="46" t="str">
        <x:v>L2021-00022-1/(붙임 6) 코트디부아르 공공계약규정(Code-Marches-Publics-Ordonnance).pdf</x:v>
      </x:c>
      <x:c r="H2505" s="43" t="str">
        <x:v>페이지 7</x:v>
      </x:c>
      <x:c r="I2505" s="46" t="str">
        <x:v>502 JOURNAL OFFICIEL DE LA REPUBLIQUE DE COTE D'IVOIRE 11 décembre 2019 11 décembre 2019 JOURNAL OFFICIEL DE LA REPUBLIQUE DE COTE D'IVOIRE 471 Art. 112. - Cession du nantissement CHAPITRE4 - l'organisation et la conduite de la procédure de passation 14.3 : Déroulement des séances et décisions de la commission La cession par un bénéficiaire d'un nantissement de tout ou Mesures coercitives - ajournement- résiliation d'ouverture des plis et de jugement des offres des marchés nécessaires à l'exécution de l'ouvrage ou du projet partie de sa créance sur le titulaire ne prive pas le cédant des droits Section 1 : mesures coercitives 14.3.l : Les membres de la commission, à l'exception du jusqu'à l'attribution; résultant du nantissement. Le bénéficiaire d'un nantissement Art. 116. - Règles applicables maître d'œuvre s'il existe, participent aux séances de celle-ci - la gestion des marchés passés au nom et pour le compte du peut, par une convention distincte, transférer à un tiers les droits Sans préjudice des mesures prévues au présent Code, les avec voix délibérative. maître d'ouvrage; résultants de ce nantissement à concurrence, soit de la totalité, mesures coercitives propres à chaque m</x:v>
      </x:c>
      <x:c r="J2505" s="43" t="str">
        <x:v>자동추출·검토필요</x:v>
      </x:c>
    </x:row>
    <x:row r="2506">
      <x:c r="A2506" s="43" t="str">
        <x:v>L2021-00022-1</x:v>
      </x:c>
      <x:c r="B2506" s="43" t="str">
        <x:v>부가세·예비비</x:v>
      </x:c>
      <x:c r="C2506" s="46" t="str">
        <x:v>vat</x:v>
      </x:c>
      <x:c r="D2506" s="46" t="str"/>
      <x:c r="E2506" s="46" t="str"/>
      <x:c r="F2506" s="46" t="str">
        <x:v>1,5 % | 3 % | 5 %</x:v>
      </x:c>
      <x:c r="G2506" s="46" t="str">
        <x:v>L2021-00022-1/(붙임 6) 코트디부아르 공공계약규정(Code-Marches-Publics-Ordonnance).pdf</x:v>
      </x:c>
      <x:c r="H2506" s="43" t="str">
        <x:v>페이지 10</x:v>
      </x:c>
      <x:c r="I2506" s="46" t="str">
        <x:v>11 décembre 2019 JOURNAL OFFICIEL DE LA REPUBLIQUE DE COTE D'IVOIRE 499 474 JOURNAL OFFICIEL DE LA REPUBLIQUE DE COTE D'IVOIRE 11 décembre 2019 L'autorité contractante fixe les normes, agréments techniques ou Est notamment interdite, l'indication de marques, de brevets ou 94.3 : Réception définitive des prestations 95.5 : Les différentes garanties financières doivent systémati- spécifications homologuées ou utilisées en Côte d'ivoire auxquelles de types, ou celle d'une origine ou d'une production déterminée. La réception définitive est prononcée au terme du délai de quement avoir des dates précises de validité. devront répondre les matériels, matériaux et modes d'exécution par Toutefois, une telle indication accompagnée de la mention « ou garantie. Pendant cette période, l'entrepreneur est tenu à Art. 96. -Restitution de la garantie d'offre ou de soumission référence et qui seront expressément mentionnées dans les données équivalent » est autorisée lorsque les autorités contractantes n'ont l'obligation de garantie contractuelle. 96.1 : Après sélection de l'attributaire, l'unité de gestion particulières d'appel d'offres et dans les cahiers des charges. S'il pas la possibilité de don</x:v>
      </x:c>
      <x:c r="J2506" s="43" t="str">
        <x:v>자동추출·검토필요</x:v>
      </x:c>
    </x:row>
    <x:row r="2507">
      <x:c r="A2507" s="43" t="str">
        <x:v>L2021-00022-1</x:v>
      </x:c>
      <x:c r="B2507" s="43" t="str">
        <x:v>부가세·예비비</x:v>
      </x:c>
      <x:c r="C2507" s="46" t="str">
        <x:v>vat, tax</x:v>
      </x:c>
      <x:c r="D2507" s="46" t="str"/>
      <x:c r="E2507" s="46" t="str"/>
      <x:c r="F2507" s="46" t="str">
        <x:v>30 %</x:v>
      </x:c>
      <x:c r="G2507" s="46" t="str">
        <x:v>L2021-00022-1/(붙임 6) 코트디부아르 공공계약규정(Code-Marches-Publics-Ordonnance).pdf</x:v>
      </x:c>
      <x:c r="H2507" s="43" t="str">
        <x:v>페이지 11</x:v>
      </x:c>
      <x:c r="I2507" s="46" t="str">
        <x:v>498 JOURNAL OFFICIEL DE LA REPUBLIQUE DE COTE D'IVOIRE 11 décembre 2019 11 décembre 2019 JOURNAL OFFICIEL DE LA REPUBLIQUE DE COTE D'IVOIRE 475 92.2 : Un avenant ne peut porter que sur les objets suivants : Ces m1ss10ns sont exercées, selon les cas et sous réserve - les clauses et conditions d'exécution du marché et, le cas Les avis de modification du dossier d'appel d'offres a) la modification des clauses du marché initial n'ayant aucune des compétences dévolues par la réglementation à certaines échéant, le modèle de document contractuel à signer par les sont publiés quinze jours au minimum avant la date limite de incidence sur son montant, ni sur le volume des travaux, fourni- structures publiques, telles que l'inspection générale des parties. A ce titre, les conditions d'exécution d'un marché public réception des offres. Toutefois, si les modifications interviennent tures, ou services, mais nécessaires à son exécution, y compris Finances, l'inspection générale d'Etat ou la Cour des Comptes, peuvent notamment prendre en compte des considérations moins de quinze jours avant la date limite de réception des offres, les changements affectant l'autorité contractante ou ceux par l'unit</x:v>
      </x:c>
      <x:c r="J2507" s="43" t="str">
        <x:v>자동추출·검토필요</x:v>
      </x:c>
    </x:row>
    <x:row r="2508">
      <x:c r="A2508" s="43" t="str">
        <x:v>L2021-00022-1</x:v>
      </x:c>
      <x:c r="B2508" s="43" t="str">
        <x:v>부가세·예비비</x:v>
      </x:c>
      <x:c r="C2508" s="46" t="str">
        <x:v>vat, tax</x:v>
      </x:c>
      <x:c r="D2508" s="46" t="str"/>
      <x:c r="E2508" s="46" t="str"/>
      <x:c r="F2508" s="46" t="str">
        <x:v>10 %</x:v>
      </x:c>
      <x:c r="G2508" s="46" t="str">
        <x:v>L2021-00022-1/(붙임 6) 코트디부아르 공공계약규정(Code-Marches-Publics-Ordonnance).pdf</x:v>
      </x:c>
      <x:c r="H2508" s="43" t="str">
        <x:v>페이지 12</x:v>
      </x:c>
      <x:c r="I2508" s="46" t="str">
        <x:v>476 JOURNAL OFFICIEL DE LA REPUBLIQUE DE COTE D'IVOIRE 11 décembre2019 11 décembre 2019 JOURNAL OFFICIEL DE LA REPUBLIQUE DE COTE D'IVOIRE 497 - la consistance et la description détaillée des travaux, Art. 29. - Nature des prix des marchés 87.5 : Le contrôle de l'exécution du marché est assuré par le Les ordres de service sont écrits. Ils sont signés, datés et fournitures ou services ; maître d'œuvre s'il existe, assisté par le service technique de la numérotés par l'unité de gestion administrative, le maître Les travaux, fournitures ou services faisant l'objet du marché collectivité territoriale. d'ouvrage délégué ou le maître d'œuvre s'il existe. Le titulaire en - le mode de réalisation des travaux, de livraison des fourni- sont réglés, soit par des prix unitaires appliqués aux quantités TITRE VII accuse réception datée. tures et de prestation des services. A ce titre, les conditions d'exé- réellement exécutées dans les conditions du marché, soit par des EXÉCUTION DES MARCHÉS cution d'un marché public peuvent notamment prendre en compte Un ordre de service ne peut modifier l'objet du marché. forfaits, soit par une combinaison des deux, soit en rémunération CHAPITRE 1 des considér</x:v>
      </x:c>
      <x:c r="J2508" s="43" t="str">
        <x:v>자동추출·검토필요</x:v>
      </x:c>
    </x:row>
    <x:row r="2509">
      <x:c r="A2509" s="43" t="str">
        <x:v>L2021-00022-1</x:v>
      </x:c>
      <x:c r="B2509" s="43" t="str">
        <x:v>부가세·예비비</x:v>
      </x:c>
      <x:c r="C2509" s="46" t="str">
        <x:v>vat</x:v>
      </x:c>
      <x:c r="D2509" s="46" t="str"/>
      <x:c r="E2509" s="46" t="str"/>
      <x:c r="F2509" s="46" t="str">
        <x:v>30 %</x:v>
      </x:c>
      <x:c r="G2509" s="46" t="str">
        <x:v>L2021-00022-1/(붙임 6) 코트디부아르 공공계약규정(Code-Marches-Publics-Ordonnance).pdf</x:v>
      </x:c>
      <x:c r="H2509" s="43" t="str">
        <x:v>페이지 14</x:v>
      </x:c>
      <x:c r="I2509" s="46" t="str">
        <x:v>11 décembre 2019 JOURNAL OFFICIEL DE LA REPUBLIQUE DE COTE D'IVOIRE 495 478 JOURNAL OFFICIEL DE LA REPUBLIQUE DE COTE D'IVOIRE li décembre 2019 b) dans laquelle les membres de l'autorité contractante, de la c) aucun consultant, y compris le personnel et les sous-consultants La structure administrative chargée du contrôle des marchés - l'attributaire n'est pas frappé d'exclusion du bénéfice structure administrative chargée du contrôle des marchés publics, à son service ni aucun prestataire affilié qui le contrôle directe- publics doit, dans le délai fixé à l'article 82 du présent Code et d'attribution des marchés publics ; de l'organe de régulation des marchés publics, de la personne ment ou indirectement, qu'il contrôle lui-même ou qui est placée après avoir constaté l'existence des financements correspondants, - les cotraitants d'un marché unique ont désigné l'un d'entre responsable du marché, de la cellule de passation des marchés sous un contrôle commun, ne peut être engagé pour une mission ainsi que la réservation des crédits, émettre un avis sur la confor- eux comme mandataire ; publics, des membres de la commission d'ouverture des plis et qui, par sa nature, crée un conflit d</x:v>
      </x:c>
      <x:c r="J2509" s="43" t="str">
        <x:v>자동추출·검토필요</x:v>
      </x:c>
    </x:row>
    <x:row r="2510">
      <x:c r="A2510" s="43" t="str">
        <x:v>L2021-00022-1</x:v>
      </x:c>
      <x:c r="B2510" s="43" t="str">
        <x:v>부가세·예비비</x:v>
      </x:c>
      <x:c r="C2510" s="46" t="str">
        <x:v>vat, tax</x:v>
      </x:c>
      <x:c r="D2510" s="46" t="str"/>
      <x:c r="E2510" s="46" t="str"/>
      <x:c r="F2510" s="46" t="str">
        <x:v>5 % | 40 % | 15 % | 30 % | 2 %</x:v>
      </x:c>
      <x:c r="G2510" s="46" t="str">
        <x:v>L2021-00022-1/(붙임 6) 코트디부아르 공공계약규정(Code-Marches-Publics-Ordonnance).pdf</x:v>
      </x:c>
      <x:c r="H2510" s="43" t="str">
        <x:v>페이지 16</x:v>
      </x:c>
      <x:c r="I2510" s="46" t="str">
        <x:v>480 JOURNAL OFFICIEL DE LA REPUBLIQUE DE COTE D'IVOIRE 11 décembre 2019 11décembre2019 JOURNAL OFFICIEL DE LA REPUBLIQUE DE COTE D'IVOIRE 493 Le mandataire ainsi désigné est, pour l'exécution du marché, TITRE V Lorsqu'elle met en œuvre cette marge de préférence, l'autorité 75.3 : La décision d'attribution prise par la commission est solidaire de chacun des membres du groupement pour ses PASSATION DES MARCHES PUBLICS contractante doit en faire la mention au préalable dans le dossier provisoire quelle que soit la dotation budgétaire qui supporte le obligations contractuelles à l'égard de l'autorité contractante. d'appel d'offres et les autres documents de mise en concurrence marché. Cette décision d'attribution devient définitive à l'appro- CHAPITRE 1 afférents au marché. bation du marché. 42.4 : La rémunération des entrepreneurs dans le cas d'un Typologie des marchés 73.4 : Sans préjudice des dispositions relatives à la préférence En dessous du seuil de validation, la décision d'attribution prise marché passé avec un groupement solidaire fait l'objet d'un Section 1 : Marchés classiques communautaire, lors de la passation d'un marché public, une par la commission ne fait pas l'objet </x:v>
      </x:c>
      <x:c r="J2510" s="43" t="str">
        <x:v>자동추출·검토필요</x:v>
      </x:c>
    </x:row>
    <x:row r="2511">
      <x:c r="A2511" s="43" t="str">
        <x:v>L2021-00022-1</x:v>
      </x:c>
      <x:c r="B2511" s="43" t="str">
        <x:v>부가세·예비비</x:v>
      </x:c>
      <x:c r="C2511" s="46" t="str">
        <x:v>vat</x:v>
      </x:c>
      <x:c r="D2511" s="46" t="str"/>
      <x:c r="E2511" s="46" t="str"/>
      <x:c r="F2511" s="46" t="str">
        <x:v>20 %</x:v>
      </x:c>
      <x:c r="G2511" s="46" t="str">
        <x:v>L2021-00022-1/(붙임 6) 코트디부아르 공공계약규정(Code-Marches-Publics-Ordonnance).pdf</x:v>
      </x:c>
      <x:c r="H2511" s="43" t="str">
        <x:v>페이지 18</x:v>
      </x:c>
      <x:c r="I2511" s="46" t="str">
        <x:v>482 JOURNAL OFFICIEL DE LA REPUBLIQUE DE COTE D'IVOIRE 11 décembre 2019 11 décembre 2019 JOURNAL OFFICIEL DE LA REPUBLIQUE DE COTE D'IVOIRE 491 Pour la construction de bâtiments neufs, ce contrat peut être L'autorité contractante peut décider de mettre en place un marché 70.2 : La commission d'ouverture des plis et de jugement 71.2 : En tout premier lieu, le comité d'évaluation des offres utilisé si des motifs d'ordre technique justifient l'association de d'innovation avec un ou plusieurs opérateurs économiques qui des offres procède à l'ouverture des enveloppes et contenants procède à l'examen des pièces administratives produites et arrête l'entrepreneur aux études de l'ouvrage. exécutent les prestations de manière séparée dans le cadre de extérieurs, en relevant le nom de chaque soumissionnaire, la liste des soumissionnaires en distinguant sur celle-ci les Le recours au marché de conception, réalisation, exploitation contrats individuels. Cette décision est indiquée dans l'avis d'appel constate la présence des deux enveloppes intérieures et ouvre candidats dont les offres sont régulières et ceux dont les offres ou maintenance, au titre du présent Code, est soumis aux conditions à</x:v>
      </x:c>
      <x:c r="J2511" s="43" t="str">
        <x:v>자동추출·검토필요</x:v>
      </x:c>
    </x:row>
    <x:row r="2512">
      <x:c r="A2512" s="43" t="str">
        <x:v>L2021-00022-1</x:v>
      </x:c>
      <x:c r="B2512" s="43" t="str">
        <x:v>부가세·예비비</x:v>
      </x:c>
      <x:c r="C2512" s="46" t="str">
        <x:v>vat</x:v>
      </x:c>
      <x:c r="D2512" s="46" t="str"/>
      <x:c r="E2512" s="46" t="str">
        <x:v>eur 58.6</x:v>
      </x:c>
      <x:c r="F2512" s="46" t="str"/>
      <x:c r="G2512" s="46" t="str">
        <x:v>L2021-00022-1/(붙임 6) 코트디부아르 공공계약규정(Code-Marches-Publics-Ordonnance).pdf</x:v>
      </x:c>
      <x:c r="H2512" s="43" t="str">
        <x:v>페이지 21</x:v>
      </x:c>
      <x:c r="I2512" s="46" t="str">
        <x:v>488 JOURNAL OFFICIEL DE LA REPUBLIQUE DE COTE D'IVOIRE 11 décembre 2019 11 décembre 2019 JOURNAL OFFICIEL DE LA REPUBLIQUE DE COTE D'IVOIRE 485 Dans un second temps, seuls les soum1ss10nnaires ayant Si la demande de propositions exige des candidats de soumettre Il ne peut être recouru à la procédure de l'appel d'offres La commission d'ouverture des plis et de jugement des offres présenté des offres techniquement qualifiées et conformes, voient uniquement une offre technique, seul le cabinet dont la proposi- en deux étapes que dans le cas d'un marché d'une grande est chargée de la présélection, de l'ouverture des plis et de la leurs offres financières ouvertes. Les autres offres financières sont tion technique a obtenu la note technique la plus élevée, est invité complexité, ou dans le cas d'un marché qui doit être attribué sur sélection des lauréats pour la suite des opérations telles que retournées, sans être ouvertes, aux soumissionnaires non qualifiés. à soumettre une proposition financière pour négociation. la base de critères de performance et non de spécifications définies à l'alinéa ci-dessus. Elle est assistée dans toutes ces L'ouverture des offres financières est publique </x:v>
      </x:c>
      <x:c r="J2512" s="43" t="str">
        <x:v>자동추출·검토필요</x:v>
      </x:c>
    </x:row>
    <x:row r="2513">
      <x:c r="A2513" s="43" t="str">
        <x:v>L2021-00022-1</x:v>
      </x:c>
      <x:c r="B2513" s="43" t="str">
        <x:v>부가세·예비비</x:v>
      </x:c>
      <x:c r="C2513" s="46" t="str">
        <x:v>vat</x:v>
      </x:c>
      <x:c r="D2513" s="46" t="str"/>
      <x:c r="E2513" s="46" t="str">
        <x:v>eur 58.6</x:v>
      </x:c>
      <x:c r="F2513" s="46" t="str"/>
      <x:c r="G2513" s="46" t="str">
        <x:v>L2021-00022-1/(붙임 6) 코트디부아르 공공계약규정(Code-Marches-Publics-Ordonnance).pdf</x:v>
      </x:c>
      <x:c r="H2513" s="43" t="str">
        <x:v>페이지 24</x:v>
      </x:c>
      <x:c r="I2513" s="46" t="str">
        <x:v>488 JOURNAL OFFICIEL DE LA REPUBLIQUE DE COTE D'IVOIRE 11 décembre 2019 11 décembre 2019 JOURNAL OFFICIEL DE LA REPUBLIQUE DE COTE D'IVOIRE 485 Dans un second temps, seuls les soum1ss10nnaires ayant Si la demande de propositions exige des candidats de soumettre Il ne peut être recouru à la procédure de l'appel d'offres La commission d'ouverture des plis et de jugement des offres présenté des offres techniquement qualifiées et conformes, voient uniquement une offre technique, seul le cabinet dont la proposi- en deux étapes que dans le cas d'un marché d'une grande est chargée de la présélection, de l'ouverture des plis et de la leurs offres financières ouvertes. Les autres offres financières sont tion technique a obtenu la note technique la plus élevée, est invité complexité, ou dans le cas d'un marché qui doit être attribué sur sélection des lauréats pour la suite des opérations telles que retournées, sans être ouvertes, aux soumissionnaires non qualifiés. à soumettre une proposition financière pour négociation. la base de critères de performance et non de spécifications définies à l'alinéa ci-dessus. Elle est assistée dans toutes ces L'ouverture des offres financières est publique </x:v>
      </x:c>
      <x:c r="J2513" s="43" t="str">
        <x:v>자동추출·검토필요</x:v>
      </x:c>
    </x:row>
    <x:row r="2514">
      <x:c r="A2514" s="43" t="str">
        <x:v>L2021-00022-1</x:v>
      </x:c>
      <x:c r="B2514" s="43" t="str">
        <x:v>부가세·예비비</x:v>
      </x:c>
      <x:c r="C2514" s="46" t="str">
        <x:v>vat</x:v>
      </x:c>
      <x:c r="D2514" s="46" t="str"/>
      <x:c r="E2514" s="46" t="str"/>
      <x:c r="F2514" s="46" t="str">
        <x:v>20 %</x:v>
      </x:c>
      <x:c r="G2514" s="46" t="str">
        <x:v>L2021-00022-1/(붙임 6) 코트디부아르 공공계약규정(Code-Marches-Publics-Ordonnance).pdf</x:v>
      </x:c>
      <x:c r="H2514" s="43" t="str">
        <x:v>페이지 27</x:v>
      </x:c>
      <x:c r="I2514" s="46" t="str">
        <x:v>482 JOURNAL OFFICIEL DE LA REPUBLIQUE DE COTE D'IVOIRE 11 décembre 2019 11 décembre 2019 JOURNAL OFFICIEL DE LA REPUBLIQUE DE COTE D'IVOIRE 491 Pour la construction de bâtiments neufs, ce contrat peut être L'autorité contractante peut décider de mettre en place un marché 70.2 : La commission d'ouverture des plis et de jugement 71.2 : En tout premier lieu, le comité d'évaluation des offres utilisé si des motifs d'ordre technique justifient l'association de d'innovation avec un ou plusieurs opérateurs économiques qui des offres procède à l'ouverture des enveloppes et contenants procède à l'examen des pièces administratives produites et arrête l'entrepreneur aux études de l'ouvrage. exécutent les prestations de manière séparée dans le cadre de extérieurs, en relevant le nom de chaque soumissionnaire, la liste des soumissionnaires en distinguant sur celle-ci les Le recours au marché de conception, réalisation, exploitation contrats individuels. Cette décision est indiquée dans l'avis d'appel constate la présence des deux enveloppes intérieures et ouvre candidats dont les offres sont régulières et ceux dont les offres ou maintenance, au titre du présent Code, est soumis aux conditions à</x:v>
      </x:c>
      <x:c r="J2514" s="43" t="str">
        <x:v>자동추출·검토필요</x:v>
      </x:c>
    </x:row>
    <x:row r="2515">
      <x:c r="A2515" s="43" t="str">
        <x:v>L2021-00022-1</x:v>
      </x:c>
      <x:c r="B2515" s="43" t="str">
        <x:v>부가세·예비비</x:v>
      </x:c>
      <x:c r="C2515" s="46" t="str">
        <x:v>vat, tax</x:v>
      </x:c>
      <x:c r="D2515" s="46" t="str"/>
      <x:c r="E2515" s="46" t="str"/>
      <x:c r="F2515" s="46" t="str">
        <x:v>5 % | 40 % | 15 % | 30 % | 2 %</x:v>
      </x:c>
      <x:c r="G2515" s="46" t="str">
        <x:v>L2021-00022-1/(붙임 6) 코트디부아르 공공계약규정(Code-Marches-Publics-Ordonnance).pdf</x:v>
      </x:c>
      <x:c r="H2515" s="43" t="str">
        <x:v>페이지 29</x:v>
      </x:c>
      <x:c r="I2515" s="46" t="str">
        <x:v>480 JOURNAL OFFICIEL DE LA REPUBLIQUE DE COTE D'IVOIRE 11 décembre 2019 11décembre2019 JOURNAL OFFICIEL DE LA REPUBLIQUE DE COTE D'IVOIRE 493 Le mandataire ainsi désigné est, pour l'exécution du marché, TITRE V Lorsqu'elle met en œuvre cette marge de préférence, l'autorité 75.3 : La décision d'attribution prise par la commission est solidaire de chacun des membres du groupement pour ses PASSATION DES MARCHES PUBLICS contractante doit en faire la mention au préalable dans le dossier provisoire quelle que soit la dotation budgétaire qui supporte le obligations contractuelles à l'égard de l'autorité contractante. d'appel d'offres et les autres documents de mise en concurrence marché. Cette décision d'attribution devient définitive à l'appro- CHAPITRE 1 afférents au marché. bation du marché. 42.4 : La rémunération des entrepreneurs dans le cas d'un Typologie des marchés 73.4 : Sans préjudice des dispositions relatives à la préférence En dessous du seuil de validation, la décision d'attribution prise marché passé avec un groupement solidaire fait l'objet d'un Section 1 : Marchés classiques communautaire, lors de la passation d'un marché public, une par la commission ne fait pas l'objet </x:v>
      </x:c>
      <x:c r="J2515" s="43" t="str">
        <x:v>자동추출·검토필요</x:v>
      </x:c>
    </x:row>
    <x:row r="2516">
      <x:c r="A2516" s="43" t="str">
        <x:v>L2021-00022-1</x:v>
      </x:c>
      <x:c r="B2516" s="43" t="str">
        <x:v>부가세·예비비</x:v>
      </x:c>
      <x:c r="C2516" s="46" t="str">
        <x:v>vat</x:v>
      </x:c>
      <x:c r="D2516" s="46" t="str"/>
      <x:c r="E2516" s="46" t="str"/>
      <x:c r="F2516" s="46" t="str">
        <x:v>30 %</x:v>
      </x:c>
      <x:c r="G2516" s="46" t="str">
        <x:v>L2021-00022-1/(붙임 6) 코트디부아르 공공계약규정(Code-Marches-Publics-Ordonnance).pdf</x:v>
      </x:c>
      <x:c r="H2516" s="43" t="str">
        <x:v>페이지 31</x:v>
      </x:c>
      <x:c r="I2516" s="46" t="str">
        <x:v>11 décembre 2019 JOURNAL OFFICIEL DE LA REPUBLIQUE DE COTE D'IVOIRE 495 478 JOURNAL OFFICIEL DE LA REPUBLIQUE DE COTE D'IVOIRE li décembre 2019 b) dans laquelle les membres de l'autorité contractante, de la c) aucun consultant, y compris le personnel et les sous-consultants La structure administrative chargée du contrôle des marchés - l'attributaire n'est pas frappé d'exclusion du bénéfice structure administrative chargée du contrôle des marchés publics, à son service ni aucun prestataire affilié qui le contrôle directe- publics doit, dans le délai fixé à l'article 82 du présent Code et d'attribution des marchés publics ; de l'organe de régulation des marchés publics, de la personne ment ou indirectement, qu'il contrôle lui-même ou qui est placée après avoir constaté l'existence des financements correspondants, - les cotraitants d'un marché unique ont désigné l'un d'entre responsable du marché, de la cellule de passation des marchés sous un contrôle commun, ne peut être engagé pour une mission ainsi que la réservation des crédits, émettre un avis sur la confor- eux comme mandataire ; publics, des membres de la commission d'ouverture des plis et qui, par sa nature, crée un conflit d</x:v>
      </x:c>
      <x:c r="J2516" s="43" t="str">
        <x:v>자동추출·검토필요</x:v>
      </x:c>
    </x:row>
    <x:row r="2517">
      <x:c r="A2517" s="43" t="str">
        <x:v>L2021-00022-1</x:v>
      </x:c>
      <x:c r="B2517" s="43" t="str">
        <x:v>부가세·예비비</x:v>
      </x:c>
      <x:c r="C2517" s="46" t="str">
        <x:v>vat, tax</x:v>
      </x:c>
      <x:c r="D2517" s="46" t="str"/>
      <x:c r="E2517" s="46" t="str"/>
      <x:c r="F2517" s="46" t="str">
        <x:v>10 %</x:v>
      </x:c>
      <x:c r="G2517" s="46" t="str">
        <x:v>L2021-00022-1/(붙임 6) 코트디부아르 공공계약규정(Code-Marches-Publics-Ordonnance).pdf</x:v>
      </x:c>
      <x:c r="H2517" s="43" t="str">
        <x:v>페이지 33</x:v>
      </x:c>
      <x:c r="I2517" s="46" t="str">
        <x:v>476 JOURNAL OFFICIEL DE LA REPUBLIQUE DE COTE D'IVOIRE 11 décembre2019 11 décembre 2019 JOURNAL OFFICIEL DE LA REPUBLIQUE DE COTE D'IVOIRE 497 - la consistance et la description détaillée des travaux, Art. 29. - Nature des prix des marchés 87.5 : Le contrôle de l'exécution du marché est assuré par le Les ordres de service sont écrits. Ils sont signés, datés et fournitures ou services ; maître d'œuvre s'il existe, assisté par le service technique de la numérotés par l'unité de gestion administrative, le maître Les travaux, fournitures ou services faisant l'objet du marché collectivité territoriale. d'ouvrage délégué ou le maître d'œuvre s'il existe. Le titulaire en - le mode de réalisation des travaux, de livraison des fourni- sont réglés, soit par des prix unitaires appliqués aux quantités TITRE VII accuse réception datée. tures et de prestation des services. A ce titre, les conditions d'exé- réellement exécutées dans les conditions du marché, soit par des EXÉCUTION DES MARCHÉS cution d'un marché public peuvent notamment prendre en compte Un ordre de service ne peut modifier l'objet du marché. forfaits, soit par une combinaison des deux, soit en rémunération CHAPITRE 1 des considér</x:v>
      </x:c>
      <x:c r="J2517" s="43" t="str">
        <x:v>자동추출·검토필요</x:v>
      </x:c>
    </x:row>
    <x:row r="2518">
      <x:c r="A2518" s="43" t="str">
        <x:v>L2021-00022-1</x:v>
      </x:c>
      <x:c r="B2518" s="43" t="str">
        <x:v>부가세·예비비</x:v>
      </x:c>
      <x:c r="C2518" s="46" t="str">
        <x:v>vat, tax</x:v>
      </x:c>
      <x:c r="D2518" s="46" t="str"/>
      <x:c r="E2518" s="46" t="str"/>
      <x:c r="F2518" s="46" t="str">
        <x:v>30 %</x:v>
      </x:c>
      <x:c r="G2518" s="46" t="str">
        <x:v>L2021-00022-1/(붙임 6) 코트디부아르 공공계약규정(Code-Marches-Publics-Ordonnance).pdf</x:v>
      </x:c>
      <x:c r="H2518" s="43" t="str">
        <x:v>페이지 34</x:v>
      </x:c>
      <x:c r="I2518" s="46" t="str">
        <x:v>498 JOURNAL OFFICIEL DE LA REPUBLIQUE DE COTE D'IVOIRE 11 décembre 2019 11 décembre 2019 JOURNAL OFFICIEL DE LA REPUBLIQUE DE COTE D'IVOIRE 475 92.2 : Un avenant ne peut porter que sur les objets suivants : Ces m1ss10ns sont exercées, selon les cas et sous réserve - les clauses et conditions d'exécution du marché et, le cas Les avis de modification du dossier d'appel d'offres a) la modification des clauses du marché initial n'ayant aucune des compétences dévolues par la réglementation à certaines échéant, le modèle de document contractuel à signer par les sont publiés quinze jours au minimum avant la date limite de incidence sur son montant, ni sur le volume des travaux, fourni- structures publiques, telles que l'inspection générale des parties. A ce titre, les conditions d'exécution d'un marché public réception des offres. Toutefois, si les modifications interviennent tures, ou services, mais nécessaires à son exécution, y compris Finances, l'inspection générale d'Etat ou la Cour des Comptes, peuvent notamment prendre en compte des considérations moins de quinze jours avant la date limite de réception des offres, les changements affectant l'autorité contractante ou ceux par l'unit</x:v>
      </x:c>
      <x:c r="J2518" s="43" t="str">
        <x:v>자동추출·검토필요</x:v>
      </x:c>
    </x:row>
    <x:row r="2519">
      <x:c r="A2519" s="43" t="str">
        <x:v>L2021-00022-1</x:v>
      </x:c>
      <x:c r="B2519" s="43" t="str">
        <x:v>부가세·예비비</x:v>
      </x:c>
      <x:c r="C2519" s="46" t="str">
        <x:v>vat</x:v>
      </x:c>
      <x:c r="D2519" s="46" t="str"/>
      <x:c r="E2519" s="46" t="str"/>
      <x:c r="F2519" s="46" t="str">
        <x:v>1,5 % | 3 % | 5 %</x:v>
      </x:c>
      <x:c r="G2519" s="46" t="str">
        <x:v>L2021-00022-1/(붙임 6) 코트디부아르 공공계약규정(Code-Marches-Publics-Ordonnance).pdf</x:v>
      </x:c>
      <x:c r="H2519" s="43" t="str">
        <x:v>페이지 35</x:v>
      </x:c>
      <x:c r="I2519" s="46" t="str">
        <x:v>11 décembre 2019 JOURNAL OFFICIEL DE LA REPUBLIQUE DE COTE D'IVOIRE 499 474 JOURNAL OFFICIEL DE LA REPUBLIQUE DE COTE D'IVOIRE 11 décembre 2019 L'autorité contractante fixe les normes, agréments techniques ou Est notamment interdite, l'indication de marques, de brevets ou 94.3 : Réception définitive des prestations 95.5 : Les différentes garanties financières doivent systémati- spécifications homologuées ou utilisées en Côte d'ivoire auxquelles de types, ou celle d'une origine ou d'une production déterminée. La réception définitive est prononcée au terme du délai de quement avoir des dates précises de validité. devront répondre les matériels, matériaux et modes d'exécution par Toutefois, une telle indication accompagnée de la mention « ou garantie. Pendant cette période, l'entrepreneur est tenu à Art. 96. -Restitution de la garantie d'offre ou de soumission référence et qui seront expressément mentionnées dans les données équivalent » est autorisée lorsque les autorités contractantes n'ont l'obligation de garantie contractuelle. 96.1 : Après sélection de l'attributaire, l'unité de gestion particulières d'appel d'offres et dans les cahiers des charges. S'il pas la possibilité de don</x:v>
      </x:c>
      <x:c r="J2519" s="43" t="str">
        <x:v>자동추출·검토필요</x:v>
      </x:c>
    </x:row>
    <x:row r="2520">
      <x:c r="A2520" s="43" t="str">
        <x:v>L2021-00022-1</x:v>
      </x:c>
      <x:c r="B2520" s="43" t="str">
        <x:v>부가세·예비비</x:v>
      </x:c>
      <x:c r="C2520" s="46" t="str">
        <x:v>vat</x:v>
      </x:c>
      <x:c r="D2520" s="46" t="str"/>
      <x:c r="E2520" s="46" t="str">
        <x:v>eur 15.3</x:v>
      </x:c>
      <x:c r="F2520" s="46" t="str"/>
      <x:c r="G2520" s="46" t="str">
        <x:v>L2021-00022-1/(붙임 6) 코트디부아르 공공계약규정(Code-Marches-Publics-Ordonnance).pdf</x:v>
      </x:c>
      <x:c r="H2520" s="43" t="str">
        <x:v>페이지 38</x:v>
      </x:c>
      <x:c r="I2520" s="46" t="str">
        <x:v>502 JOURNAL OFFICIEL DE LA REPUBLIQUE DE COTE D'IVOIRE 11 décembre 2019 11 décembre 2019 JOURNAL OFFICIEL DE LA REPUBLIQUE DE COTE D'IVOIRE 471 Art. 112. - Cession du nantissement CHAPITRE4 - l'organisation et la conduite de la procédure de passation 14.3 : Déroulement des séances et décisions de la commission La cession par un bénéficiaire d'un nantissement de tout ou Mesures coercitives - ajournement- résiliation d'ouverture des plis et de jugement des offres des marchés nécessaires à l'exécution de l'ouvrage ou du projet partie de sa créance sur le titulaire ne prive pas le cédant des droits Section 1 : mesures coercitives 14.3.l : Les membres de la commission, à l'exception du jusqu'à l'attribution; résultant du nantissement. Le bénéficiaire d'un nantissement Art. 116. - Règles applicables maître d'œuvre s'il existe, participent aux séances de celle-ci - la gestion des marchés passés au nom et pour le compte du peut, par une convention distincte, transférer à un tiers les droits Sans préjudice des mesures prévues au présent Code, les avec voix délibérative. maître d'ouvrage; résultants de ce nantissement à concurrence, soit de la totalité, mesures coercitives propres à chaque m</x:v>
      </x:c>
      <x:c r="J2520" s="43" t="str">
        <x:v>자동추출·검토필요</x:v>
      </x:c>
    </x:row>
    <x:row r="2521">
      <x:c r="A2521" s="43" t="str">
        <x:v>L2021-00022-1</x:v>
      </x:c>
      <x:c r="B2521" s="43" t="str">
        <x:v>부가세·예비비</x:v>
      </x:c>
      <x:c r="C2521" s="46" t="str">
        <x:v>vat</x:v>
      </x:c>
      <x:c r="D2521" s="46" t="str"/>
      <x:c r="E2521" s="46" t="str"/>
      <x:c r="F2521" s="46" t="str">
        <x:v>10 %</x:v>
      </x:c>
      <x:c r="G2521" s="46" t="str">
        <x:v>L2021-00022-1/(붙임 6) 코트디부아르 공공계약규정(Code-Marches-Publics-Ordonnance).pdf</x:v>
      </x:c>
      <x:c r="H2521" s="43" t="str">
        <x:v>페이지 41</x:v>
      </x:c>
      <x:c r="I2521" s="46" t="str">
        <x:v>468 JOURNAL OFFICIEL DE LA REPUBLIQUE DE COTE D'IVOIRE 11 décembre 2019 11 décembre 2019 JOURNAL OFFICIEL DE LA REPUBLIQUE DE COTE D'IVOIRE 505 Les achats groupés ou collectifs font l'objet d'une convention 5.4 : Le choix de la procédure applicable à un marché est Art. 135. -Montant des acomptes Art. 138. - Règlement en cas de co-traitance signée par leurs membres qui définit les modalités de fonction- déterminé dans les conditions suivantes, quel que soit le nombre Le montant des acomptes ne doit pas excéder la valeur des La rémunération des entrepreneurs dans le cas d'un marché nement du groupement ou de la coordination de commandes. de prestataires auxquels il est fait appel : prestations auxquelles ils se rapportent, une fois déduites, le cas passé avec un groupement solidaire fait l'objet d'un paiement Cette convention désigne l'un des membres du groupement - en ce qui concerne les travaux, est prise en compte la valeur échéant, les sommes nécessaires au remboursement des avances. dans un compte unique, sauf stipulation contraire prévue au marché. comme coordonnateur chargé de procéder, dans le respect des globale des travaux se rapportant à une opération de travaux Dans le ca</x:v>
      </x:c>
      <x:c r="J2521" s="43" t="str">
        <x:v>자동추출·검토필요</x:v>
      </x:c>
    </x:row>
    <x:row r="2522">
      <x:c r="A2522" s="43" t="str">
        <x:v>L2021-00022-1</x:v>
      </x:c>
      <x:c r="B2522" s="43" t="str">
        <x:v>부가세·예비비</x:v>
      </x:c>
      <x:c r="C2522" s="46" t="str">
        <x:v>tax</x:v>
      </x:c>
      <x:c r="D2522" s="46" t="str"/>
      <x:c r="E2522" s="46" t="str"/>
      <x:c r="F2522" s="46" t="str">
        <x:v>18% | 3% | 100%</x:v>
      </x:c>
      <x:c r="G2522" s="46" t="str">
        <x:v>L2021-00022-1/(붙임 7) 입찰공고비용 Invoice/(║┘└╙ 7-2) EDUCARRIERE └╬║╕└╠╜║.pdf</x:v>
      </x:c>
      <x:c r="H2522" s="43" t="str">
        <x:v>페이지 1</x:v>
      </x:c>
      <x:c r="I2522" s="46" t="str">
        <x:v>1ère Plate-forme Web ivoirienne Pour l’Education et la Carrière PROFORMA FACTURE PROFORMA N˚202106-22_#01-RDK À: SUIVI PAR : KOREA INTERNATIONAL Mlle. Rose Dumonde KOUAKOU EDUCARRIERE SARL COOPERATION AGENCE (KOICA) 17 BP 421 Abidjan 17 08 BP 3915, Abidjan, 08, Côte d'Ivoire Cocody, Rue du Lycée Technique, Ancienne Pharmacie PALM CLUB Cocody Riviera Golf Lagunaire, Cite Luxe Résidence Tél : +225 22 44 44 48 | +225 07 59 58 46 92 Tel : (225) 22 47 49 33 Website : www.educarriere.ci E-mail: abidjan@koica.go.kr | christine@koica.go.kr E-mail : r.kouakou@educarriere.net DATE DE LA COMMANDE : DEMANDEUR EXPÉDIÉE PAR 22/06/ 2021 KOICA Mlle. Rose Dumonde KOUAKOU Ref DETAILS TOTAL en Fr CFA (XOF) Intitulé de la campagne : [Avis d’Appel d’Offre- Juin 2021] Annonce sur le site www.educarriere.ci: 01 250 000 - Détails :  Position : Fichier s’affichant sur la Page d’Accueil du site Educarriere.ci et disponible en mode téléchargement libre  Encart : Demi - Page Redirigé vers le contenu de l’Appel d’Offre du Partenaire (Bonus)  Période de la publication : A définir  Durée :05 jours + 02 Jours en BONUS (01 Semaine) Remise Exceptionnelle Accordée (-10) -25 000 TOTAL HT (XOF) 225 000 NB: TVA (No</x:v>
      </x:c>
      <x:c r="J2522" s="43" t="str">
        <x:v>자동추출·검토필요</x:v>
      </x:c>
    </x:row>
    <x:row r="2523">
      <x:c r="A2523" s="43" t="str">
        <x:v>L2021-00019-1</x:v>
      </x:c>
      <x:c r="B2523" s="43" t="str">
        <x:v>부가세·예비비</x:v>
      </x:c>
      <x:c r="C2523" s="46" t="str">
        <x:v>tax</x:v>
      </x:c>
      <x:c r="D2523" s="46" t="str">
        <x:v>700 sq.m</x:v>
      </x:c>
      <x:c r="E2523" s="46" t="str"/>
      <x:c r="F2523" s="46" t="str"/>
      <x:c r="G2523" s="46" t="str">
        <x:v>L2021-00019-1/02 라오스_RMNCH&amp;GENDER Bid Announcement Rev03 (20210528).doc</x:v>
      </x:c>
      <x:c r="H2523" s="43" t="str">
        <x:v>문단 5</x:v>
      </x:c>
      <x:c r="I2523" s="46" t="str">
        <x:v>1) Employer: Korea International Cooperation Agency (KOICA) 2) Bid Type: International Open Competitive Bidding (Fixed Lump Sum Price Contract) 3) Selection of the Successful Bidder: Open Tender base on the Bidding Document Evaluation. Bidding Evaluation will be executed in accordance with the guideline described in the RFP provided to the Bidder who passed the Qualification Screening. 4) Eligibility to Bid: A bidder shall meet all items below in order to be eligible to bid ① As of the date of the announcement of the bid, a company that has been legally established in accordance with the laws and regulations of the country of establishment, regardless of nationality, and can perform design service business in Lao with a related license from Lao government. Documentary evidence - Enterprise Registration License (Issued by the Ministry of Industry and Commerce) - Business License (Design and Survey) (Issued by DPWT or MPWT) - Tax payment Certificate. (Issued by the Ministry of Finance) ② A company with Two(2) or more *performance record (Design) of **similar character building work (over 2 stories, over 700sq.ms,) in Lao PDR within last 5 years as of the bid announcement date. Docume</x:v>
      </x:c>
      <x:c r="J2523" s="43" t="str">
        <x:v>자동추출·검토필요</x:v>
      </x:c>
    </x:row>
    <x:row r="2524">
      <x:c r="A2524" s="43" t="str">
        <x:v>L2021-00018-1</x:v>
      </x:c>
      <x:c r="B2524" s="43" t="str">
        <x:v>부가세·예비비</x:v>
      </x:c>
      <x:c r="C2524" s="46" t="str">
        <x:v>reserve</x:v>
      </x:c>
      <x:c r="D2524" s="46" t="str"/>
      <x:c r="E2524" s="46" t="str"/>
      <x:c r="F2524" s="46" t="str">
        <x:v>60% | 40%</x:v>
      </x:c>
      <x:c r="G2524" s="46" t="str">
        <x:v>L2021-00018-1/1. RFP 023 2020 - Tender Document and Annexes_ ANCCESS PROJECT.pdf</x:v>
      </x:c>
      <x:c r="H2524" s="43" t="str">
        <x:v>페이지 16</x:v>
      </x:c>
      <x:c r="I2524" s="46" t="str">
        <x:v>manual submission, be returned to the Bidder unopened. For emailed Proposals and e-tendering submissions, UNDP will not request for the password of the Financial Proposals of bidders whose Technical Proposal were found not responsive. The evaluation method that applies for this RFP shall be as indicated in the BDS, which may be either of two (2) possible methods, as follows: (a) the lowest priced method which selects the lowest evaluated financial proposal of the technically responsive Bidders; or (b) the combined scoring method which will be based on a combination of the technical and financial score. When the BDS specifies a combined scoring method, the formula for the rating of the Proposals will be as follows: Rating the Technical Proposal (TP): TP Rating = (Total Score Obtained by the Offer / Max. Obtainable Score for TP) x 100 Rating the Financial Proposal (FP): FP Rating = (Lowest Priced Offer / Price of the Offer Being Reviewed) x 100 Total Combined Score: Combined Score = (TP Rating) x (Weight of TP, e.g.60%) + (FP Rating) x (Weight of FP, e.g., 40%) 31. Due Diligence UNDP reserves the right to undertake a due diligence exercise, also called post qualification, aimed at de</x:v>
      </x:c>
      <x:c r="J2524" s="43" t="str">
        <x:v>자동추출·검토필요</x:v>
      </x:c>
    </x:row>
    <x:row r="2525">
      <x:c r="A2525" s="43" t="str">
        <x:v>L2021-00018-1</x:v>
      </x:c>
      <x:c r="B2525" s="43" t="str">
        <x:v>부가세·예비비</x:v>
      </x:c>
      <x:c r="C2525" s="46" t="str">
        <x:v>reserve</x:v>
      </x:c>
      <x:c r="D2525" s="46" t="str"/>
      <x:c r="E2525" s="46" t="str">
        <x:v>USD 30,000,</x:v>
      </x:c>
      <x:c r="F2525" s="46" t="str">
        <x:v>25% | 20%</x:v>
      </x:c>
      <x:c r="G2525" s="46" t="str">
        <x:v>L2021-00018-1/1. RFP 023 2020 - Tender Document and Annexes_ ANCCESS PROJECT.pdf</x:v>
      </x:c>
      <x:c r="H2525" s="43" t="str">
        <x:v>페이지 18</x:v>
      </x:c>
      <x:c r="I2525" s="46" t="str">
        <x:v>not be obliged to award the contract to the lowest priced offer. 36. Award Criteria Prior to expiration of the proposal validity, UNDP shall award the contract to the qualified Bidder based on the award criteria indicated in the BDS. 37. Debriefing In the event that a Bidder is unsuccessful, the Bidder may request a debriefing from UNDP. The purpose of the debriefing is to discuss the strengths and weaknesses of the Bidder’s submission, in order to assist the Bidder in improving its future proposals for UNDP procurement opportunities. The content of other proposals and how they compare to the Bidder’s submission shall not be discussed. 38. Right to Vary At the time of award of Contract, UNDP reserves the right to vary the Requirements at the quantity of services and/or goods, by up to a maximum twenty-five per Time of Award cent (25%) of the total offer, without any change in the unit price or other terms and conditions. 39. Contract Signature Within fifteen (15) days from the date of receipt of the Contract, the successful Bidder shall sign and date the Contract and return it to UNDP. Failure to do so may constitute sufficient grounds for the annulment of the award, and forfeiture</x:v>
      </x:c>
      <x:c r="J2525" s="43" t="str">
        <x:v>자동추출·검토필요</x:v>
      </x:c>
    </x:row>
    <x:row r="2526">
      <x:c r="A2526" s="43" t="str">
        <x:v>L2021-00018-1</x:v>
      </x:c>
      <x:c r="B2526" s="43" t="str">
        <x:v>부가세·예비비</x:v>
      </x:c>
      <x:c r="C2526" s="46" t="str">
        <x:v>reserve</x:v>
      </x:c>
      <x:c r="D2526" s="46" t="str"/>
      <x:c r="E2526" s="46" t="str">
        <x:v>USD 300,000 | USD 610,000 | USD 450,000 | USD 300,000 | USD 910,000</x:v>
      </x:c>
      <x:c r="F2526" s="46" t="str">
        <x:v>70% | 70%</x:v>
      </x:c>
      <x:c r="G2526" s="46" t="str">
        <x:v>L2021-00018-1/1. RFP 023 2020 - Tender Document and Annexes_ ANCCESS PROJECT.pdf</x:v>
      </x:c>
      <x:c r="H2526" s="43" t="str">
        <x:v>페이지 30</x:v>
      </x:c>
      <x:c r="I2526" s="46" t="str">
        <x:v>1, UNDP shall verify financial capacity of the proposer and has the authority to seek references from concerned parties &amp; banks on the proposer’s financial standing. UNDP reserves the right to reject any proposal if submitted by a contractor whom the investigation leads to a result that he/she is not financially capable and/or had serious financial problems. Liquid assets and/or credit facilities, net of other contractual commitments and exclusive of any advance payments which may be made under the Contract, of no less than: - USD 300,000 for Lot 1 (West Sulawesi) - USD 610,000 for Lot 2 (South-East Sulawesi) - USD 450,000 for Lot 3 (East Nusa Tenggara/NTT) - USD 300,000 for Lot 4 (Central Kalimantan) If proposer participates in more than one LOT, Liquid assets and/or credit facilities, should be calculated as 70% from the sum of the respective Liquid assets and/or credit facilities for each LOT. (e.g. if Proposer participates in LOT 1 and 2, then the ‘Liquid assets and/or credit facilities should be 70% * USD 910,000). Proof of access to lines of credit via an official unconditional bank credit letter (an official letter from bidder’s bank certifying the actual approved credit fac</x:v>
      </x:c>
      <x:c r="J2526" s="43" t="str">
        <x:v>자동추출·검토필요</x:v>
      </x:c>
    </x:row>
    <x:row r="2527">
      <x:c r="A2527" s="43" t="str">
        <x:v>L2021-00017-1</x:v>
      </x:c>
      <x:c r="B2527" s="43" t="str">
        <x:v>부가세·예비비</x:v>
      </x:c>
      <x:c r="C2527" s="46" t="str">
        <x:v>contingency</x:v>
      </x:c>
      <x:c r="D2527" s="46" t="str"/>
      <x:c r="E2527" s="46" t="str"/>
      <x:c r="F2527" s="46" t="str">
        <x:v>0.5%</x:v>
      </x:c>
      <x:c r="G2527" s="46" t="str">
        <x:v>L2021-00017-1/Bidding Documents for Distribution AAUR PCRWR_0517/Chapter 1. Invitation for Bids_0507.docx</x:v>
      </x:c>
      <x:c r="H2527" s="43" t="str">
        <x:v>문단 9</x:v>
      </x:c>
      <x:c r="I2527" s="46" t="str">
        <x:v>※Safety Management Cost, which is above 0.5% of the construction price except contingency, shall be included in the Bid Price.</x:v>
      </x:c>
      <x:c r="J2527" s="43" t="str">
        <x:v>자동추출·검토필요</x:v>
      </x:c>
    </x:row>
    <x:row r="2528">
      <x:c r="A2528" s="43" t="str">
        <x:v>L2021-00017-1</x:v>
      </x:c>
      <x:c r="B2528" s="43" t="str">
        <x:v>부가세·예비비</x:v>
      </x:c>
      <x:c r="C2528" s="46" t="str">
        <x:v>tax, contingency</x:v>
      </x:c>
      <x:c r="D2528" s="46" t="str"/>
      <x:c r="E2528" s="46" t="str"/>
      <x:c r="F2528" s="46" t="str">
        <x:v>0.5%</x:v>
      </x:c>
      <x:c r="G2528" s="46" t="str">
        <x:v>L2021-00017-1/Bidding Documents for Distribution AAUR PCRWR_0517/Chapter 2. Bid Data Sheet_0507.docx</x:v>
      </x:c>
      <x:c r="H2528" s="43" t="str">
        <x:v>표 1 행 6</x:v>
      </x:c>
      <x:c r="I2528" s="46" t="str">
        <x:v>Summary of Bid ※Base Price will be used for determination of the Estimated Price in the Opening of the Bids. ※GST is included in the Base Price. Therefore, GST amount shall be included in the proposed bid price (Refer to the Attachment 3. Form of Bid). ※Safety Management Cost, which is above 0.5% of the construction price except contingency, shall be included in the Bid Price. ※If the Employer provides the Contractor with the tax exemption related to the Contract, the Employer will not be responsible for paying the exempt tax to the Contractor. If the Employer fails to provide the Contractor with the tax exemption, the Employer will pay the applicable taxes to the Contractor. ※KOICA has no authority or responsibility for any tax, including GST, incurred by such a bid and contract. The Federal Board of Revenue (FBR) is responsible for the taxation and tax exemption in accordance with the relevant laws and regulations of Pakistan.</x:v>
      </x:c>
      <x:c r="J2528" s="43" t="str">
        <x:v>자동추출·검토필요</x:v>
      </x:c>
    </x:row>
    <x:row r="2529">
      <x:c r="A2529" s="43" t="str">
        <x:v>L2021-00017-1</x:v>
      </x:c>
      <x:c r="B2529" s="43" t="str">
        <x:v>부가세·예비비</x:v>
      </x:c>
      <x:c r="C2529" s="46" t="str">
        <x:v>contingency</x:v>
      </x:c>
      <x:c r="D2529" s="46" t="str"/>
      <x:c r="E2529" s="46" t="str"/>
      <x:c r="F2529" s="46" t="str">
        <x:v>0.5%</x:v>
      </x:c>
      <x:c r="G2529" s="46" t="str">
        <x:v>L2021-00017-1/Bidding Documents for Distribution AAUR PCRWR_0517/Chapter 6. Conditions of Contract (GCC, SCC)_0503.docx</x:v>
      </x:c>
      <x:c r="H2529" s="43" t="str">
        <x:v>문단 111</x:v>
      </x:c>
      <x:c r="I2529" s="46" t="str">
        <x:v>The Contractor shall conduct the sufficient investigation on the safety of the Works to prevent industrial perils, and take the best necessary measures including the installation of safety facilities and insurance, etc. The Contract Price shall include the cost for such measures to prevent industrial perils (hereinafter referred to as the "Safety Management Cost"). Safety Management Cost excluding a contingency shall be allocated no less than 0.5% of the Contract Price and shall be reflected on the Bill of Quantities.</x:v>
      </x:c>
      <x:c r="J2529" s="43" t="str">
        <x:v>자동추출·검토필요</x:v>
      </x:c>
    </x:row>
    <x:row r="2530">
      <x:c r="A2530" s="43" t="str">
        <x:v>L2021-00017-1</x:v>
      </x:c>
      <x:c r="B2530" s="43" t="str">
        <x:v>부가세·예비비</x:v>
      </x:c>
      <x:c r="C2530" s="46" t="str">
        <x:v>vat</x:v>
      </x:c>
      <x:c r="D2530" s="46" t="str"/>
      <x:c r="E2530" s="46" t="str"/>
      <x:c r="F2530" s="46" t="str">
        <x:v>50% | 40%</x:v>
      </x:c>
      <x:c r="G2530" s="46" t="str">
        <x:v>L2021-00017-1/Bidding Documents for Distribution AAUR PCRWR_0517/Chapter 8. Reference Drawing, Report_0503/2)AAUR Electrical.pdf</x:v>
      </x:c>
      <x:c r="H2530" s="43" t="str">
        <x:v>페이지 112</x:v>
      </x:c>
      <x:c r="I2530" s="46" t="str">
        <x:v>ENERGY CONSERVATION GUIDELINES LIGHTING:  Start with basics –Turn off lights when not required and use natural day light to the maximum.  Dirty tube lights and bulbs can absorb 50% of the light. Dust tube lights and lamps regularly.  As far as possible use task lighting which focuses light where it is needed.  Consider employing automatic timers and dimmers  Replace incandescent lamps and traditional tube lights with CFL (especially in case of single lights) and with LED (especially in case of panel lights) AIR CONDITIONERS:  Clean the air conditioner filter every month. A dirty air filter reduces airflow and may damage the unit. Clean filters enable the unit to cool down quickly and use less energy.  Outdoor units of air conditioner must be provided with shade.  Use air conditioners at optimal temperature of 26 c COMPUTERS AND LAPTOPS:  Turn off computer equipment when not in use. A computer that runs 24 hours a day uses more power than an energy efficient refrigerator.  If the computer must be left on, turn off the monitor. The monitor alone uses more than half the systems energy.  Setting computers, monitors and copies to sleep mode which help cut energy costs by appr</x:v>
      </x:c>
      <x:c r="J2530" s="43" t="str">
        <x:v>자동추출·검토필요</x:v>
      </x:c>
    </x:row>
    <x:row r="2531">
      <x:c r="A2531" s="43" t="str">
        <x:v>L2021-00017-1</x:v>
      </x:c>
      <x:c r="B2531" s="43" t="str">
        <x:v>부가세·예비비</x:v>
      </x:c>
      <x:c r="C2531" s="46" t="str">
        <x:v>vat</x:v>
      </x:c>
      <x:c r="D2531" s="46" t="str"/>
      <x:c r="E2531" s="46" t="str"/>
      <x:c r="F2531" s="46" t="str">
        <x:v>50% | 40%</x:v>
      </x:c>
      <x:c r="G2531" s="46" t="str">
        <x:v>L2021-00017-1/Bidding Documents for Distribution AAUR PCRWR_0517/Chapter 8. Reference Drawing, Report_0503/4)PCRWR-Electrical.pdf</x:v>
      </x:c>
      <x:c r="H2531" s="43" t="str">
        <x:v>페이지 77</x:v>
      </x:c>
      <x:c r="I2531" s="46" t="str">
        <x:v>ENERGY CONSERVATION GUIDELINES LIGHTING:  Start with basics –Turn off lights when not required and use natural day light to the maximum.  Dirty tube lights and bulbs can absorb 50% of the light. Dust tube lights and lamps regularly.  As far as possible use task lighting which focuses light where it is needed.  Consider employing automatic timers and dimmers  Replace incandescent lamps and traditional tube lights with CFL (especially in case of single lights) and with LED (especially in case of panel lights) AIR CONDITIONERS:  Clean the air conditioner filter every month. A dirty air filter reduces airflow and may damage the unit. Clean filters enable the unit to cool down quickly and use less energy.  Outdoor units of air conditioner must be provided with shade.  Use air conditioners at optimal temperature of 26 c COMPUTERS AND LAPTOPS:  Turn off computer equipment when not in use. A computer that runs 24 hours a day uses more power than an energy efficient refrigerator.  If the computer must be left on, turn off the monitor. The monitor alone uses more than half the systems energy.  Setting computers, monitors and copies to sleep mode which help cut energy costs by appr</x:v>
      </x:c>
      <x:c r="J2531" s="43" t="str">
        <x:v>자동추출·검토필요</x:v>
      </x:c>
    </x:row>
    <x:row r="2532">
      <x:c r="A2532" s="43" t="str">
        <x:v>L2021-00016-2</x:v>
      </x:c>
      <x:c r="B2532" s="43" t="str">
        <x:v>부가세·예비비</x:v>
      </x:c>
      <x:c r="C2532" s="46" t="str">
        <x:v>vat</x:v>
      </x:c>
      <x:c r="D2532" s="46" t="str"/>
      <x:c r="E2532" s="46" t="str">
        <x:v>USD 1,022,588</x:v>
      </x:c>
      <x:c r="F2532" s="46" t="str"/>
      <x:c r="G2532" s="46" t="str">
        <x:v>L2021-00016-2/2. Bid announcemet_(Maternal &amp; Child Health).docx</x:v>
      </x:c>
      <x:c r="H2532" s="43" t="str">
        <x:v>문단 13</x:v>
      </x:c>
      <x:c r="I2532" s="46" t="str">
        <x:v>Estimated Budget: Approx. USD 1,022,588 (VAT excluded)</x:v>
      </x:c>
      <x:c r="J2532" s="43" t="str">
        <x:v>자동추출·검토필요</x:v>
      </x:c>
    </x:row>
    <x:row r="2533">
      <x:c r="A2533" s="43" t="str">
        <x:v>L2021-00016-1</x:v>
      </x:c>
      <x:c r="B2533" s="43" t="str">
        <x:v>부가세·예비비</x:v>
      </x:c>
      <x:c r="C2533" s="46" t="str">
        <x:v>vat, tax</x:v>
      </x:c>
      <x:c r="D2533" s="46" t="str">
        <x:v>1,325.32 m2</x:v>
      </x:c>
      <x:c r="E2533" s="46" t="str">
        <x:v>USD 1,022,588</x:v>
      </x:c>
      <x:c r="F2533" s="46" t="str">
        <x:v>2.5%</x:v>
      </x:c>
      <x:c r="G2533" s="46" t="str">
        <x:v>L2021-00016-1/캄보디아 동북부 소외지역 모자보건 프로그램 시공업체 선정 입찰 공고문.pdf</x:v>
      </x:c>
      <x:c r="H2533" s="43" t="str">
        <x:v>페이지 1</x:v>
      </x:c>
      <x:c r="I2533" s="46" t="str">
        <x:v>NOTICE OF TENDER For Construction Work Date: 11th May, 2021 1. The Korea International Cooperation Agency (KOICA) 3. Price proposal shall be equal or less than the ‘Estimat- Cambodia Office invites prospective bidders for the Con- ed Price’ and equal or more than the ‘Minimum Price’. struction of “Project for Strengthening Maternal and Any bid exceeding the above limitation may result in Child Health in North-Eastern Region, Cambodia”. rejection of its bid. 2. The Project is to be constructed with the grant aid of the - ‘Estimated Price’ will be announced at the Bid Opening Government of Republic of Korea by a random draw and ‘Minimum Price’ will be deter- mined based on the announced ‘Estimated Price’. Brief of Bidding - Details of Selection of the Successful Bidder, Eligibil- - Bid Title: Project for Strengthening Maternal and ity Evaluation, Determination of ‘Estimated Price’ and Child Health in North-Eastern Region, Cambodia. ‘Minimum Price’ will be explained during the Pre-Bid - Contract Duration: 13 months from the effective(con- Meeting. tract) date 4. Price proposal by bidders and final contract price shall - Estimated Budget: Approx. USD 1,022,588 (VAT ex- be exclusive of </x:v>
      </x:c>
      <x:c r="J2533" s="43" t="str">
        <x:v>자동추출·검토필요</x:v>
      </x:c>
    </x:row>
    <x:row r="2534">
      <x:c r="A2534" s="43" t="str">
        <x:v>L2021-00015-1</x:v>
      </x:c>
      <x:c r="B2534" s="43" t="str">
        <x:v>부가세·예비비</x:v>
      </x:c>
      <x:c r="C2534" s="46" t="str">
        <x:v>vat</x:v>
      </x:c>
      <x:c r="D2534" s="46" t="str"/>
      <x:c r="E2534" s="46" t="str">
        <x:v>USD 2,746,477</x:v>
      </x:c>
      <x:c r="F2534" s="46" t="str"/>
      <x:c r="G2534" s="46" t="str">
        <x:v>L2021-00015-1/1-2 (REV.2_영문본) 입찰공고(인큐베이팅 센터_영문)_최종버젼.docx</x:v>
      </x:c>
      <x:c r="H2534" s="43" t="str">
        <x:v>문단 14</x:v>
      </x:c>
      <x:c r="I2534" s="46" t="str">
        <x:v>Estimated Budget: Approx. USD 2,746,477 (VAT excluded)</x:v>
      </x:c>
      <x:c r="J2534" s="43" t="str">
        <x:v>자동추출·검토필요</x:v>
      </x:c>
    </x:row>
    <x:row r="2535">
      <x:c r="A2535" s="43" t="str">
        <x:v>L2021-00014-1</x:v>
      </x:c>
      <x:c r="B2535" s="43" t="str">
        <x:v>부가세·예비비</x:v>
      </x:c>
      <x:c r="C2535" s="46" t="str">
        <x:v>부가가치세, vat</x:v>
      </x:c>
      <x:c r="D2535" s="46" t="str"/>
      <x:c r="E2535" s="46" t="str">
        <x:v>USD 95,200</x:v>
      </x:c>
      <x:c r="F2535" s="46" t="str"/>
      <x:c r="G2535" s="46" t="str">
        <x:v>L2021-00014-1/붙임1. 210209_기술+가격_PhilMech_설계업체 선정 입찰계획(안)_본부의견반영_Rev.02.doc</x:v>
      </x:c>
      <x:c r="H2535" s="43" t="str">
        <x:v>문단 10</x:v>
      </x:c>
      <x:c r="I2535" s="46" t="str">
        <x:v>입찰개요 2.1 입 찰 명: 필리핀 농기계현대화센터 구축 및 역량강화 사업 건축 설계업체 선정 2.2 입찰내용 건축설계업체 선정 참가대상은 국적에 상관없이 필리핀 건축설계 면허 취득업체를 대상으로 상기 용역을 수행하기에 적법한 자격의 업체를 선정토록 함. 입찰일정은 2021년 7월까지 업체 선정과 계약완료를 목표로 함. 2.3 입찰예산 가. 집행한도액: USD 95,200(V.A.T 포함) 나. 입찰가 구분 내용 금액(US$) 비고 집행한도액 설계 용역 95,200 공개 예정가격 집행한도액 95,200 공개 1) 집행한도액 기준으로 입찰공고 함. 2) 집행한도액을 초과하여 투찰한 경우, 협상적격자 제외. 3) 부가가치세 포함 금액. * 부가가치세 환급 시, KOICA에 반납 조건 * 부가가치세와 관련하여 KOICA는 동 입찰 및 계약에 대해 발생하는 VAT포함 그 어떠한 세금과 관련한 아무런 권한이나 책임이 없으며, 주재국의 법규에 따라 세금징수 및 환급과 관련한 책임기관은 PhilMech임.</x:v>
      </x:c>
      <x:c r="J2535" s="43" t="str">
        <x:v>자동추출·검토필요</x:v>
      </x:c>
    </x:row>
    <x:row r="2536">
      <x:c r="A2536" s="43" t="str">
        <x:v>L2021-00014-1</x:v>
      </x:c>
      <x:c r="B2536" s="43" t="str">
        <x:v>부가세·예비비</x:v>
      </x:c>
      <x:c r="C2536" s="46" t="str">
        <x:v>부가가치세, vat</x:v>
      </x:c>
      <x:c r="D2536" s="46" t="str"/>
      <x:c r="E2536" s="46" t="str"/>
      <x:c r="F2536" s="46" t="str">
        <x:v>50%</x:v>
      </x:c>
      <x:c r="G2536" s="46" t="str">
        <x:v>L2021-00014-1/붙임1. 210209_기술+가격_PhilMech_설계업체 선정 입찰계획(안)_본부의견반영_Rev.02.doc</x:v>
      </x:c>
      <x:c r="H2536" s="43" t="str">
        <x:v>문단 330</x:v>
      </x:c>
      <x:c r="I2536" s="46" t="str">
        <x:v>(조달1팀) 협상에 의한 계약체결 지침 개정으로 입찰가격이 예정가격을 초과한 업체는 협상적격자에서 제외됩니다. (개정전에는 기술협상단계에서 예정가격 이내로 가격협상이 가능하였으나 개정후 협상적격자에서 제외) 따라서 본부입찰에서는 협상에 의한 계약 방식의 경우 복수예가가 아닌 비예가 방식으로 진행하고 있습니다. 검토후 예정가격 산정방식을 입찰공고에 명시하시기 바랍니다. (조달1팀) 부가세 관련 안내 문구 추가 “부가가치세와 관련하여 KOICA는 동 입찰 및 계약에 대해 발생하는 VAT 포함 그 어떠한 세금과 관련해서도 아무런 권한이나 책임이 없으며, 주재국의 법규에 따라 세금징수 및 환급과 관련한 책임기관은 OOO이다.” (기술평가팀) 현지 상주 PM, CM 또는 사업 담당자(개발협력코디 등)의 경우 기술평가위원으로의 참석을 지양함. 사업을 진행하면서 특정 업체들과의 이해관계가 발생할 가능성이 농후하므로 가급적 기타 외부 위원을 섭외할 것을 권고함 (조달1팀) 국제용역입찰유의서 제8조 참조/ 공동수급체 대표자의 용역수행범위는 50%이상 이어야 합니다. (조달1팀) 상기 메모 참조. 해당문구 삭제 (기술평가팀) 본부의 경우 코로나로 인해 입찰설명회(소집)을 미실시하고 온라인 질의응답으로 대체 하고 있음. (기술평가팀) 실제 기술평가(정성평가)는 소집일 경우 1일 이내로 실시함. 평가위원들이 소집한 이후 제안서를 전달하여 평가를 실시하게 하고 평가 종료 후에는 반드시 모두 회수 필요</x:v>
      </x:c>
      <x:c r="J2536" s="43" t="str">
        <x:v>자동추출·검토필요</x:v>
      </x:c>
    </x:row>
    <x:row r="2537">
      <x:c r="A2537" s="43" t="str">
        <x:v>L2021-00014-1</x:v>
      </x:c>
      <x:c r="B2537" s="43" t="str">
        <x:v>부가세·예비비</x:v>
      </x:c>
      <x:c r="C2537" s="46" t="str">
        <x:v>vat</x:v>
      </x:c>
      <x:c r="D2537" s="46" t="str">
        <x:v>1,500 m2 | 500 m2</x:v>
      </x:c>
      <x:c r="E2537" s="46" t="str"/>
      <x:c r="F2537" s="46" t="str"/>
      <x:c r="G2537" s="46" t="str">
        <x:v>L2021-00014-1/붙임2. 입찰부속서류_03.30/01_Chapter 1. Invitation for Bids_Rev00.docx</x:v>
      </x:c>
      <x:c r="H2537" s="43" t="str">
        <x:v>표 2 행 5</x:v>
      </x:c>
      <x:c r="I2537" s="46" t="str">
        <x:v>- Formation | Workshop 1,500 m2 + Office &amp; Lavatory 500 m2</x:v>
      </x:c>
      <x:c r="J2537" s="43" t="str">
        <x:v>자동추출·검토필요</x:v>
      </x:c>
    </x:row>
    <x:row r="2538">
      <x:c r="A2538" s="43" t="str">
        <x:v>L2021-00014-1</x:v>
      </x:c>
      <x:c r="B2538" s="43" t="str">
        <x:v>부가세·예비비</x:v>
      </x:c>
      <x:c r="C2538" s="46" t="str">
        <x:v>vat, tax</x:v>
      </x:c>
      <x:c r="D2538" s="46" t="str"/>
      <x:c r="E2538" s="46" t="str">
        <x:v>92,500 USD</x:v>
      </x:c>
      <x:c r="F2538" s="46" t="str"/>
      <x:c r="G2538" s="46" t="str">
        <x:v>L2021-00014-1/붙임2. 입찰부속서류_03.30/01_Chapter 1. Invitation for Bids_Rev00.docx</x:v>
      </x:c>
      <x:c r="H2538" s="43" t="str">
        <x:v>표 2 행 7</x:v>
      </x:c>
      <x:c r="I2538" s="46" t="str">
        <x:v>․Estimated Price | 92,500 USD(VAT Included) - KOICA is not responsible or liable for any taxes, including VAT incurred in the bidding and contracting.</x:v>
      </x:c>
      <x:c r="J2538" s="43" t="str">
        <x:v>자동추출·검토필요</x:v>
      </x:c>
    </x:row>
    <x:row r="2539">
      <x:c r="A2539" s="43" t="str">
        <x:v>L2021-00014-1</x:v>
      </x:c>
      <x:c r="B2539" s="43" t="str">
        <x:v>부가세·예비비</x:v>
      </x:c>
      <x:c r="C2539" s="46" t="str">
        <x:v>vat</x:v>
      </x:c>
      <x:c r="D2539" s="46" t="str">
        <x:v>1,500 m2 | 500 m2</x:v>
      </x:c>
      <x:c r="E2539" s="46" t="str"/>
      <x:c r="F2539" s="46" t="str"/>
      <x:c r="G2539" s="46" t="str">
        <x:v>L2021-00014-1/붙임2. 입찰부속서류_03.30/Addendum 1. Scope of Works.docx</x:v>
      </x:c>
      <x:c r="H2539" s="43" t="str">
        <x:v>문단 14</x:v>
      </x:c>
      <x:c r="I2539" s="46" t="str">
        <x:v>- 1,500 m2 Workshop + 500 m2 Office &amp; Lavatory</x:v>
      </x:c>
      <x:c r="J2539" s="43" t="str">
        <x:v>자동추출·검토필요</x:v>
      </x:c>
    </x:row>
    <x:row r="2540">
      <x:c r="A2540" s="43" t="str">
        <x:v>L2021-00014-1</x:v>
      </x:c>
      <x:c r="B2540" s="43" t="str">
        <x:v>부가세·예비비</x:v>
      </x:c>
      <x:c r="C2540" s="46" t="str">
        <x:v>vat</x:v>
      </x:c>
      <x:c r="D2540" s="46" t="str"/>
      <x:c r="E2540" s="46" t="str"/>
      <x:c r="F2540" s="46" t="str">
        <x:v>1% | 2% | 3% | 4% | 5% | 6% | 7% | 8%</x:v>
      </x:c>
      <x:c r="G2540" s="46" t="str">
        <x:v>L2021-00014-1/붙임3. quotation for newspaper advertisement/Manila Bulletin.pdf</x:v>
      </x:c>
      <x:c r="H2540" s="43" t="str">
        <x:v>페이지 1</x:v>
      </x:c>
      <x:c r="I2540" s="46" t="str">
        <x:v>IMPORTANT Classified Ads MAIN OFFICE 1. ORIGINAL Print-out of quoted AD Material (2 days before 1st day of publication) Fax.: 5277534 Tel : 5278121 loc. 303/ 5277523 Muralla cor. Recoletos St. Intramuros Manila mainclassified@gmail.com CLASSIFIED BOX Ad Quotation 2. This QUOTATION advice which is valid for 7 days from date of issuance Attention: Company Name: Tel/Fax No. From: 5 Satff 5 (02) xxx-xxxx 3. Softcopy of Material saved on Flash Drive or on CD (pls use your COMPANY NAME as filename) SIZE (Col.Cm) Publication Day 5 x 36 WEEKDAY Pls bring the following: ( 16.36 cm X 36 cm ) 4. Payment (Cash or Check Payable to Manila Bulletin Publishing Corp.) TOTAL Publication Cost 1% Breakdown of Charges Amount 2% Ad Cost 60,120.00 3% Pls bring the following: Production 0.00 67,334.40 4% Color Charge FALSE 0.00 5. Notarized Sworn Statement for PUBLIC / LEGAL Notices ad (e.g. No Longer Connected. etc) (inclusive of VAT) 5% Mailing Fee FALSE 0.00 6% Position FALSE 0.00 7% Affidavit FALSE 0.00 Pls Sign 8% WEB Fee FALSE 0.00 #### 9% IMPORTANT ## VAT 7,214.40 # 210330163932 10 % 0 Tue 03.30.2021 16:39 ADVERTISER'S SIGNATURE 11 12% % FALSE 13 % 14 % 15 % other sizes: 16 % 17 % ## 80% Ad Size Co</x:v>
      </x:c>
      <x:c r="J2540" s="43" t="str">
        <x:v>자동추출·검토필요</x:v>
      </x:c>
    </x:row>
    <x:row r="2541">
      <x:c r="A2541" s="43" t="str">
        <x:v>L2021-00014-1</x:v>
      </x:c>
      <x:c r="B2541" s="43" t="str">
        <x:v>부가세·예비비</x:v>
      </x:c>
      <x:c r="C2541" s="46" t="str">
        <x:v>vat</x:v>
      </x:c>
      <x:c r="D2541" s="46" t="str"/>
      <x:c r="E2541" s="46" t="str"/>
      <x:c r="F2541" s="46" t="str">
        <x:v>12 % | 12%</x:v>
      </x:c>
      <x:c r="G2541" s="46" t="str">
        <x:v>L2021-00014-1/붙임3. quotation for newspaper advertisement/Philippine Star.pdf</x:v>
      </x:c>
      <x:c r="H2541" s="43" t="str">
        <x:v>페이지 1</x:v>
      </x:c>
      <x:c r="I2541" s="46" t="str">
        <x:v>March 30, 2021 MS. LENY AMPARO KOREA INTERNATIONAL COOPERATION AGENCY (KOICA) Dear Ms. Amparo: As per your request, we are sending you the quotation for your ad placements. Please refer to the item below for the computation of your ad size: CLASSIFIED RATE Php 220.00/ col.cm. + 12 %EVAT Box ad size 6 cols. x 30 cms. (19.72 cms. x 30 cms.) Cost Php 39,600.00 + 12% EVAT Total Cost per day Php 44,352.00  Deadline for reservation is at 12:00 noon, a day before publication For your other queries, please call us and look for Justin at telephone numbers: 8527-2396 / 8527-7777 loc. 139 or fax no: 527-2385 or email us at classifinder@philstarmedia.com. Should you wish to pay via bank, you can make an interbranch deposit with: Metrobank Land Bank BDO Account Name PHILSTAR DAILY INC. PHILSTAR DAILY INC. PHILSTAR DAILY INC. Account Number 151-30-4162363-2 0011-2597-07 00258-801-2541 Please fax your deposit slip at 8527-2385 after you made the deposit and confirm it with us. For your reference, here is our TIN Number, 000-805-207-000. Sincerely, ARLYN F. SERVAÑEZ Manager</x:v>
      </x:c>
      <x:c r="J2541" s="43" t="str">
        <x:v>자동추출·검토필요</x:v>
      </x:c>
    </x:row>
    <x:row r="2542">
      <x:c r="A2542" s="43" t="str">
        <x:v>L2021-00013-1</x:v>
      </x:c>
      <x:c r="B2542" s="43" t="str">
        <x:v>부가세·예비비</x:v>
      </x:c>
      <x:c r="C2542" s="46" t="str">
        <x:v>vat</x:v>
      </x:c>
      <x:c r="D2542" s="46" t="str"/>
      <x:c r="E2542" s="46" t="str">
        <x:v>264,350 USD | 150,180 USD | 114,170 USD</x:v>
      </x:c>
      <x:c r="F2542" s="46" t="str"/>
      <x:c r="G2542" s="46" t="str">
        <x:v>L2021-00013-1/첨부1. 설계 및 감리사 선정 국문입찰계획(안)(1).hwp</x:v>
      </x:c>
      <x:c r="H2542" s="43" t="str">
        <x:v>문단 48</x:v>
      </x:c>
      <x:c r="I2542" s="46" t="str">
        <x:v>1.2. - 집행한도액 : 264,350 USD (설계- 150,180USD/감리- 114,170USD)/VAT제외</x:v>
      </x:c>
      <x:c r="J2542" s="43" t="str">
        <x:v>자동추출·검토필요</x:v>
      </x:c>
    </x:row>
    <x:row r="2543">
      <x:c r="A2543" s="43" t="str">
        <x:v>L2021-00013-1</x:v>
      </x:c>
      <x:c r="B2543" s="43" t="str">
        <x:v>부가세·예비비</x:v>
      </x:c>
      <x:c r="C2543" s="46" t="str">
        <x:v>vat</x:v>
      </x:c>
      <x:c r="D2543" s="46" t="str"/>
      <x:c r="E2543" s="46" t="str">
        <x:v>257,741 USD</x:v>
      </x:c>
      <x:c r="F2543" s="46" t="str">
        <x:v>97.5%</x:v>
      </x:c>
      <x:c r="G2543" s="46" t="str">
        <x:v>L2021-00013-1/첨부1. 설계 및 감리사 선정 국문입찰계획(안)(1).hwp</x:v>
      </x:c>
      <x:c r="H2543" s="43" t="str">
        <x:v>문단 50</x:v>
      </x:c>
      <x:c r="I2543" s="46" t="str">
        <x:v>- 기초금액 : 257,741 USD (집행한도액의 97.5%)/ VAT제외</x:v>
      </x:c>
      <x:c r="J2543" s="43" t="str">
        <x:v>자동추출·검토필요</x:v>
      </x:c>
    </x:row>
    <x:row r="2544">
      <x:c r="A2544" s="43" t="str">
        <x:v>L2021-00013-1</x:v>
      </x:c>
      <x:c r="B2544" s="43" t="str">
        <x:v>부가세·예비비</x:v>
      </x:c>
      <x:c r="C2544" s="46" t="str">
        <x:v>vat</x:v>
      </x:c>
      <x:c r="D2544" s="46" t="str"/>
      <x:c r="E2544" s="46" t="str">
        <x:v>USD 257,741</x:v>
      </x:c>
      <x:c r="F2544" s="46" t="str"/>
      <x:c r="G2544" s="46" t="str">
        <x:v>L2021-00013-1/첨부2. 설계 및 감리사 선정 영문 RFP(1).docx</x:v>
      </x:c>
      <x:c r="H2544" s="43" t="str">
        <x:v>문단 19</x:v>
      </x:c>
      <x:c r="I2544" s="46" t="str">
        <x:v>2.3. - PROJECT BUDGET [ESTIMATED AMOUNT] : USD 257,741 (Exclude VAT)</x:v>
      </x:c>
      <x:c r="J2544" s="43" t="str">
        <x:v>자동추출·검토필요</x:v>
      </x:c>
    </x:row>
    <x:row r="2545">
      <x:c r="A2545" s="43" t="str">
        <x:v>L2021-00013-1</x:v>
      </x:c>
      <x:c r="B2545" s="43" t="str">
        <x:v>부가세·예비비</x:v>
      </x:c>
      <x:c r="C2545" s="46" t="str">
        <x:v>vat</x:v>
      </x:c>
      <x:c r="D2545" s="46" t="str"/>
      <x:c r="E2545" s="46" t="str">
        <x:v>USD 257,741</x:v>
      </x:c>
      <x:c r="F2545" s="46" t="str"/>
      <x:c r="G2545" s="46" t="str">
        <x:v>L2021-00013-1/첨부2. 설계 및 감리사 선정 영문 RFP(1).docx</x:v>
      </x:c>
      <x:c r="H2545" s="43" t="str">
        <x:v>표 5 행 3</x:v>
      </x:c>
      <x:c r="I2545" s="46" t="str">
        <x:v>PROJECT BUDGET | USD 257,741 | DESIGN+SUPERVISION /VAT Excluded</x:v>
      </x:c>
      <x:c r="J2545" s="43" t="str">
        <x:v>자동추출·검토필요</x:v>
      </x:c>
    </x:row>
    <x:row r="2546">
      <x:c r="A2546" s="43" t="str">
        <x:v>L2021-00012-1</x:v>
      </x:c>
      <x:c r="B2546" s="43" t="str">
        <x:v>부가세·예비비</x:v>
      </x:c>
      <x:c r="C2546" s="46" t="str">
        <x:v>vat</x:v>
      </x:c>
      <x:c r="D2546" s="46" t="str"/>
      <x:c r="E2546" s="46" t="str">
        <x:v>PKR 32,400,000 1</x:v>
      </x:c>
      <x:c r="F2546" s="46" t="str"/>
      <x:c r="G2546" s="46" t="str">
        <x:v>L2021-00012-1/Bid Documents for Distribution_PKNC final/Attachment 3. Form of Technical Proposal_0429.doc</x:v>
      </x:c>
      <x:c r="H2546" s="43" t="str">
        <x:v>문단 12</x:v>
      </x:c>
      <x:c r="I2546" s="46" t="str">
        <x:v>2. Project Performance (6 points) 2.1. Project of Design and Construction Supervision completed over the last three (3) fiscal years (FY July 2017 ~ FY June 2020) ■ Ratio of the sum of the actual amount of the completed similar projects in Design and Construction Supervision within last three (3) fiscal years (FY July 2017 ~ FY June 2020), along with each completion certificate to PKR 32,400,000 1 Name of Project: Project Employer: Contract Amount: PKR Location: 2 Name of Project: Project Employer: Contract Amount: PKR Location: 3 Name of Project: Project Employer: Contract Amount: PKR Location: 4 Name of Project: Project Employer: Contract Amount: PKR Location: 5 Name of Project: Project Employer: Contract Amount: PKR Location: 6 Name of Project: Project Employer: Contract Amount: PKR Location: ■ In case of the government or public project, the project performance should be accompanied with the official completion certificate provided by the project owner (or the project employer). The project performance without completion certificates will be excluded from the evaluation. ■ In case of the private project, the project performance should be accompanied with the contract of the pro</x:v>
      </x:c>
      <x:c r="J2546" s="43" t="str">
        <x:v>자동추출·검토필요</x:v>
      </x:c>
    </x:row>
    <x:row r="2547">
      <x:c r="A2547" s="43" t="str">
        <x:v>L2021-00012-1</x:v>
      </x:c>
      <x:c r="B2547" s="43" t="str">
        <x:v>부가세·예비비</x:v>
      </x:c>
      <x:c r="C2547" s="46" t="str">
        <x:v>tax</x:v>
      </x:c>
      <x:c r="D2547" s="46" t="str"/>
      <x:c r="E2547" s="46" t="str">
        <x:v>PKR 32,452,320 | PKR 20,282,720 | PKR 12,169,600</x:v>
      </x:c>
      <x:c r="F2547" s="46" t="str"/>
      <x:c r="G2547" s="46" t="str">
        <x:v>L2021-00012-1/Bid Documents for Distribution_PKNC final/Chapter 1. Invitation for Bids_0429.docx</x:v>
      </x:c>
      <x:c r="H2547" s="43" t="str">
        <x:v>표 1 행 4</x:v>
      </x:c>
      <x:c r="I2547" s="46" t="str">
        <x:v>• Project Budget | ∙PKR 32,452,320 (including GST) ∙ Any Bid exceeding the Project Budget will result in rejection of its bid. - Design: PKR 20,282,720 / Construction Supervision: PKR 12,169,600 ※If the Employer provides the Consultant with the tax exemption related to the Contract, the Employer will not be responsible for paying the exempt tax. If the Employer fails to provide the Consultant with the tax exemption, the Employer will pay the applicable taxes to the Consultant. ※KOICA has no authority or responsibility for any tax, including GST, incurred by such a bid and contract. The Federal Board of Revenue (FBR) is responsible for the taxation and tax exemption in accordance with the relevant laws and regulations of Pakistan.</x:v>
      </x:c>
      <x:c r="J2547" s="43" t="str">
        <x:v>자동추출·검토필요</x:v>
      </x:c>
    </x:row>
    <x:row r="2548">
      <x:c r="A2548" s="43" t="str">
        <x:v>L2021-00012-1</x:v>
      </x:c>
      <x:c r="B2548" s="43" t="str">
        <x:v>부가세·예비비</x:v>
      </x:c>
      <x:c r="C2548" s="46" t="str">
        <x:v>tax</x:v>
      </x:c>
      <x:c r="D2548" s="46" t="str"/>
      <x:c r="E2548" s="46" t="str">
        <x:v>PKR 32,452,320 | PKR 20,282,720 | PKR 12,169,600</x:v>
      </x:c>
      <x:c r="F2548" s="46" t="str"/>
      <x:c r="G2548" s="46" t="str">
        <x:v>L2021-00012-1/Bid Documents for Distribution_PKNC final/Chapter 2. Bid Data Sheet_0429.docx</x:v>
      </x:c>
      <x:c r="H2548" s="43" t="str">
        <x:v>표 1 행 4</x:v>
      </x:c>
      <x:c r="I2548" s="46" t="str">
        <x:v>• Project Budget | ∙PKR 32,452,320(including GST) ∙Any Bid exceeding the project budget will result in rejection of its bid. - Design: PKR 20,282,720 / Construction Supervision: PKR 12,169,600 ※If the Employer provides the Consultant with the tax exemption related to the Contract, the Employer will not be responsible for paying the exempt tax. If the Employer fails to provide the Consultant with the tax exemption, the Employer will pay the applicable taxes to the Consultant. ※KOICA has no authority or responsibility for any tax, including GST, incurred by such a bid and contract. The Federal Board of Revenue (FBR) is responsible for the taxation and tax exemption in accordance with the relevant laws and regulations of Pakistan.</x:v>
      </x:c>
      <x:c r="J2548" s="43" t="str">
        <x:v>자동추출·검토필요</x:v>
      </x:c>
    </x:row>
    <x:row r="2549">
      <x:c r="A2549" s="43" t="str">
        <x:v>L2021-00012-1</x:v>
      </x:c>
      <x:c r="B2549" s="43" t="str">
        <x:v>부가세·예비비</x:v>
      </x:c>
      <x:c r="C2549" s="46" t="str">
        <x:v>vat</x:v>
      </x:c>
      <x:c r="D2549" s="46" t="str">
        <x:v>3,047 ㎡</x:v>
      </x:c>
      <x:c r="E2549" s="46" t="str"/>
      <x:c r="F2549" s="46" t="str"/>
      <x:c r="G2549" s="46" t="str">
        <x:v>L2021-00012-1/Bid Documents for Distribution_PKNC final/Chapter 6. Terms of Reference for Consultant Services_0429.doc</x:v>
      </x:c>
      <x:c r="H2549" s="43" t="str">
        <x:v>문단 12</x:v>
      </x:c>
      <x:c r="I2549" s="46" t="str">
        <x:v>Existing structures and buildings within the site &amp; in the vicinity of the site Site boundaries Existing underground and over ground services : water, gas, electricity, drainage telephone and others Roads in the vicinity of the site, their size, existing elevation and conditions and planned elevations Setbacks approved by the local and related authority Contour lines with an interval of every 2 feet height contour or less. Status of all adjacent lands and their elevations related to the site Photographs B. Soil test report, analysis and evaluation of the soil condition and recommended type of foundation according to the international codes or the Pakistan codes. 5.1.2 The assignment consists of Design Service for the construction of the project mentioned below: 1 Project Title Design and Construction Supervision Consultant Services for Establishment of PAK-Korea Nutrition Center (PKNC) to improve child and community nutrition 2 Location of the Site Near CAS, University of Agriculture, Faisalabad (UAF) Pakistan. 3 Total Floor Area - Three (3)-storey Building - Total floor area: 3,047㎡(Square Meter)</x:v>
      </x:c>
      <x:c r="J2549" s="43" t="str">
        <x:v>자동추출·검토필요</x:v>
      </x:c>
    </x:row>
    <x:row r="2550">
      <x:c r="A2550" s="43" t="str">
        <x:v>L2021-00011-1</x:v>
      </x:c>
      <x:c r="B2550" s="43" t="str">
        <x:v>부가세·예비비</x:v>
      </x:c>
      <x:c r="C2550" s="46" t="str">
        <x:v>vat</x:v>
      </x:c>
      <x:c r="D2550" s="46" t="str"/>
      <x:c r="E2550" s="46" t="str">
        <x:v>USD 84,340</x:v>
      </x:c>
      <x:c r="F2550" s="46" t="str">
        <x:v>18%</x:v>
      </x:c>
      <x:c r="G2550" s="46" t="str">
        <x:v>L2021-00011-1/국문_입찰계획서.hwp</x:v>
      </x:c>
      <x:c r="H2550" s="43" t="str">
        <x:v>문단 29</x:v>
      </x:c>
      <x:c r="I2550" s="46" t="str">
        <x:v>라. 입찰 한도액 : USD 84,340 (VAT 18% 포함)</x:v>
      </x:c>
      <x:c r="J2550" s="43" t="str">
        <x:v>자동추출·검토필요</x:v>
      </x:c>
    </x:row>
    <x:row r="2551">
      <x:c r="A2551" s="43" t="str">
        <x:v>L2021-00011-1</x:v>
      </x:c>
      <x:c r="B2551" s="43" t="str">
        <x:v>부가세·예비비</x:v>
      </x:c>
      <x:c r="C2551" s="46" t="str">
        <x:v>vat</x:v>
      </x:c>
      <x:c r="D2551" s="46" t="str"/>
      <x:c r="E2551" s="46" t="str"/>
      <x:c r="F2551" s="46" t="str">
        <x:v>7%</x:v>
      </x:c>
      <x:c r="G2551" s="46" t="str">
        <x:v>L2021-00011-1/국문_입찰계획서.hwp</x:v>
      </x:c>
      <x:c r="H2551" s="43" t="str">
        <x:v>문단 30</x:v>
      </x:c>
      <x:c r="I2551" s="46" t="str">
        <x:v>ㅇ 가격산정 방법 : 예상 공사비의 7%의 설계비율 및 VAT, 지질조사, 측량비를 포함하여 한도액 설정</x:v>
      </x:c>
      <x:c r="J2551" s="43" t="str">
        <x:v>자동추출·검토필요</x:v>
      </x:c>
    </x:row>
    <x:row r="2552">
      <x:c r="A2552" s="43" t="str">
        <x:v>L2021-00011-1</x:v>
      </x:c>
      <x:c r="B2552" s="43" t="str">
        <x:v>부가세·예비비</x:v>
      </x:c>
      <x:c r="C2552" s="46" t="str">
        <x:v>vat</x:v>
      </x:c>
      <x:c r="D2552" s="46" t="str"/>
      <x:c r="E2552" s="46" t="str">
        <x:v>USD 84,340</x:v>
      </x:c>
      <x:c r="F2552" s="46" t="str">
        <x:v>18%</x:v>
      </x:c>
      <x:c r="G2552" s="46" t="str">
        <x:v>L2021-00011-1/영문 서류 일체/Dominica San Juan_0.0_Bidding Guideline(ENG)_2021 0412.docx</x:v>
      </x:c>
      <x:c r="H2552" s="43" t="str">
        <x:v>문단 58</x:v>
      </x:c>
      <x:c r="I2552" s="46" t="str">
        <x:v>Maximum Bidding Price : USD 84,340 (VAT 18% included)</x:v>
      </x:c>
      <x:c r="J2552" s="43" t="str">
        <x:v>자동추출·검토필요</x:v>
      </x:c>
    </x:row>
    <x:row r="2553">
      <x:c r="A2553" s="43" t="str">
        <x:v>L2021-00011-1</x:v>
      </x:c>
      <x:c r="B2553" s="43" t="str">
        <x:v>부가세·예비비</x:v>
      </x:c>
      <x:c r="C2553" s="46" t="str">
        <x:v>vat</x:v>
      </x:c>
      <x:c r="D2553" s="46" t="str"/>
      <x:c r="E2553" s="46" t="str"/>
      <x:c r="F2553" s="46" t="str">
        <x:v>7%</x:v>
      </x:c>
      <x:c r="G2553" s="46" t="str">
        <x:v>L2021-00011-1/영문 서류 일체/Dominica San Juan_0.0_Bidding Guideline(ENG)_2021 0412.docx</x:v>
      </x:c>
      <x:c r="H2553" s="43" t="str">
        <x:v>문단 59</x:v>
      </x:c>
      <x:c r="I2553" s="46" t="str">
        <x:v>7% of estimated construction cost and limit set including VAT, Boundary &amp; Topographic Survey, Geotechnical Study fee</x:v>
      </x:c>
      <x:c r="J2553" s="43" t="str">
        <x:v>자동추출·검토필요</x:v>
      </x:c>
    </x:row>
    <x:row r="2554">
      <x:c r="A2554" s="43" t="str">
        <x:v>L2021-00011-1</x:v>
      </x:c>
      <x:c r="B2554" s="43" t="str">
        <x:v>부가세·예비비</x:v>
      </x:c>
      <x:c r="C2554" s="46" t="str">
        <x:v>vat</x:v>
      </x:c>
      <x:c r="D2554" s="46" t="str"/>
      <x:c r="E2554" s="46" t="str">
        <x:v>USD 84,340</x:v>
      </x:c>
      <x:c r="F2554" s="46" t="str">
        <x:v>18%</x:v>
      </x:c>
      <x:c r="G2554" s="46" t="str">
        <x:v>L2021-00011-1/영문 서류 일체/Dominica San Juan_1.0 IFB_2021 0412.docx</x:v>
      </x:c>
      <x:c r="H2554" s="43" t="str">
        <x:v>문단 55</x:v>
      </x:c>
      <x:c r="I2554" s="46" t="str">
        <x:v>Maximum Bidding Price: USD 84,340 (VAT 18% included)</x:v>
      </x:c>
      <x:c r="J2554" s="43" t="str">
        <x:v>자동추출·검토필요</x:v>
      </x:c>
    </x:row>
    <x:row r="2555">
      <x:c r="A2555" s="43" t="str">
        <x:v>L2021-00011-1</x:v>
      </x:c>
      <x:c r="B2555" s="43" t="str">
        <x:v>부가세·예비비</x:v>
      </x:c>
      <x:c r="C2555" s="46" t="str">
        <x:v>tax</x:v>
      </x:c>
      <x:c r="D2555" s="46" t="str"/>
      <x:c r="E2555" s="46" t="str"/>
      <x:c r="F2555" s="46" t="str">
        <x:v>0.5%</x:v>
      </x:c>
      <x:c r="G2555" s="46" t="str">
        <x:v>L2021-00011-1/영문 서류 일체/Dominica San Juan_4.0 Terms of Reference_2021 0412.docx</x:v>
      </x:c>
      <x:c r="H2555" s="43" t="str">
        <x:v>문단 114</x:v>
      </x:c>
      <x:c r="I2555" s="46" t="str">
        <x:v>BOQ(Bill of Quantity) shall be provided in an itemized format by each applicable specification section including estimated quantities, unit prices for materials, labor, and equipment, sub-total and total costs including any taxes, and/or other costs such as safety management cost related to delivery and installation. Safety management cost shall be no less than 0.5% of Total Construction Cost.</x:v>
      </x:c>
      <x:c r="J2555" s="43" t="str">
        <x:v>자동추출·검토필요</x:v>
      </x:c>
    </x:row>
    <x:row r="2556">
      <x:c r="A2556" s="43" t="str">
        <x:v>L2021-00005-1</x:v>
      </x:c>
      <x:c r="B2556" s="43" t="str">
        <x:v>부가세·예비비</x:v>
      </x:c>
      <x:c r="C2556" s="46" t="str">
        <x:v>vat</x:v>
      </x:c>
      <x:c r="D2556" s="46" t="str"/>
      <x:c r="E2556" s="46" t="str">
        <x:v>USD 190,000</x:v>
      </x:c>
      <x:c r="F2556" s="46" t="str"/>
      <x:c r="G2556" s="46" t="str">
        <x:v>L2021-00005-1/붙임1. 입찰 계획서(국문)_20210201.hwp</x:v>
      </x:c>
      <x:c r="H2556" s="43" t="str">
        <x:v>문단 28</x:v>
      </x:c>
      <x:c r="I2556" s="46" t="str">
        <x:v>라. 입찰 한도액 : USD 190,000 (VAT 포함)</x:v>
      </x:c>
      <x:c r="J2556" s="43" t="str">
        <x:v>자동추출·검토필요</x:v>
      </x:c>
    </x:row>
    <x:row r="2557">
      <x:c r="A2557" s="43" t="str">
        <x:v>L2021-00005-1</x:v>
      </x:c>
      <x:c r="B2557" s="43" t="str">
        <x:v>부가세·예비비</x:v>
      </x:c>
      <x:c r="C2557" s="46" t="str">
        <x:v>vat</x:v>
      </x:c>
      <x:c r="D2557" s="46" t="str"/>
      <x:c r="E2557" s="46" t="str">
        <x:v>USD 190,000</x:v>
      </x:c>
      <x:c r="F2557" s="46" t="str"/>
      <x:c r="G2557" s="46" t="str">
        <x:v>L2021-00005-1/붙임2. 입찰 계획서(영문) 및 관련 양식/Bolivia quinoa_0.0_Bidding Guideline(ENG)_2021 0121.docx</x:v>
      </x:c>
      <x:c r="H2557" s="43" t="str">
        <x:v>문단 57</x:v>
      </x:c>
      <x:c r="I2557" s="46" t="str">
        <x:v>Maximum Bidding Price : USD 190,000(VAT included)</x:v>
      </x:c>
      <x:c r="J2557" s="43" t="str">
        <x:v>자동추출·검토필요</x:v>
      </x:c>
    </x:row>
    <x:row r="2558">
      <x:c r="A2558" s="43" t="str">
        <x:v>L2021-00005-1</x:v>
      </x:c>
      <x:c r="B2558" s="43" t="str">
        <x:v>부가세·예비비</x:v>
      </x:c>
      <x:c r="C2558" s="46" t="str">
        <x:v>vat</x:v>
      </x:c>
      <x:c r="D2558" s="46" t="str"/>
      <x:c r="E2558" s="46" t="str">
        <x:v>USD 190,000</x:v>
      </x:c>
      <x:c r="F2558" s="46" t="str"/>
      <x:c r="G2558" s="46" t="str">
        <x:v>L2021-00005-1/붙임2. 입찰 계획서(영문) 및 관련 양식/Bolivia quinoa_1.0 IFB_2021 0121.docx</x:v>
      </x:c>
      <x:c r="H2558" s="43" t="str">
        <x:v>문단 66</x:v>
      </x:c>
      <x:c r="I2558" s="46" t="str">
        <x:v>Maximum Bidding Price: USD 190,000 (VAT included)</x:v>
      </x:c>
      <x:c r="J2558" s="43" t="str">
        <x:v>자동추출·검토필요</x:v>
      </x:c>
    </x:row>
    <x:row r="2559">
      <x:c r="A2559" s="43" t="str">
        <x:v>L2021-00005-1</x:v>
      </x:c>
      <x:c r="B2559" s="43" t="str">
        <x:v>부가세·예비비</x:v>
      </x:c>
      <x:c r="C2559" s="46" t="str">
        <x:v>tax</x:v>
      </x:c>
      <x:c r="D2559" s="46" t="str"/>
      <x:c r="E2559" s="46" t="str"/>
      <x:c r="F2559" s="46" t="str">
        <x:v>0.5%</x:v>
      </x:c>
      <x:c r="G2559" s="46" t="str">
        <x:v>L2021-00005-1/붙임2. 입찰 계획서(영문) 및 관련 양식/Bolivia quinoa_4.0 Terms of Reference_2021 0121.docx</x:v>
      </x:c>
      <x:c r="H2559" s="43" t="str">
        <x:v>문단 102</x:v>
      </x:c>
      <x:c r="I2559" s="46" t="str">
        <x:v>BOQ(Bill of Quantity) shall be provided in an itemized format by each applicable specification section including estimated quantities, unit prices for materials, labor, and equipment, sub-total and total costs including any taxes, and/or other costs such as safety management cost related to delivery and installation. Safety management cost shall be no less than 0.5% of Total Construction Cost.</x:v>
      </x:c>
      <x:c r="J2559" s="43" t="str">
        <x:v>자동추출·검토필요</x:v>
      </x:c>
    </x:row>
    <x:row r="2560">
      <x:c r="A2560" s="43" t="str">
        <x:v>L2021-00004-1</x:v>
      </x:c>
      <x:c r="B2560" s="43" t="str">
        <x:v>부가세·예비비</x:v>
      </x:c>
      <x:c r="C2560" s="46" t="str">
        <x:v>vat</x:v>
      </x:c>
      <x:c r="D2560" s="46" t="str">
        <x:v>769 M2 | 279 m2</x:v>
      </x:c>
      <x:c r="E2560" s="46" t="str">
        <x:v>USD 125,000</x:v>
      </x:c>
      <x:c r="F2560" s="46" t="str">
        <x:v>60%</x:v>
      </x:c>
      <x:c r="G2560" s="46" t="str">
        <x:v>L2021-00004-1/1. 설계 및 감리사 선정 영문 RFP.pdf</x:v>
      </x:c>
      <x:c r="H2560" s="43" t="str">
        <x:v>페이지 2</x:v>
      </x:c>
      <x:c r="I2560" s="46" t="str">
        <x:v>1. BID SUMMARY 1. SYNOPSIS Design and Construction Supervision Services of Outreach Center for BIDDING TITLE Empowering Rural Communities in Nepal through an integrated approach to Health and Income Growth Putter/Tanahun District in Province -4 and Hindi / Bhotekoshi Rural LOCATION Municipality Ward 4 (2 Places) - Putter ORC (Total Floor Area : 769M2/2 story) WORK SCALE - Hindi ORC (Total Floor Area : 279 m2/2 story) STRUCTURE Reinforced Concrete(RC) Structure 2. BIDDING TITLE : DESIGN AND CONSTRUCTION SUPERVISION SERVICES 2.1 DESIGN SERVICE 1) Architectural (including signage), Structural, Civil, Electrical, Mechanical, Sanitary, Water Supply, Communication, Firefighting and External works. 2) Survey, Drawing, Specification, BOQ, Calculation for Structure, Mechanical, Electrical and Sanitary and others, Construction Documentations and Bid Documents for the selection of Contractor. 2.2. CONSTRUCTION SUPERVISION SERVICE 2.2.1 Construction Supervision services on Site 2.3. - PROJECT BUDGET [ESTIMATED AMOUNT] : USD 125,000 (Exclude VAT) Note : The respective bid price for the Design or for the Supervision shall not exceed 60% of the total budget for bid announced by KOICA. 2.4 .CONTRA</x:v>
      </x:c>
      <x:c r="J2560" s="43" t="str">
        <x:v>자동추출·검토필요</x:v>
      </x:c>
    </x:row>
    <x:row r="2561">
      <x:c r="A2561" s="43" t="str">
        <x:v>L2021-00004-1</x:v>
      </x:c>
      <x:c r="B2561" s="43" t="str">
        <x:v>부가세·예비비</x:v>
      </x:c>
      <x:c r="C2561" s="46" t="str">
        <x:v>vat</x:v>
      </x:c>
      <x:c r="D2561" s="46" t="str"/>
      <x:c r="E2561" s="46" t="str">
        <x:v>USD 125,000</x:v>
      </x:c>
      <x:c r="F2561" s="46" t="str">
        <x:v>20% | 15% | 30% | 30% | 40% | 3% | 30% | 85%</x:v>
      </x:c>
      <x:c r="G2561" s="46" t="str">
        <x:v>L2021-00004-1/1. 설계 및 감리사 선정 영문 RFP.pdf</x:v>
      </x:c>
      <x:c r="H2561" s="43" t="str">
        <x:v>페이지 5</x:v>
      </x:c>
      <x:c r="I2561" s="46" t="str">
        <x:v>1) Duration for Design is 6 months from the Contract Date. 2) Related Authorities consent is necessary to get within the above duration. 6. SUMMARY OF CONTRACT CONDITIONS DESCRIPTION CONDITION REMARKS TYPE OF CONTRACT Fixed Lump sum PROJECT BUDGET USD 125,000 DESIGN+SUPERVISION /VAT Excluded BID SECURITY NONE Bank Guarantee ADVANCE PAYMENT 20% (Separately –Design/Supervision) ADVANCE PAYMENT BOND Bank Guarantee PERFORMANCE BOND 15% 1) Preliminary Design Phase 30% DESIGN 2) Final Design Phase 30% INTERIM PAYMENT Method 3) BID Document Phase 40% CONSTRUCTION Bimonthly (2Months) SUPERVISION ESCALATION NONE DEFECT LIABILITY BOND 3% Period : 2 Years +60 days 1.25/ 1,000 per day/ LIQUIDATE DAMAGES Max 30% of Contract Price 7. REFUND OF VAT Nepal Government will refund to the consultant, KOICA will make a process for refund of VAT from Nepal Government according to regulations. 8. SELECTION OF SUCCESSFUL BIDDER 1) Eligible bidders are selected by conducting a TECHNICAL PROPOSAL EVALUATION, a bidder who obtains over 85points out of 100 point of technical score is qualified. any technical proposal failing under 85% points will be disqualified and their PRICE PROPOSAL will be disregarded. 2)</x:v>
      </x:c>
      <x:c r="J2561" s="43" t="str">
        <x:v>자동추출·검토필요</x:v>
      </x:c>
    </x:row>
    <x:row r="2562">
      <x:c r="A2562" s="43" t="str">
        <x:v>L2021-00004-1</x:v>
      </x:c>
      <x:c r="B2562" s="43" t="str">
        <x:v>부가세·예비비</x:v>
      </x:c>
      <x:c r="C2562" s="46" t="str">
        <x:v>vat</x:v>
      </x:c>
      <x:c r="D2562" s="46" t="str"/>
      <x:c r="E2562" s="46" t="str">
        <x:v>USD 125,000</x:v>
      </x:c>
      <x:c r="F2562" s="46" t="str">
        <x:v>60%</x:v>
      </x:c>
      <x:c r="G2562" s="46" t="str">
        <x:v>L2021-00004-1/2. 입찰공고.docx</x:v>
      </x:c>
      <x:c r="H2562" s="43" t="str">
        <x:v>문단 13</x:v>
      </x:c>
      <x:c r="I2562" s="46" t="str">
        <x:v>1.5 Estimated Price: USD 125,000 (VAT excluded) Bidder’s proposal shall not exceed the Estimate price. The individual bid price for the Design or for the Supervision shall not exceed 60% of the total budget for bid announced by KOICA.</x:v>
      </x:c>
      <x:c r="J2562" s="43" t="str">
        <x:v>자동추출·검토필요</x:v>
      </x:c>
    </x:row>
    <x:row r="2563">
      <x:c r="A2563" s="43" t="str">
        <x:v>L2021-00004-1</x:v>
      </x:c>
      <x:c r="B2563" s="43" t="str">
        <x:v>부가세·예비비</x:v>
      </x:c>
      <x:c r="C2563" s="46" t="str">
        <x:v>vat</x:v>
      </x:c>
      <x:c r="D2563" s="46" t="str"/>
      <x:c r="E2563" s="46" t="str">
        <x:v>USD 125,000</x:v>
      </x:c>
      <x:c r="F2563" s="46" t="str"/>
      <x:c r="G2563" s="46" t="str">
        <x:v>L2021-00004-1/3. 입찰서류 세트/05_Chapter 5. Invitation to Bid_.docx</x:v>
      </x:c>
      <x:c r="H2563" s="43" t="str">
        <x:v>문단 126</x:v>
      </x:c>
      <x:c r="I2563" s="46" t="str">
        <x:v>3. The available budget for this procurement assignment is USD 125,000 (VAT excluded) and Bidders’ Proposals should not exceed this budget. Any bid exceeding the project budget may be negotiated within the limit of budget.</x:v>
      </x:c>
      <x:c r="J2563" s="43" t="str">
        <x:v>자동추출·검토필요</x:v>
      </x:c>
    </x:row>
    <x:row r="2564">
      <x:c r="A2564" s="43" t="str">
        <x:v>L2021-00004-1</x:v>
      </x:c>
      <x:c r="B2564" s="43" t="str">
        <x:v>부가세·예비비</x:v>
      </x:c>
      <x:c r="C2564" s="46" t="str">
        <x:v>vat</x:v>
      </x:c>
      <x:c r="D2564" s="46" t="str"/>
      <x:c r="E2564" s="46" t="str">
        <x:v>USD 125,000</x:v>
      </x:c>
      <x:c r="F2564" s="46" t="str"/>
      <x:c r="G2564" s="46" t="str">
        <x:v>L2021-00004-1/3. 입찰서류 세트/05_Chapter 5. Invitation to Bid_.docx</x:v>
      </x:c>
      <x:c r="H2564" s="43" t="str">
        <x:v>표 2 행 6</x:v>
      </x:c>
      <x:c r="I2564" s="46" t="str">
        <x:v>Estimated Price | USD 125,000 (VAT excluded)</x:v>
      </x:c>
      <x:c r="J2564" s="43" t="str">
        <x:v>자동추출·검토필요</x:v>
      </x:c>
    </x:row>
    <x:row r="2565">
      <x:c r="A2565" s="43" t="str">
        <x:v>L2021-00004-1</x:v>
      </x:c>
      <x:c r="B2565" s="43" t="str">
        <x:v>부가세·예비비</x:v>
      </x:c>
      <x:c r="C2565" s="46" t="str">
        <x:v>vat</x:v>
      </x:c>
      <x:c r="D2565" s="46" t="str"/>
      <x:c r="E2565" s="46" t="str">
        <x:v>USD 125,000</x:v>
      </x:c>
      <x:c r="F2565" s="46" t="str">
        <x:v>60%</x:v>
      </x:c>
      <x:c r="G2565" s="46" t="str">
        <x:v>L2021-00004-1/3. 입찰서류 세트/Attachment4.BID ANNOUNCEMENT.docx</x:v>
      </x:c>
      <x:c r="H2565" s="43" t="str">
        <x:v>문단 13</x:v>
      </x:c>
      <x:c r="I2565" s="46" t="str">
        <x:v>1.5 Estimated Price: USD 125,000 (VAT excluded) Bidder’s proposal shall not exceed the Estimate price. The individual bid price for the Design or for the Supervision shall not exceed 60% of the total budget for bid announced by KOICA.</x:v>
      </x:c>
      <x:c r="J2565" s="43" t="str">
        <x:v>자동추출·검토필요</x:v>
      </x:c>
    </x:row>
    <x:row r="2566">
      <x:c r="A2566" s="43" t="str">
        <x:v>L2021-00001-2</x:v>
      </x:c>
      <x:c r="B2566" s="43" t="str">
        <x:v>부가세·예비비</x:v>
      </x:c>
      <x:c r="C2566" s="46" t="str">
        <x:v>vat</x:v>
      </x:c>
      <x:c r="D2566" s="46" t="str"/>
      <x:c r="E2566" s="46" t="str">
        <x:v>3,589,789 USD</x:v>
      </x:c>
      <x:c r="F2566" s="46" t="str"/>
      <x:c r="G2566" s="46" t="str">
        <x:v>L2021-00001-2/붙임 1. 재공고 입찰 추진계획서.hwp</x:v>
      </x:c>
      <x:c r="H2566" s="43" t="str">
        <x:v>문단 118</x:v>
      </x:c>
      <x:c r="I2566" s="46" t="str">
        <x:v>∙ 3,589,789 USD(VAT 제외)</x:v>
      </x:c>
      <x:c r="J2566" s="43" t="str">
        <x:v>자동추출·검토필요</x:v>
      </x:c>
    </x:row>
    <x:row r="2567">
      <x:c r="A2567" s="43" t="str">
        <x:v>L2021-00001-2</x:v>
      </x:c>
      <x:c r="B2567" s="43" t="str">
        <x:v>부가세·예비비</x:v>
      </x:c>
      <x:c r="C2567" s="46" t="str">
        <x:v>예비비</x:v>
      </x:c>
      <x:c r="D2567" s="46" t="str"/>
      <x:c r="E2567" s="46" t="str"/>
      <x:c r="F2567" s="46" t="str">
        <x:v>0.5%</x:v>
      </x:c>
      <x:c r="G2567" s="46" t="str">
        <x:v>L2021-00001-2/붙임 1. 재공고 입찰 추진계획서.hwp</x:v>
      </x:c>
      <x:c r="H2567" s="43" t="str">
        <x:v>문단 486</x:v>
      </x:c>
      <x:c r="I2567" s="46" t="str">
        <x:v>∙ 공사 안전관리비는 예비비를 제외한 총공사비의 0.5%이상 반영</x:v>
      </x:c>
      <x:c r="J2567" s="43" t="str">
        <x:v>자동추출·검토필요</x:v>
      </x:c>
    </x:row>
    <x:row r="2568">
      <x:c r="A2568" s="43" t="str">
        <x:v>L2021-00001-2</x:v>
      </x:c>
      <x:c r="B2568" s="43" t="str">
        <x:v>부가세·예비비</x:v>
      </x:c>
      <x:c r="C2568" s="46" t="str">
        <x:v>vat</x:v>
      </x:c>
      <x:c r="D2568" s="46" t="str"/>
      <x:c r="E2568" s="46" t="str">
        <x:v>3,589,789 USD</x:v>
      </x:c>
      <x:c r="F2568" s="46" t="str"/>
      <x:c r="G2568" s="46" t="str">
        <x:v>L2021-00001-2/붙임 2. 입찰 안내서(영문) 및 관련서류/2-1. Invitation for Prequalification.docx</x:v>
      </x:c>
      <x:c r="H2568" s="43" t="str">
        <x:v>표 1 행 5</x:v>
      </x:c>
      <x:c r="I2568" s="46" t="str">
        <x:v>Basic Amount | ∙ 3,589,789 USD (VAT excluded)</x:v>
      </x:c>
      <x:c r="J2568" s="43" t="str">
        <x:v>자동추출·검토필요</x:v>
      </x:c>
    </x:row>
    <x:row r="2569">
      <x:c r="A2569" s="43" t="str">
        <x:v>L2021-00001-2</x:v>
      </x:c>
      <x:c r="B2569" s="43" t="str">
        <x:v>부가세·예비비</x:v>
      </x:c>
      <x:c r="C2569" s="46" t="str">
        <x:v>tax</x:v>
      </x:c>
      <x:c r="D2569" s="46" t="str"/>
      <x:c r="E2569" s="46" t="str"/>
      <x:c r="F2569" s="46" t="str">
        <x:v>150%</x:v>
      </x:c>
      <x:c r="G2569" s="46" t="str">
        <x:v>L2021-00001-2/붙임 2. 입찰 안내서(영문) 및 관련서류/2-1. Invitation for Prequalification.docx</x:v>
      </x:c>
      <x:c r="H2569" s="43" t="str">
        <x:v>표 3 행 7</x:v>
      </x:c>
      <x:c r="I2569" s="46" t="str">
        <x:v>Financial State | ■ An Applicant shall meet the requirement of financial stability status as follows. - The average debt ratio for 3 fiscal years (2017-2019) shall be less than 150%. ■ An Applicant shall clear all taxes of 2019.</x:v>
      </x:c>
      <x:c r="J2569" s="43" t="str">
        <x:v>자동추출·검토필요</x:v>
      </x:c>
    </x:row>
    <x:row r="2570">
      <x:c r="A2570" s="43" t="str">
        <x:v>L2021-00001-2</x:v>
      </x:c>
      <x:c r="B2570" s="43" t="str">
        <x:v>부가세·예비비</x:v>
      </x:c>
      <x:c r="C2570" s="46" t="str">
        <x:v>tax</x:v>
      </x:c>
      <x:c r="D2570" s="46" t="str"/>
      <x:c r="E2570" s="46" t="str"/>
      <x:c r="F2570" s="46" t="str">
        <x:v>150%</x:v>
      </x:c>
      <x:c r="G2570" s="46" t="str">
        <x:v>L2021-00001-2/붙임 2. 입찰 안내서(영문) 및 관련서류/2-2. PQ Document.docx</x:v>
      </x:c>
      <x:c r="H2570" s="43" t="str">
        <x:v>문단 452</x:v>
      </x:c>
      <x:c r="I2570" s="46" t="str">
        <x:v>■ [Insert Applicant’s legal name] meets the requirements of a financial status (The average debt ratio for 3 fiscal years (2017-2019) shall be less than 150%, and all taxes of 2019 shall be cleared).</x:v>
      </x:c>
      <x:c r="J2570" s="43" t="str">
        <x:v>자동추출·검토필요</x:v>
      </x:c>
    </x:row>
    <x:row r="2571">
      <x:c r="A2571" s="43" t="str">
        <x:v>L2021-00001-2</x:v>
      </x:c>
      <x:c r="B2571" s="43" t="str">
        <x:v>부가세·예비비</x:v>
      </x:c>
      <x:c r="C2571" s="46" t="str">
        <x:v>vat</x:v>
      </x:c>
      <x:c r="D2571" s="46" t="str"/>
      <x:c r="E2571" s="46" t="str">
        <x:v>3,589,789 USD</x:v>
      </x:c>
      <x:c r="F2571" s="46" t="str"/>
      <x:c r="G2571" s="46" t="str">
        <x:v>L2021-00001-2/붙임 2. 입찰 안내서(영문) 및 관련서류/2-2. PQ Document.docx</x:v>
      </x:c>
      <x:c r="H2571" s="43" t="str">
        <x:v>표 2 행 5</x:v>
      </x:c>
      <x:c r="I2571" s="46" t="str">
        <x:v>Basic Amount | ∙ 3,589,789 USD (VAT excluded)</x:v>
      </x:c>
      <x:c r="J2571" s="43" t="str">
        <x:v>자동추출·검토필요</x:v>
      </x:c>
    </x:row>
    <x:row r="2572">
      <x:c r="A2572" s="43" t="str">
        <x:v>L2021-00001-2</x:v>
      </x:c>
      <x:c r="B2572" s="43" t="str">
        <x:v>부가세·예비비</x:v>
      </x:c>
      <x:c r="C2572" s="46" t="str">
        <x:v>tax</x:v>
      </x:c>
      <x:c r="D2572" s="46" t="str"/>
      <x:c r="E2572" s="46" t="str"/>
      <x:c r="F2572" s="46" t="str">
        <x:v>150%</x:v>
      </x:c>
      <x:c r="G2572" s="46" t="str">
        <x:v>L2021-00001-2/붙임 2. 입찰 안내서(영문) 및 관련서류/2-2. PQ Document.docx</x:v>
      </x:c>
      <x:c r="H2572" s="43" t="str">
        <x:v>표 8 행 2</x:v>
      </x:c>
      <x:c r="I2572" s="46" t="str">
        <x:v>Financial State | ■ An Applicant shall meet the requirement of financial stability status as follows. - The average debt ratio for 3 fiscal years (2017-2019) shall be less than 150%. ■ An Applicant shall clear all taxes of 2019. | Form PQ-7</x:v>
      </x:c>
      <x:c r="J2572" s="43" t="str">
        <x:v>자동추출·검토필요</x:v>
      </x:c>
    </x:row>
    <x:row r="2573">
      <x:c r="A2573" s="43" t="str">
        <x:v>L2021-00001-2</x:v>
      </x:c>
      <x:c r="B2573" s="43" t="str">
        <x:v>부가세·예비비</x:v>
      </x:c>
      <x:c r="C2573" s="46" t="str">
        <x:v>vat</x:v>
      </x:c>
      <x:c r="D2573" s="46" t="str"/>
      <x:c r="E2573" s="46" t="str">
        <x:v>3,589,789 USD</x:v>
      </x:c>
      <x:c r="F2573" s="46" t="str"/>
      <x:c r="G2573" s="46" t="str">
        <x:v>L2021-00001-2/붙임 2. 입찰 안내서(영문) 및 관련서류/2-2. PQ Document.docx</x:v>
      </x:c>
      <x:c r="H2573" s="43" t="str">
        <x:v>표 28 행 5</x:v>
      </x:c>
      <x:c r="I2573" s="46" t="str">
        <x:v>Basic Amout | ∙ 3,589,789 USD (VAT excluded)</x:v>
      </x:c>
      <x:c r="J2573" s="43" t="str">
        <x:v>자동추출·검토필요</x:v>
      </x:c>
    </x:row>
    <x:row r="2574">
      <x:c r="A2574" s="43" t="str">
        <x:v>L2021-00001-2</x:v>
      </x:c>
      <x:c r="B2574" s="43" t="str">
        <x:v>부가세·예비비</x:v>
      </x:c>
      <x:c r="C2574" s="46" t="str">
        <x:v>reserve</x:v>
      </x:c>
      <x:c r="D2574" s="46" t="str"/>
      <x:c r="E2574" s="46" t="str"/>
      <x:c r="F2574" s="46" t="str">
        <x:v>2.5%</x:v>
      </x:c>
      <x:c r="G2574" s="46" t="str">
        <x:v>L2021-00001-2/붙임 3. 제안요청서 및 입찰서 양식/3-1. Request for Proposal.docx</x:v>
      </x:c>
      <x:c r="H2574" s="43" t="str">
        <x:v>문단 157</x:v>
      </x:c>
      <x:c r="I2574" s="46" t="str">
        <x:v>* The Estimated Price will be decided to the arithmetic mean value of the 4 reserve prices drawn randomly by the bidders among 15 reserve prices in range of ±2.5% of the Basic Amount.</x:v>
      </x:c>
      <x:c r="J2574" s="43" t="str">
        <x:v>자동추출·검토필요</x:v>
      </x:c>
    </x:row>
    <x:row r="2575">
      <x:c r="A2575" s="43" t="str">
        <x:v>L2021-00001-2</x:v>
      </x:c>
      <x:c r="B2575" s="43" t="str">
        <x:v>부가세·예비비</x:v>
      </x:c>
      <x:c r="C2575" s="46" t="str">
        <x:v>vat</x:v>
      </x:c>
      <x:c r="D2575" s="46" t="str"/>
      <x:c r="E2575" s="46" t="str">
        <x:v>3,589,789 USD</x:v>
      </x:c>
      <x:c r="F2575" s="46" t="str"/>
      <x:c r="G2575" s="46" t="str">
        <x:v>L2021-00001-2/붙임 3. 제안요청서 및 입찰서 양식/3-1. Request for Proposal.docx</x:v>
      </x:c>
      <x:c r="H2575" s="43" t="str">
        <x:v>표 2 행 6</x:v>
      </x:c>
      <x:c r="I2575" s="46" t="str">
        <x:v>Basic Amount | ∙ 3,589,789 USD (VAT excluded)</x:v>
      </x:c>
      <x:c r="J2575" s="43" t="str">
        <x:v>자동추출·검토필요</x:v>
      </x:c>
    </x:row>
    <x:row r="2576">
      <x:c r="A2576" s="43" t="str">
        <x:v>L2021-00001-2</x:v>
      </x:c>
      <x:c r="B2576" s="43" t="str">
        <x:v>부가세·예비비</x:v>
      </x:c>
      <x:c r="C2576" s="46" t="str">
        <x:v>contingency</x:v>
      </x:c>
      <x:c r="D2576" s="46" t="str"/>
      <x:c r="E2576" s="46" t="str"/>
      <x:c r="F2576" s="46" t="str">
        <x:v>5% | 0.5%</x:v>
      </x:c>
      <x:c r="G2576" s="46" t="str">
        <x:v>L2021-00001-2/붙임 3. 제안요청서 및 입찰서 양식/3-1. Request for Proposal.docx</x:v>
      </x:c>
      <x:c r="H2576" s="43" t="str">
        <x:v>표 3 행 13</x:v>
      </x:c>
      <x:c r="I2576" s="46" t="str">
        <x:v>Safety Cost, Contingency | ∙ The Contingency shall be set at 5% or more of the total the Contract Amount excluding the contingency price and the safety cost. ∙ The Safety Cost shall be set at 0.5% or more of the total the Contract Amount excluding the contingency price and the safety cost. ∙ The Safety Cost and Contingency shall be settled with actual expenses under the Employer’s prior approval. | ∙ GCC 14</x:v>
      </x:c>
      <x:c r="J2576" s="43" t="str">
        <x:v>자동추출·검토필요</x:v>
      </x:c>
    </x:row>
    <x:row r="2577">
      <x:c r="A2577" s="43" t="str">
        <x:v>L2021-00001-2</x:v>
      </x:c>
      <x:c r="B2577" s="43" t="str">
        <x:v>부가세·예비비</x:v>
      </x:c>
      <x:c r="C2577" s="46" t="str">
        <x:v>contingency</x:v>
      </x:c>
      <x:c r="D2577" s="46" t="str"/>
      <x:c r="E2577" s="46" t="str"/>
      <x:c r="F2577" s="46" t="str">
        <x:v>0.5%</x:v>
      </x:c>
      <x:c r="G2577" s="46" t="str">
        <x:v>L2021-00001-2/붙임 4. 계약서 문안(영문).docx</x:v>
      </x:c>
      <x:c r="H2577" s="43" t="str">
        <x:v>문단 143</x:v>
      </x:c>
      <x:c r="I2577" s="46" t="str">
        <x:v>The Contractor shall conduct the sufficient investigation on the safety of Works to prevent industrial perils, and take the best necessary measures including the installation of safety facilities and insurance, etc. (hereinafter referred to as the "Safety Cost"). The contract price hereunder includes the Safety Cost. The Safety Cost shall be set at 0.5% or more of the total construction cost excluding the contingency cost and reflected as a separate item when preparing the price schedules.</x:v>
      </x:c>
      <x:c r="J2577" s="43" t="str">
        <x:v>자동추출·검토필요</x:v>
      </x:c>
    </x:row>
    <x:row r="2578">
      <x:c r="A2578" s="43" t="str">
        <x:v>L2021-00001-1</x:v>
      </x:c>
      <x:c r="B2578" s="43" t="str">
        <x:v>부가세·예비비</x:v>
      </x:c>
      <x:c r="C2578" s="46" t="str">
        <x:v>vat</x:v>
      </x:c>
      <x:c r="D2578" s="46" t="str"/>
      <x:c r="E2578" s="46" t="str">
        <x:v>3,706,800 USD</x:v>
      </x:c>
      <x:c r="F2578" s="46" t="str"/>
      <x:c r="G2578" s="46" t="str">
        <x:v>L2021-00001-1/붙임 1. 입찰 추진계획서(국문).hwp</x:v>
      </x:c>
      <x:c r="H2578" s="43" t="str">
        <x:v>문단 110</x:v>
      </x:c>
      <x:c r="I2578" s="46" t="str">
        <x:v>∙ 3,706,800 USD(VAT 제외)</x:v>
      </x:c>
      <x:c r="J2578" s="43" t="str">
        <x:v>자동추출·검토필요</x:v>
      </x:c>
    </x:row>
    <x:row r="2579">
      <x:c r="A2579" s="43" t="str">
        <x:v>L2021-00001-1</x:v>
      </x:c>
      <x:c r="B2579" s="43" t="str">
        <x:v>부가세·예비비</x:v>
      </x:c>
      <x:c r="C2579" s="46" t="str">
        <x:v>예비비</x:v>
      </x:c>
      <x:c r="D2579" s="46" t="str"/>
      <x:c r="E2579" s="46" t="str"/>
      <x:c r="F2579" s="46" t="str">
        <x:v>0.5%</x:v>
      </x:c>
      <x:c r="G2579" s="46" t="str">
        <x:v>L2021-00001-1/붙임 1. 입찰 추진계획서(국문).hwp</x:v>
      </x:c>
      <x:c r="H2579" s="43" t="str">
        <x:v>문단 491</x:v>
      </x:c>
      <x:c r="I2579" s="46" t="str">
        <x:v>∙ 공사 안전관리비는 예비비를 제외한 총공사비의 0.5%이상 반영</x:v>
      </x:c>
      <x:c r="J2579" s="43" t="str">
        <x:v>자동추출·검토필요</x:v>
      </x:c>
    </x:row>
    <x:row r="2580">
      <x:c r="A2580" s="43" t="str">
        <x:v>L2021-00001-1</x:v>
      </x:c>
      <x:c r="B2580" s="43" t="str">
        <x:v>부가세·예비비</x:v>
      </x:c>
      <x:c r="C2580" s="46" t="str">
        <x:v>vat</x:v>
      </x:c>
      <x:c r="D2580" s="46" t="str"/>
      <x:c r="E2580" s="46" t="str">
        <x:v>3,706,800 USD</x:v>
      </x:c>
      <x:c r="F2580" s="46" t="str"/>
      <x:c r="G2580" s="46" t="str">
        <x:v>L2021-00001-1/붙임 2. 입찰 안내서(영문) 및 관련서류/01 Invitation for PQ_Newspaper.docx</x:v>
      </x:c>
      <x:c r="H2580" s="43" t="str">
        <x:v>표 1 행 5</x:v>
      </x:c>
      <x:c r="I2580" s="46" t="str">
        <x:v>Budget | ∙ 3,706,800 USD (VAT excluded)</x:v>
      </x:c>
      <x:c r="J2580" s="43" t="str">
        <x:v>자동추출·검토필요</x:v>
      </x:c>
    </x:row>
    <x:row r="2581">
      <x:c r="A2581" s="43" t="str">
        <x:v>L2021-00001-1</x:v>
      </x:c>
      <x:c r="B2581" s="43" t="str">
        <x:v>부가세·예비비</x:v>
      </x:c>
      <x:c r="C2581" s="46" t="str">
        <x:v>vat</x:v>
      </x:c>
      <x:c r="D2581" s="46" t="str"/>
      <x:c r="E2581" s="46" t="str">
        <x:v>3,706,800 USD</x:v>
      </x:c>
      <x:c r="F2581" s="46" t="str"/>
      <x:c r="G2581" s="46" t="str">
        <x:v>L2021-00001-1/붙임 2. 입찰 안내서(영문) 및 관련서류/02 Invitation for PQ_Webpage.docx</x:v>
      </x:c>
      <x:c r="H2581" s="43" t="str">
        <x:v>표 1 행 5</x:v>
      </x:c>
      <x:c r="I2581" s="46" t="str">
        <x:v>Budget | ∙ 3,706,800 USD (VAT excluded)</x:v>
      </x:c>
      <x:c r="J2581" s="43" t="str">
        <x:v>자동추출·검토필요</x:v>
      </x:c>
    </x:row>
    <x:row r="2582">
      <x:c r="A2582" s="43" t="str">
        <x:v>L2021-00001-1</x:v>
      </x:c>
      <x:c r="B2582" s="43" t="str">
        <x:v>부가세·예비비</x:v>
      </x:c>
      <x:c r="C2582" s="46" t="str">
        <x:v>tax</x:v>
      </x:c>
      <x:c r="D2582" s="46" t="str"/>
      <x:c r="E2582" s="46" t="str"/>
      <x:c r="F2582" s="46" t="str">
        <x:v>150%</x:v>
      </x:c>
      <x:c r="G2582" s="46" t="str">
        <x:v>L2021-00001-1/붙임 2. 입찰 안내서(영문) 및 관련서류/02 Invitation for PQ_Webpage.docx</x:v>
      </x:c>
      <x:c r="H2582" s="43" t="str">
        <x:v>표 3 행 7</x:v>
      </x:c>
      <x:c r="I2582" s="46" t="str">
        <x:v>Financial State | ■ An Applicant shall meet the requirement of financial stability status as follows. - The average debt ratio for 3 fiscal years (2017-2019) shall be less than 150%. ■ An Applicant shall clear all taxes of 2019.</x:v>
      </x:c>
      <x:c r="J2582" s="43" t="str">
        <x:v>자동추출·검토필요</x:v>
      </x:c>
    </x:row>
    <x:row r="2583">
      <x:c r="A2583" s="43" t="str">
        <x:v>L2021-00001-1</x:v>
      </x:c>
      <x:c r="B2583" s="43" t="str">
        <x:v>부가세·예비비</x:v>
      </x:c>
      <x:c r="C2583" s="46" t="str">
        <x:v>tax</x:v>
      </x:c>
      <x:c r="D2583" s="46" t="str"/>
      <x:c r="E2583" s="46" t="str"/>
      <x:c r="F2583" s="46" t="str">
        <x:v>150%</x:v>
      </x:c>
      <x:c r="G2583" s="46" t="str">
        <x:v>L2021-00001-1/붙임 2. 입찰 안내서(영문) 및 관련서류/03 PQ Document.docx</x:v>
      </x:c>
      <x:c r="H2583" s="43" t="str">
        <x:v>문단 453</x:v>
      </x:c>
      <x:c r="I2583" s="46" t="str">
        <x:v>■ [Insert Applicant’s legal name] meets the requirements of a financial status (The average debt ratio for 3 fiscal years (2017-2019) shall be less than 150%, and all taxes of 2019 shall be cleared).</x:v>
      </x:c>
      <x:c r="J2583" s="43" t="str">
        <x:v>자동추출·검토필요</x:v>
      </x:c>
    </x:row>
    <x:row r="2584">
      <x:c r="A2584" s="43" t="str">
        <x:v>L2021-00001-1</x:v>
      </x:c>
      <x:c r="B2584" s="43" t="str">
        <x:v>부가세·예비비</x:v>
      </x:c>
      <x:c r="C2584" s="46" t="str">
        <x:v>vat</x:v>
      </x:c>
      <x:c r="D2584" s="46" t="str"/>
      <x:c r="E2584" s="46" t="str">
        <x:v>3,706,800 USD</x:v>
      </x:c>
      <x:c r="F2584" s="46" t="str"/>
      <x:c r="G2584" s="46" t="str">
        <x:v>L2021-00001-1/붙임 2. 입찰 안내서(영문) 및 관련서류/03 PQ Document.docx</x:v>
      </x:c>
      <x:c r="H2584" s="43" t="str">
        <x:v>표 2 행 5</x:v>
      </x:c>
      <x:c r="I2584" s="46" t="str">
        <x:v>Budget | ∙ 3,706,800 USD (VAT excluded)</x:v>
      </x:c>
      <x:c r="J2584" s="43" t="str">
        <x:v>자동추출·검토필요</x:v>
      </x:c>
    </x:row>
    <x:row r="2585">
      <x:c r="A2585" s="43" t="str">
        <x:v>L2021-00001-1</x:v>
      </x:c>
      <x:c r="B2585" s="43" t="str">
        <x:v>부가세·예비비</x:v>
      </x:c>
      <x:c r="C2585" s="46" t="str">
        <x:v>tax</x:v>
      </x:c>
      <x:c r="D2585" s="46" t="str"/>
      <x:c r="E2585" s="46" t="str"/>
      <x:c r="F2585" s="46" t="str">
        <x:v>150%</x:v>
      </x:c>
      <x:c r="G2585" s="46" t="str">
        <x:v>L2021-00001-1/붙임 2. 입찰 안내서(영문) 및 관련서류/03 PQ Document.docx</x:v>
      </x:c>
      <x:c r="H2585" s="43" t="str">
        <x:v>표 8 행 2</x:v>
      </x:c>
      <x:c r="I2585" s="46" t="str">
        <x:v>Financial State | ■ An Applicant shall meet the requirement of financial stability status as follows. - The average debt ratio for 3 fiscal years (2017-2019) shall be less than 150%. ■ An Applicant shall clear all taxes of 2019. | Form PQ-7</x:v>
      </x:c>
      <x:c r="J2585" s="43" t="str">
        <x:v>자동추출·검토필요</x:v>
      </x:c>
    </x:row>
    <x:row r="2586">
      <x:c r="A2586" s="43" t="str">
        <x:v>L2021-00001-1</x:v>
      </x:c>
      <x:c r="B2586" s="43" t="str">
        <x:v>부가세·예비비</x:v>
      </x:c>
      <x:c r="C2586" s="46" t="str">
        <x:v>vat</x:v>
      </x:c>
      <x:c r="D2586" s="46" t="str"/>
      <x:c r="E2586" s="46" t="str">
        <x:v>3,706,800 USD</x:v>
      </x:c>
      <x:c r="F2586" s="46" t="str"/>
      <x:c r="G2586" s="46" t="str">
        <x:v>L2021-00001-1/붙임 2. 입찰 안내서(영문) 및 관련서류/03 PQ Document.docx</x:v>
      </x:c>
      <x:c r="H2586" s="43" t="str">
        <x:v>표 28 행 5</x:v>
      </x:c>
      <x:c r="I2586" s="46" t="str">
        <x:v>Budget | ∙ 3,706,800 USD (VAT excluded)</x:v>
      </x:c>
      <x:c r="J2586" s="43" t="str">
        <x:v>자동추출·검토필요</x:v>
      </x:c>
    </x:row>
    <x:row r="2587">
      <x:c r="A2587" s="43" t="str">
        <x:v>L2021-00001-1</x:v>
      </x:c>
      <x:c r="B2587" s="43" t="str">
        <x:v>부가세·예비비</x:v>
      </x:c>
      <x:c r="C2587" s="46" t="str">
        <x:v>reserve</x:v>
      </x:c>
      <x:c r="D2587" s="46" t="str"/>
      <x:c r="E2587" s="46" t="str"/>
      <x:c r="F2587" s="46" t="str">
        <x:v>2.5%</x:v>
      </x:c>
      <x:c r="G2587" s="46" t="str">
        <x:v>L2021-00001-1/붙임 3. 제안요청서 및 입찰서 양식(영문)/01 Request for Proposal.docx</x:v>
      </x:c>
      <x:c r="H2587" s="43" t="str">
        <x:v>문단 158</x:v>
      </x:c>
      <x:c r="I2587" s="46" t="str">
        <x:v>* The Estimated Price will be decided to the arithmetic mean value of the 4 reserve prices drawn randomly by the bidders among 15 reserve prices in range of ±2.5% of the Basic Amount.</x:v>
      </x:c>
      <x:c r="J2587" s="43" t="str">
        <x:v>자동추출·검토필요</x:v>
      </x:c>
    </x:row>
    <x:row r="2588">
      <x:c r="A2588" s="43" t="str">
        <x:v>L2021-00001-1</x:v>
      </x:c>
      <x:c r="B2588" s="43" t="str">
        <x:v>부가세·예비비</x:v>
      </x:c>
      <x:c r="C2588" s="46" t="str">
        <x:v>vat</x:v>
      </x:c>
      <x:c r="D2588" s="46" t="str"/>
      <x:c r="E2588" s="46" t="str">
        <x:v>3,589,789 USD</x:v>
      </x:c>
      <x:c r="F2588" s="46" t="str"/>
      <x:c r="G2588" s="46" t="str">
        <x:v>L2021-00001-1/붙임 3. 제안요청서 및 입찰서 양식(영문)/01 Request for Proposal.docx</x:v>
      </x:c>
      <x:c r="H2588" s="43" t="str">
        <x:v>표 2 행 6</x:v>
      </x:c>
      <x:c r="I2588" s="46" t="str">
        <x:v>Basic Amount | ∙ 3,589,789 USD (VAT excluded)</x:v>
      </x:c>
      <x:c r="J2588" s="43" t="str">
        <x:v>자동추출·검토필요</x:v>
      </x:c>
    </x:row>
    <x:row r="2589">
      <x:c r="A2589" s="43" t="str">
        <x:v>L2021-00001-1</x:v>
      </x:c>
      <x:c r="B2589" s="43" t="str">
        <x:v>부가세·예비비</x:v>
      </x:c>
      <x:c r="C2589" s="46" t="str">
        <x:v>contingency</x:v>
      </x:c>
      <x:c r="D2589" s="46" t="str"/>
      <x:c r="E2589" s="46" t="str"/>
      <x:c r="F2589" s="46" t="str">
        <x:v>5% | 0.5%</x:v>
      </x:c>
      <x:c r="G2589" s="46" t="str">
        <x:v>L2021-00001-1/붙임 3. 제안요청서 및 입찰서 양식(영문)/01 Request for Proposal.docx</x:v>
      </x:c>
      <x:c r="H2589" s="43" t="str">
        <x:v>표 3 행 13</x:v>
      </x:c>
      <x:c r="I2589" s="46" t="str">
        <x:v>Safety Cost, Contingency | ∙ The Contingency shall be set at 5% or more of the total the Contract Amount excluding the contingency price and the safety cost. ∙ The Safety Cost shall be set at 0.5% or more of the total the Contract Amount excluding the contingency price and the safety cost. ∙ The Safety Cost and Contingency shall be settled with actual expenses under the Employer’s prior approval. | ∙ GCC 14</x:v>
      </x:c>
      <x:c r="J2589" s="43" t="str">
        <x:v>자동추출·검토필요</x:v>
      </x:c>
    </x:row>
    <x:row r="2590">
      <x:c r="A2590" s="43" t="str">
        <x:v>L2021-00001-1</x:v>
      </x:c>
      <x:c r="B2590" s="43" t="str">
        <x:v>부가세·예비비</x:v>
      </x:c>
      <x:c r="C2590" s="46" t="str">
        <x:v>contingency</x:v>
      </x:c>
      <x:c r="D2590" s="46" t="str"/>
      <x:c r="E2590" s="46" t="str"/>
      <x:c r="F2590" s="46" t="str">
        <x:v>0.5%</x:v>
      </x:c>
      <x:c r="G2590" s="46" t="str">
        <x:v>L2021-00001-1/붙임 4. 계약서 문안(영문).docx</x:v>
      </x:c>
      <x:c r="H2590" s="43" t="str">
        <x:v>문단 143</x:v>
      </x:c>
      <x:c r="I2590" s="46" t="str">
        <x:v>The Contractor shall conduct the sufficient investigation on the safety of Works to prevent industrial perils, and take the best necessary measures including the installation of safety facilities and insurance, etc. (hereinafter referred to as the "Safety Cost"). The contract price hereunder includes the Safety Cost. The Safety Cost shall be set at 0.5% or more of the total construction cost excluding the contingency cost and reflected as a separate item when preparing the price schedules.</x:v>
      </x:c>
      <x:c r="J2590" s="43" t="str">
        <x:v>자동추출·검토필요</x:v>
      </x:c>
    </x:row>
    <x:row r="2591">
      <x:c r="A2591" s="43" t="str">
        <x:v>L2025-00097-1</x:v>
      </x:c>
      <x:c r="B2591" s="43" t="str">
        <x:v>기간</x:v>
      </x:c>
      <x:c r="C2591" s="46" t="str">
        <x:v>construction period</x:v>
      </x:c>
      <x:c r="D2591" s="46" t="str">
        <x:v>1,179 M2 | 1,179 M2</x:v>
      </x:c>
      <x:c r="E2591" s="46" t="str">
        <x:v>USD 1,704,050 | USD 1,704,050</x:v>
      </x:c>
      <x:c r="F2591" s="46" t="str">
        <x:v>5% | 5%</x:v>
      </x:c>
      <x:c r="G2591" s="46" t="str">
        <x:v>L2025-00097-1/붙임1. 공고내역 (KG-2025-10)/ENG - final/Section 2 - Bid Data Sheet (BDS).docx</x:v>
      </x:c>
      <x:c r="H2591" s="43" t="str">
        <x:v>표 5 행 3</x:v>
      </x:c>
      <x:c r="I2591" s="46" t="str">
        <x:v>․ Scope of Service | ※The assignment consist of the services for the construction of the project mentioned below: -Project purpose: New Construction of ICT Training center -Project plot location: Ch.Aitmatov Avenue, 104v, Bishkek -Project plot Area: 1.0 ha -Gross Floor Area 1,179 M2 (±5%) of two(2) story building. -Construction budget limit is USD 1,704,050 (including a stand-by generator) -Detailed design requirement and Space program: refer to the [Section 5]. 1) Design and Construction document Service -Soil Investigation and Required surveys (Including Access road, Existing infra-structure and facilities in the vicinity of the site, Topographical, Structural, and Geographical surveys for New construction work) -Preparation of layout(masterplan) options to efficiently use the plot for both ICT education center and other purpose (e.g. a future extension). -Preparation of design and other engineering services necessary to bring the work to the construction readiness state for the projects mentioned in the Agreement - Preparation of all the developed construction documents -All required administration &amp; preparation for relevant permits Approval or consent from KOICA (including CM a</x:v>
      </x:c>
      <x:c r="J2591" s="43" t="str">
        <x:v>자동추출·검토필요</x:v>
      </x:c>
    </x:row>
    <x:row r="2592">
      <x:c r="A2592" s="43" t="str">
        <x:v>L2025-00094-1</x:v>
      </x:c>
      <x:c r="B2592" s="43" t="str">
        <x:v>기간</x:v>
      </x:c>
      <x:c r="C2592" s="46" t="str">
        <x:v>months</x:v>
      </x:c>
      <x:c r="D2592" s="46" t="str"/>
      <x:c r="E2592" s="46" t="str"/>
      <x:c r="F2592" s="46" t="str">
        <x:v>3.62%</x:v>
      </x:c>
      <x:c r="G2592" s="46" t="str">
        <x:v>L2025-00094-1/ReBidding Documents (Guimaras_Design) 1022v2/ReBidding Documents (Guimaras_Design) 1022/Section 7 - Special Conditions of Contract_20251016.docx</x:v>
      </x:c>
      <x:c r="H2592" s="43" t="str">
        <x:v>문단 36</x:v>
      </x:c>
      <x:c r="I2592" s="46" t="str">
        <x:v>The guaranteed amount of the Advance Payment Security Bond shall be calculated by 30/100 of Contract Price plus interest amount for contract period and 2 months (= (3.62% * (30/100 of Contract Price)) / 12 months * (Contract Period + 2 months)).</x:v>
      </x:c>
      <x:c r="J2592" s="43" t="str">
        <x:v>자동추출·검토필요</x:v>
      </x:c>
    </x:row>
    <x:row r="2593">
      <x:c r="A2593" s="43" t="str">
        <x:v>L2025-00085-1</x:v>
      </x:c>
      <x:c r="B2593" s="43" t="str">
        <x:v>기간</x:v>
      </x:c>
      <x:c r="C2593" s="46" t="str">
        <x:v>months</x:v>
      </x:c>
      <x:c r="D2593" s="46" t="str"/>
      <x:c r="E2593" s="46" t="str">
        <x:v>USD 20,000 | USD 2,000</x:v>
      </x:c>
      <x:c r="F2593" s="46" t="str"/>
      <x:c r="G2593" s="46" t="str">
        <x:v>L2025-00085-1/붙임2. 현지입찰(신규입찰) 서류 및 계약서류(안)/IKHCC Section 7,8 - contract conditions - General &amp; Special conditions. of contract 250903.docx</x:v>
      </x:c>
      <x:c r="H2593" s="43" t="str">
        <x:v>문단 223</x:v>
      </x:c>
      <x:c r="I2593" s="46" t="str">
        <x:v>The contractor shall submit detailed CPM construction progress schedule within 2 months from the contract date, and shall be up-dated by monthly when there is any delay in progress. If this is not submitted by the time required USD 20,000 shall be deducted from the contract amount. If not up-dated by monthly when the progress is delayed USD 2,000 shall be deducted per the failure of the up-date.</x:v>
      </x:c>
      <x:c r="J2593" s="43" t="str">
        <x:v>자동추출·검토필요</x:v>
      </x:c>
    </x:row>
    <x:row r="2594">
      <x:c r="A2594" s="43" t="str">
        <x:v>L2025-00084-1</x:v>
      </x:c>
      <x:c r="B2594" s="43" t="str">
        <x:v>기간</x:v>
      </x:c>
      <x:c r="C2594" s="46" t="str">
        <x:v>months</x:v>
      </x:c>
      <x:c r="D2594" s="46" t="str"/>
      <x:c r="E2594" s="46" t="str"/>
      <x:c r="F2594" s="46" t="str">
        <x:v>10%</x:v>
      </x:c>
      <x:c r="G2594" s="46" t="str">
        <x:v>L2025-00084-1/Section 2 - Bid Data Sheet (EN)_vr8.docx</x:v>
      </x:c>
      <x:c r="H2594" s="43" t="str">
        <x:v>표 10 행 15</x:v>
      </x:c>
      <x:c r="I2594" s="46" t="str">
        <x:v>Payment for completed part (earn value) | Every 2 months with no less than 10% of earn value.</x:v>
      </x:c>
      <x:c r="J2594" s="43" t="str">
        <x:v>자동추출·검토필요</x:v>
      </x:c>
    </x:row>
    <x:row r="2595">
      <x:c r="A2595" s="43" t="str">
        <x:v>L2025-00075-1</x:v>
      </x:c>
      <x:c r="B2595" s="43" t="str">
        <x:v>기간</x:v>
      </x:c>
      <x:c r="C2595" s="46" t="str">
        <x:v>months</x:v>
      </x:c>
      <x:c r="D2595" s="46" t="str"/>
      <x:c r="E2595" s="46" t="str"/>
      <x:c r="F2595" s="46" t="str">
        <x:v>3.62%</x:v>
      </x:c>
      <x:c r="G2595" s="46" t="str">
        <x:v>L2025-00075-1/Section 7 - Special Conditions of Contract_fin.docx</x:v>
      </x:c>
      <x:c r="H2595" s="43" t="str">
        <x:v>문단 36</x:v>
      </x:c>
      <x:c r="I2595" s="46" t="str">
        <x:v>The guaranteed amount of the Advance Payment Security Bond shall be calculated by 30/100 of Contract Price plus interest amount for contract period and 2 months (= (3.62% * (30/100 of Contract Price)) / 12 months * (Contract Period + 2 months)).</x:v>
      </x:c>
      <x:c r="J2595" s="43" t="str">
        <x:v>자동추출·검토필요</x:v>
      </x:c>
    </x:row>
    <x:row r="2596">
      <x:c r="A2596" s="43" t="str">
        <x:v>L2025-00073-1</x:v>
      </x:c>
      <x:c r="B2596" s="43" t="str">
        <x:v>기간</x:v>
      </x:c>
      <x:c r="C2596" s="46" t="str">
        <x:v>공사기간</x:v>
      </x:c>
      <x:c r="D2596" s="46" t="str"/>
      <x:c r="E2596" s="46" t="str">
        <x:v>USD 7,000,000</x:v>
      </x:c>
      <x:c r="F2596" s="46" t="str">
        <x:v>200% | 250% | 275% | 300% | 300% | 80% | 70% | 60%</x:v>
      </x:c>
      <x:c r="G2596" s="46" t="str">
        <x:v>L2025-00073-1/(붙임1) 입찰공고문(국문).pdf</x:v>
      </x:c>
      <x:c r="H2596" s="43" t="str">
        <x:v>페이지 15</x:v>
      </x:c>
      <x:c r="I2596" s="46" t="str">
        <x:v>만족하지 못하면 총 4인 이상의 경력기술자 보유 시에도 3인 이상의 평가 점수(3점)를 부여함. 주2) 일반기술자는 입찰공고일 기준 회사 소속으로 당해 공사와 동일 및 유사한 종류의 공사(건축공사)에 2년 이상 종사한 자로 경력기술자가 아닌 자 주3) 제출서류 : 건설기술자 경력사항 확인서(입찰서식4-4), 학위 증명서, 발주처 또는 공공기관에서 발급한 실적증명서 또는 참여자 명단, 발주처에서 발급한 인력 동원 확인 공문 ③ 경영상태(14점): 경영상태 평가기준에 의한 종합평점 x 14/45 심사항목 평가요소 배 점 평가등급 평 점 A: 200%이하 22.0 B: 250%이하 19.7 최근 3년도 부채비율 1. 부채비율 22 C: 275%이하 17.5 (부채총계/자기자본) D: 300%이하 15.2 E: 300%초과 13.0 A: 80%이상 12.0 1) 연간매출액 B: 70%이상 10.7 최근 3년간 연평균 매출액 12 C: 60%이상 9.4 2. 최근년도 (기준금액:USD 7,000,000) D: 50%이상 8.1 유동비율 E: 50%초과 6.9 A: 집행한도액의 7%이상 9.0 2) 현금유동성 B: 집행한도액의 6%이상 8.0 입찰공고일 기준 법인 명의 계좌의 9 C: 집행한도액의 5%이상 7.1 잔고 비율 D: 집행한도액의 4%이상 6.1 (동일 법인명 계좌 잔고합산 가능) E: 집행한도액의 4%미만 5.1 5년이상 2.0 3. 영업기간 2 5년미만 3년이상 1.8 3년미만 1.5 계 45 * 평가기준(최근년도 유동비율) 개정사유 1. 기업 경영상태 평가를 위하여 통상적으로는 ‘유동비율’을 사용하나, 현지의 업종별 적정 유동비율 기준이 없어, 2. 유동 비율 대신 연간매출액(해외 MDB에서 사용하는 유동비율 평가)과 현금유동성(공사수행 가능성 여부 평가)을 평가기준으로 설정. 3. 연간매출액=(집행한도액÷공사기간)x안전계수(1.5)={11,277,00÷(26÷12)}x1.5=7,807,153 4. 계좌잔고=집행한도액의 3~7% 5. ADB와 캄보디아 보건부(MOH)에서 주관한 [Establishing the University of Health Science Teaching Hospital Project(13 Dec. 2023)] 시공사 선정 입찰 사례 참고. 주1) 제출서류 : 입찰서식5 및 증빙자료, 입찰공고일 기준 법인 명의 통장 사본 - 12 -</x:v>
      </x:c>
      <x:c r="J2596" s="43" t="str">
        <x:v>자동추출·검토필요</x:v>
      </x:c>
    </x:row>
    <x:row r="2597">
      <x:c r="A2597" s="43" t="str">
        <x:v>L2025-00071-1</x:v>
      </x:c>
      <x:c r="B2597" s="43" t="str">
        <x:v>기간</x:v>
      </x:c>
      <x:c r="C2597" s="46" t="str">
        <x:v>months</x:v>
      </x:c>
      <x:c r="D2597" s="46" t="str"/>
      <x:c r="E2597" s="46" t="str">
        <x:v>USD 20,000 | USD 2,000</x:v>
      </x:c>
      <x:c r="F2597" s="46" t="str"/>
      <x:c r="G2597" s="46" t="str">
        <x:v>L2025-00071-1/붙임2. 현지입찰(재공고입찰) 서류 및 계약서류(안)/IKHCC Section 7,8 - contract conditions - General &amp; Special conditions. of contract 250903.docx</x:v>
      </x:c>
      <x:c r="H2597" s="43" t="str">
        <x:v>문단 223</x:v>
      </x:c>
      <x:c r="I2597" s="46" t="str">
        <x:v>The contractor shall submit detailed CPM construction progress schedule within 2 months from the contract date, and shall be up-dated by monthly when there is any delay in progress. If this is not submitted by the time required USD 20,000 shall be deducted from the contract amount. If not up-dated by monthly when the progress is delayed USD 2,000 shall be deducted per the failure of the up-date.</x:v>
      </x:c>
      <x:c r="J2597" s="43" t="str">
        <x:v>자동추출·검토필요</x:v>
      </x:c>
    </x:row>
    <x:row r="2598">
      <x:c r="A2598" s="43" t="str">
        <x:v>L2025-00070-1</x:v>
      </x:c>
      <x:c r="B2598" s="43" t="str">
        <x:v>기간</x:v>
      </x:c>
      <x:c r="C2598" s="46" t="str">
        <x:v>months</x:v>
      </x:c>
      <x:c r="D2598" s="46" t="str"/>
      <x:c r="E2598" s="46" t="str">
        <x:v>USD 20,000 | USD 2,000</x:v>
      </x:c>
      <x:c r="F2598" s="46" t="str"/>
      <x:c r="G2598" s="46" t="str">
        <x:v>L2025-00070-1/붙임3. 현지입찰 서류 및 계약서류(안)/IKHCC Section 7,8 - contract conditions - General &amp; Special conditions. of contract 250311.docx</x:v>
      </x:c>
      <x:c r="H2598" s="43" t="str">
        <x:v>문단 223</x:v>
      </x:c>
      <x:c r="I2598" s="46" t="str">
        <x:v>The contractor shall submit detailed CPM construction progress schedule within 2 months from the contract date, and shall be up-dated by monthly when there is any delay in progress. If this is not submitted by the time required USD 20,000 shall be deducted from the contract amount. If not up-dated by monthly when the progress is delayed USD 2,000 shall be deducted per the failure of the up-date.</x:v>
      </x:c>
      <x:c r="J2598" s="43" t="str">
        <x:v>자동추출·검토필요</x:v>
      </x:c>
    </x:row>
    <x:row r="2599">
      <x:c r="A2599" s="43" t="str">
        <x:v>L2025-00063-1</x:v>
      </x:c>
      <x:c r="B2599" s="43" t="str">
        <x:v>기간</x:v>
      </x:c>
      <x:c r="C2599" s="46" t="str">
        <x:v>duration</x:v>
      </x:c>
      <x:c r="D2599" s="46" t="str"/>
      <x:c r="E2599" s="46" t="str"/>
      <x:c r="F2599" s="46" t="str">
        <x:v>15%</x:v>
      </x:c>
      <x:c r="G2599" s="46" t="str">
        <x:v>L2025-00063-1/4. 현지 입찰 안내문(영문)_vF.docx</x:v>
      </x:c>
      <x:c r="H2599" s="43" t="str">
        <x:v>표 18 행 7</x:v>
      </x:c>
      <x:c r="I2599" s="46" t="str">
        <x:v>Performance Security | The performance security will be in the form of an unconditional bank guarantee in the amount(s) of 15% of the Contract Price with a validity period of the Contract duration plus at least 60 days</x:v>
      </x:c>
      <x:c r="J2599" s="43" t="str">
        <x:v>자동추출·검토필요</x:v>
      </x:c>
    </x:row>
    <x:row r="2600">
      <x:c r="A2600" s="43" t="str">
        <x:v>L2025-00063-1</x:v>
      </x:c>
      <x:c r="B2600" s="43" t="str">
        <x:v>기간</x:v>
      </x:c>
      <x:c r="C2600" s="46" t="str">
        <x:v>duration</x:v>
      </x:c>
      <x:c r="D2600" s="46" t="str"/>
      <x:c r="E2600" s="46" t="str"/>
      <x:c r="F2600" s="46" t="str">
        <x:v>15%</x:v>
      </x:c>
      <x:c r="G2600" s="46" t="str">
        <x:v>L2025-00063-1/5. 현지 입찰 필수 서류(조감도 미포함)/Section 2 - Bid Data Sheet (BDS)_vF.docx</x:v>
      </x:c>
      <x:c r="H2600" s="43" t="str">
        <x:v>표 18 행 7</x:v>
      </x:c>
      <x:c r="I2600" s="46" t="str">
        <x:v>Performance Security | The performance security will be in the form of an unconditional bank guarantee in the amount(s) of 15% of the Contract Price with a validity period of the Contract duration plus at least 60 days</x:v>
      </x:c>
      <x:c r="J2600" s="43" t="str">
        <x:v>자동추출·검토필요</x:v>
      </x:c>
    </x:row>
    <x:row r="2601">
      <x:c r="A2601" s="43" t="str">
        <x:v>L2025-00056-1</x:v>
      </x:c>
      <x:c r="B2601" s="43" t="str">
        <x:v>기간</x:v>
      </x:c>
      <x:c r="C2601" s="46" t="str">
        <x:v>months</x:v>
      </x:c>
      <x:c r="D2601" s="46" t="str">
        <x:v>1,900 m2</x:v>
      </x:c>
      <x:c r="E2601" s="46" t="str"/>
      <x:c r="F2601" s="46" t="str"/>
      <x:c r="G2601" s="46" t="str">
        <x:v>L2025-00056-1/2-CACPM/2-CACPM/2.CACPM Company Profile.pdf</x:v>
      </x:c>
      <x:c r="H2601" s="43" t="str">
        <x:v>페이지 18</x:v>
      </x:c>
      <x:c r="I2601" s="46" t="str">
        <x:v>DESIGN AND BUILD WORKS ▪ Project name : ESTABLISHMENT OF ENVIRONMENTAL ENGINEERING ▪ Client : Gwangju Institute of Science and Technology (GIST) ▪ Project Period : 6 months, 2023 ▪ Project location : RUPP, Phnom Penh, Cambodia ▪ Project Summary : Area 1,900 m2 ▪ Conceptual Design : Dans Build ▪ Detail Design &amp; Build : CACPM ▪ Project Status : Completed</x:v>
      </x:c>
      <x:c r="J2601" s="43" t="str">
        <x:v>자동추출·검토필요</x:v>
      </x:c>
    </x:row>
    <x:row r="2602">
      <x:c r="A2602" s="43" t="str">
        <x:v>L2025-00056-1</x:v>
      </x:c>
      <x:c r="B2602" s="43" t="str">
        <x:v>기간</x:v>
      </x:c>
      <x:c r="C2602" s="46" t="str">
        <x:v>months</x:v>
      </x:c>
      <x:c r="D2602" s="46" t="str">
        <x:v>1,490 m2</x:v>
      </x:c>
      <x:c r="E2602" s="46" t="str"/>
      <x:c r="F2602" s="46" t="str"/>
      <x:c r="G2602" s="46" t="str">
        <x:v>L2025-00056-1/2-CACPM/2-CACPM/2.CACPM Company Profile.pdf</x:v>
      </x:c>
      <x:c r="H2602" s="43" t="str">
        <x:v>페이지 19</x:v>
      </x:c>
      <x:c r="I2602" s="46" t="str">
        <x:v>DESIGN AND BUILD WORKS ▪ Project name : TPMG Lux Office ▪ Client : TP Moral Group Co., Ltd. ▪ Project Period : 6 months, 2022 ▪ Project location : Phnom Penh, Cambodia ▪ Project Summary : Area 1,490 m2 ▪ Conceptual Design : Dans Build ▪ Detail Design &amp; Build : CACPM ▪ Project Status : Completed</x:v>
      </x:c>
      <x:c r="J2602" s="43" t="str">
        <x:v>자동추출·검토필요</x:v>
      </x:c>
    </x:row>
    <x:row r="2603">
      <x:c r="A2603" s="43" t="str">
        <x:v>L2025-00056-1</x:v>
      </x:c>
      <x:c r="B2603" s="43" t="str">
        <x:v>기간</x:v>
      </x:c>
      <x:c r="C2603" s="46" t="str">
        <x:v>months</x:v>
      </x:c>
      <x:c r="D2603" s="46" t="str"/>
      <x:c r="E2603" s="46" t="str"/>
      <x:c r="F2603" s="46" t="str">
        <x:v>40% | 0.05% | 15%</x:v>
      </x:c>
      <x:c r="G2603" s="46" t="str">
        <x:v>L2025-00056-1/4-PCF/4-PCF/ICT_Bid Application Form_L2025-00056-1.pdf</x:v>
      </x:c>
      <x:c r="H2603" s="43" t="str">
        <x:v>페이지 10</x:v>
      </x:c>
      <x:c r="I2603" s="46" t="str">
        <x:v>INTERNATIONAL CONSTRUCTION CONTRACT Contract Name The Construction Services of ICT Capacity Building of Lower Secondary Education in Cambodia Host Country Cambodia The Project for Construction (Remodeling) of JCT Capacity Building of Project Name Lower Secondary Education in Cambodia Work Site 4 regions: Kandal, Takeo, Prey Veng, Kampong Cham I Cambodia Six Hundred Seventy-Nine Thousand Two Hundred and Thirty Only USO Contract Price (USO 679,230.00) Performance Fifteen (15) percent of Contract Price Security Advance 40% of Contract Price plus legal interest. Paid upon reception of P/B Payments(A/P) and A/P Security I A/P Security Payment Schedule Every Month ( deducted % of the paid advanced payment amount ) Delay Damage 0.05% of Contract Price per day, Maximum 15% of Contract Price Defect Liability Three (3) percent of the Contract Price Security Contract Period 13 months from Contract Date : 2022 .10.07. ~ 2023.11.06 . This is confirm that publicized bidding notice. proposal, attached General Conditions of Contract . Special Condition of Contract, Technical Specification, Drawings, Bill of Quantities , Detail of Contract Price , Project Plan constitute this Contract. This is made</x:v>
      </x:c>
      <x:c r="J2603" s="43" t="str">
        <x:v>자동추출·검토필요</x:v>
      </x:c>
    </x:row>
    <x:row r="2604">
      <x:c r="A2604" s="43" t="str">
        <x:v>L2025-00056-1</x:v>
      </x:c>
      <x:c r="B2604" s="43" t="str">
        <x:v>기간</x:v>
      </x:c>
      <x:c r="C2604" s="46" t="str">
        <x:v>months</x:v>
      </x:c>
      <x:c r="D2604" s="46" t="str"/>
      <x:c r="E2604" s="46" t="str"/>
      <x:c r="F2604" s="46" t="str">
        <x:v>10% | 0.05% | 15%</x:v>
      </x:c>
      <x:c r="G2604" s="46" t="str">
        <x:v>L2025-00056-1/4-PCF/4-PCF/ICT_Bid Application Form_L2025-00056-1.pdf</x:v>
      </x:c>
      <x:c r="H2604" s="43" t="str">
        <x:v>페이지 13</x:v>
      </x:c>
      <x:c r="I2604" s="46" t="str">
        <x:v>INTERNATIONAL CONSTRUCTION CONTRACT The Construction Contract of the Project for Establishment National Contract Name Incubation Center of Cambodia (NICC) Host Country Cambodia The Project for Establishment of Business Incubation system between School Project Name and Industry in Cambodia Work Site Royal University in Phnom Penh, Cambodia USO 2,348. 100 (Two million three hundred forty eight thousand one Contract Price hundred dollar only) Pert ormance Fifteen (15) percent of 100 Security Advance 10% of Contract Price plus legal interest. Paid upon reception of P/B Payments(A/P) and A/P Security I A/P Security Payment Schedule Every Month Delay Damage 0.05% of Contract Price per day. Maximum 15% of Contract Price Defect Liability Three (3) percent of 100 Security · Contract Period 18 months from Contract Date : 2021.08.06. ~ 2023.02.05. This is confirm that publicized bidding notice:- ~ proposal. attached General Conditions of Contract, Special Condition of Contract, Specification, Drawings, Bill of Quantities, Detail of Contract Price. Project Plan constitute this Contract. 1'' This is made as proof Contract committed in equality to confirm genuine execution of contractual obligat</x:v>
      </x:c>
      <x:c r="J2604" s="43" t="str">
        <x:v>자동추출·검토필요</x:v>
      </x:c>
    </x:row>
    <x:row r="2605">
      <x:c r="A2605" s="43" t="str">
        <x:v>L2025-00052-1</x:v>
      </x:c>
      <x:c r="B2605" s="43" t="str">
        <x:v>기간</x:v>
      </x:c>
      <x:c r="C2605" s="46" t="str">
        <x:v>duration</x:v>
      </x:c>
      <x:c r="D2605" s="46" t="str"/>
      <x:c r="E2605" s="46" t="str">
        <x:v>$ 3</x:v>
      </x:c>
      <x:c r="F2605" s="46" t="str">
        <x:v>5%</x:v>
      </x:c>
      <x:c r="G2605" s="46" t="str">
        <x:v>L2025-00052-1/(붙임 2) 영문 입찰 계획 서류_KOICA FHBU Construction_정정본/Section 11 - Bid Document Checklist_FHBU Construction_KOICA FHBU Construction.xlsx</x:v>
      </x:c>
      <x:c r="H2605" s="43" t="str">
        <x:v>List!7</x:v>
      </x:c>
      <x:c r="I2605" s="46" t="str">
        <x:v>A7=3 | B7=Bid Submission | C7=2025-08-18 15:00:00 | D7=Bid Security | E7=Visit KOICA Office | F7=○ Type of bid security: Bank guarantee(Guarantee and section 3 - Annex 9) or irrevocable credit OR cash OR certified check, OR equivalent. ○ Amount: 5% or higher of bid amount. ○ Duration: Bid security shall remain in effect until after 30 days or more of the bid opening date. | G7=="(Attach "&amp;표1[[#This Row],[No.]]&amp;") "&amp;표1[[#This Row],[Title of the document]]&amp;"_"&amp;$A$2&amp;"_"&amp;$I$3 | H7=1 copy</x:v>
      </x:c>
      <x:c r="J2605" s="43" t="str">
        <x:v>자동추출·검토필요</x:v>
      </x:c>
    </x:row>
    <x:row r="2606">
      <x:c r="A2606" s="43" t="str">
        <x:v>L2025-00051-2</x:v>
      </x:c>
      <x:c r="B2606" s="43" t="str">
        <x:v>기간</x:v>
      </x:c>
      <x:c r="C2606" s="46" t="str">
        <x:v>construction period</x:v>
      </x:c>
      <x:c r="D2606" s="46" t="str"/>
      <x:c r="E2606" s="46" t="str"/>
      <x:c r="F2606" s="46" t="str">
        <x:v>70% | 30%</x:v>
      </x:c>
      <x:c r="G2606" s="46" t="str">
        <x:v>L2025-00051-2/Section 6- Specification Of Work/REHAB SPECIFICATION-ARCHITECTURAL.pdf</x:v>
      </x:c>
      <x:c r="H2606" s="43" t="str">
        <x:v>페이지 43</x:v>
      </x:c>
      <x:c r="I2606" s="46" t="str">
        <x:v>Stairs: Exterior Rosarosa, Sacau, Vesi, Yasiyasi Interior Damanu, Rosarosa, Sacau, Vesi, Yasiyasi Shelving Cupboards Dakua Makadre, Kaudamu, Kaunicina Benchtops Dakua Makadre, Vesi, Stone Slab from Rups Finishing: Interior Bauvudi, Dakua Makadre, Dakua Salusalu, Damanu, Yaka Mouldings Dakua Makadre, Dakua Salusalu, Kaudamu Furniture Bauvudi, Dakua Makadre, Dakua Salusalu, Damanu, Yaka Drawer Runners Buabua JOINERY IN WET AREA Pre-finished HMR board, PVC Matt finished board JOINERY IN DRY AREA Pre-finished meltecca board Note : It is extremely important that all timber joinery finishing for doors and windows be in Dakua Salusalu. Treated Kauvula should not be used for any internal finishing joinery. 11.4 EXTENT OF WORK: 11.4.1 This includes all joinery items mentioned herein or shown on the drawings. Supply all finishing timbers to the Carpenter for fixing. 11.5 FRAMES: 11.5.1 Window Frames: Shall be of the sizes and profiles indicated on the Standard Details and Window Schedule. 11.5.2 Door Frames: Shall be of the sizes and profiles indicated on the Standard Details and Door Schedule. Frame shall be completed with 12min. thickness planted stop glued and nailed. 11.6 STAIN TO INTERN</x:v>
      </x:c>
      <x:c r="J2606" s="43" t="str">
        <x:v>자동추출·검토필요</x:v>
      </x:c>
    </x:row>
    <x:row r="2607">
      <x:c r="A2607" s="43" t="str">
        <x:v>L2025-00051-2</x:v>
      </x:c>
      <x:c r="B2607" s="43" t="str">
        <x:v>기간</x:v>
      </x:c>
      <x:c r="C2607" s="46" t="str">
        <x:v>months</x:v>
      </x:c>
      <x:c r="D2607" s="46" t="str"/>
      <x:c r="E2607" s="46" t="str">
        <x:v>$ 2000.00</x:v>
      </x:c>
      <x:c r="F2607" s="46" t="str"/>
      <x:c r="G2607" s="46" t="str">
        <x:v>L2025-00051-2/Section 6- Specification Of Work/REHAB SPECIFICATION-ARCHITECTURAL.pdf</x:v>
      </x:c>
      <x:c r="H2607" s="43" t="str">
        <x:v>페이지 82</x:v>
      </x:c>
      <x:c r="I2607" s="46" t="str">
        <x:v>APPENDIX 1 SCHEDULE OF NOTES SUPPLEMENTING THE SPECIFICATION Job Name : PROPOSED NATIONAL REHABILITATION CENTRE FOR MINISTRY OF HEALTH &amp; MEDICAL SERVICES Site Location : PRINCES RD, TAMAVUA, SUVA THE FOLLOWING VAT INCLUSIVE SUMS TO BE INCLUDED IN YOUR TENDER PROPOSAL. CLAUSE ITEM AMOUNT NOTE : All sums allowed are inclusive of VAT. 1.1 FORM OF CONTRACT : Fiji Standard Form of Building Contract without Quantities Private edition 1978 issued by Fiji Joint Contracts Tribunal. 1.3 TENDER DOCUMENT DEPOSIT : NIL 1.4 TENDER DEPOSIT : NIL 1.6 LIQUIDATED &amp; ASCERTAINED DAMAGES : F$2000.00 PER calender day or part thereof. 1.10 INSURANCE : Clause 20 (C) of the Contract Conditions are applicable. 1.14 DEFECTS LIABILITY PERIOD : 24 MONTHS APPENDIX 1 con'td APPENDIX TO FORM OF TENDER</x:v>
      </x:c>
      <x:c r="J2607" s="43" t="str">
        <x:v>자동추출·검토필요</x:v>
      </x:c>
    </x:row>
    <x:row r="2608">
      <x:c r="A2608" s="43" t="str">
        <x:v>L2025-00051-2</x:v>
      </x:c>
      <x:c r="B2608" s="43" t="str">
        <x:v>기간</x:v>
      </x:c>
      <x:c r="C2608" s="46" t="str">
        <x:v>duration</x:v>
      </x:c>
      <x:c r="D2608" s="46" t="str"/>
      <x:c r="E2608" s="46" t="str"/>
      <x:c r="F2608" s="46" t="str">
        <x:v>60%</x:v>
      </x:c>
      <x:c r="G2608" s="46" t="str">
        <x:v>L2025-00051-2/Section 6- Specification Of Work/Services Specifications/3921-Specifications-Electrical Services-T1-2024.08.22.pdf</x:v>
      </x:c>
      <x:c r="H2608" s="43" t="str">
        <x:v>페이지 11</x:v>
      </x:c>
      <x:c r="I2608" s="46" t="str">
        <x:v>1.23 TENDER SUBMISSION Details of tender submission shall be as per the tender cover letter. Bids shall be submitted on the tender form. One copy of the tender form shall be submitted and one copy retained by the Contractor for his records. All blank spaces for bid prices shall be filled in type. Any exceptions, exclusions or tags to the tender documents shall be fully explained in the same. The Contractor shall ensure that the tender includes all work necessary to fulfil the requirements of the specifications and drawings. The contractor shall ensure that all material and equipment quantities are correct. All bids shall indicate the following: ● The contractor’s projected duration of installation works ● All exclusions in this contract. Note that unless specified otherwise, it shall be deemed that all requirements of the tender documentation have been included in the bid. ● Validity period of the tender bid shall be explicitly stated. The Contractor shall ensure that the tender pricing schedule is arithmetically accurate. 1.24 INSPECTIONS, TESTING AND COMMISSIONING 1.24.1 Project Test Procedures and Test Plans The Contractor shall submit detailed project procedures, QA forms and p</x:v>
      </x:c>
      <x:c r="J2608" s="43" t="str">
        <x:v>자동추출·검토필요</x:v>
      </x:c>
    </x:row>
    <x:row r="2609">
      <x:c r="A2609" s="43" t="str">
        <x:v>L2025-00051-2</x:v>
      </x:c>
      <x:c r="B2609" s="43" t="str">
        <x:v>기간</x:v>
      </x:c>
      <x:c r="C2609" s="46" t="str">
        <x:v>duration, months</x:v>
      </x:c>
      <x:c r="D2609" s="46" t="str"/>
      <x:c r="E2609" s="46" t="str"/>
      <x:c r="F2609" s="46" t="str">
        <x:v>125% | 125%</x:v>
      </x:c>
      <x:c r="G2609" s="46" t="str">
        <x:v>L2025-00051-2/Section 6- Specification Of Work/Services Specifications/3921-Specifications-Electrical Services-T1-2024.08.22.pdf</x:v>
      </x:c>
      <x:c r="H2609" s="43" t="str">
        <x:v>페이지 32</x:v>
      </x:c>
      <x:c r="I2609" s="46" t="str">
        <x:v>oil, radiator coolant, operations and maintenance manuals as well as comprehensive generator manuals which need to be passed onto the client upon commissioning. 9. The generator contractor shall also include client training upon commissioning, provision of correct as built drawings to be provided prior to practical completion. 10. The generator supplier has to carry out all necessary tests and checks on the generator, the engine, the fuel solenoid, emergency shutdown tests, inspection on the exhaust silencer installation and rectification of any defects, pre engine checks, on load tests, checks for indication of status LED lamps for generator run, circuit breaker close etc. 7.3.6.0 Training 1. The equipment supplier shall provide training for the facility operating personnel covering operation and maintenance of the equipment provided. The training program shall be not less than 4 hours in duration and the class size shall be limited to 5 persons. Training date shall be coordinated with the facility owner on completion of site acceptance tests. 7.3.7.0 Service and Support 1. The manufacturer of the generator set shall maintain service parts inventory at a central location, which is</x:v>
      </x:c>
      <x:c r="J2609" s="43" t="str">
        <x:v>자동추출·검토필요</x:v>
      </x:c>
    </x:row>
    <x:row r="2610">
      <x:c r="A2610" s="43" t="str">
        <x:v>L2025-00051-2</x:v>
      </x:c>
      <x:c r="B2610" s="43" t="str">
        <x:v>기간</x:v>
      </x:c>
      <x:c r="C2610" s="46" t="str">
        <x:v>construction period</x:v>
      </x:c>
      <x:c r="D2610" s="46" t="str"/>
      <x:c r="E2610" s="46" t="str">
        <x:v>19 3.0 PEN</x:v>
      </x:c>
      <x:c r="F2610" s="46" t="str"/>
      <x:c r="G2610" s="46" t="str">
        <x:v>L2025-00051-2/Section 6- Specification Of Work/Services Specifications/3921-Specifications-Electronic Services-T1-2024.08.22.pdf</x:v>
      </x:c>
      <x:c r="H2610" s="43" t="str">
        <x:v>페이지 2</x:v>
      </x:c>
      <x:c r="I2610" s="46" t="str">
        <x:v>EDISON CONSULTANTS LIMITED 22 MARION STREET SUVA, FIJI ISLANDS TELEPHONE: (679) 330 7060 ■ website: www.edisonconsultants.com ■ office email: info@edisonconsultants.com ■ project manager: edisonfiji@gmail.com TABLE OF CONTENTS 1.0 GENERAL......................................................................................................................................3 1.1 INTRODUCTION 3 1.2 DEFINITIONS AND ABBREVIATIONS 3 1.3 REFERENCE DOCUMENTS 4 1.4 STANDARDS AND CODES OF PRACTICE 4 1.5 CONTRACTOR’S RESPONSIBILITES 5 1.6 LOCAL AUTHORITIES 6 1.7 CONDITIONS OF CONTRACT 7 1.8 CO-ORDINATION WITH OTHER TRADES 7 1.9 SITE MEETINGS 7 1.10 CONTRACTOR’S PERSONNEL 7 1.11 SUB - CONTRACTORS 8 1.12 WORK PROGRAMME 8 1.13 OCCUPATIONAL HEALTH AND SAFETY 8 1.14 TENDER COMPLIANCE 8 1.15 SUBMITTALS REQUIRED BY CONTRACTOR 9 1.16 PROJECT SITE AND WORK CONDITIONS 11 1.17 CONSTRUCTION PERIOD COMMUNICATION 11 1.18 TENDER BRIEFING MEETING 12 1.19 CONSTRUCTION DRAWINGS 12 1.20 AS-BUILT DOCUMENTATION 13 1.21 TENDER SUBMISSION 13 1.22 INSPECTIONS, TESTING AND COMMISSIONING 13 1.23 MAINTENANCE AND DEFECTS LIABILITY 15 1.24 PROJECT COMPLETION 16 2.0 SCOPE AND DESCRIPTION OF WORKS ...........................</x:v>
      </x:c>
      <x:c r="J2610" s="43" t="str">
        <x:v>자동추출·검토필요</x:v>
      </x:c>
    </x:row>
    <x:row r="2611">
      <x:c r="A2611" s="43" t="str">
        <x:v>L2025-00051-2</x:v>
      </x:c>
      <x:c r="B2611" s="43" t="str">
        <x:v>기간</x:v>
      </x:c>
      <x:c r="C2611" s="46" t="str">
        <x:v>duration, months</x:v>
      </x:c>
      <x:c r="D2611" s="46" t="str"/>
      <x:c r="E2611" s="46" t="str"/>
      <x:c r="F2611" s="46" t="str">
        <x:v>50%</x:v>
      </x:c>
      <x:c r="G2611" s="46" t="str">
        <x:v>L2025-00051-2/Section 6- Specification Of Work/Services Specifications/3921-Specifications-Hydraulics Services-T1-2024.08.22.pdf</x:v>
      </x:c>
      <x:c r="H2611" s="43" t="str">
        <x:v>페이지 19</x:v>
      </x:c>
      <x:c r="I2611" s="46" t="str">
        <x:v>EDISON CONSULTANTS LIMITED 22 MARION STREET, SUVA, FIJI ISLANDS GPO BOX 11622 SUVA, FIJI ISLANDS TELEPHONE: (679) 330 7060 FAX : (679) 330 3744 MOBILE: (679) 999 0676 ■ website: www.edisonconsultants.com ■ office email: info@edisonconsultants.com ■ project manager: edisonfiji@gmail.com Carry out the commissioning of all component parts and of the whole installation under the direction of qualified personnel competent in the relevant fields. Issue testing and commissioning results to the Services Engineer for approval. 8.1 PRESSURE TESTING All pressure tests are to be carried out as per AS3500 standards and at a minimum pressure of 1500kPa and a minimum duration of 30 minutes. Pressure tests are to be witnessed by the Services Engineer. Maintain tests for a period of not less than four hours without loss of pressure and carry out testing under the supervision of the Services Engineer or his representative. Provide duplicate test certificates for all tests duly signed by the Contractor and Services Engineer's representative. Repair any defects and repeat the tests until the system is free from faults. All instruments used to measure system and equipment performance are to be certifie</x:v>
      </x:c>
      <x:c r="J2611" s="43" t="str">
        <x:v>자동추출·검토필요</x:v>
      </x:c>
    </x:row>
    <x:row r="2612">
      <x:c r="A2612" s="43" t="str">
        <x:v>L2025-00051-2</x:v>
      </x:c>
      <x:c r="B2612" s="43" t="str">
        <x:v>기간</x:v>
      </x:c>
      <x:c r="C2612" s="46" t="str">
        <x:v>months</x:v>
      </x:c>
      <x:c r="D2612" s="46" t="str"/>
      <x:c r="E2612" s="46" t="str"/>
      <x:c r="F2612" s="46" t="str">
        <x:v>50%</x:v>
      </x:c>
      <x:c r="G2612" s="46" t="str">
        <x:v>L2025-00051-2/Section 6- Specification Of Work/Services Specifications/3921-Specifications-Mechanical Services-T1-2024.08.22.pdf</x:v>
      </x:c>
      <x:c r="H2612" s="43" t="str">
        <x:v>페이지 14</x:v>
      </x:c>
      <x:c r="I2612" s="46" t="str">
        <x:v>EDISON CONSULTANTS LIMITED 22 MARION STREET, SUVA, FIJI ISLANDS GPO BOX 11622 SUVA, FIJI ISLANDS TELEPHONE: (679) 330 7060 FAX: (679) 330 3744 MOBILE: (679) 999 0676 Supply of ducts, fittings, insulation, hangers and supports, flexible connectors, volume 26 control dampers, backdraft dampers, access panels/doors, vibration isolators, controls and accessories. Installation of ducts, fittings, insulation, hangers and supports, flexible connectors, volume 27 control dampers, backdraft dampers, access panels/doors, vibration isolators, controls and accessories. Supply and installation of proposed new kitchen exhaust hood along with control panel and 28 interlocking with fans. 29 Supply of proposed mechanical services switchboard and associated switchgears 30 Installation of proposed mechanical services switchboard and associated switchgears 31 All associated builder’s works. 32 All associated electrical works. 33 All associated plumbing works. 34 Testing and Commissioning. 35 Provisions of Shop Drawings 36 Maintenance (Defects Liability) for 12 months 37 As Built manuals &amp; drawings 26.0 DESIGN CONDITIONS 26.1 Summer outdoor design conditions 33°C DBT, 29.5°C WBT 26.2 Summer indoor desi</x:v>
      </x:c>
      <x:c r="J2612" s="43" t="str">
        <x:v>자동추출·검토필요</x:v>
      </x:c>
    </x:row>
    <x:row r="2613">
      <x:c r="A2613" s="43" t="str">
        <x:v>L2025-00051-2</x:v>
      </x:c>
      <x:c r="B2613" s="43" t="str">
        <x:v>기간</x:v>
      </x:c>
      <x:c r="C2613" s="46" t="str">
        <x:v>months</x:v>
      </x:c>
      <x:c r="D2613" s="46" t="str"/>
      <x:c r="E2613" s="46" t="str"/>
      <x:c r="F2613" s="46" t="str">
        <x:v>5%</x:v>
      </x:c>
      <x:c r="G2613" s="46" t="str">
        <x:v>L2025-00051-2/Section 6- Specification Of Work/Services Specifications/3921-Specifications-Mechanical Services-T1-2024.08.22.pdf</x:v>
      </x:c>
      <x:c r="H2613" s="43" t="str">
        <x:v>페이지 33</x:v>
      </x:c>
      <x:c r="I2613" s="46" t="str">
        <x:v>EDISON CONSULTANTS LIMITED 22 MARION STREET, SUVA, FIJI ISLANDS GPO BOX 11622 SUVA, FIJI ISLANDS TELEPHONE: (679) 330 7060 FAX: (679) 330 3744 MOBILE: (679) 999 0676 39.0 DEFECTS LIABILITY The Mechanical Services contractor shall be responsible for providing maintenance services for a period of 12 months from the date of practical completion of the Whole Contract Works. A maintenance services programme based on the equipment manufacturer’s recommendations shall be submitted as part of the tender offer. This program shall include a description of the work to be carried out and include sample reports. The maintenance services shall include replacing or repairing any faulty equipment or materials, or the results of incompetent workmanship, free of charge. The contractor shall submit maintenance reports (minimum monthly) with copies to the client and engineer. All maintenance works must be signed off on site by the client’s representative. A copy of the manufacturer's warranty shall be provided with close-out documentation and included with the operation and maintenance manuals. The Supplier shall maintain a service organization with adequate spare parts. Any defects that render the sy</x:v>
      </x:c>
      <x:c r="J2613" s="43" t="str">
        <x:v>자동추출·검토필요</x:v>
      </x:c>
    </x:row>
    <x:row r="2614">
      <x:c r="A2614" s="43" t="str">
        <x:v>L2025-00051-1</x:v>
      </x:c>
      <x:c r="B2614" s="43" t="str">
        <x:v>기간</x:v>
      </x:c>
      <x:c r="C2614" s="46" t="str">
        <x:v>construction period</x:v>
      </x:c>
      <x:c r="D2614" s="46" t="str"/>
      <x:c r="E2614" s="46" t="str"/>
      <x:c r="F2614" s="46" t="str">
        <x:v>70% | 30%</x:v>
      </x:c>
      <x:c r="G2614" s="46" t="str">
        <x:v>L2025-00051-1/Section 6- Specification Of Work/REHAB SPECIFICATION-ARCHITECTURAL.pdf</x:v>
      </x:c>
      <x:c r="H2614" s="43" t="str">
        <x:v>페이지 43</x:v>
      </x:c>
      <x:c r="I2614" s="46" t="str">
        <x:v>Stairs: Exterior Rosarosa, Sacau, Vesi, Yasiyasi Interior Damanu, Rosarosa, Sacau, Vesi, Yasiyasi Shelving Cupboards Dakua Makadre, Kaudamu, Kaunicina Benchtops Dakua Makadre, Vesi, Stone Slab from Rups Finishing: Interior Bauvudi, Dakua Makadre, Dakua Salusalu, Damanu, Yaka Mouldings Dakua Makadre, Dakua Salusalu, Kaudamu Furniture Bauvudi, Dakua Makadre, Dakua Salusalu, Damanu, Yaka Drawer Runners Buabua JOINERY IN WET AREA Pre-finished HMR board, PVC Matt finished board JOINERY IN DRY AREA Pre-finished meltecca board Note : It is extremely important that all timber joinery finishing for doors and windows be in Dakua Salusalu. Treated Kauvula should not be used for any internal finishing joinery. 11.4 EXTENT OF WORK: 11.4.1 This includes all joinery items mentioned herein or shown on the drawings. Supply all finishing timbers to the Carpenter for fixing. 11.5 FRAMES: 11.5.1 Window Frames: Shall be of the sizes and profiles indicated on the Standard Details and Window Schedule. 11.5.2 Door Frames: Shall be of the sizes and profiles indicated on the Standard Details and Door Schedule. Frame shall be completed with 12min. thickness planted stop glued and nailed. 11.6 STAIN TO INTERN</x:v>
      </x:c>
      <x:c r="J2614" s="43" t="str">
        <x:v>자동추출·검토필요</x:v>
      </x:c>
    </x:row>
    <x:row r="2615">
      <x:c r="A2615" s="43" t="str">
        <x:v>L2025-00051-1</x:v>
      </x:c>
      <x:c r="B2615" s="43" t="str">
        <x:v>기간</x:v>
      </x:c>
      <x:c r="C2615" s="46" t="str">
        <x:v>months</x:v>
      </x:c>
      <x:c r="D2615" s="46" t="str"/>
      <x:c r="E2615" s="46" t="str">
        <x:v>$ 2000.00</x:v>
      </x:c>
      <x:c r="F2615" s="46" t="str"/>
      <x:c r="G2615" s="46" t="str">
        <x:v>L2025-00051-1/Section 6- Specification Of Work/REHAB SPECIFICATION-ARCHITECTURAL.pdf</x:v>
      </x:c>
      <x:c r="H2615" s="43" t="str">
        <x:v>페이지 82</x:v>
      </x:c>
      <x:c r="I2615" s="46" t="str">
        <x:v>APPENDIX 1 SCHEDULE OF NOTES SUPPLEMENTING THE SPECIFICATION Job Name : PROPOSED NATIONAL REHABILITATION CENTRE FOR MINISTRY OF HEALTH &amp; MEDICAL SERVICES Site Location : PRINCES RD, TAMAVUA, SUVA THE FOLLOWING VAT INCLUSIVE SUMS TO BE INCLUDED IN YOUR TENDER PROPOSAL. CLAUSE ITEM AMOUNT NOTE : All sums allowed are inclusive of VAT. 1.1 FORM OF CONTRACT : Fiji Standard Form of Building Contract without Quantities Private edition 1978 issued by Fiji Joint Contracts Tribunal. 1.3 TENDER DOCUMENT DEPOSIT : NIL 1.4 TENDER DEPOSIT : NIL 1.6 LIQUIDATED &amp; ASCERTAINED DAMAGES : F$2000.00 PER calender day or part thereof. 1.10 INSURANCE : Clause 20 (C) of the Contract Conditions are applicable. 1.14 DEFECTS LIABILITY PERIOD : 24 MONTHS APPENDIX 1 con'td APPENDIX TO FORM OF TENDER</x:v>
      </x:c>
      <x:c r="J2615" s="43" t="str">
        <x:v>자동추출·검토필요</x:v>
      </x:c>
    </x:row>
    <x:row r="2616">
      <x:c r="A2616" s="43" t="str">
        <x:v>L2025-00051-1</x:v>
      </x:c>
      <x:c r="B2616" s="43" t="str">
        <x:v>기간</x:v>
      </x:c>
      <x:c r="C2616" s="46" t="str">
        <x:v>duration</x:v>
      </x:c>
      <x:c r="D2616" s="46" t="str"/>
      <x:c r="E2616" s="46" t="str"/>
      <x:c r="F2616" s="46" t="str">
        <x:v>60%</x:v>
      </x:c>
      <x:c r="G2616" s="46" t="str">
        <x:v>L2025-00051-1/Section 6- Specification Of Work/Services Specifications/3921-Specifications-Electrical Services-T1-2024.08.22.pdf</x:v>
      </x:c>
      <x:c r="H2616" s="43" t="str">
        <x:v>페이지 11</x:v>
      </x:c>
      <x:c r="I2616" s="46" t="str">
        <x:v>1.23 TENDER SUBMISSION Details of tender submission shall be as per the tender cover letter. Bids shall be submitted on the tender form. One copy of the tender form shall be submitted and one copy retained by the Contractor for his records. All blank spaces for bid prices shall be filled in type. Any exceptions, exclusions or tags to the tender documents shall be fully explained in the same. The Contractor shall ensure that the tender includes all work necessary to fulfil the requirements of the specifications and drawings. The contractor shall ensure that all material and equipment quantities are correct. All bids shall indicate the following: ● The contractor’s projected duration of installation works ● All exclusions in this contract. Note that unless specified otherwise, it shall be deemed that all requirements of the tender documentation have been included in the bid. ● Validity period of the tender bid shall be explicitly stated. The Contractor shall ensure that the tender pricing schedule is arithmetically accurate. 1.24 INSPECTIONS, TESTING AND COMMISSIONING 1.24.1 Project Test Procedures and Test Plans The Contractor shall submit detailed project procedures, QA forms and p</x:v>
      </x:c>
      <x:c r="J2616" s="43" t="str">
        <x:v>자동추출·검토필요</x:v>
      </x:c>
    </x:row>
    <x:row r="2617">
      <x:c r="A2617" s="43" t="str">
        <x:v>L2025-00051-1</x:v>
      </x:c>
      <x:c r="B2617" s="43" t="str">
        <x:v>기간</x:v>
      </x:c>
      <x:c r="C2617" s="46" t="str">
        <x:v>duration, months</x:v>
      </x:c>
      <x:c r="D2617" s="46" t="str"/>
      <x:c r="E2617" s="46" t="str"/>
      <x:c r="F2617" s="46" t="str">
        <x:v>125% | 125%</x:v>
      </x:c>
      <x:c r="G2617" s="46" t="str">
        <x:v>L2025-00051-1/Section 6- Specification Of Work/Services Specifications/3921-Specifications-Electrical Services-T1-2024.08.22.pdf</x:v>
      </x:c>
      <x:c r="H2617" s="43" t="str">
        <x:v>페이지 32</x:v>
      </x:c>
      <x:c r="I2617" s="46" t="str">
        <x:v>oil, radiator coolant, operations and maintenance manuals as well as comprehensive generator manuals which need to be passed onto the client upon commissioning. 9. The generator contractor shall also include client training upon commissioning, provision of correct as built drawings to be provided prior to practical completion. 10. The generator supplier has to carry out all necessary tests and checks on the generator, the engine, the fuel solenoid, emergency shutdown tests, inspection on the exhaust silencer installation and rectification of any defects, pre engine checks, on load tests, checks for indication of status LED lamps for generator run, circuit breaker close etc. 7.3.6.0 Training 1. The equipment supplier shall provide training for the facility operating personnel covering operation and maintenance of the equipment provided. The training program shall be not less than 4 hours in duration and the class size shall be limited to 5 persons. Training date shall be coordinated with the facility owner on completion of site acceptance tests. 7.3.7.0 Service and Support 1. The manufacturer of the generator set shall maintain service parts inventory at a central location, which is</x:v>
      </x:c>
      <x:c r="J2617" s="43" t="str">
        <x:v>자동추출·검토필요</x:v>
      </x:c>
    </x:row>
    <x:row r="2618">
      <x:c r="A2618" s="43" t="str">
        <x:v>L2025-00051-1</x:v>
      </x:c>
      <x:c r="B2618" s="43" t="str">
        <x:v>기간</x:v>
      </x:c>
      <x:c r="C2618" s="46" t="str">
        <x:v>construction period</x:v>
      </x:c>
      <x:c r="D2618" s="46" t="str"/>
      <x:c r="E2618" s="46" t="str">
        <x:v>19 3.0 PEN</x:v>
      </x:c>
      <x:c r="F2618" s="46" t="str"/>
      <x:c r="G2618" s="46" t="str">
        <x:v>L2025-00051-1/Section 6- Specification Of Work/Services Specifications/3921-Specifications-Electronic Services-T1-2024.08.22.pdf</x:v>
      </x:c>
      <x:c r="H2618" s="43" t="str">
        <x:v>페이지 2</x:v>
      </x:c>
      <x:c r="I2618" s="46" t="str">
        <x:v>EDISON CONSULTANTS LIMITED 22 MARION STREET SUVA, FIJI ISLANDS TELEPHONE: (679) 330 7060 ■ website: www.edisonconsultants.com ■ office email: info@edisonconsultants.com ■ project manager: edisonfiji@gmail.com TABLE OF CONTENTS 1.0 GENERAL......................................................................................................................................3 1.1 INTRODUCTION 3 1.2 DEFINITIONS AND ABBREVIATIONS 3 1.3 REFERENCE DOCUMENTS 4 1.4 STANDARDS AND CODES OF PRACTICE 4 1.5 CONTRACTOR’S RESPONSIBILITES 5 1.6 LOCAL AUTHORITIES 6 1.7 CONDITIONS OF CONTRACT 7 1.8 CO-ORDINATION WITH OTHER TRADES 7 1.9 SITE MEETINGS 7 1.10 CONTRACTOR’S PERSONNEL 7 1.11 SUB - CONTRACTORS 8 1.12 WORK PROGRAMME 8 1.13 OCCUPATIONAL HEALTH AND SAFETY 8 1.14 TENDER COMPLIANCE 8 1.15 SUBMITTALS REQUIRED BY CONTRACTOR 9 1.16 PROJECT SITE AND WORK CONDITIONS 11 1.17 CONSTRUCTION PERIOD COMMUNICATION 11 1.18 TENDER BRIEFING MEETING 12 1.19 CONSTRUCTION DRAWINGS 12 1.20 AS-BUILT DOCUMENTATION 13 1.21 TENDER SUBMISSION 13 1.22 INSPECTIONS, TESTING AND COMMISSIONING 13 1.23 MAINTENANCE AND DEFECTS LIABILITY 15 1.24 PROJECT COMPLETION 16 2.0 SCOPE AND DESCRIPTION OF WORKS ...........................</x:v>
      </x:c>
      <x:c r="J2618" s="43" t="str">
        <x:v>자동추출·검토필요</x:v>
      </x:c>
    </x:row>
    <x:row r="2619">
      <x:c r="A2619" s="43" t="str">
        <x:v>L2025-00051-1</x:v>
      </x:c>
      <x:c r="B2619" s="43" t="str">
        <x:v>기간</x:v>
      </x:c>
      <x:c r="C2619" s="46" t="str">
        <x:v>duration, months</x:v>
      </x:c>
      <x:c r="D2619" s="46" t="str"/>
      <x:c r="E2619" s="46" t="str"/>
      <x:c r="F2619" s="46" t="str">
        <x:v>50%</x:v>
      </x:c>
      <x:c r="G2619" s="46" t="str">
        <x:v>L2025-00051-1/Section 6- Specification Of Work/Services Specifications/3921-Specifications-Hydraulics Services-T1-2024.08.22.pdf</x:v>
      </x:c>
      <x:c r="H2619" s="43" t="str">
        <x:v>페이지 19</x:v>
      </x:c>
      <x:c r="I2619" s="46" t="str">
        <x:v>EDISON CONSULTANTS LIMITED 22 MARION STREET, SUVA, FIJI ISLANDS GPO BOX 11622 SUVA, FIJI ISLANDS TELEPHONE: (679) 330 7060 FAX : (679) 330 3744 MOBILE: (679) 999 0676 ■ website: www.edisonconsultants.com ■ office email: info@edisonconsultants.com ■ project manager: edisonfiji@gmail.com Carry out the commissioning of all component parts and of the whole installation under the direction of qualified personnel competent in the relevant fields. Issue testing and commissioning results to the Services Engineer for approval. 8.1 PRESSURE TESTING All pressure tests are to be carried out as per AS3500 standards and at a minimum pressure of 1500kPa and a minimum duration of 30 minutes. Pressure tests are to be witnessed by the Services Engineer. Maintain tests for a period of not less than four hours without loss of pressure and carry out testing under the supervision of the Services Engineer or his representative. Provide duplicate test certificates for all tests duly signed by the Contractor and Services Engineer's representative. Repair any defects and repeat the tests until the system is free from faults. All instruments used to measure system and equipment performance are to be certifie</x:v>
      </x:c>
      <x:c r="J2619" s="43" t="str">
        <x:v>자동추출·검토필요</x:v>
      </x:c>
    </x:row>
    <x:row r="2620">
      <x:c r="A2620" s="43" t="str">
        <x:v>L2025-00051-1</x:v>
      </x:c>
      <x:c r="B2620" s="43" t="str">
        <x:v>기간</x:v>
      </x:c>
      <x:c r="C2620" s="46" t="str">
        <x:v>months</x:v>
      </x:c>
      <x:c r="D2620" s="46" t="str"/>
      <x:c r="E2620" s="46" t="str"/>
      <x:c r="F2620" s="46" t="str">
        <x:v>50%</x:v>
      </x:c>
      <x:c r="G2620" s="46" t="str">
        <x:v>L2025-00051-1/Section 6- Specification Of Work/Services Specifications/3921-Specifications-Mechanical Services-T1-2024.08.22.pdf</x:v>
      </x:c>
      <x:c r="H2620" s="43" t="str">
        <x:v>페이지 14</x:v>
      </x:c>
      <x:c r="I2620" s="46" t="str">
        <x:v>EDISON CONSULTANTS LIMITED 22 MARION STREET, SUVA, FIJI ISLANDS GPO BOX 11622 SUVA, FIJI ISLANDS TELEPHONE: (679) 330 7060 FAX: (679) 330 3744 MOBILE: (679) 999 0676 Supply of ducts, fittings, insulation, hangers and supports, flexible connectors, volume 26 control dampers, backdraft dampers, access panels/doors, vibration isolators, controls and accessories. Installation of ducts, fittings, insulation, hangers and supports, flexible connectors, volume 27 control dampers, backdraft dampers, access panels/doors, vibration isolators, controls and accessories. Supply and installation of proposed new kitchen exhaust hood along with control panel and 28 interlocking with fans. 29 Supply of proposed mechanical services switchboard and associated switchgears 30 Installation of proposed mechanical services switchboard and associated switchgears 31 All associated builder’s works. 32 All associated electrical works. 33 All associated plumbing works. 34 Testing and Commissioning. 35 Provisions of Shop Drawings 36 Maintenance (Defects Liability) for 12 months 37 As Built manuals &amp; drawings 26.0 DESIGN CONDITIONS 26.1 Summer outdoor design conditions 33°C DBT, 29.5°C WBT 26.2 Summer indoor desi</x:v>
      </x:c>
      <x:c r="J2620" s="43" t="str">
        <x:v>자동추출·검토필요</x:v>
      </x:c>
    </x:row>
    <x:row r="2621">
      <x:c r="A2621" s="43" t="str">
        <x:v>L2025-00051-1</x:v>
      </x:c>
      <x:c r="B2621" s="43" t="str">
        <x:v>기간</x:v>
      </x:c>
      <x:c r="C2621" s="46" t="str">
        <x:v>months</x:v>
      </x:c>
      <x:c r="D2621" s="46" t="str"/>
      <x:c r="E2621" s="46" t="str"/>
      <x:c r="F2621" s="46" t="str">
        <x:v>5%</x:v>
      </x:c>
      <x:c r="G2621" s="46" t="str">
        <x:v>L2025-00051-1/Section 6- Specification Of Work/Services Specifications/3921-Specifications-Mechanical Services-T1-2024.08.22.pdf</x:v>
      </x:c>
      <x:c r="H2621" s="43" t="str">
        <x:v>페이지 33</x:v>
      </x:c>
      <x:c r="I2621" s="46" t="str">
        <x:v>EDISON CONSULTANTS LIMITED 22 MARION STREET, SUVA, FIJI ISLANDS GPO BOX 11622 SUVA, FIJI ISLANDS TELEPHONE: (679) 330 7060 FAX: (679) 330 3744 MOBILE: (679) 999 0676 39.0 DEFECTS LIABILITY The Mechanical Services contractor shall be responsible for providing maintenance services for a period of 12 months from the date of practical completion of the Whole Contract Works. A maintenance services programme based on the equipment manufacturer’s recommendations shall be submitted as part of the tender offer. This program shall include a description of the work to be carried out and include sample reports. The maintenance services shall include replacing or repairing any faulty equipment or materials, or the results of incompetent workmanship, free of charge. The contractor shall submit maintenance reports (minimum monthly) with copies to the client and engineer. All maintenance works must be signed off on site by the client’s representative. A copy of the manufacturer's warranty shall be provided with close-out documentation and included with the operation and maintenance manuals. The Supplier shall maintain a service organization with adequate spare parts. Any defects that render the sy</x:v>
      </x:c>
      <x:c r="J2621" s="43" t="str">
        <x:v>자동추출·검토필요</x:v>
      </x:c>
    </x:row>
    <x:row r="2622">
      <x:c r="A2622" s="43" t="str">
        <x:v>L2025-00045-2</x:v>
      </x:c>
      <x:c r="B2622" s="43" t="str">
        <x:v>기간</x:v>
      </x:c>
      <x:c r="C2622" s="46" t="str">
        <x:v>construction period</x:v>
      </x:c>
      <x:c r="D2622" s="46" t="str">
        <x:v>6,000 M2 | 27,500 M2 | 750 M2 | 400 M2 | 6,000 M2 | 27,500 M2 | 750 M2 | 400 M2</x:v>
      </x:c>
      <x:c r="E2622" s="46" t="str"/>
      <x:c r="F2622" s="46" t="str"/>
      <x:c r="G2622" s="46" t="str">
        <x:v>L2025-00045-2/붙임3. 영문 입찰서류(양식 등 포함)/Section 2 - Bid Data Sheet (BDS)_v2_250827(└╧┴ñ╝÷┴ñ).docx</x:v>
      </x:c>
      <x:c r="H2622" s="43" t="str">
        <x:v>표 5 행 3</x:v>
      </x:c>
      <x:c r="I2622" s="46" t="str">
        <x:v>․ Scope of Service | ※The assignment consist of the services for the construction of the project mentioned below: - New Construction of a Model School in Daratoo: Total Floor Area 6,000 M2. 42 class rooms. The Project site area is 27,500 M2 - New Construction of an Institute in New Hawler: Total Floor Area 750 M2 for training teachers. The Project site area is approx.5,400 M2 1) Design and Construction document Service -Soil Investigation and Required surveys (Including Existing facilities, Topographical, Structural, and Geographical surveys for New construction work) -Preparation of design and other engineering services necessary to bring the work to the construction readiness state for the projects mentioned in the Agreement - Preparation of all the developed construction documents -All required administration &amp; preparation for relevant permits 2) Bidding support for selecting the construction contractors -- The service includes but not limited to the technical review on the priced detailed BoQ for the construction contract. 3) Comprehensive supervision services, including technical and construction oversight and design modifications (as required), throughout the construction per</x:v>
      </x:c>
      <x:c r="J2622" s="43" t="str">
        <x:v>자동추출·검토필요</x:v>
      </x:c>
    </x:row>
    <x:row r="2623">
      <x:c r="A2623" s="43" t="str">
        <x:v>L2025-00045-2</x:v>
      </x:c>
      <x:c r="B2623" s="43" t="str">
        <x:v>기간</x:v>
      </x:c>
      <x:c r="C2623" s="46" t="str">
        <x:v>calendar days</x:v>
      </x:c>
      <x:c r="D2623" s="46" t="str"/>
      <x:c r="E2623" s="46" t="str"/>
      <x:c r="F2623" s="46" t="str">
        <x:v>10%</x:v>
      </x:c>
      <x:c r="G2623" s="46" t="str">
        <x:v>L2025-00045-2/붙임3. 영문 입찰서류(양식 등 포함)/Section 4 - Request for Proposal (RFP)_v1_250826(║»░µ╛°└╜).doc</x:v>
      </x:c>
      <x:c r="H2623" s="43" t="str">
        <x:v>문단 212</x:v>
      </x:c>
      <x:c r="I2623" s="46" t="str">
        <x:v>Monitor that the physical progress of the works is in accordance with the implementation of the project’s execution plan. When the project schedule is delayed in a percentage greater than 10% of the Monthly physical progress, the Supervisor is often required to request the Contractor to update the software within the current term in writing, and the Contractor should present the updates within 7 calendar days. If arrears to observe, the Supervisor shall recommend solutions in writing to Contractor and inform the professional assigned by KOICA.</x:v>
      </x:c>
      <x:c r="J2623" s="43" t="str">
        <x:v>자동추출·검토필요</x:v>
      </x:c>
    </x:row>
    <x:row r="2624">
      <x:c r="A2624" s="43" t="str">
        <x:v>L2025-00045-1</x:v>
      </x:c>
      <x:c r="B2624" s="43" t="str">
        <x:v>기간</x:v>
      </x:c>
      <x:c r="C2624" s="46" t="str">
        <x:v>construction period</x:v>
      </x:c>
      <x:c r="D2624" s="46" t="str">
        <x:v>6,000 M2 | 27,500 M2 | 750 M2 | 400 M2 | 6,000 M2 | 27,500 M2 | 750 M2 | 400 M2</x:v>
      </x:c>
      <x:c r="E2624" s="46" t="str"/>
      <x:c r="F2624" s="46" t="str"/>
      <x:c r="G2624" s="46" t="str">
        <x:v>L2025-00045-1/붙임3. 입찰서류(영문) 일체/Section 2 - Bid Data Sheet (BDS).docx</x:v>
      </x:c>
      <x:c r="H2624" s="43" t="str">
        <x:v>표 5 행 3</x:v>
      </x:c>
      <x:c r="I2624" s="46" t="str">
        <x:v>․ Scope of Service | ※The assignment consist of the services for the construction of the project mentioned below: - New Construction of a Model School in Daratoo: Total Floor Area 6,000 M2. 42 class rooms. The Project site area is 27,500 M2 - New Construction of an Institute in New Hawler: Total Floor Area 750 M2 for training teachers. The Project site area is approx.5,400 M2 1) Design and Construction document Service -Soil Investigation and Required surveys (Including Existing facilities, Topographical, Structural, and Geographical surveys for New construction work) -Preparation of design and other engineering services necessary to bring the work to the construction readiness state for the projects mentioned in the Agreement - Preparation of all the developed construction documents -All required administration &amp; preparation for relevant permits 2) Bidding support for selecting the construction contractors -- The service includes but not limited to the technical review on the priced detailed BoQ for the construction contract. 3) Comprehensive supervision services, including technical and construction oversight and design modifications (as required), throughout the construction per</x:v>
      </x:c>
      <x:c r="J2624" s="43" t="str">
        <x:v>자동추출·검토필요</x:v>
      </x:c>
    </x:row>
    <x:row r="2625">
      <x:c r="A2625" s="43" t="str">
        <x:v>L2025-00045-1</x:v>
      </x:c>
      <x:c r="B2625" s="43" t="str">
        <x:v>기간</x:v>
      </x:c>
      <x:c r="C2625" s="46" t="str">
        <x:v>calendar days</x:v>
      </x:c>
      <x:c r="D2625" s="46" t="str"/>
      <x:c r="E2625" s="46" t="str"/>
      <x:c r="F2625" s="46" t="str">
        <x:v>10%</x:v>
      </x:c>
      <x:c r="G2625" s="46" t="str">
        <x:v>L2025-00045-1/붙임3. 입찰서류(영문) 일체/Section 4 - Request for Proposal (RFP).doc</x:v>
      </x:c>
      <x:c r="H2625" s="43" t="str">
        <x:v>문단 212</x:v>
      </x:c>
      <x:c r="I2625" s="46" t="str">
        <x:v>Monitor that the physical progress of the works is in accordance with the implementation of the project’s execution plan. When the project schedule is delayed in a percentage greater than 10% of the Monthly physical progress, the Supervisor is often required to request the Contractor to update the software within the current term in writing, and the Contractor should present the updates within 7 calendar days. If arrears to observe, the Supervisor shall recommend solutions in writing to Contractor and inform the professional assigned by KOICA.</x:v>
      </x:c>
      <x:c r="J2625" s="43" t="str">
        <x:v>자동추출·검토필요</x:v>
      </x:c>
    </x:row>
    <x:row r="2626">
      <x:c r="A2626" s="43" t="str">
        <x:v>L2025-00036-1</x:v>
      </x:c>
      <x:c r="B2626" s="43" t="str">
        <x:v>기간</x:v>
      </x:c>
      <x:c r="C2626" s="46" t="str">
        <x:v>months</x:v>
      </x:c>
      <x:c r="D2626" s="46" t="str">
        <x:v>5,086 ㎡ | 5,233 ㎡ | 5,086 ㎡</x:v>
      </x:c>
      <x:c r="E2626" s="46" t="str"/>
      <x:c r="F2626" s="46" t="str"/>
      <x:c r="G2626" s="46" t="str">
        <x:v>L2025-00036-1/붙임2. 입찰서류 영문본 일체/Section 6 - Related Project Information of RFP.pdf</x:v>
      </x:c>
      <x:c r="H2626" s="43" t="str">
        <x:v>페이지 5</x:v>
      </x:c>
      <x:c r="I2626" s="46" t="str">
        <x:v>3.3. Cadastral Map and Survey Drawings ㅇ During the recent on-site survey, a new GPS survey was conducted, and the following results were confirmed. ㅇ The survey results indicate a land area of 5,086㎡, and official land registry updates are expected to take approximately 3 months. ㅇ The survey also confirmed the status of buildings within the same site. Figure 3. GPS Survey Results 3.4. Land Ownership and Existing Building Ownership ㅇ The figure below shows the land registry obtained during the preliminary survey, which lists the land area as 5,233㎡. However, the GPS survey revealed a revised land area of 5,086㎡, which will be updated. ㅇ Although the land area will change, the landowner remains the same, ensuring no obstacles to project implementation. ㅇ The updated land registry must be verified with the recipient country once the changes are completed. Page 4</x:v>
      </x:c>
      <x:c r="J2626" s="43" t="str">
        <x:v>자동추출·검토필요</x:v>
      </x:c>
    </x:row>
    <x:row r="2627">
      <x:c r="A2627" s="43" t="str">
        <x:v>L2025-00036-1</x:v>
      </x:c>
      <x:c r="B2627" s="43" t="str">
        <x:v>기간</x:v>
      </x:c>
      <x:c r="C2627" s="46" t="str">
        <x:v>months</x:v>
      </x:c>
      <x:c r="D2627" s="46" t="str">
        <x:v>5,086 ㎡ | 5,233 ㎡ | 5,086 ㎡ | 3,700 ㎡ | 5,086 ㎡</x:v>
      </x:c>
      <x:c r="E2627" s="46" t="str"/>
      <x:c r="F2627" s="46" t="str"/>
      <x:c r="G2627" s="46" t="str">
        <x:v>L2025-00036-1/붙임2. 입찰서류 영문본 일체/Section 6 - Related Project Information of RFP.pdf</x:v>
      </x:c>
      <x:c r="H2627" s="43" t="str">
        <x:v>페이지 11</x:v>
      </x:c>
      <x:c r="I2627" s="46" t="str">
        <x:v> Demolition and reconstruction are deemed necessary for safety and CPA Level 2 functionality. E. Eco-Friendliness and Renewable Energy ㅇ No local regulations mandate this, but as a KOICA grant project, proactive consideration within the budget is advisable. ㅇ Natural lighting and ventilation should be maximized given the local climate. 4. Architectural Planning and Scale Review 4.1. Architectural Plan 4.1.1. Architectural Overview 5,086㎡ ※ Original land area (based on land registry): 5,233㎡. GPS measurement Land Area on 4/2 confirmed 5,086㎡. New land registry issuance expected to take 3 months. Demolition of existing hospital and new construction ※ Some buildings, Construction Method including the Health Center, will be retained on the same site. Building Structure Reinforced concrete structure Outpatient care, operating rooms, emergency room, inpatient care, Building Content administration and services, etc. Building Scale (Total Total floor area: 3,700㎡ / Floors: 3 (including GL) / Number of buildings: Floor Area/Floors) 1 ㅇ The recent planning survey confirmed the land area as 5,086㎡ through GPS measurement. However, updating the land registry will take approximately 3 months. </x:v>
      </x:c>
      <x:c r="J2627" s="43" t="str">
        <x:v>자동추출·검토필요</x:v>
      </x:c>
    </x:row>
    <x:row r="2628">
      <x:c r="A2628" s="43" t="str">
        <x:v>L2025-00019-1</x:v>
      </x:c>
      <x:c r="B2628" s="43" t="str">
        <x:v>기간</x:v>
      </x:c>
      <x:c r="C2628" s="46" t="str">
        <x:v>months</x:v>
      </x:c>
      <x:c r="D2628" s="46" t="str"/>
      <x:c r="E2628" s="46" t="str"/>
      <x:c r="F2628" s="46" t="str">
        <x:v>20%</x:v>
      </x:c>
      <x:c r="G2628" s="46" t="str">
        <x:v>L2025-00019-1/2-1. 입찰서류-Aveyime.doc</x:v>
      </x:c>
      <x:c r="H2628" s="43" t="str">
        <x:v>문단 79</x:v>
      </x:c>
      <x:c r="I2628" s="46" t="str">
        <x:v>MoFA-KOICA/GIDA/NCT/WKS/2025/LOT 2 ITT 1.2 The Intended Completion Date of the Works is: (24) calendar months from the date of commencement. (Twelve (12) months construction and Twelve (12) months Defects Period) ITT 2.1 Source of Funding is Grant from the Korea Government ITT 4.6 As of the date of these Tender Documents, the countries that are subject to sanction or restriction by law or policy of the Republic of Ghana include N/A ITT 5.3 The information required from Tenderers in ITT Sub-Clause 5.3 is modified as follows: ‘j’ ITT 5.3(j) The ceiling for subcontractor participation is: 20% percentage of total works ITT 5.4 The qualification data required from Tenderers in ITT Sub-Clause 5.4 are modified as follows: “c” ITT 5.4(c) If the Tenderer is a joint venture or consortium, all members shall be jointly and severally liable for the execution of the Contract in accordance with the Contract terms. ITT 5.5(c) The essential equipment to be made available for the Contract by the successful Tenderer shall be: as stipulated in Section III. Evaluation and Qualification Criteria. ITT 5.6 Subcontractors’ experience and resources shall be taken into account. ITT 8.1 A Pre-Tender meeting s</x:v>
      </x:c>
      <x:c r="J2628" s="43" t="str">
        <x:v>자동추출·검토필요</x:v>
      </x:c>
    </x:row>
    <x:row r="2629">
      <x:c r="A2629" s="43" t="str">
        <x:v>L2025-00019-1</x:v>
      </x:c>
      <x:c r="B2629" s="43" t="str">
        <x:v>기간</x:v>
      </x:c>
      <x:c r="C2629" s="46" t="str">
        <x:v>months</x:v>
      </x:c>
      <x:c r="D2629" s="46" t="str"/>
      <x:c r="E2629" s="46" t="str">
        <x:v>GHS 450,000.00</x:v>
      </x:c>
      <x:c r="F2629" s="46" t="str"/>
      <x:c r="G2629" s="46" t="str">
        <x:v>L2025-00019-1/2-1. 입찰서류-Aveyime.doc</x:v>
      </x:c>
      <x:c r="H2629" s="43" t="str">
        <x:v>문단 84</x:v>
      </x:c>
      <x:c r="I2629" s="46" t="str">
        <x:v>The prices quoted by the Tenderer shall be: subject to adjustment after 18months ITT 16.1 The currency of the Tender shall be: Ghana Cedis The currency of the payment shall be: Ghana Cedis ITT 19.1 The Tender validity period shall be m 180days from the deadline for Tender submission. ITT 20.1 A Tender Security is required. The form of the Tender Security shall be: a tender Bond acceptable to the Employer. ITT 20.2 The amount and currency of the Tender Security shall be: GHS450,000.00 ITT 21.1 Alternative Tenders are not permitted. ITT 22.1 In addition to the original of the Tender, the number of required copies is: Three (3) ITT 22.2 The written confirmation of authorization to sign on behalf of the Tenderer shall consist of: Power of Attorney. D. Submission of TENDERs ITT 23.1 Tenderers do not have the option of submitting their Tenders electronically. ITT 23.2(b) For Tender submission purposes only, the submission address is: Attention: The Project Coordinator The Rehabilitation of Irrigation Schemes and Improvement of Irrigation Water Management Project</x:v>
      </x:c>
      <x:c r="J2629" s="43" t="str">
        <x:v>자동추출·검토필요</x:v>
      </x:c>
    </x:row>
    <x:row r="2630">
      <x:c r="A2630" s="43" t="str">
        <x:v>L2025-00019-1</x:v>
      </x:c>
      <x:c r="B2630" s="43" t="str">
        <x:v>기간</x:v>
      </x:c>
      <x:c r="C2630" s="46" t="str">
        <x:v>months</x:v>
      </x:c>
      <x:c r="D2630" s="46" t="str"/>
      <x:c r="E2630" s="46" t="str"/>
      <x:c r="F2630" s="46" t="str">
        <x:v>20%</x:v>
      </x:c>
      <x:c r="G2630" s="46" t="str">
        <x:v>L2025-00019-1/2. 입찰서류-Ashaiman.doc</x:v>
      </x:c>
      <x:c r="H2630" s="43" t="str">
        <x:v>문단 78</x:v>
      </x:c>
      <x:c r="I2630" s="46" t="str">
        <x:v>MoFA-KOICA/GIDA/NCT/WKS/2025/LOT 1 ITT 1.2 The Intended Completion Date of the Works is: (24) calendar months from the date of commencement. (Twelve (12) months construction and Twelve (12) months Defects Period) ITT 2.1 Source of Funding is Grant from the Korean Government ITT 4.6 As of the date of these Tender Documents, the countries that are subject to sanction or restriction by law or policy of the Republic of Ghana include N/A ITT 5.3 The information required from Tenderers in ITT Sub-Clause 5.3 is modified as follows: ‘j’ ITT 5.3(j) The ceiling for subcontractor participation is: 20% percentage of total works ITT 5.4 The qualification data required from Tenderers in ITT Sub-Clause 5.4 are modified as follows: “c” ITT 5.4(c) If the Tenderer is a joint venture or consortium, all members shall be jointly and severally liable for the execution of the Contract in accordance with the Contract terms. ITT 5.5(c) The essential equipment to be made available for the Contract by the successful Tenderer shall be: as stipulated in Section III. Evaluation and Qualification Criteria. ITT 5.6 Subcontractors’ experience and resources shall be taken into account.</x:v>
      </x:c>
      <x:c r="J2630" s="43" t="str">
        <x:v>자동추출·검토필요</x:v>
      </x:c>
    </x:row>
    <x:row r="2631">
      <x:c r="A2631" s="43" t="str">
        <x:v>L2025-00019-1</x:v>
      </x:c>
      <x:c r="B2631" s="43" t="str">
        <x:v>기간</x:v>
      </x:c>
      <x:c r="C2631" s="46" t="str">
        <x:v>months</x:v>
      </x:c>
      <x:c r="D2631" s="46" t="str"/>
      <x:c r="E2631" s="46" t="str">
        <x:v>GHS 450,000.00</x:v>
      </x:c>
      <x:c r="F2631" s="46" t="str"/>
      <x:c r="G2631" s="46" t="str">
        <x:v>L2025-00019-1/2. 입찰서류-Ashaiman.doc</x:v>
      </x:c>
      <x:c r="H2631" s="43" t="str">
        <x:v>문단 84</x:v>
      </x:c>
      <x:c r="I2631" s="46" t="str">
        <x:v>The prices quoted by the Tenderer shall be: subject to adjustment after 18months ITT 16.1 The currency of the Tender shall be: Ghana Cedis The currency of the payment shall be: Ghana Cedis ITT 19.1 The Tender validity period shall be m 180days from the deadline for Tender submission. ITT 20.1 A Tender Security is required. The form of the Tender Security shall be: a tender Bond acceptable to the Employer. ITT 20.2 The amount and currency of the Tender Security shall be: GHS450,000.00 ITT 21.1 Alternative Tenders are not permitted. ITT 22.1 In addition to the original of the Tender, the number of required copies is: Three (3) ITT 22.2 The written confirmation of authorization to sign on behalf of the Tenderer shall consist of: Power of Attorney. D. Submission of TENDERs ITT 23.1 Tenderers do not have the option of submitting their Tenders electronically. ITT 23.2(b) For Tender submission purposes only, the submission address is: Attention: The Project Coordinator The Rehabilitation of Irrigation Schemes and Improvement of Irrigation Water Management Project</x:v>
      </x:c>
      <x:c r="J2631" s="43" t="str">
        <x:v>자동추출·검토필요</x:v>
      </x:c>
    </x:row>
    <x:row r="2632">
      <x:c r="A2632" s="43" t="str">
        <x:v>L2025-00019-1</x:v>
      </x:c>
      <x:c r="B2632" s="43" t="str">
        <x:v>기간</x:v>
      </x:c>
      <x:c r="C2632" s="46" t="str">
        <x:v>months</x:v>
      </x:c>
      <x:c r="D2632" s="46" t="str"/>
      <x:c r="E2632" s="46" t="str"/>
      <x:c r="F2632" s="46" t="str">
        <x:v>90%</x:v>
      </x:c>
      <x:c r="G2632" s="46" t="str">
        <x:v>L2025-00019-1/3. 입찰 관련 자료/3. 입찰 관련 자료/5-1. 시방서_아샤이만.pdf</x:v>
      </x:c>
      <x:c r="H2632" s="43" t="str">
        <x:v>페이지 78</x:v>
      </x:c>
      <x:c r="I2632" s="46" t="str">
        <x:v>of the site work, in order to have the geotextile covered in a way to ensure it from ultraviolet radiation. The time interval should be such to maintain at least a rate of ninety per cent (90%) of the initial tensile strength. Construction Requirements The longer a geotextile can be exposed in ultraviolet radiation should in no case be more than three months. In the case the geotextile remains exposed in ultraviolet radiation beyond the allowed time then it is considered, conventionally, as useless and should be replaced at no extra cost to the Contract. The joints of the geotextiles should be made according to the instructions of the production factory. However, for the jointing there should be coverage of the two edges of at least 0.25m. In cases where the geotextile is placed in contact with concrete it is prohibited to use geotextiles made of polyester material. Sod Facing The Contractor shall perform sod facing on the slopes of embankment or excavation shown on the Drawings or directed by the Engineer. The sod used for the slope protection shall be of the best quality available within the locality. The sod shall have healthy living stem and roots and obtained from heavy thickl</x:v>
      </x:c>
      <x:c r="J2632" s="43" t="str">
        <x:v>자동추출·검토필요</x:v>
      </x:c>
    </x:row>
    <x:row r="2633">
      <x:c r="A2633" s="43" t="str">
        <x:v>L2025-00019-1</x:v>
      </x:c>
      <x:c r="B2633" s="43" t="str">
        <x:v>기간</x:v>
      </x:c>
      <x:c r="C2633" s="46" t="str">
        <x:v>duration</x:v>
      </x:c>
      <x:c r="D2633" s="46" t="str"/>
      <x:c r="E2633" s="46" t="str"/>
      <x:c r="F2633" s="46" t="str">
        <x:v>200% | 50%</x:v>
      </x:c>
      <x:c r="G2633" s="46" t="str">
        <x:v>L2025-00019-1/3. 입찰 관련 자료/3. 입찰 관련 자료/5-1. 시방서_아샤이만.pdf</x:v>
      </x:c>
      <x:c r="H2633" s="43" t="str">
        <x:v>페이지 346</x:v>
      </x:c>
      <x:c r="I2633" s="46" t="str">
        <x:v>3.4 In the Toilet/Washroom: Two (2) WC´s complete with toilet roll bar, two (2) wash hand basins and one (1) shower equipment. B2 Office for Engineer’s representatives during construction 1.0 The Contractor shall provide office for the duration of the contract. 2.0 The office shall be sited at a location central to the Works as agreed by the Engineer. 3.0 The office shall be in a building constructed of approved materials and shall be weatherproof, insect proof, properly ventilated, insulated, naturally and electrically lighted, painted and fitted with secure lockable doors and windows in two walls and one door per office. There shall be hard-standings area for four (3) vehicles with three (3) shaded parking spaces. Name plates shall be provided for all doors. The rooms shall be of at least the following sizes: # Description Size Quantity 1. Resident Engineer 4m×4m 1 2. Supervising Engineer 4m×3m 1 3. Site Inspector / E&amp;S Expert 4m×4m 1 4. Conference Room 5m×4m 1 5. Toilets 2 6. Kitchen 3m×3m 1 3.1 The following equipment shall be provided for each office: Quantity Description 4 desks 0.8 m × 1.8 m with 6 lockable drawers 4 desk chairs with arms 6 desk chairs 2 tables 1 m × 2 m 1 p</x:v>
      </x:c>
      <x:c r="J2633" s="43" t="str">
        <x:v>자동추출·검토필요</x:v>
      </x:c>
    </x:row>
    <x:row r="2634">
      <x:c r="A2634" s="43" t="str">
        <x:v>L2025-00019-1</x:v>
      </x:c>
      <x:c r="B2634" s="43" t="str">
        <x:v>기간</x:v>
      </x:c>
      <x:c r="C2634" s="46" t="str">
        <x:v>months</x:v>
      </x:c>
      <x:c r="D2634" s="46" t="str"/>
      <x:c r="E2634" s="46" t="str"/>
      <x:c r="F2634" s="46" t="str">
        <x:v>90%</x:v>
      </x:c>
      <x:c r="G2634" s="46" t="str">
        <x:v>L2025-00019-1/3. 입찰 관련 자료/3. 입찰 관련 자료/5-2. 시방서_아배이메.pdf</x:v>
      </x:c>
      <x:c r="H2634" s="43" t="str">
        <x:v>페이지 78</x:v>
      </x:c>
      <x:c r="I2634" s="46" t="str">
        <x:v>of the site work, in order to have the geotextile covered in a way to ensure it from ultraviolet radiation. The time interval should be such to maintain at least a rate of ninety per cent (90%) of the initial tensile strength. Construction Requirements The longer a geotextile can be exposed in ultraviolet radiation should in no case be more than three months. In the case the geotextile remains exposed in ultraviolet radiation beyond the allowed time then it is considered, conventionally, as useless and should be replaced at no extra cost to the Contract. The joints of the geotextiles should be made according to the instructions of the production factory. However, for the jointing there should be coverage of the two edges of at least 0.25m. In cases where the geotextile is placed in contact with concrete it is prohibited to use geotextiles made of polyester material. Sod Facing The Contractor shall perform sod facing on the slopes of embankment or excavation shown on the Drawings or directed by the Engineer. The sod used for the slope protection shall be of the best quality available within the locality. The sod shall have healthy living stem and roots and obtained from heavy thickl</x:v>
      </x:c>
      <x:c r="J2634" s="43" t="str">
        <x:v>자동추출·검토필요</x:v>
      </x:c>
    </x:row>
    <x:row r="2635">
      <x:c r="A2635" s="43" t="str">
        <x:v>L2025-00019-1</x:v>
      </x:c>
      <x:c r="B2635" s="43" t="str">
        <x:v>기간</x:v>
      </x:c>
      <x:c r="C2635" s="46" t="str">
        <x:v>duration</x:v>
      </x:c>
      <x:c r="D2635" s="46" t="str"/>
      <x:c r="E2635" s="46" t="str"/>
      <x:c r="F2635" s="46" t="str">
        <x:v>200% | 50%</x:v>
      </x:c>
      <x:c r="G2635" s="46" t="str">
        <x:v>L2025-00019-1/3. 입찰 관련 자료/3. 입찰 관련 자료/5-2. 시방서_아배이메.pdf</x:v>
      </x:c>
      <x:c r="H2635" s="43" t="str">
        <x:v>페이지 346</x:v>
      </x:c>
      <x:c r="I2635" s="46" t="str">
        <x:v>3.4 In the Toilet/Washroom: Two (2) WC´s complete with toilet roll bar, two (2) wash hand basins and one (1) shower equipment. B2 Office for Engineer’s representatives during construction 1.0 The Contractor shall provide office for the duration of the contract. 2.0 The office shall be sited at a location central to the Works as agreed by the Engineer. 3.0 The office shall be in a building constructed of approved materials and shall be weatherproof, insect proof, properly ventilated, insulated, naturally and electrically lighted, painted and fitted with secure lockable doors and windows in two walls and one door per office. There shall be hard-standings area for four (3) vehicles with three (3) shaded parking spaces. Name plates shall be provided for all doors. The rooms shall be of at least the following sizes: # Description Size Quantity 1. Resident Engineer 4m×4m 1 2. Supervising Engineer 4m×3m 1 3. Site Inspector / E&amp;S Expert 4m×4m 1 4. Conference Room 5m×4m 1 5. Toilets 2 6. Kitchen 3m×3m 1 3.1 The following equipment shall be provided for each office: Quantity Description 4 desks 0.8 m × 1.8 m with 6 lockable drawers 4 desk chairs with arms 6 desk chairs 2 tables 1 m × 2 m 1 p</x:v>
      </x:c>
      <x:c r="J2635" s="43" t="str">
        <x:v>자동추출·검토필요</x:v>
      </x:c>
    </x:row>
    <x:row r="2636">
      <x:c r="A2636" s="43" t="str">
        <x:v>L2025-00018-1</x:v>
      </x:c>
      <x:c r="B2636" s="43" t="str">
        <x:v>기간</x:v>
      </x:c>
      <x:c r="C2636" s="46" t="str">
        <x:v>duration</x:v>
      </x:c>
      <x:c r="D2636" s="46" t="str"/>
      <x:c r="E2636" s="46" t="str"/>
      <x:c r="F2636" s="46" t="str">
        <x:v>15%</x:v>
      </x:c>
      <x:c r="G2636" s="46" t="str">
        <x:v>L2025-00018-1/1-1. 입찰공고문_국문.hwp</x:v>
      </x:c>
      <x:c r="H2636" s="43" t="str">
        <x:v>문단 381</x:v>
      </x:c>
      <x:c r="I2636" s="46" t="str">
        <x:v>The performance security will be in the form of an unconditional bank guarantee in the amount of 15% of the Contract Price, with a validity period of the Contract Duration plus at least 60 days.</x:v>
      </x:c>
      <x:c r="J2636" s="43" t="str">
        <x:v>자동추출·검토필요</x:v>
      </x:c>
    </x:row>
    <x:row r="2637">
      <x:c r="A2637" s="43" t="str">
        <x:v>L2025-00018-1</x:v>
      </x:c>
      <x:c r="B2637" s="43" t="str">
        <x:v>기간</x:v>
      </x:c>
      <x:c r="C2637" s="46" t="str">
        <x:v>duration</x:v>
      </x:c>
      <x:c r="D2637" s="46" t="str"/>
      <x:c r="E2637" s="46" t="str"/>
      <x:c r="F2637" s="46" t="str">
        <x:v>30%</x:v>
      </x:c>
      <x:c r="G2637" s="46" t="str">
        <x:v>L2025-00018-1/1-1. 입찰공고문_국문.hwp</x:v>
      </x:c>
      <x:c r="H2637" s="43" t="str">
        <x:v>문단 391</x:v>
      </x:c>
      <x:c r="I2637" s="46" t="str">
        <x:v>The advance payment security will be in the form of an unconditional bank guarantee in the amount of 30% of the Contract Price, with a validity period of the Contract Duration plus at least 60 days.</x:v>
      </x:c>
      <x:c r="J2637" s="43" t="str">
        <x:v>자동추출·검토필요</x:v>
      </x:c>
    </x:row>
    <x:row r="2638">
      <x:c r="A2638" s="43" t="str">
        <x:v>L2025-00018-1</x:v>
      </x:c>
      <x:c r="B2638" s="43" t="str">
        <x:v>기간</x:v>
      </x:c>
      <x:c r="C2638" s="46" t="str">
        <x:v>duration</x:v>
      </x:c>
      <x:c r="D2638" s="46" t="str"/>
      <x:c r="E2638" s="46" t="str"/>
      <x:c r="F2638" s="46" t="str">
        <x:v>15%</x:v>
      </x:c>
      <x:c r="G2638" s="46" t="str">
        <x:v>L2025-00018-1/1-2. Bid Data Sheet _영문.docx</x:v>
      </x:c>
      <x:c r="H2638" s="43" t="str">
        <x:v>표 12 행 9</x:v>
      </x:c>
      <x:c r="I2638" s="46" t="str">
        <x:v>Performance Security | The performance security will be in the form of an unconditional bank guarantee in the amount of 15% of the Contract Price, with a validity period of the Contract Duration plus at least 60 days.</x:v>
      </x:c>
      <x:c r="J2638" s="43" t="str">
        <x:v>자동추출·검토필요</x:v>
      </x:c>
    </x:row>
    <x:row r="2639">
      <x:c r="A2639" s="43" t="str">
        <x:v>L2025-00017-1</x:v>
      </x:c>
      <x:c r="B2639" s="43" t="str">
        <x:v>기간</x:v>
      </x:c>
      <x:c r="C2639" s="46" t="str">
        <x:v>duration</x:v>
      </x:c>
      <x:c r="D2639" s="46" t="str"/>
      <x:c r="E2639" s="46" t="str"/>
      <x:c r="F2639" s="46" t="str">
        <x:v>5% | 10% | 10% | 5% | 5%</x:v>
      </x:c>
      <x:c r="G2639" s="46" t="str">
        <x:v>L2025-00017-1/[붙임3] 수원기관 공문(보완자료 제출, 3.16.).pdf</x:v>
      </x:c>
      <x:c r="H2639" s="43" t="str">
        <x:v>페이지 2</x:v>
      </x:c>
      <x:c r="I2639" s="46" t="str">
        <x:v>Translation KEO-17 Issued Date: March 16th, 2025 Letter Number: 946 Kurdistan Regional Government Council of Ministers Ministry of Culture and Youth General Directorate of Divan Directorate of Administration To: KOICA Erbil Office Subject: Zaytun Library The Ministry of Culture and Youth (MOCY) of the Kurdistan Regional Government (KRG) presents its compliments and warm greetings to the Erbil office of Korea International Cooperation Agency (KOICA). Referring to our continuous ministerial meetings regarding the renovation of Zaytun library, we would like to clarify some key points to your esteemed office: In accordance with the laws and regulations of our ministry for tendering a project to a certain company or companies, we require a Contract Bond from a renowned bank amounting to the 5% of the total project budget which must be submitted to our ministry in order to proceed with the relevant contract signing. Afterwards, during the payment of installments, we do keep 10% of each installment amount as retention bond or as a guarantee for the successful implementation of the renovation works. Furthermore, once receiving the 10% amount of the last installment, we deliver 5% of this a</x:v>
      </x:c>
      <x:c r="J2639" s="43" t="str">
        <x:v>자동추출·검토필요</x:v>
      </x:c>
    </x:row>
    <x:row r="2640">
      <x:c r="A2640" s="43" t="str">
        <x:v>L2025-00017-1</x:v>
      </x:c>
      <x:c r="B2640" s="43" t="str">
        <x:v>기간</x:v>
      </x:c>
      <x:c r="C2640" s="46" t="str">
        <x:v>duration</x:v>
      </x:c>
      <x:c r="D2640" s="46" t="str"/>
      <x:c r="E2640" s="46" t="str">
        <x:v>kes 7</x:v>
      </x:c>
      <x:c r="F2640" s="46" t="str"/>
      <x:c r="G2640" s="46" t="str">
        <x:v>L2025-00017-1/[붙임5] 부속서류 일체/├╖║╬ 5-3. ╝╝║╬ ╜├░°└╧┴ñ╟Ñ(2┬≈│Γ╡╡).pdf</x:v>
      </x:c>
      <x:c r="H2640" s="43" t="str">
        <x:v>페이지 1</x:v>
      </x:c>
      <x:c r="I2640" s="46" t="str">
        <x:v>Zaytun Library time line stage two ID Task Task Name Duration Start Finish December 2025 January 2026 February 2026 March 2026 April 2026 May 2026 June 2026 July 2026 Mode 21 26 1 6 11 16 21 26 31 5 10 15 20 25 30 4 9 14 19 24 1 6 11 16 21 26 31 5 10 15 20 25 30 5 10 15 20 25 30 4 9 14 19 24 29 1 DURATION 83 days Sat 1/10/26 Wed 4/15/26 2 architecture and civil works 83 days Sat 1/10/26 Wed 4/15/26 3 Remove and reinstalling 15 days Sat 1/10/26 Mon 1/26/26 15 days Remove and reinstalling curtain for all halls (study, conference,children,book store). curtain for all halls (study, conference,children,book 4 PVC flooring for the floors of 20 days Tue 1/27/26 Wed 2/18/26 20 days PVC flooring for the floors of computer hall and the study hall computer hall and the study 5 Maintaining and re-packing 20 days Wed 2/25/26 Thu 3/19/26 20 days Maintaining and re-packing the entire external facades the entire external facades 6 Equipping the child’s library 10 deskes days Sun 4/5/26 Wed 4/15/26 10 days Equipping the child’s library deskes 7 Reparing external paving 15 days Sat 3/21/26 Mon 4/6/26 15 days Reparing external paving 8 Painting and repairing side 8 days Tue 4/7/26 Wed 4/15/26 8 days </x:v>
      </x:c>
      <x:c r="J2640" s="43" t="str">
        <x:v>자동추출·검토필요</x:v>
      </x:c>
    </x:row>
    <x:row r="2641">
      <x:c r="A2641" s="43" t="str">
        <x:v>L2025-00016-2</x:v>
      </x:c>
      <x:c r="B2641" s="43" t="str">
        <x:v>기간</x:v>
      </x:c>
      <x:c r="C2641" s="46" t="str">
        <x:v>months</x:v>
      </x:c>
      <x:c r="D2641" s="46" t="str"/>
      <x:c r="E2641" s="46" t="str">
        <x:v>KRW 200 million | KRW 100 million | KRW 200 million | KRW 10 million | KRW 100 million | KRW 10 million</x:v>
      </x:c>
      <x:c r="F2641" s="46" t="str"/>
      <x:c r="G2641" s="46" t="str">
        <x:v>L2025-00016-2/KOICA bidding regulation/Detailed Enforcement Rules of the Regulations for Procurement and Contract in Grant Aid Projects(┤δ┐▄╣½╗≤╟∙╖┬╗τ╛≈┐í ░ⁿ╟╤ ┴╢┤▐ ╣╫ ░Φ╛α▒╘┴ñ ╜├╟α╝╝─ó)_20190503.pdf</x:v>
      </x:c>
      <x:c r="H2641" s="43" t="str">
        <x:v>페이지 114</x:v>
      </x:c>
      <x:c r="I2641" s="46" t="str">
        <x:v>(a) A person against whom a request is made to restrict qualifications to subparagraph participate in a tendering based on this restriction criteria. (b) A person against whom a request is made to restrict qualifications to Six months participate when no matters that fall under this restriction criteria. 8. A person who falls under Article 27 (1) 7 of the Act (a person who offers a bribe to the relevant public official (including the members of the Committee for Imposition of Penalty Surcharges under Article 27-3 (1); the State Contract Disputes Conciliation Committee under Article 29 (1); the Central Deliberation Committee on Construction Technology, the Special Deliberation Committee on Construction Technology and the consultative committee on technology under the Construction Technology Promotion Act; and other committees prescribed by Presidential Decree) regarding the tendering or acceptance of tendering or signing and/or performing the contract). Two years (a) Those who have offered bribes of at least KRW 200 million. One year (b) Those who have offered bribes of between KRW 100 million and KRW 200 million. Six months (c) Those who have offered bribes of between KRW 10 millio</x:v>
      </x:c>
      <x:c r="J2641" s="43" t="str">
        <x:v>자동추출·검토필요</x:v>
      </x:c>
    </x:row>
    <x:row r="2642">
      <x:c r="A2642" s="43" t="str">
        <x:v>L2025-00016-2</x:v>
      </x:c>
      <x:c r="B2642" s="43" t="str">
        <x:v>기간</x:v>
      </x:c>
      <x:c r="C2642" s="46" t="str">
        <x:v>months</x:v>
      </x:c>
      <x:c r="D2642" s="46" t="str"/>
      <x:c r="E2642" s="46" t="str"/>
      <x:c r="F2642" s="46" t="str">
        <x:v>50% | 10% | 10% | 10% | 50%</x:v>
      </x:c>
      <x:c r="G2642" s="46" t="str">
        <x:v>L2025-00016-2/KOICA bidding regulation/Guidelines for Technical Evaluation(▒Γ╝·╞≥░í┴÷─º)_20210408.pdf</x:v>
      </x:c>
      <x:c r="H2642" s="43" t="str">
        <x:v>페이지 62</x:v>
      </x:c>
      <x:c r="I2642" s="46" t="str">
        <x:v>[Form 6] Software Project Subcontracting Plan (when tendering) &lt;Amended on Apr. 8, 2021&gt; Software Project Subcontracting Plan (when tendering) Project Name Period months Tenderer Business Name Representative (Representative of Corporate Location contracting consortium) Registration Number □ Subcontracting Plan Subcontractor Tenderer Subcontract Name Subcontract Amount Ratio Business Name % Total 1) Subcontract amount ratio is the ratio of the total amount of subcontracting to the total bid amount of the original contract. - Subcontract amount ratio = Expected subcontracting amount / (bid amount - expected amount of simple purchase of goods *) X 100 * Purchase amount for goods (hardware, commercial software, equipment, etc.) that the bidder wants to purchase directly - Reason for exceeding 50% of total subcontract amount ratio: ___________________________ 2) Grounds for re-subcontracting: _____________________________________________________ □ Grounds for subcontracting ratio exceeding 10% ○ Whether the institution in demand requested the bidder to participate in a contracting consortium with a subcontractor when the subcontract amount ratio exceeds 10% in the request for proposal: </x:v>
      </x:c>
      <x:c r="J2642" s="43" t="str">
        <x:v>자동추출·검토필요</x:v>
      </x:c>
    </x:row>
    <x:row r="2643">
      <x:c r="A2643" s="43" t="str">
        <x:v>L2025-00016-2</x:v>
      </x:c>
      <x:c r="B2643" s="43" t="str">
        <x:v>기간</x:v>
      </x:c>
      <x:c r="C2643" s="46" t="str">
        <x:v>duration</x:v>
      </x:c>
      <x:c r="D2643" s="46" t="str"/>
      <x:c r="E2643" s="46" t="str"/>
      <x:c r="F2643" s="46" t="str">
        <x:v>3%</x:v>
      </x:c>
      <x:c r="G2643" s="46" t="str">
        <x:v>L2025-00016-2/Section 2 - Bid Data Sheet (eng).docx</x:v>
      </x:c>
      <x:c r="H2643" s="43" t="str">
        <x:v>표 10 행 17</x:v>
      </x:c>
      <x:c r="I2643" s="46" t="str">
        <x:v>Percentage of Retention | 3% (Returnable upon issuance of defects liability certificate/bond) Duration: 2 years from the date of TOC issue.</x:v>
      </x:c>
      <x:c r="J2643" s="43" t="str">
        <x:v>자동추출·검토필요</x:v>
      </x:c>
    </x:row>
    <x:row r="2644">
      <x:c r="A2644" s="43" t="str">
        <x:v>L2025-00016-2</x:v>
      </x:c>
      <x:c r="B2644" s="43" t="str">
        <x:v>기간</x:v>
      </x:c>
      <x:c r="C2644" s="46" t="str">
        <x:v>months</x:v>
      </x:c>
      <x:c r="D2644" s="46" t="str"/>
      <x:c r="E2644" s="46" t="str"/>
      <x:c r="F2644" s="46" t="str">
        <x:v>30% | 30%</x:v>
      </x:c>
      <x:c r="G2644" s="46" t="str">
        <x:v>L2025-00016-2/Section 8 - Special Conditions of Contract.docx</x:v>
      </x:c>
      <x:c r="H2644" s="43" t="str">
        <x:v>표 3 행 12</x:v>
      </x:c>
      <x:c r="I2644" s="46" t="str">
        <x:v>Advance Payment &amp; Guarantee | 30% of the Contract Price Period: from the effective date to more than 60 days after the completion date (6 months +2 months) -The Contractor shall provide the 12 months and the extended 8 months -The Contractor shall submit the Adavance Payment Guarantee and Payment Schedule when requesting the advance payment | 30% of the Contract Price Period: from the effective date to more than 60 days after the completion date (6 months +2 months) -The Contractor shall provide the 12 months and the extended 8 months -The Contractor shall submit the Adavance Payment Guarantee and Payment Schedule when requesting the advance payment</x:v>
      </x:c>
      <x:c r="J2644" s="43" t="str">
        <x:v>자동추출·검토필요</x:v>
      </x:c>
    </x:row>
    <x:row r="2645">
      <x:c r="A2645" s="43" t="str">
        <x:v>L2025-00016-2</x:v>
      </x:c>
      <x:c r="B2645" s="43" t="str">
        <x:v>기간</x:v>
      </x:c>
      <x:c r="C2645" s="46" t="str">
        <x:v>months</x:v>
      </x:c>
      <x:c r="D2645" s="46" t="str"/>
      <x:c r="E2645" s="46" t="str"/>
      <x:c r="F2645" s="46" t="str">
        <x:v>15% | 15% | 15% | 15%</x:v>
      </x:c>
      <x:c r="G2645" s="46" t="str">
        <x:v>L2025-00016-2/Section 8 - Special Conditions of Contract.docx</x:v>
      </x:c>
      <x:c r="H2645" s="43" t="str">
        <x:v>표 3 행 13</x:v>
      </x:c>
      <x:c r="I2645" s="46" t="str">
        <x:v>Performance Guarantee Amount | 15% of the Contract Price Period: from the effective date to more than 60 days after the completion date (6 months +2 months) -The Contractor shall provide the 12 months and the extended 8 months -The Contractor shall submit a warranty against defects when it requrests to return the Performance Guarantee to the Employer Any additional amount to be provided pursuant to Article 4.2(b) of the Contract shall be 15% of the increased Contract Price | 15% of the Contract Price Period: from the effective date to more than 60 days after the completion date (6 months +2 months) -The Contractor shall provide the 12 months and the extended 8 months -The Contractor shall submit a warranty against defects when it requrests to return the Performance Guarantee to the Employer Any additional amount to be provided pursuant to Article 4.2(b) of the Contract shall be 15% of the increased Contract Price</x:v>
      </x:c>
      <x:c r="J2645" s="43" t="str">
        <x:v>자동추출·검토필요</x:v>
      </x:c>
    </x:row>
    <x:row r="2646">
      <x:c r="A2646" s="43" t="str">
        <x:v>L2025-00016-1</x:v>
      </x:c>
      <x:c r="B2646" s="43" t="str">
        <x:v>기간</x:v>
      </x:c>
      <x:c r="C2646" s="46" t="str">
        <x:v>months</x:v>
      </x:c>
      <x:c r="D2646" s="46" t="str"/>
      <x:c r="E2646" s="46" t="str">
        <x:v>KRW 200 million | KRW 100 million | KRW 200 million | KRW 10 million | KRW 100 million | KRW 10 million</x:v>
      </x:c>
      <x:c r="F2646" s="46" t="str"/>
      <x:c r="G2646" s="46" t="str">
        <x:v>L2025-00016-1/KOICA 입찰 관련 규정 및 지침/Detailed Enforcement Rules of the Regulations for Procurement and Contract in Grant Aid Projects(┤δ┐▄╣½╗≤╟∙╖┬╗τ╛≈┐í ░ⁿ╟╤ ┴╢┤▐ ╣╫ ░Φ╛α▒╘┴ñ ╜├╟α╝╝─ó)_20190503.pdf</x:v>
      </x:c>
      <x:c r="H2646" s="43" t="str">
        <x:v>페이지 114</x:v>
      </x:c>
      <x:c r="I2646" s="46" t="str">
        <x:v>(a) A person against whom a request is made to restrict qualifications to subparagraph participate in a tendering based on this restriction criteria. (b) A person against whom a request is made to restrict qualifications to Six months participate when no matters that fall under this restriction criteria. 8. A person who falls under Article 27 (1) 7 of the Act (a person who offers a bribe to the relevant public official (including the members of the Committee for Imposition of Penalty Surcharges under Article 27-3 (1); the State Contract Disputes Conciliation Committee under Article 29 (1); the Central Deliberation Committee on Construction Technology, the Special Deliberation Committee on Construction Technology and the consultative committee on technology under the Construction Technology Promotion Act; and other committees prescribed by Presidential Decree) regarding the tendering or acceptance of tendering or signing and/or performing the contract). Two years (a) Those who have offered bribes of at least KRW 200 million. One year (b) Those who have offered bribes of between KRW 100 million and KRW 200 million. Six months (c) Those who have offered bribes of between KRW 10 millio</x:v>
      </x:c>
      <x:c r="J2646" s="43" t="str">
        <x:v>자동추출·검토필요</x:v>
      </x:c>
    </x:row>
    <x:row r="2647">
      <x:c r="A2647" s="43" t="str">
        <x:v>L2025-00016-1</x:v>
      </x:c>
      <x:c r="B2647" s="43" t="str">
        <x:v>기간</x:v>
      </x:c>
      <x:c r="C2647" s="46" t="str">
        <x:v>months</x:v>
      </x:c>
      <x:c r="D2647" s="46" t="str"/>
      <x:c r="E2647" s="46" t="str"/>
      <x:c r="F2647" s="46" t="str">
        <x:v>50% | 10% | 10% | 10% | 50%</x:v>
      </x:c>
      <x:c r="G2647" s="46" t="str">
        <x:v>L2025-00016-1/KOICA 입찰 관련 규정 및 지침/Guidelines for Technical Evaluation(▒Γ╝·╞≥░í┴÷─º)_20210408.pdf</x:v>
      </x:c>
      <x:c r="H2647" s="43" t="str">
        <x:v>페이지 62</x:v>
      </x:c>
      <x:c r="I2647" s="46" t="str">
        <x:v>[Form 6] Software Project Subcontracting Plan (when tendering) &lt;Amended on Apr. 8, 2021&gt; Software Project Subcontracting Plan (when tendering) Project Name Period months Tenderer Business Name Representative (Representative of Corporate Location contracting consortium) Registration Number □ Subcontracting Plan Subcontractor Tenderer Subcontract Name Subcontract Amount Ratio Business Name % Total 1) Subcontract amount ratio is the ratio of the total amount of subcontracting to the total bid amount of the original contract. - Subcontract amount ratio = Expected subcontracting amount / (bid amount - expected amount of simple purchase of goods *) X 100 * Purchase amount for goods (hardware, commercial software, equipment, etc.) that the bidder wants to purchase directly - Reason for exceeding 50% of total subcontract amount ratio: ___________________________ 2) Grounds for re-subcontracting: _____________________________________________________ □ Grounds for subcontracting ratio exceeding 10% ○ Whether the institution in demand requested the bidder to participate in a contracting consortium with a subcontractor when the subcontract amount ratio exceeds 10% in the request for proposal: </x:v>
      </x:c>
      <x:c r="J2647" s="43" t="str">
        <x:v>자동추출·검토필요</x:v>
      </x:c>
    </x:row>
    <x:row r="2648">
      <x:c r="A2648" s="43" t="str">
        <x:v>L2025-00016-1</x:v>
      </x:c>
      <x:c r="B2648" s="43" t="str">
        <x:v>기간</x:v>
      </x:c>
      <x:c r="C2648" s="46" t="str">
        <x:v>duration</x:v>
      </x:c>
      <x:c r="D2648" s="46" t="str"/>
      <x:c r="E2648" s="46" t="str"/>
      <x:c r="F2648" s="46" t="str">
        <x:v>3%</x:v>
      </x:c>
      <x:c r="G2648" s="46" t="str">
        <x:v>L2025-00016-1/Section 2 - Bid Data Sheet (eng).docx</x:v>
      </x:c>
      <x:c r="H2648" s="43" t="str">
        <x:v>표 10 행 17</x:v>
      </x:c>
      <x:c r="I2648" s="46" t="str">
        <x:v>Percentage of Retention | 3% (Returnable upon issuance of defects liability certificate/bond) Duration: 2 years from the date of TOC issue.</x:v>
      </x:c>
      <x:c r="J2648" s="43" t="str">
        <x:v>자동추출·검토필요</x:v>
      </x:c>
    </x:row>
    <x:row r="2649">
      <x:c r="A2649" s="43" t="str">
        <x:v>L2025-00016-1</x:v>
      </x:c>
      <x:c r="B2649" s="43" t="str">
        <x:v>기간</x:v>
      </x:c>
      <x:c r="C2649" s="46" t="str">
        <x:v>months</x:v>
      </x:c>
      <x:c r="D2649" s="46" t="str"/>
      <x:c r="E2649" s="46" t="str"/>
      <x:c r="F2649" s="46" t="str">
        <x:v>30% | 30%</x:v>
      </x:c>
      <x:c r="G2649" s="46" t="str">
        <x:v>L2025-00016-1/Section 8 - Special Conditions of Contract.docx</x:v>
      </x:c>
      <x:c r="H2649" s="43" t="str">
        <x:v>표 3 행 12</x:v>
      </x:c>
      <x:c r="I2649" s="46" t="str">
        <x:v>Advance Payment &amp; Guarantee | 30% of the Contract Price Period: from the effective date to more than 60 days after the completion date (6 months +2 months) -The Contractor shall provide the 12 months and the extended 8 months -The Contractor shall submit the Adavance Payment Guarantee and Payment Schedule when requesting the advance payment | 30% of the Contract Price Period: from the effective date to more than 60 days after the completion date (6 months +2 months) -The Contractor shall provide the 12 months and the extended 8 months -The Contractor shall submit the Adavance Payment Guarantee and Payment Schedule when requesting the advance payment</x:v>
      </x:c>
      <x:c r="J2649" s="43" t="str">
        <x:v>자동추출·검토필요</x:v>
      </x:c>
    </x:row>
    <x:row r="2650">
      <x:c r="A2650" s="43" t="str">
        <x:v>L2025-00016-1</x:v>
      </x:c>
      <x:c r="B2650" s="43" t="str">
        <x:v>기간</x:v>
      </x:c>
      <x:c r="C2650" s="46" t="str">
        <x:v>months</x:v>
      </x:c>
      <x:c r="D2650" s="46" t="str"/>
      <x:c r="E2650" s="46" t="str"/>
      <x:c r="F2650" s="46" t="str">
        <x:v>15% | 15% | 15% | 15%</x:v>
      </x:c>
      <x:c r="G2650" s="46" t="str">
        <x:v>L2025-00016-1/Section 8 - Special Conditions of Contract.docx</x:v>
      </x:c>
      <x:c r="H2650" s="43" t="str">
        <x:v>표 3 행 13</x:v>
      </x:c>
      <x:c r="I2650" s="46" t="str">
        <x:v>Performance Guarantee Amount | 15% of the Contract Price Period: from the effective date to more than 60 days after the completion date (6 months +2 months) -The Contractor shall provide the 12 months and the extended 8 months -The Contractor shall submit a warranty against defects when it requrests to return the Performance Guarantee to the Employer Any additional amount to be provided pursuant to Article 4.2(b) of the Contract shall be 15% of the increased Contract Price | 15% of the Contract Price Period: from the effective date to more than 60 days after the completion date (6 months +2 months) -The Contractor shall provide the 12 months and the extended 8 months -The Contractor shall submit a warranty against defects when it requrests to return the Performance Guarantee to the Employer Any additional amount to be provided pursuant to Article 4.2(b) of the Contract shall be 15% of the increased Contract Price</x:v>
      </x:c>
      <x:c r="J2650" s="43" t="str">
        <x:v>자동추출·검토필요</x:v>
      </x:c>
    </x:row>
    <x:row r="2651">
      <x:c r="A2651" s="43" t="str">
        <x:v>L2025-00012-2</x:v>
      </x:c>
      <x:c r="B2651" s="43" t="str">
        <x:v>기간</x:v>
      </x:c>
      <x:c r="C2651" s="46" t="str">
        <x:v>months</x:v>
      </x:c>
      <x:c r="D2651" s="46" t="str"/>
      <x:c r="E2651" s="46" t="str"/>
      <x:c r="F2651" s="46" t="str">
        <x:v>3%</x:v>
      </x:c>
      <x:c r="G2651" s="46" t="str">
        <x:v>L2025-00012-2/(붙임1-2) 영문입찰계획서_Q-Lab_Chacala_Bid Data Sheet (BDS)_20250502.docx</x:v>
      </x:c>
      <x:c r="H2651" s="43" t="str">
        <x:v>표 8 행 10</x:v>
      </x:c>
      <x:c r="I2651" s="46" t="str">
        <x:v>Payments | Will be made every two months according to the actual construction progress rate. ∙ 3% for retention and advance payment ratio will be deducted.</x:v>
      </x:c>
      <x:c r="J2651" s="43" t="str">
        <x:v>자동추출·검토필요</x:v>
      </x:c>
    </x:row>
    <x:row r="2652">
      <x:c r="A2652" s="43" t="str">
        <x:v>L2025-00012-2</x:v>
      </x:c>
      <x:c r="B2652" s="43" t="str">
        <x:v>기간</x:v>
      </x:c>
      <x:c r="C2652" s="46" t="str">
        <x:v>months</x:v>
      </x:c>
      <x:c r="D2652" s="46" t="str"/>
      <x:c r="E2652" s="46" t="str"/>
      <x:c r="F2652" s="46" t="str">
        <x:v>3%</x:v>
      </x:c>
      <x:c r="G2652" s="46" t="str">
        <x:v>L2025-00012-2/(붙임2) 입찰 관련 부속서류/Q-Lab_Chacala_Bidding Doc/Section 2._Q-Lab_Chacala_Bid Data Sheet (BDS)_20250502.docx</x:v>
      </x:c>
      <x:c r="H2652" s="43" t="str">
        <x:v>표 8 행 10</x:v>
      </x:c>
      <x:c r="I2652" s="46" t="str">
        <x:v>Payments | Will be made every two months according to the actual construction progress rate. ∙ 3% for retention and advance payment ratio will be deducted.</x:v>
      </x:c>
      <x:c r="J2652" s="43" t="str">
        <x:v>자동추출·검토필요</x:v>
      </x:c>
    </x:row>
    <x:row r="2653">
      <x:c r="A2653" s="43" t="str">
        <x:v>L2025-00012-2</x:v>
      </x:c>
      <x:c r="B2653" s="43" t="str">
        <x:v>기간</x:v>
      </x:c>
      <x:c r="C2653" s="46" t="str">
        <x:v>months</x:v>
      </x:c>
      <x:c r="D2653" s="46" t="str"/>
      <x:c r="E2653" s="46" t="str"/>
      <x:c r="F2653" s="46" t="str">
        <x:v>3% | 30%</x:v>
      </x:c>
      <x:c r="G2653" s="46" t="str">
        <x:v>L2025-00012-2/(붙임2) 입찰 관련 부속서류/Q-Lab_Chacala_Bidding Doc/Section 8. Q-Lab_Chacala_Specail Conditions of Contract.docx</x:v>
      </x:c>
      <x:c r="H2653" s="43" t="str">
        <x:v>표 2 행 7</x:v>
      </x:c>
      <x:c r="I2653" s="46" t="str">
        <x:v>GCC 12.3 Payments for Completed Parts | Interim payments will be made every two (2) months according to the actual construction progress rate. 3% for retention and 30% for advance payment will be deducted from each payment.</x:v>
      </x:c>
      <x:c r="J2653" s="43" t="str">
        <x:v>자동추출·검토필요</x:v>
      </x:c>
    </x:row>
    <x:row r="2654">
      <x:c r="A2654" s="43" t="str">
        <x:v>L2025-00012-1</x:v>
      </x:c>
      <x:c r="B2654" s="43" t="str">
        <x:v>기간</x:v>
      </x:c>
      <x:c r="C2654" s="46" t="str">
        <x:v>months</x:v>
      </x:c>
      <x:c r="D2654" s="46" t="str"/>
      <x:c r="E2654" s="46" t="str"/>
      <x:c r="F2654" s="46" t="str">
        <x:v>3%</x:v>
      </x:c>
      <x:c r="G2654" s="46" t="str">
        <x:v>L2025-00012-1/(붙임1-2) 영문입찰계획서_Q-Lab_Chacala_Bid Data Sheet (BDS)_20250502.docx</x:v>
      </x:c>
      <x:c r="H2654" s="43" t="str">
        <x:v>표 8 행 10</x:v>
      </x:c>
      <x:c r="I2654" s="46" t="str">
        <x:v>Payments | Will be made every two months according to the actual construction progress rate. ∙ 3% for retention and advance payment ratio will be deducted.</x:v>
      </x:c>
      <x:c r="J2654" s="43" t="str">
        <x:v>자동추출·검토필요</x:v>
      </x:c>
    </x:row>
    <x:row r="2655">
      <x:c r="A2655" s="43" t="str">
        <x:v>L2025-00012-1</x:v>
      </x:c>
      <x:c r="B2655" s="43" t="str">
        <x:v>기간</x:v>
      </x:c>
      <x:c r="C2655" s="46" t="str">
        <x:v>months</x:v>
      </x:c>
      <x:c r="D2655" s="46" t="str"/>
      <x:c r="E2655" s="46" t="str"/>
      <x:c r="F2655" s="46" t="str">
        <x:v>3%</x:v>
      </x:c>
      <x:c r="G2655" s="46" t="str">
        <x:v>L2025-00012-1/(붙임2) 입찰 관련 부속서류/Q-Lab_Chacala_Bidding Doc/Section 2._Q-Lab_Chacala_Bid Data Sheet (BDS)_20250502.docx</x:v>
      </x:c>
      <x:c r="H2655" s="43" t="str">
        <x:v>표 8 행 10</x:v>
      </x:c>
      <x:c r="I2655" s="46" t="str">
        <x:v>Payments | Will be made every two months according to the actual construction progress rate. ∙ 3% for retention and advance payment ratio will be deducted.</x:v>
      </x:c>
      <x:c r="J2655" s="43" t="str">
        <x:v>자동추출·검토필요</x:v>
      </x:c>
    </x:row>
    <x:row r="2656">
      <x:c r="A2656" s="43" t="str">
        <x:v>L2025-00012-1</x:v>
      </x:c>
      <x:c r="B2656" s="43" t="str">
        <x:v>기간</x:v>
      </x:c>
      <x:c r="C2656" s="46" t="str">
        <x:v>months</x:v>
      </x:c>
      <x:c r="D2656" s="46" t="str"/>
      <x:c r="E2656" s="46" t="str"/>
      <x:c r="F2656" s="46" t="str">
        <x:v>3% | 30%</x:v>
      </x:c>
      <x:c r="G2656" s="46" t="str">
        <x:v>L2025-00012-1/(붙임2) 입찰 관련 부속서류/Q-Lab_Chacala_Bidding Doc/Section 8. Q-Lab_Chacala_Specail Conditions of Contract.docx</x:v>
      </x:c>
      <x:c r="H2656" s="43" t="str">
        <x:v>표 2 행 7</x:v>
      </x:c>
      <x:c r="I2656" s="46" t="str">
        <x:v>GCC 12.3 Payments for Completed Parts | Interim payments will be made every two (2) months according to the actual construction progress rate. 3% for retention and 30% for advance payment will be deducted from each payment.</x:v>
      </x:c>
      <x:c r="J2656" s="43" t="str">
        <x:v>자동추출·검토필요</x:v>
      </x:c>
    </x:row>
    <x:row r="2657">
      <x:c r="A2657" s="43" t="str">
        <x:v>L2025-00008-1</x:v>
      </x:c>
      <x:c r="B2657" s="43" t="str">
        <x:v>기간</x:v>
      </x:c>
      <x:c r="C2657" s="46" t="str">
        <x:v>duration</x:v>
      </x:c>
      <x:c r="D2657" s="46" t="str"/>
      <x:c r="E2657" s="46" t="str"/>
      <x:c r="F2657" s="46" t="str">
        <x:v>3%</x:v>
      </x:c>
      <x:c r="G2657" s="46" t="str">
        <x:v>L2025-00008-1/Tender document full set_Kajiado_0219 rev/Section 2 - Bid Data Sheet (eng)_0219.docx</x:v>
      </x:c>
      <x:c r="H2657" s="43" t="str">
        <x:v>표 10 행 15</x:v>
      </x:c>
      <x:c r="I2657" s="46" t="str">
        <x:v>Percentage of Retention | 3% Duration: 2 years + 60 days from the date of TOC issue.</x:v>
      </x:c>
      <x:c r="J2657" s="43" t="str">
        <x:v>자동추출·검토필요</x:v>
      </x:c>
    </x:row>
    <x:row r="2658">
      <x:c r="A2658" s="43" t="str">
        <x:v>L2025-00002-1</x:v>
      </x:c>
      <x:c r="B2658" s="43" t="str">
        <x:v>기간</x:v>
      </x:c>
      <x:c r="C2658" s="46" t="str">
        <x:v>construction period, duration, months</x:v>
      </x:c>
      <x:c r="D2658" s="46" t="str">
        <x:v>2,571.00 m2 | 929.58 m2 | 2,457.53 m2</x:v>
      </x:c>
      <x:c r="E2658" s="46" t="str">
        <x:v>USD 2,361,000 | USD 2,337,390</x:v>
      </x:c>
      <x:c r="F2658" s="46" t="str"/>
      <x:c r="G2658" s="46" t="str">
        <x:v>L2025-00002-1/Section 2 - Bid Data Sheet_Final.pdf</x:v>
      </x:c>
      <x:c r="H2658" s="43" t="str">
        <x:v>페이지 6</x:v>
      </x:c>
      <x:c r="I2658" s="46" t="str">
        <x:v>A. Brief of Bidding ․ Invitation No. L2025-00002-1 Bidding for the General Contract for Construction Works of Cyber ․ Bid Title Security Vocational Center in Indonesia ․ Summary of Construction PSSN, Jl. Raya H. Usa, Putat Nutug, Kec. Ciseeng, Kabupaten - Location Bogor, Jawa Barat, Indonesia 16120 - Program Education - Site area 2,571.00m2 - Building area 929.58m2 - Gross floor area 2,457.53m2 3 Story Main building, 1 Story Ancillary Building with Basement - Building scale STPM - Structure RC 1) Structure, Architecture, Interior, MEPF, Civil, Landscape works 2) Connecting of Power, Telecom, Portable Water, Sewer Line, etc. - Scope of Works 3) Overall construction works based on the design 4) Providing the shop drawings and as-built drawings for the construction works - Scheduled Construction Period 13 months after commencement work Until 14 months from the date of signing the contract ․ Duration (Shall commence within 14 days from the date of signing the contract) ․ Project Budget USD 2,361,000 (Be exclusive of VAT and other applicable indirect taxes) USD 2,337,390(Final Estimated Price will be decided on the ․ Project Estimated Price bid opening) ○ Currency: United States Dollar </x:v>
      </x:c>
      <x:c r="J2658" s="43" t="str">
        <x:v>자동추출·검토필요</x:v>
      </x:c>
    </x:row>
    <x:row r="2659">
      <x:c r="A2659" s="43" t="str">
        <x:v>L2025-00002-1</x:v>
      </x:c>
      <x:c r="B2659" s="43" t="str">
        <x:v>기간</x:v>
      </x:c>
      <x:c r="C2659" s="46" t="str">
        <x:v>months</x:v>
      </x:c>
      <x:c r="D2659" s="46" t="str"/>
      <x:c r="E2659" s="46" t="str"/>
      <x:c r="F2659" s="46" t="str">
        <x:v>5% | 15% | 30% | 0.05% | 15% | 15% | 3% | 5%</x:v>
      </x:c>
      <x:c r="G2659" s="46" t="str">
        <x:v>L2025-00002-1/Section 2 - Bid Data Sheet_Final.pdf</x:v>
      </x:c>
      <x:c r="H2659" s="43" t="str">
        <x:v>페이지 17</x:v>
      </x:c>
      <x:c r="I2659" s="46" t="str">
        <x:v>Annex 2: Summary of Contract Term &amp; Conditions Conditions of contract Item KOICA procurement Remark Contract Type Lump Sum Price Currency US Dollars Excluded All taxes VAT (refer to the Bidding Document for details) 5% of the proposed amount, Bank Guarantee, more than 30 Bidding Security days from submission date of bidding document 15% of Contract price, Bank Guarantee or Insurance Bond, more than 60 days after the completion of contract period, Performance Security Return on Taking-over Certificate date - It shall be submitted before contract signing Less than 30% of Contract price. After submission Advance Payment (more than 60 days from the day after the completion of of AP Bond contract period) Bank Guarantee or Insurance Bond, more than 60 days after AP. Bond the completion of contract period. Interim Payment Payment can be requested every two months 0.05% of contract amount/day and 15% of contract price at Liquidate Damages the maximum. (LD) In case of LD more than 15% of contract amount, the contract can be terminated. Escalation (Fluctuations in Price N/A and Exchange Rates) Defect Liability Period 2 years from the date Final Completion Date. Defect Liability 3% of Contrac</x:v>
      </x:c>
      <x:c r="J2659" s="43" t="str">
        <x:v>자동추출·검토필요</x:v>
      </x:c>
    </x:row>
    <x:row r="2660">
      <x:c r="A2660" s="43" t="str">
        <x:v>L2024-00078-1</x:v>
      </x:c>
      <x:c r="B2660" s="43" t="str">
        <x:v>기간</x:v>
      </x:c>
      <x:c r="C2660" s="46" t="str">
        <x:v>months</x:v>
      </x:c>
      <x:c r="D2660" s="46" t="str"/>
      <x:c r="E2660" s="46" t="str">
        <x:v>KRW 200 million | KRW 100 million | KRW 200 million | KRW 10 million | KRW 100 million | KRW 10 million</x:v>
      </x:c>
      <x:c r="F2660" s="46" t="str"/>
      <x:c r="G2660" s="46" t="str">
        <x:v>L2024-00078-1/0. Attachment_MVC (Construction)_fin/Attachment 1. KOICA Detailed Enforcement Rules of the Regulations for Procurement and Contract in Grant Aid Projects_20190503.pdf</x:v>
      </x:c>
      <x:c r="H2660" s="43" t="str">
        <x:v>페이지 114</x:v>
      </x:c>
      <x:c r="I2660" s="46" t="str">
        <x:v>(a) A person against whom a request is made to restrict qualifications to subparagraph participate in a tendering based on this restriction criteria. (b) A person against whom a request is made to restrict qualifications to Six months participate when no matters that fall under this restriction criteria. 8. A person who falls under Article 27 (1) 7 of the Act (a person who offers a bribe to the relevant public official (including the members of the Committee for Imposition of Penalty Surcharges under Article 27-3 (1); the State Contract Disputes Conciliation Committee under Article 29 (1); the Central Deliberation Committee on Construction Technology, the Special Deliberation Committee on Construction Technology and the consultative committee on technology under the Construction Technology Promotion Act; and other committees prescribed by Presidential Decree) regarding the tendering or acceptance of tendering or signing and/or performing the contract). Two years (a) Those who have offered bribes of at least KRW 200 million. One year (b) Those who have offered bribes of between KRW 100 million and KRW 200 million. Six months (c) Those who have offered bribes of between KRW 10 millio</x:v>
      </x:c>
      <x:c r="J2660" s="43" t="str">
        <x:v>자동추출·검토필요</x:v>
      </x:c>
    </x:row>
    <x:row r="2661">
      <x:c r="A2661" s="43" t="str">
        <x:v>L2024-00078-1</x:v>
      </x:c>
      <x:c r="B2661" s="43" t="str">
        <x:v>기간</x:v>
      </x:c>
      <x:c r="C2661" s="46" t="str">
        <x:v>months</x:v>
      </x:c>
      <x:c r="D2661" s="46" t="str">
        <x:v>30 m2 | 35 m2 | 45 m2</x:v>
      </x:c>
      <x:c r="E2661" s="46" t="str"/>
      <x:c r="F2661" s="46" t="str"/>
      <x:c r="G2661" s="46" t="str">
        <x:v>L2024-00078-1/Section 6_Specification_fin/ARCH– LANDSCAPING FULL SPECIFICATIONS.pdf</x:v>
      </x:c>
      <x:c r="H2661" s="43" t="str">
        <x:v>페이지 36</x:v>
      </x:c>
      <x:c r="I2661" s="46" t="str">
        <x:v>STORAGE TIME 12 months in its original sealed packaging andproper storage conditions. APPROXIMATE THEORETICAL COVERAGE: • New constructionon Plastic Stucco 25 – 30 m2 /gallon. • In repainting over a different color 30 – 35 m2 /gallon • In repainting on similar color: 35 – 45 m2 /gallon in 2 coats - General properties: Comply with VOC (volatile organic compound) regulations, in allregulated areas. 9. PHENOLIC DIVISION IN BATHROOMS This item should include the supply and installation service of phenolic urinal cabins and divisions, as well as cabins for ladies and gentlemen. These cabins include a door of the same material, latch key, handle, height of 1.83 m, aluminum plinth, and aluminum support for upper part support. ALL supplies and materials put on the site must have the approvalof the Supervisor. Any material or material not following the approval will be rejected at the expense of the Contractor. - The characteristics of the Phenolic must be: Prefabricated cabin INAREQUIP-13/E or similar. Suitable for wetareas. Standard height 1850 + 150 mm. With adjustable feet.Doors: Overlapping. Standard pitch: 600mm. Disabled passage: 900 mm. Made of 13 mm thick phenolic compact board, ba</x:v>
      </x:c>
      <x:c r="J2661" s="43" t="str">
        <x:v>자동추출·검토필요</x:v>
      </x:c>
    </x:row>
    <x:row r="2662">
      <x:c r="A2662" s="43" t="str">
        <x:v>L2024-00075-1</x:v>
      </x:c>
      <x:c r="B2662" s="43" t="str">
        <x:v>기간</x:v>
      </x:c>
      <x:c r="C2662" s="46" t="str">
        <x:v>construction period, duration</x:v>
      </x:c>
      <x:c r="D2662" s="46" t="str">
        <x:v>8,069 m2 | 700 m2 | 700 m2</x:v>
      </x:c>
      <x:c r="E2662" s="46" t="str">
        <x:v>USD 624,034 | USD 608,433</x:v>
      </x:c>
      <x:c r="F2662" s="46" t="str"/>
      <x:c r="G2662" s="46" t="str">
        <x:v>L2024-00075-1/Section 2 - Bid Data Sheet_1120.pdf</x:v>
      </x:c>
      <x:c r="H2662" s="43" t="str">
        <x:v>페이지 5</x:v>
      </x:c>
      <x:c r="I2662" s="46" t="str">
        <x:v>A. Brief of Bidding ․ Invitation No. KOICALAO-2024-15-1 L2022-0000-1 Construction of the Southern Agricultural Training Center ․ Bid Title (SATC) ․ Summary of Construction - Location Lak 35 village Paksong District, Champasak Province, Lao PDR - Programme Southern Agricultural Training Center - Site area 8,069m2 - Building area 700m2 - Gross floor area 700m2 Training Building including Director room, Reception room, pantry, staff office, Equipment storage, divisional Discussion 1 &amp;2, - Building scope Men &amp; female toilet, Accessible toilet, janitor, Technical, Dish- washing room, kitchen, Gas, storage 1 &amp; 2 Dining room, lecture room, corridor, terrace, pump area and water tank. - Structure Reinforced Concrete Structure, Steel Structure (Roof) The Contractor shall implement all of works described and designed in contract documents including Design Drawings, - Scope of Works Technical Specifications, Special Condition of Contract and Bill of Quantities as a duty and obligation of the Fixed Lump Sum Contract. - Scheduled Construction Period 300 days Until 330 days from the date of signing the contract -Shall commence 30 days from the date of signing the contract -construction period: 3</x:v>
      </x:c>
      <x:c r="J2662" s="43" t="str">
        <x:v>자동추출·검토필요</x:v>
      </x:c>
    </x:row>
    <x:row r="2663">
      <x:c r="A2663" s="43" t="str">
        <x:v>L2024-00075-1</x:v>
      </x:c>
      <x:c r="B2663" s="43" t="str">
        <x:v>기간</x:v>
      </x:c>
      <x:c r="C2663" s="46" t="str">
        <x:v>duration</x:v>
      </x:c>
      <x:c r="D2663" s="46" t="str"/>
      <x:c r="E2663" s="46" t="str"/>
      <x:c r="F2663" s="46" t="str">
        <x:v>150% | 200% | 250% | 300% | 300% | 80% | 70% | 60%</x:v>
      </x:c>
      <x:c r="G2663" s="46" t="str">
        <x:v>L2024-00075-1/Section 2 - Bid Data Sheet_1120.pdf</x:v>
      </x:c>
      <x:c r="H2663" s="43" t="str">
        <x:v>페이지 13</x:v>
      </x:c>
      <x:c r="I2663" s="46" t="str">
        <x:v>2. Finances (10) Item Distribution Grade Score Debt Ratio over the A: under 150% 4.0 past three years Debt Ratio in last 3 B: under 200% 3.6 (2021-2023) years (Total Liabilities / Net 4 C: under 250% 3.2 * Debt Ratio: (Total Liabilities / worth) D: under 300% 2.8 Net worth) E: above 300% 2.4 A: above 80% of bid 3.0 amount B: above 70% of bid Balance of account at 2.7 amount the time of bid announcement C: above 60% of bid Financial Status 3 2.4 (All account under the amount same bidder can be D: above 50% of bid aggregated) 2.1 amount E: under 50% of bid 1.8 amount More than 10 years 3.0 Operating Period 3 5 - 10 years 2.8 Less than 3 years 2.6 Total 10 ※ Documents : The Bidders shall submit copies of the audited financial statements (or balance sheets, including all related notes, and income statements) for the financial years 2021, 2022 and 2023 complying with the following conditions: ○ Must reflect the finances of the Bidder (or party to a JV), and not sister or parent companies. ○ Past financial statements must be audited by a certified public accountant or independent audit. ○ Past financial statements must correspond to accounting periods already completed and audited. No st</x:v>
      </x:c>
      <x:c r="J2663" s="43" t="str">
        <x:v>자동추출·검토필요</x:v>
      </x:c>
    </x:row>
    <x:row r="2664">
      <x:c r="A2664" s="43" t="str">
        <x:v>L2024-00075-1</x:v>
      </x:c>
      <x:c r="B2664" s="43" t="str">
        <x:v>기간</x:v>
      </x:c>
      <x:c r="C2664" s="46" t="str">
        <x:v>months</x:v>
      </x:c>
      <x:c r="D2664" s="46" t="str"/>
      <x:c r="E2664" s="46" t="str"/>
      <x:c r="F2664" s="46" t="str">
        <x:v>15% | 0.05% | 30% | 5% | 30%</x:v>
      </x:c>
      <x:c r="G2664" s="46" t="str">
        <x:v>L2024-00075-1/Section 2 - Bid Data Sheet_1120.pdf</x:v>
      </x:c>
      <x:c r="H2664" s="43" t="str">
        <x:v>페이지 15</x:v>
      </x:c>
      <x:c r="I2664" s="46" t="str">
        <x:v>Annex 2: Contract Data Contract Data KOICA Laos Office Employer’s name and address (3rd Floor, Vientiane Plaza Hotel, Sailom Road, Hatsady- neua village, Chanthabouly district, Vientiane Capital, Lao PDR) Engineer’s name and address name: Heerim Eng, Topec On- site supervision: Archineer Associates Co., Ltd Until 330 days from the date of signing the contract Time for Completion -Shall commence 30 days from the date of signing the contract Defect Notification Period (DNP) 2 years - KOICA Regulations for International Procurement - Decree of the Prime Minister on Government - Procurement of Goods, Works, Maintenance and S Governing Law ervices, No. 03/PM, dated January 09, 2004 and I mplementing Rules and Regulations, No. 063/MO F, dated March 12, 2004. Or all applicable law and regulations of Lao PDR. Ruling language English Language for communications English Performance Security The performance security will be in the form of an unconditional bank guarantee in the amount(s) of 15% of the Contract Price. Every two(2) months according to the works process, Payment Condition following CM review Delay damages for the Works 0.05% of the final Contract Price per day, in the currencies </x:v>
      </x:c>
      <x:c r="J2664" s="43" t="str">
        <x:v>자동추출·검토필요</x:v>
      </x:c>
    </x:row>
    <x:row r="2665">
      <x:c r="A2665" s="43" t="str">
        <x:v>L2024-00068-2</x:v>
      </x:c>
      <x:c r="B2665" s="43" t="str">
        <x:v>기간</x:v>
      </x:c>
      <x:c r="C2665" s="46" t="str">
        <x:v>duration</x:v>
      </x:c>
      <x:c r="D2665" s="46" t="str"/>
      <x:c r="E2665" s="46" t="str">
        <x:v>$ 3</x:v>
      </x:c>
      <x:c r="F2665" s="46" t="str">
        <x:v>5%</x:v>
      </x:c>
      <x:c r="G2665" s="46" t="str">
        <x:v>L2024-00068-2/Section 11 - Bid Document Checklist_IPNETP Construction.xlsx</x:v>
      </x:c>
      <x:c r="H2665" s="43" t="str">
        <x:v>List!12</x:v>
      </x:c>
      <x:c r="I2665" s="46" t="str">
        <x:v>A12=8 | B12=Bid Submission | C12=2024-11-28 11:00:00 | D12=Bid Security | E12=Visit KOICA Office | F12=○ Type of bid security: Bank guarantee(section 3 - Annex 9) OR irrevocable credit OR cash OR certified check, OR equivalent. ○ Amount: 5% or higher of bid amount. ○ Duration: Bid security shall remain in effect until after 30 days or more of the bid opening date. | G12=="(Attached "&amp;ROW(A1)&amp;") "&amp;표1[[#This Row],[Title of the document]]&amp;"_"&amp;$I$3 | H12=1 copy</x:v>
      </x:c>
      <x:c r="J2665" s="43" t="str">
        <x:v>자동추출·검토필요</x:v>
      </x:c>
    </x:row>
    <x:row r="2666">
      <x:c r="A2666" s="43" t="str">
        <x:v>L2024-00068-1</x:v>
      </x:c>
      <x:c r="B2666" s="43" t="str">
        <x:v>기간</x:v>
      </x:c>
      <x:c r="C2666" s="46" t="str">
        <x:v>duration</x:v>
      </x:c>
      <x:c r="D2666" s="46" t="str"/>
      <x:c r="E2666" s="46" t="str">
        <x:v>$ 3</x:v>
      </x:c>
      <x:c r="F2666" s="46" t="str">
        <x:v>5%</x:v>
      </x:c>
      <x:c r="G2666" s="46" t="str">
        <x:v>L2024-00068-1/Section 11 - Bid Document Checklist_IPNETP Construction.xlsx</x:v>
      </x:c>
      <x:c r="H2666" s="43" t="str">
        <x:v>List!12</x:v>
      </x:c>
      <x:c r="I2666" s="46" t="str">
        <x:v>A12=8 | B12=Bid Submission | C12=2024-11-11 10:00:00 | D12=Bid Security | E12=Visit KOICA Office | F12=○ Type of bid security: Bank guarantee(section 3 - Annex 9) OR irrevocable credit OR cash OR certified check, OR equivalent. ○ Amount: 5% or higher of bid amount. ○ Duration: Bid security shall remain in effect until after 30 days or more of the bid opening date. | G12=="(Attached "&amp;ROW(A1)&amp;") "&amp;표1[[#This Row],[Title of the document]]&amp;"_"&amp;$I$3 | H12=1 copy</x:v>
      </x:c>
      <x:c r="J2666" s="43" t="str">
        <x:v>자동추출·검토필요</x:v>
      </x:c>
    </x:row>
    <x:row r="2667">
      <x:c r="A2667" s="43" t="str">
        <x:v>L2024-00066-1</x:v>
      </x:c>
      <x:c r="B2667" s="43" t="str">
        <x:v>기간</x:v>
      </x:c>
      <x:c r="C2667" s="46" t="str">
        <x:v>duration</x:v>
      </x:c>
      <x:c r="D2667" s="46" t="str"/>
      <x:c r="E2667" s="46" t="str"/>
      <x:c r="F2667" s="46" t="str">
        <x:v>5%</x:v>
      </x:c>
      <x:c r="G2667" s="46" t="str">
        <x:v>L2024-00066-1/Section 4 - Request for Proposal (RFP) R1.doc</x:v>
      </x:c>
      <x:c r="H2667" s="43" t="str">
        <x:v>문단 13</x:v>
      </x:c>
      <x:c r="I2667" s="46" t="str">
        <x:v>3.4. Bid attachments: bid security (in the prescribed form) - Type of bid security: Bank guarantee, irrevocable credit, cash, certified check, or equivalent. - Amount: 5% or higher of bid amount. - Duration: Bid security shall remain in effect until after 30 days or more of the bid opening date. power of Attorney for the authority to sign and execute contracts one set of documents evidencing the applicant’s eligibility to participate in the Bid - Business registration certificate - Certificate of Registration of Fiji Association of Architects or Fiji Building Designers Association - TIN certificate, tax compliance certificates FNU compliance certificate, FNPF compliance certificate, FRCS compliance certificate - Legal documents that show the authenticity of signature or corporate seal Declaration of Anti-corruption in ODA Business Participation (in the prescribed form) The Bidder is on any of the international organization ineligibility lists or pledge (in the prescribed form) Integrity Pledge (in the prescribed form)</x:v>
      </x:c>
      <x:c r="J2667" s="43" t="str">
        <x:v>자동추출·검토필요</x:v>
      </x:c>
    </x:row>
    <x:row r="2668">
      <x:c r="A2668" s="43" t="str">
        <x:v>L2024-00056-2</x:v>
      </x:c>
      <x:c r="B2668" s="43" t="str">
        <x:v>기간</x:v>
      </x:c>
      <x:c r="C2668" s="46" t="str">
        <x:v>duration</x:v>
      </x:c>
      <x:c r="D2668" s="46" t="str"/>
      <x:c r="E2668" s="46" t="str">
        <x:v>$ 3</x:v>
      </x:c>
      <x:c r="F2668" s="46" t="str">
        <x:v>5%</x:v>
      </x:c>
      <x:c r="G2668" s="46" t="str">
        <x:v>L2024-00056-2/Section 10 - Bid Document Checklist.xlsx</x:v>
      </x:c>
      <x:c r="H2668" s="43" t="str">
        <x:v>List!12</x:v>
      </x:c>
      <x:c r="I2668" s="46" t="str">
        <x:v>A12=8 | B12=Bid Submission | C12=2024-10-31 14:00:00 AM | D12=Bid Security | E12=Visit KOICA Office | F12=○ Type of bid security: Bank guarantee(section 3 - Annex 9) OR irrevocable credit OR cash OR certified check, OR equivalent. ○ Amount: 5% or higher of bid amount. ○ Duration: Bid security shall remain in effect until after 30 days or more of the bid opening date. | G12=="(Attached "&amp;ROW(A1)&amp;") "&amp;표1[[#This Row],[Title of the document]]&amp;"_"&amp;$I$3 | H12=4 Copies (1 Original, 2 Copies, USB)</x:v>
      </x:c>
      <x:c r="J2668" s="43" t="str">
        <x:v>자동추출·검토필요</x:v>
      </x:c>
    </x:row>
    <x:row r="2669">
      <x:c r="A2669" s="43" t="str">
        <x:v>L2024-00056-1</x:v>
      </x:c>
      <x:c r="B2669" s="43" t="str">
        <x:v>기간</x:v>
      </x:c>
      <x:c r="C2669" s="46" t="str">
        <x:v>duration</x:v>
      </x:c>
      <x:c r="D2669" s="46" t="str"/>
      <x:c r="E2669" s="46" t="str">
        <x:v>$ 3</x:v>
      </x:c>
      <x:c r="F2669" s="46" t="str">
        <x:v>5%</x:v>
      </x:c>
      <x:c r="G2669" s="46" t="str">
        <x:v>L2024-00056-1/Section 10 - Bid Document Checklist.xlsx</x:v>
      </x:c>
      <x:c r="H2669" s="43" t="str">
        <x:v>List!12</x:v>
      </x:c>
      <x:c r="I2669" s="46" t="str">
        <x:v>A12=8 | B12=Bid Submission | C12=2024-10-18 14:00:00 AM | D12=Bid Security | E12=Visit KOICA Office | F12=○ Type of bid security: Bank guarantee(section 3 - Annex 9) OR irrevocable credit OR cash OR certified check, OR equivalent. ○ Amount: 5% or higher of bid amount. ○ Duration: Bid security shall remain in effect until after 30 days or more of the bid opening date. | G12=="(Attached "&amp;ROW(A1)&amp;") "&amp;표1[[#This Row],[Title of the document]]&amp;"_"&amp;$I$3 | H12=4 Copies (1 Original, 2 Copies, USB)</x:v>
      </x:c>
      <x:c r="J2669" s="43" t="str">
        <x:v>자동추출·검토필요</x:v>
      </x:c>
    </x:row>
    <x:row r="2670">
      <x:c r="A2670" s="43" t="str">
        <x:v>L2024-00052-1</x:v>
      </x:c>
      <x:c r="B2670" s="43" t="str">
        <x:v>기간</x:v>
      </x:c>
      <x:c r="C2670" s="46" t="str">
        <x:v>construction period</x:v>
      </x:c>
      <x:c r="D2670" s="46" t="str">
        <x:v>1,800 m2 | 1,800 m2</x:v>
      </x:c>
      <x:c r="E2670" s="46" t="str"/>
      <x:c r="F2670" s="46" t="str"/>
      <x:c r="G2670" s="46" t="str">
        <x:v>L2024-00052-1/입찰관련서류/Section 2 - Bid Data Sheet (BDS)_└╘┬√░°░φ┐δ ├╓┴╛.docx</x:v>
      </x:c>
      <x:c r="H2670" s="43" t="str">
        <x:v>표 5 행 3</x:v>
      </x:c>
      <x:c r="I2670" s="46" t="str">
        <x:v>․ Scope of Service | ▪ Design Services for “ New Advanced Research Laboratory Center ” ▪ Bidding support for selecting the contractors ▪ Construction Supervision Consultant Service during construction period ▪ Detailed deliverable and work scope as below; Work No1. Design Works - SD(Schematic DWGs) - DD(Development DWGs) - CD(Construction DWGs) Work No2. Size of the Project - Total Floor Area: 1,800 m2, a building of 3-story Work No3. Output - DWGs(Soft Copy &amp; 5 sets Hard Copys) - Specification - Technical Survey Reports - Soil Investigation Report - Technical Calculation Reports - BOQ(Be created with budget relation) - Documents for Permission - Documents for Bidding - Documents for ECC (If needed) - Other necessary document for the project Work No4. During Construction - Design Change related works(create the DWGs and Review) Work No5. Others - Related task for Permit as an Architect - Related required task from the Client as an Architect | ▪ Design Services for “ New Advanced Research Laboratory Center ” ▪ Bidding support for selecting the contractors ▪ Construction Supervision Consultant Service during construction period ▪ Detailed deliverable and work scope as below; Work No1</x:v>
      </x:c>
      <x:c r="J2670" s="43" t="str">
        <x:v>자동추출·검토필요</x:v>
      </x:c>
    </x:row>
    <x:row r="2671">
      <x:c r="A2671" s="43" t="str">
        <x:v>L2024-00052-1</x:v>
      </x:c>
      <x:c r="B2671" s="43" t="str">
        <x:v>기간</x:v>
      </x:c>
      <x:c r="C2671" s="46" t="str">
        <x:v>months</x:v>
      </x:c>
      <x:c r="D2671" s="46" t="str"/>
      <x:c r="E2671" s="46" t="str">
        <x:v>$ 000,000 | $ 000,000 | $ 000,000 | $ 000,000 | $ 000,000 | $ 000,000 | $ 000,000 | $ 000,000</x:v>
      </x:c>
      <x:c r="F2671" s="46" t="str"/>
      <x:c r="G2671" s="46" t="str">
        <x:v>L2024-00052-1/입찰관련서류/Section 3 - Bidding Forms_╝÷┴ñ_R3.docx</x:v>
      </x:c>
      <x:c r="H2671" s="43" t="str">
        <x:v>표 4 행 6</x:v>
      </x:c>
      <x:c r="I2671" s="46" t="str">
        <x:v>2) Price for Construction Supervision Stage | 2) Price for Construction Supervision Stage | [numbers] U$ 000,000 [words] _________________________ ( ________ U$/Months X 15 Months = ______________ U$) | [numbers] U$ 000,000 [words] _________________________ ( ________ U$/Months X 15 Months = ______________ U$) | [numbers] U$ 000,000 [words] _________________________ ( ________ U$/Months X 15 Months = ______________ U$) | [numbers] U$ 000,000 [words] _________________________ ( ________ U$/Months X 15 Months = ______________ U$) | [numbers] U$ 000,000 [words] _________________________ ( ________ U$/Months X 15 Months = ______________ U$) | [numbers] U$ 000,000 [words] _________________________ ( ________ U$/Months X 15 Months = ______________ U$) | [numbers] U$ 000,000 [words] _________________________ ( ________ U$/Months X 15 Months = ______________ U$) | [numbers] U$ 000,000 [words] _________________________ ( ________ U$/Months X 15 Months = ______________ U$)</x:v>
      </x:c>
      <x:c r="J2671" s="43" t="str">
        <x:v>자동추출·검토필요</x:v>
      </x:c>
    </x:row>
    <x:row r="2672">
      <x:c r="A2672" s="43" t="str">
        <x:v>L2024-00052-1</x:v>
      </x:c>
      <x:c r="B2672" s="43" t="str">
        <x:v>기간</x:v>
      </x:c>
      <x:c r="C2672" s="46" t="str">
        <x:v>construction period</x:v>
      </x:c>
      <x:c r="D2672" s="46" t="str">
        <x:v>1,800 m2</x:v>
      </x:c>
      <x:c r="E2672" s="46" t="str"/>
      <x:c r="F2672" s="46" t="str"/>
      <x:c r="G2672" s="46" t="str">
        <x:v>L2024-00052-1/입찰관련서류/Section 8 - Special Conditions of Contract_R3.docx</x:v>
      </x:c>
      <x:c r="H2672" s="43" t="str">
        <x:v>표 1 행 2</x:v>
      </x:c>
      <x:c r="I2672" s="46" t="str">
        <x:v>Scope of Works | ▪ Design Services for “New Advanced Research Laboratory Center” ▪ Bidding support for selecting the contractors ▪ Construction Supervision Consultant during construction period ▪ Detailed deliverable and work scope as below; Work No1. Design Works SD(Schematic DWGs) DD(Development DWGs) CD(Construction DWGs) Work No2. Size of the Project Total Floor Area: 1,800 m2, a building of 3-story Work No3. Output DWGs(Soft Copy &amp; 5 sets Hard Copys) Specification Technical Survey Reports Soil Investigation Report Technical Calculation Reports BOQ(Be created with budget relation) Documents for Permission Documents for Bidding Documents for ECC (If needed) Other necessary document for the project Work No4. During Construction Design Change related works(create the DWGs and Review) Work No5. Others Related task for Permit as an Architect Related required task from the Client as an Architect</x:v>
      </x:c>
      <x:c r="J2672" s="43" t="str">
        <x:v>자동추출·검토필요</x:v>
      </x:c>
    </x:row>
    <x:row r="2673">
      <x:c r="A2673" s="43" t="str">
        <x:v>L2024-00042-1</x:v>
      </x:c>
      <x:c r="B2673" s="43" t="str">
        <x:v>기간</x:v>
      </x:c>
      <x:c r="C2673" s="46" t="str">
        <x:v>duration, months</x:v>
      </x:c>
      <x:c r="D2673" s="46" t="str"/>
      <x:c r="E2673" s="46" t="str">
        <x:v>USD 9,406,500 | USD 9,171,338</x:v>
      </x:c>
      <x:c r="F2673" s="46" t="str"/>
      <x:c r="G2673" s="46" t="str">
        <x:v>L2024-00042-1/Section 2_Bid Data Sheet.pdf</x:v>
      </x:c>
      <x:c r="H2673" s="43" t="str">
        <x:v>페이지 6</x:v>
      </x:c>
      <x:c r="I2673" s="46" t="str">
        <x:v>1. Overview of Bid A. Bidding No. KOICALAO-2024-7-24 Construction Works for Upgrading Bridges and Road Safety B. Title of the Bid on National Road No.8 (AH15) in Lao PDR C. Summary of Construction Works - Location Bolikhamxai and Khammouane Province of Lao PDR ▪ Bridge Construction: 6 nos., L=231.0 m - Nam Khiao 2 Br. (PSC Beam), L=33.0 m - Huay Khimiang Br. (PSC Beam), L=33.0 m - Huay Mouang Br. (PSC Beam), L=33.0 m - Huay Poung Br. (PSC Beam), L=33.0 m - Nam Ngang Gnai Br. (PSC Beam), L=2@33=66.0 m - Huay Bordod Br. (PSC Beam), L=33.0 m ▪ Bridge Access Road Rehabilitation: 6 nos., L=2.11 km - Content ▪ Improvement of Black Spot: 2 nos., L=1.44 km - Black Spot #1: L=1.06 km, Road Pavement and Safety Facilities Installation - Black Spot #2: L=0.38 km, Improvement of Alignments, Road Safety Facilities Installation ▪ School Zone Installation: 4 nos. - Phontan, Khouanchanh, Lak10, Thong Napei Primary School - Line Marking, Installation of Road Safety Facilities - Duration 24 Months from the Commencement 25 Months from Contract Signing (Commencement should be D. Contract Period within 30 days from Contract Signing) Lump Sum Contract (No Price Adjustment is adopted due to E. Contract Me</x:v>
      </x:c>
      <x:c r="J2673" s="43" t="str">
        <x:v>자동추출·검토필요</x:v>
      </x:c>
    </x:row>
    <x:row r="2674">
      <x:c r="A2674" s="43" t="str">
        <x:v>L2024-00042-1</x:v>
      </x:c>
      <x:c r="B2674" s="43" t="str">
        <x:v>기간</x:v>
      </x:c>
      <x:c r="C2674" s="46" t="str">
        <x:v>months</x:v>
      </x:c>
      <x:c r="D2674" s="46" t="str"/>
      <x:c r="E2674" s="46" t="str"/>
      <x:c r="F2674" s="46" t="str">
        <x:v>15% | 0.05% | 30% | 5% | 0.5% | 30% | 3%</x:v>
      </x:c>
      <x:c r="G2674" s="46" t="str">
        <x:v>L2024-00042-1/Section 2_Bid Data Sheet.pdf</x:v>
      </x:c>
      <x:c r="H2674" s="43" t="str">
        <x:v>페이지 23</x:v>
      </x:c>
      <x:c r="I2674" s="46" t="str">
        <x:v>Annex 2: Contract Data Contract Data KOICA Laos Office (3rd Floor, Vientiane Plaza Hotel, Sailom Road, Hatsady- Client’s name and address neua village, Chanthabouly district, Vientiane Capital, Lao PDR) (PM) Korea Expressway Corporation JV with Kyong Dong Engineering Co., Ltd. Name of Project Management and (Design &amp;·Supervision) JV of Dong Sung Engineering Co., Design &amp;·Supervision Consultants Ltd., Dong Il Engineering Consultants Co., Ltd., Dasan Consultants Co., Ltd. Time for Completion 730 days from the Commencement Date (24 months) Defect Notification Period (DNP) 2 years (Including DLP Insurance) Laws in Laos Governing Law Laws in Korea, in case of Korean Contractor Ruling language English Language for communications English Contract and Currencies of Payment United State Dollars (USD) The performance security will be in the form of an Performance Security unconditional bank guarantee in the amount(s) of 15% of the Contract Price 0.05% of the contract amount per day, in the currencies in Delay damages for the Works which the contract price is payable Maximum amount of delay damages 30% of the Contract Price Payment Condition Every two(2) months according to the works process </x:v>
      </x:c>
      <x:c r="J2674" s="43" t="str">
        <x:v>자동추출·검토필요</x:v>
      </x:c>
    </x:row>
    <x:row r="2675">
      <x:c r="A2675" s="43" t="str">
        <x:v>L2024-00042-1</x:v>
      </x:c>
      <x:c r="B2675" s="43" t="str">
        <x:v>기간</x:v>
      </x:c>
      <x:c r="C2675" s="46" t="str">
        <x:v>months</x:v>
      </x:c>
      <x:c r="D2675" s="46" t="str"/>
      <x:c r="E2675" s="46" t="str">
        <x:v>12.1 US$</x:v>
      </x:c>
      <x:c r="F2675" s="46" t="str">
        <x:v>0.05%</x:v>
      </x:c>
      <x:c r="G2675" s="46" t="str">
        <x:v>L2024-00042-1/Section 8_Special Conditions of Contract.pdf</x:v>
      </x:c>
      <x:c r="H2675" s="43" t="str">
        <x:v>페이지 3</x:v>
      </x:c>
      <x:c r="I2675" s="46" t="str">
        <x:v>[Annex 1] Detailed Terms and Conditions Article Detailed Terms and Conditions Article 1.1 / Article 7.1 Within 30 days from the Contract Signing Commencement Date Article 1.1 / Article 7.2 24 months from the Commencement Date Completion Deadline Article 1.1 Within 25 months from the Contract Signing Contract Period Article 1.1 / Article 12.1 US$ 0,000,000 including all taxes Contract Price Article 1.1 24 months from Issuance of the Taking-over Certificate Defect Notification Period Article 1.1 Bolikhamxay and Khammouan Province, Lao PDR Site or Construction Site Article 1.3 (b) For the Employer Construction Site Copy to: Manager Title: Fax no.: Phone no.: e-mail: For the Contractor Copy to: Title: Fax no.: Phone no.: e-mail: Article 1.11 (f) Shall not be adopted (Lump Sum Contract) Article 2.1 (a) No later than Commencement Date Article 4.1 (c) Such work includes all activities to be performed by the Contractor for the purpose of Works Article 4.3 (g) The language is English Article 6.5 (b) The time is 12 hours Article 7.7 (c) 0.05%/day of the Contract Price 3</x:v>
      </x:c>
      <x:c r="J2675" s="43" t="str">
        <x:v>자동추출·검토필요</x:v>
      </x:c>
    </x:row>
    <x:row r="2676">
      <x:c r="A2676" s="43" t="str">
        <x:v>L2024-00041-1</x:v>
      </x:c>
      <x:c r="B2676" s="43" t="str">
        <x:v>기간</x:v>
      </x:c>
      <x:c r="C2676" s="46" t="str">
        <x:v>construction period</x:v>
      </x:c>
      <x:c r="D2676" s="46" t="str">
        <x:v>1,825 M2 | 9,012 M2 | 136 M2 | 1,825 M2 | 9,012 M2 | 136 M2</x:v>
      </x:c>
      <x:c r="E2676" s="46" t="str"/>
      <x:c r="F2676" s="46" t="str"/>
      <x:c r="G2676" s="46" t="str">
        <x:v>L2024-00041-1/Section 2 - Bid Data Sheet (BDS)_v5_0604.docx</x:v>
      </x:c>
      <x:c r="H2676" s="43" t="str">
        <x:v>표 5 행 3</x:v>
      </x:c>
      <x:c r="I2676" s="46" t="str">
        <x:v>․ Scope of Service | ※The assignment consist of the services for the construction of the project mentioned below: - New Construction of Training Center in Chuy Oblast: Total Floor Area 1,825 M2. One(1) Admin/Training Building and One(1) Dormitory Building. The Project site area is 9,012 M2 - Remodeling of Bio-Center : 136 M2 project area for 2 floors 1) Design and Construction document Service -Soil Investigation and Required surveys (Including Existing building status for remodeling work, Topographical, Structural, and Geographical surveys for New construction work) -Preparation of design and other engineering services necessary to bring the work to the construction readiness state for the projects mentioned in the Agreement - Preparation of all the developed construction documents -All required administration &amp; preparation for relevant permits 2) Author’s Supervision - All required A.S. service as defined in the local regulation for the Successful Construction and Remodeling works of the project until the official approval date on the building occupation permit. - The service include but not limited to the following: control over the compliance of the construction and installatio</x:v>
      </x:c>
      <x:c r="J2676" s="43" t="str">
        <x:v>자동추출·검토필요</x:v>
      </x:c>
    </x:row>
    <x:row r="2677">
      <x:c r="A2677" s="43" t="str">
        <x:v>L2024-00041-1</x:v>
      </x:c>
      <x:c r="B2677" s="43" t="str">
        <x:v>기간</x:v>
      </x:c>
      <x:c r="C2677" s="46" t="str">
        <x:v>calendar days</x:v>
      </x:c>
      <x:c r="D2677" s="46" t="str"/>
      <x:c r="E2677" s="46" t="str"/>
      <x:c r="F2677" s="46" t="str">
        <x:v>10%</x:v>
      </x:c>
      <x:c r="G2677" s="46" t="str">
        <x:v>L2024-00041-1/Section 4 - Request for Proposal (RFP)_v2_0603.doc</x:v>
      </x:c>
      <x:c r="H2677" s="43" t="str">
        <x:v>문단 206</x:v>
      </x:c>
      <x:c r="I2677" s="46" t="str">
        <x:v>Monitor that the physical progress of the works is in accordance with the implementation of the project’s execution plan. When the project schedule is delayed in a percentage greater than 10% of the Monthly physical progress, the Supervisor is often required to request the Contractor to update the software within the current term in writing, and the Contractor should present the updates within 7 calendar days. If arrears to observe, the Supervisor shall recommend solutions in writing to Contractor and inform the professional assigned by KOICA.</x:v>
      </x:c>
      <x:c r="J2677" s="43" t="str">
        <x:v>자동추출·검토필요</x:v>
      </x:c>
    </x:row>
    <x:row r="2678">
      <x:c r="A2678" s="43" t="str">
        <x:v>L2024-00039-1</x:v>
      </x:c>
      <x:c r="B2678" s="43" t="str">
        <x:v>기간</x:v>
      </x:c>
      <x:c r="C2678" s="46" t="str">
        <x:v>duration</x:v>
      </x:c>
      <x:c r="D2678" s="46" t="str"/>
      <x:c r="E2678" s="46" t="str"/>
      <x:c r="F2678" s="46" t="str">
        <x:v>15% | 15% | 15% | 15%</x:v>
      </x:c>
      <x:c r="G2678" s="46" t="str">
        <x:v>L2024-00039-1/붙임3. Bidding Documents_20240702/Section 8 - Special Conditions of Contract_20240503.docx</x:v>
      </x:c>
      <x:c r="H2678" s="43" t="str">
        <x:v>표 3 행 12</x:v>
      </x:c>
      <x:c r="I2678" s="46" t="str">
        <x:v>Performance Guarantee Amount | 15% of the Contract Price The duration of the Performance Bond(Bank Guarantee) is 1years and 60days from the starting days of contract Any additional amount to be provided pursuant to Article 4.2(b) of the Contract shall be 15% of the increased Contract Price * When the contract period is extended, the validity of the Performance Bond must be extended to cover an additional 60 days beyond the end date of the extended contract | 15% of the Contract Price The duration of the Performance Bond(Bank Guarantee) is 1years and 60days from the starting days of contract Any additional amount to be provided pursuant to Article 4.2(b) of the Contract shall be 15% of the increased Contract Price * When the contract period is extended, the validity of the Performance Bond must be extended to cover an additional 60 days beyond the end date of the extended contract</x:v>
      </x:c>
      <x:c r="J2678" s="43" t="str">
        <x:v>자동추출·검토필요</x:v>
      </x:c>
    </x:row>
    <x:row r="2679">
      <x:c r="A2679" s="43" t="str">
        <x:v>L2024-00039-1</x:v>
      </x:c>
      <x:c r="B2679" s="43" t="str">
        <x:v>기간</x:v>
      </x:c>
      <x:c r="C2679" s="46" t="str">
        <x:v>duration</x:v>
      </x:c>
      <x:c r="D2679" s="46" t="str"/>
      <x:c r="E2679" s="46" t="str"/>
      <x:c r="F2679" s="46" t="str">
        <x:v>3% | 3%</x:v>
      </x:c>
      <x:c r="G2679" s="46" t="str">
        <x:v>L2024-00039-1/붙임3. Bidding Documents_20240702/Section 8 - Special Conditions of Contract_20240503.docx</x:v>
      </x:c>
      <x:c r="H2679" s="43" t="str">
        <x:v>표 3 행 17</x:v>
      </x:c>
      <x:c r="I2679" s="46" t="str">
        <x:v>Security Deposit for Defects | 3% of the Contract Price *The duration of the Security Deposit for Defects is 2 years and 60days from the earlier day of, taking over the project or the day when it passed the tests on completion. ** At the time of the final payment, the amount corresponding to the Security Deposit will be deducted, and in this case, there is no need to make a separate Security Deposit payment to KOICA. | 3% of the Contract Price *The duration of the Security Deposit for Defects is 2 years and 60days from the earlier day of, taking over the project or the day when it passed the tests on completion. ** At the time of the final payment, the amount corresponding to the Security Deposit will be deducted, and in this case, there is no need to make a separate Security Deposit payment to KOICA.</x:v>
      </x:c>
      <x:c r="J2679" s="43" t="str">
        <x:v>자동추출·검토필요</x:v>
      </x:c>
    </x:row>
    <x:row r="2680">
      <x:c r="A2680" s="43" t="str">
        <x:v>L2024-00039-1</x:v>
      </x:c>
      <x:c r="B2680" s="43" t="str">
        <x:v>기간</x:v>
      </x:c>
      <x:c r="C2680" s="46" t="str">
        <x:v>duration</x:v>
      </x:c>
      <x:c r="D2680" s="46" t="str"/>
      <x:c r="E2680" s="46" t="str"/>
      <x:c r="F2680" s="46" t="str">
        <x:v>40% | 40%</x:v>
      </x:c>
      <x:c r="G2680" s="46" t="str">
        <x:v>L2024-00039-1/붙임3. Bidding Documents_20240702/Section 8 - Special Conditions of Contract_20240503.docx</x:v>
      </x:c>
      <x:c r="H2680" s="43" t="str">
        <x:v>표 3 행 20</x:v>
      </x:c>
      <x:c r="I2680" s="46" t="str">
        <x:v>Advance payment | Advance payment(Up to a maximum of 40% of the contract amount can be paid.) *The duration of the bank guarantee for advance payment is 1years and 60days from the starting days of contract. and When the contract period is extended, the validity of the bank guarantee for advance payment be extended to cover an additional 60 days beyond the end date of the extended contract. ** If the advance payment guarantee(from bank) is not submitted, the advance payment cannot be made. | Advance payment(Up to a maximum of 40% of the contract amount can be paid.) *The duration of the bank guarantee for advance payment is 1years and 60days from the starting days of contract. and When the contract period is extended, the validity of the bank guarantee for advance payment be extended to cover an additional 60 days beyond the end date of the extended contract. ** If the advance payment guarantee(from bank) is not submitted, the advance payment cannot be made.</x:v>
      </x:c>
      <x:c r="J2680" s="43" t="str">
        <x:v>자동추출·검토필요</x:v>
      </x:c>
    </x:row>
    <x:row r="2681">
      <x:c r="A2681" s="43" t="str">
        <x:v>L2024-00039-1</x:v>
      </x:c>
      <x:c r="B2681" s="43" t="str">
        <x:v>기간</x:v>
      </x:c>
      <x:c r="C2681" s="46" t="str">
        <x:v>duration</x:v>
      </x:c>
      <x:c r="D2681" s="46" t="str"/>
      <x:c r="E2681" s="46" t="str"/>
      <x:c r="F2681" s="46" t="str">
        <x:v>15% | 15% | 15% | 15%</x:v>
      </x:c>
      <x:c r="G2681" s="46" t="str">
        <x:v>L2024-00039-1/붙임3. 입찰서류 및 계약서류(안)_재공고(20240701)/Section 8 - Special Conditions of Contract_20240503.docx</x:v>
      </x:c>
      <x:c r="H2681" s="43" t="str">
        <x:v>표 3 행 12</x:v>
      </x:c>
      <x:c r="I2681" s="46" t="str">
        <x:v>Performance Guarantee Amount | 15% of the Contract Price The duration of the Performance Bond(Bank Guarantee) is 1years and 60days from the starting days of contract Any additional amount to be provided pursuant to Article 4.2(b) of the Contract shall be 15% of the increased Contract Price * When the contract period is extended, the validity of the Performance Bond must be extended to cover an additional 60 days beyond the end date of the extended contract | 15% of the Contract Price The duration of the Performance Bond(Bank Guarantee) is 1years and 60days from the starting days of contract Any additional amount to be provided pursuant to Article 4.2(b) of the Contract shall be 15% of the increased Contract Price * When the contract period is extended, the validity of the Performance Bond must be extended to cover an additional 60 days beyond the end date of the extended contract</x:v>
      </x:c>
      <x:c r="J2681" s="43" t="str">
        <x:v>자동추출·검토필요</x:v>
      </x:c>
    </x:row>
    <x:row r="2682">
      <x:c r="A2682" s="43" t="str">
        <x:v>L2024-00039-1</x:v>
      </x:c>
      <x:c r="B2682" s="43" t="str">
        <x:v>기간</x:v>
      </x:c>
      <x:c r="C2682" s="46" t="str">
        <x:v>duration</x:v>
      </x:c>
      <x:c r="D2682" s="46" t="str"/>
      <x:c r="E2682" s="46" t="str"/>
      <x:c r="F2682" s="46" t="str">
        <x:v>3% | 3%</x:v>
      </x:c>
      <x:c r="G2682" s="46" t="str">
        <x:v>L2024-00039-1/붙임3. 입찰서류 및 계약서류(안)_재공고(20240701)/Section 8 - Special Conditions of Contract_20240503.docx</x:v>
      </x:c>
      <x:c r="H2682" s="43" t="str">
        <x:v>표 3 행 17</x:v>
      </x:c>
      <x:c r="I2682" s="46" t="str">
        <x:v>Security Deposit for Defects | 3% of the Contract Price *The duration of the Security Deposit for Defects is 2 years and 60days from the earlier day of, taking over the project or the day when it passed the tests on completion. ** At the time of the final payment, the amount corresponding to the Security Deposit will be deducted, and in this case, there is no need to make a separate Security Deposit payment to KOICA. | 3% of the Contract Price *The duration of the Security Deposit for Defects is 2 years and 60days from the earlier day of, taking over the project or the day when it passed the tests on completion. ** At the time of the final payment, the amount corresponding to the Security Deposit will be deducted, and in this case, there is no need to make a separate Security Deposit payment to KOICA.</x:v>
      </x:c>
      <x:c r="J2682" s="43" t="str">
        <x:v>자동추출·검토필요</x:v>
      </x:c>
    </x:row>
    <x:row r="2683">
      <x:c r="A2683" s="43" t="str">
        <x:v>L2024-00039-1</x:v>
      </x:c>
      <x:c r="B2683" s="43" t="str">
        <x:v>기간</x:v>
      </x:c>
      <x:c r="C2683" s="46" t="str">
        <x:v>duration</x:v>
      </x:c>
      <x:c r="D2683" s="46" t="str"/>
      <x:c r="E2683" s="46" t="str"/>
      <x:c r="F2683" s="46" t="str">
        <x:v>40% | 40%</x:v>
      </x:c>
      <x:c r="G2683" s="46" t="str">
        <x:v>L2024-00039-1/붙임3. 입찰서류 및 계약서류(안)_재공고(20240701)/Section 8 - Special Conditions of Contract_20240503.docx</x:v>
      </x:c>
      <x:c r="H2683" s="43" t="str">
        <x:v>표 3 행 20</x:v>
      </x:c>
      <x:c r="I2683" s="46" t="str">
        <x:v>Advance payment | Advance payment(Up to a maximum of 40% of the contract amount can be paid.) *The duration of the bank guarantee for advance payment is 1years and 60days from the starting days of contract. and When the contract period is extended, the validity of the bank guarantee for advance payment be extended to cover an additional 60 days beyond the end date of the extended contract. ** If the advance payment guarantee(from bank) is not submitted, the advance payment cannot be made. | Advance payment(Up to a maximum of 40% of the contract amount can be paid.) *The duration of the bank guarantee for advance payment is 1years and 60days from the starting days of contract. and When the contract period is extended, the validity of the bank guarantee for advance payment be extended to cover an additional 60 days beyond the end date of the extended contract. ** If the advance payment guarantee(from bank) is not submitted, the advance payment cannot be made.</x:v>
      </x:c>
      <x:c r="J2683" s="43" t="str">
        <x:v>자동추출·검토필요</x:v>
      </x:c>
    </x:row>
    <x:row r="2684">
      <x:c r="A2684" s="43" t="str">
        <x:v>L2024-00024-1</x:v>
      </x:c>
      <x:c r="B2684" s="43" t="str">
        <x:v>기간</x:v>
      </x:c>
      <x:c r="C2684" s="46" t="str">
        <x:v>duration, months</x:v>
      </x:c>
      <x:c r="D2684" s="46" t="str"/>
      <x:c r="E2684" s="46" t="str">
        <x:v>USD 65,000 | USD 52,000 | USD 13,000</x:v>
      </x:c>
      <x:c r="F2684" s="46" t="str"/>
      <x:c r="G2684" s="46" t="str">
        <x:v>L2024-00024-1/★Section 2 - Bid Data Sheet (BDS).pdf</x:v>
      </x:c>
      <x:c r="H2684" s="43" t="str">
        <x:v>페이지 5</x:v>
      </x:c>
      <x:c r="I2684" s="46" t="str">
        <x:v>② Basic Drawing (Architecture, Electrical, mechanical, Civil, Communication, Fire Fighting &amp; etc) ③ Drawing for Construction (Architecture, Electrical, mechanical, Civil, Communication, Fire Fighting &amp; etc) ④ Structure , Mechanical &amp; Electrical calculation Sheet ⑤ Specification ⑥ Priced BOQ ⑦ Prospective Drawing ⑧ Documents for building permit from the authority Supervision of the construction work ⑨ Support for selecting the construction company: Bidding documents, etc. ⑩ Construction supervisor on-site (architecture and related fields) placed 1 or more and 2 or more not on-site in the mechanical and electrical field (obligation to report weekly and monthly) ⑪ On-site supervisors must submit daily supervision reports, weekly and monthly reports, and submit technical review opinions related to the field  Design period: 120 days from the contract date (Including public holidays) 1) Basic Drawing 30 days (including the review) : B/D review and Negotiation completed with PMC : 10day ․ Duration 2) Construction Drawing 50 days (including the review) : C/D review and Negotiation completed with PMC : 10day 3)Government construction permit and final delivery : 40 day.  Construction super</x:v>
      </x:c>
      <x:c r="J2684" s="43" t="str">
        <x:v>자동추출·검토필요</x:v>
      </x:c>
    </x:row>
    <x:row r="2685">
      <x:c r="A2685" s="43" t="str">
        <x:v>L2024-00024-1</x:v>
      </x:c>
      <x:c r="B2685" s="43" t="str">
        <x:v>기간</x:v>
      </x:c>
      <x:c r="C2685" s="46" t="str">
        <x:v>duration</x:v>
      </x:c>
      <x:c r="D2685" s="46" t="str">
        <x:v>700 ㎡</x:v>
      </x:c>
      <x:c r="E2685" s="46" t="str"/>
      <x:c r="F2685" s="46" t="str">
        <x:v>5%</x:v>
      </x:c>
      <x:c r="G2685" s="46" t="str">
        <x:v>L2024-00024-1/★Section 2 - Bid Data Sheet (BDS).pdf</x:v>
      </x:c>
      <x:c r="H2685" s="43" t="str">
        <x:v>페이지 9</x:v>
      </x:c>
      <x:c r="I2685" s="46" t="str">
        <x:v>bid. ○ Deadline:2024-05-31 ○ Email address: laos@koica.go.kr ○ Required documents - Application (in the prescribed form) - Copy of business license for Design and Supervision (issued by the Ministry of Industry and Commerce) - Copy of latest Design &amp; Survey license (license issued by the DPWT or MPWT) - Copy of latest registration of tax (issued by the Ministry of Finance) - Legal documents that show the authenticity of signature or corporate seal. - Performance certificate of design services for educational or business building projects within the last three years as of the bidding announcement date (total floor area of 700㎡ ) - Other documents required in this bid. 2. Inquires ○ To provide the same information to all bidders equally and fairly, KOICA Office in Lao PDR will not respond to telephone inquiries. - Email to laos@koica.go.kr, and CC leegag@topec.co.kr Inquiry deadline: 11 days prior to the deadline of bid submission. ○ Response: Response will be replied via email and KOICA office in Lao PDR website 11 days before the deadline of bid submission. 3. Bid security ○ Type of bid security: Bank guarantee, irrevocable credit, cash, certified check, or equivalent. ○ Amount: 5%</x:v>
      </x:c>
      <x:c r="J2685" s="43" t="str">
        <x:v>자동추출·검토필요</x:v>
      </x:c>
    </x:row>
    <x:row r="2686">
      <x:c r="A2686" s="43" t="str">
        <x:v>L2024-00024-1</x:v>
      </x:c>
      <x:c r="B2686" s="43" t="str">
        <x:v>기간</x:v>
      </x:c>
      <x:c r="C2686" s="46" t="str">
        <x:v>construction period, duration, months</x:v>
      </x:c>
      <x:c r="D2686" s="46" t="str"/>
      <x:c r="E2686" s="46" t="str"/>
      <x:c r="F2686" s="46" t="str">
        <x:v>15% | 0.125% | 15% | 10% | 30%</x:v>
      </x:c>
      <x:c r="G2686" s="46" t="str">
        <x:v>L2024-00024-1/★Section 2 - Bid Data Sheet (BDS).pdf</x:v>
      </x:c>
      <x:c r="H2686" s="43" t="str">
        <x:v>페이지 18</x:v>
      </x:c>
      <x:c r="I2686" s="46" t="str">
        <x:v>Annex 2: Conditions of contract Conditions of contract name: KOICA Office in Lao PDR address: 3rd Floor, Vientiane Plaza Hotel, Employer’s name and address Sailom Road, Hatsady-neua Village, Chanthabouly District, Vientiane Capital, Lao PDR Engineer’s name and address name: Heerim Eng, Topec 120 days for design and 9 months during Duration construction period, plus 60 days after completion inspection. Defect Notification Period (DNP) 2 years + 60 days - KOICA Regulations for International Procurement, Instructions on International Bidding for the Purchase of Goods Decree of the Prime Minister on Government Governing Law Procurement of Goods, Works, Maintenance an d Services, No. 03/PM, dated January 09, 2004 and Implementing Rules and Regulations, No. 063/MOF, dated March 12, 2004. Or all applicable law and regulations of Lao PDR. Ruling language English Language for communications English Performance Security The performance security will be in the form of an unconditional bank guarantee in the amount(s) of 15% of the Contract Price. Delay damages for the Works 0.125% of the final Contract Price per day, in the currencies in which the Contract Price is payable. Maximum amount of d</x:v>
      </x:c>
      <x:c r="J2686" s="43" t="str">
        <x:v>자동추출·검토필요</x:v>
      </x:c>
    </x:row>
    <x:row r="2687">
      <x:c r="A2687" s="43" t="str">
        <x:v>L2024-00018-1</x:v>
      </x:c>
      <x:c r="B2687" s="43" t="str">
        <x:v>기간</x:v>
      </x:c>
      <x:c r="C2687" s="46" t="str">
        <x:v>months</x:v>
      </x:c>
      <x:c r="D2687" s="46" t="str"/>
      <x:c r="E2687" s="46" t="str">
        <x:v>KRW 200 million | KRW 100 million | KRW 200 million | KRW 10 million | KRW 100 million | KRW 10 million</x:v>
      </x:c>
      <x:c r="F2687" s="46" t="str"/>
      <x:c r="G2687" s="46" t="str">
        <x:v>L2024-00018-1/붙임2. 현지 감리업체 선정 입찰 계획서 영문 및 붙임문서/Attachments/Attachment 1. KOICA Detailed Enforcement Rules of the Regulations for Procurement and Contract in Grant Aid Projects_20190503.pdf</x:v>
      </x:c>
      <x:c r="H2687" s="43" t="str">
        <x:v>페이지 114</x:v>
      </x:c>
      <x:c r="I2687" s="46" t="str">
        <x:v>(a) A person against whom a request is made to restrict qualifications to subparagraph participate in a tendering based on this restriction criteria. (b) A person against whom a request is made to restrict qualifications to Six months participate when no matters that fall under this restriction criteria. 8. A person who falls under Article 27 (1) 7 of the Act (a person who offers a bribe to the relevant public official (including the members of the Committee for Imposition of Penalty Surcharges under Article 27-3 (1); the State Contract Disputes Conciliation Committee under Article 29 (1); the Central Deliberation Committee on Construction Technology, the Special Deliberation Committee on Construction Technology and the consultative committee on technology under the Construction Technology Promotion Act; and other committees prescribed by Presidential Decree) regarding the tendering or acceptance of tendering or signing and/or performing the contract). Two years (a) Those who have offered bribes of at least KRW 200 million. One year (b) Those who have offered bribes of between KRW 100 million and KRW 200 million. Six months (c) Those who have offered bribes of between KRW 10 millio</x:v>
      </x:c>
      <x:c r="J2687" s="43" t="str">
        <x:v>자동추출·검토필요</x:v>
      </x:c>
    </x:row>
    <x:row r="2688">
      <x:c r="A2688" s="43" t="str">
        <x:v>L2024-00017-1</x:v>
      </x:c>
      <x:c r="B2688" s="43" t="str">
        <x:v>기간</x:v>
      </x:c>
      <x:c r="C2688" s="46" t="str">
        <x:v>months</x:v>
      </x:c>
      <x:c r="D2688" s="46" t="str"/>
      <x:c r="E2688" s="46" t="str">
        <x:v>KRW 200 million | KRW 100 million | KRW 200 million | KRW 10 million | KRW 100 million | KRW 10 million</x:v>
      </x:c>
      <x:c r="F2688" s="46" t="str"/>
      <x:c r="G2688" s="46" t="str">
        <x:v>L2024-00017-1/붙임2. 파라과이 ICT 혁신센터 시공사 선정 입찰계획서(영문) 및 관련 양식/Attachments/Attachment 1. KOICA Detailed Enforcement Rules of the Regulations for Procurement and Contract in Grant Aid Projects.pdf</x:v>
      </x:c>
      <x:c r="H2688" s="43" t="str">
        <x:v>페이지 114</x:v>
      </x:c>
      <x:c r="I2688" s="46" t="str">
        <x:v>(a) A person against whom a request is made to restrict qualifications to subparagraph participate in a tendering based on this restriction criteria. (b) A person against whom a request is made to restrict qualifications to Six months participate when no matters that fall under this restriction criteria. 8. A person who falls under Article 27 (1) 7 of the Act (a person who offers a bribe to the relevant public official (including the members of the Committee for Imposition of Penalty Surcharges under Article 27-3 (1); the State Contract Disputes Conciliation Committee under Article 29 (1); the Central Deliberation Committee on Construction Technology, the Special Deliberation Committee on Construction Technology and the consultative committee on technology under the Construction Technology Promotion Act; and other committees prescribed by Presidential Decree) regarding the tendering or acceptance of tendering or signing and/or performing the contract). Two years (a) Those who have offered bribes of at least KRW 200 million. One year (b) Those who have offered bribes of between KRW 100 million and KRW 200 million. Six months (c) Those who have offered bribes of between KRW 10 millio</x:v>
      </x:c>
      <x:c r="J2688" s="43" t="str">
        <x:v>자동추출·검토필요</x:v>
      </x:c>
    </x:row>
    <x:row r="2689">
      <x:c r="A2689" s="43" t="str">
        <x:v>L2023-00077-1</x:v>
      </x:c>
      <x:c r="B2689" s="43" t="str">
        <x:v>기간</x:v>
      </x:c>
      <x:c r="C2689" s="46" t="str">
        <x:v>months</x:v>
      </x:c>
      <x:c r="D2689" s="46" t="str"/>
      <x:c r="E2689" s="46" t="str"/>
      <x:c r="F2689" s="46" t="str">
        <x:v>3%</x:v>
      </x:c>
      <x:c r="G2689" s="46" t="str">
        <x:v>L2023-00077-1/붙임1_제안요청서_Request_For_Proposal_for_NA_Project_CM수정.docx</x:v>
      </x:c>
      <x:c r="H2689" s="43" t="str">
        <x:v>표 7 행 10</x:v>
      </x:c>
      <x:c r="I2689" s="46" t="str">
        <x:v>Maintenance security | 3% of the down payment | Warranty Period: 24 months from the issuing date of Certificate for Completion of Supply and Installation</x:v>
      </x:c>
      <x:c r="J2689" s="43" t="str">
        <x:v>자동추출·검토필요</x:v>
      </x:c>
    </x:row>
    <x:row r="2690">
      <x:c r="A2690" s="43" t="str">
        <x:v>L2023-00077-1</x:v>
      </x:c>
      <x:c r="B2690" s="43" t="str">
        <x:v>기간</x:v>
      </x:c>
      <x:c r="C2690" s="46" t="str">
        <x:v>months</x:v>
      </x:c>
      <x:c r="D2690" s="46" t="str"/>
      <x:c r="E2690" s="46" t="str"/>
      <x:c r="F2690" s="46" t="str">
        <x:v>3%</x:v>
      </x:c>
      <x:c r="G2690" s="46" t="str">
        <x:v>L2023-00077-1/붙임1. 제안요청서( Request For Proposal for NA Project).docx</x:v>
      </x:c>
      <x:c r="H2690" s="43" t="str">
        <x:v>표 7 행 10</x:v>
      </x:c>
      <x:c r="I2690" s="46" t="str">
        <x:v>Maintenance security | 3% of the down payment | Warranty Period: 24 months from the issuing date of Certificate for Completion of Supply and Installation</x:v>
      </x:c>
      <x:c r="J2690" s="43" t="str">
        <x:v>자동추출·검토필요</x:v>
      </x:c>
    </x:row>
    <x:row r="2691">
      <x:c r="A2691" s="43" t="str">
        <x:v>L2023-00075-1</x:v>
      </x:c>
      <x:c r="B2691" s="43" t="str">
        <x:v>기간</x:v>
      </x:c>
      <x:c r="C2691" s="46" t="str">
        <x:v>months</x:v>
      </x:c>
      <x:c r="D2691" s="46" t="str"/>
      <x:c r="E2691" s="46" t="str"/>
      <x:c r="F2691" s="46" t="str">
        <x:v>0.5%</x:v>
      </x:c>
      <x:c r="G2691" s="46" t="str">
        <x:v>L2023-00075-1/RTCC 시공 Terms of Reference for NIFS Construction(2023.12.14).docx</x:v>
      </x:c>
      <x:c r="H2691" s="43" t="str">
        <x:v>표 2 행 2</x:v>
      </x:c>
      <x:c r="I2691" s="46" t="str">
        <x:v>Bid Bond | 0.5% of the bid Price | 3months | As described below | -Clause No. 5.1.7 and No. 20.4.1</x:v>
      </x:c>
      <x:c r="J2691" s="43" t="str">
        <x:v>자동추출·검토필요</x:v>
      </x:c>
    </x:row>
    <x:row r="2692">
      <x:c r="A2692" s="43" t="str">
        <x:v>L2023-00074-1</x:v>
      </x:c>
      <x:c r="B2692" s="43" t="str">
        <x:v>기간</x:v>
      </x:c>
      <x:c r="C2692" s="46" t="str">
        <x:v>months</x:v>
      </x:c>
      <x:c r="D2692" s="46" t="str"/>
      <x:c r="E2692" s="46" t="str">
        <x:v>2, $ | $ 75 million</x:v>
      </x:c>
      <x:c r="F2692" s="46" t="str">
        <x:v>6%</x:v>
      </x:c>
      <x:c r="G2692" s="46" t="str">
        <x:v>L2023-00074-1/붙임2. 신문공고 사본.pdf</x:v>
      </x:c>
      <x:c r="H2692" s="43" t="str">
        <x:v>페이지 2</x:v>
      </x:c>
      <x:c r="I2692" s="46" t="str">
        <x:v>THE HIMALAYAN TIMES, MONDAY, SEPTEMBER 4, 2023 www.thehimalayantimes.com PAGE 5 INTERNATIONAL s 4(% 7/2,$ /6%2 2USSIAN DRONES Scholz falls while jogging BERLIN: German Chancellor Olaf DOWNED AS -OSCOW HITS Scholz fell while jogging and sus- tained bruises to his face, prompting him to cancel some appointments this weekend, the government said on Saturday. In an emailed response to a 5KRAINE PORT query about the incident, the govern- ment said that the 65-year-old Ger- man leader had ‘a small sports acci- dent’ and cancelled appointments on Sunday in the central Hesse region, where a state election is being held on Agence France Presse October 8. But it said his appoint- ments next week wouldn’t be affected. The Hesse-based Frankfurter Rund- Kyiv, September 3 2OMANIA SLAMS schau newspaper first reported on Saturday’s incident. It cited a promi- Ukraine said today that it had destroyed 22 Russian drones on 2USSIAS $ANUBE nent lawmaker with Scholz’s cen- the southern Odesa region, as Moscow said it hit the Danube ATTACKS tre-left Social Democrats, Michael port of Reni, on the border with BUCHAREST: Romania’s Roth, who had invited the chancellor NATO member Romania. defence ministry o</x:v>
      </x:c>
      <x:c r="J2692" s="43" t="str">
        <x:v>자동추출·검토필요</x:v>
      </x:c>
    </x:row>
    <x:row r="2693">
      <x:c r="A2693" s="43" t="str">
        <x:v>L2023-00073-1</x:v>
      </x:c>
      <x:c r="B2693" s="43" t="str">
        <x:v>기간</x:v>
      </x:c>
      <x:c r="C2693" s="46" t="str">
        <x:v>months</x:v>
      </x:c>
      <x:c r="D2693" s="46" t="str"/>
      <x:c r="E2693" s="46" t="str">
        <x:v>2, $ | $ 75 million</x:v>
      </x:c>
      <x:c r="F2693" s="46" t="str">
        <x:v>6%</x:v>
      </x:c>
      <x:c r="G2693" s="46" t="str">
        <x:v>L2023-00073-1/붙임2. 신문공고 사본.pdf</x:v>
      </x:c>
      <x:c r="H2693" s="43" t="str">
        <x:v>페이지 2</x:v>
      </x:c>
      <x:c r="I2693" s="46" t="str">
        <x:v>THE HIMALAYAN TIMES, MONDAY, SEPTEMBER 4, 2023 www.thehimalayantimes.com PAGE 5 INTERNATIONAL s 4(% 7/2,$ /6%2 2USSIAN DRONES Scholz falls while jogging BERLIN: German Chancellor Olaf DOWNED AS -OSCOW HITS Scholz fell while jogging and sus- tained bruises to his face, prompting him to cancel some appointments this weekend, the government said on Saturday. In an emailed response to a 5KRAINE PORT query about the incident, the govern- ment said that the 65-year-old Ger- man leader had ‘a small sports acci- dent’ and cancelled appointments on Sunday in the central Hesse region, where a state election is being held on Agence France Presse October 8. But it said his appoint- ments next week wouldn’t be affected. The Hesse-based Frankfurter Rund- Kyiv, September 3 2OMANIA SLAMS schau newspaper first reported on Saturday’s incident. It cited a promi- Ukraine said today that it had destroyed 22 Russian drones on 2USSIAS $ANUBE nent lawmaker with Scholz’s cen- the southern Odesa region, as Moscow said it hit the Danube ATTACKS tre-left Social Democrats, Michael port of Reni, on the border with BUCHAREST: Romania’s Roth, who had invited the chancellor NATO member Romania. defence ministry o</x:v>
      </x:c>
      <x:c r="J2693" s="43" t="str">
        <x:v>자동추출·검토필요</x:v>
      </x:c>
    </x:row>
    <x:row r="2694">
      <x:c r="A2694" s="43" t="str">
        <x:v>L2023-00071-1</x:v>
      </x:c>
      <x:c r="B2694" s="43" t="str">
        <x:v>기간</x:v>
      </x:c>
      <x:c r="C2694" s="46" t="str">
        <x:v>construction period</x:v>
      </x:c>
      <x:c r="D2694" s="46" t="str">
        <x:v>2,400 m2</x:v>
      </x:c>
      <x:c r="E2694" s="46" t="str"/>
      <x:c r="F2694" s="46" t="str"/>
      <x:c r="G2694" s="46" t="str">
        <x:v>L2023-00071-1/붙임 3. 기타 입찰서류/[Section 2] Request for Proposal(RFP)_┴ª╛╚┐Σ├╗╝¡(┐╡╣«)_Finalv2.docx</x:v>
      </x:c>
      <x:c r="H2694" s="43" t="str">
        <x:v>표 4 행 2</x:v>
      </x:c>
      <x:c r="I2694" s="46" t="str">
        <x:v>Scope of Works | ▪ Design Services for “the Indonesia Cyber Security Vocational Center” ▪ Bidding support for selecting the contractors ▪ Construction Supervision Consultant Service during construction period ▪ Detailed deliverable and work scope as below; Work No1. Design Works Concept DWGs SD(Schematic DWGs) DD(Development DWGs) CD(Construction DWGs) As Built DWGs Work No2. Size of the Project Vocational Center Floor Area: 2,400 m2, a building of 3-story Work No3. Output DWGs(Soft Copy &amp; 5 sets Hard Copys) Specification Technical Survey Reports Soil Investigation Report Technical Calculation Reports BOQ(Be created with budget relation) Documents for Permission Documents for Bidding Documents for ECC (If needed) Other necessary document for the project Work No4. During Construction Design Change related works(create the DWGs and Review) Work No5. Others Related task for Permit as an Architect Related required task from the Client as an Architect</x:v>
      </x:c>
      <x:c r="J2694" s="43" t="str">
        <x:v>자동추출·검토필요</x:v>
      </x:c>
    </x:row>
    <x:row r="2695">
      <x:c r="A2695" s="43" t="str">
        <x:v>L2023-00071-1</x:v>
      </x:c>
      <x:c r="B2695" s="43" t="str">
        <x:v>기간</x:v>
      </x:c>
      <x:c r="C2695" s="46" t="str">
        <x:v>construction period</x:v>
      </x:c>
      <x:c r="D2695" s="46" t="str">
        <x:v>2,400 m2</x:v>
      </x:c>
      <x:c r="E2695" s="46" t="str"/>
      <x:c r="F2695" s="46" t="str"/>
      <x:c r="G2695" s="46" t="str">
        <x:v>L2023-00071-1/붙임 3. 기타 입찰서류/[Section 7] Contract Agreement_░Φ╛α╝¡(┐╡╣«)_Final.docx</x:v>
      </x:c>
      <x:c r="H2695" s="43" t="str">
        <x:v>표 2 행 2</x:v>
      </x:c>
      <x:c r="I2695" s="46" t="str">
        <x:v>Scope of Works | ▪ Design Services for “the Indonesia Cyber Security Vocational Center” ▪ Bidding support for selecting the contractors ▪ Construction Supervision Consultant during construction period ▪ Detailed deliverable and work scope as below; Work No1. Design Works Concept DWGs SD(Schematic DWGs) DD(Development DWGs) CD(Construction DWGs) As Built DWGs Work No2. Size of the Project Vocational Center Floor Area: 2,400 m2, a building of 3-story Work No3. Output DWGs(Soft Copy &amp; 5 sets Hard Copys) Specification Technical Survey Reports Soil Investigation Report Technical Calculation Reports BOQ(Be created with budget relation) Documents for Permission Documents for Bidding Documents for ECC (If needed) Other necessary document for the project Work No4. During Construction Design Change related works(create the DWGs and Review) Work No5. Others Related task for Permit as an Architect Related required task from the Client as an Architect</x:v>
      </x:c>
      <x:c r="J2695" s="43" t="str">
        <x:v>자동추출·검토필요</x:v>
      </x:c>
    </x:row>
    <x:row r="2696">
      <x:c r="A2696" s="43" t="str">
        <x:v>L2023-00070-2</x:v>
      </x:c>
      <x:c r="B2696" s="43" t="str">
        <x:v>기간</x:v>
      </x:c>
      <x:c r="C2696" s="46" t="str">
        <x:v>construction period</x:v>
      </x:c>
      <x:c r="D2696" s="46" t="str"/>
      <x:c r="E2696" s="46" t="str"/>
      <x:c r="F2696" s="46" t="str">
        <x:v>3%</x:v>
      </x:c>
      <x:c r="G2696" s="46" t="str">
        <x:v>L2023-00070-2/붙임3. (입찰서류-영문) LDRL-설계입찰_1029/2. (└╘┬√╝¡╖∙-┐╡╣«) LDRL-╝│░Φ└╘┬√_1029/4. Terms of Reference (TOR)_LDRL_╝÷┴ñ.docx</x:v>
      </x:c>
      <x:c r="H2696" s="43" t="str">
        <x:v>표 3 행 6</x:v>
      </x:c>
      <x:c r="I2696" s="46" t="str">
        <x:v>3. Retention/defect warranty | 3. Retention/defect warranty | 3% of contract amount | Carrying out the duties during the construction period</x:v>
      </x:c>
      <x:c r="J2696" s="43" t="str">
        <x:v>자동추출·검토필요</x:v>
      </x:c>
    </x:row>
    <x:row r="2697">
      <x:c r="A2697" s="43" t="str">
        <x:v>L2023-00070-2</x:v>
      </x:c>
      <x:c r="B2697" s="43" t="str">
        <x:v>기간</x:v>
      </x:c>
      <x:c r="C2697" s="46" t="str">
        <x:v>months</x:v>
      </x:c>
      <x:c r="D2697" s="46" t="str"/>
      <x:c r="E2697" s="46" t="str">
        <x:v>KRW 200 million | KRW 100 million | KRW 200 million | KRW 10 million | KRW 100 million | KRW 10 million</x:v>
      </x:c>
      <x:c r="F2697" s="46" t="str"/>
      <x:c r="G2697" s="46" t="str">
        <x:v>L2023-00070-2/붙임4. (관련규정) KOICA Regulations/1. Detailed Enforcement Rules of the Regulations for Procurement and Contract in Grant Aid Projects.pdf</x:v>
      </x:c>
      <x:c r="H2697" s="43" t="str">
        <x:v>페이지 114</x:v>
      </x:c>
      <x:c r="I2697" s="46" t="str">
        <x:v>(a) A person against whom a request is made to restrict qualifications to subparagraph participate in a tendering based on this restriction criteria. (b) A person against whom a request is made to restrict qualifications to Six months participate when no matters that fall under this restriction criteria. 8. A person who falls under Article 27 (1) 7 of the Act (a person who offers a bribe to the relevant public official (including the members of the Committee for Imposition of Penalty Surcharges under Article 27-3 (1); the State Contract Disputes Conciliation Committee under Article 29 (1); the Central Deliberation Committee on Construction Technology, the Special Deliberation Committee on Construction Technology and the consultative committee on technology under the Construction Technology Promotion Act; and other committees prescribed by Presidential Decree) regarding the tendering or acceptance of tendering or signing and/or performing the contract). Two years (a) Those who have offered bribes of at least KRW 200 million. One year (b) Those who have offered bribes of between KRW 100 million and KRW 200 million. Six months (c) Those who have offered bribes of between KRW 10 millio</x:v>
      </x:c>
      <x:c r="J2697" s="43" t="str">
        <x:v>자동추출·검토필요</x:v>
      </x:c>
    </x:row>
    <x:row r="2698">
      <x:c r="A2698" s="43" t="str">
        <x:v>L2023-00070-2</x:v>
      </x:c>
      <x:c r="B2698" s="43" t="str">
        <x:v>기간</x:v>
      </x:c>
      <x:c r="C2698" s="46" t="str">
        <x:v>months</x:v>
      </x:c>
      <x:c r="D2698" s="46" t="str"/>
      <x:c r="E2698" s="46" t="str"/>
      <x:c r="F2698" s="46" t="str">
        <x:v>50% | 10% | 10% | 10% | 50%</x:v>
      </x:c>
      <x:c r="G2698" s="46" t="str">
        <x:v>L2023-00070-2/붙임4. (관련규정) KOICA Regulations/2. Guidelines for Technical Evaluation.pdf</x:v>
      </x:c>
      <x:c r="H2698" s="43" t="str">
        <x:v>페이지 62</x:v>
      </x:c>
      <x:c r="I2698" s="46" t="str">
        <x:v>[Form 6] Software Project Subcontracting Plan (when tendering) &lt;Amended on Apr. 8, 2021&gt; Software Project Subcontracting Plan (when tendering) Project Name Period months Tenderer Business Name Representative (Representative of Corporate Location contracting consortium) Registration Number □ Subcontracting Plan Subcontractor Tenderer Subcontract Name Subcontract Amount Ratio Business Name % Total 1) Subcontract amount ratio is the ratio of the total amount of subcontracting to the total bid amount of the original contract. - Subcontract amount ratio = Expected subcontracting amount / (bid amount - expected amount of simple purchase of goods *) X 100 * Purchase amount for goods (hardware, commercial software, equipment, etc.) that the bidder wants to purchase directly - Reason for exceeding 50% of total subcontract amount ratio: ___________________________ 2) Grounds for re-subcontracting: _____________________________________________________ □ Grounds for subcontracting ratio exceeding 10% ○ Whether the institution in demand requested the bidder to participate in a contracting consortium with a subcontractor when the subcontract amount ratio exceeds 10% in the request for proposal: </x:v>
      </x:c>
      <x:c r="J2698" s="43" t="str">
        <x:v>자동추출·검토필요</x:v>
      </x:c>
    </x:row>
    <x:row r="2699">
      <x:c r="A2699" s="43" t="str">
        <x:v>L2023-00070-1</x:v>
      </x:c>
      <x:c r="B2699" s="43" t="str">
        <x:v>기간</x:v>
      </x:c>
      <x:c r="C2699" s="46" t="str">
        <x:v>construction period</x:v>
      </x:c>
      <x:c r="D2699" s="46" t="str"/>
      <x:c r="E2699" s="46" t="str"/>
      <x:c r="F2699" s="46" t="str">
        <x:v>3%</x:v>
      </x:c>
      <x:c r="G2699" s="46" t="str">
        <x:v>L2023-00070-1/2. (입찰서류-영문) LDRL-설계입찰/2. (입찰서류-영문) LDRL-설계입찰/4. Terms of Reference (TOR)_LDRL_수정.docx</x:v>
      </x:c>
      <x:c r="H2699" s="43" t="str">
        <x:v>표 3 행 6</x:v>
      </x:c>
      <x:c r="I2699" s="46" t="str">
        <x:v>3. Retention/defect warranty | 3. Retention/defect warranty | 3% of contract amount | Carrying out the duties during the construction period</x:v>
      </x:c>
      <x:c r="J2699" s="43" t="str">
        <x:v>자동추출·검토필요</x:v>
      </x:c>
    </x:row>
    <x:row r="2700">
      <x:c r="A2700" s="43" t="str">
        <x:v>L2023-00070-1</x:v>
      </x:c>
      <x:c r="B2700" s="43" t="str">
        <x:v>기간</x:v>
      </x:c>
      <x:c r="C2700" s="46" t="str">
        <x:v>months</x:v>
      </x:c>
      <x:c r="D2700" s="46" t="str"/>
      <x:c r="E2700" s="46" t="str">
        <x:v>KRW 200 million | KRW 100 million | KRW 200 million | KRW 10 million | KRW 100 million | KRW 10 million</x:v>
      </x:c>
      <x:c r="F2700" s="46" t="str"/>
      <x:c r="G2700" s="46" t="str">
        <x:v>L2023-00070-1/3. (관련규정) KOICA Regulations/1. Detailed Enforcement Rules of the Regulations for Procurement and Contract in Grant Aid Projects.pdf</x:v>
      </x:c>
      <x:c r="H2700" s="43" t="str">
        <x:v>페이지 114</x:v>
      </x:c>
      <x:c r="I2700" s="46" t="str">
        <x:v>(a) A person against whom a request is made to restrict qualifications to subparagraph participate in a tendering based on this restriction criteria. (b) A person against whom a request is made to restrict qualifications to Six months participate when no matters that fall under this restriction criteria. 8. A person who falls under Article 27 (1) 7 of the Act (a person who offers a bribe to the relevant public official (including the members of the Committee for Imposition of Penalty Surcharges under Article 27-3 (1); the State Contract Disputes Conciliation Committee under Article 29 (1); the Central Deliberation Committee on Construction Technology, the Special Deliberation Committee on Construction Technology and the consultative committee on technology under the Construction Technology Promotion Act; and other committees prescribed by Presidential Decree) regarding the tendering or acceptance of tendering or signing and/or performing the contract). Two years (a) Those who have offered bribes of at least KRW 200 million. One year (b) Those who have offered bribes of between KRW 100 million and KRW 200 million. Six months (c) Those who have offered bribes of between KRW 10 millio</x:v>
      </x:c>
      <x:c r="J2700" s="43" t="str">
        <x:v>자동추출·검토필요</x:v>
      </x:c>
    </x:row>
    <x:row r="2701">
      <x:c r="A2701" s="43" t="str">
        <x:v>L2023-00070-1</x:v>
      </x:c>
      <x:c r="B2701" s="43" t="str">
        <x:v>기간</x:v>
      </x:c>
      <x:c r="C2701" s="46" t="str">
        <x:v>months</x:v>
      </x:c>
      <x:c r="D2701" s="46" t="str"/>
      <x:c r="E2701" s="46" t="str"/>
      <x:c r="F2701" s="46" t="str">
        <x:v>50% | 10% | 10% | 10% | 50%</x:v>
      </x:c>
      <x:c r="G2701" s="46" t="str">
        <x:v>L2023-00070-1/3. (관련규정) KOICA Regulations/2. Guidelines for Technical Evaluation.pdf</x:v>
      </x:c>
      <x:c r="H2701" s="43" t="str">
        <x:v>페이지 62</x:v>
      </x:c>
      <x:c r="I2701" s="46" t="str">
        <x:v>[Form 6] Software Project Subcontracting Plan (when tendering) &lt;Amended on Apr. 8, 2021&gt; Software Project Subcontracting Plan (when tendering) Project Name Period months Tenderer Business Name Representative (Representative of Corporate Location contracting consortium) Registration Number □ Subcontracting Plan Subcontractor Tenderer Subcontract Name Subcontract Amount Ratio Business Name % Total 1) Subcontract amount ratio is the ratio of the total amount of subcontracting to the total bid amount of the original contract. - Subcontract amount ratio = Expected subcontracting amount / (bid amount - expected amount of simple purchase of goods *) X 100 * Purchase amount for goods (hardware, commercial software, equipment, etc.) that the bidder wants to purchase directly - Reason for exceeding 50% of total subcontract amount ratio: ___________________________ 2) Grounds for re-subcontracting: _____________________________________________________ □ Grounds for subcontracting ratio exceeding 10% ○ Whether the institution in demand requested the bidder to participate in a contracting consortium with a subcontractor when the subcontract amount ratio exceeds 10% in the request for proposal: </x:v>
      </x:c>
      <x:c r="J2701" s="43" t="str">
        <x:v>자동추출·검토필요</x:v>
      </x:c>
    </x:row>
    <x:row r="2702">
      <x:c r="A2702" s="43" t="str">
        <x:v>L2023-00068-1</x:v>
      </x:c>
      <x:c r="B2702" s="43" t="str">
        <x:v>기간</x:v>
      </x:c>
      <x:c r="C2702" s="46" t="str">
        <x:v>months</x:v>
      </x:c>
      <x:c r="D2702" s="46" t="str"/>
      <x:c r="E2702" s="46" t="str">
        <x:v>KRW 200 million | KRW 100 million | KRW 200 million | KRW 10 million | KRW 100 million | KRW 10 million</x:v>
      </x:c>
      <x:c r="F2702" s="46" t="str"/>
      <x:c r="G2702" s="46" t="str">
        <x:v>L2023-00068-1/(Additional Attachments) KOICA Regulations and Guidelines for Procurement/Detailed Enforcement Rules of the Regulations for Procurement and Contract in Grant Aid Projects(대외무상협력사업에 관한 조달 및 계약규정 시행세칙)_20190503.pdf</x:v>
      </x:c>
      <x:c r="H2702" s="43" t="str">
        <x:v>페이지 114</x:v>
      </x:c>
      <x:c r="I2702" s="46" t="str">
        <x:v>(a) A person against whom a request is made to restrict qualifications to subparagraph participate in a tendering based on this restriction criteria. (b) A person against whom a request is made to restrict qualifications to Six months participate when no matters that fall under this restriction criteria. 8. A person who falls under Article 27 (1) 7 of the Act (a person who offers a bribe to the relevant public official (including the members of the Committee for Imposition of Penalty Surcharges under Article 27-3 (1); the State Contract Disputes Conciliation Committee under Article 29 (1); the Central Deliberation Committee on Construction Technology, the Special Deliberation Committee on Construction Technology and the consultative committee on technology under the Construction Technology Promotion Act; and other committees prescribed by Presidential Decree) regarding the tendering or acceptance of tendering or signing and/or performing the contract). Two years (a) Those who have offered bribes of at least KRW 200 million. One year (b) Those who have offered bribes of between KRW 100 million and KRW 200 million. Six months (c) Those who have offered bribes of between KRW 10 millio</x:v>
      </x:c>
      <x:c r="J2702" s="43" t="str">
        <x:v>자동추출·검토필요</x:v>
      </x:c>
    </x:row>
    <x:row r="2703">
      <x:c r="A2703" s="43" t="str">
        <x:v>L2023-00068-1</x:v>
      </x:c>
      <x:c r="B2703" s="43" t="str">
        <x:v>기간</x:v>
      </x:c>
      <x:c r="C2703" s="46" t="str">
        <x:v>months</x:v>
      </x:c>
      <x:c r="D2703" s="46" t="str"/>
      <x:c r="E2703" s="46" t="str"/>
      <x:c r="F2703" s="46" t="str">
        <x:v>50% | 10% | 10% | 10% | 50%</x:v>
      </x:c>
      <x:c r="G2703" s="46" t="str">
        <x:v>L2023-00068-1/(Additional Attachments) KOICA Regulations and Guidelines for Procurement/Guidelines for Technical Evaluation(기술평가지침)_20210408.pdf</x:v>
      </x:c>
      <x:c r="H2703" s="43" t="str">
        <x:v>페이지 62</x:v>
      </x:c>
      <x:c r="I2703" s="46" t="str">
        <x:v>[Form 6] Software Project Subcontracting Plan (when tendering) &lt;Amended on Apr. 8, 2021&gt; Software Project Subcontracting Plan (when tendering) Project Name Period months Tenderer Business Name Representative (Representative of Corporate Location contracting consortium) Registration Number □ Subcontracting Plan Subcontractor Tenderer Subcontract Name Subcontract Amount Ratio Business Name % Total 1) Subcontract amount ratio is the ratio of the total amount of subcontracting to the total bid amount of the original contract. - Subcontract amount ratio = Expected subcontracting amount / (bid amount - expected amount of simple purchase of goods *) X 100 * Purchase amount for goods (hardware, commercial software, equipment, etc.) that the bidder wants to purchase directly - Reason for exceeding 50% of total subcontract amount ratio: ___________________________ 2) Grounds for re-subcontracting: _____________________________________________________ □ Grounds for subcontracting ratio exceeding 10% ○ Whether the institution in demand requested the bidder to participate in a contracting consortium with a subcontractor when the subcontract amount ratio exceeds 10% in the request for proposal: </x:v>
      </x:c>
      <x:c r="J2703" s="43" t="str">
        <x:v>자동추출·검토필요</x:v>
      </x:c>
    </x:row>
    <x:row r="2704">
      <x:c r="A2704" s="43" t="str">
        <x:v>L2023-00068-1</x:v>
      </x:c>
      <x:c r="B2704" s="43" t="str">
        <x:v>기간</x:v>
      </x:c>
      <x:c r="C2704" s="46" t="str">
        <x:v>duration, months</x:v>
      </x:c>
      <x:c r="D2704" s="46" t="str"/>
      <x:c r="E2704" s="46" t="str">
        <x:v>USD 235,000</x:v>
      </x:c>
      <x:c r="F2704" s="46" t="str">
        <x:v>87.745%</x:v>
      </x:c>
      <x:c r="G2704" s="46" t="str">
        <x:v>L2023-00068-1/붙임2. Notice of Bid (Draft).doc</x:v>
      </x:c>
      <x:c r="H2704" s="43" t="str">
        <x:v>문단 4</x:v>
      </x:c>
      <x:c r="I2704" s="46" t="str">
        <x:v>Description of Project - Bid Title: The Renovation Works of the Project for the Establishment of Preah Angduong Eye Hospital in Phnom Penh, Cambodia - Summary of Construction: The Renovation Works Preah Angduong Eye Hospital - Duration: 4 Months from the effective date - Site: No. 118, Corner Norodom Blvd (41) and Kro Muon Sor (114), Phnom Penh, Cambodia - Base Price: USD 235,000 (Be inclusive of VAT and other applicable indirect taxes) ① Employer: Korea International Cooperation Agency (KOICA) Cambodia Office ② Bid Type: International Bidding, Open Competitive Bidding ③ Selection of the Successful Bidder: Post-qualification - Based upon bid prices which shall be below the Estimated Price, but above the floor price of 87.745% of the Estimated Price, the Qualification Examination will be conducted. - Selection as successful bidder is determined, when the overall grade is higher than 95 points (the passing grade). - Qualification examination will be conducted in accordance with the 「Standards of Qualification Examination for Selection of Constructor」. ④ Pre-Bid meeting (24.Nov. 2023 15:00) ⑤ Q&amp;A (21~30.Nov.2023) ⑥ Application for bidding(30.Nov.2023, 15:00) ⑦ Submission Deadline (19.</x:v>
      </x:c>
      <x:c r="J2704" s="43" t="str">
        <x:v>자동추출·검토필요</x:v>
      </x:c>
    </x:row>
    <x:row r="2705">
      <x:c r="A2705" s="43" t="str">
        <x:v>L2023-00068-1</x:v>
      </x:c>
      <x:c r="B2705" s="43" t="str">
        <x:v>기간</x:v>
      </x:c>
      <x:c r="C2705" s="46" t="str">
        <x:v>months</x:v>
      </x:c>
      <x:c r="D2705" s="46" t="str"/>
      <x:c r="E2705" s="46" t="str"/>
      <x:c r="F2705" s="46" t="str">
        <x:v>15%</x:v>
      </x:c>
      <x:c r="G2705" s="46" t="str">
        <x:v>L2023-00068-1/입찰공고 관련서류 최종본/Section 2 - Bid Data Sheet (BDS).docx</x:v>
      </x:c>
      <x:c r="H2705" s="43" t="str">
        <x:v>표 11 행 7</x:v>
      </x:c>
      <x:c r="I2705" s="46" t="str">
        <x:v>Performance Security | The performance security will be in the form of an unconditional bank guarantee in the amount(s) of 15% of the Contract Price. (7months + 60days)</x:v>
      </x:c>
      <x:c r="J2705" s="43" t="str">
        <x:v>자동추출·검토필요</x:v>
      </x:c>
    </x:row>
    <x:row r="2706">
      <x:c r="A2706" s="43" t="str">
        <x:v>L2023-00065-1</x:v>
      </x:c>
      <x:c r="B2706" s="43" t="str">
        <x:v>기간</x:v>
      </x:c>
      <x:c r="C2706" s="46" t="str">
        <x:v>calendar days</x:v>
      </x:c>
      <x:c r="D2706" s="46" t="str"/>
      <x:c r="E2706" s="46" t="str"/>
      <x:c r="F2706" s="46" t="str">
        <x:v>10%</x:v>
      </x:c>
      <x:c r="G2706" s="46" t="str">
        <x:v>L2023-00065-1/(attached) Pre_school_Education_Complex_Constsruction_Supervision_Contractor/Section 5 - Request For Proposal.docx</x:v>
      </x:c>
      <x:c r="H2706" s="43" t="str">
        <x:v>문단 616</x:v>
      </x:c>
      <x:c r="I2706" s="46" t="str">
        <x:v>Monitor that the physical progress of the works is in accordance with the implementation of the project’s execution plan. When the project schedule is delayed in a percentage greater than 10% of the Monthly physical progress, the Supervisor is often required to request the Contractor to update the software within the current term in writing, and the Contractor should present the updates within 7 calendar days. If arrears to observe, the Supervisor shall recommend solutions in writing to Contractor and inform the professional assigned by KOICA.</x:v>
      </x:c>
      <x:c r="J2706" s="43" t="str">
        <x:v>자동추출·검토필요</x:v>
      </x:c>
    </x:row>
    <x:row r="2707">
      <x:c r="A2707" s="43" t="str">
        <x:v>L2023-00065-1</x:v>
      </x:c>
      <x:c r="B2707" s="43" t="str">
        <x:v>기간</x:v>
      </x:c>
      <x:c r="C2707" s="46" t="str">
        <x:v>months</x:v>
      </x:c>
      <x:c r="D2707" s="46" t="str"/>
      <x:c r="E2707" s="46" t="str">
        <x:v>US$ 115 668,00</x:v>
      </x:c>
      <x:c r="F2707" s="46" t="str"/>
      <x:c r="G2707" s="46" t="str">
        <x:v>L2023-00065-1/Pre-Bid Explaination Meeting PPT.pptx</x:v>
      </x:c>
      <x:c r="H2707" s="43" t="str">
        <x:v>슬라이드 3</x:v>
      </x:c>
      <x:c r="I2707" s="46" t="str">
        <x:v>1. SYNOPSIS OF BID | BID ANNOUNCEMEN NUMBER: | KOICA-P-UZB-2023-10 | NAME OF PROJECT | CONSTRUCTION OF PRE-SCHOOL EDUCATIONAL COMPLEX PROJECT IN UZBEKISTAN | PROJECT BUDGET (USD) | APPROXIMATELY US$ 115 668,00 (VAT EXCLUDED) | SITE LOCATION | BETWEEN NURAFSHAN AND SHAROF RASHIDOV STREETS IN YUNUSABAD DISTRICT, TASHKENT, UZBEKISTAN | CONTRACT PERIOD | 24 MONTHS FROM THE DATE OF SIGNING THE CONTRACT (INCLUDING ONE MONTH PERIOD OF ACCEPTANCE FOR COMPLETION OF CONSTRUCTION) | SCOPE OF WORK | 1) ALL WORKS RELATED TO CONSTRUCTION SUPERVISION REQUIRED FROM COMMENCEMENT TO COMPLETION 2) REVIEW AND APPROVAL OF INITIAL DRAWINGS IN CONSULTATION WITH CM, PERIODIC REPORT AFTER THE START OF CONSTRUCTION (DAILY/WEEKLY/MONTHLY), REVIEW AND APPROVAL OF MATERIAL SELECTION APPLICATION, ON-SITE INSPECTION AND APPROVAL, 3) REVIEW AND APPROVAL OF CONSTRUCTION DRAWINGS AND AS-BUILT DRAWINGS, REVIEW AND APPROVAL OF MAINTENANCE MANUALS, AND COOPERATION AND APPROVAL OF BUILDING COMPLETION AND LICENSING UNDER CM CONSULTATION 4) SUBMISSION OF CONSTRUCTION SUPERVISION COMMENCEMENT REPORT, SERVICE COMPLETION REPORT</x:v>
      </x:c>
      <x:c r="J2707" s="43" t="str">
        <x:v>자동추출·검토필요</x:v>
      </x:c>
    </x:row>
    <x:row r="2708">
      <x:c r="A2708" s="43" t="str">
        <x:v>L2023-00065-1</x:v>
      </x:c>
      <x:c r="B2708" s="43" t="str">
        <x:v>기간</x:v>
      </x:c>
      <x:c r="C2708" s="46" t="str">
        <x:v>months</x:v>
      </x:c>
      <x:c r="D2708" s="46" t="str"/>
      <x:c r="E2708" s="46" t="str"/>
      <x:c r="F2708" s="46" t="str">
        <x:v>2,5% | 3% | 0.125% | 30% | 30% | 30% | 15%</x:v>
      </x:c>
      <x:c r="G2708" s="46" t="str">
        <x:v>L2023-00065-1/Pre-Bid Explaination Meeting PPT.pptx</x:v>
      </x:c>
      <x:c r="H2708" s="43" t="str">
        <x:v>슬라이드 7</x:v>
      </x:c>
      <x:c r="I2708" s="46" t="str">
        <x:v>5. CONDITIONS OF CONTRACT | Bid Guarantee Bond : Warranty Bond : Liquidated Damages : | - More than 2,5% of Bid Price(30 days from bid date) - 3% of Contract price (2 years + 60days) - 0.125% of Contract price for a day of delay | Contract Period (from the date of contract) | 24 Months from date of contract signing | Contract Language | English (and local language) | Contract Currency | USD | Commencement of Project | The Contractor shall commence the Project within 14 days from the Effective Date of Contract | | | Payment: | - After signing Contract, Advance payment at a rate of 30% from total contract amount shall be paid within 14 days from the Contract Date - Progress Payment shall be made bimonthly based on Progress Payment Invoice certified by CM.. | | | Advance Payment Security Bond | -30% of Contract Price shall be paid. The Contractor shall provide the Employer with the Advance Payment Security Bond (30% of Contract Price) as well as a plan to use advance payment. - No less than 60 days since the expiry date of Contract Period. | | | Performance Security Bond | The Contractor shall provide the Employer with the Performance Security Bond as amount of 15% of Contract Price. </x:v>
      </x:c>
      <x:c r="J2708" s="43" t="str">
        <x:v>자동추출·검토필요</x:v>
      </x:c>
    </x:row>
    <x:row r="2709">
      <x:c r="A2709" s="43" t="str">
        <x:v>L2023-00061-1</x:v>
      </x:c>
      <x:c r="B2709" s="43" t="str">
        <x:v>기간</x:v>
      </x:c>
      <x:c r="C2709" s="46" t="str">
        <x:v>months</x:v>
      </x:c>
      <x:c r="D2709" s="46" t="str"/>
      <x:c r="E2709" s="46" t="str"/>
      <x:c r="F2709" s="46" t="str">
        <x:v>25%</x:v>
      </x:c>
      <x:c r="G2709" s="46" t="str">
        <x:v>L2023-00061-1/붙임 5. 주재국 조달 지침(Federal Procument Directive).pdf</x:v>
      </x:c>
      <x:c r="H2709" s="43" t="str">
        <x:v>페이지 86</x:v>
      </x:c>
      <x:c r="I2709" s="46" t="str">
        <x:v>25.2 Pursuant to article 51 (d) and (e) of the proclamation, public bodies may procure from the same supplier, additional requirements of goods, works, consultancy or other services of the same kind as those they have procured from that supplier under a previous contract in accordance with the following stipulations, if there is any advantage to be gained from procuring such additional requirements from that same supplier. a) The volume of the additional requirements of goods, works or consultancy assignment may not exceed 25% of the volume of such goods, works or consultancy assignment under the initial contract; b) job order for the additional requirements must be issued before the expiration of the initial contract or within six months after the expiration of the initial contract; c) No adjustment shall be allowed to the unit price of items included in the additional procurement. d) Notwithstanding the provision of article 25.2 (c) above, If the additional requirements include inputs for which the initial contract allows price adjustment, adjustment may be made in respect of such inputs by applying the method used in calculating such adjustments in the performance of the initial</x:v>
      </x:c>
      <x:c r="J2709" s="43" t="str">
        <x:v>자동추출·검토필요</x:v>
      </x:c>
    </x:row>
    <x:row r="2710">
      <x:c r="A2710" s="43" t="str">
        <x:v>L2023-00060-1</x:v>
      </x:c>
      <x:c r="B2710" s="43" t="str">
        <x:v>기간</x:v>
      </x:c>
      <x:c r="C2710" s="46" t="str">
        <x:v>construction period, duration</x:v>
      </x:c>
      <x:c r="D2710" s="46" t="str">
        <x:v>1,490 ㎡ | 2,983 ㎡ | 2,983 ㎡ | 2,983 m2</x:v>
      </x:c>
      <x:c r="E2710" s="46" t="str">
        <x:v>$ 3,875,000.00 | $ 3,778,125.00</x:v>
      </x:c>
      <x:c r="F2710" s="46" t="str">
        <x:v>0.5% | 97.5%</x:v>
      </x:c>
      <x:c r="G2710" s="46" t="str">
        <x:v>L2023-00060-1/붙임 1. 입찰공고문 및 서류_영문/Section 2 - Bid data sheet_eng.doc</x:v>
      </x:c>
      <x:c r="H2710" s="43" t="str">
        <x:v>문단 24</x:v>
      </x:c>
      <x:c r="I2710" s="46" t="str">
        <x:v>- Program Classrooms, Health Practice Room, Multipurpose Room, Director's Office, Personnel Office, meeting room, dining room and kitchen, mechanical and electrical room (among others) - Site area 1,490㎡ - Building area 2,983㎡ - Gross floor area 2,983㎡ - Building scope Number of levels: 3 - Structure Reinforced concrete - Scope of Works Construction of the new building to occupy health training facilities; three (3) level with a total area of 2,983 m2 - Provide construction works that include, but are not limited to the following; - Repair work and/or circulation paving around the building if necessary - Construction of all associated infrastructure requirements such as water, sewage, rainwater drainage for new building and the connection to the existing system - Mechanics, electrical system, acoustic system, security system, fire protection and other necessary installations to make the new building functional - Reception of work with OPAMSS, firefighters, Mayor's Office, as well as the necessary institutions to deliver the respective operating records - All work and procedures related to the functionality of the building · Scheduled Construction Period 540 days · Contract Duration</x:v>
      </x:c>
      <x:c r="J2710" s="43" t="str">
        <x:v>자동추출·검토필요</x:v>
      </x:c>
    </x:row>
    <x:row r="2711">
      <x:c r="A2711" s="43" t="str">
        <x:v>L2023-00060-1</x:v>
      </x:c>
      <x:c r="B2711" s="43" t="str">
        <x:v>기간</x:v>
      </x:c>
      <x:c r="C2711" s="46" t="str">
        <x:v>months</x:v>
      </x:c>
      <x:c r="D2711" s="46" t="str"/>
      <x:c r="E2711" s="46" t="str"/>
      <x:c r="F2711" s="46" t="str">
        <x:v>10% | 0.05% | 15% | 0.5% | 30% | 3%</x:v>
      </x:c>
      <x:c r="G2711" s="46" t="str">
        <x:v>L2023-00060-1/붙임 1. 입찰공고문 및 서류_영문/Section 2 - Bid data sheet_eng.doc</x:v>
      </x:c>
      <x:c r="H2711" s="43" t="str">
        <x:v>문단 68</x:v>
      </x:c>
      <x:c r="I2711" s="46" t="str">
        <x:v>Employer’s name and address Name: KOICA Office in El Salvador Address: Calle El Mirador y 87 Avenida Norte, Edificio Torre Futura, Nivel 10, Local 3, Colonia Escalón, San Salvador, El Salvador CM / Supervision consultant CM : Junglim CM Supervision: TBD Time for Completion 540 days (18 months) Defect Notification Period (DNP) 2 years Governing Law Laws of the Republic of El Salvador Ruling language English and Spanish (English shall have precedence over Spanish) Language for communications English and Spanish (English shall have precedence over Spanish) Performance Security The performance security will be in the form of an unconditional bank guarantee in the amount(s) of 10% of the Contract Price, with a validity of the contract period +60 days. Delay damages for the Works 0.05% of the final Contract Price per day, in the currencies in which the Contract Price is payable. Maximum amount of delay damages 15% of the final Contract Price. Safety Management Cost 0.5% of contact price (fixed) Follow-up settlement according to the Safety Management Manual Adjustments for changes in Cost Not applicable Total advance payment Up to 30% of the Accepted Contract Amount payable in the currenc</x:v>
      </x:c>
      <x:c r="J2711" s="43" t="str">
        <x:v>자동추출·검토필요</x:v>
      </x:c>
    </x:row>
    <x:row r="2712">
      <x:c r="A2712" s="43" t="str">
        <x:v>L2023-00058-1</x:v>
      </x:c>
      <x:c r="B2712" s="43" t="str">
        <x:v>기간</x:v>
      </x:c>
      <x:c r="C2712" s="46" t="str">
        <x:v>duration</x:v>
      </x:c>
      <x:c r="D2712" s="46" t="str"/>
      <x:c r="E2712" s="46" t="str">
        <x:v>$ 3,875,000.00 | $ 3,778,125.00</x:v>
      </x:c>
      <x:c r="F2712" s="46" t="str">
        <x:v>0.5% | 85.495%</x:v>
      </x:c>
      <x:c r="G2712" s="46" t="str">
        <x:v>L2023-00058-1/Section 2 - Bid Data Sheet_reannouncement_final.pdf</x:v>
      </x:c>
      <x:c r="H2712" s="43" t="str">
        <x:v>페이지 5</x:v>
      </x:c>
      <x:c r="I2712" s="46" t="str">
        <x:v>the following; - Repair work and/or circulation paving around the building if necessary - Construction of all associated infrastructure requirements such as water, sewage, rainwater drainage for new building and the connection to the existing system - Mechanics, electrical system, acoustic system, security system, fire protection and other necessary installations to make the new building functional - Reception of work with OPAMSS, firefighters, Mayor's Office, as well as the necessary institutions to deliver the respective operating records - All work and procedures related to the functionality of the building · Scheduled Construction 540 days Period Until 600 days from the date of signing the contract · Duration (Shall commence 30 days from the date of signing the contract) USD $3,875,000.00 · Project Budget (Without VAT and other applicable indirect taxes; including 0.5% of safety management cost) · Expected Maximum Price USD $3,778,125.00 o Name of Currency: United States Dollar (USD) o KOICA has no responsibility for any tax related matter, including VAT. The collection and return of taxes will be handled by the relevant laws and regulations in El Salvador, and the agency respo</x:v>
      </x:c>
      <x:c r="J2712" s="43" t="str">
        <x:v>자동추출·검토필요</x:v>
      </x:c>
    </x:row>
    <x:row r="2713">
      <x:c r="A2713" s="43" t="str">
        <x:v>L2023-00058-1</x:v>
      </x:c>
      <x:c r="B2713" s="43" t="str">
        <x:v>기간</x:v>
      </x:c>
      <x:c r="C2713" s="46" t="str">
        <x:v>months</x:v>
      </x:c>
      <x:c r="D2713" s="46" t="str"/>
      <x:c r="E2713" s="46" t="str"/>
      <x:c r="F2713" s="46" t="str">
        <x:v>15% | 0.05% | 15% | 0.5% | 30% | 3%</x:v>
      </x:c>
      <x:c r="G2713" s="46" t="str">
        <x:v>L2023-00058-1/Section 2 - Bid Data Sheet_reannouncement_final.pdf</x:v>
      </x:c>
      <x:c r="H2713" s="43" t="str">
        <x:v>페이지 14</x:v>
      </x:c>
      <x:c r="I2713" s="46" t="str">
        <x:v>Annex 2: Contract Data Contract Data Name: KOICA Office in El Salvador Address: Calle El Mirador y 87 Avenida Norte, Employer’s name and address Edificio Torre Futura, Nivel 10, Local 3, Colonia Escalón, San Salvador, El Salvador CM : Junglim CM CM / Supervision consultant Supervision: TBD Time for Completion 600 days (20 months) Defect Notification Period (DNP) 2 years Governing Law Laws of the Republic of El Salvador English and Spanish (English shall have Ruling language precedence over Spanish) English and Spanish (English shall have Language for communications precedence over Spanish) The performance security will be in the form of an unconditional bank guarantee in the Performance Security amount(s) of 15% of the Contract Price, with a validity of the contract period +60 days. 0.05% of the final Contract Price per day, in the Delay damages for the Works currencies in which the Contract Price is payable. Maximum amount of delay damages 15% of the final Contract Price. 0.5% of contact price (fixed) Safety Management Cost Follow-up settlement according to the Safety Management Manual Adjustments for changes in Cost Not applicable Up to 30% of the Accepted Contract Amount Total a</x:v>
      </x:c>
      <x:c r="J2713" s="43" t="str">
        <x:v>자동추출·검토필요</x:v>
      </x:c>
    </x:row>
    <x:row r="2714">
      <x:c r="A2714" s="43" t="str">
        <x:v>L2023-00054-2</x:v>
      </x:c>
      <x:c r="B2714" s="43" t="str">
        <x:v>기간</x:v>
      </x:c>
      <x:c r="C2714" s="46" t="str">
        <x:v>duration, months</x:v>
      </x:c>
      <x:c r="D2714" s="46" t="str">
        <x:v>6,682.620 ㎡ | 2,567.416 ㎡ | 4,284.375 ㎡ | 3,461.411 ㎡ | 637.133 ㎡ | 185.831 ㎡</x:v>
      </x:c>
      <x:c r="E2714" s="46" t="str">
        <x:v>USD 5,107,200 | USD 4,980,000 | USD 2,000,000</x:v>
      </x:c>
      <x:c r="F2714" s="46" t="str"/>
      <x:c r="G2714" s="46" t="str">
        <x:v>L2023-00054-2/Bidding Announcement_231103.pdf</x:v>
      </x:c>
      <x:c r="H2714" s="43" t="str">
        <x:v>페이지 1</x:v>
      </x:c>
      <x:c r="I2714" s="46" t="str">
        <x:v>Bid No: KOICA-PH-2023-3 Bidding Announcement for Construction Works Date: 03 November 2023 1. The Korea International Cooperation Agency (KOICA) Philippines Office invites the prospective Bidders for `the Construction of the Agricultural Genomics Research Center at the University of the Philippines Los Baños Project’. 2. These Construction Works are to be implemented with the grant aid of the Government of Republic of Korea. 3. Brief of Bidding The Construction of the Agricultural Genomics Research Center at the University of the Bid Title Philippines Los Baños Project Summary of Bidding Purpose Agricultural Genomics Research Center and Green House Project Site UPLB Campus, Los Baños, Laguna, Philippines 1. Lot area: 6,682.620㎡ 2. Building area: 2,567.416㎡ 3. Construction floor area: 4,284.375㎡ a) Main Building(2F) 3,461.411㎡ Scope of Works b) Green House 637.133㎡ c) Utilities 185.831㎡ (Warehouse, Pump room, Genset room, MRF, Guard house) * Construction Works shall include civil works, structural &amp; finishing works, piping/ mechanical works, electric/communication works, firefighting works, bench and signage according to the drawings and specifications Construction Duration 27 Month</x:v>
      </x:c>
      <x:c r="J2714" s="43" t="str">
        <x:v>자동추출·검토필요</x:v>
      </x:c>
    </x:row>
    <x:row r="2715">
      <x:c r="A2715" s="43" t="str">
        <x:v>L2023-00053-1</x:v>
      </x:c>
      <x:c r="B2715" s="43" t="str">
        <x:v>기간</x:v>
      </x:c>
      <x:c r="C2715" s="46" t="str">
        <x:v>construction period, months</x:v>
      </x:c>
      <x:c r="D2715" s="46" t="str"/>
      <x:c r="E2715" s="46" t="str">
        <x:v>US$ 5,230,806</x:v>
      </x:c>
      <x:c r="F2715" s="46" t="str"/>
      <x:c r="G2715" s="46" t="str">
        <x:v>L2023-00053-1/Urgench VTC Bid Attachment Documents/Urgench VTC Bid Attachment Documents/Section 6. Specification(SNIF_ GOST_ Bid Explaination ).pptx</x:v>
      </x:c>
      <x:c r="H2715" s="43" t="str">
        <x:v>슬라이드 3</x:v>
      </x:c>
      <x:c r="I2715" s="46" t="str">
        <x:v>1. SYNOPSIS OF BID | BID ANNOUNCEMENT NUMBER: | KOICA-P-UZB-2023-6 | NAME OF PROJECT | Urgench Vocational Training Center and Teachers’ Training Center in Tashkent | BUDGET (USD) | Approximately US$ 5,230,806 (VAT excluded) | SITE LOCATION | Urgench Vocational Training Center : St. Khonka, "Buston" mahalla, Urgench city, Khorezm region. Teachers’ Training Center : Inside of Tashkent Vocational Training Center(Sergeli-8, 100085, Uzbekistan) | CONTRACT PERIOD | 1) Urgench Vocational Training Center : 19 months(Construction Period 18 months) 2) Teachers’ Training Center : 13 months(Construction Period 12 months) | SCOPE OF WORK | 1) Construction of Urgench Vocational Training Center - Administration building block: 2 storey above ground - Lecture and Work Shop building block: 2 storey above ground - Dormitory building block: 2 storey above ground - Guard Room and others : 1 storey above ground 2. Construction of Tashkent Teachers’ Training Center - Administration and Lecture building block: 2 storey above ground</x:v>
      </x:c>
      <x:c r="J2715" s="43" t="str">
        <x:v>자동추출·검토필요</x:v>
      </x:c>
    </x:row>
    <x:row r="2716">
      <x:c r="A2716" s="43" t="str">
        <x:v>L2023-00053-1</x:v>
      </x:c>
      <x:c r="B2716" s="43" t="str">
        <x:v>기간</x:v>
      </x:c>
      <x:c r="C2716" s="46" t="str">
        <x:v>construction period, months</x:v>
      </x:c>
      <x:c r="D2716" s="46" t="str"/>
      <x:c r="E2716" s="46" t="str"/>
      <x:c r="F2716" s="46" t="str">
        <x:v>2,5% | 3% | 0.05% | 40% | 40% | 40% | 5% | 15%</x:v>
      </x:c>
      <x:c r="G2716" s="46" t="str">
        <x:v>L2023-00053-1/Urgench VTC Bid Attachment Documents/Urgench VTC Bid Attachment Documents/Section 6. Specification(SNIF_ GOST_ Bid Explaination ).pptx</x:v>
      </x:c>
      <x:c r="H2716" s="43" t="str">
        <x:v>슬라이드 7</x:v>
      </x:c>
      <x:c r="I2716" s="46" t="str">
        <x:v>5. CONDITIONS OF CONTRACT | Bid Guarantee Bond : Warranty Bond : Liquidated Damages : | - More than 2,5% of Bid Price(30 days from bid date) - 3% of Contract price (2 years + 60days) - 0.05% of Contract price for a day of delay | Contract Period (from the date of contract) | Vocational Training Center : 19 Months (Construction Period 18 months) 2. Teachers’ Training Center : 13 Months (Construction Period 12 months) | Contract Language | English (and local language) | Contract Currency | USD | Commencement of Project | The Contractor shall commence the Project within 14 days from the Effective Date of Contract | | | Payment: | - After signing Contract, Advance payment at a rate of 40% from total contract amount shall be paid within 14 days from the Contract Date - Progress Payment shall be made once every three months based on Progress Payment Invoice certified by CM.. | | | Advance Payment Security Bond | -40% of Contract Price shall be paid. The Contractor shall provide the Employer with the Advance Payment Security Bond (40% of Contract Price plus legal interest rate 5%) as well as a plan to use advance payment. - No less than 60 days since the expiry date of Contract Period. | </x:v>
      </x:c>
      <x:c r="J2716" s="43" t="str">
        <x:v>자동추출·검토필요</x:v>
      </x:c>
    </x:row>
    <x:row r="2717">
      <x:c r="A2717" s="43" t="str">
        <x:v>L2023-00053-1</x:v>
      </x:c>
      <x:c r="B2717" s="43" t="str">
        <x:v>기간</x:v>
      </x:c>
      <x:c r="C2717" s="46" t="str">
        <x:v>duration</x:v>
      </x:c>
      <x:c r="D2717" s="46" t="str"/>
      <x:c r="E2717" s="46" t="str">
        <x:v>USD 5,361,576. | USD 1,740,000</x:v>
      </x:c>
      <x:c r="F2717" s="46" t="str">
        <x:v>50% | 45% | 40% | 35% | 30% | 30%</x:v>
      </x:c>
      <x:c r="G2717" s="46" t="str">
        <x:v>L2023-00053-1/Urgench VTC Bid Attachment Documents/Urgench VTC Bid Attachment Documents/Section 6. Specification(SNIF_ GOST_ Bid Explaination ).pptx</x:v>
      </x:c>
      <x:c r="H2717" s="43" t="str">
        <x:v>슬라이드 9</x:v>
      </x:c>
      <x:c r="I2717" s="46" t="str">
        <x:v>Criteria | Performance | Scoring | Remarks | Competitive bidding construction by performance (25 points) | Performance of the same type of construction for the last 5 years | Allocate points based on grades that include the value expressed as a percentage by dividing the performance of the same type of construction for the last 5 years by the scale of the evaluation standard A: 50% or higher: 25 points B: 45% or higher: 23 points C: 40% or higher: 21 points D: 35% or more: 19 points E: 30% or more: 17 points F. Less than 30%: 15 points | -Duration : Performance of the same/ similar type of construction completed within last 5 years - Criteria for Evaluation Scale : USD 5,361,576. - Single construction performance recognition scale: USD 1,740,000 | Site Manager's career (5 points) | Site Manager’s experience (Career of the manager, who will work at the construction site) | Score = career coefficient × 5 points (However, the upper limit of the rating is 5 point) *Career coefficient = Experience (experience of building construction and site manager) Total period ÷ 8 years | - Site manager must be licensed. - Only construction work/site manager experience based on documentary evidence </x:v>
      </x:c>
      <x:c r="J2717" s="43" t="str">
        <x:v>자동추출·검토필요</x:v>
      </x:c>
    </x:row>
    <x:row r="2718">
      <x:c r="A2718" s="43" t="str">
        <x:v>L2023-00053-1</x:v>
      </x:c>
      <x:c r="B2718" s="43" t="str">
        <x:v>기간</x:v>
      </x:c>
      <x:c r="C2718" s="46" t="str">
        <x:v>공사기간</x:v>
      </x:c>
      <x:c r="D2718" s="46" t="str"/>
      <x:c r="E2718" s="46" t="str">
        <x:v>원 19</x:v>
      </x:c>
      <x:c r="F2718" s="46" t="str"/>
      <x:c r="G2718" s="46" t="str">
        <x:v>L2023-00053-1/Urgench VTC Bid Attachment Documents/Urgench VTC Bid Attachment Documents/Urgench_VTC_Bid Annoncement(The Daily Korean News for Korean Residents).docx</x:v>
      </x:c>
      <x:c r="H2718" s="43" t="str">
        <x:v>문단 8</x:v>
      </x:c>
      <x:c r="I2718" s="46" t="str">
        <x:v>■ 계약기간 : 착공일로부터 각각 우르겐치 직훈원 19개월(공사기간 18개월) , 타슈켄트 교사연수센터 13개월(공사기간 12개월)</x:v>
      </x:c>
      <x:c r="J2718" s="43" t="str">
        <x:v>자동추출·검토필요</x:v>
      </x:c>
    </x:row>
    <x:row r="2719">
      <x:c r="A2719" s="43" t="str">
        <x:v>L2023-00040-1</x:v>
      </x:c>
      <x:c r="B2719" s="43" t="str">
        <x:v>기간</x:v>
      </x:c>
      <x:c r="C2719" s="46" t="str">
        <x:v>construction period</x:v>
      </x:c>
      <x:c r="D2719" s="46" t="str"/>
      <x:c r="E2719" s="46" t="str"/>
      <x:c r="F2719" s="46" t="str">
        <x:v>3%</x:v>
      </x:c>
      <x:c r="G2719" s="46" t="str">
        <x:v>L2023-00040-1/입찰안내자료(영문)/4. Terms of Reference.docx</x:v>
      </x:c>
      <x:c r="H2719" s="43" t="str">
        <x:v>표 7 행 6</x:v>
      </x:c>
      <x:c r="I2719" s="46" t="str">
        <x:v>3. Retention/defect warranty | 3. Retention/defect warranty | 3% of contract amount | Carrying out the duties during the construction period</x:v>
      </x:c>
      <x:c r="J2719" s="43" t="str">
        <x:v>자동추출·검토필요</x:v>
      </x:c>
    </x:row>
    <x:row r="2720">
      <x:c r="A2720" s="43" t="str">
        <x:v>L2023-00038-1</x:v>
      </x:c>
      <x:c r="B2720" s="43" t="str">
        <x:v>기간</x:v>
      </x:c>
      <x:c r="C2720" s="46" t="str">
        <x:v>duration, months</x:v>
      </x:c>
      <x:c r="D2720" s="46" t="str"/>
      <x:c r="E2720" s="46" t="str">
        <x:v>USD 488,441 | USD 488,441</x:v>
      </x:c>
      <x:c r="F2720" s="46" t="str"/>
      <x:c r="G2720" s="46" t="str">
        <x:v>L2023-00038-1/2. 현지입찰 첨부문서 묶음/00_ KOICA_BID Announcement.doc</x:v>
      </x:c>
      <x:c r="H2720" s="43" t="str">
        <x:v>문단 3</x:v>
      </x:c>
      <x:c r="I2720" s="46" t="str">
        <x:v>Description of Project Bid Title: Design and Construction Supervision Consultant Services for the National Rehabilitation Center in Fiji Summary of Design &amp; Construction Supervision ◌ Duration: Contract period is 34months including Design (12 months), Supervision (19 months) and others (3months) ◌ Location of the site: Suva, Fiji ◌ Estimated Price: FJD 976,882 (Design: USD 488,441 Construction Supervision: USD 488,441) *All taxes and expenses are included</x:v>
      </x:c>
      <x:c r="J2720" s="43" t="str">
        <x:v>자동추출·검토필요</x:v>
      </x:c>
    </x:row>
    <x:row r="2721">
      <x:c r="A2721" s="43" t="str">
        <x:v>L2023-00038-1</x:v>
      </x:c>
      <x:c r="B2721" s="43" t="str">
        <x:v>기간</x:v>
      </x:c>
      <x:c r="C2721" s="46" t="str">
        <x:v>construction period</x:v>
      </x:c>
      <x:c r="D2721" s="46" t="str">
        <x:v>2,700 square meters</x:v>
      </x:c>
      <x:c r="E2721" s="46" t="str"/>
      <x:c r="F2721" s="46" t="str"/>
      <x:c r="G2721" s="46" t="str">
        <x:v>L2023-00038-1/2. 현지입찰 첨부문서 묶음/04_Chapter_4._Invitation_to_Bid.docx</x:v>
      </x:c>
      <x:c r="H2721" s="43" t="str">
        <x:v>표 1 행 2</x:v>
      </x:c>
      <x:c r="I2721" s="46" t="str">
        <x:v>•Summary of Services | 1. Location of the site: the Province of Naitasiri, on Lot 30 Princess Road, Tamavua, Suva, Fiji 2. Scope of work: Design and Construction Supervision a. Design - National Rehabilitation Center in Fiji - Total floor area: 2,700 square meters, approximately b. Construction Supervision. - During the entire construction, one civil engineer placed on the site during the entire construction period and one mechanical &amp; electrical engineer shall be placed on the site from the start of the ground floor structure works to the completion date. And other experts such as Structural, Firefighting, IT Engineers should be dispatched on the site if necessary.</x:v>
      </x:c>
      <x:c r="J2721" s="43" t="str">
        <x:v>자동추출·검토필요</x:v>
      </x:c>
    </x:row>
    <x:row r="2722">
      <x:c r="A2722" s="43" t="str">
        <x:v>L2023-00038-1</x:v>
      </x:c>
      <x:c r="B2722" s="43" t="str">
        <x:v>기간</x:v>
      </x:c>
      <x:c r="C2722" s="46" t="str">
        <x:v>months</x:v>
      </x:c>
      <x:c r="D2722" s="46" t="str"/>
      <x:c r="E2722" s="46" t="str">
        <x:v>$ 000,000.00 | $ 000,000.00 | $ 00,000.00</x:v>
      </x:c>
      <x:c r="F2722" s="46" t="str"/>
      <x:c r="G2722" s="46" t="str">
        <x:v>L2023-00038-1/2. 현지입찰 첨부문서 묶음/Attachment_1._Form_of_Price Proposal.doc</x:v>
      </x:c>
      <x:c r="H2722" s="43" t="str">
        <x:v>문단 13</x:v>
      </x:c>
      <x:c r="I2722" s="46" t="str">
        <x:v>[첨부 7-3-2 입찰서(용역) 서식] Form of B I D Bidding No. KOICA-Fiji-2023-03 Date of Bid MM dd, 2023 Bid Total Amount [numbers] U$ 000,000.00 [words] Contract Period 16months including Design (6 months), Supervision (8 months) and others (2months) Price for Design [numbers] U$ 000,000.00 [words] Price for Supervision [numbers] U$ 00,000.00 [words] Details of the Bidder Section Name of Firm Address Chief Executive Bidding Agent Name Taxpayer ID No.</x:v>
      </x:c>
      <x:c r="J2722" s="43" t="str">
        <x:v>자동추출·검토필요</x:v>
      </x:c>
    </x:row>
    <x:row r="2723">
      <x:c r="A2723" s="43" t="str">
        <x:v>L2023-00037-1</x:v>
      </x:c>
      <x:c r="B2723" s="43" t="str">
        <x:v>기간</x:v>
      </x:c>
      <x:c r="C2723" s="46" t="str">
        <x:v>months</x:v>
      </x:c>
      <x:c r="D2723" s="46" t="str"/>
      <x:c r="E2723" s="46" t="str"/>
      <x:c r="F2723" s="46" t="str">
        <x:v>15% | 0.125% | 15% | 50% | 3%</x:v>
      </x:c>
      <x:c r="G2723" s="46" t="str">
        <x:v>L2023-00037-1/영서문 입찰문서 일체_v3/2. Bid Data Sheet (BDS)_v3.pdf</x:v>
      </x:c>
      <x:c r="H2723" s="43" t="str">
        <x:v>페이지 15</x:v>
      </x:c>
      <x:c r="I2723" s="46" t="str">
        <x:v>Annex 3: Contract Data Contract Data name: KOICA El Salvador Office address: Calle El Mirador y 87 Avenida Norte, Employer’s name and address Edificio Torre Futura,Nivel 10, Local 3, Colonia Escalon, San Salvador, El Salvador Construction Manager Junglim CM Time for Completion 600 days (20 months) Defect Notification Period (DNP) 2 years Governing Law Laws of El Salvador Ruling language English and Spanish (English shall prevail) Language for communications English and Spanish (English shall prevail) The performance security will be in the form of Performance Security an unconditional bank guarantee in the amount(s) of 15% of the Contract Price. 0.125% of the final Contract Price per day, in Delay damages for the Works the currencies in which the Contract Price is payable. Maximum amount of delay damages 15% of the final Contract Price. Safety management cost not applicable Provisional Sums not applicable Adjustments for changes in Cost not applicable 50% of the Accepted Contract Amount payable in the currencies in which the Accepted Total advance payment Contract Amount is payable. (shall be adjustable) Percentage of Retention 3% International arbitration shall be: International a</x:v>
      </x:c>
      <x:c r="J2723" s="43" t="str">
        <x:v>자동추출·검토필요</x:v>
      </x:c>
    </x:row>
    <x:row r="2724">
      <x:c r="A2724" s="43" t="str">
        <x:v>L2023-00037-1</x:v>
      </x:c>
      <x:c r="B2724" s="43" t="str">
        <x:v>기간</x:v>
      </x:c>
      <x:c r="C2724" s="46" t="str">
        <x:v>months</x:v>
      </x:c>
      <x:c r="D2724" s="46" t="str"/>
      <x:c r="E2724" s="46" t="str"/>
      <x:c r="F2724" s="46" t="str">
        <x:v>50% | 3%</x:v>
      </x:c>
      <x:c r="G2724" s="46" t="str">
        <x:v>L2023-00037-1/영서문 입찰문서 일체_v3/6. Special Conditions of Contract (Standard Format).pdf</x:v>
      </x:c>
      <x:c r="H2724" s="43" t="str">
        <x:v>페이지 1</x:v>
      </x:c>
      <x:c r="I2724" s="46" t="str">
        <x:v>Special Conditions of Contract 1. Purpose SCC shall supplement GCC with the specific provisions in GCC referred to and amended accordingly. The SCC provisions shall prevail over those in GCC and constitute a part of this Agreement. 2. Contract Period and Consulting Period The Contract Period as defined in Section 1(g) of GCC shall be from the Effective Date to twenty (20) months. 3. Commencement of Project The Consultant shall commence the Project within seven (7) days from the Effective Date; provided, however, that, in case that its delay is apparently expected in unavoidable circumstances, the Consultant shall obtain the approval of the Employer in advance. 4. Payment of the Contract 4.1 Payment will be made as follows on receipt of the request for payment and the invoice sent to the Employer: Classification Schedule of payment Amount Remarks By the date of signing the contract, To be paid after effective reception of the Contract 50% of the price Advance payment advance payment deposit and the advance payment of the contract bond submitted deposit. Interim payments will be made Payments Contract Price every two (2) months 4.2 Advance payment shall be amortized from each payment</x:v>
      </x:c>
      <x:c r="J2724" s="43" t="str">
        <x:v>자동추출·검토필요</x:v>
      </x:c>
    </x:row>
    <x:row r="2725">
      <x:c r="A2725" s="43" t="str">
        <x:v>L2023-00036-1</x:v>
      </x:c>
      <x:c r="B2725" s="43" t="str">
        <x:v>기간</x:v>
      </x:c>
      <x:c r="C2725" s="46" t="str">
        <x:v>construction period, months</x:v>
      </x:c>
      <x:c r="D2725" s="46" t="str"/>
      <x:c r="E2725" s="46" t="str">
        <x:v>US$ 5,230,806</x:v>
      </x:c>
      <x:c r="F2725" s="46" t="str"/>
      <x:c r="G2725" s="46" t="str">
        <x:v>L2023-00036-1/붙임3_입찰관련서류_검토완_0717/Section 6. Specification(SNIF_ GOST_ Bid Explaination ).pptx</x:v>
      </x:c>
      <x:c r="H2725" s="43" t="str">
        <x:v>슬라이드 3</x:v>
      </x:c>
      <x:c r="I2725" s="46" t="str">
        <x:v>1. SYNOPSIS OF BID | BID ANNOUNCEMENT NUMBER: | KOICA-P-UZB-2023-6 | NAME OF PROJECT | Urgench Vocational Training Center and Teachers’ Training Center in Tashkent | BUDGET (USD) | Approximately US$ 5,230,806 (VAT excluded) | SITE LOCATION | Urgench Vocational Training Center : St. Khonka, "Buston" mahalla, Urgench city, Khorezm region. Teachers’ Training Center : Inside of Tashkent Vocational Training Center(Sergeli-8, 100085, Uzbekistan) | CONTRACT PERIOD | 1) Urgench Vocational Training Center : 19 months(Construction Period 18 months) 2) Teachers’ Training Center : 13 months(Construction Period 12 months) | SCOPE OF WORK | 1) Construction of Urgench Vocational Training Center - Administration building block: 2 storey above ground - Lecture and Work Shop building block: 2 storey above ground - Dormitory building block: 2 storey above ground - Guard Room and others : 1 storey above ground 2. Construction of Tashkent Teachers’ Training Center - Administration and Lecture building block: 2 storey above ground</x:v>
      </x:c>
      <x:c r="J2725" s="43" t="str">
        <x:v>자동추출·검토필요</x:v>
      </x:c>
    </x:row>
    <x:row r="2726">
      <x:c r="A2726" s="43" t="str">
        <x:v>L2023-00036-1</x:v>
      </x:c>
      <x:c r="B2726" s="43" t="str">
        <x:v>기간</x:v>
      </x:c>
      <x:c r="C2726" s="46" t="str">
        <x:v>construction period, months</x:v>
      </x:c>
      <x:c r="D2726" s="46" t="str"/>
      <x:c r="E2726" s="46" t="str"/>
      <x:c r="F2726" s="46" t="str">
        <x:v>2,5% | 3% | 0.05% | 40% | 40% | 40% | 5% | 15%</x:v>
      </x:c>
      <x:c r="G2726" s="46" t="str">
        <x:v>L2023-00036-1/붙임3_입찰관련서류_검토완_0717/Section 6. Specification(SNIF_ GOST_ Bid Explaination ).pptx</x:v>
      </x:c>
      <x:c r="H2726" s="43" t="str">
        <x:v>슬라이드 7</x:v>
      </x:c>
      <x:c r="I2726" s="46" t="str">
        <x:v>5. CONDITIONS OF CONTRACT | Bid Guarantee Bond : Warranty Bond : Liquidated Damages : | - More than 2,5% of Bid Price(30 days from bid date) - 3% of Contract price (2 years + 60days) - 0.05% of Contract price for a day of delay | Contract Period (from the date of contract) | Vocational Training Center : 19 Months (Construction Period 18 months) 2. Teachers’ Training Center : 13 Months (Construction Period 12 months) | Contract Language | English (and local language) | Contract Currency | USD | Commencement of Project | The Contractor shall commence the Project within 14 days from the Effective Date of Contract | | | Payment: | - After signing Contract, Advance payment at a rate of 40% from total contract amount shall be paid within 14 days from the Contract Date - Progress Payment shall be made once every three months based on Progress Payment Invoice certified by CM.. | | | Advance Payment Security Bond | -40% of Contract Price shall be paid. The Contractor shall provide the Employer with the Advance Payment Security Bond (40% of Contract Price plus legal interest rate 5%) as well as a plan to use advance payment. - No less than 60 days since the expiry date of Contract Period. | </x:v>
      </x:c>
      <x:c r="J2726" s="43" t="str">
        <x:v>자동추출·검토필요</x:v>
      </x:c>
    </x:row>
    <x:row r="2727">
      <x:c r="A2727" s="43" t="str">
        <x:v>L2023-00036-1</x:v>
      </x:c>
      <x:c r="B2727" s="43" t="str">
        <x:v>기간</x:v>
      </x:c>
      <x:c r="C2727" s="46" t="str">
        <x:v>duration</x:v>
      </x:c>
      <x:c r="D2727" s="46" t="str"/>
      <x:c r="E2727" s="46" t="str">
        <x:v>USD 5,361,576. | USD 1,740,000</x:v>
      </x:c>
      <x:c r="F2727" s="46" t="str">
        <x:v>50% | 45% | 40% | 35% | 30% | 30%</x:v>
      </x:c>
      <x:c r="G2727" s="46" t="str">
        <x:v>L2023-00036-1/붙임3_입찰관련서류_검토완_0717/Section 6. Specification(SNIF_ GOST_ Bid Explaination ).pptx</x:v>
      </x:c>
      <x:c r="H2727" s="43" t="str">
        <x:v>슬라이드 9</x:v>
      </x:c>
      <x:c r="I2727" s="46" t="str">
        <x:v>Criteria | Performance | Scoring | Remarks | Competitive bidding construction by performance (25 points) | Performance of the same type of construction for the last 5 years | Allocate points based on grades that include the value expressed as a percentage by dividing the performance of the same type of construction for the last 5 years by the scale of the evaluation standard A: 50% or higher: 25 points B: 45% or higher: 23 points C: 40% or higher: 21 points D: 35% or more: 19 points E: 30% or more: 17 points F. Less than 30%: 15 points | -Duration : Performance of the same/ similar type of construction completed within last 5 years - Criteria for Evaluation Scale : USD 5,361,576. - Single construction performance recognition scale: USD 1,740,000 | Site Manager's career (5 points) | Site Manager’s experience (Career of the manager, who will work at the construction site) | Score = career coefficient × 5 points (However, the upper limit of the rating is 5 point) *Career coefficient = Experience (experience of building construction and site manager) Total period ÷ 8 years | - Site manager must be licensed. - Only construction work/site manager experience based on documentary evidence </x:v>
      </x:c>
      <x:c r="J2727" s="43" t="str">
        <x:v>자동추출·검토필요</x:v>
      </x:c>
    </x:row>
    <x:row r="2728">
      <x:c r="A2728" s="43" t="str">
        <x:v>L2023-00036-1</x:v>
      </x:c>
      <x:c r="B2728" s="43" t="str">
        <x:v>기간</x:v>
      </x:c>
      <x:c r="C2728" s="46" t="str">
        <x:v>공사기간</x:v>
      </x:c>
      <x:c r="D2728" s="46" t="str"/>
      <x:c r="E2728" s="46" t="str">
        <x:v>원 19</x:v>
      </x:c>
      <x:c r="F2728" s="46" t="str"/>
      <x:c r="G2728" s="46" t="str">
        <x:v>L2023-00036-1/붙임3_입찰관련서류_검토완_0717/Urgench_VTC_Bid Annoncement(The Daily Korean News for Korean Residents).docx</x:v>
      </x:c>
      <x:c r="H2728" s="43" t="str">
        <x:v>문단 8</x:v>
      </x:c>
      <x:c r="I2728" s="46" t="str">
        <x:v>■ 계약기간 : 착공일로부터 각각 우르겐치 직훈원 19개월(공사기간 18개월) , 타슈켄트 교사연수센터 13개월(공사기간 12개월)</x:v>
      </x:c>
      <x:c r="J2728" s="43" t="str">
        <x:v>자동추출·검토필요</x:v>
      </x:c>
    </x:row>
    <x:row r="2729">
      <x:c r="A2729" s="43" t="str">
        <x:v>L2023-00032-1</x:v>
      </x:c>
      <x:c r="B2729" s="43" t="str">
        <x:v>기간</x:v>
      </x:c>
      <x:c r="C2729" s="46" t="str">
        <x:v>months</x:v>
      </x:c>
      <x:c r="D2729" s="46" t="str"/>
      <x:c r="E2729" s="46" t="str"/>
      <x:c r="F2729" s="46" t="str">
        <x:v>9% | 2% | 9% | 2% | 9% | 2% | 9% | 2%</x:v>
      </x:c>
      <x:c r="G2729" s="46" t="str">
        <x:v>L2023-00032-1/2. 입찰서류(영문)/Section 6 - Technical Specifications.docx</x:v>
      </x:c>
      <x:c r="H2729" s="43" t="str">
        <x:v>표 32 행 7</x:v>
      </x:c>
      <x:c r="I2729" s="46" t="str">
        <x:v>Notes: Experience in the central parts of South Africa indicates that the addition of 9% cutback is still appropriate for conditions of Minimum temperatures for 24 hours = -4。C During the rainy season it is recommended that 1 - 2% be added as a safety factor (not in addition to the above percentages). Chemical analysis of the binder and cutter should be carried out before bitumen from other sources are cut back. If the weather is predictably dry for the months November, December and January, and the road temperature exceeds 31。C, additives may be omitted. | Notes: Experience in the central parts of South Africa indicates that the addition of 9% cutback is still appropriate for conditions of Minimum temperatures for 24 hours = -4。C During the rainy season it is recommended that 1 - 2% be added as a safety factor (not in addition to the above percentages). Chemical analysis of the binder and cutter should be carried out before bitumen from other sources are cut back. If the weather is predictably dry for the months November, December and January, and the road temperature exceeds 31。C, additives may be omitted. | Notes: Experience in the central parts of South Africa indicates that th</x:v>
      </x:c>
      <x:c r="J2729" s="43" t="str">
        <x:v>자동추출·검토필요</x:v>
      </x:c>
    </x:row>
    <x:row r="2730">
      <x:c r="A2730" s="43" t="str">
        <x:v>L2023-00032-1</x:v>
      </x:c>
      <x:c r="B2730" s="43" t="str">
        <x:v>기간</x:v>
      </x:c>
      <x:c r="C2730" s="46" t="str">
        <x:v>months</x:v>
      </x:c>
      <x:c r="D2730" s="46" t="str"/>
      <x:c r="E2730" s="46" t="str"/>
      <x:c r="F2730" s="46" t="str">
        <x:v>5%</x:v>
      </x:c>
      <x:c r="G2730" s="46" t="str">
        <x:v>L2023-00032-1/2. 입찰서류(영문)/Section 6 - Technical Specifications.pdf</x:v>
      </x:c>
      <x:c r="H2730" s="43" t="str">
        <x:v>페이지 16</x:v>
      </x:c>
      <x:c r="I2730" s="46" t="str">
        <x:v>(g) Preliminary adjudication of alternative designs specified requirements, the Contractor only shall be liable for any damage arising therefrom and he shall, at his own The Engineer will undertake a preliminary scrutiny of any expense, do all the necessary work to ensure that the alternative designs for compliance with the specified structure conforms to all the specified requirements. requirements of the Employer. Should he find any mistakes or unsatisfactory aspects, he may afford the Contractor the opportunity to rectify them within a period to be determined (k) Payments for alternative designs by the Engineer. However, it is emphasised that the preliminary scrutiny of the design and tender by the Payments for alternative designs will be based on the finally Engineer, by its very nature, cannot be comprehensive, and approved Schedule of Quantities and rates for such designs. no guarantee can be given in this regard that all the The lump sum for an alternative design will remain fixed and mistakes made by the Contractor will in fact be detected. will be the final amount payable to the Contractor in regard Any correction of such mistakes shall be made with the to such design, exc</x:v>
      </x:c>
      <x:c r="J2730" s="43" t="str">
        <x:v>자동추출·검토필요</x:v>
      </x:c>
    </x:row>
    <x:row r="2731">
      <x:c r="A2731" s="43" t="str">
        <x:v>L2023-00032-1</x:v>
      </x:c>
      <x:c r="B2731" s="43" t="str">
        <x:v>기간</x:v>
      </x:c>
      <x:c r="C2731" s="46" t="str">
        <x:v>duration</x:v>
      </x:c>
      <x:c r="D2731" s="46" t="str"/>
      <x:c r="E2731" s="46" t="str"/>
      <x:c r="F2731" s="46" t="str">
        <x:v>90% | 90%</x:v>
      </x:c>
      <x:c r="G2731" s="46" t="str">
        <x:v>L2023-00032-1/2. 입찰서류(영문)/Section 6 - Technical Specifications.pdf</x:v>
      </x:c>
      <x:c r="H2731" s="43" t="str">
        <x:v>페이지 39</x:v>
      </x:c>
      <x:c r="I2731" s="46" t="str">
        <x:v>SERIES 2000 : DRAINAGE beyond the required grade shall be backfilled with suitable material and compacted to at least 90% of modified SECTION 2100 : DRAINS AASHTO density by the Contractor at his own expense. Material resulting from the excavations for open drains shall CONTENTS be used in the construction of fills, banks and dykes, or for other purposes, or shall be disposed of to spoil, all as 2101 SCOPE directed by the Engineer. 2102 OPEN DRAINS 2103 BANKS AND DYKES In respect of material resulting from open-drain excavation 2104 SUBSOIL DRAINAGE and not taken to spoil but used elsewhere in the 2105 CLASSIFICATION OF MATERIALS construction of the Works, payment will be made for open- 2106 MANHOLES, OUTLET STRUCTURES AND drain excavation as well as for any item of permanent CLEANING EYES construction built from such material. Material from open- 2107 MEASUREMENT AND PAYMENT drain excavation which is taken to spoil will be paid for as open-drain excavation only. 2101 SCOPE If ordered by the Engineer, all existing open drains, but excluding open drains constructed by the Contractor himself, shall be cleared and, where necessary, shaped by This Section covers all work in connection </x:v>
      </x:c>
      <x:c r="J2731" s="43" t="str">
        <x:v>자동추출·검토필요</x:v>
      </x:c>
    </x:row>
    <x:row r="2732">
      <x:c r="A2732" s="43" t="str">
        <x:v>L2023-00032-1</x:v>
      </x:c>
      <x:c r="B2732" s="43" t="str">
        <x:v>기간</x:v>
      </x:c>
      <x:c r="C2732" s="46" t="str">
        <x:v>months</x:v>
      </x:c>
      <x:c r="D2732" s="46" t="str">
        <x:v>0.35 m2</x:v>
      </x:c>
      <x:c r="E2732" s="46" t="str"/>
      <x:c r="F2732" s="46" t="str">
        <x:v>1% | 5% | 10%</x:v>
      </x:c>
      <x:c r="G2732" s="46" t="str">
        <x:v>L2023-00032-1/2. 입찰서류(영문)/Section 6 - Technical Specifications.pdf</x:v>
      </x:c>
      <x:c r="H2732" s="43" t="str">
        <x:v>페이지 85</x:v>
      </x:c>
      <x:c r="I2732" s="46" t="str">
        <x:v>SERIES 3000 : EARTHWORKS AND PAVEMENT ingredients of each mixture shall be indicated by the LAYERS OF GRAVEL OR Engineer. CRUSHED STONE Cement-slag and lime-slag mixtures shall be intimately SECTION 3500 : STABILISATION mixed by means of approved mixers and/or spreaders prior to their application onto any layers to be stabilised, or they may be mixed on the road, at the discretion of the Engineer. CONTENTS (v) Other chemical stabilising agents 3501 SCOPE 3502 MATERIALS Other chemical stabilising agents such as fly-ash may be 3503 CHEMICAL STABILISATION used if specified in the Special Specifications or if approved 3504 MECHANICAL MODIFICATION or so instructed by the Engineer. 3505 TOLERANCES 3506 QUALITY OF MATERIALS AND WORKMANSHIP 3507 MEASUREMENT AND PAYMENT (b) General From the time of purchase to the time of use, all stabilising 3501 SCOPE agents shall be kept under proper cover and be protected from moisture. This Section covers the stabilisation of materials used in the Consignments of these materials shall be used in the same construction of the roadbed, fill or pavement layers by the sequence as that in which they are delivered at the Works. addition of a chemical stabilis</x:v>
      </x:c>
      <x:c r="J2732" s="43" t="str">
        <x:v>자동추출·검토필요</x:v>
      </x:c>
    </x:row>
    <x:row r="2733">
      <x:c r="A2733" s="43" t="str">
        <x:v>L2023-00032-1</x:v>
      </x:c>
      <x:c r="B2733" s="43" t="str">
        <x:v>기간</x:v>
      </x:c>
      <x:c r="C2733" s="46" t="str">
        <x:v>months</x:v>
      </x:c>
      <x:c r="D2733" s="46" t="str"/>
      <x:c r="E2733" s="46" t="str"/>
      <x:c r="F2733" s="46" t="str">
        <x:v>10% | 25% | 6% | 2% | 70% | 0.3% | 0.5%</x:v>
      </x:c>
      <x:c r="G2733" s="46" t="str">
        <x:v>L2023-00032-1/2. 입찰서류(영문)/Section 6 - Technical Specifications.pdf</x:v>
      </x:c>
      <x:c r="H2733" s="43" t="str">
        <x:v>페이지 113</x:v>
      </x:c>
      <x:c r="I2733" s="46" t="str">
        <x:v>If approved by the Engineer and if the specified (e) Asphalt for recycling requirements are met, it may contain natural fines not obtained from the parent rock being crushed, on condition (i) Recovered asphalt that such added material does not exceed 10% by mass, unless otherwise specified in the Project Specifications. The Engineer will test the existing asphalt in any part of the The added fines shall have a liquid limit not more than 25% road and determine its suitability for recycling before (see Clause 7102) and a PI not more than 6% and be free removal. He may instruct the Contractor to drill additional of any unsound material. The Contractor shall submit full cores at specified points. Recovered asphalt intended for details regarding the exact quantity and nature of such fine recycling shall be stored separately from other asphalt, and aggregate, before such permission will be considered. In the Engineer may also direct different types of asphalt to be the event of such added material being natural sand, its stored separately. impact on dynamic creep properties should be assessed from laboratory briquettes and cores obtained in a trial The recovered asphalt shall be free fro</x:v>
      </x:c>
      <x:c r="J2733" s="43" t="str">
        <x:v>자동추출·검토필요</x:v>
      </x:c>
    </x:row>
    <x:row r="2734">
      <x:c r="A2734" s="43" t="str">
        <x:v>L2023-00032-1</x:v>
      </x:c>
      <x:c r="B2734" s="43" t="str">
        <x:v>기간</x:v>
      </x:c>
      <x:c r="C2734" s="46" t="str">
        <x:v>months</x:v>
      </x:c>
      <x:c r="D2734" s="46" t="str"/>
      <x:c r="E2734" s="46" t="str">
        <x:v>pen 4401 | 200 pen</x:v>
      </x:c>
      <x:c r="F2734" s="46" t="str">
        <x:v>9% | 2% | 30% | 60%</x:v>
      </x:c>
      <x:c r="G2734" s="46" t="str">
        <x:v>L2023-00032-1/2. 입찰서류(영문)/Section 6 - Technical Specifications.pdf</x:v>
      </x:c>
      <x:c r="H2734" s="43" t="str">
        <x:v>페이지 138</x:v>
      </x:c>
      <x:c r="I2734" s="46" t="str">
        <x:v>SERIES 4000 : AS P HAL T P AV E M E NTS AND Table 4402/1 SEALS Binder detail SECTION 4400 : SINGLE SEALS Min Road Approx % Spray temp for temp air Cutback temp 24 hours temp in CONTENTS 80/100 (。C) (。C) (。C) (。C) pen 4401 SCOPE bitumen 4402 MATERIALS 4403 CONSTRUCTION 0 - 3 (a) 16 - 24 10 - 16 9-7 100 - 118 4404 MEASUREMENT AND PAYMENT 3-6 24 - 32 16 - 21 7-5 115 - 135 6-9 32 - 40 21 - 26 4-3 121 - 138 9 - 12 40 - 48 26 - 31 2-1 132 - 149 4401 SCOPE &gt;12 &gt;48 &gt;31 0 150 - 175 Notes: This Section covers the supplying and furnishing of all materials for the repair of existing surfaces and for the (a) Experience in the central parts of South Africa construction of new single seals. indicates that the addition of 9% cutback is still appropriate for conditions of Minimum temperatures for Note: Section 4300: Seals : Materials and general 24 hours = -4。C requirements shall apply to this Section. (b) During the rainy season it is recommended that 1 - 2% be added as a safety factor (not in addition to the 4402 MATERIALS above percentages). Chemical analysis of the binder and cutter should be carried out before bitumen from (a) Bituminous binders other sources are cut back. If the weather is pr</x:v>
      </x:c>
      <x:c r="J2734" s="43" t="str">
        <x:v>자동추출·검토필요</x:v>
      </x:c>
    </x:row>
    <x:row r="2735">
      <x:c r="A2735" s="43" t="str">
        <x:v>L2023-00032-1</x:v>
      </x:c>
      <x:c r="B2735" s="43" t="str">
        <x:v>기간</x:v>
      </x:c>
      <x:c r="C2735" s="46" t="str">
        <x:v>months</x:v>
      </x:c>
      <x:c r="D2735" s="46" t="str"/>
      <x:c r="E2735" s="46" t="str">
        <x:v>200 pen</x:v>
      </x:c>
      <x:c r="F2735" s="46" t="str">
        <x:v>65% | 70%</x:v>
      </x:c>
      <x:c r="G2735" s="46" t="str">
        <x:v>L2023-00032-1/2. 입찰서류(영문)/Section 6 - Technical Specifications.pdf</x:v>
      </x:c>
      <x:c r="H2735" s="43" t="str">
        <x:v>페이지 147</x:v>
      </x:c>
      <x:c r="I2735" s="46" t="str">
        <x:v>SERIES 4000 : AS P HAL T P AV E M E NTS AND (b) Sand equivalent SEALS The sand equivalent shall be at least 35. SECTION 4700 : SAND SEALS 4704 CONSTRUCTION CONTENTS (a) Equipment 4701 SCOPE 4702 GRADES OF BINDER TO BE USED The following equipment shall be readily available on the 4703 SAND site: 4704 CONSTRUCTION 4705 MEASUREMENT AND PAYMENT (i) Pneumatic-tyred rollers (ii) A rotary broom (iii) A drag broom 4701 SCOPE (iv) Mechanical aggregate spreaders. This Section covers the supply and application of all (b) Preparation of surface before application of seal materials used for constructing sand seals on new pavings. The surface of the base shall be watered, rolled and swept Note: Section 4300 : Materials and general requirements until a smooth fine texture has been achieved. The base shall apply to this Section. shall then be primed in accordance with the provisions of Section 4100 and as instructed by the Engineer. 4702 GRADES OF BINDER TO BE USED The road shall be cleaned of all loose or deleterious material before the sand seal is applied. The following grades of binder shall be used as specified in the Project Specifications or the schedule of quantities or as (c) Application</x:v>
      </x:c>
      <x:c r="J2735" s="43" t="str">
        <x:v>자동추출·검토필요</x:v>
      </x:c>
    </x:row>
    <x:row r="2736">
      <x:c r="A2736" s="43" t="str">
        <x:v>L2023-00032-1</x:v>
      </x:c>
      <x:c r="B2736" s="43" t="str">
        <x:v>기간</x:v>
      </x:c>
      <x:c r="C2736" s="46" t="str">
        <x:v>months</x:v>
      </x:c>
      <x:c r="D2736" s="46" t="str"/>
      <x:c r="E2736" s="46" t="str"/>
      <x:c r="F2736" s="46" t="str">
        <x:v>45% | 5%</x:v>
      </x:c>
      <x:c r="G2736" s="46" t="str">
        <x:v>L2023-00032-1/2. 입찰서류(영문)/Section 6 - Technical Specifications.pdf</x:v>
      </x:c>
      <x:c r="H2736" s="43" t="str">
        <x:v>페이지 179</x:v>
      </x:c>
      <x:c r="I2736" s="46" t="str">
        <x:v>SERIES 5000 : ANCILLARY ROADWORKS Micaceous iron-ore-pigmented paint . . . . . . . . . . . . . . . . . . . . . . . . . . . . . . . . SABS 684 SECTION 5900 : PAINTING or equivalent Baking enamels . . . . . . . . . . . . . . . . . . . . . . . SABS 783 CONTENTS or equivalent 5901 SCOPE Emulsion paint for exterior 5902 MATERIAL use (polyacrylic) . . . . . . . . . . . . . . . . . . . . . . . SABS 634 5903 GENERAL or equivalent 5904 APPLYING THE PAINT 5905 PROTECTING THE WORKS DURING PAINTING Chloro-rubber paint . . . . . . . . . . . . . . . . . . . . SABS 1413 OPERATIONS or equivalent 5906 PREPARING SURFACES FOR PAINTING 5907 PAINTING STRUCTURAL STEEL Bituminous aluminium paint . . . . . . . . . . . . . . SABS 802 5908 PAINTING GUARD RAILS or equivalent 5909 PAINTING CONCRETE 5910 PAINTING GALVANISED SURFACES 5911 MEASURING PAINT THICKNESSES (d) Other 5912 MEASUREMENT AND PAYMENT Epoxy-tar paints . . . . . . . . . . . . . . . . SABS 801 (Type I) or equivalent 5901 SCOPE Bonding liquid for concrete surfaces . . . . . . . . . CKS 564 or equivalent This Section covers the painting of structural steel, guard rails, overhead road sign supports and other structures Bituminous-emulsion paint s</x:v>
      </x:c>
      <x:c r="J2736" s="43" t="str">
        <x:v>자동추출·검토필요</x:v>
      </x:c>
    </x:row>
    <x:row r="2737">
      <x:c r="A2737" s="43" t="str">
        <x:v>L2023-00032-1</x:v>
      </x:c>
      <x:c r="B2737" s="43" t="str">
        <x:v>기간</x:v>
      </x:c>
      <x:c r="C2737" s="46" t="str">
        <x:v>duration</x:v>
      </x:c>
      <x:c r="D2737" s="46" t="str"/>
      <x:c r="E2737" s="46" t="str"/>
      <x:c r="F2737" s="46" t="str">
        <x:v>2% | 150% | 20% | 20% | 100%</x:v>
      </x:c>
      <x:c r="G2737" s="46" t="str">
        <x:v>L2023-00032-1/2. 입찰서류(영문)/Section 6 - Technical Specifications.pdf</x:v>
      </x:c>
      <x:c r="H2737" s="43" t="str">
        <x:v>페이지 273</x:v>
      </x:c>
      <x:c r="I2737" s="46" t="str">
        <x:v>- Immediately after the grout has been mixed, the pre- The test load shall be applied to the top of the pile with a wetted flow cone, which is held firmly with its top rim hydraulic jack. Where more than one jack is used for in a level position, shall be filled with grout to the applying the load, all the jacks in the circuit shall be level indicated by the pre-set pointer, whilst the activated by the same pumping unit. The jack(s) shall be bottom orifice is held closed with a finger. placed so as to ensure that the load is applied axially. - As soon as the required volume of grout, The applied load shall be calculated in accordance with the (± 1 750 mQ), is reached, the finger shall be released hydraulic pressure which is being monitored by two pressure to allow the grout to flow out freely through the meters in the circuit. The pressure meter shall be calibrated bottom orifice. A stop watch shall be used to in divisions not exceeding 2% of the maximum pressure determine the flow time for emptying the cone, to the applied, and the range of the meters shall not exceed 150% nearest second. of the maximum pressure. The jack(s) and meters shall be calibrated by an approved testing lab</x:v>
      </x:c>
      <x:c r="J2737" s="43" t="str">
        <x:v>자동추출·검토필요</x:v>
      </x:c>
    </x:row>
    <x:row r="2738">
      <x:c r="A2738" s="43" t="str">
        <x:v>L2023-00027-1</x:v>
      </x:c>
      <x:c r="B2738" s="43" t="str">
        <x:v>기간</x:v>
      </x:c>
      <x:c r="C2738" s="46" t="str">
        <x:v>construction period</x:v>
      </x:c>
      <x:c r="D2738" s="46" t="str"/>
      <x:c r="E2738" s="46" t="str">
        <x:v>$ 3,875,000.00 | $ 3,778,125.00</x:v>
      </x:c>
      <x:c r="F2738" s="46" t="str">
        <x:v>0.5% | 85.495%</x:v>
      </x:c>
      <x:c r="G2738" s="46" t="str">
        <x:v>L2023-00027-1/입찰서류 일체(영서)/Section 2 - Bid Data Sheet.pdf</x:v>
      </x:c>
      <x:c r="H2738" s="43" t="str">
        <x:v>페이지 5</x:v>
      </x:c>
      <x:c r="I2738" s="46" t="str">
        <x:v>- Repair work and/or circulation paving around the building if necessary - Construction of all associated infrastructure requirements such as water, sewage, rainwater drainage for new building and the connection to the existing system - Mechanics, electrical system, acoustic system, security system, fire protection and other necessary installations to make the new building functional - Reception of work with OPAMSS, firefighters, Mayor's Office, as well as the necessary institutions to deliver the respective operating records - All work and procedures related to the functionality of the building · Construction Period 540 days Until 600 days from the date of signing the contract · Contract Period (Shall commence 30 days from the date of signing the contract) USD $3,875,000.00 · Project Budget (Without VAT and other applicable indirect taxes; including 0.5% of safety management cost) · Expected Maximum Price USD $3,778,125.00 o Name of Currency: United States Dollar (USD) o KOICA has no responsibility for any tax related matter, including VAT. The collection and return of taxes will be handled by the relevant laws and regulations in El Salvador, and the agency responsible for the afo</x:v>
      </x:c>
      <x:c r="J2738" s="43" t="str">
        <x:v>자동추출·검토필요</x:v>
      </x:c>
    </x:row>
    <x:row r="2739">
      <x:c r="A2739" s="43" t="str">
        <x:v>L2023-00027-1</x:v>
      </x:c>
      <x:c r="B2739" s="43" t="str">
        <x:v>기간</x:v>
      </x:c>
      <x:c r="C2739" s="46" t="str">
        <x:v>months</x:v>
      </x:c>
      <x:c r="D2739" s="46" t="str"/>
      <x:c r="E2739" s="46" t="str"/>
      <x:c r="F2739" s="46" t="str">
        <x:v>15% | 0.05% | 15% | 0.5% | 30% | 3%</x:v>
      </x:c>
      <x:c r="G2739" s="46" t="str">
        <x:v>L2023-00027-1/입찰서류 일체(영서)/Section 2 - Bid Data Sheet.pdf</x:v>
      </x:c>
      <x:c r="H2739" s="43" t="str">
        <x:v>페이지 14</x:v>
      </x:c>
      <x:c r="I2739" s="46" t="str">
        <x:v>Annex 2: Contract Data Contract Data Name: KOICA Office in El Salvador Address: Calle El Mirador y 87 Avenida Norte, Employer’s name and address Edificio Torre Futura, Nivel 10, Local 3, Colonia Escalón, San Salvador, El Salvador CM : Junglim CM CM / Supervision consultant Supervision: TBD Time for Completion 600 days (20 months) Defect Notification Period (DNP) 2 years Governing Law Laws of the Republic of El Salvador English and Spanish (English shall have Ruling language precedence over Spanish) English and Spanish (English shall have Language for communications precedence over Spanish) The performance security will be in the form of an unconditional bank guarantee in the Performance Security amount(s) of 15% of the Contract Price, with a validity of the contract period +60 days. 0.05% of the final Contract Price per day, in the Delay damages for the Works currencies in which the Contract Price is payable. Maximum amount of delay damages 15% of the final Contract Price. 0.5% of contact price (fixed) Safety Management Cost Follow-up settlement according to the Safety Management Manual Adjustments for changes in Cost Not applicable Up to 30% of the Accepted Contract Amount Total a</x:v>
      </x:c>
      <x:c r="J2739" s="43" t="str">
        <x:v>자동추출·검토필요</x:v>
      </x:c>
    </x:row>
    <x:row r="2740">
      <x:c r="A2740" s="43" t="str">
        <x:v>L2023-00022-1</x:v>
      </x:c>
      <x:c r="B2740" s="43" t="str">
        <x:v>기간</x:v>
      </x:c>
      <x:c r="C2740" s="46" t="str">
        <x:v>construction period, duration, months</x:v>
      </x:c>
      <x:c r="D2740" s="46" t="str"/>
      <x:c r="E2740" s="46" t="str">
        <x:v>USD 1,570,000 | USD 1,526,954</x:v>
      </x:c>
      <x:c r="F2740" s="46" t="str">
        <x:v>86.745%</x:v>
      </x:c>
      <x:c r="G2740" s="46" t="str">
        <x:v>L2023-00022-1/1. Section 2,3 (2)/Section 2 - Bid Data Sheet (BDS)_230503.pdf</x:v>
      </x:c>
      <x:c r="H2740" s="43" t="str">
        <x:v>페이지 5</x:v>
      </x:c>
      <x:c r="I2740" s="46" t="str">
        <x:v>- Scheduled 12 Months from the start of construction(Construction 8M and O&amp;M 4M) Construction Period Until 13 months from the date of signing the Contract Duration (Shall start the construction within 30 days from the date of signing the Contract) Project Budget USD 1,570,000 (VAT and other related indirect taxes are not included) - Projected USD 1,526,954 (VAT and other related indirect taxes are not included) Estimated Price ○ Currency: United States Dollar (USD) ○ KOICA has no responsibility for any matters regarding taxes, including VAT. Tax collection and refund will be managed by the relevant laws and regulations in the Ministry of Agriculture and Fisheries (MAF) 2. Bid Type, Selection of the Successful Bidders (a) Bid Type : URGENT International Bidding, Open Competitive Bidding ○ Reason for urgent bidding: Pursuant to Article 35(4)(1)(ii) of National Contract Act, "in cases where it is necessary for the early execution of the budget due to the government's fiscal policy," urgent bidding will be carried out. (b) Selection of the Successful Bidders ○ Based upon bid prices which shall be below the Estimated Price but above the floor price of 86.745% of the Estimated Price, the</x:v>
      </x:c>
      <x:c r="J2740" s="43" t="str">
        <x:v>자동추출·검토필요</x:v>
      </x:c>
    </x:row>
    <x:row r="2741">
      <x:c r="A2741" s="43" t="str">
        <x:v>L2023-00022-1</x:v>
      </x:c>
      <x:c r="B2741" s="43" t="str">
        <x:v>기간</x:v>
      </x:c>
      <x:c r="C2741" s="46" t="str">
        <x:v>months</x:v>
      </x:c>
      <x:c r="D2741" s="46" t="str"/>
      <x:c r="E2741" s="46" t="str"/>
      <x:c r="F2741" s="46" t="str">
        <x:v>15% | 0.05% | 15% | 5% | 0.5% | 30%</x:v>
      </x:c>
      <x:c r="G2741" s="46" t="str">
        <x:v>L2023-00022-1/1. Section 2,3 (2)/Section 2 - Bid Data Sheet (BDS)_230503.pdf</x:v>
      </x:c>
      <x:c r="H2741" s="43" t="str">
        <x:v>페이지 18</x:v>
      </x:c>
      <x:c r="I2741" s="46" t="str">
        <x:v>Annex 2: Contract Data Contract Data Employer's name and address - Name : KOICA Timor-Leste - Address: Level 5, CBD 5, Timor Plaza - Name : KOICA PMC Projetu HADALA - Engineer Name : Olivio F. da Silva (Project Engineer/General Supervisor) Engineer's name and address - Address: Rua Prezidente Nicolao Lobato Comoro, Aldeia Zerro Tres (03), Suco Fatuhada, Postu Administrativu Dom Aleixo, Municipiu Dili. Time for Completion 12 Months (Construction 8M + O&amp;M 4M) Defect Notification Period(DNP) 2 years (with Warranty bond) Governing Law Timor-Leste Ruling language English Language for communications / Report / Drawings English Currency of Contract /Payment USD Performance Security The performance security will be in the form of an unconditional bank guarantee in the amount(s) of 15% of the Contract Price. Delay damages for the Works 0.05% of the final Contract Price per day in the currencies in which the Contract Price is payable. The maximum amount of delay damages 15% of the final Contract Price. Payment Every 1~2 Months, According to the Progress - 5% of total construction costs. - Provisional sums may be used, in whole or in Provisional Sums part, only under the instructions of the E</x:v>
      </x:c>
      <x:c r="J2741" s="43" t="str">
        <x:v>자동추출·검토필요</x:v>
      </x:c>
    </x:row>
    <x:row r="2742">
      <x:c r="A2742" s="43" t="str">
        <x:v>L2023-00022-1</x:v>
      </x:c>
      <x:c r="B2742" s="43" t="str">
        <x:v>기간</x:v>
      </x:c>
      <x:c r="C2742" s="46" t="str">
        <x:v>months</x:v>
      </x:c>
      <x:c r="D2742" s="46" t="str"/>
      <x:c r="E2742" s="46" t="str">
        <x:v>KRW 200 million | KRW 100 million | KRW 200 million | KRW 10 million | KRW 100 million | KRW 10 million</x:v>
      </x:c>
      <x:c r="F2742" s="46" t="str"/>
      <x:c r="G2742" s="46" t="str">
        <x:v>L2023-00022-1/4. KOICA Regulations and Guidelines (2)/Detailed Enforcement Rules of the Regulations for Procurement and Contract in Grant Aid Projects(┤δ┐▄╣½╗≤╟∙╖┬╗τ╛≈┐í ░ⁿ╟╤ ┴╢┤▐ ╣╫ ░Φ╛α▒╘┴ñ ╜├╟α╝╝─ó)_20190503.pdf</x:v>
      </x:c>
      <x:c r="H2742" s="43" t="str">
        <x:v>페이지 114</x:v>
      </x:c>
      <x:c r="I2742" s="46" t="str">
        <x:v>(a) A person against whom a request is made to restrict qualifications to subparagraph participate in a tendering based on this restriction criteria. (b) A person against whom a request is made to restrict qualifications to Six months participate when no matters that fall under this restriction criteria. 8. A person who falls under Article 27 (1) 7 of the Act (a person who offers a bribe to the relevant public official (including the members of the Committee for Imposition of Penalty Surcharges under Article 27-3 (1); the State Contract Disputes Conciliation Committee under Article 29 (1); the Central Deliberation Committee on Construction Technology, the Special Deliberation Committee on Construction Technology and the consultative committee on technology under the Construction Technology Promotion Act; and other committees prescribed by Presidential Decree) regarding the tendering or acceptance of tendering or signing and/or performing the contract). Two years (a) Those who have offered bribes of at least KRW 200 million. One year (b) Those who have offered bribes of between KRW 100 million and KRW 200 million. Six months (c) Those who have offered bribes of between KRW 10 millio</x:v>
      </x:c>
      <x:c r="J2742" s="43" t="str">
        <x:v>자동추출·검토필요</x:v>
      </x:c>
    </x:row>
    <x:row r="2743">
      <x:c r="A2743" s="43" t="str">
        <x:v>L2023-00022-1</x:v>
      </x:c>
      <x:c r="B2743" s="43" t="str">
        <x:v>기간</x:v>
      </x:c>
      <x:c r="C2743" s="46" t="str">
        <x:v>months</x:v>
      </x:c>
      <x:c r="D2743" s="46" t="str"/>
      <x:c r="E2743" s="46" t="str"/>
      <x:c r="F2743" s="46" t="str">
        <x:v>50% | 10% | 10% | 10% | 50%</x:v>
      </x:c>
      <x:c r="G2743" s="46" t="str">
        <x:v>L2023-00022-1/4. KOICA Regulations and Guidelines (2)/Guidelines for Technical Evaluation(▒Γ╝·╞≥░í┴÷─º)_20210408.pdf</x:v>
      </x:c>
      <x:c r="H2743" s="43" t="str">
        <x:v>페이지 62</x:v>
      </x:c>
      <x:c r="I2743" s="46" t="str">
        <x:v>[Form 6] Software Project Subcontracting Plan (when tendering) &lt;Amended on Apr. 8, 2021&gt; Software Project Subcontracting Plan (when tendering) Project Name Period months Tenderer Business Name Representative (Representative of Corporate Location contracting consortium) Registration Number □ Subcontracting Plan Subcontractor Tenderer Subcontract Name Subcontract Amount Ratio Business Name % Total 1) Subcontract amount ratio is the ratio of the total amount of subcontracting to the total bid amount of the original contract. - Subcontract amount ratio = Expected subcontracting amount / (bid amount - expected amount of simple purchase of goods *) X 100 * Purchase amount for goods (hardware, commercial software, equipment, etc.) that the bidder wants to purchase directly - Reason for exceeding 50% of total subcontract amount ratio: ___________________________ 2) Grounds for re-subcontracting: _____________________________________________________ □ Grounds for subcontracting ratio exceeding 10% ○ Whether the institution in demand requested the bidder to participate in a contracting consortium with a subcontractor when the subcontract amount ratio exceeds 10% in the request for proposal: </x:v>
      </x:c>
      <x:c r="J2743" s="43" t="str">
        <x:v>자동추출·검토필요</x:v>
      </x:c>
    </x:row>
    <x:row r="2744">
      <x:c r="A2744" s="43" t="str">
        <x:v>L2023-00021-1</x:v>
      </x:c>
      <x:c r="B2744" s="43" t="str">
        <x:v>기간</x:v>
      </x:c>
      <x:c r="C2744" s="46" t="str">
        <x:v>construction period</x:v>
      </x:c>
      <x:c r="D2744" s="46" t="str"/>
      <x:c r="E2744" s="46" t="str"/>
      <x:c r="F2744" s="46" t="str">
        <x:v>3%</x:v>
      </x:c>
      <x:c r="G2744" s="46" t="str">
        <x:v>L2023-00021-1/붙임2. 파라과이 멀티미디어 센터 설계용역 입찰설명서(영문본) 1식/1. Paraguay MULTI-MEDIA Center_Bidding Guideline.docx</x:v>
      </x:c>
      <x:c r="H2744" s="43" t="str">
        <x:v>표 11 행 10</x:v>
      </x:c>
      <x:c r="I2744" s="46" t="str">
        <x:v>Retention /Defect warranty | 3% of Contract price in Cash | Period of Warranty: Up to Completion of Construction Could not be released if Consultant did not carry out the Construction Consultancy Support duties during the construction period.</x:v>
      </x:c>
      <x:c r="J2744" s="43" t="str">
        <x:v>자동추출·검토필요</x:v>
      </x:c>
    </x:row>
    <x:row r="2745">
      <x:c r="A2745" s="43" t="str">
        <x:v>L2023-00021-1</x:v>
      </x:c>
      <x:c r="B2745" s="43" t="str">
        <x:v>기간</x:v>
      </x:c>
      <x:c r="C2745" s="46" t="str">
        <x:v>construction period</x:v>
      </x:c>
      <x:c r="D2745" s="46" t="str"/>
      <x:c r="E2745" s="46" t="str"/>
      <x:c r="F2745" s="46" t="str">
        <x:v>3%</x:v>
      </x:c>
      <x:c r="G2745" s="46" t="str">
        <x:v>L2023-00021-1/붙임2. 파라과이 멀티미디어 센터 설계용역 입찰설명서(영문본) 1식/4. Paraguay MULTI-MEDIA Center_Terms of Reference.docx</x:v>
      </x:c>
      <x:c r="H2745" s="43" t="str">
        <x:v>표 9 행 6</x:v>
      </x:c>
      <x:c r="I2745" s="46" t="str">
        <x:v>3. Retention/defect warranty | 3. Retention/defect warranty | 3% of contract amount | Carrying out the duties during the construction period</x:v>
      </x:c>
      <x:c r="J2745" s="43" t="str">
        <x:v>자동추출·검토필요</x:v>
      </x:c>
    </x:row>
    <x:row r="2746">
      <x:c r="A2746" s="43" t="str">
        <x:v>L2023-00021-1</x:v>
      </x:c>
      <x:c r="B2746" s="43" t="str">
        <x:v>기간</x:v>
      </x:c>
      <x:c r="C2746" s="46" t="str">
        <x:v>construction period</x:v>
      </x:c>
      <x:c r="D2746" s="46" t="str"/>
      <x:c r="E2746" s="46" t="str"/>
      <x:c r="F2746" s="46" t="str">
        <x:v>3%</x:v>
      </x:c>
      <x:c r="G2746" s="46" t="str">
        <x:v>L2023-00021-1/붙임3. 파라과이 멀티미디어센터_설계계약서 초안/3-2. Paraguay MULTI-MEDIA Center_Terms of Reference.docx</x:v>
      </x:c>
      <x:c r="H2746" s="43" t="str">
        <x:v>표 9 행 6</x:v>
      </x:c>
      <x:c r="I2746" s="46" t="str">
        <x:v>3. Retention/defect warranty | 3. Retention/defect warranty | 3% of contract amount | Carrying out the duties during the construction period</x:v>
      </x:c>
      <x:c r="J2746" s="43" t="str">
        <x:v>자동추출·검토필요</x:v>
      </x:c>
    </x:row>
    <x:row r="2747">
      <x:c r="A2747" s="43" t="str">
        <x:v>L2023-00021-1</x:v>
      </x:c>
      <x:c r="B2747" s="43" t="str">
        <x:v>기간</x:v>
      </x:c>
      <x:c r="C2747" s="46" t="str">
        <x:v>construction period</x:v>
      </x:c>
      <x:c r="D2747" s="46" t="str"/>
      <x:c r="E2747" s="46" t="str"/>
      <x:c r="F2747" s="46" t="str">
        <x:v>3%</x:v>
      </x:c>
      <x:c r="G2747" s="46" t="str">
        <x:v>L2023-00021-1/붙임3. 파라과이 멀티미디어센터_설계계약서 초안/3-3. Paraguay MULTI-MEDIA Center_Bidding Guideline.docx</x:v>
      </x:c>
      <x:c r="H2747" s="43" t="str">
        <x:v>표 11 행 10</x:v>
      </x:c>
      <x:c r="I2747" s="46" t="str">
        <x:v>Retention /Defect warranty | 3% of Contract price in Cash | Period of Warranty: Up to Completion of Construction Could not be released if Consultant did not carry out the Construction Consultancy Support duties during the construction period.</x:v>
      </x:c>
      <x:c r="J2747" s="43" t="str">
        <x:v>자동추출·검토필요</x:v>
      </x:c>
    </x:row>
    <x:row r="2748">
      <x:c r="A2748" s="43" t="str">
        <x:v>L2023-00019-1</x:v>
      </x:c>
      <x:c r="B2748" s="43" t="str">
        <x:v>기간</x:v>
      </x:c>
      <x:c r="C2748" s="46" t="str">
        <x:v>construction period, duration, months</x:v>
      </x:c>
      <x:c r="D2748" s="46" t="str"/>
      <x:c r="E2748" s="46" t="str">
        <x:v>USD 1,570,000 | USD 1,526,954</x:v>
      </x:c>
      <x:c r="F2748" s="46" t="str">
        <x:v>86.745%</x:v>
      </x:c>
      <x:c r="G2748" s="46" t="str">
        <x:v>L2023-00019-1/1. Section 2,3 (1)/Section 2 - Bid Data Sheet (BDS)_230411_rev..pdf</x:v>
      </x:c>
      <x:c r="H2748" s="43" t="str">
        <x:v>페이지 5</x:v>
      </x:c>
      <x:c r="I2748" s="46" t="str">
        <x:v>- Scheduled 12 Months from the start of construction(Construction 8M and O&amp;M 4M) Construction Period Until 13 months from the date of signing the Contract Duration (Shall start the construction within 30 days from the date of signing the Contract) Project Budget USD 1,570,000 (VAT and other related indirect taxes are not included) - Projected USD 1,526,954 (VAT and other related indirect taxes are not included) Estimated Price ○ Currency: United States Dollar (USD) ○ KOICA has no responsibility for any matters regarding taxes, including VAT. Tax collection and refund will be managed by the relevant laws and regulations in the Ministry of Agriculture and Fisheries (MAF) 2. Bid Type, Selection of the Successful Bidders (a) Bid Type : URGENT International Bidding, Open Competitive Bidding ○ Reason for urgent bidding: Pursuant to Article 35(4)(1)(ii) of National Contract Act, "in cases where it is necessary for the early execution of the budget due to the government's fiscal policy," urgent bidding will be carried out. (b) Selection of the Successful Bidders ○ Based upon bid prices which shall be below the Estimated Price but above the floor price of 86.745% of the Estimated Price, the</x:v>
      </x:c>
      <x:c r="J2748" s="43" t="str">
        <x:v>자동추출·검토필요</x:v>
      </x:c>
    </x:row>
    <x:row r="2749">
      <x:c r="A2749" s="43" t="str">
        <x:v>L2023-00019-1</x:v>
      </x:c>
      <x:c r="B2749" s="43" t="str">
        <x:v>기간</x:v>
      </x:c>
      <x:c r="C2749" s="46" t="str">
        <x:v>months</x:v>
      </x:c>
      <x:c r="D2749" s="46" t="str"/>
      <x:c r="E2749" s="46" t="str"/>
      <x:c r="F2749" s="46" t="str">
        <x:v>15% | 0.05% | 15% | 5% | 0.5% | 30%</x:v>
      </x:c>
      <x:c r="G2749" s="46" t="str">
        <x:v>L2023-00019-1/1. Section 2,3 (1)/Section 2 - Bid Data Sheet (BDS)_230411_rev..pdf</x:v>
      </x:c>
      <x:c r="H2749" s="43" t="str">
        <x:v>페이지 18</x:v>
      </x:c>
      <x:c r="I2749" s="46" t="str">
        <x:v>Annex 2: Contract Data Contract Data Employer's name and address - Name : KOICA Timor-Leste - Address: Level 5, CBD 5, Timor Plaza - Name : KOICA PMC Projetu HADALA - Engineer Name : Olivio F. da Silva (Project Engineer/General Supervisor) Engineer's name and address - Address: Rua Prezidente Nicolao Lobato Comoro, Aldeia Zerro Tres (03), Suco Fatuhada, Postu Administrativu Dom Aleixo, Municipiu Dili. Time for Completion 12 Months (Construction 8M + O&amp;M 4M) Defect Notification Period(DNP) 2 years (with Warranty bond) Governing Law Timor-Leste Ruling language English Language for communications / Report / Drawings English Currency of Contract /Payment USD Performance Security The performance security will be in the form of an unconditional bank guarantee in the amount(s) of 15% of the Contract Price. Delay damages for the Works 0.05% of the final Contract Price per day in the currencies in which the Contract Price is payable. The maximum amount of delay damages 15% of the final Contract Price. Payment Every 1~2 Months, According to the Progress - 5% of total construction costs. - Provisional sums may be used, in whole or in Provisional Sums part, only under the instructions of the E</x:v>
      </x:c>
      <x:c r="J2749" s="43" t="str">
        <x:v>자동추출·검토필요</x:v>
      </x:c>
    </x:row>
    <x:row r="2750">
      <x:c r="A2750" s="43" t="str">
        <x:v>L2023-00019-1</x:v>
      </x:c>
      <x:c r="B2750" s="43" t="str">
        <x:v>기간</x:v>
      </x:c>
      <x:c r="C2750" s="46" t="str">
        <x:v>months</x:v>
      </x:c>
      <x:c r="D2750" s="46" t="str"/>
      <x:c r="E2750" s="46" t="str">
        <x:v>KRW 200 million | KRW 100 million | KRW 200 million | KRW 10 million | KRW 100 million | KRW 10 million</x:v>
      </x:c>
      <x:c r="F2750" s="46" t="str"/>
      <x:c r="G2750" s="46" t="str">
        <x:v>L2023-00019-1/4. KOICA Regulations and Guidelines (1)/Detailed Enforcement Rules of the Regulations for Procurement and Contract in Grant Aid Projects(┤δ┐▄╣½╗≤╟∙╖┬╗τ╛≈┐í ░ⁿ╟╤ ┴╢┤▐ ╣╫ ░Φ╛α▒╘┴ñ ╜├╟α╝╝─ó)_20190503.pdf</x:v>
      </x:c>
      <x:c r="H2750" s="43" t="str">
        <x:v>페이지 114</x:v>
      </x:c>
      <x:c r="I2750" s="46" t="str">
        <x:v>(a) A person against whom a request is made to restrict qualifications to subparagraph participate in a tendering based on this restriction criteria. (b) A person against whom a request is made to restrict qualifications to Six months participate when no matters that fall under this restriction criteria. 8. A person who falls under Article 27 (1) 7 of the Act (a person who offers a bribe to the relevant public official (including the members of the Committee for Imposition of Penalty Surcharges under Article 27-3 (1); the State Contract Disputes Conciliation Committee under Article 29 (1); the Central Deliberation Committee on Construction Technology, the Special Deliberation Committee on Construction Technology and the consultative committee on technology under the Construction Technology Promotion Act; and other committees prescribed by Presidential Decree) regarding the tendering or acceptance of tendering or signing and/or performing the contract). Two years (a) Those who have offered bribes of at least KRW 200 million. One year (b) Those who have offered bribes of between KRW 100 million and KRW 200 million. Six months (c) Those who have offered bribes of between KRW 10 millio</x:v>
      </x:c>
      <x:c r="J2750" s="43" t="str">
        <x:v>자동추출·검토필요</x:v>
      </x:c>
    </x:row>
    <x:row r="2751">
      <x:c r="A2751" s="43" t="str">
        <x:v>L2023-00019-1</x:v>
      </x:c>
      <x:c r="B2751" s="43" t="str">
        <x:v>기간</x:v>
      </x:c>
      <x:c r="C2751" s="46" t="str">
        <x:v>months</x:v>
      </x:c>
      <x:c r="D2751" s="46" t="str"/>
      <x:c r="E2751" s="46" t="str"/>
      <x:c r="F2751" s="46" t="str">
        <x:v>50% | 10% | 10% | 10% | 50%</x:v>
      </x:c>
      <x:c r="G2751" s="46" t="str">
        <x:v>L2023-00019-1/4. KOICA Regulations and Guidelines (1)/Guidelines for Technical Evaluation(▒Γ╝·╞≥░í┴÷─º)_20210408.pdf</x:v>
      </x:c>
      <x:c r="H2751" s="43" t="str">
        <x:v>페이지 62</x:v>
      </x:c>
      <x:c r="I2751" s="46" t="str">
        <x:v>[Form 6] Software Project Subcontracting Plan (when tendering) &lt;Amended on Apr. 8, 2021&gt; Software Project Subcontracting Plan (when tendering) Project Name Period months Tenderer Business Name Representative (Representative of Corporate Location contracting consortium) Registration Number □ Subcontracting Plan Subcontractor Tenderer Subcontract Name Subcontract Amount Ratio Business Name % Total 1) Subcontract amount ratio is the ratio of the total amount of subcontracting to the total bid amount of the original contract. - Subcontract amount ratio = Expected subcontracting amount / (bid amount - expected amount of simple purchase of goods *) X 100 * Purchase amount for goods (hardware, commercial software, equipment, etc.) that the bidder wants to purchase directly - Reason for exceeding 50% of total subcontract amount ratio: ___________________________ 2) Grounds for re-subcontracting: _____________________________________________________ □ Grounds for subcontracting ratio exceeding 10% ○ Whether the institution in demand requested the bidder to participate in a contracting consortium with a subcontractor when the subcontract amount ratio exceeds 10% in the request for proposal: </x:v>
      </x:c>
      <x:c r="J2751" s="43" t="str">
        <x:v>자동추출·검토필요</x:v>
      </x:c>
    </x:row>
    <x:row r="2752">
      <x:c r="A2752" s="43" t="str">
        <x:v>L2023-00009-1</x:v>
      </x:c>
      <x:c r="B2752" s="43" t="str">
        <x:v>기간</x:v>
      </x:c>
      <x:c r="C2752" s="46" t="str">
        <x:v>months</x:v>
      </x:c>
      <x:c r="D2752" s="46" t="str"/>
      <x:c r="E2752" s="46" t="str"/>
      <x:c r="F2752" s="46" t="str">
        <x:v>80%</x:v>
      </x:c>
      <x:c r="G2752" s="46" t="str">
        <x:v>L2023-00009-1/2. 입찰서류(영문)/Part 2(░·╛≈┴÷╜├╝¡)/Section 6. Specification.pdf</x:v>
      </x:c>
      <x:c r="H2752" s="43" t="str">
        <x:v>페이지 115</x:v>
      </x:c>
      <x:c r="I2752" s="46" t="str">
        <x:v>Standard Specifications for Building Works Part 3 - Section 15 b) Continuity of protective conductors, including main and supplementary equipotential bonding c) Earth electrode resistance d) Insulation resistance e) Insulation of site-built assemblies f) Protection by electrical separation g) Protection by barriers or enclosures during erection h) Polarity i) Earth fault loop impedance j) Operation of residual current devises and fault voltage operated protective devices k) Each circuit breaker shall be operated manually or electrically 50 times to the satisfaction of the Project Manager. Where the circuit breaker is designed for electrical operation at least 10 of these operations shall be made with 80% normal voltage applied to the trip coil in accordance with BS 116:1952. During this test the trip free feature shall be demonstrated. 3.15.20 Scope of Works The Contactor shall supply, deliver, install, set to work, test, commission and hand over to the Employer the complete electrical services installation inclusive of the following: (i) Power and lighting installation in all areas including supply to services to be installed by others, such as lifts, parking entrance shutters, pa</x:v>
      </x:c>
      <x:c r="J2752" s="43" t="str">
        <x:v>자동추출·검토필요</x:v>
      </x:c>
    </x:row>
    <x:row r="2753">
      <x:c r="A2753" s="43" t="str">
        <x:v>L2023-00007-1</x:v>
      </x:c>
      <x:c r="B2753" s="43" t="str">
        <x:v>기간</x:v>
      </x:c>
      <x:c r="C2753" s="46" t="str">
        <x:v>months</x:v>
      </x:c>
      <x:c r="D2753" s="46" t="str"/>
      <x:c r="E2753" s="46" t="str">
        <x:v>US$ 5,230,806</x:v>
      </x:c>
      <x:c r="F2753" s="46" t="str"/>
      <x:c r="G2753" s="46" t="str">
        <x:v>L2023-00007-1/붙임2_우르겐치_시공_입찰공고_첨부서류_모음_수정/Pre_Bid_Meeting_Document_PPT.pptx</x:v>
      </x:c>
      <x:c r="H2753" s="43" t="str">
        <x:v>슬라이드 3</x:v>
      </x:c>
      <x:c r="I2753" s="46" t="str">
        <x:v>1. SYNOPSIS OF BID | BID ANNOUNCEMENT NUMBER: | KOICA-P-UZB-2023-1 | NAME OF PROJECT | The Construction of the Vocational Training Center in Urgench district of Khorezm region and Teachers’ Training Center in Tashkent city, Uzbekistan | BUDGET (USD) | Approximately US$ 5,230,806 (VAT excluded) | SITE LOCATION | Urgench Vocational Training Center : St. Khonka, "Buston" mahalla, Urgench city, Khorezm region. Teachers’ Training Center : Inside of Tashkent Vocational Training Center(Sergeli-8, 100085, Uzbekistan) | CONTRACT PERIOD | 1) Urgench Vocational Training Center : 19 months; 2) Teachers’ Training Center : 13 months | SCOPE OF WORK | 1) Construction of the Vocational Training Center in Urgench district of Khorezm region: - Administration building block: 2 storey above ground - Lecture and Work Shop building block: 2 storey above ground - Dormitory building block: 2 storey above ground - Guard Room and others : 1 storey above ground 2. Construction of the Teachers’ Training Center in Tashkent city: - Administration and Lecture building block: 2 storey above ground</x:v>
      </x:c>
      <x:c r="J2753" s="43" t="str">
        <x:v>자동추출·검토필요</x:v>
      </x:c>
    </x:row>
    <x:row r="2754">
      <x:c r="A2754" s="43" t="str">
        <x:v>L2023-00007-1</x:v>
      </x:c>
      <x:c r="B2754" s="43" t="str">
        <x:v>기간</x:v>
      </x:c>
      <x:c r="C2754" s="46" t="str">
        <x:v>months</x:v>
      </x:c>
      <x:c r="D2754" s="46" t="str"/>
      <x:c r="E2754" s="46" t="str"/>
      <x:c r="F2754" s="46" t="str">
        <x:v>2,5% | 3% | 0.05% | 40% | 40% | 40% | 5% | 15%</x:v>
      </x:c>
      <x:c r="G2754" s="46" t="str">
        <x:v>L2023-00007-1/붙임2_우르겐치_시공_입찰공고_첨부서류_모음_수정/Pre_Bid_Meeting_Document_PPT.pptx</x:v>
      </x:c>
      <x:c r="H2754" s="43" t="str">
        <x:v>슬라이드 6</x:v>
      </x:c>
      <x:c r="I2754" s="46" t="str">
        <x:v>4. CONDITIONS OF CONTRACT | Bid Guarantee Bond : Warranty Bond : Liquidated Damages : | - 2,5% of BP (30 days from bid date) - 3% of Contract price (2 years + 60days) - 0.05% of Contract price for a day of delay | Contract Period (from the date of contract) | Vocational Training Center : 19 Months 2. Teachers’ Training Center : 13 Months | Contract Language | English (and local language) | Contract Currency | USD | Commencement of Project | The Contractor shall commence the Project within 14 days from the Effective Date of Contract | | | Payment: | - After signing Contract, Advance payment at a rate of 40% from total contract amount shall be paid within 14 days from the Contract Date - Progress Payment shall be made once every three months based on Progress Payment Invoice certified by CM.. | | | Advance Payment Security Bond | -40% of Contract Price shall be paid. The Contractor shall provide the Employer with the Advance Payment Security Bond (40% of Contract Price plus legal interest rate 5%) as well as a plan to use advance payment. - No less than 60 days since the expiry date of Contract Period. | | | Performance Security Bond | The Contractor shall provide the Employer with t</x:v>
      </x:c>
      <x:c r="J2754" s="43" t="str">
        <x:v>자동추출·검토필요</x:v>
      </x:c>
    </x:row>
    <x:row r="2755">
      <x:c r="A2755" s="43" t="str">
        <x:v>L2023-00007-1</x:v>
      </x:c>
      <x:c r="B2755" s="43" t="str">
        <x:v>기간</x:v>
      </x:c>
      <x:c r="C2755" s="46" t="str">
        <x:v>duration</x:v>
      </x:c>
      <x:c r="D2755" s="46" t="str"/>
      <x:c r="E2755" s="46" t="str">
        <x:v>USD 5,361,576. | USD 1,740,000</x:v>
      </x:c>
      <x:c r="F2755" s="46" t="str">
        <x:v>100% | 85% | 70% | 50% | 30% | 30%</x:v>
      </x:c>
      <x:c r="G2755" s="46" t="str">
        <x:v>L2023-00007-1/붙임2_우르겐치_시공_입찰공고_첨부서류_모음_수정/Pre_Bid_Meeting_Document_PPT.pptx</x:v>
      </x:c>
      <x:c r="H2755" s="43" t="str">
        <x:v>슬라이드 8</x:v>
      </x:c>
      <x:c r="I2755" s="46" t="str">
        <x:v>Criteria | Performance | Scoring | Remarks | Competitive bidding construction by performance (25 points) | Performance of the same type of construction for the last 5 years | Allocate points based on grades that include the value expressed as a percentage by dividing the performance of the same type of construction for the last 5 years by the scale of the evaluation standard A: 100% or higher: 25 points B: 85% or higher: 23 points C: 70% or higher: 21 points D: 50% or more: 19 points E: 30% or more: 17 points F. Less than 30%: 15 points | -Duration : Performance of the same/ similar type of construction completed within last 5 years - Criteria for Evaluation Scale : USD 5,361,576. -Certified Construction Record Scale : USD 1,740,000 | Site Manager's career (5 points) | Site Manager’s experience (Career of the manager, who will work at the construction site) | Score = career coefficient × 5 points (However, the upper limit of the rating is 5 point) *Career coefficient = Experience (experience of building construction and site manager) Total period ÷ 8 years | Site manager must be licensed. Only construction work/site manager experience based on documentary evidence are accepted. | 5</x:v>
      </x:c>
      <x:c r="J2755" s="43" t="str">
        <x:v>자동추출·검토필요</x:v>
      </x:c>
    </x:row>
    <x:row r="2756">
      <x:c r="A2756" s="43" t="str">
        <x:v>L2023-00006-1</x:v>
      </x:c>
      <x:c r="B2756" s="43" t="str">
        <x:v>기간</x:v>
      </x:c>
      <x:c r="C2756" s="46" t="str">
        <x:v>duration, months</x:v>
      </x:c>
      <x:c r="D2756" s="46" t="str"/>
      <x:c r="E2756" s="46" t="str">
        <x:v>USD 1,570,000 | USD 1,526,954</x:v>
      </x:c>
      <x:c r="F2756" s="46" t="str"/>
      <x:c r="G2756" s="46" t="str">
        <x:v>L2023-00006-1/1. Section 2,3/Section 2 - Bid Data Sheet (BDS)_230223_eng.pdf</x:v>
      </x:c>
      <x:c r="H2756" s="43" t="str">
        <x:v>페이지 5</x:v>
      </x:c>
      <x:c r="I2756" s="46" t="str">
        <x:v>12 Months from the start of construction(Construction 8M and O&amp;M 4M) - Scheduled - Due to the weather condition of Timor-Leste, construction cannot be carried out during the rainy season from December to March. Therefore, the goal is to complete Construction construction before the start of this year's rainy season (December 2023). Period - When submitting the scheduled construction plan, a timeline should be established to complete the construction within 2023. Until 13 months from the date of signing the Contract Duration (Shall start the construction within 30 days from the date of signing the Contract) Project Budget USD 1,570,000 (VAT and other related indirect taxes are not included) - Projected Estimated Price USD 1,526,954 ○ Currency: United States Dollar (USD) ○ KOICA has no responsibility for any matters regarding taxes, including VAT. Tax collection and refund will be managed by the relevant laws and regulations in the Ministry of Agriculture and Fisheries (MAF). 5</x:v>
      </x:c>
      <x:c r="J2756" s="43" t="str">
        <x:v>자동추출·검토필요</x:v>
      </x:c>
    </x:row>
    <x:row r="2757">
      <x:c r="A2757" s="43" t="str">
        <x:v>L2023-00006-1</x:v>
      </x:c>
      <x:c r="B2757" s="43" t="str">
        <x:v>기간</x:v>
      </x:c>
      <x:c r="C2757" s="46" t="str">
        <x:v>months</x:v>
      </x:c>
      <x:c r="D2757" s="46" t="str"/>
      <x:c r="E2757" s="46" t="str"/>
      <x:c r="F2757" s="46" t="str">
        <x:v>15% | 0.05% | 15% | 5% | 0.5% | 30%</x:v>
      </x:c>
      <x:c r="G2757" s="46" t="str">
        <x:v>L2023-00006-1/1. Section 2,3/Section 2 - Bid Data Sheet (BDS)_230223_eng.pdf</x:v>
      </x:c>
      <x:c r="H2757" s="43" t="str">
        <x:v>페이지 18</x:v>
      </x:c>
      <x:c r="I2757" s="46" t="str">
        <x:v>Annex 2: Contract Data Contract Data Employer's name and address - Name : KOICA Timor-Leste - Address: Level 5, CBD 5, Timor Plaza - Name : KOICA PMC Projetu HADALA - Engineer Name : Olivio F. da Silva (Project Engineer/General Supervisor) Engineer's name and address - Address: Rua Prezidente Nicolao Lobato Comoro, Aldeia Zerro Tres (03), Suco Fatuhada, Postu Administrativu Dom Aleixo, Municipiu Dili. Time for Completion 12 Months (Construction 8M + O&amp;M 4M) Defect Notification Period(DNP) 2 years (with Warranty bond) Governing Law Timor-Leste Ruling language English Language for communications / Report / Drawings English Currency of Contract /Payment USD Performance Security The performance security will be in the form of an unconditional bank guarantee in the amount(s) of 15% of the Contract Price. Delay damages for the Works 0.05% of the final Contract Price per day in the currencies in which the Contract Price is payable. The maximum amount of delay damages 15% of the final Contract Price. Payment Every 1~2 Months, According to the Progress - 5% of total construction costs. - Provisional sums may be used, in whole or in Provisional Sums part, only under the instructions of the E</x:v>
      </x:c>
      <x:c r="J2757" s="43" t="str">
        <x:v>자동추출·검토필요</x:v>
      </x:c>
    </x:row>
    <x:row r="2758">
      <x:c r="A2758" s="43" t="str">
        <x:v>L2023-00006-1</x:v>
      </x:c>
      <x:c r="B2758" s="43" t="str">
        <x:v>기간</x:v>
      </x:c>
      <x:c r="C2758" s="46" t="str">
        <x:v>공사기간</x:v>
      </x:c>
      <x:c r="D2758" s="46" t="str">
        <x:v>1,983 m² | 2,738.6 m² | 3,172 m² | 245.7 ㎡ | 335.4 ㎡ | 245.7 ㎡</x:v>
      </x:c>
      <x:c r="E2758" s="46" t="str">
        <x:v>USD 1,570,000 | USD 1,526,954</x:v>
      </x:c>
      <x:c r="F2758" s="46" t="str"/>
      <x:c r="G2758" s="46" t="str">
        <x:v>L2023-00006-1/1. Section 2,3/Section 2 - Bid Data Sheet (BDS)_230223_kor.pdf</x:v>
      </x:c>
      <x:c r="H2758" s="43" t="str">
        <x:v>페이지 5</x:v>
      </x:c>
      <x:c r="I2758" s="46" t="str">
        <x:v>1. 입찰에 부치는 사항(입찰개요) 가. 공고번호 추후 부여 KOICA/TL/2023-B-001 (전자조달시스템 현지입찰공고번호) 나. 입찰건명 동티모르 농민참여형 가치사슬 개선사업을 위한 농업용 인프라 설치 공사 3개 사업지역 내 Agricultural Products Collection Stations (APCS) 다. 공사개요 농산물 집하장 건설을 위한 농업용수시설, 농업도로 및 건축공사 동티모르 프로젝트 수행 3개 지역 - 위치 아일레우 아이나로 리키사 - 용도 농산물 집하장 - 대지면적 1,983m² 2,738.6m² 3,172m² - 건축면적/연면적 (동일) 245.7㎡ 335.4㎡ 245.7㎡ - 규모 지상1층 - 구조 RC조+ST’L ROOF TRUSS 농산물 집하장 건설을 위한 건축 및 부지정지, 포장, 배수구조물 설치, 집수탱크 및 공급 파이프 설치 등 관련 인프라 일체 아일레우 아이나로 리키사 토목: 토목: 토목: - 토공 및 부지포장, - 토공 및 부지포장, - 토공 및 부지포장, 배수구조물 설치 배수구조물 설치 배수구조물 설치 - 진입도로 (400m) 용수공급: 용수공급: 포장 - 메인탱크 1개 - 수중펌프 (심도 - 공사내용 용수공급: - 보조탱크 6개 80~100m) - 지표수 집수정 설치 - 파이프 약 1,700m - 메인탱크 1개 - 메인탱크 2개 건축: - 보조탱크 7개 - 보조탱크 5개 - 사무실,편의시설 - 파이프 약 2,100m - 파이프 약 1,700m 집하/포장할 수 건축: 건축: 있는 시설 - 사무실,편의시설 - 사무실,편의시설 - 정화조 포함 집하/포장할 수 집하/포장할 수 있는 있는 시설 시설 - 정화조 포함 - 정화조 포함 착공일로부터 12개월 (인프라 시공 8개월 + 시운전 4개월) - 동티모르 특성상 12월~3월 우기에는 공사를 진행할 수 없어 금년 우기 - 공사기간 시작 전(23년 12월) 준공을 목표로 함 - 예정공정표 제출 시 2023년 이내 준공하도록 일정 수립 라. 계약기간 계약체결일로부터 13개월 (계약체결 후 30일 이내 착공) 마. 집행한도액 USD 1,570,000 (부가세 등 제비용 미포함) - 기초금액 USD 1,526,954 - 5 -</x:v>
      </x:c>
      <x:c r="J2758" s="43" t="str">
        <x:v>자동추출·검토필요</x:v>
      </x:c>
    </x:row>
    <x:row r="2759">
      <x:c r="A2759" s="43" t="str">
        <x:v>L2023-00006-1</x:v>
      </x:c>
      <x:c r="B2759" s="43" t="str">
        <x:v>기간</x:v>
      </x:c>
      <x:c r="C2759" s="46" t="str">
        <x:v>months</x:v>
      </x:c>
      <x:c r="D2759" s="46" t="str"/>
      <x:c r="E2759" s="46" t="str">
        <x:v>KRW 200 million | KRW 100 million | KRW 200 million | KRW 10 million | KRW 100 million | KRW 10 million</x:v>
      </x:c>
      <x:c r="F2759" s="46" t="str"/>
      <x:c r="G2759" s="46" t="str">
        <x:v>L2023-00006-1/4. KOICA Regulations and Guidelines/Detailed Enforcement Rules of the Regulations for Procurement and Contract in Grant Aid Projects(┤δ┐▄╣½╗≤╟∙╖┬╗τ╛≈┐í ░ⁿ╟╤ ┴╢┤▐ ╣╫ ░Φ╛α▒╘┴ñ ╜├╟α╝╝─ó)_20190503.pdf</x:v>
      </x:c>
      <x:c r="H2759" s="43" t="str">
        <x:v>페이지 114</x:v>
      </x:c>
      <x:c r="I2759" s="46" t="str">
        <x:v>(a) A person against whom a request is made to restrict qualifications to subparagraph participate in a tendering based on this restriction criteria. (b) A person against whom a request is made to restrict qualifications to Six months participate when no matters that fall under this restriction criteria. 8. A person who falls under Article 27 (1) 7 of the Act (a person who offers a bribe to the relevant public official (including the members of the Committee for Imposition of Penalty Surcharges under Article 27-3 (1); the State Contract Disputes Conciliation Committee under Article 29 (1); the Central Deliberation Committee on Construction Technology, the Special Deliberation Committee on Construction Technology and the consultative committee on technology under the Construction Technology Promotion Act; and other committees prescribed by Presidential Decree) regarding the tendering or acceptance of tendering or signing and/or performing the contract). Two years (a) Those who have offered bribes of at least KRW 200 million. One year (b) Those who have offered bribes of between KRW 100 million and KRW 200 million. Six months (c) Those who have offered bribes of between KRW 10 millio</x:v>
      </x:c>
      <x:c r="J2759" s="43" t="str">
        <x:v>자동추출·검토필요</x:v>
      </x:c>
    </x:row>
    <x:row r="2760">
      <x:c r="A2760" s="43" t="str">
        <x:v>L2023-00006-1</x:v>
      </x:c>
      <x:c r="B2760" s="43" t="str">
        <x:v>기간</x:v>
      </x:c>
      <x:c r="C2760" s="46" t="str">
        <x:v>months</x:v>
      </x:c>
      <x:c r="D2760" s="46" t="str"/>
      <x:c r="E2760" s="46" t="str"/>
      <x:c r="F2760" s="46" t="str">
        <x:v>50% | 10% | 10% | 10% | 50%</x:v>
      </x:c>
      <x:c r="G2760" s="46" t="str">
        <x:v>L2023-00006-1/4. KOICA Regulations and Guidelines/Guidelines for Technical Evaluation(▒Γ╝·╞≥░í┴÷─º)_20210408.pdf</x:v>
      </x:c>
      <x:c r="H2760" s="43" t="str">
        <x:v>페이지 62</x:v>
      </x:c>
      <x:c r="I2760" s="46" t="str">
        <x:v>[Form 6] Software Project Subcontracting Plan (when tendering) &lt;Amended on Apr. 8, 2021&gt; Software Project Subcontracting Plan (when tendering) Project Name Period months Tenderer Business Name Representative (Representative of Corporate Location contracting consortium) Registration Number □ Subcontracting Plan Subcontractor Tenderer Subcontract Name Subcontract Amount Ratio Business Name % Total 1) Subcontract amount ratio is the ratio of the total amount of subcontracting to the total bid amount of the original contract. - Subcontract amount ratio = Expected subcontracting amount / (bid amount - expected amount of simple purchase of goods *) X 100 * Purchase amount for goods (hardware, commercial software, equipment, etc.) that the bidder wants to purchase directly - Reason for exceeding 50% of total subcontract amount ratio: ___________________________ 2) Grounds for re-subcontracting: _____________________________________________________ □ Grounds for subcontracting ratio exceeding 10% ○ Whether the institution in demand requested the bidder to participate in a contracting consortium with a subcontractor when the subcontract amount ratio exceeds 10% in the request for proposal: </x:v>
      </x:c>
      <x:c r="J2760" s="43" t="str">
        <x:v>자동추출·검토필요</x:v>
      </x:c>
    </x:row>
    <x:row r="2761">
      <x:c r="A2761" s="43" t="str">
        <x:v>L2023-00003-1</x:v>
      </x:c>
      <x:c r="B2761" s="43" t="str">
        <x:v>기간</x:v>
      </x:c>
      <x:c r="C2761" s="46" t="str">
        <x:v>months</x:v>
      </x:c>
      <x:c r="D2761" s="46" t="str"/>
      <x:c r="E2761" s="46" t="str"/>
      <x:c r="F2761" s="46" t="str">
        <x:v>80%</x:v>
      </x:c>
      <x:c r="G2761" s="46" t="str">
        <x:v>L2023-00003-1/Bid Document(ESMV II)_separately attached/Bid Document(ESMV II)_separately attached/Part 2 Requirements/Section 6. Specification.pdf</x:v>
      </x:c>
      <x:c r="H2761" s="43" t="str">
        <x:v>페이지 115</x:v>
      </x:c>
      <x:c r="I2761" s="46" t="str">
        <x:v>Standard Specifications for Building Works Part 3 - Section 15 b) Continuity of protective conductors, including main and supplementary equipotential bonding c) Earth electrode resistance d) Insulation resistance e) Insulation of site-built assemblies f) Protection by electrical separation g) Protection by barriers or enclosures during erection h) Polarity i) Earth fault loop impedance j) Operation of residual current devises and fault voltage operated protective devices k) Each circuit breaker shall be operated manually or electrically 50 times to the satisfaction of the Project Manager. Where the circuit breaker is designed for electrical operation at least 10 of these operations shall be made with 80% normal voltage applied to the trip coil in accordance with BS 116:1952. During this test the trip free feature shall be demonstrated. 3.15.20 Scope of Works The Contactor shall supply, deliver, install, set to work, test, commission and hand over to the Employer the complete electrical services installation inclusive of the following: (i) Power and lighting installation in all areas including supply to services to be installed by others, such as lifts, parking entrance shutters, pa</x:v>
      </x:c>
      <x:c r="J2761" s="43" t="str">
        <x:v>자동추출·검토필요</x:v>
      </x:c>
    </x:row>
    <x:row r="2762">
      <x:c r="A2762" s="43" t="str">
        <x:v>L2022-00059-1</x:v>
      </x:c>
      <x:c r="B2762" s="43" t="str">
        <x:v>기간</x:v>
      </x:c>
      <x:c r="C2762" s="46" t="str">
        <x:v>construction period</x:v>
      </x:c>
      <x:c r="D2762" s="46" t="str"/>
      <x:c r="E2762" s="46" t="str"/>
      <x:c r="F2762" s="46" t="str">
        <x:v>3%</x:v>
      </x:c>
      <x:c r="G2762" s="46" t="str">
        <x:v>L2022-00059-1/입찰안내자료(영문)/4. Dominican Rep Haina n Monte Cristi CCPP Terms of Reference.docx</x:v>
      </x:c>
      <x:c r="H2762" s="43" t="str">
        <x:v>표 11 행 6</x:v>
      </x:c>
      <x:c r="I2762" s="46" t="str">
        <x:v>3. Retention/defect warranty | 3. Retention/defect warranty | 3% of contract amount | Carrying out the duties during the construction period</x:v>
      </x:c>
      <x:c r="J2762" s="43" t="str">
        <x:v>자동추출·검토필요</x:v>
      </x:c>
    </x:row>
    <x:row r="2763">
      <x:c r="A2763" s="43" t="str">
        <x:v>L2022-00043-1</x:v>
      </x:c>
      <x:c r="B2763" s="43" t="str">
        <x:v>기간</x:v>
      </x:c>
      <x:c r="C2763" s="46" t="str">
        <x:v>duration, months</x:v>
      </x:c>
      <x:c r="D2763" s="46" t="str">
        <x:v>2,194 ㎡</x:v>
      </x:c>
      <x:c r="E2763" s="46" t="str">
        <x:v>USD 1,559,175</x:v>
      </x:c>
      <x:c r="F2763" s="46" t="str"/>
      <x:c r="G2763" s="46" t="str">
        <x:v>L2022-00043-1/붙임. 사이버안전을 위한 디지털 수사 역량 확산 사업 사이버 경찰센터 시공 입.doc</x:v>
      </x:c>
      <x:c r="H2763" s="43" t="str">
        <x:v>문단 3</x:v>
      </x:c>
      <x:c r="I2763" s="46" t="str">
        <x:v>Description of Project - Bid Title: Construction Works for Cyber Police Center in Chattogram for the Project for “Safer Cyberspace for Digital Bangladesh: Enhancing National &amp; Regional Digital Investigation Capability of Bangladesh Police” - Bidding No.: KOICA Bangladesh 2022-02 - Summary of Construction: Four (4) stories new building, floor area 2,194 ㎡ - Duration: 20 Months from the effective date - Site: Dampara Metropolition Police Line, Dampara, Chitiagong. Bangladesh. - Approx. Budget: USD 1,559,175 (VAT included) * KOICA has no authority or responsibility in relation to any taxes or VAT incurred from the tender and contract. ① Employer: Korea International Cooperation Agency (KOICA) Bangladesh Office ② Bid Type: International Open Competitive Bidding with Pre-Qualification (PQ) process * Joint venture is not allowed. ③ Selection of the Successful Bidder: - Evaluation of the Bid Proposal of Prequalified Bidders - Bid Proposal Evaluation Criteria i. Performance Capacity (30 scores) ii. Bid Price (70 scores) * Details of bid proposal evaluation will be provided. ④ Applicants are required to send a Letter of Interest (LOI) to KOICA Bangladesh Office via E-mail (below no.9. atten</x:v>
      </x:c>
      <x:c r="J2763" s="43" t="str">
        <x:v>자동추출·검토필요</x:v>
      </x:c>
    </x:row>
    <x:row r="2764">
      <x:c r="A2764" s="43" t="str">
        <x:v>L2022-00029-1</x:v>
      </x:c>
      <x:c r="B2764" s="43" t="str">
        <x:v>기간</x:v>
      </x:c>
      <x:c r="C2764" s="46" t="str">
        <x:v>months</x:v>
      </x:c>
      <x:c r="D2764" s="46" t="str"/>
      <x:c r="E2764" s="46" t="str"/>
      <x:c r="F2764" s="46" t="str">
        <x:v>0.5%</x:v>
      </x:c>
      <x:c r="G2764" s="46" t="str">
        <x:v>L2022-00029-1/2. 영문입찰계획서(네팔사무소 조정안)_0531.docx</x:v>
      </x:c>
      <x:c r="H2764" s="43" t="str">
        <x:v>문단 100</x:v>
      </x:c>
      <x:c r="I2764" s="46" t="str">
        <x:v>- Cost is at least 0.5% or more of bid price and actual safety expense is requested to report at every 3 months and interim payment will be paid based on the actual expenses incurred</x:v>
      </x:c>
      <x:c r="J2764" s="43" t="str">
        <x:v>자동추출·검토필요</x:v>
      </x:c>
    </x:row>
    <x:row r="2765">
      <x:c r="A2765" s="43" t="str">
        <x:v>L2022-00029-1</x:v>
      </x:c>
      <x:c r="B2765" s="43" t="str">
        <x:v>기간</x:v>
      </x:c>
      <x:c r="C2765" s="46" t="str">
        <x:v>months</x:v>
      </x:c>
      <x:c r="D2765" s="46" t="str"/>
      <x:c r="E2765" s="46" t="str"/>
      <x:c r="F2765" s="46" t="str">
        <x:v>30%</x:v>
      </x:c>
      <x:c r="G2765" s="46" t="str">
        <x:v>L2022-00029-1/2. 영문입찰계획서(네팔사무소 조정안)_0531.docx</x:v>
      </x:c>
      <x:c r="H2765" s="43" t="str">
        <x:v>문단 203</x:v>
      </x:c>
      <x:c r="I2765" s="46" t="str">
        <x:v>3.2.1.1 Payment method is Cash Payment based on Bi-monthly (2 Months) actual progress (30% reimbursement of monthly progress for advance payment).</x:v>
      </x:c>
      <x:c r="J2765" s="43" t="str">
        <x:v>자동추출·검토필요</x:v>
      </x:c>
    </x:row>
    <x:row r="2766">
      <x:c r="A2766" s="43" t="str">
        <x:v>L2022-00029-1</x:v>
      </x:c>
      <x:c r="B2766" s="43" t="str">
        <x:v>기간</x:v>
      </x:c>
      <x:c r="C2766" s="46" t="str">
        <x:v>months</x:v>
      </x:c>
      <x:c r="D2766" s="46" t="str"/>
      <x:c r="E2766" s="46" t="str">
        <x:v>USD 7 | USD 1,862</x:v>
      </x:c>
      <x:c r="F2766" s="46" t="str"/>
      <x:c r="G2766" s="46" t="str">
        <x:v>L2022-00029-1/Rising Nepal.pdf</x:v>
      </x:c>
      <x:c r="H2766" s="43" t="str">
        <x:v>페이지 1</x:v>
      </x:c>
      <x:c r="I2766" s="46" t="str">
        <x:v>2 2022 June 6 2079 B.S. Jeth 23 Monday BUSINESS risingnepaldaily.com BULLION (Rs. per tola) 159,000 tourists visit Chitwan National Park in ten months Hallmark Gold : Rs. 97,900 Worked Gold : Rs. 97,400 Silver : Rs. 1,275 GOLD PRICE BY OUR CORRESPONDENT they would visit Sauraha on the occa- sion of the New Year. He said that the Chitwan, June 5 number of tourists visiting Sauraha FALLS has increased due to the New Year and various programmes and seminars at It has been found that the tourism sec- the same time. In December, 20,855 peo- BY A STAFF REPORTER tor in Chitwan has been supported ple had visited; in April, 20,869 people Kathmandu, June 5 by domestic tourists. Entrepreneurs had visited. have said that the tourism sector here "In the last 10 months, 159,881 tourists is dominated by Nepalese as domestic have visited the park," stated informa- The prices of gold and silver decreased tourists are more active in visiting the tion officer Tiwari. In other words, in in the domestic bullion market on Sun- parks and staying in hotels. Tourists ten months, it has generated Rs. 91.91 day. The price of gold declined by Rs. coming to Chitwan have been going on million in revenue. 600 pe</x:v>
      </x:c>
      <x:c r="J2766" s="43" t="str">
        <x:v>자동추출·검토필요</x:v>
      </x:c>
    </x:row>
    <x:row r="2767">
      <x:c r="A2767" s="43" t="str">
        <x:v>L2022-00027-1</x:v>
      </x:c>
      <x:c r="B2767" s="43" t="str">
        <x:v>기간</x:v>
      </x:c>
      <x:c r="C2767" s="46" t="str">
        <x:v>construction period</x:v>
      </x:c>
      <x:c r="D2767" s="46" t="str"/>
      <x:c r="E2767" s="46" t="str"/>
      <x:c r="F2767" s="46" t="str">
        <x:v>3%</x:v>
      </x:c>
      <x:c r="G2767" s="46" t="str">
        <x:v>L2022-00027-1/2. 입찰서류(영문)_키토혁신센터 설계_220531/4. Ecuador Terms of Reference 20220601.docx</x:v>
      </x:c>
      <x:c r="H2767" s="43" t="str">
        <x:v>표 6 행 6</x:v>
      </x:c>
      <x:c r="I2767" s="46" t="str">
        <x:v>3. Retention /defect warranty | 3. Retention /defect warranty | 3% of contract amount | Carrying out the construction support service duties during the construction period.</x:v>
      </x:c>
      <x:c r="J2767" s="43" t="str">
        <x:v>자동추출·검토필요</x:v>
      </x:c>
    </x:row>
    <x:row r="2768">
      <x:c r="A2768" s="43" t="str">
        <x:v>L2022-00025-1</x:v>
      </x:c>
      <x:c r="B2768" s="43" t="str">
        <x:v>기간</x:v>
      </x:c>
      <x:c r="C2768" s="46" t="str">
        <x:v>completion period</x:v>
      </x:c>
      <x:c r="D2768" s="46" t="str">
        <x:v>96 Sqm</x:v>
      </x:c>
      <x:c r="E2768" s="46" t="str"/>
      <x:c r="F2768" s="46" t="str">
        <x:v>75%</x:v>
      </x:c>
      <x:c r="G2768" s="46" t="str">
        <x:v>L2022-00025-1/(붙임1-8) 영문입찰6-미티아나 및 음피지 건축자재 공급.doc</x:v>
      </x:c>
      <x:c r="H2768" s="43" t="str">
        <x:v>문단 148</x:v>
      </x:c>
      <x:c r="I2768" s="46" t="str">
        <x:v>1 Shed Net (75%) (Polythene) 96 Sqm 2 Treated Poles (3inch by 15ft) 20 Pieces 3 Nails 5"(kgs) 6 Kgs 4 Nails 4"(kgs) 3 Kgs 5 Wire Mesh, Size (Chicken Usage) 10 Pieces 6 Timber (3inch by 15ft) 30 Pieces 7 Vegetable Porting bags 20 Kgs The attached specific conditions will form an integral part of any resulting contract. 2. Delivery and Completion Schedule Procurement Reference Number: KOICA/ESMV/SPL/2022/006 The delivery or completion period shall commence from the date of contract signature and effectiveness. Refer to the Incoterm in the GCC26 for the interpretation of the delivery period.</x:v>
      </x:c>
      <x:c r="J2768" s="43" t="str">
        <x:v>자동추출·검토필요</x:v>
      </x:c>
    </x:row>
    <x:row r="2769">
      <x:c r="A2769" s="43" t="str">
        <x:v>L2022-00025-1</x:v>
      </x:c>
      <x:c r="B2769" s="43" t="str">
        <x:v>기간</x:v>
      </x:c>
      <x:c r="C2769" s="46" t="str">
        <x:v>months</x:v>
      </x:c>
      <x:c r="D2769" s="46" t="str"/>
      <x:c r="E2769" s="46" t="str"/>
      <x:c r="F2769" s="46" t="str">
        <x:v>50% | 50% | 50% | 10% | 110%</x:v>
      </x:c>
      <x:c r="G2769" s="46" t="str">
        <x:v>L2022-00025-1/(붙임1-8) 영문입찰6-미티아나 및 음피지 건축자재 공급.doc</x:v>
      </x:c>
      <x:c r="H2769" s="43" t="str">
        <x:v>문단 193</x:v>
      </x:c>
      <x:c r="I2769" s="46" t="str">
        <x:v>For notices, the Provider’s address shall be: Attention: ______________________ Street Address: ______________________ Floor/Room number: ______________________ Town/City: ______________________ P. O. Box: ______________________ Country: ______________________ Telephone: ______________________ Facsimile number: ______________________ Electronic mail address: ______________________ GCC 9 The Governing law shall be the law of Uganda GCC 10.2 The formal mechanism for the resolution of disputes shall be the Arbitration and Conciliation Act, 2000 of Uganda. GCC 12 Date of delivery shall be: Within Thirty (30) days from advance payment date. The point of delivery shall be: Bongole parish in Mpigi District, Kikandwa and Bukooba Parish, Mityana District. GCC 15.2 The price adjustment shall be: N/A GCC 16.1 The structure of payments shall be: 50% of Contract sum on the contract signing and upon submission of an accepted advance payment guarantee. 50% payment will be done after delivery of all materials specified. GCC 16.3 The payment period shall be: Within ten (10) days after delivery GCC 16.4 The currency(ies) for payments shall be: Uganda shillings (UGX) GCC 17.1 On demand Advance Paymen</x:v>
      </x:c>
      <x:c r="J2769" s="43" t="str">
        <x:v>자동추출·검토필요</x:v>
      </x:c>
    </x:row>
    <x:row r="2770">
      <x:c r="A2770" s="43" t="str">
        <x:v>L2022-00015-1</x:v>
      </x:c>
      <x:c r="B2770" s="43" t="str">
        <x:v>기간</x:v>
      </x:c>
      <x:c r="C2770" s="46" t="str">
        <x:v>duration, months</x:v>
      </x:c>
      <x:c r="D2770" s="46" t="str"/>
      <x:c r="E2770" s="46" t="str">
        <x:v>USD 1,848,000 | USD 1,801,800</x:v>
      </x:c>
      <x:c r="F2770" s="46" t="str"/>
      <x:c r="G2770" s="46" t="str">
        <x:v>L2022-00015-1/01 필리핀 농기계 현대화 사업 센터 신축 ITB Rev02_20220513_edited.doc</x:v>
      </x:c>
      <x:c r="H2770" s="43" t="str">
        <x:v>문단 2</x:v>
      </x:c>
      <x:c r="I2770" s="46" t="str">
        <x:v>1. The Korea International Cooperation Agency (KOICA) Philippines Office intends to invite foreign and local eligible bidders for the construction of the PHilMech Agricultural Machinery Design and Prototyping Center in Nueva Ecija. This project is being conducted through the grant aid program of the Government of the Republic of Korea. 2. Brief of Bidding Bid Title Construction of the PHilMech Agricultural Machinery Design and Prototyping Center Summary of Construction Purpose Office and Workshop Building Summary Building combined Office and Workshop - Office: 22.5mⅹ20m (h=6.5m), 2story, Reinforced Concrete Structure - Workshop: 55mⅹ20m(h=15.05m), 1story, Steel Structure - External Finish; Sandwich Panel / Al. Window &amp; Glass Duration 15 Months Execution Cap Amount USD 1,848,000 (Including VAT) Base Amount USD 1,801,800 (Including VAT)</x:v>
      </x:c>
      <x:c r="J2770" s="43" t="str">
        <x:v>자동추출·검토필요</x:v>
      </x:c>
    </x:row>
    <x:row r="2771">
      <x:c r="A2771" s="43" t="str">
        <x:v>L2022-00006-1</x:v>
      </x:c>
      <x:c r="B2771" s="43" t="str">
        <x:v>기간</x:v>
      </x:c>
      <x:c r="C2771" s="46" t="str">
        <x:v>months</x:v>
      </x:c>
      <x:c r="D2771" s="46" t="str">
        <x:v>4,563 m2</x:v>
      </x:c>
      <x:c r="E2771" s="46" t="str"/>
      <x:c r="F2771" s="46" t="str"/>
      <x:c r="G2771" s="46" t="str">
        <x:v>L2022-00006-1/붙임 2. 입찰공고.docx</x:v>
      </x:c>
      <x:c r="H2771" s="43" t="str">
        <x:v>표 2 행 2</x:v>
      </x:c>
      <x:c r="I2771" s="46" t="str">
        <x:v>Summary of Services | Design and Construction Supervision Consultant Services 1) Bardibas Municipality, Province 2 2) Total floor area: 4,563m2 3) Construction Supervision: 24 Months</x:v>
      </x:c>
      <x:c r="J2771" s="43" t="str">
        <x:v>자동추출·검토필요</x:v>
      </x:c>
    </x:row>
    <x:row r="2772">
      <x:c r="A2772" s="43" t="str">
        <x:v>L2022-00003-1</x:v>
      </x:c>
      <x:c r="B2772" s="43" t="str">
        <x:v>기간</x:v>
      </x:c>
      <x:c r="C2772" s="46" t="str">
        <x:v>construction period, months</x:v>
      </x:c>
      <x:c r="D2772" s="46" t="str">
        <x:v>5,741 M2 | 1,280 M2 | 7,021 M2</x:v>
      </x:c>
      <x:c r="E2772" s="46" t="str"/>
      <x:c r="F2772" s="46" t="str"/>
      <x:c r="G2772" s="46" t="str">
        <x:v>L2022-00003-1/KOICA URGENCH BID DOCUMENTS-FINAL(FINAL)/Attachment 1. KOICA_BID Announcement.docx</x:v>
      </x:c>
      <x:c r="H2772" s="43" t="str">
        <x:v>표 2 행 5</x:v>
      </x:c>
      <x:c r="I2772" s="46" t="str">
        <x:v>Service Scope | * Design Service (SD, DD, CD) 1) Architectural, Structural, Civil, Electrical, Mechanical, Sanitary, Water Supply, Communication, Firefighting and External design and Soil Investigation (minimum Urgench 4 bore holes, Tashkent 2 bore holes required ) etc. 2) Survey, Drawing, Specification, Bill of Quantity, Calculation for structure, Mechanical, electrical and sanitary and others, Construction Documentations and Bid Documents for selection of Contractor. - For the Construction of Vocational Training Center in Urgench district of Khorezm region : Total Floor Area 5,741 M2. 2 Story Building - For construction of Teachers’ Training Center in at Tashkent : 1,280 M2 Total 7,021M2, 2 Story Building 3) Construction Supervision - Construction of Vocational Training Center in Urgench district of Khorezm region : 25 months for the construction period and monitoring from mobilization of manpower &amp; machinery to completion of the Project - Teachers’ Training Center in at Tashkent : 13 months for the construction period and monitoring from mobilization of manpower &amp; machinery to completion of the Project 4) Bidding support for selecting the contractors *Works include but are not l</x:v>
      </x:c>
      <x:c r="J2772" s="43" t="str">
        <x:v>자동추출·검토필요</x:v>
      </x:c>
    </x:row>
    <x:row r="2773">
      <x:c r="A2773" s="43" t="str">
        <x:v>L2022-00003-1</x:v>
      </x:c>
      <x:c r="B2773" s="43" t="str">
        <x:v>기간</x:v>
      </x:c>
      <x:c r="C2773" s="46" t="str">
        <x:v>calendar days</x:v>
      </x:c>
      <x:c r="D2773" s="46" t="str"/>
      <x:c r="E2773" s="46" t="str"/>
      <x:c r="F2773" s="46" t="str">
        <x:v>10%</x:v>
      </x:c>
      <x:c r="G2773" s="46" t="str">
        <x:v>L2022-00003-1/KOICA URGENCH BID DOCUMENTS-FINAL(FINAL)/Attachment 4. RFP.doc</x:v>
      </x:c>
      <x:c r="H2773" s="43" t="str">
        <x:v>문단 243</x:v>
      </x:c>
      <x:c r="I2773" s="46" t="str">
        <x:v>Monitor that the physical progress of the works is in accordance with the implementation of the project’s execution plan. When the project schedule is delayed in a percentage greater than 10% of the Monthly physical progress, the Supervisor is often required to request the Contractor to update the software within the current term in writing, and the Contractor should present the updates within 7 calendar days. If arrears to observe, the Supervisor shall recommend solutions in writing to Contractor and inform the professional assigned by KOICA.</x:v>
      </x:c>
      <x:c r="J2773" s="43" t="str">
        <x:v>자동추출·검토필요</x:v>
      </x:c>
    </x:row>
    <x:row r="2774">
      <x:c r="A2774" s="43" t="str">
        <x:v>L2022-00003-1</x:v>
      </x:c>
      <x:c r="B2774" s="43" t="str">
        <x:v>기간</x:v>
      </x:c>
      <x:c r="C2774" s="46" t="str">
        <x:v>months</x:v>
      </x:c>
      <x:c r="D2774" s="46" t="str"/>
      <x:c r="E2774" s="46" t="str">
        <x:v>$ 000,000.00 | $ 000,000 | $ 000,000 | $ 000,000</x:v>
      </x:c>
      <x:c r="F2774" s="46" t="str"/>
      <x:c r="G2774" s="46" t="str">
        <x:v>L2022-00003-1/KOICA URGENCH BID DOCUMENTS-FINAL(FINAL)/Form 6. Form of Price Proposal.doc</x:v>
      </x:c>
      <x:c r="H2774" s="43" t="str">
        <x:v>문단 11</x:v>
      </x:c>
      <x:c r="I2774" s="46" t="str">
        <x:v>Authorized Signature: Name and Title of Signatory: Duly authorized to sign bid for and on behalf of: Address: Form of BID Invitation No. KOICA-P-UZB-2022-1 Date of Bid MM, DD, 2022 Bid Total Amount [numbers] U$ 000,000.00 [words] Contract Period 1. Design: 6 months 2. Construction Supervision: 25 months 3. Bidding Support for selecting the Contractors: 2 months Total 33 months 1) Price for Design Stage [numbers] U$ 000,000 [words] _________________________ Design Contract Period 6 months + Bidding Support Period: 2 months 2) Price for Construction Supervision Stage [numbers] U$ 000,000 [words] _________________________ ( ________ U$/Months X 25 Months = ______________ U$) CS Contract Period 25 months 3) Total Contract Price [numbers] U$000,000 [words] _________________________ Details of the Bidder Section Name of Firm Address Chief Executive Bidding Agent Name Taxpayer ID No.</x:v>
      </x:c>
      <x:c r="J2774" s="43" t="str">
        <x:v>자동추출·검토필요</x:v>
      </x:c>
    </x:row>
    <x:row r="2775">
      <x:c r="A2775" s="43" t="str">
        <x:v>L2021-00037-1</x:v>
      </x:c>
      <x:c r="B2775" s="43" t="str">
        <x:v>기간</x:v>
      </x:c>
      <x:c r="C2775" s="46" t="str">
        <x:v>duration</x:v>
      </x:c>
      <x:c r="D2775" s="46" t="str"/>
      <x:c r="E2775" s="46" t="str">
        <x:v>500,000 USD</x:v>
      </x:c>
      <x:c r="F2775" s="46" t="str"/>
      <x:c r="G2775" s="46" t="str">
        <x:v>L2021-00037-1/1. RFP_(21.11.04_Maternal &amp; Child Health).pdf</x:v>
      </x:c>
      <x:c r="H2775" s="43" t="str">
        <x:v>페이지 6</x:v>
      </x:c>
      <x:c r="I2775" s="46" t="str">
        <x:v>2. Key Summary of Bidding Information 2.1. Bidding Mode: International General Open Competitive Tender. 1) Single Stage Tender based on the Bidding documents and design information provided by Employer 2) Tender Evaluation will be executed in accordance with the guideline described in the attached BIDDING DOCUMENT 2.2. Eligible Bidders 1) Bid participate: Bidders who are fulfilled the all conditions specified below will be eligible to bid participate a. As of the deadline for submitting bids, it is a company that completes registration in Cambodia, a local subsidiary, and submits related evidence documents with companies that can carry out construction project b. A company that has performed more than one Medical facility or public health center building in Ratanakiri province or Mondulkiri province over the last 5 years (2016 ~ 2020) c. A company with ODA (Official Development Assistance) of KOREA performance of more than 500,000 USD in a single building over the last 5 years (2016 ~ 2020)  Medical facility : hospital, clinic center etc. 2.3. Scope of Bidding Item Contents  Temporary supply of water and electricity necessary for the construction works (If Government provide, it </x:v>
      </x:c>
      <x:c r="J2775" s="43" t="str">
        <x:v>자동추출·검토필요</x:v>
      </x:c>
    </x:row>
    <x:row r="2776">
      <x:c r="A2776" s="43" t="str">
        <x:v>L2021-00037-1</x:v>
      </x:c>
      <x:c r="B2776" s="43" t="str">
        <x:v>기간</x:v>
      </x:c>
      <x:c r="C2776" s="46" t="str">
        <x:v>months</x:v>
      </x:c>
      <x:c r="D2776" s="46" t="str"/>
      <x:c r="E2776" s="46" t="str"/>
      <x:c r="F2776" s="46" t="str">
        <x:v>0.5% | 40% | 15% | 0.05% | 15% | 3%</x:v>
      </x:c>
      <x:c r="G2776" s="46" t="str">
        <x:v>L2021-00037-1/1. RFP_(21.11.04_Maternal &amp; Child Health).pdf</x:v>
      </x:c>
      <x:c r="H2776" s="43" t="str">
        <x:v>페이지 10</x:v>
      </x:c>
      <x:c r="I2776" s="46" t="str">
        <x:v>d. Price proposal (in a separate sealed envelope) : Original 1, 2 copies 3. Contract Data Summary 3.1. Contract Price: Fixed lump-sum price (attached the priced BOQ) 1) The Contract Document includes priced BOQ. (Within the BOQ, a safety management cost of more than 0.5% of the total construction cost shall be set.) 2) The contract price fluctuation due to the escalation or de-escalation shall not be considered. (The contractor shall not be entitled to request the contract price adjustment due to the escalation or de-escalation after contract agreement.) 3) In the case of the variation caused by Employer, the Contractor is entitled to request a cost adjustment in accordance with the terms and conditions. 3.2. Key Condition of Contract: Item KOICA procurement Remark Contract Type Fixed Lump Sum price (attached the priced BOQ) Currency US Dollars TAX Excluded All taxes (refer to the BIDDING DOCUMENT for details) After Advance Payment 0 ~ 40% of Contract price. submission of A/P Bond Bank Guarantee(credit rating of bank: Over single A.P. Bond A), more than 60 days after the completion of contract period 15% of Contract price, Bank Guarantee(credit It shall be Performance rating of ban</x:v>
      </x:c>
      <x:c r="J2776" s="43" t="str">
        <x:v>자동추출·검토필요</x:v>
      </x:c>
    </x:row>
    <x:row r="2777">
      <x:c r="A2777" s="43" t="str">
        <x:v>L2021-00036-1</x:v>
      </x:c>
      <x:c r="B2777" s="43" t="str">
        <x:v>기간</x:v>
      </x:c>
      <x:c r="C2777" s="46" t="str">
        <x:v>months</x:v>
      </x:c>
      <x:c r="D2777" s="46" t="str"/>
      <x:c r="E2777" s="46" t="str">
        <x:v>USD 3.2 | USD 0.0125 | 300,000 USD | 200,000 USD | 10,000 USD</x:v>
      </x:c>
      <x:c r="F2777" s="46" t="str">
        <x:v>0.0125% | 30%</x:v>
      </x:c>
      <x:c r="G2777" s="46" t="str">
        <x:v>L2021-00036-1/[붙임] 입찰 서류_11.1.docx</x:v>
      </x:c>
      <x:c r="H2777" s="43" t="str">
        <x:v>표 27 행 1</x:v>
      </x:c>
      <x:c r="I2777" s="46" t="str">
        <x:v>| General The Purpose of special conditions of contract (SCC) is to supplement GCC with the specific provisions in GCC referred to and amended accordingly. The SCC provisions shall prevail over those in GCC and constitute a part of this Agreement. The financing institution is: Korea International Cooperation Agency (KOICA) The Client is: Korea International Cooperation Agency (KOICA) 15, Razzakov str., Bioshkek, 720040, Kyrgyz Republic The Project Manager is the representative of the Client . The project Manager for this project is Deputy Country Director of KOICA The Start Date shall be December 1, 2021 The language of the contract is English The minimum insurance amounts and deductibles shall be: for loss or damage to property (except the Works, Plant, Materials, and Equipment) in connection with Contract : in accordance to applicable laws for personal injury or death: in accordance to applicable laws of the Contractor’s employees: : in accordance to applicable laws of other people: : in accordance to applicable laws. Arbitration will take place in accordance with the Kyrgyz Law 2. Contract Period 2.1 The Contract Period : From Contract Date to November 31, 2022 (12 months) 2.2. </x:v>
      </x:c>
      <x:c r="J2777" s="43" t="str">
        <x:v>자동추출·검토필요</x:v>
      </x:c>
    </x:row>
    <x:row r="2778">
      <x:c r="A2778" s="43" t="str">
        <x:v>L2021-00029-1</x:v>
      </x:c>
      <x:c r="B2778" s="43" t="str">
        <x:v>기간</x:v>
      </x:c>
      <x:c r="C2778" s="46" t="str">
        <x:v>공사기간</x:v>
      </x:c>
      <x:c r="D2778" s="46" t="str">
        <x:v>1,120.30 M2 | 833.20 m2 | 287.10 m2</x:v>
      </x:c>
      <x:c r="E2778" s="46" t="str">
        <x:v>USD 953,460 | USD 929,600</x:v>
      </x:c>
      <x:c r="F2778" s="46" t="str">
        <x:v>97.5% | 0.5% | 86.745%</x:v>
      </x:c>
      <x:c r="G2778" s="46" t="str">
        <x:v>L2021-00029-1/국문 입찰계획서(Rev02).pdf</x:v>
      </x:c>
      <x:c r="H2778" s="43" t="str">
        <x:v>페이지 2</x:v>
      </x:c>
      <x:c r="I2778" s="46" t="str">
        <x:v>I. 시공업체 선정 입찰방안 - 옹벽공사, Site clearing, Paving, Gate, Fence 주차장 외 설계도서에 명기된 사항 1. 입찰 개요(입찰에 부치는 사항) - Landscape, 내.외부 Signage, Apron drain, Ramp 등 1.1. 입찰건명 : “네팔 보건 및 소득증대를 통한 통합적 농촌지역 역량간화사업“ 시공업체 - 외부 전기공사, 기계공사, 우수관로 공사 선정 현지 입찰 - 화단을 포함한 내부 조경공사 기타 관련된 공사. (The Construction of Outreach Center (ORC) for Empowering Rural Communities in Nepal through an integrated approach Health and Income growth. 1.2. 집행한도액 ○ 필요시 착공신고, 준공검사 등 시공 관련 인허가 사항 지원 1) 집행한도액: USD 953,460 (VAT 제외) ○ As-Built Drawings 및 Operation Manual (O&amp;M) 작성, 준공 후 하자보수 2) 기초금액 : USD 929,600 (VAT제외)/ 집행한도액의 97.5%적용 행정절차상 민원발생, 안전사고, 사업 참여자 및 주변인과의 분쟁 등 시공 시 3) 안전관리비 발생하는 모든 제반사항 ○ 안전관리비 비용 반영 의무 : 입찰금액의 0.5% 이상 ○ 안전관리비 사용계획서 제출 및 분기별(3개월) 정산보고 의무 ○ 제외공사(수원국 공사범위 기타) - 전기 인입공사(공사용) 부가가치세와 관련하여 KOICA는 동 입찰 및 계약에 대해 발생하는 VAT포함 그 어떠한 세 - 전화, 인터넷 인입공사(공사용) 금과 관련해서도 아무런 권한이나 책임이 없으며, 주재국의 법규에 따라 세금징수 및 환급 - 급수 및 오수라인 및 진입도로(공사용) 과 관련한 책임기관은 재무부(Ministry of Finance)이다. - 가구 및 각종 비품 * VAT는 시공사에서 선 납부 후 네팔 국세청에서 환급 1.3 계약방식 : 총액 계약방식 (Lump-sum Contract) 2. 입찰방법 및 낙찰자 선정방법 1.4 계약기간 : 계약일로부터 16개월(계약체결 후 14일이내 착공 ) 2.1 입찰방법 : (긴급)국제입찰, 일반경쟁입찰 ○ Puttar현장 공사기간 : 계약체결일로부터 16개월 ○ 긴급입찰사유 : 국가계약법 시행령 제4항 제1의2호 : ”국가의 재정정책 상 예산의 조 ○ Hind</x:v>
      </x:c>
      <x:c r="J2778" s="43" t="str">
        <x:v>자동추출·검토필요</x:v>
      </x:c>
    </x:row>
    <x:row r="2779">
      <x:c r="A2779" s="43" t="str">
        <x:v>L2021-00029-1</x:v>
      </x:c>
      <x:c r="B2779" s="43" t="str">
        <x:v>기간</x:v>
      </x:c>
      <x:c r="C2779" s="46" t="str">
        <x:v>duration, months</x:v>
      </x:c>
      <x:c r="D2779" s="46" t="str">
        <x:v>948.45 m2 | 566.9 m2 | 381.55 m2 | 1,120.30 m2</x:v>
      </x:c>
      <x:c r="E2779" s="46" t="str">
        <x:v>USD 929,600</x:v>
      </x:c>
      <x:c r="F2779" s="46" t="str"/>
      <x:c r="G2779" s="46" t="str">
        <x:v>L2021-00029-1/네팔 ORC시공업체선정 영문 RFP.pdf</x:v>
      </x:c>
      <x:c r="H2779" s="43" t="str">
        <x:v>페이지 3</x:v>
      </x:c>
      <x:c r="I2779" s="46" t="str">
        <x:v>1.SUMMARY OF PROJECT: 1.1 Project Summary The Construction of Outreach Center(ORC) for Empowering Bid Title Rural Communities in Nepal through an integrated approach to Health and income Growth Summary of Construction Site Area 948.45m2 (Puttar -566.9m2/Hindi -381.55m2) Total Gross Floor Area 1,120.30m2 Floors 1~2 Floors Structure Reinforced Concrete (RC) Tanahun District in Province-4/Bhotekoshi Rural Municipality Location Ward 4(2places) Duration 16 months and 14months from contract signing date Construction Budget USD 929,600(VAT excluded) Type of Contract Fixed Lump Sum contract with Priced BOQ 1.2 Scope of Works: 1.2.1 The construction of ORC building as shown on the design documents such as Structural works, Architectural works, Plumbing, Sanitary and Mechanical works including Ventilation and Heating system, Electrical works, Communication works including telephone and internet, External works and others. (Drawing, Engineering calculation, Specifications, Bill of Quantity, Geotechnical investigation report). 1.2.2 External works; a) All the civil works including site leveling, site clearing, paving and others; b) Landscape and signboards, apron drain, Ramps etc. c) Outdoor f</x:v>
      </x:c>
      <x:c r="J2779" s="43" t="str">
        <x:v>자동추출·검토필요</x:v>
      </x:c>
    </x:row>
    <x:row r="2780">
      <x:c r="A2780" s="43" t="str">
        <x:v>L2021-00029-1</x:v>
      </x:c>
      <x:c r="B2780" s="43" t="str">
        <x:v>기간</x:v>
      </x:c>
      <x:c r="C2780" s="46" t="str">
        <x:v>months</x:v>
      </x:c>
      <x:c r="D2780" s="46" t="str"/>
      <x:c r="E2780" s="46" t="str"/>
      <x:c r="F2780" s="46" t="str">
        <x:v>0.5% | 86.745% | 95%</x:v>
      </x:c>
      <x:c r="G2780" s="46" t="str">
        <x:v>L2021-00029-1/네팔 ORC시공업체선정 영문 RFP.pdf</x:v>
      </x:c>
      <x:c r="H2780" s="43" t="str">
        <x:v>페이지 4</x:v>
      </x:c>
      <x:c r="I2780" s="46" t="str">
        <x:v>1.2.4 Provide temporary Site office space, office furniture, stationary and any other type of necessary assistance to the CM or Construction Supervisor. 1.2.5 Safety management cost -Safety management cost is mandatory and priced as described in BOQ descriptions -Submission and approval of Safety management implementation plan is requisite within 14days from the project start. - Cost is at least 0.5% or more of bid amount and actual safety expenses is requested to report at every 3 months 2. CONTRACT AWARD PROCEDURE: 2.1. Bid Type: International Open Competitive Bidding with Pre-Qualification (PQ) 2.2 Bid Participation : Bidders who pass the Pre-qualification will be eligible to participate in the bid process. 2.2.1 Submission of PQ documents 1) The PQ application letter 2) Power of Attorney (POA) 3) Bidder’s Company Profile (Registration Certificate, Business Registration License) 4) Construction Business Certificate 5) Audit Reports of the latest 3 years (2017~2020 FY)/2017~2018/2018~2019/2019~2021 6) Full Payment Certificate of TAX Clearance 7) VAT &amp; PAN Registration Certificate 8) Confirmation of Legal proceeding related to Debt 9) Certificate for performance record in the last</x:v>
      </x:c>
      <x:c r="J2780" s="43" t="str">
        <x:v>자동추출·검토필요</x:v>
      </x:c>
    </x:row>
    <x:row r="2781">
      <x:c r="A2781" s="43" t="str">
        <x:v>L2021-00029-1</x:v>
      </x:c>
      <x:c r="B2781" s="43" t="str">
        <x:v>기간</x:v>
      </x:c>
      <x:c r="C2781" s="46" t="str">
        <x:v>calendar days, months</x:v>
      </x:c>
      <x:c r="D2781" s="46" t="str"/>
      <x:c r="E2781" s="46" t="str"/>
      <x:c r="F2781" s="46" t="str">
        <x:v>30% | 30% | 3.65% | 3% | 30% | 30%</x:v>
      </x:c>
      <x:c r="G2781" s="46" t="str">
        <x:v>L2021-00029-1/네팔 ORC시공업체선정 영문 RFP.pdf</x:v>
      </x:c>
      <x:c r="H2781" s="43" t="str">
        <x:v>페이지 7</x:v>
      </x:c>
      <x:c r="I2781" s="46" t="str">
        <x:v>3.1.2.2 Refund : at least 60days after expiry date of contract period in agreement. 3.1.3 Advance Payment (AP Bond) : 30% of contract amount, advance payment request letter with AP Bond together when application for Advance payment. 3.1.3.1 Guarantee period: At least 60 days plus after the expiry of contract 3.1.3.2 Refund : 60 days after Interim accumulated payment certificate is achieved more than Advance payment. 3.1.3.2 Insured amount of guarantee is 30% of Contract amount plus legal banking interest 3.65% 3.1.4 Defects Liability Warranty : 3% of contract amount. 3.1.4.1 Guarantee period: 2 years + 60 days plus after the day of completion. 3.1.4.2 Refund : 60 days after the expiry date of defects liability period. 3.1.5 The contract amount shall not be changed resulting from the fluctuation/escalation in the market because of fixed lump sum contract. 3.2 Payment Method 3.2.1. Interim payment 3.2.1.1 Payment method is Cash Payment based on Bimonthly (2 Months) actual progress (30% reimbursement of monthly progress for advance payment). 3.2.1.2 Interim payment will be paid within 20 calendar days from KOICA receipt of letter together with process of verified and approved by CM re</x:v>
      </x:c>
      <x:c r="J2781" s="43" t="str">
        <x:v>자동추출·검토필요</x:v>
      </x:c>
    </x:row>
    <x:row r="2782">
      <x:c r="A2782" s="43" t="str">
        <x:v>L2021-00019-1</x:v>
      </x:c>
      <x:c r="B2782" s="43" t="str">
        <x:v>기간</x:v>
      </x:c>
      <x:c r="C2782" s="46" t="str">
        <x:v>duration, months</x:v>
      </x:c>
      <x:c r="D2782" s="46" t="str">
        <x:v>776 ㎡ | 791 ㎡</x:v>
      </x:c>
      <x:c r="E2782" s="46" t="str">
        <x:v>USD 88,965</x:v>
      </x:c>
      <x:c r="F2782" s="46" t="str">
        <x:v>5% | 5%</x:v>
      </x:c>
      <x:c r="G2782" s="46" t="str">
        <x:v>L2021-00019-1/02 라오스_RMNCH&amp;GENDER Bid Announcement Rev03 (20210528).doc</x:v>
      </x:c>
      <x:c r="H2782" s="43" t="str">
        <x:v>문단 4</x:v>
      </x:c>
      <x:c r="I2782" s="46" t="str">
        <x:v>2. Brief of Bidding Bid Title Design for Construction of RMNCH Training &amp; Nutrition Service Center (Luangnamtha) and LWU EVAW Center (Vientian), Lao PDR. Duration 4 Months Estimated Price USD 88,965 (Excluding V.A.T) Summary of Project Training &amp; Nutrition Service Center - GFA Approx. 776㎡± 5% - 2 stories - Reinforced Concrete Structure - Al. Window &amp; Glass Counselling Center for Prevention and Elimination of Violence Against Women - GFA: Approx. 791㎡ ±5% - 3 stories - Reinforced Concrete Structure - Al. Window &amp; Glass * KOICA will distribute the “ Design Instruction” in Pre Bid Meeting</x:v>
      </x:c>
      <x:c r="J2782" s="43" t="str">
        <x:v>자동추출·검토필요</x:v>
      </x:c>
    </x:row>
    <x:row r="2783">
      <x:c r="A2783" s="43" t="str">
        <x:v>L2021-00018-1</x:v>
      </x:c>
      <x:c r="B2783" s="43" t="str">
        <x:v>기간</x:v>
      </x:c>
      <x:c r="C2783" s="46" t="str">
        <x:v>calendar days</x:v>
      </x:c>
      <x:c r="D2783" s="46" t="str"/>
      <x:c r="E2783" s="46" t="str">
        <x:v>USD 35,000 | USD 35,000 | USD 35,000 | USD 35,000 | USD 30,000</x:v>
      </x:c>
      <x:c r="F2783" s="46" t="str">
        <x:v>20%</x:v>
      </x:c>
      <x:c r="G2783" s="46" t="str">
        <x:v>L2021-00018-1/1. RFP 023 2020 - Tender Document and Annexes_ ANCCESS PROJECT.pdf</x:v>
      </x:c>
      <x:c r="H2783" s="43" t="str">
        <x:v>페이지 21</x:v>
      </x:c>
      <x:c r="I2783" s="46" t="str">
        <x:v>Site Information,Basic Drawing , Load Profile data and Video of Target Locatios for Lot1,2,3,5 valid in the following link: https://drive.google.com/drive/folders/1SLGN1rLx2YyCOKA4- MYAkj-IS6ojBhPC Site inspection by the potential proposers will be allowed at its own risks and cost. Potential proposers must contact the UNDP focal point to notify for site visits at least two (2) days in advance. During the site inspection, the potential proposers are refrained from asking questions regarding the bidding process, all questions regarding the bidding process shall be only addressed by email to UNDP. UNDP staff will not accompany the Potential Proposers during the site inspection. The UNDP focal point for the arrangement is: Muhammad Mubarok / Technical Officer Telephone: +6281281979884 E-mail: Muhammad.mubarok@undp.org 5 16 Proposal Validity Period 120 calendar days 6 12 Bid/Proposal Security Required in the amount of: Lot 1 (West Sulawesi) in the amount of USD 35,000 Lot 2 (South-East Sulawesi) in the amount of USD 35,000 Lot 3 (East Nusa Tenggara/NTT) in the amount of USD 35,000 Lot 4 (Central Kalimantan) in the amount of USD 35,000 Acceptable Forms of Bid Security  Bank Guarantee (</x:v>
      </x:c>
      <x:c r="J2783" s="43" t="str">
        <x:v>자동추출·검토필요</x:v>
      </x:c>
    </x:row>
    <x:row r="2784">
      <x:c r="A2784" s="43" t="str">
        <x:v>L2021-00018-1</x:v>
      </x:c>
      <x:c r="B2784" s="43" t="str">
        <x:v>기간</x:v>
      </x:c>
      <x:c r="C2784" s="46" t="str">
        <x:v>calendar days, months</x:v>
      </x:c>
      <x:c r="D2784" s="46" t="str"/>
      <x:c r="E2784" s="46" t="str"/>
      <x:c r="F2784" s="46" t="str">
        <x:v>0.3% | 10% | 5% | 10% | 10% | 5% | 10%</x:v>
      </x:c>
      <x:c r="G2784" s="46" t="str">
        <x:v>L2021-00018-1/1. RFP 023 2020 - Tender Document and Annexes_ ANCCESS PROJECT.pdf</x:v>
      </x:c>
      <x:c r="H2784" s="43" t="str">
        <x:v>페이지 22</x:v>
      </x:c>
      <x:c r="I2784" s="46" t="str">
        <x:v>Percentage of contract price per day of delay: 0.3% Max. number of days of delay 30 calendar days, after which UNDP may terminate the contract. 9 41 Performance Security Required 10% of the total contract value. This figure will be reduced to 5% after commissioning and until the expiration of the contract, i.e. latest 24 months corresponding to after-sale service and warranty period. A performance security should be denominated in the currency of the contract and shall only be in one of the following forms: i. Bank Guarantee issued by a reputable Bank, the template can be found in Annex 7 Template for Performance Guarantee ii. Percentage of total payment held as retention money until final certification of acceptance of all contract outputs/deliverables. The term “acceptance” shall not be equated with “mere receiving” of outputs/deliverables. If selected bidder opts to use retention money instead of performance security, an equal percentage will be reduced from each progress payment up to 10% of the total contract amount. This figure, 10%, will be reduced to 5% after commissioning and kept until the expiration of the 24 months of the after- sale service and warranty period. Within </x:v>
      </x:c>
      <x:c r="J2784" s="43" t="str">
        <x:v>자동추출·검토필요</x:v>
      </x:c>
    </x:row>
    <x:row r="2785">
      <x:c r="A2785" s="43" t="str">
        <x:v>L2021-00018-1</x:v>
      </x:c>
      <x:c r="B2785" s="43" t="str">
        <x:v>기간</x:v>
      </x:c>
      <x:c r="C2785" s="46" t="str">
        <x:v>duration, months</x:v>
      </x:c>
      <x:c r="D2785" s="46" t="str"/>
      <x:c r="E2785" s="46" t="str"/>
      <x:c r="F2785" s="46" t="str">
        <x:v>60% | 40% | 70%</x:v>
      </x:c>
      <x:c r="G2785" s="46" t="str">
        <x:v>L2021-00018-1/1. RFP 023 2020 - Tender Document and Annexes_ ANCCESS PROJECT.pdf</x:v>
      </x:c>
      <x:c r="H2785" s="43" t="str">
        <x:v>페이지 24</x:v>
      </x:c>
      <x:c r="I2785" s="46" t="str">
        <x:v>36 proposals respectivelyCombined Scoring Method, using the 60%- 40% distribution for technical and financial proposals respectively The minimum technical score required to pass is 70%. To be noted that Eligibility for components will be evaluated on Pass/Fail basis. If minimum criteria are met in conformity with Section 5 Terms of Reference-III Approach and Methodology, V Technical Specifications for off-grid solar power plants components, the evaluation will be a Pass. Hence, for the components there isn´t any scoring allocated. It will be evaluated ONLY on a PASS/FAIL basis. Annex-6 Technical evaluation form will be used as a minimum compliance check of all components of the PV grid system. 19 31 Due Diligent As part of post qualification, UNDP will conduct capacity verification and validation to a proposer who already awarded one UNDP Contract. UNDP will also check the credit rating of recommended proposer from Dunn &amp; Bradstreet or equivalent and will award the contract only if the proposer has capacity to implement more than one contracts and has satisfactory result on the credit rating. 20 Expected date for September 15, 2021 commencement of Contract 21 Maximum expected 970 d</x:v>
      </x:c>
      <x:c r="J2785" s="43" t="str">
        <x:v>자동추출·검토필요</x:v>
      </x:c>
    </x:row>
    <x:row r="2786">
      <x:c r="A2786" s="43" t="str">
        <x:v>L2021-00018-1</x:v>
      </x:c>
      <x:c r="B2786" s="43" t="str">
        <x:v>기간</x:v>
      </x:c>
      <x:c r="C2786" s="46" t="str">
        <x:v>months</x:v>
      </x:c>
      <x:c r="D2786" s="46" t="str"/>
      <x:c r="E2786" s="46" t="str"/>
      <x:c r="F2786" s="46" t="str">
        <x:v>30%</x:v>
      </x:c>
      <x:c r="G2786" s="46" t="str">
        <x:v>L2021-00018-1/1. RFP 023 2020 - Tender Document and Annexes_ ANCCESS PROJECT.pdf</x:v>
      </x:c>
      <x:c r="H2786" s="43" t="str">
        <x:v>페이지 39</x:v>
      </x:c>
      <x:c r="I2786" s="46" t="str">
        <x:v>providing sustainable access to clean water and lighting. This Output 2 will be conducted under separate procurement process. At the end of the project, with minimum 30% of women as direct beneficiaries and in compliance with social- environmental safeguards, ACCESS is expected to result in access to electricity to at least 20,000 people in Indonesia and Timor-Leste, and access to water to 3,500 people in Timor-Leste from the total installation of about 1.2 Mega Watt decentralized solar-PV power plants, improve the technical capacity of 80 local people and enhance the sustainability of built clean energy infrastructure at the village level by establishment of local energy service institutions. B. Specific Objectives The objective of this assignment is to select highly qualified Engineering, Procurement and Construction (EPC) company(s) as Contractor to provide following services in 23 locations for UNDP-ACCESS Project Indonesia: 1. Detail Engineering Design for: a. centralized off-grid solar PV power plants; b. distribution lines; c. household &amp; public infrastructure connections ensuring minimal power generated losses at the end user over time; d. construction works. 2. Procurement</x:v>
      </x:c>
      <x:c r="J2786" s="43" t="str">
        <x:v>자동추출·검토필요</x:v>
      </x:c>
    </x:row>
    <x:row r="2787">
      <x:c r="A2787" s="43" t="str">
        <x:v>L2021-00018-1</x:v>
      </x:c>
      <x:c r="B2787" s="43" t="str">
        <x:v>기간</x:v>
      </x:c>
      <x:c r="C2787" s="46" t="str">
        <x:v>duration</x:v>
      </x:c>
      <x:c r="D2787" s="46" t="str"/>
      <x:c r="E2787" s="46" t="str"/>
      <x:c r="F2787" s="46" t="str">
        <x:v>20%</x:v>
      </x:c>
      <x:c r="G2787" s="46" t="str">
        <x:v>L2021-00018-1/1. RFP 023 2020 - Tender Document and Annexes_ ANCCESS PROJECT.pdf</x:v>
      </x:c>
      <x:c r="H2787" s="43" t="str">
        <x:v>페이지 43</x:v>
      </x:c>
      <x:c r="I2787" s="46" t="str">
        <x:v>Design considerations General Requirement for Design Solar PV Off-Grid Configuration The centralized PV power plant will be designed with battery energy storage system to deliver a reliable electricity services from solar power to the targeted household and commercial users located in remote villages through distribution lines with minimum losses. The configuration of PV power plant will be either DC Coupling or AC Coupling, while the grid distribution will be an AC system. The system must be optimized for each individual location, thus the bidder must propose a tailored system configuration. The low voltage distribution network shall be configured and designed to minimize the line losses and improve the power quality of the grid. The overall grid system design and LV distribution network shall conform to IEC practices and compliant with Indonesian grid and distribution code. Personnel safety and equipment protection during installation, operation and maintenance of power grid as well as distribution system after the completion of the project will be integral part of the design. The bidders shall define in his proposal the required human and equipment safety rules after PV plant co</x:v>
      </x:c>
      <x:c r="J2787" s="43" t="str">
        <x:v>자동추출·검토필요</x:v>
      </x:c>
    </x:row>
    <x:row r="2788">
      <x:c r="A2788" s="43" t="str">
        <x:v>L2021-00018-1</x:v>
      </x:c>
      <x:c r="B2788" s="43" t="str">
        <x:v>기간</x:v>
      </x:c>
      <x:c r="C2788" s="46" t="str">
        <x:v>duration, months</x:v>
      </x:c>
      <x:c r="D2788" s="46" t="str"/>
      <x:c r="E2788" s="46" t="str">
        <x:v>USD 30,000</x:v>
      </x:c>
      <x:c r="F2788" s="46" t="str">
        <x:v>20% | 20%</x:v>
      </x:c>
      <x:c r="G2788" s="46" t="str">
        <x:v>L2021-00018-1/1. RFP 023 2020 - Tender Document and Annexes_ ANCCESS PROJECT.pdf</x:v>
      </x:c>
      <x:c r="H2788" s="43" t="str">
        <x:v>페이지 53</x:v>
      </x:c>
      <x:c r="I2788" s="46" t="str">
        <x:v>IV. DELIVERABLES SCHEDULE The overall implementation of work in all Lots in 23 target locations that include (1) Detailed Engineering Design, (2) Procurement, Construction and commissioning, and (3) Training programme is expected to be completed within 8 months from the Contract signing date, while the provision of after sale service and warranty should be completed in two years from the COD of solar PV power plant (Table 3). The expected duration of the Contract is 32 months. Table 3 Deliverable schedule Deliverables/Outputs Deliverable Schedule 1. Detailed engineering design (DED) of the centralized off-grid solar PV Within 1.5 months from contract power plant system, distribution lines and household connection in signing date selected Lot in ACCESS project target locations (Table 2) approved by UNDP for construction, including social and environmental risk assessment and mitigation measures. 2. Timely procurement, mobilization, construction, commissioning and Within 6.5 months from UNDP’s well performing centralized off-grid solar PV power plant system in approval date of DED selected Lot in the ACCESS project target locations (Table 2), in compliance with social and environment</x:v>
      </x:c>
      <x:c r="J2788" s="43" t="str">
        <x:v>자동추출·검토필요</x:v>
      </x:c>
    </x:row>
    <x:row r="2789">
      <x:c r="A2789" s="43" t="str">
        <x:v>L2021-00018-1</x:v>
      </x:c>
      <x:c r="B2789" s="43" t="str">
        <x:v>기간</x:v>
      </x:c>
      <x:c r="C2789" s="46" t="str">
        <x:v>months</x:v>
      </x:c>
      <x:c r="D2789" s="46" t="str"/>
      <x:c r="E2789" s="46" t="str">
        <x:v>USD 30,000</x:v>
      </x:c>
      <x:c r="F2789" s="46" t="str">
        <x:v>10% | 20% | 60% | 50% | 30% | 100% | 5% | 7.5%</x:v>
      </x:c>
      <x:c r="G2789" s="46" t="str">
        <x:v>L2021-00018-1/1. RFP 023 2020 - Tender Document and Annexes_ ANCCESS PROJECT.pdf</x:v>
      </x:c>
      <x:c r="H2789" s="43" t="str">
        <x:v>페이지 54</x:v>
      </x:c>
      <x:c r="I2789" s="46" t="str">
        <x:v>Guarantee in the full amount of the advance  Detailed Engineering Design and approval for low voltage payment. distribution lines by UNDP  Detailed Engineering Design and approval for household &amp; public infrastructure by UNDP  Detailed Engineering Design and approval for civil construction design by UNDP  Report on social-environmental assessment and risk management plan, and Statement Letter for Environmental Management (Surat Pernyataan Pengelolaan Lingkungan/SPPL) signed by Contractor.  Report on mobilization plan and approval by UNDP. 2nd Payment: 10% of contract upon placement order of components, mobilization of personnel and preparation of civil work. 3rd Payment : 20% upon completion of 60% construction work and evidence of 50% delivery of solar-PV equipment to site/storage. 4th Payment: 30% of contract amount upon completion of 100% construction work, commissioning and issuance of Operational Adequacy Letter (Surat Laik Operasi) 5th Payment:  5% of contract amount upon acceptance of operation and maintenance manual, and completion of training programme;  7.5% of contract amount upon aceptance of manufacturer’s warranty claim procedures and signed first year all-incl</x:v>
      </x:c>
      <x:c r="J2789" s="43" t="str">
        <x:v>자동추출·검토필요</x:v>
      </x:c>
    </x:row>
    <x:row r="2790">
      <x:c r="A2790" s="43" t="str">
        <x:v>L2021-00016-1</x:v>
      </x:c>
      <x:c r="B2790" s="43" t="str">
        <x:v>기간</x:v>
      </x:c>
      <x:c r="C2790" s="46" t="str">
        <x:v>duration, months</x:v>
      </x:c>
      <x:c r="D2790" s="46" t="str">
        <x:v>1,325.32 m2</x:v>
      </x:c>
      <x:c r="E2790" s="46" t="str">
        <x:v>USD 1,022,588</x:v>
      </x:c>
      <x:c r="F2790" s="46" t="str">
        <x:v>2.5%</x:v>
      </x:c>
      <x:c r="G2790" s="46" t="str">
        <x:v>L2021-00016-1/캄보디아 동북부 소외지역 모자보건 프로그램 시공업체 선정 입찰 공고문.pdf</x:v>
      </x:c>
      <x:c r="H2790" s="43" t="str">
        <x:v>페이지 1</x:v>
      </x:c>
      <x:c r="I2790" s="46" t="str">
        <x:v>NOTICE OF TENDER For Construction Work Date: 11th May, 2021 1. The Korea International Cooperation Agency (KOICA) 3. Price proposal shall be equal or less than the ‘Estimat- Cambodia Office invites prospective bidders for the Con- ed Price’ and equal or more than the ‘Minimum Price’. struction of “Project for Strengthening Maternal and Any bid exceeding the above limitation may result in Child Health in North-Eastern Region, Cambodia”. rejection of its bid. 2. The Project is to be constructed with the grant aid of the - ‘Estimated Price’ will be announced at the Bid Opening Government of Republic of Korea by a random draw and ‘Minimum Price’ will be deter- mined based on the announced ‘Estimated Price’. Brief of Bidding - Details of Selection of the Successful Bidder, Eligibil- - Bid Title: Project for Strengthening Maternal and ity Evaluation, Determination of ‘Estimated Price’ and Child Health in North-Eastern Region, Cambodia. ‘Minimum Price’ will be explained during the Pre-Bid - Contract Duration: 13 months from the effective(con- Meeting. tract) date 4. Price proposal by bidders and final contract price shall - Estimated Budget: Approx. USD 1,022,588 (VAT ex- be exclusive of </x:v>
      </x:c>
      <x:c r="J2790" s="43" t="str">
        <x:v>자동추출·검토필요</x:v>
      </x:c>
    </x:row>
    <x:row r="2791">
      <x:c r="A2791" s="43" t="str">
        <x:v>L2021-00012-1</x:v>
      </x:c>
      <x:c r="B2791" s="43" t="str">
        <x:v>기간</x:v>
      </x:c>
      <x:c r="C2791" s="46" t="str">
        <x:v>duration</x:v>
      </x:c>
      <x:c r="D2791" s="46" t="str"/>
      <x:c r="E2791" s="46" t="str"/>
      <x:c r="F2791" s="46" t="str">
        <x:v>2%</x:v>
      </x:c>
      <x:c r="G2791" s="46" t="str">
        <x:v>L2021-00012-1/Bid Documents for Distribution_PKNC final/Chapter 2. Bid Data Sheet_0429.docx</x:v>
      </x:c>
      <x:c r="H2791" s="43" t="str">
        <x:v>문단 33</x:v>
      </x:c>
      <x:c r="I2791" s="46" t="str">
        <x:v>A bid security of two percent (2%) or more of your Bid Price issued by bank or insurance company (guarantee duration shall be over 30 days after deadline for submission of Proposal)</x:v>
      </x:c>
      <x:c r="J2791" s="43" t="str">
        <x:v>자동추출·검토필요</x:v>
      </x:c>
    </x:row>
    <x:row r="2792">
      <x:c r="A2792" s="43" t="str">
        <x:v>L2021-00012-1</x:v>
      </x:c>
      <x:c r="B2792" s="43" t="str">
        <x:v>기간</x:v>
      </x:c>
      <x:c r="C2792" s="46" t="str">
        <x:v>construction period, duration, calendar days</x:v>
      </x:c>
      <x:c r="D2792" s="46" t="str">
        <x:v>3,047 square meters</x:v>
      </x:c>
      <x:c r="E2792" s="46" t="str"/>
      <x:c r="F2792" s="46" t="str">
        <x:v>2%</x:v>
      </x:c>
      <x:c r="G2792" s="46" t="str">
        <x:v>L2021-00012-1/Bid Documents for Distribution_PKNC final/Chapter 6. Terms of Reference for Consultant Services_0429.doc</x:v>
      </x:c>
      <x:c r="H2792" s="43" t="str">
        <x:v>문단 13</x:v>
      </x:c>
      <x:c r="I2792" s="46" t="str">
        <x:v>5.1.3 Design and Construction Document Services A. Preparation of design and other engineering services necessary to bring the work to the construction readiness state for the projects mentioned in the Agreement. B. Preparation of all the developed construction bidding documents including the Drawings, Specifications (technical and general), Bill of Quantities, and Cost Estimate for the construction works including civil engineering works, structural works, architectural works, plumbing, sanitary, and mechanical works, electrical works, information and communication works, firefighting works, and other necessary exterior works, the interior and exterior signage work, planting of the landscape works in accordance with the furnished design criteria. 5.1.4 Considerations for Space Program A. Refer to the Chapter 7. Design Reference with Space Program B. The space program provided by the Employer serves only guidelines for room space needed. Any necessary adjustments to room space need and common space need may be made in consultation with the Construction Manager, Project Management Consultant hired by KOICA and UAF. C. The total space shall not exceed more than 2% of the given space </x:v>
      </x:c>
      <x:c r="J2792" s="43" t="str">
        <x:v>자동추출·검토필요</x:v>
      </x:c>
    </x:row>
    <x:row r="2793">
      <x:c r="A2793" s="43" t="str">
        <x:v>L2021-00011-1</x:v>
      </x:c>
      <x:c r="B2793" s="43" t="str">
        <x:v>기간</x:v>
      </x:c>
      <x:c r="C2793" s="46" t="str">
        <x:v>construction period</x:v>
      </x:c>
      <x:c r="D2793" s="46" t="str"/>
      <x:c r="E2793" s="46" t="str"/>
      <x:c r="F2793" s="46" t="str">
        <x:v>3%</x:v>
      </x:c>
      <x:c r="G2793" s="46" t="str">
        <x:v>L2021-00011-1/영문 서류 일체/Dominica San Juan_0.0_Bidding Guideline(ENG)_2021 0412.docx</x:v>
      </x:c>
      <x:c r="H2793" s="43" t="str">
        <x:v>표 9 행 8</x:v>
      </x:c>
      <x:c r="I2793" s="46" t="str">
        <x:v>Retention /Defect warranty | 3% of Contract price | Guaranteed securities or cash Valid date : 2 years after the end of design service plus 60 days. Carrying out the construction support service duties during the construction period.</x:v>
      </x:c>
      <x:c r="J2793" s="43" t="str">
        <x:v>자동추출·검토필요</x:v>
      </x:c>
    </x:row>
    <x:row r="2794">
      <x:c r="A2794" s="43" t="str">
        <x:v>L2021-00011-1</x:v>
      </x:c>
      <x:c r="B2794" s="43" t="str">
        <x:v>기간</x:v>
      </x:c>
      <x:c r="C2794" s="46" t="str">
        <x:v>construction period</x:v>
      </x:c>
      <x:c r="D2794" s="46" t="str"/>
      <x:c r="E2794" s="46" t="str"/>
      <x:c r="F2794" s="46" t="str">
        <x:v>3%</x:v>
      </x:c>
      <x:c r="G2794" s="46" t="str">
        <x:v>L2021-00011-1/영문 서류 일체/Dominica San Juan_4.0 Terms of Reference_2021 0412.docx</x:v>
      </x:c>
      <x:c r="H2794" s="43" t="str">
        <x:v>표 8 행 6</x:v>
      </x:c>
      <x:c r="I2794" s="46" t="str">
        <x:v>3. Retention /Defect warranty | 3. Retention /Defect warranty | 3% of contract amount | Carrying out the construction support service duties during the construction period.</x:v>
      </x:c>
      <x:c r="J2794" s="43" t="str">
        <x:v>자동추출·검토필요</x:v>
      </x:c>
    </x:row>
    <x:row r="2795">
      <x:c r="A2795" s="43" t="str">
        <x:v>L2021-00005-1</x:v>
      </x:c>
      <x:c r="B2795" s="43" t="str">
        <x:v>기간</x:v>
      </x:c>
      <x:c r="C2795" s="46" t="str">
        <x:v>construction period</x:v>
      </x:c>
      <x:c r="D2795" s="46" t="str"/>
      <x:c r="E2795" s="46" t="str"/>
      <x:c r="F2795" s="46" t="str">
        <x:v>3%</x:v>
      </x:c>
      <x:c r="G2795" s="46" t="str">
        <x:v>L2021-00005-1/붙임2. 입찰 계획서(영문) 및 관련 양식/Bolivia quinoa_0.0_Bidding Guideline(ENG)_2021 0121.docx</x:v>
      </x:c>
      <x:c r="H2795" s="43" t="str">
        <x:v>표 9 행 8</x:v>
      </x:c>
      <x:c r="I2795" s="46" t="str">
        <x:v>Retention Money for Warranty | 3% of Contract price | Guaranteed securities or cash Period of Warranty : Up to Completion of Construction Could not be released if Consultant did not carry out the Construction Consultancy Support duties during the construction period.</x:v>
      </x:c>
      <x:c r="J2795" s="43" t="str">
        <x:v>자동추출·검토필요</x:v>
      </x:c>
    </x:row>
    <x:row r="2796">
      <x:c r="A2796" s="43" t="str">
        <x:v>L2021-00005-1</x:v>
      </x:c>
      <x:c r="B2796" s="43" t="str">
        <x:v>기간</x:v>
      </x:c>
      <x:c r="C2796" s="46" t="str">
        <x:v>construction period</x:v>
      </x:c>
      <x:c r="D2796" s="46" t="str"/>
      <x:c r="E2796" s="46" t="str"/>
      <x:c r="F2796" s="46" t="str">
        <x:v>3%</x:v>
      </x:c>
      <x:c r="G2796" s="46" t="str">
        <x:v>L2021-00005-1/붙임2. 입찰 계획서(영문) 및 관련 양식/Bolivia quinoa_4.0 Terms of Reference_2021 0121.docx</x:v>
      </x:c>
      <x:c r="H2796" s="43" t="str">
        <x:v>표 8 행 6</x:v>
      </x:c>
      <x:c r="I2796" s="46" t="str">
        <x:v>3. Retention | 3. Retention | 3% of contract amount | At completion of construction. Could not be released if the Consultant did not carry out the duties during the construction period</x:v>
      </x:c>
      <x:c r="J2796" s="43" t="str">
        <x:v>자동추출·검토필요</x:v>
      </x:c>
    </x:row>
    <x:row r="2797">
      <x:c r="A2797" s="43" t="str">
        <x:v>L2021-00004-1</x:v>
      </x:c>
      <x:c r="B2797" s="43" t="str">
        <x:v>기간</x:v>
      </x:c>
      <x:c r="C2797" s="46" t="str">
        <x:v>months</x:v>
      </x:c>
      <x:c r="D2797" s="46" t="str">
        <x:v>769 M2 | 279 m2</x:v>
      </x:c>
      <x:c r="E2797" s="46" t="str">
        <x:v>USD 125,000</x:v>
      </x:c>
      <x:c r="F2797" s="46" t="str">
        <x:v>60%</x:v>
      </x:c>
      <x:c r="G2797" s="46" t="str">
        <x:v>L2021-00004-1/1. 설계 및 감리사 선정 영문 RFP.pdf</x:v>
      </x:c>
      <x:c r="H2797" s="43" t="str">
        <x:v>페이지 2</x:v>
      </x:c>
      <x:c r="I2797" s="46" t="str">
        <x:v>1. BID SUMMARY 1. SYNOPSIS Design and Construction Supervision Services of Outreach Center for BIDDING TITLE Empowering Rural Communities in Nepal through an integrated approach to Health and Income Growth Putter/Tanahun District in Province -4 and Hindi / Bhotekoshi Rural LOCATION Municipality Ward 4 (2 Places) - Putter ORC (Total Floor Area : 769M2/2 story) WORK SCALE - Hindi ORC (Total Floor Area : 279 m2/2 story) STRUCTURE Reinforced Concrete(RC) Structure 2. BIDDING TITLE : DESIGN AND CONSTRUCTION SUPERVISION SERVICES 2.1 DESIGN SERVICE 1) Architectural (including signage), Structural, Civil, Electrical, Mechanical, Sanitary, Water Supply, Communication, Firefighting and External works. 2) Survey, Drawing, Specification, BOQ, Calculation for Structure, Mechanical, Electrical and Sanitary and others, Construction Documentations and Bid Documents for the selection of Contractor. 2.2. CONSTRUCTION SUPERVISION SERVICE 2.2.1 Construction Supervision services on Site 2.3. - PROJECT BUDGET [ESTIMATED AMOUNT] : USD 125,000 (Exclude VAT) Note : The respective bid price for the Design or for the Supervision shall not exceed 60% of the total budget for bid announced by KOICA. 2.4 .CONTRA</x:v>
      </x:c>
      <x:c r="J2797" s="43" t="str">
        <x:v>자동추출·검토필요</x:v>
      </x:c>
    </x:row>
    <x:row r="2798">
      <x:c r="A2798" s="43" t="str">
        <x:v>L2021-00004-1</x:v>
      </x:c>
      <x:c r="B2798" s="43" t="str">
        <x:v>기간</x:v>
      </x:c>
      <x:c r="C2798" s="46" t="str">
        <x:v>duration, months</x:v>
      </x:c>
      <x:c r="D2798" s="46" t="str"/>
      <x:c r="E2798" s="46" t="str">
        <x:v>USD 125,000</x:v>
      </x:c>
      <x:c r="F2798" s="46" t="str">
        <x:v>20% | 15% | 30% | 30% | 40% | 3% | 30% | 85%</x:v>
      </x:c>
      <x:c r="G2798" s="46" t="str">
        <x:v>L2021-00004-1/1. 설계 및 감리사 선정 영문 RFP.pdf</x:v>
      </x:c>
      <x:c r="H2798" s="43" t="str">
        <x:v>페이지 5</x:v>
      </x:c>
      <x:c r="I2798" s="46" t="str">
        <x:v>1) Duration for Design is 6 months from the Contract Date. 2) Related Authorities consent is necessary to get within the above duration. 6. SUMMARY OF CONTRACT CONDITIONS DESCRIPTION CONDITION REMARKS TYPE OF CONTRACT Fixed Lump sum PROJECT BUDGET USD 125,000 DESIGN+SUPERVISION /VAT Excluded BID SECURITY NONE Bank Guarantee ADVANCE PAYMENT 20% (Separately –Design/Supervision) ADVANCE PAYMENT BOND Bank Guarantee PERFORMANCE BOND 15% 1) Preliminary Design Phase 30% DESIGN 2) Final Design Phase 30% INTERIM PAYMENT Method 3) BID Document Phase 40% CONSTRUCTION Bimonthly (2Months) SUPERVISION ESCALATION NONE DEFECT LIABILITY BOND 3% Period : 2 Years +60 days 1.25/ 1,000 per day/ LIQUIDATE DAMAGES Max 30% of Contract Price 7. REFUND OF VAT Nepal Government will refund to the consultant, KOICA will make a process for refund of VAT from Nepal Government according to regulations. 8. SELECTION OF SUCCESSFUL BIDDER 1) Eligible bidders are selected by conducting a TECHNICAL PROPOSAL EVALUATION, a bidder who obtains over 85points out of 100 point of technical score is qualified. any technical proposal failing under 85% points will be disqualified and their PRICE PROPOSAL will be disregarded. 2)</x:v>
      </x:c>
      <x:c r="J2798" s="43" t="str">
        <x:v>자동추출·검토필요</x:v>
      </x:c>
    </x:row>
    <x:row r="2799">
      <x:c r="A2799" s="43" t="str">
        <x:v>L2021-00004-1</x:v>
      </x:c>
      <x:c r="B2799" s="43" t="str">
        <x:v>기간</x:v>
      </x:c>
      <x:c r="C2799" s="46" t="str">
        <x:v>months</x:v>
      </x:c>
      <x:c r="D2799" s="46" t="str">
        <x:v>769 M2 | 279 M2</x:v>
      </x:c>
      <x:c r="E2799" s="46" t="str"/>
      <x:c r="F2799" s="46" t="str"/>
      <x:c r="G2799" s="46" t="str">
        <x:v>L2021-00004-1/3. 입찰서류 세트/05_Chapter 5. Invitation to Bid_.docx</x:v>
      </x:c>
      <x:c r="H2799" s="43" t="str">
        <x:v>표 2 행 2</x:v>
      </x:c>
      <x:c r="I2799" s="46" t="str">
        <x:v>Summary of Services | Design and Construction Supervision Consultant Services 1) 2places (Puttar &amp; Hindi) 2) Total floor area: puttar(769 M2)/hindi(279M2) approximately 3) Construction Supervision: 16 &amp; 14 Months</x:v>
      </x:c>
      <x:c r="J2799" s="43" t="str">
        <x:v>자동추출·검토필요</x:v>
      </x:c>
    </x:row>
    <x:row r="2800">
      <x:c r="A2800" s="43" t="str">
        <x:v>L2021-00004-1</x:v>
      </x:c>
      <x:c r="B2800" s="43" t="str">
        <x:v>기간</x:v>
      </x:c>
      <x:c r="C2800" s="46" t="str">
        <x:v>months</x:v>
      </x:c>
      <x:c r="D2800" s="46" t="str"/>
      <x:c r="E2800" s="46" t="str"/>
      <x:c r="F2800" s="46" t="str">
        <x:v>20%</x:v>
      </x:c>
      <x:c r="G2800" s="46" t="str">
        <x:v>L2021-00004-1/3. 입찰서류 세트/Addendum No.3_Contract Data.doc</x:v>
      </x:c>
      <x:c r="H2800" s="43" t="str">
        <x:v>문단 21</x:v>
      </x:c>
      <x:c r="I2800" s="46" t="str">
        <x:v>2) Construction Supervision: Cash Payment based on Bimonthly(2months) by Construction Contractor’s Actual done percent. [20% of reimbursement from payment for advance payment.]</x:v>
      </x:c>
      <x:c r="J2800" s="43" t="str">
        <x:v>자동추출·검토필요</x:v>
      </x:c>
    </x:row>
    <x:row r="2801">
      <x:c r="A2801" s="43" t="str">
        <x:v>L2021-00001-2</x:v>
      </x:c>
      <x:c r="B2801" s="43" t="str">
        <x:v>기간</x:v>
      </x:c>
      <x:c r="C2801" s="46" t="str">
        <x:v>duration</x:v>
      </x:c>
      <x:c r="D2801" s="46" t="str"/>
      <x:c r="E2801" s="46" t="str">
        <x:v>USD 179,490,</x:v>
      </x:c>
      <x:c r="F2801" s="46" t="str"/>
      <x:c r="G2801" s="46" t="str">
        <x:v>L2021-00001-2/붙임 3. 제안요청서 및 입찰서 양식/3-1. Request for Proposal.docx</x:v>
      </x:c>
      <x:c r="H2801" s="43" t="str">
        <x:v>문단 131</x:v>
      </x:c>
      <x:c r="I2801" s="46" t="str">
        <x:v>Bidders shall submit a Bid Security of not less than USD 179,490, and the valid duration of the Bid Security shall be till not less than 30 days after Bid submission deadline.</x:v>
      </x:c>
      <x:c r="J2801" s="43" t="str">
        <x:v>자동추출·검토필요</x:v>
      </x:c>
    </x:row>
    <x:row r="2802">
      <x:c r="A2802" s="44" t="str">
        <x:v>L2021-00001-1</x:v>
      </x:c>
      <x:c r="B2802" s="44" t="str">
        <x:v>기간</x:v>
      </x:c>
      <x:c r="C2802" s="47" t="str">
        <x:v>duration</x:v>
      </x:c>
      <x:c r="D2802" s="47" t="str"/>
      <x:c r="E2802" s="47" t="str">
        <x:v>USD 179,490,</x:v>
      </x:c>
      <x:c r="F2802" s="47" t="str"/>
      <x:c r="G2802" s="47" t="str">
        <x:v>L2021-00001-1/붙임 3. 제안요청서 및 입찰서 양식(영문)/01 Request for Proposal.docx</x:v>
      </x:c>
      <x:c r="H2802" s="44" t="str">
        <x:v>문단 133</x:v>
      </x:c>
      <x:c r="I2802" s="47" t="str">
        <x:v>Bidders shall submit a Bid Security of not less than USD 179,490, and the valid duration of the Bid Security shall be till not less than 30 days after Bid submission deadline.</x:v>
      </x:c>
      <x:c r="J2802" s="44" t="str">
        <x:v>자동추출·검토필요</x:v>
      </x:c>
    </x:row>
  </x:sheetData>
  <x:mergeCells>
    <x:mergeCell ref="A1:J1"/>
  </x:mergeCells>
  <x:pageMargins left="0.7" right="0.7" top="0.75" bottom="0.75" header="0.3" footer="0.3"/>
  <x:tableParts count="1">
    <x:tablePart xmlns:r="http://schemas.openxmlformats.org/officeDocument/2006/relationships" r:id="R5e2963183a8a4f8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7" hidden="0" customWidth="1"/>
    <x:col min="2" max="2" width="50" hidden="0" customWidth="1"/>
    <x:col min="3" max="3" width="12" hidden="0" customWidth="1"/>
    <x:col min="4" max="4" width="15" hidden="0" customWidth="1"/>
    <x:col min="5" max="5" width="14" hidden="0" customWidth="1"/>
    <x:col min="6" max="6" width="68" hidden="0" customWidth="1"/>
    <x:col min="7" max="7" width="72" hidden="0" customWidth="1"/>
    <x:col min="8" max="8" width="18" hidden="0" customWidth="1"/>
  </x:cols>
  <x:sheetData>
    <x:row r="1" ht="30" customHeight="1">
      <x:c r="A1" s="28" t="str">
        <x:v>원 첨부파일 다운로드·무결성 목록</x:v>
      </x:c>
    </x:row>
    <x:row r="2" ht="34" customHeight="1">
      <x:c r="A2" s="35" t="str">
        <x:v>공고번호</x:v>
      </x:c>
      <x:c r="B2" s="36" t="str">
        <x:v>파일명</x:v>
      </x:c>
      <x:c r="C2" s="36" t="str">
        <x:v>확장자</x:v>
      </x:c>
      <x:c r="D2" s="36" t="str">
        <x:v>크기(Byte)</x:v>
      </x:c>
      <x:c r="E2" s="36" t="str">
        <x:v>상태</x:v>
      </x:c>
      <x:c r="F2" s="36" t="str">
        <x:v>SHA-256</x:v>
      </x:c>
      <x:c r="G2" s="36" t="str">
        <x:v>로컬경로</x:v>
      </x:c>
      <x:c r="H2" s="37" t="str">
        <x:v>등록일시</x:v>
      </x:c>
    </x:row>
    <x:row r="3">
      <x:c r="A3" s="42" t="str">
        <x:v>L2025-00108-1</x:v>
      </x:c>
      <x:c r="B3" s="45" t="str">
        <x:v>2025 11월 입찰공고.pdf</x:v>
      </x:c>
      <x:c r="C3" s="42" t="str">
        <x:v>.pdf</x:v>
      </x:c>
      <x:c r="D3" s="60" t="n">
        <x:v>4734567</x:v>
      </x:c>
      <x:c r="E3" s="42" t="str">
        <x:v>downloaded</x:v>
      </x:c>
      <x:c r="F3" s="42" t="str">
        <x:v>732bf01e88490b4528d2e01eeee9283d6d4980911d11738688521bb09a76ca91</x:v>
      </x:c>
      <x:c r="G3" s="45" t="str">
        <x:v>/Users/nomadresearch/Documents/Claude/Projects/koica-construction-tender/data/raw/L2025-00108-1/2025 11월 입찰공고.pdf</x:v>
      </x:c>
      <x:c r="H3" s="42" t="str">
        <x:v>2025-12-02 18:52:50</x:v>
      </x:c>
    </x:row>
    <x:row r="4">
      <x:c r="A4" s="43" t="str">
        <x:v>L2025-00106-1</x:v>
      </x:c>
      <x:c r="B4" s="46" t="str">
        <x:v>실험실 Control office_최종.zip</x:v>
      </x:c>
      <x:c r="C4" s="43" t="str">
        <x:v>.zip</x:v>
      </x:c>
      <x:c r="D4" s="61" t="n">
        <x:v>96742</x:v>
      </x:c>
      <x:c r="E4" s="43" t="str">
        <x:v>downloaded</x:v>
      </x:c>
      <x:c r="F4" s="43" t="str">
        <x:v>1f3ffa686a0e55259eca3419f37599c4f2435894a4a6adf078d143672bc3d54d</x:v>
      </x:c>
      <x:c r="G4" s="46" t="str">
        <x:v>/Users/nomadresearch/Documents/Claude/Projects/koica-construction-tender/data/raw/L2025-00106-1/실험실 Control office_최종.zip</x:v>
      </x:c>
      <x:c r="H4" s="43" t="str">
        <x:v>2025-11-25 18:07:14</x:v>
      </x:c>
    </x:row>
    <x:row r="5">
      <x:c r="A5" s="43" t="str">
        <x:v>L2025-00099-1</x:v>
      </x:c>
      <x:c r="B5" s="46" t="str">
        <x:v>붙임 1. (국문) 입찰추진계획(안).hwp</x:v>
      </x:c>
      <x:c r="C5" s="43" t="str">
        <x:v>.hwp</x:v>
      </x:c>
      <x:c r="D5" s="61" t="n">
        <x:v>376832</x:v>
      </x:c>
      <x:c r="E5" s="43" t="str">
        <x:v>downloaded</x:v>
      </x:c>
      <x:c r="F5" s="43" t="str">
        <x:v>d639c73ef41f22cbf36f68776aeefd1ad920a248013437d4278f81b981211960</x:v>
      </x:c>
      <x:c r="G5" s="46" t="str">
        <x:v>/Users/nomadresearch/Documents/Claude/Projects/koica-construction-tender/data/raw/L2025-00099-1/붙임 1. (국문) 입찰추진계획(안).hwp</x:v>
      </x:c>
      <x:c r="H5" s="43" t="str">
        <x:v>2025-11-13 18:31:15</x:v>
      </x:c>
    </x:row>
    <x:row r="6">
      <x:c r="A6" s="43" t="str">
        <x:v>L2025-00099-1</x:v>
      </x:c>
      <x:c r="B6" s="46" t="str">
        <x:v>KG-2025-11.zip</x:v>
      </x:c>
      <x:c r="C6" s="43" t="str">
        <x:v>.zip</x:v>
      </x:c>
      <x:c r="D6" s="61" t="n">
        <x:v>531988</x:v>
      </x:c>
      <x:c r="E6" s="43" t="str">
        <x:v>downloaded</x:v>
      </x:c>
      <x:c r="F6" s="43" t="str">
        <x:v>a7f28b1f4cd2917e99aca906d3a360f06cac696e4dcce81fea88289925484ac1</x:v>
      </x:c>
      <x:c r="G6" s="46" t="str">
        <x:v>/Users/nomadresearch/Documents/Claude/Projects/koica-construction-tender/data/raw/L2025-00099-1/KG-2025-11.zip</x:v>
      </x:c>
      <x:c r="H6" s="43" t="str">
        <x:v>2025-11-13 18:31:15</x:v>
      </x:c>
    </x:row>
    <x:row r="7">
      <x:c r="A7" s="43" t="str">
        <x:v>L2025-00097-1</x:v>
      </x:c>
      <x:c r="B7" s="46" t="str">
        <x:v>붙임1. 공고내역 (KG-2025-10).zip</x:v>
      </x:c>
      <x:c r="C7" s="43" t="str">
        <x:v>.zip</x:v>
      </x:c>
      <x:c r="D7" s="61" t="n">
        <x:v>16937555</x:v>
      </x:c>
      <x:c r="E7" s="43" t="str">
        <x:v>downloaded</x:v>
      </x:c>
      <x:c r="F7" s="43" t="str">
        <x:v>60fc0df26b638df4ba2e0e0f0e1eb1f7e434865da2f3c07e438434bfae1d00bf</x:v>
      </x:c>
      <x:c r="G7" s="46" t="str">
        <x:v>/Users/nomadresearch/Documents/Claude/Projects/koica-construction-tender/data/raw/L2025-00097-1/붙임1. 공고내역 (KG-2025-10).zip</x:v>
      </x:c>
      <x:c r="H7" s="43" t="str">
        <x:v>2025-10-29 19:46:01</x:v>
      </x:c>
    </x:row>
    <x:row r="8">
      <x:c r="A8" s="43" t="str">
        <x:v>L2025-00094-1</x:v>
      </x:c>
      <x:c r="B8" s="46" t="str">
        <x:v>ReBidding Documents (Guimaras_Design) 1022v2.zip</x:v>
      </x:c>
      <x:c r="C8" s="43" t="str">
        <x:v>.zip</x:v>
      </x:c>
      <x:c r="D8" s="61" t="n">
        <x:v>6224101</x:v>
      </x:c>
      <x:c r="E8" s="43" t="str">
        <x:v>downloaded</x:v>
      </x:c>
      <x:c r="F8" s="43" t="str">
        <x:v>b3f112ec88cbc102054f6ea62f6d28ea0760b8021858a6d290f5ebc1ecfb7359</x:v>
      </x:c>
      <x:c r="G8" s="46" t="str">
        <x:v>/Users/nomadresearch/Documents/Claude/Projects/koica-construction-tender/data/raw/L2025-00094-1/ReBidding Documents (Guimaras_Design) 1022v2.zip</x:v>
      </x:c>
      <x:c r="H8" s="43" t="str">
        <x:v>2025-10-22 10:44:35</x:v>
      </x:c>
    </x:row>
    <x:row r="9">
      <x:c r="A9" s="43" t="str">
        <x:v>L2025-00094-1</x:v>
      </x:c>
      <x:c r="B9" s="46" t="str">
        <x:v>Summary of Rebidding Invitation to Bid 1022.pdf</x:v>
      </x:c>
      <x:c r="C9" s="43" t="str">
        <x:v>.pdf</x:v>
      </x:c>
      <x:c r="D9" s="61" t="n">
        <x:v>1842650</x:v>
      </x:c>
      <x:c r="E9" s="43" t="str">
        <x:v>downloaded</x:v>
      </x:c>
      <x:c r="F9" s="43" t="str">
        <x:v>cec618e8f68989013c581e56a0dfcd62e70d26f637deb16276cfe0974a9b6c34</x:v>
      </x:c>
      <x:c r="G9" s="46" t="str">
        <x:v>/Users/nomadresearch/Documents/Claude/Projects/koica-construction-tender/data/raw/L2025-00094-1/Summary of Rebidding Invitation to Bid 1022.pdf</x:v>
      </x:c>
      <x:c r="H9" s="43" t="str">
        <x:v>2025-10-22 10:44:35</x:v>
      </x:c>
    </x:row>
    <x:row r="10">
      <x:c r="A10" s="43" t="str">
        <x:v>L2025-00087-1</x:v>
      </x:c>
      <x:c r="B10" s="46" t="str">
        <x:v>01. Invitation for Bids_Summary of Bidding.docx</x:v>
      </x:c>
      <x:c r="C10" s="43" t="str">
        <x:v>.docx</x:v>
      </x:c>
      <x:c r="D10" s="61" t="n">
        <x:v>34239</x:v>
      </x:c>
      <x:c r="E10" s="43" t="str">
        <x:v>downloaded</x:v>
      </x:c>
      <x:c r="F10" s="43" t="str">
        <x:v>32a01160d45bf4bad638c85013615b1ac8269dbd6b7e212375f9e92193622609</x:v>
      </x:c>
      <x:c r="G10" s="46" t="str">
        <x:v>/Users/nomadresearch/Documents/Claude/Projects/koica-construction-tender/data/raw/L2025-00087-1/01. Invitation for Bids_Summary of Bidding.docx</x:v>
      </x:c>
      <x:c r="H10" s="43" t="str">
        <x:v>2025-10-10 14:23:21</x:v>
      </x:c>
    </x:row>
    <x:row r="11">
      <x:c r="A11" s="43" t="str">
        <x:v>L2025-00085-1</x:v>
      </x:c>
      <x:c r="B11" s="46" t="str">
        <x:v>붙임1. 이라크 한-이라크 심장병 어린이 전문 병원 현지시공 신규 입찰 계획(안)-최종.hwp</x:v>
      </x:c>
      <x:c r="C11" s="43" t="str">
        <x:v>.hwp</x:v>
      </x:c>
      <x:c r="D11" s="61" t="n">
        <x:v>249344</x:v>
      </x:c>
      <x:c r="E11" s="43" t="str">
        <x:v>downloaded</x:v>
      </x:c>
      <x:c r="F11" s="43" t="str">
        <x:v>bb68ea6de6aa3db162bd305df0bb4820a01b29b7614f94bb63cc1dcf492c57e3</x:v>
      </x:c>
      <x:c r="G11" s="46" t="str">
        <x:v>/Users/nomadresearch/Documents/Claude/Projects/koica-construction-tender/data/raw/L2025-00085-1/붙임1. 이라크 한-이라크 심장병 어린이 전문 병원 현지시공 신규 입찰 계획(안)-최종.hwp</x:v>
      </x:c>
      <x:c r="H11" s="43" t="str">
        <x:v>2025-10-06 14:34:09</x:v>
      </x:c>
    </x:row>
    <x:row r="12">
      <x:c r="A12" s="43" t="str">
        <x:v>L2025-00085-1</x:v>
      </x:c>
      <x:c r="B12" s="46" t="str">
        <x:v>붙임2. 현지입찰(신규입찰) 서류 및 계약서류(안).zip</x:v>
      </x:c>
      <x:c r="C12" s="43" t="str">
        <x:v>.zip</x:v>
      </x:c>
      <x:c r="D12" s="61" t="n">
        <x:v>8300339</x:v>
      </x:c>
      <x:c r="E12" s="43" t="str">
        <x:v>downloaded</x:v>
      </x:c>
      <x:c r="F12" s="43" t="str">
        <x:v>ab4f62fcb5f837ea811c186fba2c9bab732bd60f1f3647b9afe2a597301339db</x:v>
      </x:c>
      <x:c r="G12" s="46" t="str">
        <x:v>/Users/nomadresearch/Documents/Claude/Projects/koica-construction-tender/data/raw/L2025-00085-1/붙임2. 현지입찰(신규입찰) 서류 및 계약서류(안).zip</x:v>
      </x:c>
      <x:c r="H12" s="43" t="str">
        <x:v>2025-10-06 14:34:09</x:v>
      </x:c>
    </x:row>
    <x:row r="13">
      <x:c r="A13" s="43" t="str">
        <x:v>L2025-00084-1</x:v>
      </x:c>
      <x:c r="B13" s="46" t="str">
        <x:v>Section 2 - Bid Data Sheet (EN)_vr8.docx</x:v>
      </x:c>
      <x:c r="C13" s="43" t="str">
        <x:v>.docx</x:v>
      </x:c>
      <x:c r="D13" s="61" t="n">
        <x:v>71214</x:v>
      </x:c>
      <x:c r="E13" s="43" t="str">
        <x:v>downloaded</x:v>
      </x:c>
      <x:c r="F13" s="43" t="str">
        <x:v>917a10f5c6e73781f0075c4e173e1772e794f8869f9f64ccf8739ddc1950b2f6</x:v>
      </x:c>
      <x:c r="G13" s="46" t="str">
        <x:v>/Users/nomadresearch/Documents/Claude/Projects/koica-construction-tender/data/raw/L2025-00084-1/Section 2 - Bid Data Sheet (EN)_vr8.docx</x:v>
      </x:c>
      <x:c r="H13" s="43" t="str">
        <x:v>2025-09-26 21:45:41</x:v>
      </x:c>
    </x:row>
    <x:row r="14">
      <x:c r="A14" s="43" t="str">
        <x:v>L2025-00078-1</x:v>
      </x:c>
      <x:c r="B14" s="46" t="str">
        <x:v>1. 일간지 공고내역.pdf</x:v>
      </x:c>
      <x:c r="C14" s="43" t="str">
        <x:v>.pdf</x:v>
      </x:c>
      <x:c r="D14" s="61" t="n">
        <x:v>1411733</x:v>
      </x:c>
      <x:c r="E14" s="43" t="str">
        <x:v>downloaded</x:v>
      </x:c>
      <x:c r="F14" s="43" t="str">
        <x:v>22fabfe274420bd9429629909a3e805d8044b2486f5dff854e88ac22ff1bfa25</x:v>
      </x:c>
      <x:c r="G14" s="46" t="str">
        <x:v>/Users/nomadresearch/Documents/Claude/Projects/koica-construction-tender/data/raw/L2025-00078-1/1. 일간지 공고내역.pdf</x:v>
      </x:c>
      <x:c r="H14" s="43" t="str">
        <x:v>2025-11-18 23:16:48</x:v>
      </x:c>
    </x:row>
    <x:row r="15">
      <x:c r="A15" s="43" t="str">
        <x:v>L2025-00078-1</x:v>
      </x:c>
      <x:c r="B15" s="46" t="str">
        <x:v>1. 국문 입찰계획서.hwp</x:v>
      </x:c>
      <x:c r="C15" s="43" t="str">
        <x:v>.hwp</x:v>
      </x:c>
      <x:c r="D15" s="61" t="n">
        <x:v>162304</x:v>
      </x:c>
      <x:c r="E15" s="43" t="str">
        <x:v>downloaded</x:v>
      </x:c>
      <x:c r="F15" s="43" t="str">
        <x:v>afd8313639898577af27556a795292c2793fd22ccab676b51a78d3cb27ff10da</x:v>
      </x:c>
      <x:c r="G15" s="46" t="str">
        <x:v>/Users/nomadresearch/Documents/Claude/Projects/koica-construction-tender/data/raw/L2025-00078-1/1. 국문 입찰계획서.hwp</x:v>
      </x:c>
      <x:c r="H15" s="43" t="str">
        <x:v>2025-11-18 23:16:48</x:v>
      </x:c>
    </x:row>
    <x:row r="16">
      <x:c r="A16" s="43" t="str">
        <x:v>L2025-00078-1</x:v>
      </x:c>
      <x:c r="B16" s="46" t="str">
        <x:v>2. (BDS)영문 입찰계획서.docx</x:v>
      </x:c>
      <x:c r="C16" s="43" t="str">
        <x:v>.docx</x:v>
      </x:c>
      <x:c r="D16" s="61" t="n">
        <x:v>68663</x:v>
      </x:c>
      <x:c r="E16" s="43" t="str">
        <x:v>downloaded</x:v>
      </x:c>
      <x:c r="F16" s="43" t="str">
        <x:v>313f3a5ce58e8378ea6fdad5525df55153a827f64083805cfe74436263582b2e</x:v>
      </x:c>
      <x:c r="G16" s="46" t="str">
        <x:v>/Users/nomadresearch/Documents/Claude/Projects/koica-construction-tender/data/raw/L2025-00078-1/2. (BDS)영문 입찰계획서.docx</x:v>
      </x:c>
      <x:c r="H16" s="43" t="str">
        <x:v>2025-11-18 23:16:48</x:v>
      </x:c>
    </x:row>
    <x:row r="17">
      <x:c r="A17" s="43" t="str">
        <x:v>L2025-00075-1</x:v>
      </x:c>
      <x:c r="B17" s="46" t="str">
        <x:v>Summary of Bidding_Invitation to Bid_250913.docx</x:v>
      </x:c>
      <x:c r="C17" s="43" t="str">
        <x:v>.docx</x:v>
      </x:c>
      <x:c r="D17" s="61" t="n">
        <x:v>31039</x:v>
      </x:c>
      <x:c r="E17" s="43" t="str">
        <x:v>downloaded</x:v>
      </x:c>
      <x:c r="F17" s="43" t="str">
        <x:v>2637737f3bd873b493d93d19079202e2f41eca3050b75419df10a7c47f0a3cbe</x:v>
      </x:c>
      <x:c r="G17" s="46" t="str">
        <x:v>/Users/nomadresearch/Documents/Claude/Projects/koica-construction-tender/data/raw/L2025-00075-1/Summary of Bidding_Invitation to Bid_250913.docx</x:v>
      </x:c>
      <x:c r="H17" s="43" t="str">
        <x:v>2025-09-13 09:15:31</x:v>
      </x:c>
    </x:row>
    <x:row r="18">
      <x:c r="A18" s="43" t="str">
        <x:v>L2025-00075-1</x:v>
      </x:c>
      <x:c r="B18" s="46" t="str">
        <x:v>Section 9 - Pledges.zip</x:v>
      </x:c>
      <x:c r="C18" s="43" t="str">
        <x:v>.zip</x:v>
      </x:c>
      <x:c r="D18" s="61" t="n">
        <x:v>68676</x:v>
      </x:c>
      <x:c r="E18" s="43" t="str">
        <x:v>downloaded</x:v>
      </x:c>
      <x:c r="F18" s="43" t="str">
        <x:v>af985e3415ad26dd7a4ebbde90a70b7dde3a79d5951d73755cbd6fd77b6aa32d</x:v>
      </x:c>
      <x:c r="G18" s="46" t="str">
        <x:v>/Users/nomadresearch/Documents/Claude/Projects/koica-construction-tender/data/raw/L2025-00075-1/Section 9 - Pledges.zip</x:v>
      </x:c>
      <x:c r="H18" s="43" t="str">
        <x:v>2025-09-13 09:15:31</x:v>
      </x:c>
    </x:row>
    <x:row r="19">
      <x:c r="A19" s="43" t="str">
        <x:v>L2025-00075-1</x:v>
      </x:c>
      <x:c r="B19" s="46" t="str">
        <x:v>Power of Attorney for the authority to sign and execute contracts.docx</x:v>
      </x:c>
      <x:c r="C19" s="43" t="str">
        <x:v>.docx</x:v>
      </x:c>
      <x:c r="D19" s="61" t="n">
        <x:v>18112</x:v>
      </x:c>
      <x:c r="E19" s="43" t="str">
        <x:v>downloaded</x:v>
      </x:c>
      <x:c r="F19" s="43" t="str">
        <x:v>741c56eddf14a4dc419eb3f7c5d73512a932a90f9466ade011b321b220718a2f</x:v>
      </x:c>
      <x:c r="G19" s="46" t="str">
        <x:v>/Users/nomadresearch/Documents/Claude/Projects/koica-construction-tender/data/raw/L2025-00075-1/Power of Attorney for the authority to sign and execute contracts.docx</x:v>
      </x:c>
      <x:c r="H19" s="43" t="str">
        <x:v>2025-09-13 09:15:31</x:v>
      </x:c>
    </x:row>
    <x:row r="20">
      <x:c r="A20" s="43" t="str">
        <x:v>L2025-00075-1</x:v>
      </x:c>
      <x:c r="B20" s="46" t="str">
        <x:v>Section 1 - Instructions to Bidders (ITB)_fin.docx</x:v>
      </x:c>
      <x:c r="C20" s="43" t="str">
        <x:v>.docx</x:v>
      </x:c>
      <x:c r="D20" s="61" t="n">
        <x:v>35098</x:v>
      </x:c>
      <x:c r="E20" s="43" t="str">
        <x:v>downloaded</x:v>
      </x:c>
      <x:c r="F20" s="43" t="str">
        <x:v>04a0ad92bbc14a8ebab858b7def56f4aca6bea98247ea523985bfad1f3641c1b</x:v>
      </x:c>
      <x:c r="G20" s="46" t="str">
        <x:v>/Users/nomadresearch/Documents/Claude/Projects/koica-construction-tender/data/raw/L2025-00075-1/Section 1 - Instructions to Bidders (ITB)_fin.docx</x:v>
      </x:c>
      <x:c r="H20" s="43" t="str">
        <x:v>2025-09-13 09:15:31</x:v>
      </x:c>
    </x:row>
    <x:row r="21">
      <x:c r="A21" s="43" t="str">
        <x:v>L2025-00075-1</x:v>
      </x:c>
      <x:c r="B21" s="46" t="str">
        <x:v>Section 3 - Bidding Forms_fin.docx</x:v>
      </x:c>
      <x:c r="C21" s="43" t="str">
        <x:v>.docx</x:v>
      </x:c>
      <x:c r="D21" s="61" t="n">
        <x:v>64142</x:v>
      </x:c>
      <x:c r="E21" s="43" t="str">
        <x:v>downloaded</x:v>
      </x:c>
      <x:c r="F21" s="43" t="str">
        <x:v>41ecea64dc6366d6439f75559a3aa7196f3061bb7d7a10820e5ef1da033a43af</x:v>
      </x:c>
      <x:c r="G21" s="46" t="str">
        <x:v>/Users/nomadresearch/Documents/Claude/Projects/koica-construction-tender/data/raw/L2025-00075-1/Section 3 - Bidding Forms_fin.docx</x:v>
      </x:c>
      <x:c r="H21" s="43" t="str">
        <x:v>2025-09-13 09:15:31</x:v>
      </x:c>
    </x:row>
    <x:row r="22">
      <x:c r="A22" s="43" t="str">
        <x:v>L2025-00075-1</x:v>
      </x:c>
      <x:c r="B22" s="46" t="str">
        <x:v>Section 4 - Selection method of successful bidder_fin.docx</x:v>
      </x:c>
      <x:c r="C22" s="43" t="str">
        <x:v>.docx</x:v>
      </x:c>
      <x:c r="D22" s="61" t="n">
        <x:v>43394</x:v>
      </x:c>
      <x:c r="E22" s="43" t="str">
        <x:v>downloaded</x:v>
      </x:c>
      <x:c r="F22" s="43" t="str">
        <x:v>1033c9ed1c9fd82c152b6b9da8598cf5e6e1d038b21edbf662124919c7e11e30</x:v>
      </x:c>
      <x:c r="G22" s="46" t="str">
        <x:v>/Users/nomadresearch/Documents/Claude/Projects/koica-construction-tender/data/raw/L2025-00075-1/Section 4 - Selection method of successful bidder_fin.docx</x:v>
      </x:c>
      <x:c r="H22" s="43" t="str">
        <x:v>2025-09-13 09:15:31</x:v>
      </x:c>
    </x:row>
    <x:row r="23">
      <x:c r="A23" s="43" t="str">
        <x:v>L2025-00075-1</x:v>
      </x:c>
      <x:c r="B23" s="46" t="str">
        <x:v>Section 5 - Request for Proposal (RFP)_Design Service_fin.docx</x:v>
      </x:c>
      <x:c r="C23" s="43" t="str">
        <x:v>.docx</x:v>
      </x:c>
      <x:c r="D23" s="61" t="n">
        <x:v>6199714</x:v>
      </x:c>
      <x:c r="E23" s="43" t="str">
        <x:v>downloaded</x:v>
      </x:c>
      <x:c r="F23" s="43" t="str">
        <x:v>6598dc89bdaf38e8b5d7e09d6b9270584643632351e226a237870622fe0fdb9c</x:v>
      </x:c>
      <x:c r="G23" s="46" t="str">
        <x:v>/Users/nomadresearch/Documents/Claude/Projects/koica-construction-tender/data/raw/L2025-00075-1/Section 5 - Request for Proposal (RFP)_Design Service_fin.docx</x:v>
      </x:c>
      <x:c r="H23" s="43" t="str">
        <x:v>2025-09-13 09:15:31</x:v>
      </x:c>
    </x:row>
    <x:row r="24">
      <x:c r="A24" s="43" t="str">
        <x:v>L2025-00075-1</x:v>
      </x:c>
      <x:c r="B24" s="46" t="str">
        <x:v>Section 6 - General Conditions of Contract_fin.docx</x:v>
      </x:c>
      <x:c r="C24" s="43" t="str">
        <x:v>.docx</x:v>
      </x:c>
      <x:c r="D24" s="61" t="n">
        <x:v>42999</x:v>
      </x:c>
      <x:c r="E24" s="43" t="str">
        <x:v>downloaded</x:v>
      </x:c>
      <x:c r="F24" s="43" t="str">
        <x:v>e6e75d0ee09a632b11a4c7146081abb31fe87e5a7b4dcb669e949444959e00ea</x:v>
      </x:c>
      <x:c r="G24" s="46" t="str">
        <x:v>/Users/nomadresearch/Documents/Claude/Projects/koica-construction-tender/data/raw/L2025-00075-1/Section 6 - General Conditions of Contract_fin.docx</x:v>
      </x:c>
      <x:c r="H24" s="43" t="str">
        <x:v>2025-09-13 09:15:31</x:v>
      </x:c>
    </x:row>
    <x:row r="25">
      <x:c r="A25" s="43" t="str">
        <x:v>L2025-00075-1</x:v>
      </x:c>
      <x:c r="B25" s="46" t="str">
        <x:v>Section 7 - Special Conditions of Contract_fin.docx</x:v>
      </x:c>
      <x:c r="C25" s="43" t="str">
        <x:v>.docx</x:v>
      </x:c>
      <x:c r="D25" s="61" t="n">
        <x:v>43667</x:v>
      </x:c>
      <x:c r="E25" s="43" t="str">
        <x:v>downloaded</x:v>
      </x:c>
      <x:c r="F25" s="43" t="str">
        <x:v>9e57f046f2e1840be7526f0bdcc0089e604494511b118d39d21e1bd4b3c07ab5</x:v>
      </x:c>
      <x:c r="G25" s="46" t="str">
        <x:v>/Users/nomadresearch/Documents/Claude/Projects/koica-construction-tender/data/raw/L2025-00075-1/Section 7 - Special Conditions of Contract_fin.docx</x:v>
      </x:c>
      <x:c r="H25" s="43" t="str">
        <x:v>2025-09-13 09:15:31</x:v>
      </x:c>
    </x:row>
    <x:row r="26">
      <x:c r="A26" s="43" t="str">
        <x:v>L2025-00075-1</x:v>
      </x:c>
      <x:c r="B26" s="46" t="str">
        <x:v>Section 8 - Contract Forms_fin.docx</x:v>
      </x:c>
      <x:c r="C26" s="43" t="str">
        <x:v>.docx</x:v>
      </x:c>
      <x:c r="D26" s="61" t="n">
        <x:v>27821</x:v>
      </x:c>
      <x:c r="E26" s="43" t="str">
        <x:v>downloaded</x:v>
      </x:c>
      <x:c r="F26" s="43" t="str">
        <x:v>c9740972c19c25da3b736b36268da855e3bc8c63e65f0fbaef539de32ece365d</x:v>
      </x:c>
      <x:c r="G26" s="46" t="str">
        <x:v>/Users/nomadresearch/Documents/Claude/Projects/koica-construction-tender/data/raw/L2025-00075-1/Section 8 - Contract Forms_fin.docx</x:v>
      </x:c>
      <x:c r="H26" s="43" t="str">
        <x:v>2025-09-13 09:15:31</x:v>
      </x:c>
    </x:row>
    <x:row r="27">
      <x:c r="A27" s="43" t="str">
        <x:v>L2025-00075-1</x:v>
      </x:c>
      <x:c r="B27" s="46" t="str">
        <x:v>Section 2 - Bid Data Sheet (BDS)_20250913_fin.docx</x:v>
      </x:c>
      <x:c r="C27" s="43" t="str">
        <x:v>.docx</x:v>
      </x:c>
      <x:c r="D27" s="61" t="n">
        <x:v>78715</x:v>
      </x:c>
      <x:c r="E27" s="43" t="str">
        <x:v>downloaded</x:v>
      </x:c>
      <x:c r="F27" s="43" t="str">
        <x:v>06de9497af11d5c02ae901680f1f1bfb388617db825751a17b41f41e40a88c6d</x:v>
      </x:c>
      <x:c r="G27" s="46" t="str">
        <x:v>/Users/nomadresearch/Documents/Claude/Projects/koica-construction-tender/data/raw/L2025-00075-1/Section 2 - Bid Data Sheet (BDS)_20250913_fin.docx</x:v>
      </x:c>
      <x:c r="H27" s="43" t="str">
        <x:v>2025-09-13 10:49:10</x:v>
      </x:c>
    </x:row>
    <x:row r="28">
      <x:c r="A28" s="43" t="str">
        <x:v>L2025-00073-1</x:v>
      </x:c>
      <x:c r="B28" s="46" t="str">
        <x:v>(붙임2) 입찰서류(영문)_도면, 시방서, 프로젝트리포트 제외.zip</x:v>
      </x:c>
      <x:c r="C28" s="43" t="str">
        <x:v>.zip</x:v>
      </x:c>
      <x:c r="D28" s="61" t="n">
        <x:v>1408588</x:v>
      </x:c>
      <x:c r="E28" s="43" t="str">
        <x:v>downloaded</x:v>
      </x:c>
      <x:c r="F28" s="43" t="str">
        <x:v>49800ea8c56518c3ae2b36eea4a4b28209a712362b94aaa4c42c36459fa99984</x:v>
      </x:c>
      <x:c r="G28" s="46" t="str">
        <x:v>/Users/nomadresearch/Documents/Claude/Projects/koica-construction-tender/data/raw/L2025-00073-1/(붙임2) 입찰서류(영문)_도면, 시방서, 프로젝트리포트 제외.zip</x:v>
      </x:c>
      <x:c r="H28" s="43" t="str">
        <x:v>2025-09-09 18:27:57</x:v>
      </x:c>
    </x:row>
    <x:row r="29">
      <x:c r="A29" s="43" t="str">
        <x:v>L2025-00073-1</x:v>
      </x:c>
      <x:c r="B29" s="46" t="str">
        <x:v>(붙임1) 입찰공고문(국문).pdf</x:v>
      </x:c>
      <x:c r="C29" s="43" t="str">
        <x:v>.pdf</x:v>
      </x:c>
      <x:c r="D29" s="61" t="n">
        <x:v>270250</x:v>
      </x:c>
      <x:c r="E29" s="43" t="str">
        <x:v>downloaded</x:v>
      </x:c>
      <x:c r="F29" s="43" t="str">
        <x:v>07e2a7fb7a2d149f03323362f53586bbb01064e8ad673a80a403f881ff7cc746</x:v>
      </x:c>
      <x:c r="G29" s="46" t="str">
        <x:v>/Users/nomadresearch/Documents/Claude/Projects/koica-construction-tender/data/raw/L2025-00073-1/(붙임1) 입찰공고문(국문).pdf</x:v>
      </x:c>
      <x:c r="H29" s="43" t="str">
        <x:v>2025-09-11 15:46:16</x:v>
      </x:c>
    </x:row>
    <x:row r="30">
      <x:c r="A30" s="43" t="str">
        <x:v>L2025-00071-1</x:v>
      </x:c>
      <x:c r="B30" s="46" t="str">
        <x:v>붙임2. 현지입찰(재공고입찰) 서류 및 계약서류(안).zip</x:v>
      </x:c>
      <x:c r="C30" s="43" t="str">
        <x:v>.zip</x:v>
      </x:c>
      <x:c r="D30" s="61" t="n">
        <x:v>8311530</x:v>
      </x:c>
      <x:c r="E30" s="43" t="str">
        <x:v>downloaded</x:v>
      </x:c>
      <x:c r="F30" s="43" t="str">
        <x:v>f0fd559321612a7e8f6e2acf478b95b53e248298cf07b2129be685e3974a15aa</x:v>
      </x:c>
      <x:c r="G30" s="46" t="str">
        <x:v>/Users/nomadresearch/Documents/Claude/Projects/koica-construction-tender/data/raw/L2025-00071-1/붙임2. 현지입찰(재공고입찰) 서류 및 계약서류(안).zip</x:v>
      </x:c>
      <x:c r="H30" s="43" t="str">
        <x:v>2025-09-04 17:10:43</x:v>
      </x:c>
    </x:row>
    <x:row r="31">
      <x:c r="A31" s="43" t="str">
        <x:v>L2025-00070-1</x:v>
      </x:c>
      <x:c r="B31" s="46" t="str">
        <x:v>붙임3. 현지입찰 서류 및 계약서류(안).zip</x:v>
      </x:c>
      <x:c r="C31" s="43" t="str">
        <x:v>.zip</x:v>
      </x:c>
      <x:c r="D31" s="61" t="n">
        <x:v>8767106</x:v>
      </x:c>
      <x:c r="E31" s="43" t="str">
        <x:v>downloaded</x:v>
      </x:c>
      <x:c r="F31" s="43" t="str">
        <x:v>d6aa8b0d5d184d069e6a8bdd01eba3a80bf5ab2e4fb1080fedab07b8737c8e80</x:v>
      </x:c>
      <x:c r="G31" s="46" t="str">
        <x:v>/Users/nomadresearch/Documents/Claude/Projects/koica-construction-tender/data/raw/L2025-00070-1/붙임3. 현지입찰 서류 및 계약서류(안).zip</x:v>
      </x:c>
      <x:c r="H31" s="43" t="str">
        <x:v>2025-09-04 17:09:16</x:v>
      </x:c>
    </x:row>
    <x:row r="32">
      <x:c r="A32" s="43" t="str">
        <x:v>L2025-00068-1</x:v>
      </x:c>
      <x:c r="B32" s="46" t="str">
        <x:v>입찰결과.pdf</x:v>
      </x:c>
      <x:c r="C32" s="43" t="str">
        <x:v>.pdf</x:v>
      </x:c>
      <x:c r="D32" s="61" t="n">
        <x:v>55019</x:v>
      </x:c>
      <x:c r="E32" s="43" t="str">
        <x:v>downloaded</x:v>
      </x:c>
      <x:c r="F32" s="43" t="str">
        <x:v>9130b1d4d093fd93b1932b816a530a565650f68b1484821e7602c21d590b9966</x:v>
      </x:c>
      <x:c r="G32" s="46" t="str">
        <x:v>/Users/nomadresearch/Documents/Claude/Projects/koica-construction-tender/data/raw/L2025-00068-1/입찰결과.pdf</x:v>
      </x:c>
      <x:c r="H32" s="43" t="str">
        <x:v>2025-10-30 05:47:14</x:v>
      </x:c>
    </x:row>
    <x:row r="33">
      <x:c r="A33" s="43" t="str">
        <x:v>L2025-00068-1</x:v>
      </x:c>
      <x:c r="B33" s="46" t="str">
        <x:v>최종 평가(총괄표).xlsx</x:v>
      </x:c>
      <x:c r="C33" s="43" t="str">
        <x:v>.xlsx</x:v>
      </x:c>
      <x:c r="D33" s="61" t="n">
        <x:v>25110</x:v>
      </x:c>
      <x:c r="E33" s="43" t="str">
        <x:v>downloaded</x:v>
      </x:c>
      <x:c r="F33" s="43" t="str">
        <x:v>ce8e431d8490b127b8bc4b7fde14279115a36382c8ddbc5e4eed83c02bf94ac3</x:v>
      </x:c>
      <x:c r="G33" s="46" t="str">
        <x:v>/Users/nomadresearch/Documents/Claude/Projects/koica-construction-tender/data/raw/L2025-00068-1/최종 평가(총괄표).xlsx</x:v>
      </x:c>
      <x:c r="H33" s="43" t="str">
        <x:v>2025-10-30 05:47:14</x:v>
      </x:c>
    </x:row>
    <x:row r="34">
      <x:c r="A34" s="43" t="str">
        <x:v>L2025-00068-1</x:v>
      </x:c>
      <x:c r="B34" s="46" t="str">
        <x:v>Contact History Declaration.pdf</x:v>
      </x:c>
      <x:c r="C34" s="43" t="str">
        <x:v>.pdf</x:v>
      </x:c>
      <x:c r="D34" s="61" t="n">
        <x:v>1798414</x:v>
      </x:c>
      <x:c r="E34" s="43" t="str">
        <x:v>downloaded</x:v>
      </x:c>
      <x:c r="F34" s="43" t="str">
        <x:v>6ae3d4a042ef1a4e0a999dd8feddc1e7ff08142d627fa07a5f08cc89597b72a2</x:v>
      </x:c>
      <x:c r="G34" s="46" t="str">
        <x:v>/Users/nomadresearch/Documents/Claude/Projects/koica-construction-tender/data/raw/L2025-00068-1/Contact History Declaration.pdf</x:v>
      </x:c>
      <x:c r="H34" s="43" t="str">
        <x:v>2025-10-30 05:47:14</x:v>
      </x:c>
    </x:row>
    <x:row r="35">
      <x:c r="A35" s="43" t="str">
        <x:v>L2025-00068-1</x:v>
      </x:c>
      <x:c r="B35" s="46" t="str">
        <x:v>letter of Oath.pdf</x:v>
      </x:c>
      <x:c r="C35" s="43" t="str">
        <x:v>.pdf</x:v>
      </x:c>
      <x:c r="D35" s="61" t="n">
        <x:v>2971318</x:v>
      </x:c>
      <x:c r="E35" s="43" t="str">
        <x:v>downloaded</x:v>
      </x:c>
      <x:c r="F35" s="43" t="str">
        <x:v>255005096cda8010cd081e0b5dc8b9bde337d2bdd1b2c2e513de3d5e51435763</x:v>
      </x:c>
      <x:c r="G35" s="46" t="str">
        <x:v>/Users/nomadresearch/Documents/Claude/Projects/koica-construction-tender/data/raw/L2025-00068-1/letter of Oath.pdf</x:v>
      </x:c>
      <x:c r="H35" s="43" t="str">
        <x:v>2025-10-30 05:47:14</x:v>
      </x:c>
    </x:row>
    <x:row r="36">
      <x:c r="A36" s="43" t="str">
        <x:v>L2025-00066-1</x:v>
      </x:c>
      <x:c r="B36" s="46" t="str">
        <x:v>붙임1. Section 2 - 입찰공고문 (BDS)_파키스탄_물탄_설계_최종.hwp</x:v>
      </x:c>
      <x:c r="C36" s="43" t="str">
        <x:v>.hwp</x:v>
      </x:c>
      <x:c r="D36" s="61" t="n">
        <x:v>78336</x:v>
      </x:c>
      <x:c r="E36" s="43" t="str">
        <x:v>downloaded</x:v>
      </x:c>
      <x:c r="F36" s="43" t="str">
        <x:v>e31a2a3fe5426bf6307fd4d609fa05017d34f0fd3bb152fe90d8e7b21c86610c</x:v>
      </x:c>
      <x:c r="G36" s="46" t="str">
        <x:v>/Users/nomadresearch/Documents/Claude/Projects/koica-construction-tender/data/raw/L2025-00066-1/붙임1. Section 2 - 입찰공고문 (BDS)_파키스탄_물탄_설계_최종.hwp</x:v>
      </x:c>
      <x:c r="H36" s="43" t="str">
        <x:v>2025-08-25 19:43:34</x:v>
      </x:c>
    </x:row>
    <x:row r="37">
      <x:c r="A37" s="43" t="str">
        <x:v>L2025-00066-1</x:v>
      </x:c>
      <x:c r="B37" s="46" t="str">
        <x:v>붙임2. 입찰 부속서류 일체.fin.zip</x:v>
      </x:c>
      <x:c r="C37" s="43" t="str">
        <x:v>.zip</x:v>
      </x:c>
      <x:c r="D37" s="61" t="n">
        <x:v>6227677</x:v>
      </x:c>
      <x:c r="E37" s="43" t="str">
        <x:v>downloaded</x:v>
      </x:c>
      <x:c r="F37" s="43" t="str">
        <x:v>e6a74b6349b27b95b0ca097ea551b02b48e1a9ed0c485132160cb4a09ae74255</x:v>
      </x:c>
      <x:c r="G37" s="46" t="str">
        <x:v>/Users/nomadresearch/Documents/Claude/Projects/koica-construction-tender/data/raw/L2025-00066-1/붙임2. 입찰 부속서류 일체.fin.zip</x:v>
      </x:c>
      <x:c r="H37" s="43" t="str">
        <x:v>2025-08-25 19:43:34</x:v>
      </x:c>
    </x:row>
    <x:row r="38">
      <x:c r="A38" s="43" t="str">
        <x:v>L2025-00063-1</x:v>
      </x:c>
      <x:c r="B38" s="46" t="str">
        <x:v>2. (영문) 현지 입찰공고문.docx</x:v>
      </x:c>
      <x:c r="C38" s="43" t="str">
        <x:v>.docx</x:v>
      </x:c>
      <x:c r="D38" s="61" t="n">
        <x:v>1779758</x:v>
      </x:c>
      <x:c r="E38" s="43" t="str">
        <x:v>downloaded</x:v>
      </x:c>
      <x:c r="F38" s="43" t="str">
        <x:v>d4ef919ed437cf4c4c7d659c283694c1e7009803714374c531b92ef0622b244b</x:v>
      </x:c>
      <x:c r="G38" s="46" t="str">
        <x:v>/Users/nomadresearch/Documents/Claude/Projects/koica-construction-tender/data/raw/L2025-00063-1/2. (영문) 현지 입찰공고문.docx</x:v>
      </x:c>
      <x:c r="H38" s="43" t="str">
        <x:v>2025-08-18 21:00:18</x:v>
      </x:c>
    </x:row>
    <x:row r="39">
      <x:c r="A39" s="43" t="str">
        <x:v>L2025-00063-1</x:v>
      </x:c>
      <x:c r="B39" s="46" t="str">
        <x:v>4. 현지 입찰 안내문(영문)_vF.docx</x:v>
      </x:c>
      <x:c r="C39" s="43" t="str">
        <x:v>.docx</x:v>
      </x:c>
      <x:c r="D39" s="61" t="n">
        <x:v>6403096</x:v>
      </x:c>
      <x:c r="E39" s="43" t="str">
        <x:v>downloaded</x:v>
      </x:c>
      <x:c r="F39" s="43" t="str">
        <x:v>f257d9feafb60a1b673f637401cd9c8220d53032eb11df41c62fc7c3e0ec0c1f</x:v>
      </x:c>
      <x:c r="G39" s="46" t="str">
        <x:v>/Users/nomadresearch/Documents/Claude/Projects/koica-construction-tender/data/raw/L2025-00063-1/4. 현지 입찰 안내문(영문)_vF.docx</x:v>
      </x:c>
      <x:c r="H39" s="43" t="str">
        <x:v>2025-08-18 21:00:18</x:v>
      </x:c>
    </x:row>
    <x:row r="40">
      <x:c r="A40" s="43" t="str">
        <x:v>L2025-00063-1</x:v>
      </x:c>
      <x:c r="B40" s="46" t="str">
        <x:v>5. 현지 입찰 필수 서류(조감도 미포함).zip</x:v>
      </x:c>
      <x:c r="C40" s="43" t="str">
        <x:v>.zip</x:v>
      </x:c>
      <x:c r="D40" s="61" t="n">
        <x:v>9419006</x:v>
      </x:c>
      <x:c r="E40" s="43" t="str">
        <x:v>downloaded</x:v>
      </x:c>
      <x:c r="F40" s="43" t="str">
        <x:v>e13c25a9aac2842cdcf6106df1344cc2e7d57457ff485cd601ab877be9072b1c</x:v>
      </x:c>
      <x:c r="G40" s="46" t="str">
        <x:v>/Users/nomadresearch/Documents/Claude/Projects/koica-construction-tender/data/raw/L2025-00063-1/5. 현지 입찰 필수 서류(조감도 미포함).zip</x:v>
      </x:c>
      <x:c r="H40" s="43" t="str">
        <x:v>2025-08-18 21:00:18</x:v>
      </x:c>
    </x:row>
    <x:row r="41">
      <x:c r="A41" s="43" t="str">
        <x:v>L2025-00062-1</x:v>
      </x:c>
      <x:c r="B41" s="46" t="str">
        <x:v>1-2. 입찰공고문(영문)_시범농장 신축.docx</x:v>
      </x:c>
      <x:c r="C41" s="43" t="str">
        <x:v>.docx</x:v>
      </x:c>
      <x:c r="D41" s="61" t="n">
        <x:v>72366</x:v>
      </x:c>
      <x:c r="E41" s="43" t="str">
        <x:v>downloaded</x:v>
      </x:c>
      <x:c r="F41" s="43" t="str">
        <x:v>0d6293c9b5890b5582f91fddf1faadcada39464d9029d50857d42d41d37081fb</x:v>
      </x:c>
      <x:c r="G41" s="46" t="str">
        <x:v>/Users/nomadresearch/Documents/Claude/Projects/koica-construction-tender/data/raw/L2025-00062-1/1-2. 입찰공고문(영문)_시범농장 신축.docx</x:v>
      </x:c>
      <x:c r="H41" s="43" t="str">
        <x:v>2025-08-18 15:23:05</x:v>
      </x:c>
    </x:row>
    <x:row r="42">
      <x:c r="A42" s="43" t="str">
        <x:v>L2025-00062-1</x:v>
      </x:c>
      <x:c r="B42" s="46" t="str">
        <x:v>붙임 2. 입찰 첨부서류 각 1부(Part II 제외).zip</x:v>
      </x:c>
      <x:c r="C42" s="43" t="str">
        <x:v>.zip</x:v>
      </x:c>
      <x:c r="D42" s="61" t="n">
        <x:v>1753840</x:v>
      </x:c>
      <x:c r="E42" s="43" t="str">
        <x:v>downloaded</x:v>
      </x:c>
      <x:c r="F42" s="43" t="str">
        <x:v>e8d1ab37c163c39452b7f8f0e635ebcb91add725e80ad29321b893308a149605</x:v>
      </x:c>
      <x:c r="G42" s="46" t="str">
        <x:v>/Users/nomadresearch/Documents/Claude/Projects/koica-construction-tender/data/raw/L2025-00062-1/붙임 2. 입찰 첨부서류 각 1부(Part II 제외).zip</x:v>
      </x:c>
      <x:c r="H42" s="43" t="str">
        <x:v>2025-08-18 15:23:05</x:v>
      </x:c>
    </x:row>
    <x:row r="43">
      <x:c r="A43" s="43" t="str">
        <x:v>L2025-00062-1</x:v>
      </x:c>
      <x:c r="B43" s="46" t="str">
        <x:v>붙임 3. 우간다 조달청(PPDA) 관련 규정.zip</x:v>
      </x:c>
      <x:c r="C43" s="43" t="str">
        <x:v>.zip</x:v>
      </x:c>
      <x:c r="D43" s="61" t="n">
        <x:v>1316818</x:v>
      </x:c>
      <x:c r="E43" s="43" t="str">
        <x:v>downloaded</x:v>
      </x:c>
      <x:c r="F43" s="43" t="str">
        <x:v>9de3946bb7383887bb63f05b38e5988946a88d31a543e6db0d4ac14f5f5d6517</x:v>
      </x:c>
      <x:c r="G43" s="46" t="str">
        <x:v>/Users/nomadresearch/Documents/Claude/Projects/koica-construction-tender/data/raw/L2025-00062-1/붙임 3. 우간다 조달청(PPDA) 관련 규정.zip</x:v>
      </x:c>
      <x:c r="H43" s="43" t="str">
        <x:v>2025-08-18 15:23:05</x:v>
      </x:c>
    </x:row>
    <x:row r="44">
      <x:c r="A44" s="43" t="str">
        <x:v>L2025-00060-1</x:v>
      </x:c>
      <x:c r="B44" s="46" t="str">
        <x:v>(붙임 1) (국문) 입찰서류_코트디부아르 부아케 설계 및 감리 용역_최종.hwp</x:v>
      </x:c>
      <x:c r="C44" s="43" t="str">
        <x:v>.hwp</x:v>
      </x:c>
      <x:c r="D44" s="61" t="n">
        <x:v>79872</x:v>
      </x:c>
      <x:c r="E44" s="43" t="str">
        <x:v>downloaded</x:v>
      </x:c>
      <x:c r="F44" s="43" t="str">
        <x:v>0b2de28ac00b8efd831b7e421e524da7bc8d3eac63a7aa1f49f3c0f45f69192c</x:v>
      </x:c>
      <x:c r="G44" s="46" t="str">
        <x:v>/Users/nomadresearch/Documents/Claude/Projects/koica-construction-tender/data/raw/L2025-00060-1/(붙임 1) (국문) 입찰서류_코트디부아르 부아케 설계 및 감리 용역_최종.hwp</x:v>
      </x:c>
      <x:c r="H44" s="43" t="str">
        <x:v>2025-08-05 19:05:02</x:v>
      </x:c>
    </x:row>
    <x:row r="45">
      <x:c r="A45" s="43" t="str">
        <x:v>L2025-00060-1</x:v>
      </x:c>
      <x:c r="B45" s="46" t="str">
        <x:v>(붙임 2) (영문) 입찰서류_코트디부아르 부아케 설계 및 감리 용역_최종.zip</x:v>
      </x:c>
      <x:c r="C45" s="43" t="str">
        <x:v>.zip</x:v>
      </x:c>
      <x:c r="D45" s="61" t="n">
        <x:v>4365186</x:v>
      </x:c>
      <x:c r="E45" s="43" t="str">
        <x:v>downloaded</x:v>
      </x:c>
      <x:c r="F45" s="43" t="str">
        <x:v>a1ba29a92fa6ae5a9a59df352425bc86753cb8580c2e63186e70fe7607754c95</x:v>
      </x:c>
      <x:c r="G45" s="46" t="str">
        <x:v>/Users/nomadresearch/Documents/Claude/Projects/koica-construction-tender/data/raw/L2025-00060-1/(붙임 2) (영문) 입찰서류_코트디부아르 부아케 설계 및 감리 용역_최종.zip</x:v>
      </x:c>
      <x:c r="H45" s="43" t="str">
        <x:v>2025-08-05 19:05:02</x:v>
      </x:c>
    </x:row>
    <x:row r="46">
      <x:c r="A46" s="43" t="str">
        <x:v>L2025-00058-1</x:v>
      </x:c>
      <x:c r="B46" s="46" t="str">
        <x:v>(붙임1) 공고내역 (KG_2025_07).zip</x:v>
      </x:c>
      <x:c r="C46" s="43" t="str">
        <x:v>.zip</x:v>
      </x:c>
      <x:c r="D46" s="61" t="n">
        <x:v>6239427</x:v>
      </x:c>
      <x:c r="E46" s="43" t="str">
        <x:v>downloaded</x:v>
      </x:c>
      <x:c r="F46" s="43" t="str">
        <x:v>bd6a1ec24c6a6e1ca9bf0bd49c487962ab11dea3e56cfef19a4203b07b7bbb4c</x:v>
      </x:c>
      <x:c r="G46" s="46" t="str">
        <x:v>/Users/nomadresearch/Documents/Claude/Projects/koica-construction-tender/data/raw/L2025-00058-1/(붙임1) 공고내역 (KG_2025_07).zip</x:v>
      </x:c>
      <x:c r="H46" s="43" t="str">
        <x:v>2025-08-05 20:45:46</x:v>
      </x:c>
    </x:row>
    <x:row r="47">
      <x:c r="A47" s="43" t="str">
        <x:v>L2025-00058-1</x:v>
      </x:c>
      <x:c r="B47" s="46" t="str">
        <x:v>(붙임2) 입찰 공고 내역_링크.docx</x:v>
      </x:c>
      <x:c r="C47" s="43" t="str">
        <x:v>.docx</x:v>
      </x:c>
      <x:c r="D47" s="61" t="n">
        <x:v>9809</x:v>
      </x:c>
      <x:c r="E47" s="43" t="str">
        <x:v>downloaded</x:v>
      </x:c>
      <x:c r="F47" s="43" t="str">
        <x:v>7ba8fc4f74577ed7c5811a43b29b7d10eca1e7e9ab8eacbeafe43ef1b7702c71</x:v>
      </x:c>
      <x:c r="G47" s="46" t="str">
        <x:v>/Users/nomadresearch/Documents/Claude/Projects/koica-construction-tender/data/raw/L2025-00058-1/(붙임2) 입찰 공고 내역_링크.docx</x:v>
      </x:c>
      <x:c r="H47" s="43" t="str">
        <x:v>2025-08-05 20:45:46</x:v>
      </x:c>
    </x:row>
    <x:row r="48">
      <x:c r="A48" s="43" t="str">
        <x:v>L2025-00056-1</x:v>
      </x:c>
      <x:c r="B48" s="46" t="str">
        <x:v>1. 입찰참가 자격서류 제출내역 점검표.pdf</x:v>
      </x:c>
      <x:c r="C48" s="43" t="str">
        <x:v>.pdf</x:v>
      </x:c>
      <x:c r="D48" s="61" t="n">
        <x:v>154898</x:v>
      </x:c>
      <x:c r="E48" s="43" t="str">
        <x:v>downloaded</x:v>
      </x:c>
      <x:c r="F48" s="43" t="str">
        <x:v>40b7a5a429594d50767ae717c57b6888bdb276345ddef82d0ecc080648cf63cc</x:v>
      </x:c>
      <x:c r="G48" s="46" t="str">
        <x:v>/Users/nomadresearch/Documents/Claude/Projects/koica-construction-tender/data/raw/L2025-00056-1/1. 입찰참가 자격서류 제출내역 점검표.pdf</x:v>
      </x:c>
      <x:c r="H48" s="43" t="str">
        <x:v>2025-08-19 17:21:07</x:v>
      </x:c>
    </x:row>
    <x:row r="49">
      <x:c r="A49" s="43" t="str">
        <x:v>L2025-00056-1</x:v>
      </x:c>
      <x:c r="B49" s="46" t="str">
        <x:v>1-Y.S.W(CAMBODIA) CO.,LTD.zip</x:v>
      </x:c>
      <x:c r="C49" s="43" t="str">
        <x:v>.zip</x:v>
      </x:c>
      <x:c r="D49" s="61" t="n">
        <x:v>4713616</x:v>
      </x:c>
      <x:c r="E49" s="43" t="str">
        <x:v>downloaded</x:v>
      </x:c>
      <x:c r="F49" s="43" t="str">
        <x:v>116f805ff03dbd95be67a53e7579505bf1bff1b0ae240247f3814491f9d7054c</x:v>
      </x:c>
      <x:c r="G49" s="46" t="str">
        <x:v>/Users/nomadresearch/Documents/Claude/Projects/koica-construction-tender/data/raw/L2025-00056-1/1-Y.S.W(CAMBODIA) CO.,LTD.zip</x:v>
      </x:c>
      <x:c r="H49" s="43" t="str">
        <x:v>2025-08-19 17:21:07</x:v>
      </x:c>
    </x:row>
    <x:row r="50">
      <x:c r="A50" s="43" t="str">
        <x:v>L2025-00056-1</x:v>
      </x:c>
      <x:c r="B50" s="46" t="str">
        <x:v>7-Koolen Alpha Co.LTD.zip</x:v>
      </x:c>
      <x:c r="C50" s="43" t="str">
        <x:v>.zip</x:v>
      </x:c>
      <x:c r="D50" s="61" t="n">
        <x:v>17955460</x:v>
      </x:c>
      <x:c r="E50" s="43" t="str">
        <x:v>downloaded</x:v>
      </x:c>
      <x:c r="F50" s="43" t="str">
        <x:v>82ec55dcaa5d03ba6ac540308ffa598fd66ff355d5260ccf1b18b702343741d4</x:v>
      </x:c>
      <x:c r="G50" s="46" t="str">
        <x:v>/Users/nomadresearch/Documents/Claude/Projects/koica-construction-tender/data/raw/L2025-00056-1/7-Koolen Alpha Co.LTD.zip</x:v>
      </x:c>
      <x:c r="H50" s="43" t="str">
        <x:v>2025-08-19 17:21:07</x:v>
      </x:c>
    </x:row>
    <x:row r="51">
      <x:c r="A51" s="43" t="str">
        <x:v>L2025-00056-1</x:v>
      </x:c>
      <x:c r="B51" s="46" t="str">
        <x:v>6-Dan_s Build.zip</x:v>
      </x:c>
      <x:c r="C51" s="43" t="str">
        <x:v>.zip</x:v>
      </x:c>
      <x:c r="D51" s="61" t="n">
        <x:v>3187841</x:v>
      </x:c>
      <x:c r="E51" s="43" t="str">
        <x:v>downloaded</x:v>
      </x:c>
      <x:c r="F51" s="43" t="str">
        <x:v>dba02bc5b130d6bbfa057c00ef831012067a90ee6b05af587199d9b3acc3c4b7</x:v>
      </x:c>
      <x:c r="G51" s="46" t="str">
        <x:v>/Users/nomadresearch/Documents/Claude/Projects/koica-construction-tender/data/raw/L2025-00056-1/6-Dan_s Build.zip</x:v>
      </x:c>
      <x:c r="H51" s="43" t="str">
        <x:v>2025-08-19 17:21:07</x:v>
      </x:c>
    </x:row>
    <x:row r="52">
      <x:c r="A52" s="43" t="str">
        <x:v>L2025-00056-1</x:v>
      </x:c>
      <x:c r="B52" s="46" t="str">
        <x:v>5-Dai Phu Thinh.zip</x:v>
      </x:c>
      <x:c r="C52" s="43" t="str">
        <x:v>.zip</x:v>
      </x:c>
      <x:c r="D52" s="61" t="n">
        <x:v>8300650</x:v>
      </x:c>
      <x:c r="E52" s="43" t="str">
        <x:v>downloaded</x:v>
      </x:c>
      <x:c r="F52" s="43" t="str">
        <x:v>3a19753ffff0cd49d77efd91961f26e6ac4f37c1a4d4b5edbed92b438bc160dc</x:v>
      </x:c>
      <x:c r="G52" s="46" t="str">
        <x:v>/Users/nomadresearch/Documents/Claude/Projects/koica-construction-tender/data/raw/L2025-00056-1/5-Dai Phu Thinh.zip</x:v>
      </x:c>
      <x:c r="H52" s="43" t="str">
        <x:v>2025-08-19 17:21:07</x:v>
      </x:c>
    </x:row>
    <x:row r="53">
      <x:c r="A53" s="43" t="str">
        <x:v>L2025-00056-1</x:v>
      </x:c>
      <x:c r="B53" s="46" t="str">
        <x:v>4-PCF.zip</x:v>
      </x:c>
      <x:c r="C53" s="43" t="str">
        <x:v>.zip</x:v>
      </x:c>
      <x:c r="D53" s="61" t="n">
        <x:v>1709598</x:v>
      </x:c>
      <x:c r="E53" s="43" t="str">
        <x:v>downloaded</x:v>
      </x:c>
      <x:c r="F53" s="43" t="str">
        <x:v>7a0b64048867f27e4ea7cda827e55e0525a740d9112919c601d9fd78080d1dc5</x:v>
      </x:c>
      <x:c r="G53" s="46" t="str">
        <x:v>/Users/nomadresearch/Documents/Claude/Projects/koica-construction-tender/data/raw/L2025-00056-1/4-PCF.zip</x:v>
      </x:c>
      <x:c r="H53" s="43" t="str">
        <x:v>2025-08-19 17:21:07</x:v>
      </x:c>
    </x:row>
    <x:row r="54">
      <x:c r="A54" s="43" t="str">
        <x:v>L2025-00056-1</x:v>
      </x:c>
      <x:c r="B54" s="46" t="str">
        <x:v>3-Professional Engineering Plus.zip</x:v>
      </x:c>
      <x:c r="C54" s="43" t="str">
        <x:v>.zip</x:v>
      </x:c>
      <x:c r="D54" s="61" t="n">
        <x:v>4404748</x:v>
      </x:c>
      <x:c r="E54" s="43" t="str">
        <x:v>downloaded</x:v>
      </x:c>
      <x:c r="F54" s="43" t="str">
        <x:v>98becde68c9b37a2127bfb9999041eab270deb8e58181693c851d1ae3fbab6ba</x:v>
      </x:c>
      <x:c r="G54" s="46" t="str">
        <x:v>/Users/nomadresearch/Documents/Claude/Projects/koica-construction-tender/data/raw/L2025-00056-1/3-Professional Engineering Plus.zip</x:v>
      </x:c>
      <x:c r="H54" s="43" t="str">
        <x:v>2025-08-19 17:21:07</x:v>
      </x:c>
    </x:row>
    <x:row r="55">
      <x:c r="A55" s="43" t="str">
        <x:v>L2025-00056-1</x:v>
      </x:c>
      <x:c r="B55" s="46" t="str">
        <x:v>2-CACPM.zip</x:v>
      </x:c>
      <x:c r="C55" s="43" t="str">
        <x:v>.zip</x:v>
      </x:c>
      <x:c r="D55" s="61" t="n">
        <x:v>9964004</x:v>
      </x:c>
      <x:c r="E55" s="43" t="str">
        <x:v>downloaded</x:v>
      </x:c>
      <x:c r="F55" s="43" t="str">
        <x:v>1a11bdf529c40eff868fdbe28078087a05162adf498112fcbcb2dff61a94a380</x:v>
      </x:c>
      <x:c r="G55" s="46" t="str">
        <x:v>/Users/nomadresearch/Documents/Claude/Projects/koica-construction-tender/data/raw/L2025-00056-1/2-CACPM.zip</x:v>
      </x:c>
      <x:c r="H55" s="43" t="str">
        <x:v>2025-08-19 17:21:07</x:v>
      </x:c>
    </x:row>
    <x:row r="56">
      <x:c r="A56" s="43" t="str">
        <x:v>L2025-00054-1</x:v>
      </x:c>
      <x:c r="B56" s="46" t="str">
        <x:v>(붙임1) 공고내역_Bid_Document_Digitalization_of_the_Parliament_KG_2025_05 (2).zip</x:v>
      </x:c>
      <x:c r="C56" s="43" t="str">
        <x:v>.zip</x:v>
      </x:c>
      <x:c r="D56" s="61" t="n">
        <x:v>6251612</x:v>
      </x:c>
      <x:c r="E56" s="43" t="str">
        <x:v>downloaded</x:v>
      </x:c>
      <x:c r="F56" s="43" t="str">
        <x:v>afbf7ca97246cb1c43b29a6b7850114ea9f105eeb1fdef3288dcabd7ed59f87e</x:v>
      </x:c>
      <x:c r="G56" s="46" t="str">
        <x:v>/Users/nomadresearch/Documents/Claude/Projects/koica-construction-tender/data/raw/L2025-00054-1/(붙임1) 공고내역_Bid_Document_Digitalization_of_the_Parliament_KG_2025_05 (2).zip</x:v>
      </x:c>
      <x:c r="H56" s="43" t="str">
        <x:v>2025-07-25 12:57:16</x:v>
      </x:c>
    </x:row>
    <x:row r="57">
      <x:c r="A57" s="43" t="str">
        <x:v>L2025-00053-1</x:v>
      </x:c>
      <x:c r="B57" s="46" t="str">
        <x:v>3. 현지입찰 제반서류 각1부.zip</x:v>
      </x:c>
      <x:c r="C57" s="43" t="str">
        <x:v>.zip</x:v>
      </x:c>
      <x:c r="D57" s="61" t="n">
        <x:v>13087379</x:v>
      </x:c>
      <x:c r="E57" s="43" t="str">
        <x:v>downloaded</x:v>
      </x:c>
      <x:c r="F57" s="43" t="str">
        <x:v>86452a4c32075991fc8eaeba59f7353556e1b2cf4ff226213303b1fdb595ac2a</x:v>
      </x:c>
      <x:c r="G57" s="46" t="str">
        <x:v>/Users/nomadresearch/Documents/Claude/Projects/koica-construction-tender/data/raw/L2025-00053-1/3. 현지입찰 제반서류 각1부.zip</x:v>
      </x:c>
      <x:c r="H57" s="43" t="str">
        <x:v>2025-07-17 21:17:15</x:v>
      </x:c>
    </x:row>
    <x:row r="58">
      <x:c r="A58" s="43" t="str">
        <x:v>L2025-00053-1</x:v>
      </x:c>
      <x:c r="B58" s="46" t="str">
        <x:v>2-2. Summary of Bidding (요약본)_TZ Zanzibar project(Draft).docx</x:v>
      </x:c>
      <x:c r="C58" s="43" t="str">
        <x:v>.docx</x:v>
      </x:c>
      <x:c r="D58" s="61" t="n">
        <x:v>35381</x:v>
      </x:c>
      <x:c r="E58" s="43" t="str">
        <x:v>downloaded</x:v>
      </x:c>
      <x:c r="F58" s="43" t="str">
        <x:v>b01d8d8aeb2ad503190f6878e0398db5bd1727f794651ef9410b5cc7edad05e0</x:v>
      </x:c>
      <x:c r="G58" s="46" t="str">
        <x:v>/Users/nomadresearch/Documents/Claude/Projects/koica-construction-tender/data/raw/L2025-00053-1/2-2. Summary of Bidding (요약본)_TZ Zanzibar project(Draft).docx</x:v>
      </x:c>
      <x:c r="H58" s="43" t="str">
        <x:v>2025-07-17 21:17:15</x:v>
      </x:c>
    </x:row>
    <x:row r="59">
      <x:c r="A59" s="43" t="str">
        <x:v>L2025-00052-1</x:v>
      </x:c>
      <x:c r="B59" s="46" t="str">
        <x:v>(붙임 1) Bid Data Sheet(Korean)_KOICA FHBU Construction_정정본.hwp</x:v>
      </x:c>
      <x:c r="C59" s="43" t="str">
        <x:v>.hwp</x:v>
      </x:c>
      <x:c r="D59" s="61" t="n">
        <x:v>69120</x:v>
      </x:c>
      <x:c r="E59" s="43" t="str">
        <x:v>downloaded</x:v>
      </x:c>
      <x:c r="F59" s="43" t="str">
        <x:v>b93c97217ebe39550e7df7f716f75c83e2f8bbbf759ccef86e4d4aee287112e3</x:v>
      </x:c>
      <x:c r="G59" s="46" t="str">
        <x:v>/Users/nomadresearch/Documents/Claude/Projects/koica-construction-tender/data/raw/L2025-00052-1/(붙임 1) Bid Data Sheet(Korean)_KOICA FHBU Construction_정정본.hwp</x:v>
      </x:c>
      <x:c r="H59" s="43" t="str">
        <x:v>2025-07-04 23:43:44</x:v>
      </x:c>
    </x:row>
    <x:row r="60">
      <x:c r="A60" s="43" t="str">
        <x:v>L2025-00052-1</x:v>
      </x:c>
      <x:c r="B60" s="46" t="str">
        <x:v>(붙임 2) 영문 입찰 계획 서류_KOICA FHBU Construction_정정본.zip</x:v>
      </x:c>
      <x:c r="C60" s="43" t="str">
        <x:v>.zip</x:v>
      </x:c>
      <x:c r="D60" s="61" t="n">
        <x:v>3273755</x:v>
      </x:c>
      <x:c r="E60" s="43" t="str">
        <x:v>downloaded</x:v>
      </x:c>
      <x:c r="F60" s="43" t="str">
        <x:v>e78cc08556544841c9a21ad95c29293b532cd0b17f8ca97360cfd8bb9db8f85d</x:v>
      </x:c>
      <x:c r="G60" s="46" t="str">
        <x:v>/Users/nomadresearch/Documents/Claude/Projects/koica-construction-tender/data/raw/L2025-00052-1/(붙임 2) 영문 입찰 계획 서류_KOICA FHBU Construction_정정본.zip</x:v>
      </x:c>
      <x:c r="H60" s="43" t="str">
        <x:v>2025-07-04 23:43:44</x:v>
      </x:c>
    </x:row>
    <x:row r="61">
      <x:c r="A61" s="43" t="str">
        <x:v>L2025-00051-2</x:v>
      </x:c>
      <x:c r="B61" s="46" t="str">
        <x:v>Section 4 - Bill of Quantity.xlsx</x:v>
      </x:c>
      <x:c r="C61" s="43" t="str">
        <x:v>.xlsx</x:v>
      </x:c>
      <x:c r="D61" s="61" t="n">
        <x:v>791666</x:v>
      </x:c>
      <x:c r="E61" s="43" t="str">
        <x:v>downloaded</x:v>
      </x:c>
      <x:c r="F61" s="43" t="str">
        <x:v>fdbb5bdceee51a500d8090d7ac47ab3d31ad8bb593aa9d322b6cfb899c69ad43</x:v>
      </x:c>
      <x:c r="G61" s="46" t="str">
        <x:v>/Users/nomadresearch/Documents/Claude/Projects/koica-construction-tender/data/raw/L2025-00051-2/Section 4 - Bill of Quantity.xlsx</x:v>
      </x:c>
      <x:c r="H61" s="43" t="str">
        <x:v>2025-09-09 06:05:15</x:v>
      </x:c>
    </x:row>
    <x:row r="62">
      <x:c r="A62" s="43" t="str">
        <x:v>L2025-00051-2</x:v>
      </x:c>
      <x:c r="B62" s="46" t="str">
        <x:v>Section 6- Specification Of Work.zip</x:v>
      </x:c>
      <x:c r="C62" s="43" t="str">
        <x:v>.zip</x:v>
      </x:c>
      <x:c r="D62" s="61" t="n">
        <x:v>12780360</x:v>
      </x:c>
      <x:c r="E62" s="43" t="str">
        <x:v>downloaded</x:v>
      </x:c>
      <x:c r="F62" s="43" t="str">
        <x:v>561240ccfadb0f5736f39c773e324a90cb9998acf4d988da4436dfd89c2a4473</x:v>
      </x:c>
      <x:c r="G62" s="46" t="str">
        <x:v>/Users/nomadresearch/Documents/Claude/Projects/koica-construction-tender/data/raw/L2025-00051-2/Section 6- Specification Of Work.zip</x:v>
      </x:c>
      <x:c r="H62" s="43" t="str">
        <x:v>2025-09-09 06:05:15</x:v>
      </x:c>
    </x:row>
    <x:row r="63">
      <x:c r="A63" s="43" t="str">
        <x:v>L2025-00051-2</x:v>
      </x:c>
      <x:c r="B63" s="46" t="str">
        <x:v>Section 7 - General Conditions of Contract.docx</x:v>
      </x:c>
      <x:c r="C63" s="43" t="str">
        <x:v>.docx</x:v>
      </x:c>
      <x:c r="D63" s="61" t="n">
        <x:v>204633</x:v>
      </x:c>
      <x:c r="E63" s="43" t="str">
        <x:v>downloaded</x:v>
      </x:c>
      <x:c r="F63" s="43" t="str">
        <x:v>c2fc9ecf40bceaa276b14b066319e4b7d94fa4b46326dd3ac3ca9a525daf596e</x:v>
      </x:c>
      <x:c r="G63" s="46" t="str">
        <x:v>/Users/nomadresearch/Documents/Claude/Projects/koica-construction-tender/data/raw/L2025-00051-2/Section 7 - General Conditions of Contract.docx</x:v>
      </x:c>
      <x:c r="H63" s="43" t="str">
        <x:v>2025-09-09 06:05:15</x:v>
      </x:c>
    </x:row>
    <x:row r="64">
      <x:c r="A64" s="43" t="str">
        <x:v>L2025-00051-2</x:v>
      </x:c>
      <x:c r="B64" s="46" t="str">
        <x:v>Section 8 - Specail Conditions of ContractR1.docx</x:v>
      </x:c>
      <x:c r="C64" s="43" t="str">
        <x:v>.docx</x:v>
      </x:c>
      <x:c r="D64" s="61" t="n">
        <x:v>44691</x:v>
      </x:c>
      <x:c r="E64" s="43" t="str">
        <x:v>downloaded</x:v>
      </x:c>
      <x:c r="F64" s="43" t="str">
        <x:v>00db76fad3378a08a87f199f88a95f037af48fde04d761207ccb5a76a74966e6</x:v>
      </x:c>
      <x:c r="G64" s="46" t="str">
        <x:v>/Users/nomadresearch/Documents/Claude/Projects/koica-construction-tender/data/raw/L2025-00051-2/Section 8 - Specail Conditions of ContractR1.docx</x:v>
      </x:c>
      <x:c r="H64" s="43" t="str">
        <x:v>2025-09-09 06:05:15</x:v>
      </x:c>
    </x:row>
    <x:row r="65">
      <x:c r="A65" s="43" t="str">
        <x:v>L2025-00051-2</x:v>
      </x:c>
      <x:c r="B65" s="46" t="str">
        <x:v>Section 9 - Contract FormsR1.docx</x:v>
      </x:c>
      <x:c r="C65" s="43" t="str">
        <x:v>.docx</x:v>
      </x:c>
      <x:c r="D65" s="61" t="n">
        <x:v>24586</x:v>
      </x:c>
      <x:c r="E65" s="43" t="str">
        <x:v>downloaded</x:v>
      </x:c>
      <x:c r="F65" s="43" t="str">
        <x:v>20d9cf46abc96dba63a71fef1b66287b7abd5501aa1a24dd2a939505a8cc3e00</x:v>
      </x:c>
      <x:c r="G65" s="46" t="str">
        <x:v>/Users/nomadresearch/Documents/Claude/Projects/koica-construction-tender/data/raw/L2025-00051-2/Section 9 - Contract FormsR1.docx</x:v>
      </x:c>
      <x:c r="H65" s="43" t="str">
        <x:v>2025-09-09 06:05:15</x:v>
      </x:c>
    </x:row>
    <x:row r="66">
      <x:c r="A66" s="43" t="str">
        <x:v>L2025-00051-2</x:v>
      </x:c>
      <x:c r="B66" s="46" t="str">
        <x:v>Section 2 - Bid Data Sheet (BDS_09.2025).hwp</x:v>
      </x:c>
      <x:c r="C66" s="43" t="str">
        <x:v>.hwp</x:v>
      </x:c>
      <x:c r="D66" s="61" t="n">
        <x:v>83968</x:v>
      </x:c>
      <x:c r="E66" s="43" t="str">
        <x:v>downloaded</x:v>
      </x:c>
      <x:c r="F66" s="43" t="str">
        <x:v>777f35982b2b055b47236214ca6aa1ac5948ca6b7ce8de246400ede32cfb6c39</x:v>
      </x:c>
      <x:c r="G66" s="46" t="str">
        <x:v>/Users/nomadresearch/Documents/Claude/Projects/koica-construction-tender/data/raw/L2025-00051-2/Section 2 - Bid Data Sheet (BDS_09.2025).hwp</x:v>
      </x:c>
      <x:c r="H66" s="43" t="str">
        <x:v>2025-09-09 06:05:15</x:v>
      </x:c>
    </x:row>
    <x:row r="67">
      <x:c r="A67" s="43" t="str">
        <x:v>L2025-00051-2</x:v>
      </x:c>
      <x:c r="B67" s="46" t="str">
        <x:v>Section 3 - Bidding FormsR1.docx</x:v>
      </x:c>
      <x:c r="C67" s="43" t="str">
        <x:v>.docx</x:v>
      </x:c>
      <x:c r="D67" s="61" t="n">
        <x:v>83558</x:v>
      </x:c>
      <x:c r="E67" s="43" t="str">
        <x:v>downloaded</x:v>
      </x:c>
      <x:c r="F67" s="43" t="str">
        <x:v>18b3f5f1ebcea816be38da235d77578e1db5284f6ae29231dcd613e1997e09f1</x:v>
      </x:c>
      <x:c r="G67" s="46" t="str">
        <x:v>/Users/nomadresearch/Documents/Claude/Projects/koica-construction-tender/data/raw/L2025-00051-2/Section 3 - Bidding FormsR1.docx</x:v>
      </x:c>
      <x:c r="H67" s="43" t="str">
        <x:v>2025-09-09 06:05:15</x:v>
      </x:c>
    </x:row>
    <x:row r="68">
      <x:c r="A68" s="43" t="str">
        <x:v>L2025-00051-2</x:v>
      </x:c>
      <x:c r="B68" s="46" t="str">
        <x:v>Section 3-1. Annex 9 Self-Evaluation Table.xlsx</x:v>
      </x:c>
      <x:c r="C68" s="43" t="str">
        <x:v>.xlsx</x:v>
      </x:c>
      <x:c r="D68" s="61" t="n">
        <x:v>15221</x:v>
      </x:c>
      <x:c r="E68" s="43" t="str">
        <x:v>downloaded</x:v>
      </x:c>
      <x:c r="F68" s="43" t="str">
        <x:v>f29149292606184375f4e0391fdea0f9a7b1a4de7e74f7d7ebba994f6d88eedc</x:v>
      </x:c>
      <x:c r="G68" s="46" t="str">
        <x:v>/Users/nomadresearch/Documents/Claude/Projects/koica-construction-tender/data/raw/L2025-00051-2/Section 3-1. Annex 9 Self-Evaluation Table.xlsx</x:v>
      </x:c>
      <x:c r="H68" s="43" t="str">
        <x:v>2025-09-09 06:05:15</x:v>
      </x:c>
    </x:row>
    <x:row r="69">
      <x:c r="A69" s="43" t="str">
        <x:v>L2025-00051-2</x:v>
      </x:c>
      <x:c r="B69" s="46" t="str">
        <x:v>1. (재입찰)피지 국립재활센터 설립사업 시공 입찰계획서.hwp</x:v>
      </x:c>
      <x:c r="C69" s="43" t="str">
        <x:v>.hwp</x:v>
      </x:c>
      <x:c r="D69" s="61" t="n">
        <x:v>55808</x:v>
      </x:c>
      <x:c r="E69" s="43" t="str">
        <x:v>downloaded</x:v>
      </x:c>
      <x:c r="F69" s="43" t="str">
        <x:v>4857dce8ffffa478ac3ed23b511883dd4234c500e230c4fa4b04b4662970601b</x:v>
      </x:c>
      <x:c r="G69" s="46" t="str">
        <x:v>/Users/nomadresearch/Documents/Claude/Projects/koica-construction-tender/data/raw/L2025-00051-2/1. (재입찰)피지 국립재활센터 설립사업 시공 입찰계획서.hwp</x:v>
      </x:c>
      <x:c r="H69" s="43" t="str">
        <x:v>2025-09-09 06:05:15</x:v>
      </x:c>
    </x:row>
    <x:row r="70">
      <x:c r="A70" s="43" t="str">
        <x:v>L2025-00051-1</x:v>
      </x:c>
      <x:c r="B70" s="46" t="str">
        <x:v>Section 2 - Bid Data Sheet (BDS).hwp</x:v>
      </x:c>
      <x:c r="C70" s="43" t="str">
        <x:v>.hwp</x:v>
      </x:c>
      <x:c r="D70" s="61" t="n">
        <x:v>166400</x:v>
      </x:c>
      <x:c r="E70" s="43" t="str">
        <x:v>downloaded</x:v>
      </x:c>
      <x:c r="F70" s="43" t="str">
        <x:v>b0111184274c98b83b307511bf13d321d3ef408db4cb22fca854e459e6b8b953</x:v>
      </x:c>
      <x:c r="G70" s="46" t="str">
        <x:v>/Users/nomadresearch/Documents/Claude/Projects/koica-construction-tender/data/raw/L2025-00051-1/Section 2 - Bid Data Sheet (BDS).hwp</x:v>
      </x:c>
      <x:c r="H70" s="43" t="str">
        <x:v>2025-07-11 07:04:47</x:v>
      </x:c>
    </x:row>
    <x:row r="71">
      <x:c r="A71" s="43" t="str">
        <x:v>L2025-00051-1</x:v>
      </x:c>
      <x:c r="B71" s="46" t="str">
        <x:v>Section 3 - Bidding FormsR1.docx</x:v>
      </x:c>
      <x:c r="C71" s="43" t="str">
        <x:v>.docx</x:v>
      </x:c>
      <x:c r="D71" s="61" t="n">
        <x:v>83558</x:v>
      </x:c>
      <x:c r="E71" s="43" t="str">
        <x:v>downloaded</x:v>
      </x:c>
      <x:c r="F71" s="43" t="str">
        <x:v>18b3f5f1ebcea816be38da235d77578e1db5284f6ae29231dcd613e1997e09f1</x:v>
      </x:c>
      <x:c r="G71" s="46" t="str">
        <x:v>/Users/nomadresearch/Documents/Claude/Projects/koica-construction-tender/data/raw/L2025-00051-1/Section 3 - Bidding FormsR1.docx</x:v>
      </x:c>
      <x:c r="H71" s="43" t="str">
        <x:v>2025-07-11 07:04:47</x:v>
      </x:c>
    </x:row>
    <x:row r="72">
      <x:c r="A72" s="43" t="str">
        <x:v>L2025-00051-1</x:v>
      </x:c>
      <x:c r="B72" s="46" t="str">
        <x:v>Section 4 - Bill of Quantity.xlsx</x:v>
      </x:c>
      <x:c r="C72" s="43" t="str">
        <x:v>.xlsx</x:v>
      </x:c>
      <x:c r="D72" s="61" t="n">
        <x:v>791666</x:v>
      </x:c>
      <x:c r="E72" s="43" t="str">
        <x:v>downloaded</x:v>
      </x:c>
      <x:c r="F72" s="43" t="str">
        <x:v>fdbb5bdceee51a500d8090d7ac47ab3d31ad8bb593aa9d322b6cfb899c69ad43</x:v>
      </x:c>
      <x:c r="G72" s="46" t="str">
        <x:v>/Users/nomadresearch/Documents/Claude/Projects/koica-construction-tender/data/raw/L2025-00051-1/Section 4 - Bill of Quantity.xlsx</x:v>
      </x:c>
      <x:c r="H72" s="43" t="str">
        <x:v>2025-07-11 07:04:47</x:v>
      </x:c>
    </x:row>
    <x:row r="73">
      <x:c r="A73" s="43" t="str">
        <x:v>L2025-00051-1</x:v>
      </x:c>
      <x:c r="B73" s="46" t="str">
        <x:v>Section 6- Specification Of Work.zip</x:v>
      </x:c>
      <x:c r="C73" s="43" t="str">
        <x:v>.zip</x:v>
      </x:c>
      <x:c r="D73" s="61" t="n">
        <x:v>12780360</x:v>
      </x:c>
      <x:c r="E73" s="43" t="str">
        <x:v>downloaded</x:v>
      </x:c>
      <x:c r="F73" s="43" t="str">
        <x:v>561240ccfadb0f5736f39c773e324a90cb9998acf4d988da4436dfd89c2a4473</x:v>
      </x:c>
      <x:c r="G73" s="46" t="str">
        <x:v>/Users/nomadresearch/Documents/Claude/Projects/koica-construction-tender/data/raw/L2025-00051-1/Section 6- Specification Of Work.zip</x:v>
      </x:c>
      <x:c r="H73" s="43" t="str">
        <x:v>2025-07-11 07:04:47</x:v>
      </x:c>
    </x:row>
    <x:row r="74">
      <x:c r="A74" s="43" t="str">
        <x:v>L2025-00051-1</x:v>
      </x:c>
      <x:c r="B74" s="46" t="str">
        <x:v>Section 7 - General Conditions of Contract.docx</x:v>
      </x:c>
      <x:c r="C74" s="43" t="str">
        <x:v>.docx</x:v>
      </x:c>
      <x:c r="D74" s="61" t="n">
        <x:v>204633</x:v>
      </x:c>
      <x:c r="E74" s="43" t="str">
        <x:v>downloaded</x:v>
      </x:c>
      <x:c r="F74" s="43" t="str">
        <x:v>c2fc9ecf40bceaa276b14b066319e4b7d94fa4b46326dd3ac3ca9a525daf596e</x:v>
      </x:c>
      <x:c r="G74" s="46" t="str">
        <x:v>/Users/nomadresearch/Documents/Claude/Projects/koica-construction-tender/data/raw/L2025-00051-1/Section 7 - General Conditions of Contract.docx</x:v>
      </x:c>
      <x:c r="H74" s="43" t="str">
        <x:v>2025-07-11 07:04:47</x:v>
      </x:c>
    </x:row>
    <x:row r="75">
      <x:c r="A75" s="43" t="str">
        <x:v>L2025-00051-1</x:v>
      </x:c>
      <x:c r="B75" s="46" t="str">
        <x:v>Section 8 - Specail Conditions of ContractR1.docx</x:v>
      </x:c>
      <x:c r="C75" s="43" t="str">
        <x:v>.docx</x:v>
      </x:c>
      <x:c r="D75" s="61" t="n">
        <x:v>44691</x:v>
      </x:c>
      <x:c r="E75" s="43" t="str">
        <x:v>downloaded</x:v>
      </x:c>
      <x:c r="F75" s="43" t="str">
        <x:v>00db76fad3378a08a87f199f88a95f037af48fde04d761207ccb5a76a74966e6</x:v>
      </x:c>
      <x:c r="G75" s="46" t="str">
        <x:v>/Users/nomadresearch/Documents/Claude/Projects/koica-construction-tender/data/raw/L2025-00051-1/Section 8 - Specail Conditions of ContractR1.docx</x:v>
      </x:c>
      <x:c r="H75" s="43" t="str">
        <x:v>2025-07-11 07:04:47</x:v>
      </x:c>
    </x:row>
    <x:row r="76">
      <x:c r="A76" s="43" t="str">
        <x:v>L2025-00051-1</x:v>
      </x:c>
      <x:c r="B76" s="46" t="str">
        <x:v>Section 9 - Contract FormsR1.docx</x:v>
      </x:c>
      <x:c r="C76" s="43" t="str">
        <x:v>.docx</x:v>
      </x:c>
      <x:c r="D76" s="61" t="n">
        <x:v>24586</x:v>
      </x:c>
      <x:c r="E76" s="43" t="str">
        <x:v>downloaded</x:v>
      </x:c>
      <x:c r="F76" s="43" t="str">
        <x:v>20d9cf46abc96dba63a71fef1b66287b7abd5501aa1a24dd2a939505a8cc3e00</x:v>
      </x:c>
      <x:c r="G76" s="46" t="str">
        <x:v>/Users/nomadresearch/Documents/Claude/Projects/koica-construction-tender/data/raw/L2025-00051-1/Section 9 - Contract FormsR1.docx</x:v>
      </x:c>
      <x:c r="H76" s="43" t="str">
        <x:v>2025-07-11 07:04:47</x:v>
      </x:c>
    </x:row>
    <x:row r="77">
      <x:c r="A77" s="43" t="str">
        <x:v>L2025-00049-2</x:v>
      </x:c>
      <x:c r="B77" s="46" t="str">
        <x:v>Bid_Announcement_extension_Ukraine_Notification_Purpose_250804.docx</x:v>
      </x:c>
      <x:c r="C77" s="43" t="str">
        <x:v>.docx</x:v>
      </x:c>
      <x:c r="D77" s="61" t="n">
        <x:v>40469</x:v>
      </x:c>
      <x:c r="E77" s="43" t="str">
        <x:v>downloaded</x:v>
      </x:c>
      <x:c r="F77" s="43" t="str">
        <x:v>5daa1a79c9cb363b338314cb44a6156afb42940bf7a580783109df7e19e648d9</x:v>
      </x:c>
      <x:c r="G77" s="46" t="str">
        <x:v>/Users/nomadresearch/Documents/Claude/Projects/koica-construction-tender/data/raw/L2025-00049-2/Bid_Announcement_extension_Ukraine_Notification_Purpose_250804.docx</x:v>
      </x:c>
      <x:c r="H77" s="43" t="str">
        <x:v>2025-08-05 21:51:11</x:v>
      </x:c>
    </x:row>
    <x:row r="78">
      <x:c r="A78" s="43" t="str">
        <x:v>L2025-00049-1</x:v>
      </x:c>
      <x:c r="B78" s="46" t="str">
        <x:v>붙임2. Bid_Announcement_Ukraine_Notification Purpose_250626 ★.docx</x:v>
      </x:c>
      <x:c r="C78" s="43" t="str">
        <x:v>.docx</x:v>
      </x:c>
      <x:c r="D78" s="61" t="n">
        <x:v>37281</x:v>
      </x:c>
      <x:c r="E78" s="43" t="str">
        <x:v>downloaded</x:v>
      </x:c>
      <x:c r="F78" s="43" t="str">
        <x:v>ed15947d3294a15149789668a525e3f91b27c26c3508a937512b8205808162f2</x:v>
      </x:c>
      <x:c r="G78" s="46" t="str">
        <x:v>/Users/nomadresearch/Documents/Claude/Projects/koica-construction-tender/data/raw/L2025-00049-1/붙임2. Bid_Announcement_Ukraine_Notification Purpose_250626 ★.docx</x:v>
      </x:c>
      <x:c r="H78" s="43" t="str">
        <x:v>2025-06-26 23:37:40</x:v>
      </x:c>
    </x:row>
    <x:row r="79">
      <x:c r="A79" s="43" t="str">
        <x:v>L2025-00047-1</x:v>
      </x:c>
      <x:c r="B79" s="46" t="str">
        <x:v>Section 2 - Bid Data Sheet (국문).hwp</x:v>
      </x:c>
      <x:c r="C79" s="43" t="str">
        <x:v>.hwp</x:v>
      </x:c>
      <x:c r="D79" s="61" t="n">
        <x:v>68096</x:v>
      </x:c>
      <x:c r="E79" s="43" t="str">
        <x:v>downloaded</x:v>
      </x:c>
      <x:c r="F79" s="43" t="str">
        <x:v>1f772ed3df17ff44d7bbeb7b7027006289d74ba322d494c958789829edce590e</x:v>
      </x:c>
      <x:c r="G79" s="46" t="str">
        <x:v>/Users/nomadresearch/Documents/Claude/Projects/koica-construction-tender/data/raw/L2025-00047-1/Section 2 - Bid Data Sheet (국문).hwp</x:v>
      </x:c>
      <x:c r="H79" s="43" t="str">
        <x:v>2025-06-21 01:09:39</x:v>
      </x:c>
    </x:row>
    <x:row r="80">
      <x:c r="A80" s="43" t="str">
        <x:v>L2025-00047-1</x:v>
      </x:c>
      <x:c r="B80" s="46" t="str">
        <x:v>붙임2. 영문 입찰서류_섬유센터 2차사업 시공 재입찰 (2025.06.20).zip</x:v>
      </x:c>
      <x:c r="C80" s="43" t="str">
        <x:v>.zip</x:v>
      </x:c>
      <x:c r="D80" s="61" t="n">
        <x:v>6117972</x:v>
      </x:c>
      <x:c r="E80" s="43" t="str">
        <x:v>downloaded</x:v>
      </x:c>
      <x:c r="F80" s="43" t="str">
        <x:v>cab4498134762e75b4fc4570ee8a615aaa5cf623893062883e09099ce278cbce</x:v>
      </x:c>
      <x:c r="G80" s="46" t="str">
        <x:v>/Users/nomadresearch/Documents/Claude/Projects/koica-construction-tender/data/raw/L2025-00047-1/붙임2. 영문 입찰서류_섬유센터 2차사업 시공 재입찰 (2025.06.20).zip</x:v>
      </x:c>
      <x:c r="H80" s="43" t="str">
        <x:v>2025-06-21 01:09:39</x:v>
      </x:c>
    </x:row>
    <x:row r="81">
      <x:c r="A81" s="43" t="str">
        <x:v>L2025-00047-1</x:v>
      </x:c>
      <x:c r="B81" s="46" t="str">
        <x:v>붙임3. KOICA 입찰관련 규정 및 지침.zip</x:v>
      </x:c>
      <x:c r="C81" s="43" t="str">
        <x:v>.zip</x:v>
      </x:c>
      <x:c r="D81" s="61" t="n">
        <x:v>1166560</x:v>
      </x:c>
      <x:c r="E81" s="43" t="str">
        <x:v>downloaded</x:v>
      </x:c>
      <x:c r="F81" s="43" t="str">
        <x:v>2c2b6227489c31aad146d6a9f7e21491838b21bb895739fc0970ba5e2ecf4342</x:v>
      </x:c>
      <x:c r="G81" s="46" t="str">
        <x:v>/Users/nomadresearch/Documents/Claude/Projects/koica-construction-tender/data/raw/L2025-00047-1/붙임3. KOICA 입찰관련 규정 및 지침.zip</x:v>
      </x:c>
      <x:c r="H81" s="43" t="str">
        <x:v>2025-06-21 01:09:39</x:v>
      </x:c>
    </x:row>
    <x:row r="82">
      <x:c r="A82" s="43" t="str">
        <x:v>L2025-00045-2</x:v>
      </x:c>
      <x:c r="B82" s="46" t="str">
        <x:v>붙임1. 이라크 난민선도학교 설계및시공감리업체선정 현지입찰추진계획안.hwp</x:v>
      </x:c>
      <x:c r="C82" s="43" t="str">
        <x:v>.hwp</x:v>
      </x:c>
      <x:c r="D82" s="61" t="n">
        <x:v>96256</x:v>
      </x:c>
      <x:c r="E82" s="43" t="str">
        <x:v>downloaded</x:v>
      </x:c>
      <x:c r="F82" s="43" t="str">
        <x:v>b3a2189edec9794cb69a9f420009b4bdc3599d65f240cc5ea8cd0e7991cc14e5</x:v>
      </x:c>
      <x:c r="G82" s="46" t="str">
        <x:v>/Users/nomadresearch/Documents/Claude/Projects/koica-construction-tender/data/raw/L2025-00045-2/붙임1. 이라크 난민선도학교 설계및시공감리업체선정 현지입찰추진계획안.hwp</x:v>
      </x:c>
      <x:c r="H82" s="43" t="str">
        <x:v>2025-08-27 20:20:09</x:v>
      </x:c>
    </x:row>
    <x:row r="83">
      <x:c r="A83" s="43" t="str">
        <x:v>L2025-00045-2</x:v>
      </x:c>
      <x:c r="B83" s="46" t="str">
        <x:v>붙임2. CM 공문_토펙중동중앙아 제2025-014호 (이라크 쿠르드 지역학교 내 난민통합교육 강화사업 설계 및 시공감리 용역 현지입찰(재공고) 추진계획 및 영문입찰서류 제출).pdf</x:v>
      </x:c>
      <x:c r="C83" s="43" t="str">
        <x:v>.pdf</x:v>
      </x:c>
      <x:c r="D83" s="61" t="n">
        <x:v>64450</x:v>
      </x:c>
      <x:c r="E83" s="43" t="str">
        <x:v>downloaded</x:v>
      </x:c>
      <x:c r="F83" s="43" t="str">
        <x:v>e00905cb22d2ee831ed9b661042dc045984197cd6fc901f1f7ee90275ac66afa</x:v>
      </x:c>
      <x:c r="G83" s="46" t="str">
        <x:v>/Users/nomadresearch/Documents/Claude/Projects/koica-construction-tender/data/raw/L2025-00045-2/붙임2. CM 공문_토펙중동중앙아 제2025-014호 (이라크 쿠르드 지역학교 내 난민통합교육 강화사업 설계 및 시공감리 용역 현지입찰(재공고) 추진계획 및 영문입찰서류 제출).pdf</x:v>
      </x:c>
      <x:c r="H83" s="43" t="str">
        <x:v>2025-08-27 20:20:09</x:v>
      </x:c>
    </x:row>
    <x:row r="84">
      <x:c r="A84" s="43" t="str">
        <x:v>L2025-00045-2</x:v>
      </x:c>
      <x:c r="B84" s="46" t="str">
        <x:v>붙임3. 영문 입찰서류(양식 등 포함).zip</x:v>
      </x:c>
      <x:c r="C84" s="43" t="str">
        <x:v>.zip</x:v>
      </x:c>
      <x:c r="D84" s="61" t="n">
        <x:v>3158104</x:v>
      </x:c>
      <x:c r="E84" s="43" t="str">
        <x:v>downloaded</x:v>
      </x:c>
      <x:c r="F84" s="43" t="str">
        <x:v>ff108dce84b780039cee2dcdd1799df78499942addc57e9fb6c99fc262d47de0</x:v>
      </x:c>
      <x:c r="G84" s="46" t="str">
        <x:v>/Users/nomadresearch/Documents/Claude/Projects/koica-construction-tender/data/raw/L2025-00045-2/붙임3. 영문 입찰서류(양식 등 포함).zip</x:v>
      </x:c>
      <x:c r="H84" s="43" t="str">
        <x:v>2025-08-27 20:20:09</x:v>
      </x:c>
    </x:row>
    <x:row r="85">
      <x:c r="A85" s="43" t="str">
        <x:v>L2025-00045-2</x:v>
      </x:c>
      <x:c r="B85" s="46" t="str">
        <x:v>붙임4. RD 최종서명본(24.8.).pdf</x:v>
      </x:c>
      <x:c r="C85" s="43" t="str">
        <x:v>.pdf</x:v>
      </x:c>
      <x:c r="D85" s="61" t="n">
        <x:v>8801980</x:v>
      </x:c>
      <x:c r="E85" s="43" t="str">
        <x:v>downloaded</x:v>
      </x:c>
      <x:c r="F85" s="43" t="str">
        <x:v>5e1765f9b58a2549c520de37ee37149686c38d0de7eba68aced88186c7b6dc03</x:v>
      </x:c>
      <x:c r="G85" s="46" t="str">
        <x:v>/Users/nomadresearch/Documents/Claude/Projects/koica-construction-tender/data/raw/L2025-00045-2/붙임4. RD 최종서명본(24.8.).pdf</x:v>
      </x:c>
      <x:c r="H85" s="43" t="str">
        <x:v>2025-08-27 20:20:09</x:v>
      </x:c>
    </x:row>
    <x:row r="86">
      <x:c r="A86" s="43" t="str">
        <x:v>L2025-00045-1</x:v>
      </x:c>
      <x:c r="B86" s="46" t="str">
        <x:v>붙임1. 이라크 난민선도학교 설계및시공감리업체선정 현지입찰추진계획안(최종).hwp</x:v>
      </x:c>
      <x:c r="C86" s="43" t="str">
        <x:v>.hwp</x:v>
      </x:c>
      <x:c r="D86" s="61" t="n">
        <x:v>89600</x:v>
      </x:c>
      <x:c r="E86" s="43" t="str">
        <x:v>downloaded</x:v>
      </x:c>
      <x:c r="F86" s="43" t="str">
        <x:v>4a77947b9ba946008c18c6e80d7e2cea4c73374beb901e495a8bc11277121a36</x:v>
      </x:c>
      <x:c r="G86" s="46" t="str">
        <x:v>/Users/nomadresearch/Documents/Claude/Projects/koica-construction-tender/data/raw/L2025-00045-1/붙임1. 이라크 난민선도학교 설계및시공감리업체선정 현지입찰추진계획안(최종).hwp</x:v>
      </x:c>
      <x:c r="H86" s="43" t="str">
        <x:v>2025-06-15 22:13:16</x:v>
      </x:c>
    </x:row>
    <x:row r="87">
      <x:c r="A87" s="43" t="str">
        <x:v>L2025-00045-1</x:v>
      </x:c>
      <x:c r="B87" s="46" t="str">
        <x:v>붙임2. CM공문(본부검토의견 반영)_TOPEC-해외사업본부-2506-023.pdf</x:v>
      </x:c>
      <x:c r="C87" s="43" t="str">
        <x:v>.pdf</x:v>
      </x:c>
      <x:c r="D87" s="61" t="n">
        <x:v>92053</x:v>
      </x:c>
      <x:c r="E87" s="43" t="str">
        <x:v>downloaded</x:v>
      </x:c>
      <x:c r="F87" s="43" t="str">
        <x:v>7b2f4d16cd6d7147adc30e3a0401cb1d7954423786f1b6a87a013ae86597455f</x:v>
      </x:c>
      <x:c r="G87" s="46" t="str">
        <x:v>/Users/nomadresearch/Documents/Claude/Projects/koica-construction-tender/data/raw/L2025-00045-1/붙임2. CM공문(본부검토의견 반영)_TOPEC-해외사업본부-2506-023.pdf</x:v>
      </x:c>
      <x:c r="H87" s="43" t="str">
        <x:v>2025-06-15 22:13:16</x:v>
      </x:c>
    </x:row>
    <x:row r="88">
      <x:c r="A88" s="43" t="str">
        <x:v>L2025-00045-1</x:v>
      </x:c>
      <x:c r="B88" s="46" t="str">
        <x:v>붙임3. 입찰서류(영문) 일체.zip</x:v>
      </x:c>
      <x:c r="C88" s="43" t="str">
        <x:v>.zip</x:v>
      </x:c>
      <x:c r="D88" s="61" t="n">
        <x:v>3157118</x:v>
      </x:c>
      <x:c r="E88" s="43" t="str">
        <x:v>downloaded</x:v>
      </x:c>
      <x:c r="F88" s="43" t="str">
        <x:v>fb96dbda96f3cdce7c2b4b3ea7ef0ca6a540102f2ac666f688f28baab1cc10c6</x:v>
      </x:c>
      <x:c r="G88" s="46" t="str">
        <x:v>/Users/nomadresearch/Documents/Claude/Projects/koica-construction-tender/data/raw/L2025-00045-1/붙임3. 입찰서류(영문) 일체.zip</x:v>
      </x:c>
      <x:c r="H88" s="43" t="str">
        <x:v>2025-06-15 22:13:16</x:v>
      </x:c>
    </x:row>
    <x:row r="89">
      <x:c r="A89" s="43" t="str">
        <x:v>L2025-00045-1</x:v>
      </x:c>
      <x:c r="B89" s="46" t="str">
        <x:v>붙임4. 조달실 및 지역실 검토의견서.zip</x:v>
      </x:c>
      <x:c r="C89" s="43" t="str">
        <x:v>.zip</x:v>
      </x:c>
      <x:c r="D89" s="61" t="n">
        <x:v>237966</x:v>
      </x:c>
      <x:c r="E89" s="43" t="str">
        <x:v>downloaded</x:v>
      </x:c>
      <x:c r="F89" s="43" t="str">
        <x:v>ad9ed33b43c7ceeb0b64cb2b8f921a5e5b5ed0c3e0eaf6e1849c146d38d63fa2</x:v>
      </x:c>
      <x:c r="G89" s="46" t="str">
        <x:v>/Users/nomadresearch/Documents/Claude/Projects/koica-construction-tender/data/raw/L2025-00045-1/붙임4. 조달실 및 지역실 검토의견서.zip</x:v>
      </x:c>
      <x:c r="H89" s="43" t="str">
        <x:v>2025-06-15 22:13:16</x:v>
      </x:c>
    </x:row>
    <x:row r="90">
      <x:c r="A90" s="43" t="str">
        <x:v>L2025-00045-1</x:v>
      </x:c>
      <x:c r="B90" s="46" t="str">
        <x:v>붙임5. RD 최종서명본(24.8.).pdf</x:v>
      </x:c>
      <x:c r="C90" s="43" t="str">
        <x:v>.pdf</x:v>
      </x:c>
      <x:c r="D90" s="61" t="n">
        <x:v>8801980</x:v>
      </x:c>
      <x:c r="E90" s="43" t="str">
        <x:v>downloaded</x:v>
      </x:c>
      <x:c r="F90" s="43" t="str">
        <x:v>5e1765f9b58a2549c520de37ee37149686c38d0de7eba68aced88186c7b6dc03</x:v>
      </x:c>
      <x:c r="G90" s="46" t="str">
        <x:v>/Users/nomadresearch/Documents/Claude/Projects/koica-construction-tender/data/raw/L2025-00045-1/붙임5. RD 최종서명본(24.8.).pdf</x:v>
      </x:c>
      <x:c r="H90" s="43" t="str">
        <x:v>2025-06-15 22:13:16</x:v>
      </x:c>
    </x:row>
    <x:row r="91">
      <x:c r="A91" s="43" t="str">
        <x:v>L2025-00045-1</x:v>
      </x:c>
      <x:c r="B91" s="46" t="str">
        <x:v>붙임6. 지형도(DWG 및 PDF).zip</x:v>
      </x:c>
      <x:c r="C91" s="43" t="str">
        <x:v>.zip</x:v>
      </x:c>
      <x:c r="D91" s="61" t="n">
        <x:v>13357918</x:v>
      </x:c>
      <x:c r="E91" s="43" t="str">
        <x:v>downloaded</x:v>
      </x:c>
      <x:c r="F91" s="43" t="str">
        <x:v>86afaf3971ee14c4e03303a4016fe6e84f5d34576fe07dc6fcc0dd9f73555de7</x:v>
      </x:c>
      <x:c r="G91" s="46" t="str">
        <x:v>/Users/nomadresearch/Documents/Claude/Projects/koica-construction-tender/data/raw/L2025-00045-1/붙임6. 지형도(DWG 및 PDF).zip</x:v>
      </x:c>
      <x:c r="H91" s="43" t="str">
        <x:v>2025-06-15 22:13:16</x:v>
      </x:c>
    </x:row>
    <x:row r="92">
      <x:c r="A92" s="43" t="str">
        <x:v>L2025-00038-1</x:v>
      </x:c>
      <x:c r="B92" s="46" t="str">
        <x:v>Cover sheet_MVC (Supervision)_fin.docx</x:v>
      </x:c>
      <x:c r="C92" s="43" t="str">
        <x:v>.docx</x:v>
      </x:c>
      <x:c r="D92" s="61" t="n">
        <x:v>34637</x:v>
      </x:c>
      <x:c r="E92" s="43" t="str">
        <x:v>downloaded</x:v>
      </x:c>
      <x:c r="F92" s="43" t="str">
        <x:v>48988f36a1677b840974b441764332faf9570117a014ad513c305d00146e85ea</x:v>
      </x:c>
      <x:c r="G92" s="46" t="str">
        <x:v>/Users/nomadresearch/Documents/Claude/Projects/koica-construction-tender/data/raw/L2025-00038-1/Cover sheet_MVC (Supervision)_fin.docx</x:v>
      </x:c>
      <x:c r="H92" s="43" t="str">
        <x:v>2025-07-04 21:56:24</x:v>
      </x:c>
    </x:row>
    <x:row r="93">
      <x:c r="A93" s="43" t="str">
        <x:v>L2025-00038-1</x:v>
      </x:c>
      <x:c r="B93" s="46" t="str">
        <x:v>MVC (긴급) 입찰 계획서(국문)_20250526.hwp</x:v>
      </x:c>
      <x:c r="C93" s="43" t="str">
        <x:v>.hwp</x:v>
      </x:c>
      <x:c r="D93" s="61" t="n">
        <x:v>82432</x:v>
      </x:c>
      <x:c r="E93" s="43" t="str">
        <x:v>downloaded</x:v>
      </x:c>
      <x:c r="F93" s="43" t="str">
        <x:v>25a7dc41a95dbf76166474ed0a558cf17257c0472a7026bc086acf7a440538a4</x:v>
      </x:c>
      <x:c r="G93" s="46" t="str">
        <x:v>/Users/nomadresearch/Documents/Claude/Projects/koica-construction-tender/data/raw/L2025-00038-1/MVC (긴급) 입찰 계획서(국문)_20250526.hwp</x:v>
      </x:c>
      <x:c r="H93" s="43" t="str">
        <x:v>2025-07-04 21:56:24</x:v>
      </x:c>
    </x:row>
    <x:row r="94">
      <x:c r="A94" s="43" t="str">
        <x:v>L2025-00038-1</x:v>
      </x:c>
      <x:c r="B94" s="46" t="str">
        <x:v>Section 1 - Instructions to Bidders (ITB)_MVC (Supervision)_fin.docx</x:v>
      </x:c>
      <x:c r="C94" s="43" t="str">
        <x:v>.docx</x:v>
      </x:c>
      <x:c r="D94" s="61" t="n">
        <x:v>40430</x:v>
      </x:c>
      <x:c r="E94" s="43" t="str">
        <x:v>downloaded</x:v>
      </x:c>
      <x:c r="F94" s="43" t="str">
        <x:v>e646aa46315e15aaee6dd87d9c17b40f08ddfba16c123ca0ceb84fca13a5d293</x:v>
      </x:c>
      <x:c r="G94" s="46" t="str">
        <x:v>/Users/nomadresearch/Documents/Claude/Projects/koica-construction-tender/data/raw/L2025-00038-1/Section 1 - Instructions to Bidders (ITB)_MVC (Supervision)_fin.docx</x:v>
      </x:c>
      <x:c r="H94" s="43" t="str">
        <x:v>2025-07-04 21:56:24</x:v>
      </x:c>
    </x:row>
    <x:row r="95">
      <x:c r="A95" s="43" t="str">
        <x:v>L2025-00038-1</x:v>
      </x:c>
      <x:c r="B95" s="46" t="str">
        <x:v>Section 2 - Bid Data Sheet (BDS)_MVC (Supervision)_fin.docx</x:v>
      </x:c>
      <x:c r="C95" s="43" t="str">
        <x:v>.docx</x:v>
      </x:c>
      <x:c r="D95" s="61" t="n">
        <x:v>81657</x:v>
      </x:c>
      <x:c r="E95" s="43" t="str">
        <x:v>downloaded</x:v>
      </x:c>
      <x:c r="F95" s="43" t="str">
        <x:v>7f1d3327db1ed1c167b358b569a8417b30f001d64d80bf87d852da5ec80d55b4</x:v>
      </x:c>
      <x:c r="G95" s="46" t="str">
        <x:v>/Users/nomadresearch/Documents/Claude/Projects/koica-construction-tender/data/raw/L2025-00038-1/Section 2 - Bid Data Sheet (BDS)_MVC (Supervision)_fin.docx</x:v>
      </x:c>
      <x:c r="H95" s="43" t="str">
        <x:v>2025-07-04 21:56:24</x:v>
      </x:c>
    </x:row>
    <x:row r="96">
      <x:c r="A96" s="43" t="str">
        <x:v>L2025-00038-1</x:v>
      </x:c>
      <x:c r="B96" s="46" t="str">
        <x:v>Section 3 - Bidding Forms_MVC (Supervision)_fin.docx</x:v>
      </x:c>
      <x:c r="C96" s="43" t="str">
        <x:v>.docx</x:v>
      </x:c>
      <x:c r="D96" s="61" t="n">
        <x:v>62757</x:v>
      </x:c>
      <x:c r="E96" s="43" t="str">
        <x:v>downloaded</x:v>
      </x:c>
      <x:c r="F96" s="43" t="str">
        <x:v>e4bdf2bf240b55da029a367da089969340a5a49bda1a70430d2d5e118e12b7ad</x:v>
      </x:c>
      <x:c r="G96" s="46" t="str">
        <x:v>/Users/nomadresearch/Documents/Claude/Projects/koica-construction-tender/data/raw/L2025-00038-1/Section 3 - Bidding Forms_MVC (Supervision)_fin.docx</x:v>
      </x:c>
      <x:c r="H96" s="43" t="str">
        <x:v>2025-07-04 21:56:24</x:v>
      </x:c>
    </x:row>
    <x:row r="97">
      <x:c r="A97" s="43" t="str">
        <x:v>L2025-00038-1</x:v>
      </x:c>
      <x:c r="B97" s="46" t="str">
        <x:v>Section 4 - Scope of Works_MVC (Supervision)_fin.docx</x:v>
      </x:c>
      <x:c r="C97" s="43" t="str">
        <x:v>.docx</x:v>
      </x:c>
      <x:c r="D97" s="61" t="n">
        <x:v>105878</x:v>
      </x:c>
      <x:c r="E97" s="43" t="str">
        <x:v>downloaded</x:v>
      </x:c>
      <x:c r="F97" s="43" t="str">
        <x:v>1df970782d3889668d31d06fa3f5dbc63c7fb03ede6496049eaaaa2987cbfbaa</x:v>
      </x:c>
      <x:c r="G97" s="46" t="str">
        <x:v>/Users/nomadresearch/Documents/Claude/Projects/koica-construction-tender/data/raw/L2025-00038-1/Section 4 - Scope of Works_MVC (Supervision)_fin.docx</x:v>
      </x:c>
      <x:c r="H97" s="43" t="str">
        <x:v>2025-07-04 21:56:24</x:v>
      </x:c>
    </x:row>
    <x:row r="98">
      <x:c r="A98" s="43" t="str">
        <x:v>L2025-00038-1</x:v>
      </x:c>
      <x:c r="B98" s="46" t="str">
        <x:v>Section 5 - General Conditions of Contract_MVC (Supervision)_fin.docx</x:v>
      </x:c>
      <x:c r="C98" s="43" t="str">
        <x:v>.docx</x:v>
      </x:c>
      <x:c r="D98" s="61" t="n">
        <x:v>40709</x:v>
      </x:c>
      <x:c r="E98" s="43" t="str">
        <x:v>downloaded</x:v>
      </x:c>
      <x:c r="F98" s="43" t="str">
        <x:v>ffc8d648ad2c7a147efbf0bb3e34c2dd1e1a119db31a9d879255eaa543173e88</x:v>
      </x:c>
      <x:c r="G98" s="46" t="str">
        <x:v>/Users/nomadresearch/Documents/Claude/Projects/koica-construction-tender/data/raw/L2025-00038-1/Section 5 - General Conditions of Contract_MVC (Supervision)_fin.docx</x:v>
      </x:c>
      <x:c r="H98" s="43" t="str">
        <x:v>2025-07-04 21:56:24</x:v>
      </x:c>
    </x:row>
    <x:row r="99">
      <x:c r="A99" s="43" t="str">
        <x:v>L2025-00038-1</x:v>
      </x:c>
      <x:c r="B99" s="46" t="str">
        <x:v>Section 6 - Special Conditions of Contract_MVC (Supervision)_fin.docx</x:v>
      </x:c>
      <x:c r="C99" s="43" t="str">
        <x:v>.docx</x:v>
      </x:c>
      <x:c r="D99" s="61" t="n">
        <x:v>28787</x:v>
      </x:c>
      <x:c r="E99" s="43" t="str">
        <x:v>downloaded</x:v>
      </x:c>
      <x:c r="F99" s="43" t="str">
        <x:v>bbb6d6fe08a16ef7545b355b17397546f42b39ab96c11cf48d13bb932797cb76</x:v>
      </x:c>
      <x:c r="G99" s="46" t="str">
        <x:v>/Users/nomadresearch/Documents/Claude/Projects/koica-construction-tender/data/raw/L2025-00038-1/Section 6 - Special Conditions of Contract_MVC (Supervision)_fin.docx</x:v>
      </x:c>
      <x:c r="H99" s="43" t="str">
        <x:v>2025-07-04 21:56:24</x:v>
      </x:c>
    </x:row>
    <x:row r="100">
      <x:c r="A100" s="43" t="str">
        <x:v>L2025-00038-1</x:v>
      </x:c>
      <x:c r="B100" s="46" t="str">
        <x:v>Section 7 - Contract Forms_MVC (Supervision)_fin.docx</x:v>
      </x:c>
      <x:c r="C100" s="43" t="str">
        <x:v>.docx</x:v>
      </x:c>
      <x:c r="D100" s="61" t="n">
        <x:v>41899</x:v>
      </x:c>
      <x:c r="E100" s="43" t="str">
        <x:v>downloaded</x:v>
      </x:c>
      <x:c r="F100" s="43" t="str">
        <x:v>52dae2730c38bf38db1a0cb400b4a47cfba1af759eb764f8dbc65b2397d277af</x:v>
      </x:c>
      <x:c r="G100" s="46" t="str">
        <x:v>/Users/nomadresearch/Documents/Claude/Projects/koica-construction-tender/data/raw/L2025-00038-1/Section 7 - Contract Forms_MVC (Supervision)_fin.docx</x:v>
      </x:c>
      <x:c r="H100" s="43" t="str">
        <x:v>2025-07-04 21:56:24</x:v>
      </x:c>
    </x:row>
    <x:row r="101">
      <x:c r="A101" s="43" t="str">
        <x:v>L2025-00036-1</x:v>
      </x:c>
      <x:c r="B101" s="46" t="str">
        <x:v>붙임2. 입찰서류 영문본 일체.zip</x:v>
      </x:c>
      <x:c r="C101" s="43" t="str">
        <x:v>.zip</x:v>
      </x:c>
      <x:c r="D101" s="61" t="n">
        <x:v>5271869</x:v>
      </x:c>
      <x:c r="E101" s="43" t="str">
        <x:v>downloaded</x:v>
      </x:c>
      <x:c r="F101" s="43" t="str">
        <x:v>fd2849082f7db68caab88bea7064dfa2930ff36c4d5c9e7b7655f2bac12b9e07</x:v>
      </x:c>
      <x:c r="G101" s="46" t="str">
        <x:v>/Users/nomadresearch/Documents/Claude/Projects/koica-construction-tender/data/raw/L2025-00036-1/붙임2. 입찰서류 영문본 일체.zip</x:v>
      </x:c>
      <x:c r="H101" s="43" t="str">
        <x:v>2025-06-02 19:36:48</x:v>
      </x:c>
    </x:row>
    <x:row r="102">
      <x:c r="A102" s="43" t="str">
        <x:v>L2025-00036-1</x:v>
      </x:c>
      <x:c r="B102" s="46" t="str">
        <x:v>정정공고서류.zip</x:v>
      </x:c>
      <x:c r="C102" s="43" t="str">
        <x:v>.zip</x:v>
      </x:c>
      <x:c r="D102" s="61" t="n">
        <x:v>79739</x:v>
      </x:c>
      <x:c r="E102" s="43" t="str">
        <x:v>downloaded</x:v>
      </x:c>
      <x:c r="F102" s="43" t="str">
        <x:v>b84930591758eb9321594303834be9a49c60dccba6725fd30d0b26bb9176a691</x:v>
      </x:c>
      <x:c r="G102" s="46" t="str">
        <x:v>/Users/nomadresearch/Documents/Claude/Projects/koica-construction-tender/data/raw/L2025-00036-1/정정공고서류.zip</x:v>
      </x:c>
      <x:c r="H102" s="43" t="str">
        <x:v>2025-07-22 21:14:13</x:v>
      </x:c>
    </x:row>
    <x:row r="103">
      <x:c r="A103" s="43" t="str">
        <x:v>L2025-00028-1</x:v>
      </x:c>
      <x:c r="B103" s="46" t="str">
        <x:v>Bid_Document_Digitalization_of_the_Parliament_KG_2025_04_May.zip</x:v>
      </x:c>
      <x:c r="C103" s="43" t="str">
        <x:v>.zip</x:v>
      </x:c>
      <x:c r="D103" s="61" t="n">
        <x:v>5894008</x:v>
      </x:c>
      <x:c r="E103" s="43" t="str">
        <x:v>downloaded</x:v>
      </x:c>
      <x:c r="F103" s="43" t="str">
        <x:v>6aeeec8141f69bf82a1fe640df51306e3cc368cdc76a7c037546d34d5371be0f</x:v>
      </x:c>
      <x:c r="G103" s="46" t="str">
        <x:v>/Users/nomadresearch/Documents/Claude/Projects/koica-construction-tender/data/raw/L2025-00028-1/Bid_Document_Digitalization_of_the_Parliament_KG_2025_04_May.zip</x:v>
      </x:c>
      <x:c r="H103" s="43" t="str">
        <x:v>2025-05-29 12:08:47</x:v>
      </x:c>
    </x:row>
    <x:row r="104">
      <x:c r="A104" s="43" t="str">
        <x:v>L2025-00025-1</x:v>
      </x:c>
      <x:c r="B104" s="46" t="str">
        <x:v>Attach01_(붙임1) 입찰공고문 (BDS)_페루 제3 한페 의료센터 설계입찰_250416.hwp</x:v>
      </x:c>
      <x:c r="C104" s="43" t="str">
        <x:v>.hwp</x:v>
      </x:c>
      <x:c r="D104" s="61" t="n">
        <x:v>126464</x:v>
      </x:c>
      <x:c r="E104" s="43" t="str">
        <x:v>downloaded</x:v>
      </x:c>
      <x:c r="F104" s="43" t="str">
        <x:v>af5893005a6237bee9eebb0a04ee896001a1c93944f590a330f1d978bcc6e2ec</x:v>
      </x:c>
      <x:c r="G104" s="46" t="str">
        <x:v>/Users/nomadresearch/Documents/Claude/Projects/koica-construction-tender/data/raw/L2025-00025-1/Attach01_(붙임1) 입찰공고문 (BDS)_페루 제3 한페 의료센터 설계입찰_250416.hwp</x:v>
      </x:c>
      <x:c r="H104" s="43" t="str">
        <x:v>2025-04-23 08:33:08</x:v>
      </x:c>
    </x:row>
    <x:row r="105">
      <x:c r="A105" s="43" t="str">
        <x:v>L2025-00025-1</x:v>
      </x:c>
      <x:c r="B105" s="46" t="str">
        <x:v>Attach02_(붙임2) 입찰제반서류_공고문.zip</x:v>
      </x:c>
      <x:c r="C105" s="43" t="str">
        <x:v>.zip</x:v>
      </x:c>
      <x:c r="D105" s="61" t="n">
        <x:v>12598620</x:v>
      </x:c>
      <x:c r="E105" s="43" t="str">
        <x:v>downloaded</x:v>
      </x:c>
      <x:c r="F105" s="43" t="str">
        <x:v>f4fd5d5955e536bb09c372d54ad8ddd3c279f9b15aa9f89cfc6ba6afd6cdc28e</x:v>
      </x:c>
      <x:c r="G105" s="46" t="str">
        <x:v>/Users/nomadresearch/Documents/Claude/Projects/koica-construction-tender/data/raw/L2025-00025-1/Attach02_(붙임2) 입찰제반서류_공고문.zip</x:v>
      </x:c>
      <x:c r="H105" s="43" t="str">
        <x:v>2025-04-23 08:33:08</x:v>
      </x:c>
    </x:row>
    <x:row r="106">
      <x:c r="A106" s="43" t="str">
        <x:v>L2025-00021-1</x:v>
      </x:c>
      <x:c r="B106" s="46" t="str">
        <x:v>3. (세네갈) 입찰계획서 Bid Data Sheet(국문)_미곡2 건축감리.hwp</x:v>
      </x:c>
      <x:c r="C106" s="43" t="str">
        <x:v>.hwp</x:v>
      </x:c>
      <x:c r="D106" s="61" t="n">
        <x:v>5106176</x:v>
      </x:c>
      <x:c r="E106" s="43" t="str">
        <x:v>downloaded</x:v>
      </x:c>
      <x:c r="F106" s="43" t="str">
        <x:v>2618c3981e514394fc62262ecb7bef944dd9d271c2dda559ad79a50fdc43bf38</x:v>
      </x:c>
      <x:c r="G106" s="46" t="str">
        <x:v>/Users/nomadresearch/Documents/Claude/Projects/koica-construction-tender/data/raw/L2025-00021-1/3. (세네갈) 입찰계획서 Bid Data Sheet(국문)_미곡2 건축감리.hwp</x:v>
      </x:c>
      <x:c r="H106" s="43" t="str">
        <x:v>2025-04-14 18:47:54</x:v>
      </x:c>
    </x:row>
    <x:row r="107">
      <x:c r="A107" s="43" t="str">
        <x:v>L2025-00021-1</x:v>
      </x:c>
      <x:c r="B107" s="46" t="str">
        <x:v>2. (세네갈) 입찰서류 일체.zip</x:v>
      </x:c>
      <x:c r="C107" s="43" t="str">
        <x:v>.zip</x:v>
      </x:c>
      <x:c r="D107" s="61" t="n">
        <x:v>1594413</x:v>
      </x:c>
      <x:c r="E107" s="43" t="str">
        <x:v>downloaded</x:v>
      </x:c>
      <x:c r="F107" s="43" t="str">
        <x:v>61c0179874ec0a2ace12431c192eb719bf495c68545ce5ef34db22e0522f2b32</x:v>
      </x:c>
      <x:c r="G107" s="46" t="str">
        <x:v>/Users/nomadresearch/Documents/Claude/Projects/koica-construction-tender/data/raw/L2025-00021-1/2. (세네갈) 입찰서류 일체.zip</x:v>
      </x:c>
      <x:c r="H107" s="43" t="str">
        <x:v>2025-04-14 18:47:54</x:v>
      </x:c>
    </x:row>
    <x:row r="108">
      <x:c r="A108" s="43" t="str">
        <x:v>L2025-00021-1</x:v>
      </x:c>
      <x:c r="B108" s="46" t="str">
        <x:v>1. (세네갈) 입찰 요약본 (Summary of Bidding) (요약본).docx</x:v>
      </x:c>
      <x:c r="C108" s="43" t="str">
        <x:v>.docx</x:v>
      </x:c>
      <x:c r="D108" s="61" t="n">
        <x:v>22680</x:v>
      </x:c>
      <x:c r="E108" s="43" t="str">
        <x:v>downloaded</x:v>
      </x:c>
      <x:c r="F108" s="43" t="str">
        <x:v>5d307ac611583af5b44087977eb70b4783fe2929f73cbd97e136713a9db52114</x:v>
      </x:c>
      <x:c r="G108" s="46" t="str">
        <x:v>/Users/nomadresearch/Documents/Claude/Projects/koica-construction-tender/data/raw/L2025-00021-1/1. (세네갈) 입찰 요약본 (Summary of Bidding) (요약본).docx</x:v>
      </x:c>
      <x:c r="H108" s="43" t="str">
        <x:v>2025-04-14 18:47:54</x:v>
      </x:c>
    </x:row>
    <x:row r="109">
      <x:c r="A109" s="43" t="str">
        <x:v>L2025-00019-1</x:v>
      </x:c>
      <x:c r="B109" s="46" t="str">
        <x:v>Procurement Process.png</x:v>
      </x:c>
      <x:c r="C109" s="43" t="str">
        <x:v>.png</x:v>
      </x:c>
      <x:c r="D109" s="61" t="n">
        <x:v>46068</x:v>
      </x:c>
      <x:c r="E109" s="43" t="str">
        <x:v>downloaded</x:v>
      </x:c>
      <x:c r="F109" s="43" t="str">
        <x:v>47e213a1bea48eb58c0a027e9888a207a5952a8ecad08b9322856ef5cce6405d</x:v>
      </x:c>
      <x:c r="G109" s="46" t="str">
        <x:v>/Users/nomadresearch/Documents/Claude/Projects/koica-construction-tender/data/raw/L2025-00019-1/Procurement Process.png</x:v>
      </x:c>
      <x:c r="H109" s="43" t="str">
        <x:v>2025-04-07 18:55:15</x:v>
      </x:c>
    </x:row>
    <x:row r="110">
      <x:c r="A110" s="43" t="str">
        <x:v>L2025-00019-1</x:v>
      </x:c>
      <x:c r="B110" s="46" t="str">
        <x:v>가나 관개지구 개선 및 물 관리 역량강화 사업 수원국 입찰자료 및 공고 승인 관련 No Objection 검토 결과.hwp</x:v>
      </x:c>
      <x:c r="C110" s="43" t="str">
        <x:v>.hwp</x:v>
      </x:c>
      <x:c r="D110" s="61" t="n">
        <x:v>146944</x:v>
      </x:c>
      <x:c r="E110" s="43" t="str">
        <x:v>downloaded</x:v>
      </x:c>
      <x:c r="F110" s="43" t="str">
        <x:v>7cac63d4f232a218596c9aa715c291c9eee749d0a60f090a74a61e2b18d0c5ce</x:v>
      </x:c>
      <x:c r="G110" s="46" t="str">
        <x:v>/Users/nomadresearch/Documents/Claude/Projects/koica-construction-tender/data/raw/L2025-00019-1/가나 관개지구 개선 및 물 관리 역량강화 사업 수원국 입찰자료 및 공고 승인 관련 No Objection 검토 결과.hwp</x:v>
      </x:c>
      <x:c r="H110" s="43" t="str">
        <x:v>2025-04-07 18:55:15</x:v>
      </x:c>
    </x:row>
    <x:row r="111">
      <x:c r="A111" s="43" t="str">
        <x:v>L2025-00019-1</x:v>
      </x:c>
      <x:c r="B111" s="46" t="str">
        <x:v>1. 가나 관개청 입찰자료 승인 요청 서한.pdf</x:v>
      </x:c>
      <x:c r="C111" s="43" t="str">
        <x:v>.pdf</x:v>
      </x:c>
      <x:c r="D111" s="61" t="n">
        <x:v>251855</x:v>
      </x:c>
      <x:c r="E111" s="43" t="str">
        <x:v>downloaded</x:v>
      </x:c>
      <x:c r="F111" s="43" t="str">
        <x:v>f1b66419a6203e5de5143c48878746f823b15c611340ad746deb6d1b300a7195</x:v>
      </x:c>
      <x:c r="G111" s="46" t="str">
        <x:v>/Users/nomadresearch/Documents/Claude/Projects/koica-construction-tender/data/raw/L2025-00019-1/1. 가나 관개청 입찰자료 승인 요청 서한.pdf</x:v>
      </x:c>
      <x:c r="H111" s="43" t="str">
        <x:v>2025-04-07 18:55:15</x:v>
      </x:c>
    </x:row>
    <x:row r="112">
      <x:c r="A112" s="43" t="str">
        <x:v>L2025-00019-1</x:v>
      </x:c>
      <x:c r="B112" s="46" t="str">
        <x:v>2. 입찰서류-Ashaiman.doc</x:v>
      </x:c>
      <x:c r="C112" s="43" t="str">
        <x:v>.doc</x:v>
      </x:c>
      <x:c r="D112" s="61" t="n">
        <x:v>1554944</x:v>
      </x:c>
      <x:c r="E112" s="43" t="str">
        <x:v>downloaded</x:v>
      </x:c>
      <x:c r="F112" s="43" t="str">
        <x:v>fcf7ba0f440a4e237c59250c6e368eea84f4bfbcae1f42fc7d7bc3f68061a60c</x:v>
      </x:c>
      <x:c r="G112" s="46" t="str">
        <x:v>/Users/nomadresearch/Documents/Claude/Projects/koica-construction-tender/data/raw/L2025-00019-1/2. 입찰서류-Ashaiman.doc</x:v>
      </x:c>
      <x:c r="H112" s="43" t="str">
        <x:v>2025-04-07 18:55:15</x:v>
      </x:c>
    </x:row>
    <x:row r="113">
      <x:c r="A113" s="43" t="str">
        <x:v>L2025-00019-1</x:v>
      </x:c>
      <x:c r="B113" s="46" t="str">
        <x:v>2-1. 입찰서류-Aveyime.doc</x:v>
      </x:c>
      <x:c r="C113" s="43" t="str">
        <x:v>.doc</x:v>
      </x:c>
      <x:c r="D113" s="61" t="n">
        <x:v>1540096</x:v>
      </x:c>
      <x:c r="E113" s="43" t="str">
        <x:v>downloaded</x:v>
      </x:c>
      <x:c r="F113" s="43" t="str">
        <x:v>de7afc22402d6a71818b6a6da493fa36195da9b611bb999c8a2e121b38f11894</x:v>
      </x:c>
      <x:c r="G113" s="46" t="str">
        <x:v>/Users/nomadresearch/Documents/Claude/Projects/koica-construction-tender/data/raw/L2025-00019-1/2-1. 입찰서류-Aveyime.doc</x:v>
      </x:c>
      <x:c r="H113" s="43" t="str">
        <x:v>2025-04-07 18:55:15</x:v>
      </x:c>
    </x:row>
    <x:row r="114">
      <x:c r="A114" s="43" t="str">
        <x:v>L2025-00019-1</x:v>
      </x:c>
      <x:c r="B114" s="46" t="str">
        <x:v>3. 입찰 관련 자료.zip</x:v>
      </x:c>
      <x:c r="C114" s="43" t="str">
        <x:v>.zip</x:v>
      </x:c>
      <x:c r="D114" s="61" t="n">
        <x:v>7578023</x:v>
      </x:c>
      <x:c r="E114" s="43" t="str">
        <x:v>downloaded</x:v>
      </x:c>
      <x:c r="F114" s="43" t="str">
        <x:v>b0284e94be97ea423d6a9efbc24f628a3119ee10adc85abe5df666bde8d778d5</x:v>
      </x:c>
      <x:c r="G114" s="46" t="str">
        <x:v>/Users/nomadresearch/Documents/Claude/Projects/koica-construction-tender/data/raw/L2025-00019-1/3. 입찰 관련 자료.zip</x:v>
      </x:c>
      <x:c r="H114" s="43" t="str">
        <x:v>2025-04-07 18:55:15</x:v>
      </x:c>
    </x:row>
    <x:row r="115">
      <x:c r="A115" s="43" t="str">
        <x:v>L2025-00019-1</x:v>
      </x:c>
      <x:c r="B115" s="46" t="str">
        <x:v>KOICA 승인 레터.pdf</x:v>
      </x:c>
      <x:c r="C115" s="43" t="str">
        <x:v>.pdf</x:v>
      </x:c>
      <x:c r="D115" s="61" t="n">
        <x:v>281196</x:v>
      </x:c>
      <x:c r="E115" s="43" t="str">
        <x:v>downloaded</x:v>
      </x:c>
      <x:c r="F115" s="43" t="str">
        <x:v>2cfc16328da4167cae13736e41f69ac75f821e2a420b231918e357b9940b4788</x:v>
      </x:c>
      <x:c r="G115" s="46" t="str">
        <x:v>/Users/nomadresearch/Documents/Claude/Projects/koica-construction-tender/data/raw/L2025-00019-1/KOICA 승인 레터.pdf</x:v>
      </x:c>
      <x:c r="H115" s="43" t="str">
        <x:v>2025-04-07 18:55:15</x:v>
      </x:c>
    </x:row>
    <x:row r="116">
      <x:c r="A116" s="43" t="str">
        <x:v>L2025-00018-1</x:v>
      </x:c>
      <x:c r="B116" s="46" t="str">
        <x:v>1-1. 입찰공고문_국문.hwp</x:v>
      </x:c>
      <x:c r="C116" s="43" t="str">
        <x:v>.hwp</x:v>
      </x:c>
      <x:c r="D116" s="61" t="n">
        <x:v>65024</x:v>
      </x:c>
      <x:c r="E116" s="43" t="str">
        <x:v>downloaded</x:v>
      </x:c>
      <x:c r="F116" s="43" t="str">
        <x:v>0e918dd0c62f6325b9daa2804668874e635513e6589031080a06caa9815698da</x:v>
      </x:c>
      <x:c r="G116" s="46" t="str">
        <x:v>/Users/nomadresearch/Documents/Claude/Projects/koica-construction-tender/data/raw/L2025-00018-1/1-1. 입찰공고문_국문.hwp</x:v>
      </x:c>
      <x:c r="H116" s="43" t="str">
        <x:v>2025-04-07 17:41:38</x:v>
      </x:c>
    </x:row>
    <x:row r="117">
      <x:c r="A117" s="43" t="str">
        <x:v>L2025-00018-1</x:v>
      </x:c>
      <x:c r="B117" s="46" t="str">
        <x:v>1-2. Bid Data Sheet _영문.docx</x:v>
      </x:c>
      <x:c r="C117" s="43" t="str">
        <x:v>.docx</x:v>
      </x:c>
      <x:c r="D117" s="61" t="n">
        <x:v>61113</x:v>
      </x:c>
      <x:c r="E117" s="43" t="str">
        <x:v>downloaded</x:v>
      </x:c>
      <x:c r="F117" s="43" t="str">
        <x:v>c8228e7f5e0bae4915327d9771427cb902cdfe733dfd700b2c5b14a922614403</x:v>
      </x:c>
      <x:c r="G117" s="46" t="str">
        <x:v>/Users/nomadresearch/Documents/Claude/Projects/koica-construction-tender/data/raw/L2025-00018-1/1-2. Bid Data Sheet _영문.docx</x:v>
      </x:c>
      <x:c r="H117" s="43" t="str">
        <x:v>2025-04-07 17:41:38</x:v>
      </x:c>
    </x:row>
    <x:row r="118">
      <x:c r="A118" s="43" t="str">
        <x:v>L2025-00018-1</x:v>
      </x:c>
      <x:c r="B118" s="46" t="str">
        <x:v>2. 입찰 제출 필수 서류.docx</x:v>
      </x:c>
      <x:c r="C118" s="43" t="str">
        <x:v>.docx</x:v>
      </x:c>
      <x:c r="D118" s="61" t="n">
        <x:v>18408</x:v>
      </x:c>
      <x:c r="E118" s="43" t="str">
        <x:v>downloaded</x:v>
      </x:c>
      <x:c r="F118" s="43" t="str">
        <x:v>f1d28aff0cde0ec1a6f21f1a5249668ceec4b2df13adf70aa755c6cef184245f</x:v>
      </x:c>
      <x:c r="G118" s="46" t="str">
        <x:v>/Users/nomadresearch/Documents/Claude/Projects/koica-construction-tender/data/raw/L2025-00018-1/2. 입찰 제출 필수 서류.docx</x:v>
      </x:c>
      <x:c r="H118" s="43" t="str">
        <x:v>2025-04-07 17:41:38</x:v>
      </x:c>
    </x:row>
    <x:row r="119">
      <x:c r="A119" s="43" t="str">
        <x:v>L2025-00018-1</x:v>
      </x:c>
      <x:c r="B119" s="46" t="str">
        <x:v>3. 집행한도금액 예산(안).xlsx</x:v>
      </x:c>
      <x:c r="C119" s="43" t="str">
        <x:v>.xlsx</x:v>
      </x:c>
      <x:c r="D119" s="61" t="n">
        <x:v>113435</x:v>
      </x:c>
      <x:c r="E119" s="43" t="str">
        <x:v>downloaded</x:v>
      </x:c>
      <x:c r="F119" s="43" t="str">
        <x:v>00c7377ff4ade4d870b1d30cb6570d66c65b76a73618f2240cf857cbf59f13de</x:v>
      </x:c>
      <x:c r="G119" s="46" t="str">
        <x:v>/Users/nomadresearch/Documents/Claude/Projects/koica-construction-tender/data/raw/L2025-00018-1/3. 집행한도금액 예산(안).xlsx</x:v>
      </x:c>
      <x:c r="H119" s="43" t="str">
        <x:v>2025-04-07 17:41:38</x:v>
      </x:c>
    </x:row>
    <x:row r="120">
      <x:c r="A120" s="43" t="str">
        <x:v>L2025-00017-2</x:v>
      </x:c>
      <x:c r="B120" s="46" t="str">
        <x:v>[붙임4] 부속서류 일체.pdf</x:v>
      </x:c>
      <x:c r="C120" s="43" t="str">
        <x:v>.pdf</x:v>
      </x:c>
      <x:c r="D120" s="61" t="n">
        <x:v>7586473</x:v>
      </x:c>
      <x:c r="E120" s="43" t="str">
        <x:v>downloaded</x:v>
      </x:c>
      <x:c r="F120" s="43" t="str">
        <x:v>c0d3754e32e57f9e29605403064671ca2a8a8766960405ad01a0aaf2fb52ad95</x:v>
      </x:c>
      <x:c r="G120" s="46" t="str">
        <x:v>/Users/nomadresearch/Documents/Claude/Projects/koica-construction-tender/data/raw/L2025-00017-2/[붙임4] 부속서류 일체.pdf</x:v>
      </x:c>
      <x:c r="H120" s="43" t="str">
        <x:v>2025-05-14 17:55:04</x:v>
      </x:c>
    </x:row>
    <x:row r="121">
      <x:c r="A121" s="43" t="str">
        <x:v>L2025-00017-2</x:v>
      </x:c>
      <x:c r="B121" s="46" t="str">
        <x:v>붙임1. 수원국공문(현안보고).pdf</x:v>
      </x:c>
      <x:c r="C121" s="43" t="str">
        <x:v>.pdf</x:v>
      </x:c>
      <x:c r="D121" s="61" t="n">
        <x:v>325206</x:v>
      </x:c>
      <x:c r="E121" s="43" t="str">
        <x:v>downloaded</x:v>
      </x:c>
      <x:c r="F121" s="43" t="str">
        <x:v>d120a59737ad4898120743679b6a7a138f721da08d3d381c99cfa1255fc83d73</x:v>
      </x:c>
      <x:c r="G121" s="46" t="str">
        <x:v>/Users/nomadresearch/Documents/Claude/Projects/koica-construction-tender/data/raw/L2025-00017-2/붙임1. 수원국공문(현안보고).pdf</x:v>
      </x:c>
      <x:c r="H121" s="43" t="str">
        <x:v>2025-05-14 17:55:04</x:v>
      </x:c>
    </x:row>
    <x:row r="122">
      <x:c r="A122" s="43" t="str">
        <x:v>L2025-00017-2</x:v>
      </x:c>
      <x:c r="B122" s="46" t="str">
        <x:v>붙임2. 수정 일정표.pdf</x:v>
      </x:c>
      <x:c r="C122" s="43" t="str">
        <x:v>.pdf</x:v>
      </x:c>
      <x:c r="D122" s="61" t="n">
        <x:v>686919</x:v>
      </x:c>
      <x:c r="E122" s="43" t="str">
        <x:v>downloaded</x:v>
      </x:c>
      <x:c r="F122" s="43" t="str">
        <x:v>b5e34e5a570853117b0b40908c572fe90520c2c25385dd6d251cc9b8a13af3ee</x:v>
      </x:c>
      <x:c r="G122" s="46" t="str">
        <x:v>/Users/nomadresearch/Documents/Claude/Projects/koica-construction-tender/data/raw/L2025-00017-2/붙임2. 수정 일정표.pdf</x:v>
      </x:c>
      <x:c r="H122" s="43" t="str">
        <x:v>2025-05-14 17:55:04</x:v>
      </x:c>
    </x:row>
    <x:row r="123">
      <x:c r="A123" s="43" t="str">
        <x:v>L2025-00017-2</x:v>
      </x:c>
      <x:c r="B123" s="46" t="str">
        <x:v>1. BOQ for Zaytun Library_non-priced for 2 stages.xlsx</x:v>
      </x:c>
      <x:c r="C123" s="43" t="str">
        <x:v>.xlsx</x:v>
      </x:c>
      <x:c r="D123" s="61" t="n">
        <x:v>20974</x:v>
      </x:c>
      <x:c r="E123" s="43" t="str">
        <x:v>downloaded</x:v>
      </x:c>
      <x:c r="F123" s="43" t="str">
        <x:v>7a20c85a0c452f9d38e70c7cd5af02cb40ecd225f50f31491a688055fd66e67e</x:v>
      </x:c>
      <x:c r="G123" s="46" t="str">
        <x:v>/Users/nomadresearch/Documents/Claude/Projects/koica-construction-tender/data/raw/L2025-00017-2/1. BOQ for Zaytun Library_non-priced for 2 stages.xlsx</x:v>
      </x:c>
      <x:c r="H123" s="43" t="str">
        <x:v>2025-05-14 17:55:04</x:v>
      </x:c>
    </x:row>
    <x:row r="124">
      <x:c r="A124" s="43" t="str">
        <x:v>L2025-00017-2</x:v>
      </x:c>
      <x:c r="B124" s="46" t="str">
        <x:v>2. Time Schedule for Renovating Zaytun Library.xlsx</x:v>
      </x:c>
      <x:c r="C124" s="43" t="str">
        <x:v>.xlsx</x:v>
      </x:c>
      <x:c r="D124" s="61" t="n">
        <x:v>35136</x:v>
      </x:c>
      <x:c r="E124" s="43" t="str">
        <x:v>downloaded</x:v>
      </x:c>
      <x:c r="F124" s="43" t="str">
        <x:v>43f6ae563e42f0fb9950bad63b62b9a891ed6365c1c90315fb1cf473ae461e08</x:v>
      </x:c>
      <x:c r="G124" s="46" t="str">
        <x:v>/Users/nomadresearch/Documents/Claude/Projects/koica-construction-tender/data/raw/L2025-00017-2/2. Time Schedule for Renovating Zaytun Library.xlsx</x:v>
      </x:c>
      <x:c r="H124" s="43" t="str">
        <x:v>2025-05-14 17:55:04</x:v>
      </x:c>
    </x:row>
    <x:row r="125">
      <x:c r="A125" s="43" t="str">
        <x:v>L2025-00017-2</x:v>
      </x:c>
      <x:c r="B125" s="46" t="str">
        <x:v>3. Questions to be requested by the bidders.docx</x:v>
      </x:c>
      <x:c r="C125" s="43" t="str">
        <x:v>.docx</x:v>
      </x:c>
      <x:c r="D125" s="61" t="n">
        <x:v>12475</x:v>
      </x:c>
      <x:c r="E125" s="43" t="str">
        <x:v>downloaded</x:v>
      </x:c>
      <x:c r="F125" s="43" t="str">
        <x:v>d625229d30ac5924371397474746fc819e79455cde1d6eb8568bda7bc3a85950</x:v>
      </x:c>
      <x:c r="G125" s="46" t="str">
        <x:v>/Users/nomadresearch/Documents/Claude/Projects/koica-construction-tender/data/raw/L2025-00017-2/3. Questions to be requested by the bidders.docx</x:v>
      </x:c>
      <x:c r="H125" s="43" t="str">
        <x:v>2025-05-14 17:55:04</x:v>
      </x:c>
    </x:row>
    <x:row r="126">
      <x:c r="A126" s="43" t="str">
        <x:v>L2025-00017-1</x:v>
      </x:c>
      <x:c r="B126" s="46" t="str">
        <x:v>(이라크 아르빌) 자이툰 도서관 리모델링 공사 입찰계획(안) 수립.hwp</x:v>
      </x:c>
      <x:c r="C126" s="43" t="str">
        <x:v>.hwp</x:v>
      </x:c>
      <x:c r="D126" s="61" t="n">
        <x:v>158720</x:v>
      </x:c>
      <x:c r="E126" s="43" t="str">
        <x:v>downloaded</x:v>
      </x:c>
      <x:c r="F126" s="43" t="str">
        <x:v>c6bb75b71d5b89790494539dabdde36e7bd6b702c09ff07ffafc5e50445e2070</x:v>
      </x:c>
      <x:c r="G126" s="46" t="str">
        <x:v>/Users/nomadresearch/Documents/Claude/Projects/koica-construction-tender/data/raw/L2025-00017-1/(이라크 아르빌) 자이툰 도서관 리모델링 공사 입찰계획(안) 수립.hwp</x:v>
      </x:c>
      <x:c r="H126" s="43" t="str">
        <x:v>2025-03-31 17:31:15</x:v>
      </x:c>
    </x:row>
    <x:row r="127">
      <x:c r="A127" s="43" t="str">
        <x:v>L2025-00017-1</x:v>
      </x:c>
      <x:c r="B127" s="46" t="str">
        <x:v>[붙임1] 자이툰 도서관 리모델링 공사 입찰계획(안).hwp</x:v>
      </x:c>
      <x:c r="C127" s="43" t="str">
        <x:v>.hwp</x:v>
      </x:c>
      <x:c r="D127" s="61" t="n">
        <x:v>247296</x:v>
      </x:c>
      <x:c r="E127" s="43" t="str">
        <x:v>downloaded</x:v>
      </x:c>
      <x:c r="F127" s="43" t="str">
        <x:v>65ededab97b4832bbb309a163e2fdc771a23e35a9341847165244a87fe76c584</x:v>
      </x:c>
      <x:c r="G127" s="46" t="str">
        <x:v>/Users/nomadresearch/Documents/Claude/Projects/koica-construction-tender/data/raw/L2025-00017-1/[붙임1] 자이툰 도서관 리모델링 공사 입찰계획(안).hwp</x:v>
      </x:c>
      <x:c r="H127" s="43" t="str">
        <x:v>2025-03-31 17:31:15</x:v>
      </x:c>
    </x:row>
    <x:row r="128">
      <x:c r="A128" s="43" t="str">
        <x:v>L2025-00017-1</x:v>
      </x:c>
      <x:c r="B128" s="46" t="str">
        <x:v>[붙임2] 입찰협약서(addendum) 서명본.pdf</x:v>
      </x:c>
      <x:c r="C128" s="43" t="str">
        <x:v>.pdf</x:v>
      </x:c>
      <x:c r="D128" s="61" t="n">
        <x:v>4970833</x:v>
      </x:c>
      <x:c r="E128" s="43" t="str">
        <x:v>downloaded</x:v>
      </x:c>
      <x:c r="F128" s="43" t="str">
        <x:v>04a195889af05115dd77f05905631052698c060f42f33002ab52248d218a3828</x:v>
      </x:c>
      <x:c r="G128" s="46" t="str">
        <x:v>/Users/nomadresearch/Documents/Claude/Projects/koica-construction-tender/data/raw/L2025-00017-1/[붙임2] 입찰협약서(addendum) 서명본.pdf</x:v>
      </x:c>
      <x:c r="H128" s="43" t="str">
        <x:v>2025-03-31 17:31:15</x:v>
      </x:c>
    </x:row>
    <x:row r="129">
      <x:c r="A129" s="43" t="str">
        <x:v>L2025-00017-1</x:v>
      </x:c>
      <x:c r="B129" s="46" t="str">
        <x:v>[붙임3] 수원기관 공문(보완자료 제출, 3.16.).pdf</x:v>
      </x:c>
      <x:c r="C129" s="43" t="str">
        <x:v>.pdf</x:v>
      </x:c>
      <x:c r="D129" s="61" t="n">
        <x:v>810024</x:v>
      </x:c>
      <x:c r="E129" s="43" t="str">
        <x:v>downloaded</x:v>
      </x:c>
      <x:c r="F129" s="43" t="str">
        <x:v>7fd27a810d38977c90aeb0bf0cf5a1804ed304d2c5abe7170e549bc24952b496</x:v>
      </x:c>
      <x:c r="G129" s="46" t="str">
        <x:v>/Users/nomadresearch/Documents/Claude/Projects/koica-construction-tender/data/raw/L2025-00017-1/[붙임3] 수원기관 공문(보완자료 제출, 3.16.).pdf</x:v>
      </x:c>
      <x:c r="H129" s="43" t="str">
        <x:v>2025-03-31 17:31:15</x:v>
      </x:c>
    </x:row>
    <x:row r="130">
      <x:c r="A130" s="43" t="str">
        <x:v>L2025-00017-1</x:v>
      </x:c>
      <x:c r="B130" s="46" t="str">
        <x:v>[붙임4] 토펙중동중앙아제2025-002호 (이크라 자이툰 도서관 리노베이션 수원국 조달시스템 추진 관련 검토 건).pdf</x:v>
      </x:c>
      <x:c r="C130" s="43" t="str">
        <x:v>.pdf</x:v>
      </x:c>
      <x:c r="D130" s="61" t="n">
        <x:v>130340</x:v>
      </x:c>
      <x:c r="E130" s="43" t="str">
        <x:v>downloaded</x:v>
      </x:c>
      <x:c r="F130" s="43" t="str">
        <x:v>98c956c269eb3e784505c47baf3371a5267aad3ef09b5756ac6bfe7b106ab154</x:v>
      </x:c>
      <x:c r="G130" s="46" t="str">
        <x:v>/Users/nomadresearch/Documents/Claude/Projects/koica-construction-tender/data/raw/L2025-00017-1/[붙임4] 토펙중동중앙아제2025-002호 (이크라 자이툰 도서관 리노베이션 수원국 조달시스템 추진 관련 검토 건).pdf</x:v>
      </x:c>
      <x:c r="H130" s="43" t="str">
        <x:v>2025-03-31 17:31:15</x:v>
      </x:c>
    </x:row>
    <x:row r="131">
      <x:c r="A131" s="43" t="str">
        <x:v>L2025-00017-1</x:v>
      </x:c>
      <x:c r="B131" s="46" t="str">
        <x:v>[붙임5] 부속서류 일체.zip</x:v>
      </x:c>
      <x:c r="C131" s="43" t="str">
        <x:v>.zip</x:v>
      </x:c>
      <x:c r="D131" s="61" t="n">
        <x:v>9142177</x:v>
      </x:c>
      <x:c r="E131" s="43" t="str">
        <x:v>downloaded</x:v>
      </x:c>
      <x:c r="F131" s="43" t="str">
        <x:v>fa1bd2b08522df8d56d00cfc097f83170f6996c1363b47aa5ce2a78f5517c6b9</x:v>
      </x:c>
      <x:c r="G131" s="46" t="str">
        <x:v>/Users/nomadresearch/Documents/Claude/Projects/koica-construction-tender/data/raw/L2025-00017-1/[붙임5] 부속서류 일체.zip</x:v>
      </x:c>
      <x:c r="H131" s="43" t="str">
        <x:v>2025-03-31 17:31:15</x:v>
      </x:c>
    </x:row>
    <x:row r="132">
      <x:c r="A132" s="43" t="str">
        <x:v>L2025-00016-2</x:v>
      </x:c>
      <x:c r="B132" s="46" t="str">
        <x:v>KOICA bidding regulation.zip</x:v>
      </x:c>
      <x:c r="C132" s="43" t="str">
        <x:v>.zip</x:v>
      </x:c>
      <x:c r="D132" s="61" t="n">
        <x:v>2017505</x:v>
      </x:c>
      <x:c r="E132" s="43" t="str">
        <x:v>downloaded</x:v>
      </x:c>
      <x:c r="F132" s="43" t="str">
        <x:v>d9396c918967f50b2155bb726764ae0df60ac9b308ca169fc36359d2f51fc5f1</x:v>
      </x:c>
      <x:c r="G132" s="46" t="str">
        <x:v>/Users/nomadresearch/Documents/Claude/Projects/koica-construction-tender/data/raw/L2025-00016-2/KOICA bidding regulation.zip</x:v>
      </x:c>
      <x:c r="H132" s="43" t="str">
        <x:v>2025-05-29 16:13:24</x:v>
      </x:c>
    </x:row>
    <x:row r="133">
      <x:c r="A133" s="43" t="str">
        <x:v>L2025-00016-2</x:v>
      </x:c>
      <x:c r="B133" s="46" t="str">
        <x:v>Section 1 - Instructions to Bidders (ITB).zip</x:v>
      </x:c>
      <x:c r="C133" s="43" t="str">
        <x:v>.zip</x:v>
      </x:c>
      <x:c r="D133" s="61" t="n">
        <x:v>284234</x:v>
      </x:c>
      <x:c r="E133" s="43" t="str">
        <x:v>downloaded</x:v>
      </x:c>
      <x:c r="F133" s="43" t="str">
        <x:v>9a1028f09eacdab66588e429f4a98eff31c84cc67090fd196287124b653262b2</x:v>
      </x:c>
      <x:c r="G133" s="46" t="str">
        <x:v>/Users/nomadresearch/Documents/Claude/Projects/koica-construction-tender/data/raw/L2025-00016-2/Section 1 - Instructions to Bidders (ITB).zip</x:v>
      </x:c>
      <x:c r="H133" s="43" t="str">
        <x:v>2025-05-29 16:13:24</x:v>
      </x:c>
    </x:row>
    <x:row r="134">
      <x:c r="A134" s="43" t="str">
        <x:v>L2025-00016-2</x:v>
      </x:c>
      <x:c r="B134" s="46" t="str">
        <x:v>Section 2 - Bid Data Sheet (eng).docx</x:v>
      </x:c>
      <x:c r="C134" s="43" t="str">
        <x:v>.docx</x:v>
      </x:c>
      <x:c r="D134" s="61" t="n">
        <x:v>30358</x:v>
      </x:c>
      <x:c r="E134" s="43" t="str">
        <x:v>downloaded</x:v>
      </x:c>
      <x:c r="F134" s="43" t="str">
        <x:v>23be7483d1c79c008113a9d855c48ed7ad6a6981a3887a29e0a56ef22b325915</x:v>
      </x:c>
      <x:c r="G134" s="46" t="str">
        <x:v>/Users/nomadresearch/Documents/Claude/Projects/koica-construction-tender/data/raw/L2025-00016-2/Section 2 - Bid Data Sheet (eng).docx</x:v>
      </x:c>
      <x:c r="H134" s="43" t="str">
        <x:v>2025-05-29 16:13:24</x:v>
      </x:c>
    </x:row>
    <x:row r="135">
      <x:c r="A135" s="43" t="str">
        <x:v>L2025-00016-2</x:v>
      </x:c>
      <x:c r="B135" s="46" t="str">
        <x:v>Section 3 - Bidding Forms.docx</x:v>
      </x:c>
      <x:c r="C135" s="43" t="str">
        <x:v>.docx</x:v>
      </x:c>
      <x:c r="D135" s="61" t="n">
        <x:v>33084</x:v>
      </x:c>
      <x:c r="E135" s="43" t="str">
        <x:v>downloaded</x:v>
      </x:c>
      <x:c r="F135" s="43" t="str">
        <x:v>34ca810a88f9695fc71bad02c9a5b7a2c26215a04ba75824cdb29c97a14f2ba5</x:v>
      </x:c>
      <x:c r="G135" s="46" t="str">
        <x:v>/Users/nomadresearch/Documents/Claude/Projects/koica-construction-tender/data/raw/L2025-00016-2/Section 3 - Bidding Forms.docx</x:v>
      </x:c>
      <x:c r="H135" s="43" t="str">
        <x:v>2025-06-06 21:18:38</x:v>
      </x:c>
    </x:row>
    <x:row r="136">
      <x:c r="A136" s="43" t="str">
        <x:v>L2025-00016-2</x:v>
      </x:c>
      <x:c r="B136" s="46" t="str">
        <x:v>Section 4 - BOQ_empty.xlsx</x:v>
      </x:c>
      <x:c r="C136" s="43" t="str">
        <x:v>.xlsx</x:v>
      </x:c>
      <x:c r="D136" s="61" t="n">
        <x:v>271278</x:v>
      </x:c>
      <x:c r="E136" s="43" t="str">
        <x:v>downloaded</x:v>
      </x:c>
      <x:c r="F136" s="43" t="str">
        <x:v>c0e6885f380545741de565dd0d4725ab278059f68dc34050886b3f62845b3d61</x:v>
      </x:c>
      <x:c r="G136" s="46" t="str">
        <x:v>/Users/nomadresearch/Documents/Claude/Projects/koica-construction-tender/data/raw/L2025-00016-2/Section 4 - BOQ_empty.xlsx</x:v>
      </x:c>
      <x:c r="H136" s="43" t="str">
        <x:v>2025-06-06 21:18:38</x:v>
      </x:c>
    </x:row>
    <x:row r="137">
      <x:c r="A137" s="43" t="str">
        <x:v>L2025-00016-2</x:v>
      </x:c>
      <x:c r="B137" s="46" t="str">
        <x:v>Section 5 - Drawings.pptx</x:v>
      </x:c>
      <x:c r="C137" s="43" t="str">
        <x:v>.pptx</x:v>
      </x:c>
      <x:c r="D137" s="61" t="n">
        <x:v>20091177</x:v>
      </x:c>
      <x:c r="E137" s="43" t="str">
        <x:v>downloaded</x:v>
      </x:c>
      <x:c r="F137" s="43" t="str">
        <x:v>93b781e5c718fa2e6ea066c1078f3f8de9f2d567e58a6e2e8d4621159b7d6512</x:v>
      </x:c>
      <x:c r="G137" s="46" t="str">
        <x:v>/Users/nomadresearch/Documents/Claude/Projects/koica-construction-tender/data/raw/L2025-00016-2/Section 5 - Drawings.pptx</x:v>
      </x:c>
      <x:c r="H137" s="43" t="str">
        <x:v>2025-06-06 21:18:38</x:v>
      </x:c>
    </x:row>
    <x:row r="138">
      <x:c r="A138" s="43" t="str">
        <x:v>L2025-00016-2</x:v>
      </x:c>
      <x:c r="B138" s="46" t="str">
        <x:v>Section 6 - Sepcification.zip</x:v>
      </x:c>
      <x:c r="C138" s="43" t="str">
        <x:v>.zip</x:v>
      </x:c>
      <x:c r="D138" s="61" t="n">
        <x:v>4501707</x:v>
      </x:c>
      <x:c r="E138" s="43" t="str">
        <x:v>downloaded</x:v>
      </x:c>
      <x:c r="F138" s="43" t="str">
        <x:v>bd98495e1ef4f822b60eadca93065bfce254ce464eb272736e97d8ba7e437ed6</x:v>
      </x:c>
      <x:c r="G138" s="46" t="str">
        <x:v>/Users/nomadresearch/Documents/Claude/Projects/koica-construction-tender/data/raw/L2025-00016-2/Section 6 - Sepcification.zip</x:v>
      </x:c>
      <x:c r="H138" s="43" t="str">
        <x:v>2025-06-06 21:18:38</x:v>
      </x:c>
    </x:row>
    <x:row r="139">
      <x:c r="A139" s="43" t="str">
        <x:v>L2025-00016-2</x:v>
      </x:c>
      <x:c r="B139" s="46" t="str">
        <x:v>Section 7 - General Conditions of Contract.docx</x:v>
      </x:c>
      <x:c r="C139" s="43" t="str">
        <x:v>.docx</x:v>
      </x:c>
      <x:c r="D139" s="61" t="n">
        <x:v>202912</x:v>
      </x:c>
      <x:c r="E139" s="43" t="str">
        <x:v>downloaded</x:v>
      </x:c>
      <x:c r="F139" s="43" t="str">
        <x:v>fedf6aa3540ddde964e764325f1b28aff95914fe896d9a93b0b504953aef920a</x:v>
      </x:c>
      <x:c r="G139" s="46" t="str">
        <x:v>/Users/nomadresearch/Documents/Claude/Projects/koica-construction-tender/data/raw/L2025-00016-2/Section 7 - General Conditions of Contract.docx</x:v>
      </x:c>
      <x:c r="H139" s="43" t="str">
        <x:v>2025-06-06 21:18:38</x:v>
      </x:c>
    </x:row>
    <x:row r="140">
      <x:c r="A140" s="43" t="str">
        <x:v>L2025-00016-2</x:v>
      </x:c>
      <x:c r="B140" s="46" t="str">
        <x:v>Section 8 - Special Conditions of Contract.docx</x:v>
      </x:c>
      <x:c r="C140" s="43" t="str">
        <x:v>.docx</x:v>
      </x:c>
      <x:c r="D140" s="61" t="n">
        <x:v>29056</x:v>
      </x:c>
      <x:c r="E140" s="43" t="str">
        <x:v>downloaded</x:v>
      </x:c>
      <x:c r="F140" s="43" t="str">
        <x:v>10c53896003b2bf8ebc9c9d46d5ddcd25eb8893c734a90121b3eab649aef2b0d</x:v>
      </x:c>
      <x:c r="G140" s="46" t="str">
        <x:v>/Users/nomadresearch/Documents/Claude/Projects/koica-construction-tender/data/raw/L2025-00016-2/Section 8 - Special Conditions of Contract.docx</x:v>
      </x:c>
      <x:c r="H140" s="43" t="str">
        <x:v>2025-06-06 21:18:38</x:v>
      </x:c>
    </x:row>
    <x:row r="141">
      <x:c r="A141" s="43" t="str">
        <x:v>L2025-00016-2</x:v>
      </x:c>
      <x:c r="B141" s="46" t="str">
        <x:v>Section 9 - Contract Forms.docx</x:v>
      </x:c>
      <x:c r="C141" s="43" t="str">
        <x:v>.docx</x:v>
      </x:c>
      <x:c r="D141" s="61" t="n">
        <x:v>38159</x:v>
      </x:c>
      <x:c r="E141" s="43" t="str">
        <x:v>downloaded</x:v>
      </x:c>
      <x:c r="F141" s="43" t="str">
        <x:v>0bce2d1fb64d0b2bf7c95f60fe85f7f4c07bcf3ac8c4cb65912db9515bbb5644</x:v>
      </x:c>
      <x:c r="G141" s="46" t="str">
        <x:v>/Users/nomadresearch/Documents/Claude/Projects/koica-construction-tender/data/raw/L2025-00016-2/Section 9 - Contract Forms.docx</x:v>
      </x:c>
      <x:c r="H141" s="43" t="str">
        <x:v>2025-06-06 21:18:38</x:v>
      </x:c>
    </x:row>
    <x:row r="142">
      <x:c r="A142" s="43" t="str">
        <x:v>L2025-00016-2</x:v>
      </x:c>
      <x:c r="B142" s="46" t="str">
        <x:v>Section 9 - Pledges.zip</x:v>
      </x:c>
      <x:c r="C142" s="43" t="str">
        <x:v>.zip</x:v>
      </x:c>
      <x:c r="D142" s="61" t="n">
        <x:v>69143</x:v>
      </x:c>
      <x:c r="E142" s="43" t="str">
        <x:v>downloaded</x:v>
      </x:c>
      <x:c r="F142" s="43" t="str">
        <x:v>c68e53944a8f0afc1892995c1597fc45de6bfe319f29975a6981e05379561cfa</x:v>
      </x:c>
      <x:c r="G142" s="46" t="str">
        <x:v>/Users/nomadresearch/Documents/Claude/Projects/koica-construction-tender/data/raw/L2025-00016-2/Section 9 - Pledges.zip</x:v>
      </x:c>
      <x:c r="H142" s="43" t="str">
        <x:v>2025-06-06 21:18:38</x:v>
      </x:c>
    </x:row>
    <x:row r="143">
      <x:c r="A143" s="43" t="str">
        <x:v>L2025-00016-1</x:v>
      </x:c>
      <x:c r="B143" s="46" t="str">
        <x:v>Section 2 - Bid Data Sheet (eng).docx</x:v>
      </x:c>
      <x:c r="C143" s="43" t="str">
        <x:v>.docx</x:v>
      </x:c>
      <x:c r="D143" s="61" t="n">
        <x:v>32819</x:v>
      </x:c>
      <x:c r="E143" s="43" t="str">
        <x:v>downloaded</x:v>
      </x:c>
      <x:c r="F143" s="43" t="str">
        <x:v>85a8dbfa6e1b95af02ee5c43cdb996fba114f3e2d7a740661d9406eb8094ff47</x:v>
      </x:c>
      <x:c r="G143" s="46" t="str">
        <x:v>/Users/nomadresearch/Documents/Claude/Projects/koica-construction-tender/data/raw/L2025-00016-1/Section 2 - Bid Data Sheet (eng).docx</x:v>
      </x:c>
      <x:c r="H143" s="43" t="str">
        <x:v>2025-04-15 22:57:58</x:v>
      </x:c>
    </x:row>
    <x:row r="144">
      <x:c r="A144" s="43" t="str">
        <x:v>L2025-00016-1</x:v>
      </x:c>
      <x:c r="B144" s="46" t="str">
        <x:v>Section 3 - Bidding Forms.docx</x:v>
      </x:c>
      <x:c r="C144" s="43" t="str">
        <x:v>.docx</x:v>
      </x:c>
      <x:c r="D144" s="61" t="n">
        <x:v>34189</x:v>
      </x:c>
      <x:c r="E144" s="43" t="str">
        <x:v>downloaded</x:v>
      </x:c>
      <x:c r="F144" s="43" t="str">
        <x:v>e4b019823f2b5cb779a1959a729feb588c605e5756bf8c8c5541217278aa9580</x:v>
      </x:c>
      <x:c r="G144" s="46" t="str">
        <x:v>/Users/nomadresearch/Documents/Claude/Projects/koica-construction-tender/data/raw/L2025-00016-1/Section 3 - Bidding Forms.docx</x:v>
      </x:c>
      <x:c r="H144" s="43" t="str">
        <x:v>2025-04-15 22:57:58</x:v>
      </x:c>
    </x:row>
    <x:row r="145">
      <x:c r="A145" s="43" t="str">
        <x:v>L2025-00016-1</x:v>
      </x:c>
      <x:c r="B145" s="46" t="str">
        <x:v>Section 4 - BOQ_empty.xlsx</x:v>
      </x:c>
      <x:c r="C145" s="43" t="str">
        <x:v>.xlsx</x:v>
      </x:c>
      <x:c r="D145" s="61" t="n">
        <x:v>271278</x:v>
      </x:c>
      <x:c r="E145" s="43" t="str">
        <x:v>downloaded</x:v>
      </x:c>
      <x:c r="F145" s="43" t="str">
        <x:v>c0e6885f380545741de565dd0d4725ab278059f68dc34050886b3f62845b3d61</x:v>
      </x:c>
      <x:c r="G145" s="46" t="str">
        <x:v>/Users/nomadresearch/Documents/Claude/Projects/koica-construction-tender/data/raw/L2025-00016-1/Section 4 - BOQ_empty.xlsx</x:v>
      </x:c>
      <x:c r="H145" s="43" t="str">
        <x:v>2025-04-15 22:57:58</x:v>
      </x:c>
    </x:row>
    <x:row r="146">
      <x:c r="A146" s="43" t="str">
        <x:v>L2025-00016-1</x:v>
      </x:c>
      <x:c r="B146" s="46" t="str">
        <x:v>Section 5 - Drawings.pptx</x:v>
      </x:c>
      <x:c r="C146" s="43" t="str">
        <x:v>.pptx</x:v>
      </x:c>
      <x:c r="D146" s="61" t="n">
        <x:v>20091177</x:v>
      </x:c>
      <x:c r="E146" s="43" t="str">
        <x:v>downloaded</x:v>
      </x:c>
      <x:c r="F146" s="43" t="str">
        <x:v>93b781e5c718fa2e6ea066c1078f3f8de9f2d567e58a6e2e8d4621159b7d6512</x:v>
      </x:c>
      <x:c r="G146" s="46" t="str">
        <x:v>/Users/nomadresearch/Documents/Claude/Projects/koica-construction-tender/data/raw/L2025-00016-1/Section 5 - Drawings.pptx</x:v>
      </x:c>
      <x:c r="H146" s="43" t="str">
        <x:v>2025-04-15 22:57:58</x:v>
      </x:c>
    </x:row>
    <x:row r="147">
      <x:c r="A147" s="43" t="str">
        <x:v>L2025-00016-1</x:v>
      </x:c>
      <x:c r="B147" s="46" t="str">
        <x:v>Section 6 - Sepcification.zip</x:v>
      </x:c>
      <x:c r="C147" s="43" t="str">
        <x:v>.zip</x:v>
      </x:c>
      <x:c r="D147" s="61" t="n">
        <x:v>4501707</x:v>
      </x:c>
      <x:c r="E147" s="43" t="str">
        <x:v>downloaded</x:v>
      </x:c>
      <x:c r="F147" s="43" t="str">
        <x:v>bd98495e1ef4f822b60eadca93065bfce254ce464eb272736e97d8ba7e437ed6</x:v>
      </x:c>
      <x:c r="G147" s="46" t="str">
        <x:v>/Users/nomadresearch/Documents/Claude/Projects/koica-construction-tender/data/raw/L2025-00016-1/Section 6 - Sepcification.zip</x:v>
      </x:c>
      <x:c r="H147" s="43" t="str">
        <x:v>2025-04-15 22:57:58</x:v>
      </x:c>
    </x:row>
    <x:row r="148">
      <x:c r="A148" s="43" t="str">
        <x:v>L2025-00016-1</x:v>
      </x:c>
      <x:c r="B148" s="46" t="str">
        <x:v>Section 7 - General Conditions of Contract.docx</x:v>
      </x:c>
      <x:c r="C148" s="43" t="str">
        <x:v>.docx</x:v>
      </x:c>
      <x:c r="D148" s="61" t="n">
        <x:v>202912</x:v>
      </x:c>
      <x:c r="E148" s="43" t="str">
        <x:v>downloaded</x:v>
      </x:c>
      <x:c r="F148" s="43" t="str">
        <x:v>fedf6aa3540ddde964e764325f1b28aff95914fe896d9a93b0b504953aef920a</x:v>
      </x:c>
      <x:c r="G148" s="46" t="str">
        <x:v>/Users/nomadresearch/Documents/Claude/Projects/koica-construction-tender/data/raw/L2025-00016-1/Section 7 - General Conditions of Contract.docx</x:v>
      </x:c>
      <x:c r="H148" s="43" t="str">
        <x:v>2025-04-15 22:57:58</x:v>
      </x:c>
    </x:row>
    <x:row r="149">
      <x:c r="A149" s="43" t="str">
        <x:v>L2025-00016-1</x:v>
      </x:c>
      <x:c r="B149" s="46" t="str">
        <x:v>Section 8 - Special Conditions of Contract.docx</x:v>
      </x:c>
      <x:c r="C149" s="43" t="str">
        <x:v>.docx</x:v>
      </x:c>
      <x:c r="D149" s="61" t="n">
        <x:v>29056</x:v>
      </x:c>
      <x:c r="E149" s="43" t="str">
        <x:v>downloaded</x:v>
      </x:c>
      <x:c r="F149" s="43" t="str">
        <x:v>10c53896003b2bf8ebc9c9d46d5ddcd25eb8893c734a90121b3eab649aef2b0d</x:v>
      </x:c>
      <x:c r="G149" s="46" t="str">
        <x:v>/Users/nomadresearch/Documents/Claude/Projects/koica-construction-tender/data/raw/L2025-00016-1/Section 8 - Special Conditions of Contract.docx</x:v>
      </x:c>
      <x:c r="H149" s="43" t="str">
        <x:v>2025-04-15 22:57:58</x:v>
      </x:c>
    </x:row>
    <x:row r="150">
      <x:c r="A150" s="43" t="str">
        <x:v>L2025-00016-1</x:v>
      </x:c>
      <x:c r="B150" s="46" t="str">
        <x:v>Section 9 - Contract Forms.docx</x:v>
      </x:c>
      <x:c r="C150" s="43" t="str">
        <x:v>.docx</x:v>
      </x:c>
      <x:c r="D150" s="61" t="n">
        <x:v>38159</x:v>
      </x:c>
      <x:c r="E150" s="43" t="str">
        <x:v>downloaded</x:v>
      </x:c>
      <x:c r="F150" s="43" t="str">
        <x:v>0bce2d1fb64d0b2bf7c95f60fe85f7f4c07bcf3ac8c4cb65912db9515bbb5644</x:v>
      </x:c>
      <x:c r="G150" s="46" t="str">
        <x:v>/Users/nomadresearch/Documents/Claude/Projects/koica-construction-tender/data/raw/L2025-00016-1/Section 9 - Contract Forms.docx</x:v>
      </x:c>
      <x:c r="H150" s="43" t="str">
        <x:v>2025-04-15 22:57:58</x:v>
      </x:c>
    </x:row>
    <x:row r="151">
      <x:c r="A151" s="43" t="str">
        <x:v>L2025-00016-1</x:v>
      </x:c>
      <x:c r="B151" s="46" t="str">
        <x:v>Section 9 - Pledges.zip</x:v>
      </x:c>
      <x:c r="C151" s="43" t="str">
        <x:v>.zip</x:v>
      </x:c>
      <x:c r="D151" s="61" t="n">
        <x:v>69143</x:v>
      </x:c>
      <x:c r="E151" s="43" t="str">
        <x:v>downloaded</x:v>
      </x:c>
      <x:c r="F151" s="43" t="str">
        <x:v>c68e53944a8f0afc1892995c1597fc45de6bfe319f29975a6981e05379561cfa</x:v>
      </x:c>
      <x:c r="G151" s="46" t="str">
        <x:v>/Users/nomadresearch/Documents/Claude/Projects/koica-construction-tender/data/raw/L2025-00016-1/Section 9 - Pledges.zip</x:v>
      </x:c>
      <x:c r="H151" s="43" t="str">
        <x:v>2025-04-15 22:57:58</x:v>
      </x:c>
    </x:row>
    <x:row r="152">
      <x:c r="A152" s="43" t="str">
        <x:v>L2025-00016-1</x:v>
      </x:c>
      <x:c r="B152" s="46" t="str">
        <x:v>KOICA 입찰 관련 규정 및 지침.zip</x:v>
      </x:c>
      <x:c r="C152" s="43" t="str">
        <x:v>.zip</x:v>
      </x:c>
      <x:c r="D152" s="61" t="n">
        <x:v>2017505</x:v>
      </x:c>
      <x:c r="E152" s="43" t="str">
        <x:v>downloaded</x:v>
      </x:c>
      <x:c r="F152" s="43" t="str">
        <x:v>d9396c918967f50b2155bb726764ae0df60ac9b308ca169fc36359d2f51fc5f1</x:v>
      </x:c>
      <x:c r="G152" s="46" t="str">
        <x:v>/Users/nomadresearch/Documents/Claude/Projects/koica-construction-tender/data/raw/L2025-00016-1/KOICA 입찰 관련 규정 및 지침.zip</x:v>
      </x:c>
      <x:c r="H152" s="43" t="str">
        <x:v>2025-04-25 23:15:06</x:v>
      </x:c>
    </x:row>
    <x:row r="153">
      <x:c r="A153" s="43" t="str">
        <x:v>L2025-00014-1</x:v>
      </x:c>
      <x:c r="B153" s="46" t="str">
        <x:v>Bid Invitation_NTU Construction Supervision.jpg</x:v>
      </x:c>
      <x:c r="C153" s="43" t="str">
        <x:v>.jpg</x:v>
      </x:c>
      <x:c r="D153" s="61" t="n">
        <x:v>421245</x:v>
      </x:c>
      <x:c r="E153" s="43" t="str">
        <x:v>downloaded</x:v>
      </x:c>
      <x:c r="F153" s="43" t="str">
        <x:v>9cddee23d735f9a986afe6efe2b93d7aeeadd4f6b35071d087b3a4a4277ce9f1</x:v>
      </x:c>
      <x:c r="G153" s="46" t="str">
        <x:v>/Users/nomadresearch/Documents/Claude/Projects/koica-construction-tender/data/raw/L2025-00014-1/Bid Invitation_NTU Construction Supervision.jpg</x:v>
      </x:c>
      <x:c r="H153" s="43" t="str">
        <x:v>2025-03-15 14:09:11</x:v>
      </x:c>
    </x:row>
    <x:row r="154">
      <x:c r="A154" s="43" t="str">
        <x:v>L2025-00014-1</x:v>
      </x:c>
      <x:c r="B154" s="46" t="str">
        <x:v>Section 1-Instruction for Bidder(ITB).docx</x:v>
      </x:c>
      <x:c r="C154" s="43" t="str">
        <x:v>.docx</x:v>
      </x:c>
      <x:c r="D154" s="61" t="n">
        <x:v>43947</x:v>
      </x:c>
      <x:c r="E154" s="43" t="str">
        <x:v>downloaded</x:v>
      </x:c>
      <x:c r="F154" s="43" t="str">
        <x:v>180143224cbfbaef0c1e402914d5b84928352319925bc2dd64b36b265769bc08</x:v>
      </x:c>
      <x:c r="G154" s="46" t="str">
        <x:v>/Users/nomadresearch/Documents/Claude/Projects/koica-construction-tender/data/raw/L2025-00014-1/Section 1-Instruction for Bidder(ITB).docx</x:v>
      </x:c>
      <x:c r="H154" s="43" t="str">
        <x:v>2025-03-15 14:09:11</x:v>
      </x:c>
    </x:row>
    <x:row r="155">
      <x:c r="A155" s="43" t="str">
        <x:v>L2025-00014-1</x:v>
      </x:c>
      <x:c r="B155" s="46" t="str">
        <x:v>Section 2-Bid Data Sheet.docx</x:v>
      </x:c>
      <x:c r="C155" s="43" t="str">
        <x:v>.docx</x:v>
      </x:c>
      <x:c r="D155" s="61" t="n">
        <x:v>70880</x:v>
      </x:c>
      <x:c r="E155" s="43" t="str">
        <x:v>downloaded</x:v>
      </x:c>
      <x:c r="F155" s="43" t="str">
        <x:v>81a339fd138cfb986fab94addcd1153d1db28bd0c502dc3a849a147f4c630080</x:v>
      </x:c>
      <x:c r="G155" s="46" t="str">
        <x:v>/Users/nomadresearch/Documents/Claude/Projects/koica-construction-tender/data/raw/L2025-00014-1/Section 2-Bid Data Sheet.docx</x:v>
      </x:c>
      <x:c r="H155" s="43" t="str">
        <x:v>2025-03-15 14:09:11</x:v>
      </x:c>
    </x:row>
    <x:row r="156">
      <x:c r="A156" s="43" t="str">
        <x:v>L2025-00014-1</x:v>
      </x:c>
      <x:c r="B156" s="46" t="str">
        <x:v>Section 3-Bidding Forms.docx</x:v>
      </x:c>
      <x:c r="C156" s="43" t="str">
        <x:v>.docx</x:v>
      </x:c>
      <x:c r="D156" s="61" t="n">
        <x:v>62194</x:v>
      </x:c>
      <x:c r="E156" s="43" t="str">
        <x:v>downloaded</x:v>
      </x:c>
      <x:c r="F156" s="43" t="str">
        <x:v>696ebedf364c42b358cef95817ca90d212e8652b5eff8f4645e768ffbe292527</x:v>
      </x:c>
      <x:c r="G156" s="46" t="str">
        <x:v>/Users/nomadresearch/Documents/Claude/Projects/koica-construction-tender/data/raw/L2025-00014-1/Section 3-Bidding Forms.docx</x:v>
      </x:c>
      <x:c r="H156" s="43" t="str">
        <x:v>2025-03-15 14:09:11</x:v>
      </x:c>
    </x:row>
    <x:row r="157">
      <x:c r="A157" s="43" t="str">
        <x:v>L2025-00014-1</x:v>
      </x:c>
      <x:c r="B157" s="46" t="str">
        <x:v>Section 4-Bill Of Quantity.xls</x:v>
      </x:c>
      <x:c r="C157" s="43" t="str">
        <x:v>.xls</x:v>
      </x:c>
      <x:c r="D157" s="61" t="n">
        <x:v>470528</x:v>
      </x:c>
      <x:c r="E157" s="43" t="str">
        <x:v>downloaded</x:v>
      </x:c>
      <x:c r="F157" s="43" t="str">
        <x:v>2cff67596bebad4a08278ca50ac225bb47c891871d45b359597a9700e6088977</x:v>
      </x:c>
      <x:c r="G157" s="46" t="str">
        <x:v>/Users/nomadresearch/Documents/Claude/Projects/koica-construction-tender/data/raw/L2025-00014-1/Section 4-Bill Of Quantity.xls</x:v>
      </x:c>
      <x:c r="H157" s="43" t="str">
        <x:v>2025-03-15 14:09:11</x:v>
      </x:c>
    </x:row>
    <x:row r="158">
      <x:c r="A158" s="43" t="str">
        <x:v>L2025-00014-1</x:v>
      </x:c>
      <x:c r="B158" s="46" t="str">
        <x:v>Section 5-Terms of Reference for Construction Supervison.doc</x:v>
      </x:c>
      <x:c r="C158" s="43" t="str">
        <x:v>.doc</x:v>
      </x:c>
      <x:c r="D158" s="61" t="n">
        <x:v>206848</x:v>
      </x:c>
      <x:c r="E158" s="43" t="str">
        <x:v>downloaded</x:v>
      </x:c>
      <x:c r="F158" s="43" t="str">
        <x:v>8315962097d72ed6d62a682faac3dfb980cafade2372a926a0dd733188b4a166</x:v>
      </x:c>
      <x:c r="G158" s="46" t="str">
        <x:v>/Users/nomadresearch/Documents/Claude/Projects/koica-construction-tender/data/raw/L2025-00014-1/Section 5-Terms of Reference for Construction Supervison.doc</x:v>
      </x:c>
      <x:c r="H158" s="43" t="str">
        <x:v>2025-03-15 14:09:11</x:v>
      </x:c>
    </x:row>
    <x:row r="159">
      <x:c r="A159" s="43" t="str">
        <x:v>L2025-00014-1</x:v>
      </x:c>
      <x:c r="B159" s="46" t="str">
        <x:v>Section 7-General Conditions of Cotnract.docx</x:v>
      </x:c>
      <x:c r="C159" s="43" t="str">
        <x:v>.docx</x:v>
      </x:c>
      <x:c r="D159" s="61" t="n">
        <x:v>211023</x:v>
      </x:c>
      <x:c r="E159" s="43" t="str">
        <x:v>downloaded</x:v>
      </x:c>
      <x:c r="F159" s="43" t="str">
        <x:v>02da1919e0d35dd90ab1e3471fa80559c4bf96683f56323581ec91239268be8a</x:v>
      </x:c>
      <x:c r="G159" s="46" t="str">
        <x:v>/Users/nomadresearch/Documents/Claude/Projects/koica-construction-tender/data/raw/L2025-00014-1/Section 7-General Conditions of Cotnract.docx</x:v>
      </x:c>
      <x:c r="H159" s="43" t="str">
        <x:v>2025-03-15 14:09:11</x:v>
      </x:c>
    </x:row>
    <x:row r="160">
      <x:c r="A160" s="43" t="str">
        <x:v>L2025-00014-1</x:v>
      </x:c>
      <x:c r="B160" s="46" t="str">
        <x:v>Section 8-Special Conditions of Contract-게시.docx</x:v>
      </x:c>
      <x:c r="C160" s="43" t="str">
        <x:v>.docx</x:v>
      </x:c>
      <x:c r="D160" s="61" t="n">
        <x:v>31683</x:v>
      </x:c>
      <x:c r="E160" s="43" t="str">
        <x:v>downloaded</x:v>
      </x:c>
      <x:c r="F160" s="43" t="str">
        <x:v>6a56c630ecb4f70aed0d4ee91d8f1643d50626f79b2181fa6abebc91f47376ba</x:v>
      </x:c>
      <x:c r="G160" s="46" t="str">
        <x:v>/Users/nomadresearch/Documents/Claude/Projects/koica-construction-tender/data/raw/L2025-00014-1/Section 8-Special Conditions of Contract-게시.docx</x:v>
      </x:c>
      <x:c r="H160" s="43" t="str">
        <x:v>2025-03-15 14:09:11</x:v>
      </x:c>
    </x:row>
    <x:row r="161">
      <x:c r="A161" s="43" t="str">
        <x:v>L2025-00014-1</x:v>
      </x:c>
      <x:c r="B161" s="46" t="str">
        <x:v>Section 9-Contract Cover Form.docx</x:v>
      </x:c>
      <x:c r="C161" s="43" t="str">
        <x:v>.docx</x:v>
      </x:c>
      <x:c r="D161" s="61" t="n">
        <x:v>35487</x:v>
      </x:c>
      <x:c r="E161" s="43" t="str">
        <x:v>downloaded</x:v>
      </x:c>
      <x:c r="F161" s="43" t="str">
        <x:v>2a62080025a4b84a12b3168a7f9f3e3304ae6f46f7f166743b8d37809ea120d2</x:v>
      </x:c>
      <x:c r="G161" s="46" t="str">
        <x:v>/Users/nomadresearch/Documents/Claude/Projects/koica-construction-tender/data/raw/L2025-00014-1/Section 9-Contract Cover Form.docx</x:v>
      </x:c>
      <x:c r="H161" s="43" t="str">
        <x:v>2025-03-15 14:09:11</x:v>
      </x:c>
    </x:row>
    <x:row r="162">
      <x:c r="A162" s="43" t="str">
        <x:v>L2025-00014-1</x:v>
      </x:c>
      <x:c r="B162" s="46" t="str">
        <x:v>Section 10-Pledges.zip</x:v>
      </x:c>
      <x:c r="C162" s="43" t="str">
        <x:v>.zip</x:v>
      </x:c>
      <x:c r="D162" s="61" t="n">
        <x:v>98959</x:v>
      </x:c>
      <x:c r="E162" s="43" t="str">
        <x:v>downloaded</x:v>
      </x:c>
      <x:c r="F162" s="43" t="str">
        <x:v>89752b8c77dc58819e72d043d39b723402377565fbf0a0fd070402f1eed73d19</x:v>
      </x:c>
      <x:c r="G162" s="46" t="str">
        <x:v>/Users/nomadresearch/Documents/Claude/Projects/koica-construction-tender/data/raw/L2025-00014-1/Section 10-Pledges.zip</x:v>
      </x:c>
      <x:c r="H162" s="43" t="str">
        <x:v>2025-03-15 14:09:11</x:v>
      </x:c>
    </x:row>
    <x:row r="163">
      <x:c r="A163" s="43" t="str">
        <x:v>L2025-00014-1</x:v>
      </x:c>
      <x:c r="B163" s="46" t="str">
        <x:v>Section 2-입찰공고문(국문)_섬유센터 감리.pdf</x:v>
      </x:c>
      <x:c r="C163" s="43" t="str">
        <x:v>.pdf</x:v>
      </x:c>
      <x:c r="D163" s="61" t="n">
        <x:v>278637</x:v>
      </x:c>
      <x:c r="E163" s="43" t="str">
        <x:v>downloaded</x:v>
      </x:c>
      <x:c r="F163" s="43" t="str">
        <x:v>502b1475e1e64f7d4bf37e83785925a6355e00eaf42c0fa41db32f203faa6f4d</x:v>
      </x:c>
      <x:c r="G163" s="46" t="str">
        <x:v>/Users/nomadresearch/Documents/Claude/Projects/koica-construction-tender/data/raw/L2025-00014-1/Section 2-입찰공고문(국문)_섬유센터 감리.pdf</x:v>
      </x:c>
      <x:c r="H163" s="43" t="str">
        <x:v>2025-03-15 14:09:51</x:v>
      </x:c>
    </x:row>
    <x:row r="164">
      <x:c r="A164" s="43" t="str">
        <x:v>L2025-00012-2</x:v>
      </x:c>
      <x:c r="B164" s="46" t="str">
        <x:v>(붙임1-2) 영문입찰계획서_Q-Lab_Chacala_Bid Data Sheet (BDS)_20250502.docx</x:v>
      </x:c>
      <x:c r="C164" s="43" t="str">
        <x:v>.docx</x:v>
      </x:c>
      <x:c r="D164" s="61" t="n">
        <x:v>275433</x:v>
      </x:c>
      <x:c r="E164" s="43" t="str">
        <x:v>downloaded</x:v>
      </x:c>
      <x:c r="F164" s="43" t="str">
        <x:v>d9f4a817d8bb5bd902d9392e6deddb7c47d0dea2ba433c1d61135dc32a07f765</x:v>
      </x:c>
      <x:c r="G164" s="46" t="str">
        <x:v>/Users/nomadresearch/Documents/Claude/Projects/koica-construction-tender/data/raw/L2025-00012-2/(붙임1-2) 영문입찰계획서_Q-Lab_Chacala_Bid Data Sheet (BDS)_20250502.docx</x:v>
      </x:c>
      <x:c r="H164" s="43" t="str">
        <x:v>2025-05-03 01:10:31</x:v>
      </x:c>
    </x:row>
    <x:row r="165">
      <x:c r="A165" s="43" t="str">
        <x:v>L2025-00012-2</x:v>
      </x:c>
      <x:c r="B165" s="46" t="str">
        <x:v>(붙임2) 입찰 관련 부속서류.zip</x:v>
      </x:c>
      <x:c r="C165" s="43" t="str">
        <x:v>.zip</x:v>
      </x:c>
      <x:c r="D165" s="61" t="n">
        <x:v>47837224</x:v>
      </x:c>
      <x:c r="E165" s="43" t="str">
        <x:v>downloaded</x:v>
      </x:c>
      <x:c r="F165" s="43" t="str">
        <x:v>a36d670b0514f69d108ed71ff4f1e18136e76394ac8c875f951e9a30141e8cc0</x:v>
      </x:c>
      <x:c r="G165" s="46" t="str">
        <x:v>/Users/nomadresearch/Documents/Claude/Projects/koica-construction-tender/data/raw/L2025-00012-2/(붙임2) 입찰 관련 부속서류.zip</x:v>
      </x:c>
      <x:c r="H165" s="43" t="str">
        <x:v>2025-05-03 01:10:31</x:v>
      </x:c>
    </x:row>
    <x:row r="166">
      <x:c r="A166" s="43" t="str">
        <x:v>L2025-00012-1</x:v>
      </x:c>
      <x:c r="B166" s="46" t="str">
        <x:v>(붙임1-2) 영문입찰계획서_Q-Lab_Chacala_Bid Data Sheet (BDS)_20250502.docx</x:v>
      </x:c>
      <x:c r="C166" s="43" t="str">
        <x:v>.docx</x:v>
      </x:c>
      <x:c r="D166" s="61" t="n">
        <x:v>275433</x:v>
      </x:c>
      <x:c r="E166" s="43" t="str">
        <x:v>downloaded</x:v>
      </x:c>
      <x:c r="F166" s="43" t="str">
        <x:v>d9f4a817d8bb5bd902d9392e6deddb7c47d0dea2ba433c1d61135dc32a07f765</x:v>
      </x:c>
      <x:c r="G166" s="46" t="str">
        <x:v>/Users/nomadresearch/Documents/Claude/Projects/koica-construction-tender/data/raw/L2025-00012-1/(붙임1-2) 영문입찰계획서_Q-Lab_Chacala_Bid Data Sheet (BDS)_20250502.docx</x:v>
      </x:c>
      <x:c r="H166" s="43" t="str">
        <x:v>2025-05-03 01:10:31</x:v>
      </x:c>
    </x:row>
    <x:row r="167">
      <x:c r="A167" s="43" t="str">
        <x:v>L2025-00012-1</x:v>
      </x:c>
      <x:c r="B167" s="46" t="str">
        <x:v>(붙임2) 입찰 관련 부속서류.zip</x:v>
      </x:c>
      <x:c r="C167" s="43" t="str">
        <x:v>.zip</x:v>
      </x:c>
      <x:c r="D167" s="61" t="n">
        <x:v>47837224</x:v>
      </x:c>
      <x:c r="E167" s="43" t="str">
        <x:v>downloaded</x:v>
      </x:c>
      <x:c r="F167" s="43" t="str">
        <x:v>a36d670b0514f69d108ed71ff4f1e18136e76394ac8c875f951e9a30141e8cc0</x:v>
      </x:c>
      <x:c r="G167" s="46" t="str">
        <x:v>/Users/nomadresearch/Documents/Claude/Projects/koica-construction-tender/data/raw/L2025-00012-1/(붙임2) 입찰 관련 부속서류.zip</x:v>
      </x:c>
      <x:c r="H167" s="43" t="str">
        <x:v>2025-05-03 01:10:31</x:v>
      </x:c>
    </x:row>
    <x:row r="168">
      <x:c r="A168" s="43" t="str">
        <x:v>L2025-00011-1</x:v>
      </x:c>
      <x:c r="B168" s="46" t="str">
        <x:v>1. Section 2 - Bid Data Sheet (국문) (수정).hwp</x:v>
      </x:c>
      <x:c r="C168" s="43" t="str">
        <x:v>.hwp</x:v>
      </x:c>
      <x:c r="D168" s="61" t="n">
        <x:v>63488</x:v>
      </x:c>
      <x:c r="E168" s="43" t="str">
        <x:v>downloaded</x:v>
      </x:c>
      <x:c r="F168" s="43" t="str">
        <x:v>5ce59938ceca4e3b4907108cdc972d025dcc05eeb4cfa52791fe98bdadbd71c8</x:v>
      </x:c>
      <x:c r="G168" s="46" t="str">
        <x:v>/Users/nomadresearch/Documents/Claude/Projects/koica-construction-tender/data/raw/L2025-00011-1/1. Section 2 - Bid Data Sheet (국문) (수정).hwp</x:v>
      </x:c>
      <x:c r="H168" s="43" t="str">
        <x:v>2025-03-05 19:09:16</x:v>
      </x:c>
    </x:row>
    <x:row r="169">
      <x:c r="A169" s="43" t="str">
        <x:v>L2025-00011-1</x:v>
      </x:c>
      <x:c r="B169" s="46" t="str">
        <x:v>2. 영문 입찰서류(수정).zip</x:v>
      </x:c>
      <x:c r="C169" s="43" t="str">
        <x:v>.zip</x:v>
      </x:c>
      <x:c r="D169" s="61" t="n">
        <x:v>868648</x:v>
      </x:c>
      <x:c r="E169" s="43" t="str">
        <x:v>downloaded</x:v>
      </x:c>
      <x:c r="F169" s="43" t="str">
        <x:v>cae40fba930a49c0987c0e111992d9ca0c78ec739eb83c64c8228429d4ffc39f</x:v>
      </x:c>
      <x:c r="G169" s="46" t="str">
        <x:v>/Users/nomadresearch/Documents/Claude/Projects/koica-construction-tender/data/raw/L2025-00011-1/2. 영문 입찰서류(수정).zip</x:v>
      </x:c>
      <x:c r="H169" s="43" t="str">
        <x:v>2025-03-05 19:09:16</x:v>
      </x:c>
    </x:row>
    <x:row r="170">
      <x:c r="A170" s="43" t="str">
        <x:v>L2025-00011-1</x:v>
      </x:c>
      <x:c r="B170" s="46" t="str">
        <x:v>3. KOICA 입찰 관련 규정 및 지침(사무소홈페이지 게시).zip</x:v>
      </x:c>
      <x:c r="C170" s="43" t="str">
        <x:v>.zip</x:v>
      </x:c>
      <x:c r="D170" s="61" t="n">
        <x:v>2031661</x:v>
      </x:c>
      <x:c r="E170" s="43" t="str">
        <x:v>downloaded</x:v>
      </x:c>
      <x:c r="F170" s="43" t="str">
        <x:v>7dc67dd43353df703b718e9d429de6b7de760c340d2ca22a48ebb51b129bc9d6</x:v>
      </x:c>
      <x:c r="G170" s="46" t="str">
        <x:v>/Users/nomadresearch/Documents/Claude/Projects/koica-construction-tender/data/raw/L2025-00011-1/3. KOICA 입찰 관련 규정 및 지침(사무소홈페이지 게시).zip</x:v>
      </x:c>
      <x:c r="H170" s="43" t="str">
        <x:v>2025-03-05 19:09:16</x:v>
      </x:c>
    </x:row>
    <x:row r="171">
      <x:c r="A171" s="43" t="str">
        <x:v>L2025-00010-1</x:v>
      </x:c>
      <x:c r="B171" s="46" t="str">
        <x:v>붙임 1. 입찰 계획서_하이나 리모델링_fin.hwp</x:v>
      </x:c>
      <x:c r="C171" s="43" t="str">
        <x:v>.hwp</x:v>
      </x:c>
      <x:c r="D171" s="61" t="n">
        <x:v>103936</x:v>
      </x:c>
      <x:c r="E171" s="43" t="str">
        <x:v>downloaded</x:v>
      </x:c>
      <x:c r="F171" s="43" t="str">
        <x:v>ed03bbd153b3f5bf03ffe889dd817d69b0082abe00c5ae4e7562323f7b20196b</x:v>
      </x:c>
      <x:c r="G171" s="46" t="str">
        <x:v>/Users/nomadresearch/Documents/Claude/Projects/koica-construction-tender/data/raw/L2025-00010-1/붙임 1. 입찰 계획서_하이나 리모델링_fin.hwp</x:v>
      </x:c>
      <x:c r="H171" s="43" t="str">
        <x:v>2025-05-01 13:07:57</x:v>
      </x:c>
    </x:row>
    <x:row r="172">
      <x:c r="A172" s="43" t="str">
        <x:v>L2025-00010-1</x:v>
      </x:c>
      <x:c r="B172" s="46" t="str">
        <x:v>붙임 2. 입찰서류(영문)_최종.zip</x:v>
      </x:c>
      <x:c r="C172" s="43" t="str">
        <x:v>.zip</x:v>
      </x:c>
      <x:c r="D172" s="61" t="n">
        <x:v>1351853</x:v>
      </x:c>
      <x:c r="E172" s="43" t="str">
        <x:v>downloaded</x:v>
      </x:c>
      <x:c r="F172" s="43" t="str">
        <x:v>62833af00cca0c3ff0e3aa26053fcc496f2d735038ae3488c4b7d4a40335906a</x:v>
      </x:c>
      <x:c r="G172" s="46" t="str">
        <x:v>/Users/nomadresearch/Documents/Claude/Projects/koica-construction-tender/data/raw/L2025-00010-1/붙임 2. 입찰서류(영문)_최종.zip</x:v>
      </x:c>
      <x:c r="H172" s="43" t="str">
        <x:v>2025-05-01 13:07:57</x:v>
      </x:c>
    </x:row>
    <x:row r="173">
      <x:c r="A173" s="43" t="str">
        <x:v>L2025-00010-1</x:v>
      </x:c>
      <x:c r="B173" s="46" t="str">
        <x:v>붙임 3. 입찰공고 게시문_fin.docx</x:v>
      </x:c>
      <x:c r="C173" s="43" t="str">
        <x:v>.docx</x:v>
      </x:c>
      <x:c r="D173" s="61" t="n">
        <x:v>29513</x:v>
      </x:c>
      <x:c r="E173" s="43" t="str">
        <x:v>downloaded</x:v>
      </x:c>
      <x:c r="F173" s="43" t="str">
        <x:v>2d97e7c0984f3b183d36b34d990f48606d86fd0103a4e89db27653a6d2b208df</x:v>
      </x:c>
      <x:c r="G173" s="46" t="str">
        <x:v>/Users/nomadresearch/Documents/Claude/Projects/koica-construction-tender/data/raw/L2025-00010-1/붙임 3. 입찰공고 게시문_fin.docx</x:v>
      </x:c>
      <x:c r="H173" s="43" t="str">
        <x:v>2025-05-01 13:07:57</x:v>
      </x:c>
    </x:row>
    <x:row r="174">
      <x:c r="A174" s="43" t="str">
        <x:v>L2025-00009-1</x:v>
      </x:c>
      <x:c r="B174" s="46" t="str">
        <x:v>(붙임1) 입찰공고문 (BDS)_페루 제3 한페 의료센터 설계입찰_조달팀 의견 반영_클린본_.hwp</x:v>
      </x:c>
      <x:c r="C174" s="43" t="str">
        <x:v>.hwp</x:v>
      </x:c>
      <x:c r="D174" s="61" t="n">
        <x:v>66048</x:v>
      </x:c>
      <x:c r="E174" s="43" t="str">
        <x:v>downloaded</x:v>
      </x:c>
      <x:c r="F174" s="43" t="str">
        <x:v>c72c6b8d09b06e6ef4f73460d24f28d0bd9285c94ace749b3291dd820a39a39f</x:v>
      </x:c>
      <x:c r="G174" s="46" t="str">
        <x:v>/Users/nomadresearch/Documents/Claude/Projects/koica-construction-tender/data/raw/L2025-00009-1/(붙임1) 입찰공고문 (BDS)_페루 제3 한페 의료센터 설계입찰_조달팀 의견 반영_클린본_.hwp</x:v>
      </x:c>
      <x:c r="H174" s="43" t="str">
        <x:v>2025-03-07 08:05:09</x:v>
      </x:c>
    </x:row>
    <x:row r="175">
      <x:c r="A175" s="43" t="str">
        <x:v>L2025-00009-1</x:v>
      </x:c>
      <x:c r="B175" s="46" t="str">
        <x:v>(붙임2) 입찰공고문 (BDS)_페루 제3 한페 의료센터 설계입찰_조달팀 의견 반영_사무소 메모_.hwp</x:v>
      </x:c>
      <x:c r="C175" s="43" t="str">
        <x:v>.hwp</x:v>
      </x:c>
      <x:c r="D175" s="61" t="n">
        <x:v>135680</x:v>
      </x:c>
      <x:c r="E175" s="43" t="str">
        <x:v>downloaded</x:v>
      </x:c>
      <x:c r="F175" s="43" t="str">
        <x:v>56fc12be3990b4f530ea5e9ea1ae676683ec2414a2bcec64fe276adc6584697e</x:v>
      </x:c>
      <x:c r="G175" s="46" t="str">
        <x:v>/Users/nomadresearch/Documents/Claude/Projects/koica-construction-tender/data/raw/L2025-00009-1/(붙임2) 입찰공고문 (BDS)_페루 제3 한페 의료센터 설계입찰_조달팀 의견 반영_사무소 메모_.hwp</x:v>
      </x:c>
      <x:c r="H175" s="43" t="str">
        <x:v>2025-03-07 08:05:09</x:v>
      </x:c>
    </x:row>
    <x:row r="176">
      <x:c r="A176" s="43" t="str">
        <x:v>L2025-00009-1</x:v>
      </x:c>
      <x:c r="B176" s="46" t="str">
        <x:v>(붙임3) 입찰제반서류_공고문.zip</x:v>
      </x:c>
      <x:c r="C176" s="43" t="str">
        <x:v>.zip</x:v>
      </x:c>
      <x:c r="D176" s="61" t="n">
        <x:v>12597414</x:v>
      </x:c>
      <x:c r="E176" s="43" t="str">
        <x:v>downloaded</x:v>
      </x:c>
      <x:c r="F176" s="43" t="str">
        <x:v>932e36ff109dcdcf584ca0b04266e71709bcbc5bc857e2298f5c0c15781223a0</x:v>
      </x:c>
      <x:c r="G176" s="46" t="str">
        <x:v>/Users/nomadresearch/Documents/Claude/Projects/koica-construction-tender/data/raw/L2025-00009-1/(붙임3) 입찰제반서류_공고문.zip</x:v>
      </x:c>
      <x:c r="H176" s="43" t="str">
        <x:v>2025-03-07 08:05:09</x:v>
      </x:c>
    </x:row>
    <x:row r="177">
      <x:c r="A177" s="43" t="str">
        <x:v>L2025-00009-1</x:v>
      </x:c>
      <x:c r="B177" s="46" t="str">
        <x:v>페루 제 3 한페 의료센터 건립사업 사후지원을 위한 리모델링 설계용역 선정 현지입찰계획(안).hwp</x:v>
      </x:c>
      <x:c r="C177" s="43" t="str">
        <x:v>.hwp</x:v>
      </x:c>
      <x:c r="D177" s="61" t="n">
        <x:v>181248</x:v>
      </x:c>
      <x:c r="E177" s="43" t="str">
        <x:v>downloaded</x:v>
      </x:c>
      <x:c r="F177" s="43" t="str">
        <x:v>e4cef8be841f69867bb84a4431634fa77d263f3cf5d4b99ba5061fb55933df37</x:v>
      </x:c>
      <x:c r="G177" s="46" t="str">
        <x:v>/Users/nomadresearch/Documents/Claude/Projects/koica-construction-tender/data/raw/L2025-00009-1/페루 제 3 한페 의료센터 건립사업 사후지원을 위한 리모델링 설계용역 선정 현지입찰계획(안).hwp</x:v>
      </x:c>
      <x:c r="H177" s="43" t="str">
        <x:v>2025-03-07 08:05:09</x:v>
      </x:c>
    </x:row>
    <x:row r="178">
      <x:c r="A178" s="43" t="str">
        <x:v>L2025-00008-1</x:v>
      </x:c>
      <x:c r="B178" s="46" t="str">
        <x:v>Tender document full set_Kajiado_0219 rev.zip</x:v>
      </x:c>
      <x:c r="C178" s="43" t="str">
        <x:v>.zip</x:v>
      </x:c>
      <x:c r="D178" s="61" t="n">
        <x:v>600313</x:v>
      </x:c>
      <x:c r="E178" s="43" t="str">
        <x:v>downloaded</x:v>
      </x:c>
      <x:c r="F178" s="43" t="str">
        <x:v>ec993b97a667cb07889a74e23505f72b32b66cd15f525b294ae076738a940336</x:v>
      </x:c>
      <x:c r="G178" s="46" t="str">
        <x:v>/Users/nomadresearch/Documents/Claude/Projects/koica-construction-tender/data/raw/L2025-00008-1/Tender document full set_Kajiado_0219 rev.zip</x:v>
      </x:c>
      <x:c r="H178" s="43" t="str">
        <x:v>2025-02-24 21:29:23</x:v>
      </x:c>
    </x:row>
    <x:row r="179">
      <x:c r="A179" s="43" t="str">
        <x:v>L2025-00007-2</x:v>
      </x:c>
      <x:c r="B179" s="46" t="str">
        <x:v>붙임 1. 입찰 계획서(국문).hwp</x:v>
      </x:c>
      <x:c r="C179" s="43" t="str">
        <x:v>.hwp</x:v>
      </x:c>
      <x:c r="D179" s="61" t="n">
        <x:v>162304</x:v>
      </x:c>
      <x:c r="E179" s="43" t="str">
        <x:v>downloaded</x:v>
      </x:c>
      <x:c r="F179" s="43" t="str">
        <x:v>c587a940e2241e67e7c87aced267fab80fb2ab2723d00ac50743fd82af07389c</x:v>
      </x:c>
      <x:c r="G179" s="46" t="str">
        <x:v>/Users/nomadresearch/Documents/Claude/Projects/koica-construction-tender/data/raw/L2025-00007-2/붙임 1. 입찰 계획서(국문).hwp</x:v>
      </x:c>
      <x:c r="H179" s="43" t="str">
        <x:v>2025-05-01 13:03:03</x:v>
      </x:c>
    </x:row>
    <x:row r="180">
      <x:c r="A180" s="43" t="str">
        <x:v>L2025-00007-2</x:v>
      </x:c>
      <x:c r="B180" s="46" t="str">
        <x:v>붙임 2. 입찰 공고문(영문).zip</x:v>
      </x:c>
      <x:c r="C180" s="43" t="str">
        <x:v>.zip</x:v>
      </x:c>
      <x:c r="D180" s="61" t="n">
        <x:v>419155</x:v>
      </x:c>
      <x:c r="E180" s="43" t="str">
        <x:v>downloaded</x:v>
      </x:c>
      <x:c r="F180" s="43" t="str">
        <x:v>1474f3ee3d669bef5b3553de312ec5c0d58894e318b4e73ed0aa199f0abd0fc8</x:v>
      </x:c>
      <x:c r="G180" s="46" t="str">
        <x:v>/Users/nomadresearch/Documents/Claude/Projects/koica-construction-tender/data/raw/L2025-00007-2/붙임 2. 입찰 공고문(영문).zip</x:v>
      </x:c>
      <x:c r="H180" s="43" t="str">
        <x:v>2025-05-01 13:03:03</x:v>
      </x:c>
    </x:row>
    <x:row r="181">
      <x:c r="A181" s="43" t="str">
        <x:v>L2025-00007-1</x:v>
      </x:c>
      <x:c r="B181" s="46" t="str">
        <x:v>★ Checklist for the Bidders_250224.docx</x:v>
      </x:c>
      <x:c r="C181" s="43" t="str">
        <x:v>.docx</x:v>
      </x:c>
      <x:c r="D181" s="61" t="n">
        <x:v>19428</x:v>
      </x:c>
      <x:c r="E181" s="43" t="str">
        <x:v>downloaded</x:v>
      </x:c>
      <x:c r="F181" s="43" t="str">
        <x:v>26fdf6184b9ddf5db390dda84b99aa6b1b06d2f86278eea2065cd98deb570587</x:v>
      </x:c>
      <x:c r="G181" s="46" t="str">
        <x:v>/Users/nomadresearch/Documents/Claude/Projects/koica-construction-tender/data/raw/L2025-00007-1/★ Checklist for the Bidders_250224.docx</x:v>
      </x:c>
      <x:c r="H181" s="43" t="str">
        <x:v>2025-03-04 07:51:12</x:v>
      </x:c>
    </x:row>
    <x:row r="182">
      <x:c r="A182" s="43" t="str">
        <x:v>L2025-00007-1</x:v>
      </x:c>
      <x:c r="B182" s="46" t="str">
        <x:v>Cover sheet_MVC (Supervision)_20250224_클린.docx</x:v>
      </x:c>
      <x:c r="C182" s="43" t="str">
        <x:v>.docx</x:v>
      </x:c>
      <x:c r="D182" s="61" t="n">
        <x:v>34573</x:v>
      </x:c>
      <x:c r="E182" s="43" t="str">
        <x:v>downloaded</x:v>
      </x:c>
      <x:c r="F182" s="43" t="str">
        <x:v>75544e90ea5c75664040ee62f65eeb4b8123d3612799f18847f8023e4dbd2575</x:v>
      </x:c>
      <x:c r="G182" s="46" t="str">
        <x:v>/Users/nomadresearch/Documents/Claude/Projects/koica-construction-tender/data/raw/L2025-00007-1/Cover sheet_MVC (Supervision)_20250224_클린.docx</x:v>
      </x:c>
      <x:c r="H182" s="43" t="str">
        <x:v>2025-03-04 07:51:12</x:v>
      </x:c>
    </x:row>
    <x:row r="183">
      <x:c r="A183" s="43" t="str">
        <x:v>L2025-00007-1</x:v>
      </x:c>
      <x:c r="B183" s="46" t="str">
        <x:v>Section 1 - Instructions to Bidders (ITB)_MVC (Supervision)_20250224_클린.docx</x:v>
      </x:c>
      <x:c r="C183" s="43" t="str">
        <x:v>.docx</x:v>
      </x:c>
      <x:c r="D183" s="61" t="n">
        <x:v>39371</x:v>
      </x:c>
      <x:c r="E183" s="43" t="str">
        <x:v>downloaded</x:v>
      </x:c>
      <x:c r="F183" s="43" t="str">
        <x:v>72396202e1257437ad0ed83ed14c206fba54067ebc1be7548478ba9eef2c4d8d</x:v>
      </x:c>
      <x:c r="G183" s="46" t="str">
        <x:v>/Users/nomadresearch/Documents/Claude/Projects/koica-construction-tender/data/raw/L2025-00007-1/Section 1 - Instructions to Bidders (ITB)_MVC (Supervision)_20250224_클린.docx</x:v>
      </x:c>
      <x:c r="H183" s="43" t="str">
        <x:v>2025-03-04 07:51:12</x:v>
      </x:c>
    </x:row>
    <x:row r="184">
      <x:c r="A184" s="43" t="str">
        <x:v>L2025-00007-1</x:v>
      </x:c>
      <x:c r="B184" s="46" t="str">
        <x:v>Section 2 - Bid Data Sheet (BDS)_MVC (Supervision)_20250224_클린_추가.docx</x:v>
      </x:c>
      <x:c r="C184" s="43" t="str">
        <x:v>.docx</x:v>
      </x:c>
      <x:c r="D184" s="61" t="n">
        <x:v>78614</x:v>
      </x:c>
      <x:c r="E184" s="43" t="str">
        <x:v>downloaded</x:v>
      </x:c>
      <x:c r="F184" s="43" t="str">
        <x:v>b59ccfbd122830546c358f4d3d6bce7b54869d4fbdfddfb6736c45edc7068f87</x:v>
      </x:c>
      <x:c r="G184" s="46" t="str">
        <x:v>/Users/nomadresearch/Documents/Claude/Projects/koica-construction-tender/data/raw/L2025-00007-1/Section 2 - Bid Data Sheet (BDS)_MVC (Supervision)_20250224_클린_추가.docx</x:v>
      </x:c>
      <x:c r="H184" s="43" t="str">
        <x:v>2025-03-04 07:51:12</x:v>
      </x:c>
    </x:row>
    <x:row r="185">
      <x:c r="A185" s="43" t="str">
        <x:v>L2025-00007-1</x:v>
      </x:c>
      <x:c r="B185" s="46" t="str">
        <x:v>Section 3 - Bidding Forms_MVC (Supervision)_20250224_클린.docx</x:v>
      </x:c>
      <x:c r="C185" s="43" t="str">
        <x:v>.docx</x:v>
      </x:c>
      <x:c r="D185" s="61" t="n">
        <x:v>61920</x:v>
      </x:c>
      <x:c r="E185" s="43" t="str">
        <x:v>downloaded</x:v>
      </x:c>
      <x:c r="F185" s="43" t="str">
        <x:v>d38623b175a2917be80aed6802f6d257a8bfd34e30953713f4e1f7cc3e218e65</x:v>
      </x:c>
      <x:c r="G185" s="46" t="str">
        <x:v>/Users/nomadresearch/Documents/Claude/Projects/koica-construction-tender/data/raw/L2025-00007-1/Section 3 - Bidding Forms_MVC (Supervision)_20250224_클린.docx</x:v>
      </x:c>
      <x:c r="H185" s="43" t="str">
        <x:v>2025-03-04 07:51:12</x:v>
      </x:c>
    </x:row>
    <x:row r="186">
      <x:c r="A186" s="43" t="str">
        <x:v>L2025-00007-1</x:v>
      </x:c>
      <x:c r="B186" s="46" t="str">
        <x:v>Section 4 - Scope of Works_MVC (Supervision)_20250224_클린.docx</x:v>
      </x:c>
      <x:c r="C186" s="43" t="str">
        <x:v>.docx</x:v>
      </x:c>
      <x:c r="D186" s="61" t="n">
        <x:v>104640</x:v>
      </x:c>
      <x:c r="E186" s="43" t="str">
        <x:v>downloaded</x:v>
      </x:c>
      <x:c r="F186" s="43" t="str">
        <x:v>d633039295827c55a745768b0dec991054f54468d27d81b248f93a0aec43d15a</x:v>
      </x:c>
      <x:c r="G186" s="46" t="str">
        <x:v>/Users/nomadresearch/Documents/Claude/Projects/koica-construction-tender/data/raw/L2025-00007-1/Section 4 - Scope of Works_MVC (Supervision)_20250224_클린.docx</x:v>
      </x:c>
      <x:c r="H186" s="43" t="str">
        <x:v>2025-03-04 07:51:12</x:v>
      </x:c>
    </x:row>
    <x:row r="187">
      <x:c r="A187" s="43" t="str">
        <x:v>L2025-00007-1</x:v>
      </x:c>
      <x:c r="B187" s="46" t="str">
        <x:v>Section 5 - General Conditions of Contract_MVC (Supervision)_20250224_클린.docx</x:v>
      </x:c>
      <x:c r="C187" s="43" t="str">
        <x:v>.docx</x:v>
      </x:c>
      <x:c r="D187" s="61" t="n">
        <x:v>39726</x:v>
      </x:c>
      <x:c r="E187" s="43" t="str">
        <x:v>downloaded</x:v>
      </x:c>
      <x:c r="F187" s="43" t="str">
        <x:v>6d6491d7e93246b068a266e0a9d0e914416def833f4afecd55c9b97415485c26</x:v>
      </x:c>
      <x:c r="G187" s="46" t="str">
        <x:v>/Users/nomadresearch/Documents/Claude/Projects/koica-construction-tender/data/raw/L2025-00007-1/Section 5 - General Conditions of Contract_MVC (Supervision)_20250224_클린.docx</x:v>
      </x:c>
      <x:c r="H187" s="43" t="str">
        <x:v>2025-03-04 07:51:12</x:v>
      </x:c>
    </x:row>
    <x:row r="188">
      <x:c r="A188" s="43" t="str">
        <x:v>L2025-00007-1</x:v>
      </x:c>
      <x:c r="B188" s="46" t="str">
        <x:v>Section 6 - Special Conditions of Contract_MVC (Supervision)_20250224_클린.docx</x:v>
      </x:c>
      <x:c r="C188" s="43" t="str">
        <x:v>.docx</x:v>
      </x:c>
      <x:c r="D188" s="61" t="n">
        <x:v>28577</x:v>
      </x:c>
      <x:c r="E188" s="43" t="str">
        <x:v>downloaded</x:v>
      </x:c>
      <x:c r="F188" s="43" t="str">
        <x:v>5ca8eefdd234be0be15cc1d128d3193097bac5427d78cf4dd2221299204dc157</x:v>
      </x:c>
      <x:c r="G188" s="46" t="str">
        <x:v>/Users/nomadresearch/Documents/Claude/Projects/koica-construction-tender/data/raw/L2025-00007-1/Section 6 - Special Conditions of Contract_MVC (Supervision)_20250224_클린.docx</x:v>
      </x:c>
      <x:c r="H188" s="43" t="str">
        <x:v>2025-03-04 07:51:12</x:v>
      </x:c>
    </x:row>
    <x:row r="189">
      <x:c r="A189" s="43" t="str">
        <x:v>L2025-00007-1</x:v>
      </x:c>
      <x:c r="B189" s="46" t="str">
        <x:v>Section 7 - Contract Forms_MVC (Supervision)_20250224_클린.docx</x:v>
      </x:c>
      <x:c r="C189" s="43" t="str">
        <x:v>.docx</x:v>
      </x:c>
      <x:c r="D189" s="61" t="n">
        <x:v>41866</x:v>
      </x:c>
      <x:c r="E189" s="43" t="str">
        <x:v>downloaded</x:v>
      </x:c>
      <x:c r="F189" s="43" t="str">
        <x:v>cd24d8a6cbf9d08ba5990943e98cb5cf75d6f649083318f049c92ff1d1318d96</x:v>
      </x:c>
      <x:c r="G189" s="46" t="str">
        <x:v>/Users/nomadresearch/Documents/Claude/Projects/koica-construction-tender/data/raw/L2025-00007-1/Section 7 - Contract Forms_MVC (Supervision)_20250224_클린.docx</x:v>
      </x:c>
      <x:c r="H189" s="43" t="str">
        <x:v>2025-03-04 07:51:12</x:v>
      </x:c>
    </x:row>
    <x:row r="190">
      <x:c r="A190" s="43" t="str">
        <x:v>L2025-00007-1</x:v>
      </x:c>
      <x:c r="B190" s="46" t="str">
        <x:v>붙임 1. 입찰 계획서(국문).hwp</x:v>
      </x:c>
      <x:c r="C190" s="43" t="str">
        <x:v>.hwp</x:v>
      </x:c>
      <x:c r="D190" s="61" t="n">
        <x:v>84480</x:v>
      </x:c>
      <x:c r="E190" s="43" t="str">
        <x:v>downloaded</x:v>
      </x:c>
      <x:c r="F190" s="43" t="str">
        <x:v>87f2a00991f35b3b2fbc4951994e612aa78a86c6d75666a9e921532b9fd70314</x:v>
      </x:c>
      <x:c r="G190" s="46" t="str">
        <x:v>/Users/nomadresearch/Documents/Claude/Projects/koica-construction-tender/data/raw/L2025-00007-1/붙임 1. 입찰 계획서(국문).hwp</x:v>
      </x:c>
      <x:c r="H190" s="43" t="str">
        <x:v>2025-03-04 07:51:12</x:v>
      </x:c>
    </x:row>
    <x:row r="191">
      <x:c r="A191" s="43" t="str">
        <x:v>L2025-00006-1</x:v>
      </x:c>
      <x:c r="B191" s="46" t="str">
        <x:v>상수도 설계 현지입찰 제반서류.zip</x:v>
      </x:c>
      <x:c r="C191" s="43" t="str">
        <x:v>.zip</x:v>
      </x:c>
      <x:c r="D191" s="61" t="n">
        <x:v>6340013</x:v>
      </x:c>
      <x:c r="E191" s="43" t="str">
        <x:v>downloaded</x:v>
      </x:c>
      <x:c r="F191" s="43" t="str">
        <x:v>88b211a2270cfd2d3f1a70a7243e2142a82e7b4c7295fbcdac8bbdcd54529d79</x:v>
      </x:c>
      <x:c r="G191" s="46" t="str">
        <x:v>/Users/nomadresearch/Documents/Claude/Projects/koica-construction-tender/data/raw/L2025-00006-1/상수도 설계 현지입찰 제반서류.zip</x:v>
      </x:c>
      <x:c r="H191" s="43" t="str">
        <x:v>2025-02-10 19:40:48</x:v>
      </x:c>
    </x:row>
    <x:row r="192">
      <x:c r="A192" s="43" t="str">
        <x:v>L2025-00003-2</x:v>
      </x:c>
      <x:c r="B192" s="46" t="str">
        <x:v>[RE] (Bid Document) Digitalization of the Parliament.zip</x:v>
      </x:c>
      <x:c r="C192" s="43" t="str">
        <x:v>.zip</x:v>
      </x:c>
      <x:c r="D192" s="61" t="n">
        <x:v>5632125</x:v>
      </x:c>
      <x:c r="E192" s="43" t="str">
        <x:v>downloaded</x:v>
      </x:c>
      <x:c r="F192" s="43" t="str">
        <x:v>3e17bbee573c04e0a36a615c4befc4ef9f66ddf437cdadf1522f805c90ddbd54</x:v>
      </x:c>
      <x:c r="G192" s="46" t="str">
        <x:v>/Users/nomadresearch/Documents/Claude/Projects/koica-construction-tender/data/raw/L2025-00003-2/[RE] (Bid Document) Digitalization of the Parliament.zip</x:v>
      </x:c>
      <x:c r="H192" s="43" t="str">
        <x:v>2025-01-20 18:41:45</x:v>
      </x:c>
    </x:row>
    <x:row r="193">
      <x:c r="A193" s="43" t="str">
        <x:v>L2025-00003-1</x:v>
      </x:c>
      <x:c r="B193" s="46" t="str">
        <x:v>Parliament Bidding Document (Eng, Rus).zip</x:v>
      </x:c>
      <x:c r="C193" s="43" t="str">
        <x:v>.zip</x:v>
      </x:c>
      <x:c r="D193" s="61" t="n">
        <x:v>8047682</x:v>
      </x:c>
      <x:c r="E193" s="43" t="str">
        <x:v>downloaded</x:v>
      </x:c>
      <x:c r="F193" s="43" t="str">
        <x:v>f0d5cd47c17820f129bfc366a7bd6c22e08f9e4bbc064661e192186e827c3045</x:v>
      </x:c>
      <x:c r="G193" s="46" t="str">
        <x:v>/Users/nomadresearch/Documents/Claude/Projects/koica-construction-tender/data/raw/L2025-00003-1/Parliament Bidding Document (Eng, Rus).zip</x:v>
      </x:c>
      <x:c r="H193" s="43" t="str">
        <x:v>2025-01-08 18:07:44</x:v>
      </x:c>
    </x:row>
    <x:row r="194">
      <x:c r="A194" s="43" t="str">
        <x:v>L2025-00002-1</x:v>
      </x:c>
      <x:c r="B194" s="46" t="str">
        <x:v>Section 1 - Instructions to Bidders (ITB).pdf</x:v>
      </x:c>
      <x:c r="C194" s="43" t="str">
        <x:v>.pdf</x:v>
      </x:c>
      <x:c r="D194" s="61" t="n">
        <x:v>165225</x:v>
      </x:c>
      <x:c r="E194" s="43" t="str">
        <x:v>downloaded</x:v>
      </x:c>
      <x:c r="F194" s="43" t="str">
        <x:v>691b98a077b07f2ded55da96b6a6b74440d6c0d010357f2fa9cf5033f65b51c9</x:v>
      </x:c>
      <x:c r="G194" s="46" t="str">
        <x:v>/Users/nomadresearch/Documents/Claude/Projects/koica-construction-tender/data/raw/L2025-00002-1/Section 1 - Instructions to Bidders (ITB).pdf</x:v>
      </x:c>
      <x:c r="H194" s="43" t="str">
        <x:v>2025-04-17 12:49:45</x:v>
      </x:c>
    </x:row>
    <x:row r="195">
      <x:c r="A195" s="43" t="str">
        <x:v>L2025-00002-1</x:v>
      </x:c>
      <x:c r="B195" s="46" t="str">
        <x:v>Section 2 - Bid Data Sheet_Final.docx</x:v>
      </x:c>
      <x:c r="C195" s="43" t="str">
        <x:v>.docx</x:v>
      </x:c>
      <x:c r="D195" s="61" t="n">
        <x:v>67488</x:v>
      </x:c>
      <x:c r="E195" s="43" t="str">
        <x:v>downloaded</x:v>
      </x:c>
      <x:c r="F195" s="43" t="str">
        <x:v>c4a183f361a9c2143948481acca4ed0b560f6f856a39e7350ad6e80cb3a7195c</x:v>
      </x:c>
      <x:c r="G195" s="46" t="str">
        <x:v>/Users/nomadresearch/Documents/Claude/Projects/koica-construction-tender/data/raw/L2025-00002-1/Section 2 - Bid Data Sheet_Final.docx</x:v>
      </x:c>
      <x:c r="H195" s="43" t="str">
        <x:v>2025-04-17 12:49:45</x:v>
      </x:c>
    </x:row>
    <x:row r="196">
      <x:c r="A196" s="43" t="str">
        <x:v>L2025-00002-1</x:v>
      </x:c>
      <x:c r="B196" s="46" t="str">
        <x:v>Section 2 - Bid Data Sheet_Final.pdf</x:v>
      </x:c>
      <x:c r="C196" s="43" t="str">
        <x:v>.pdf</x:v>
      </x:c>
      <x:c r="D196" s="61" t="n">
        <x:v>420119</x:v>
      </x:c>
      <x:c r="E196" s="43" t="str">
        <x:v>downloaded</x:v>
      </x:c>
      <x:c r="F196" s="43" t="str">
        <x:v>ce53ed8d442668effd9b7278778347666774cad5b0c7fc6b30b920ec96eddfe5</x:v>
      </x:c>
      <x:c r="G196" s="46" t="str">
        <x:v>/Users/nomadresearch/Documents/Claude/Projects/koica-construction-tender/data/raw/L2025-00002-1/Section 2 - Bid Data Sheet_Final.pdf</x:v>
      </x:c>
      <x:c r="H196" s="43" t="str">
        <x:v>2025-04-17 12:49:45</x:v>
      </x:c>
    </x:row>
    <x:row r="197">
      <x:c r="A197" s="43" t="str">
        <x:v>L2025-00002-1</x:v>
      </x:c>
      <x:c r="B197" s="46" t="str">
        <x:v>Section 3 - Bidding Forms_Final.docx</x:v>
      </x:c>
      <x:c r="C197" s="43" t="str">
        <x:v>.docx</x:v>
      </x:c>
      <x:c r="D197" s="61" t="n">
        <x:v>50099</x:v>
      </x:c>
      <x:c r="E197" s="43" t="str">
        <x:v>downloaded</x:v>
      </x:c>
      <x:c r="F197" s="43" t="str">
        <x:v>8e511f4e4b8646e0ae753b189572ca19192bf5b14b186675867a5a70b7cac9c1</x:v>
      </x:c>
      <x:c r="G197" s="46" t="str">
        <x:v>/Users/nomadresearch/Documents/Claude/Projects/koica-construction-tender/data/raw/L2025-00002-1/Section 3 - Bidding Forms_Final.docx</x:v>
      </x:c>
      <x:c r="H197" s="43" t="str">
        <x:v>2025-04-17 12:49:45</x:v>
      </x:c>
    </x:row>
    <x:row r="198">
      <x:c r="A198" s="43" t="str">
        <x:v>L2025-00002-1</x:v>
      </x:c>
      <x:c r="B198" s="46" t="str">
        <x:v>Section 7 - General Conditions of Contract.docx</x:v>
      </x:c>
      <x:c r="C198" s="43" t="str">
        <x:v>.docx</x:v>
      </x:c>
      <x:c r="D198" s="61" t="n">
        <x:v>203654</x:v>
      </x:c>
      <x:c r="E198" s="43" t="str">
        <x:v>downloaded</x:v>
      </x:c>
      <x:c r="F198" s="43" t="str">
        <x:v>93f53220c64c27e79d122c101a362cce68e477cf3791a7cbc545b60211ded753</x:v>
      </x:c>
      <x:c r="G198" s="46" t="str">
        <x:v>/Users/nomadresearch/Documents/Claude/Projects/koica-construction-tender/data/raw/L2025-00002-1/Section 7 - General Conditions of Contract.docx</x:v>
      </x:c>
      <x:c r="H198" s="43" t="str">
        <x:v>2025-04-17 12:49:45</x:v>
      </x:c>
    </x:row>
    <x:row r="199">
      <x:c r="A199" s="43" t="str">
        <x:v>L2025-00002-1</x:v>
      </x:c>
      <x:c r="B199" s="46" t="str">
        <x:v>Section 8 - Special Conditions of Contract.docx</x:v>
      </x:c>
      <x:c r="C199" s="43" t="str">
        <x:v>.docx</x:v>
      </x:c>
      <x:c r="D199" s="61" t="n">
        <x:v>61076</x:v>
      </x:c>
      <x:c r="E199" s="43" t="str">
        <x:v>downloaded</x:v>
      </x:c>
      <x:c r="F199" s="43" t="str">
        <x:v>ab1cc62d3795429fbad44bd6065ea17d4f981677f9f279bd93a292281f2f3942</x:v>
      </x:c>
      <x:c r="G199" s="46" t="str">
        <x:v>/Users/nomadresearch/Documents/Claude/Projects/koica-construction-tender/data/raw/L2025-00002-1/Section 8 - Special Conditions of Contract.docx</x:v>
      </x:c>
      <x:c r="H199" s="43" t="str">
        <x:v>2025-04-17 12:49:45</x:v>
      </x:c>
    </x:row>
    <x:row r="200">
      <x:c r="A200" s="43" t="str">
        <x:v>L2025-00002-1</x:v>
      </x:c>
      <x:c r="B200" s="46" t="str">
        <x:v>Section 9 - Contract Forms.docx</x:v>
      </x:c>
      <x:c r="C200" s="43" t="str">
        <x:v>.docx</x:v>
      </x:c>
      <x:c r="D200" s="61" t="n">
        <x:v>38414</x:v>
      </x:c>
      <x:c r="E200" s="43" t="str">
        <x:v>downloaded</x:v>
      </x:c>
      <x:c r="F200" s="43" t="str">
        <x:v>20607712ca95649baf62937a6b15895949a4cda747c0f31aded7ed4d228e85a8</x:v>
      </x:c>
      <x:c r="G200" s="46" t="str">
        <x:v>/Users/nomadresearch/Documents/Claude/Projects/koica-construction-tender/data/raw/L2025-00002-1/Section 9 - Contract Forms.docx</x:v>
      </x:c>
      <x:c r="H200" s="43" t="str">
        <x:v>2025-04-17 12:49:45</x:v>
      </x:c>
    </x:row>
    <x:row r="201">
      <x:c r="A201" s="43" t="str">
        <x:v>L2025-00002-1</x:v>
      </x:c>
      <x:c r="B201" s="46" t="str">
        <x:v>Section 10 - Pledges(Additional Form).zip</x:v>
      </x:c>
      <x:c r="C201" s="43" t="str">
        <x:v>.zip</x:v>
      </x:c>
      <x:c r="D201" s="61" t="n">
        <x:v>85586</x:v>
      </x:c>
      <x:c r="E201" s="43" t="str">
        <x:v>downloaded</x:v>
      </x:c>
      <x:c r="F201" s="43" t="str">
        <x:v>ace77f0c472bac41b05b3348d76f2fece600d55060d9bc370047c00e36f9a7da</x:v>
      </x:c>
      <x:c r="G201" s="46" t="str">
        <x:v>/Users/nomadresearch/Documents/Claude/Projects/koica-construction-tender/data/raw/L2025-00002-1/Section 10 - Pledges(Additional Form).zip</x:v>
      </x:c>
      <x:c r="H201" s="43" t="str">
        <x:v>2025-04-17 12:49:45</x:v>
      </x:c>
    </x:row>
    <x:row r="202">
      <x:c r="A202" s="43" t="str">
        <x:v>L2024-00079-1</x:v>
      </x:c>
      <x:c r="B202" s="46" t="str">
        <x:v>2. 포카라시 녹색일자리 창출사업 시공사 선정 BID DOCUMENTS(영문)_241217.docx</x:v>
      </x:c>
      <x:c r="C202" s="43" t="str">
        <x:v>.docx</x:v>
      </x:c>
      <x:c r="D202" s="61" t="n">
        <x:v>80211</x:v>
      </x:c>
      <x:c r="E202" s="43" t="str">
        <x:v>downloaded</x:v>
      </x:c>
      <x:c r="F202" s="43" t="str">
        <x:v>29c9a1c5ccb61f17e37e2ab0e18f769d15c0c388c2f158e493ae56e93d0eab5f</x:v>
      </x:c>
      <x:c r="G202" s="46" t="str">
        <x:v>/Users/nomadresearch/Documents/Claude/Projects/koica-construction-tender/data/raw/L2024-00079-1/2. 포카라시 녹색일자리 창출사업 시공사 선정 BID DOCUMENTS(영문)_241217.docx</x:v>
      </x:c>
      <x:c r="H202" s="43" t="str">
        <x:v>2024-12-27 20:50:55</x:v>
      </x:c>
    </x:row>
    <x:row r="203">
      <x:c r="A203" s="43" t="str">
        <x:v>L2024-00078-1</x:v>
      </x:c>
      <x:c r="B203" s="46" t="str">
        <x:v>(241219) 입찰 계획서(국문)_CM, 조달 의견 반영_v05_클린.hwp</x:v>
      </x:c>
      <x:c r="C203" s="43" t="str">
        <x:v>.hwp</x:v>
      </x:c>
      <x:c r="D203" s="61" t="n">
        <x:v>182784</x:v>
      </x:c>
      <x:c r="E203" s="43" t="str">
        <x:v>downloaded</x:v>
      </x:c>
      <x:c r="F203" s="43" t="str">
        <x:v>c57b28429e42685c15802e98e3d7f6b80f15e09604358de3f1b62c0764a27733</x:v>
      </x:c>
      <x:c r="G203" s="46" t="str">
        <x:v>/Users/nomadresearch/Documents/Claude/Projects/koica-construction-tender/data/raw/L2024-00078-1/(241219) 입찰 계획서(국문)_CM, 조달 의견 반영_v05_클린.hwp</x:v>
      </x:c>
      <x:c r="H203" s="43" t="str">
        <x:v>2025-02-05 00:55:04</x:v>
      </x:c>
    </x:row>
    <x:row r="204">
      <x:c r="A204" s="43" t="str">
        <x:v>L2024-00078-1</x:v>
      </x:c>
      <x:c r="B204" s="46" t="str">
        <x:v>★ Field Orientation Information.docx</x:v>
      </x:c>
      <x:c r="C204" s="43" t="str">
        <x:v>.docx</x:v>
      </x:c>
      <x:c r="D204" s="61" t="n">
        <x:v>1672659</x:v>
      </x:c>
      <x:c r="E204" s="43" t="str">
        <x:v>downloaded</x:v>
      </x:c>
      <x:c r="F204" s="43" t="str">
        <x:v>e222f9287257bd56f830f149e47f566dc9544c316730c0888b618e8e91c5d393</x:v>
      </x:c>
      <x:c r="G204" s="46" t="str">
        <x:v>/Users/nomadresearch/Documents/Claude/Projects/koica-construction-tender/data/raw/L2024-00078-1/★ Field Orientation Information.docx</x:v>
      </x:c>
      <x:c r="H204" s="43" t="str">
        <x:v>2025-02-05 00:55:04</x:v>
      </x:c>
    </x:row>
    <x:row r="205">
      <x:c r="A205" s="43" t="str">
        <x:v>L2024-00078-1</x:v>
      </x:c>
      <x:c r="B205" s="46" t="str">
        <x:v>0. Attachment_MVC (Construction)_fin.zip</x:v>
      </x:c>
      <x:c r="C205" s="43" t="str">
        <x:v>.zip</x:v>
      </x:c>
      <x:c r="D205" s="61" t="n">
        <x:v>1496624</x:v>
      </x:c>
      <x:c r="E205" s="43" t="str">
        <x:v>downloaded</x:v>
      </x:c>
      <x:c r="F205" s="43" t="str">
        <x:v>cfbeb73353aff76f7e3180a1e6af3e52766c2a81e1498ee3b4fe18bba4a707be</x:v>
      </x:c>
      <x:c r="G205" s="46" t="str">
        <x:v>/Users/nomadresearch/Documents/Claude/Projects/koica-construction-tender/data/raw/L2024-00078-1/0. Attachment_MVC (Construction)_fin.zip</x:v>
      </x:c>
      <x:c r="H205" s="43" t="str">
        <x:v>2025-02-05 00:55:04</x:v>
      </x:c>
    </x:row>
    <x:row r="206">
      <x:c r="A206" s="43" t="str">
        <x:v>L2024-00078-1</x:v>
      </x:c>
      <x:c r="B206" s="46" t="str">
        <x:v>0. Cover sheet_MVC Construction_CM_v05_CLEAN.docx</x:v>
      </x:c>
      <x:c r="C206" s="43" t="str">
        <x:v>.docx</x:v>
      </x:c>
      <x:c r="D206" s="61" t="n">
        <x:v>34534</x:v>
      </x:c>
      <x:c r="E206" s="43" t="str">
        <x:v>downloaded</x:v>
      </x:c>
      <x:c r="F206" s="43" t="str">
        <x:v>7fb94bb622c0a50def205dbecbf8d1fab90d6e140a65ddf784267c6248fbbdd1</x:v>
      </x:c>
      <x:c r="G206" s="46" t="str">
        <x:v>/Users/nomadresearch/Documents/Claude/Projects/koica-construction-tender/data/raw/L2024-00078-1/0. Cover sheet_MVC Construction_CM_v05_CLEAN.docx</x:v>
      </x:c>
      <x:c r="H206" s="43" t="str">
        <x:v>2025-02-05 00:55:04</x:v>
      </x:c>
    </x:row>
    <x:row r="207">
      <x:c r="A207" s="43" t="str">
        <x:v>L2024-00078-1</x:v>
      </x:c>
      <x:c r="B207" s="46" t="str">
        <x:v>Section 1 Instructions to Bidder_MVC Construction_v05_CLEAN.docx</x:v>
      </x:c>
      <x:c r="C207" s="43" t="str">
        <x:v>.docx</x:v>
      </x:c>
      <x:c r="D207" s="61" t="n">
        <x:v>36381</x:v>
      </x:c>
      <x:c r="E207" s="43" t="str">
        <x:v>downloaded</x:v>
      </x:c>
      <x:c r="F207" s="43" t="str">
        <x:v>fb43d9162982f9f4bfda463ccd11e3ca6c605e6a6cff3f24f5c35fe772604e76</x:v>
      </x:c>
      <x:c r="G207" s="46" t="str">
        <x:v>/Users/nomadresearch/Documents/Claude/Projects/koica-construction-tender/data/raw/L2024-00078-1/Section 1 Instructions to Bidder_MVC Construction_v05_CLEAN.docx</x:v>
      </x:c>
      <x:c r="H207" s="43" t="str">
        <x:v>2025-02-05 00:55:04</x:v>
      </x:c>
    </x:row>
    <x:row r="208">
      <x:c r="A208" s="43" t="str">
        <x:v>L2024-00078-1</x:v>
      </x:c>
      <x:c r="B208" s="46" t="str">
        <x:v>Section 2 Bid data sheet_MVC Construction_v05_CLEAN.docx</x:v>
      </x:c>
      <x:c r="C208" s="43" t="str">
        <x:v>.docx</x:v>
      </x:c>
      <x:c r="D208" s="61" t="n">
        <x:v>1706234</x:v>
      </x:c>
      <x:c r="E208" s="43" t="str">
        <x:v>downloaded</x:v>
      </x:c>
      <x:c r="F208" s="43" t="str">
        <x:v>36540282467f73d91a2fe6e73968cc5a032a17339c93ced91bf807126d6072a2</x:v>
      </x:c>
      <x:c r="G208" s="46" t="str">
        <x:v>/Users/nomadresearch/Documents/Claude/Projects/koica-construction-tender/data/raw/L2024-00078-1/Section 2 Bid data sheet_MVC Construction_v05_CLEAN.docx</x:v>
      </x:c>
      <x:c r="H208" s="43" t="str">
        <x:v>2025-02-05 00:55:04</x:v>
      </x:c>
    </x:row>
    <x:row r="209">
      <x:c r="A209" s="43" t="str">
        <x:v>L2024-00078-1</x:v>
      </x:c>
      <x:c r="B209" s="46" t="str">
        <x:v>Section 3 Bidding Forms_MVC Construction_v05_CLEAN.docx</x:v>
      </x:c>
      <x:c r="C209" s="43" t="str">
        <x:v>.docx</x:v>
      </x:c>
      <x:c r="D209" s="61" t="n">
        <x:v>60106</x:v>
      </x:c>
      <x:c r="E209" s="43" t="str">
        <x:v>downloaded</x:v>
      </x:c>
      <x:c r="F209" s="43" t="str">
        <x:v>56c0f864c2cbc587ae95fb251f3d32826bb5262e3bccb348834a3f60aa7b4d17</x:v>
      </x:c>
      <x:c r="G209" s="46" t="str">
        <x:v>/Users/nomadresearch/Documents/Claude/Projects/koica-construction-tender/data/raw/L2024-00078-1/Section 3 Bidding Forms_MVC Construction_v05_CLEAN.docx</x:v>
      </x:c>
      <x:c r="H209" s="43" t="str">
        <x:v>2025-02-05 00:55:04</x:v>
      </x:c>
    </x:row>
    <x:row r="210">
      <x:c r="A210" s="43" t="str">
        <x:v>L2024-00078-1</x:v>
      </x:c>
      <x:c r="B210" s="46" t="str">
        <x:v>Section 4_BOQ (BLANK sin PRICE)- MVC PROJECT_fin.xlsx</x:v>
      </x:c>
      <x:c r="C210" s="43" t="str">
        <x:v>.xlsx</x:v>
      </x:c>
      <x:c r="D210" s="61" t="n">
        <x:v>65728</x:v>
      </x:c>
      <x:c r="E210" s="43" t="str">
        <x:v>downloaded</x:v>
      </x:c>
      <x:c r="F210" s="43" t="str">
        <x:v>2a926c9a26b8ff49065bbb52562ae8a7b51c534e04b3754a9237935e7d95fc7a</x:v>
      </x:c>
      <x:c r="G210" s="46" t="str">
        <x:v>/Users/nomadresearch/Documents/Claude/Projects/koica-construction-tender/data/raw/L2024-00078-1/Section 4_BOQ (BLANK sin PRICE)- MVC PROJECT_fin.xlsx</x:v>
      </x:c>
      <x:c r="H210" s="43" t="str">
        <x:v>2025-02-05 00:55:04</x:v>
      </x:c>
    </x:row>
    <x:row r="211">
      <x:c r="A211" s="43" t="str">
        <x:v>L2024-00078-1</x:v>
      </x:c>
      <x:c r="B211" s="46" t="str">
        <x:v>Section 6_Specification_fin.zip</x:v>
      </x:c>
      <x:c r="C211" s="43" t="str">
        <x:v>.zip</x:v>
      </x:c>
      <x:c r="D211" s="61" t="n">
        <x:v>2700536</x:v>
      </x:c>
      <x:c r="E211" s="43" t="str">
        <x:v>downloaded</x:v>
      </x:c>
      <x:c r="F211" s="43" t="str">
        <x:v>dad462faeca339e47717e940e3e90d056f22bce54ccdbaddd763807a87fa191d</x:v>
      </x:c>
      <x:c r="G211" s="46" t="str">
        <x:v>/Users/nomadresearch/Documents/Claude/Projects/koica-construction-tender/data/raw/L2024-00078-1/Section 6_Specification_fin.zip</x:v>
      </x:c>
      <x:c r="H211" s="43" t="str">
        <x:v>2025-02-05 00:55:04</x:v>
      </x:c>
    </x:row>
    <x:row r="212">
      <x:c r="A212" s="43" t="str">
        <x:v>L2024-00078-1</x:v>
      </x:c>
      <x:c r="B212" s="46" t="str">
        <x:v>Section 7 General Conditions_MVC Construction_v05_CLEAN.docx</x:v>
      </x:c>
      <x:c r="C212" s="43" t="str">
        <x:v>.docx</x:v>
      </x:c>
      <x:c r="D212" s="61" t="n">
        <x:v>169302</x:v>
      </x:c>
      <x:c r="E212" s="43" t="str">
        <x:v>downloaded</x:v>
      </x:c>
      <x:c r="F212" s="43" t="str">
        <x:v>2e7c0d1be33b53e44dfe8ab5aeb93a0c3b52fe8c91d2726c7b0c9a6934090303</x:v>
      </x:c>
      <x:c r="G212" s="46" t="str">
        <x:v>/Users/nomadresearch/Documents/Claude/Projects/koica-construction-tender/data/raw/L2024-00078-1/Section 7 General Conditions_MVC Construction_v05_CLEAN.docx</x:v>
      </x:c>
      <x:c r="H212" s="43" t="str">
        <x:v>2025-02-05 00:55:04</x:v>
      </x:c>
    </x:row>
    <x:row r="213">
      <x:c r="A213" s="43" t="str">
        <x:v>L2024-00078-1</x:v>
      </x:c>
      <x:c r="B213" s="46" t="str">
        <x:v>Section 8 Special Conditions_MVC Construction_v05_CLEAN.docx</x:v>
      </x:c>
      <x:c r="C213" s="43" t="str">
        <x:v>.docx</x:v>
      </x:c>
      <x:c r="D213" s="61" t="n">
        <x:v>38591</x:v>
      </x:c>
      <x:c r="E213" s="43" t="str">
        <x:v>downloaded</x:v>
      </x:c>
      <x:c r="F213" s="43" t="str">
        <x:v>8cc4d6b9f17ff2fbfdb814c0c07d135293f013318442d1f264db698c50010366</x:v>
      </x:c>
      <x:c r="G213" s="46" t="str">
        <x:v>/Users/nomadresearch/Documents/Claude/Projects/koica-construction-tender/data/raw/L2024-00078-1/Section 8 Special Conditions_MVC Construction_v05_CLEAN.docx</x:v>
      </x:c>
      <x:c r="H213" s="43" t="str">
        <x:v>2025-02-05 00:55:04</x:v>
      </x:c>
    </x:row>
    <x:row r="214">
      <x:c r="A214" s="43" t="str">
        <x:v>L2024-00078-1</x:v>
      </x:c>
      <x:c r="B214" s="46" t="str">
        <x:v>Section 9 Contract Forms_MVC Construction_v05_CLEAN.docx</x:v>
      </x:c>
      <x:c r="C214" s="43" t="str">
        <x:v>.docx</x:v>
      </x:c>
      <x:c r="D214" s="61" t="n">
        <x:v>37257</x:v>
      </x:c>
      <x:c r="E214" s="43" t="str">
        <x:v>downloaded</x:v>
      </x:c>
      <x:c r="F214" s="43" t="str">
        <x:v>c5100489230bb7f86688c2f362cb9433a7e065784db832f51d8782c93bc6c902</x:v>
      </x:c>
      <x:c r="G214" s="46" t="str">
        <x:v>/Users/nomadresearch/Documents/Claude/Projects/koica-construction-tender/data/raw/L2024-00078-1/Section 9 Contract Forms_MVC Construction_v05_CLEAN.docx</x:v>
      </x:c>
      <x:c r="H214" s="43" t="str">
        <x:v>2025-02-05 00:55:04</x:v>
      </x:c>
    </x:row>
    <x:row r="215">
      <x:c r="A215" s="43" t="str">
        <x:v>L2024-00076-1</x:v>
      </x:c>
      <x:c r="B215" s="46" t="str">
        <x:v>1. 페루 시험 퇴비화 플랜트 국문입찰공고문.hwp</x:v>
      </x:c>
      <x:c r="C215" s="43" t="str">
        <x:v>.hwp</x:v>
      </x:c>
      <x:c r="D215" s="61" t="n">
        <x:v>65024</x:v>
      </x:c>
      <x:c r="E215" s="43" t="str">
        <x:v>downloaded</x:v>
      </x:c>
      <x:c r="F215" s="43" t="str">
        <x:v>d1d1e4630b0cd01daed25731fea3ec4e4586d1f7f9299b3b0e4fc406e7d71cb5</x:v>
      </x:c>
      <x:c r="G215" s="46" t="str">
        <x:v>/Users/nomadresearch/Documents/Claude/Projects/koica-construction-tender/data/raw/L2024-00076-1/1. 페루 시험 퇴비화 플랜트 국문입찰공고문.hwp</x:v>
      </x:c>
      <x:c r="H215" s="43" t="str">
        <x:v>2024-11-21 05:27:30</x:v>
      </x:c>
    </x:row>
    <x:row r="216">
      <x:c r="A216" s="43" t="str">
        <x:v>L2024-00075-1</x:v>
      </x:c>
      <x:c r="B216" s="46" t="str">
        <x:v>Section 2 - Bid Data Sheet_1120.pdf</x:v>
      </x:c>
      <x:c r="C216" s="43" t="str">
        <x:v>.pdf</x:v>
      </x:c>
      <x:c r="D216" s="61" t="n">
        <x:v>775555</x:v>
      </x:c>
      <x:c r="E216" s="43" t="str">
        <x:v>downloaded</x:v>
      </x:c>
      <x:c r="F216" s="43" t="str">
        <x:v>ea1019770d49914fdd0c2a2a245bc7b03ec00fdb5c373189046f44d301468d9b</x:v>
      </x:c>
      <x:c r="G216" s="46" t="str">
        <x:v>/Users/nomadresearch/Documents/Claude/Projects/koica-construction-tender/data/raw/L2024-00075-1/Section 2 - Bid Data Sheet_1120.pdf</x:v>
      </x:c>
      <x:c r="H216" s="43" t="str">
        <x:v>2024-11-20 18:09:29</x:v>
      </x:c>
    </x:row>
    <x:row r="217">
      <x:c r="A217" s="43" t="str">
        <x:v>L2024-00075-1</x:v>
      </x:c>
      <x:c r="B217" s="46" t="str">
        <x:v>Section 3 - Bidding Forms_수정.docx</x:v>
      </x:c>
      <x:c r="C217" s="43" t="str">
        <x:v>.docx</x:v>
      </x:c>
      <x:c r="D217" s="61" t="n">
        <x:v>43489</x:v>
      </x:c>
      <x:c r="E217" s="43" t="str">
        <x:v>downloaded</x:v>
      </x:c>
      <x:c r="F217" s="43" t="str">
        <x:v>fdbc9e69a2da314d20ea38a1bba5cf76c10fcc0ef3b0f3633852cfff84077646</x:v>
      </x:c>
      <x:c r="G217" s="46" t="str">
        <x:v>/Users/nomadresearch/Documents/Claude/Projects/koica-construction-tender/data/raw/L2024-00075-1/Section 3 - Bidding Forms_수정.docx</x:v>
      </x:c>
      <x:c r="H217" s="43" t="str">
        <x:v>2024-11-20 18:09:29</x:v>
      </x:c>
    </x:row>
    <x:row r="218">
      <x:c r="A218" s="43" t="str">
        <x:v>L2024-00075-1</x:v>
      </x:c>
      <x:c r="B218" s="46" t="str">
        <x:v>Section 7 - General Conditions of Contract.docx</x:v>
      </x:c>
      <x:c r="C218" s="43" t="str">
        <x:v>.docx</x:v>
      </x:c>
      <x:c r="D218" s="61" t="n">
        <x:v>202912</x:v>
      </x:c>
      <x:c r="E218" s="43" t="str">
        <x:v>downloaded</x:v>
      </x:c>
      <x:c r="F218" s="43" t="str">
        <x:v>fedf6aa3540ddde964e764325f1b28aff95914fe896d9a93b0b504953aef920a</x:v>
      </x:c>
      <x:c r="G218" s="46" t="str">
        <x:v>/Users/nomadresearch/Documents/Claude/Projects/koica-construction-tender/data/raw/L2024-00075-1/Section 7 - General Conditions of Contract.docx</x:v>
      </x:c>
      <x:c r="H218" s="43" t="str">
        <x:v>2024-11-20 18:09:29</x:v>
      </x:c>
    </x:row>
    <x:row r="219">
      <x:c r="A219" s="43" t="str">
        <x:v>L2024-00075-1</x:v>
      </x:c>
      <x:c r="B219" s="46" t="str">
        <x:v>Section 8 - Special Conditions of Contract.docx</x:v>
      </x:c>
      <x:c r="C219" s="43" t="str">
        <x:v>.docx</x:v>
      </x:c>
      <x:c r="D219" s="61" t="n">
        <x:v>60774</x:v>
      </x:c>
      <x:c r="E219" s="43" t="str">
        <x:v>downloaded</x:v>
      </x:c>
      <x:c r="F219" s="43" t="str">
        <x:v>71f76a3e205a83768b2992bb6e9065dc516b4f8076b24418a316d4195274d0e8</x:v>
      </x:c>
      <x:c r="G219" s="46" t="str">
        <x:v>/Users/nomadresearch/Documents/Claude/Projects/koica-construction-tender/data/raw/L2024-00075-1/Section 8 - Special Conditions of Contract.docx</x:v>
      </x:c>
      <x:c r="H219" s="43" t="str">
        <x:v>2024-11-20 18:09:29</x:v>
      </x:c>
    </x:row>
    <x:row r="220">
      <x:c r="A220" s="43" t="str">
        <x:v>L2024-00075-1</x:v>
      </x:c>
      <x:c r="B220" s="46" t="str">
        <x:v>Section 9 - Contract Forms.docx</x:v>
      </x:c>
      <x:c r="C220" s="43" t="str">
        <x:v>.docx</x:v>
      </x:c>
      <x:c r="D220" s="61" t="n">
        <x:v>38159</x:v>
      </x:c>
      <x:c r="E220" s="43" t="str">
        <x:v>downloaded</x:v>
      </x:c>
      <x:c r="F220" s="43" t="str">
        <x:v>0bce2d1fb64d0b2bf7c95f60fe85f7f4c07bcf3ac8c4cb65912db9515bbb5644</x:v>
      </x:c>
      <x:c r="G220" s="46" t="str">
        <x:v>/Users/nomadresearch/Documents/Claude/Projects/koica-construction-tender/data/raw/L2024-00075-1/Section 9 - Contract Forms.docx</x:v>
      </x:c>
      <x:c r="H220" s="43" t="str">
        <x:v>2024-11-20 18:09:29</x:v>
      </x:c>
    </x:row>
    <x:row r="221">
      <x:c r="A221" s="43" t="str">
        <x:v>L2024-00075-1</x:v>
      </x:c>
      <x:c r="B221" s="46" t="str">
        <x:v>Section 9 - Pledges.zip</x:v>
      </x:c>
      <x:c r="C221" s="43" t="str">
        <x:v>.zip</x:v>
      </x:c>
      <x:c r="D221" s="61" t="n">
        <x:v>69143</x:v>
      </x:c>
      <x:c r="E221" s="43" t="str">
        <x:v>downloaded</x:v>
      </x:c>
      <x:c r="F221" s="43" t="str">
        <x:v>c68e53944a8f0afc1892995c1597fc45de6bfe319f29975a6981e05379561cfa</x:v>
      </x:c>
      <x:c r="G221" s="46" t="str">
        <x:v>/Users/nomadresearch/Documents/Claude/Projects/koica-construction-tender/data/raw/L2024-00075-1/Section 9 - Pledges.zip</x:v>
      </x:c>
      <x:c r="H221" s="43" t="str">
        <x:v>2024-11-20 18:09:29</x:v>
      </x:c>
    </x:row>
    <x:row r="222">
      <x:c r="A222" s="43" t="str">
        <x:v>L2024-00075-1</x:v>
      </x:c>
      <x:c r="B222" s="46" t="str">
        <x:v>Summary of Bidding (요약본).docx</x:v>
      </x:c>
      <x:c r="C222" s="43" t="str">
        <x:v>.docx</x:v>
      </x:c>
      <x:c r="D222" s="61" t="n">
        <x:v>59754</x:v>
      </x:c>
      <x:c r="E222" s="43" t="str">
        <x:v>downloaded</x:v>
      </x:c>
      <x:c r="F222" s="43" t="str">
        <x:v>f4ed8cbdfd3db1330ef22d1ba31730b0ce0c0d5bf29926e4987e81e2a3c74810</x:v>
      </x:c>
      <x:c r="G222" s="46" t="str">
        <x:v>/Users/nomadresearch/Documents/Claude/Projects/koica-construction-tender/data/raw/L2024-00075-1/Summary of Bidding (요약본).docx</x:v>
      </x:c>
      <x:c r="H222" s="43" t="str">
        <x:v>2024-11-20 18:09:29</x:v>
      </x:c>
    </x:row>
    <x:row r="223">
      <x:c r="A223" s="43" t="str">
        <x:v>L2024-00075-1</x:v>
      </x:c>
      <x:c r="B223" s="46" t="str">
        <x:v>Section 1 - Instructions to Bidders (ITB).pdf</x:v>
      </x:c>
      <x:c r="C223" s="43" t="str">
        <x:v>.pdf</x:v>
      </x:c>
      <x:c r="D223" s="61" t="n">
        <x:v>165281</x:v>
      </x:c>
      <x:c r="E223" s="43" t="str">
        <x:v>downloaded</x:v>
      </x:c>
      <x:c r="F223" s="43" t="str">
        <x:v>16fdaedd98e4f0f290ead5e102e0f32d0ad3895d4231eeca4f83cabeb4702cf9</x:v>
      </x:c>
      <x:c r="G223" s="46" t="str">
        <x:v>/Users/nomadresearch/Documents/Claude/Projects/koica-construction-tender/data/raw/L2024-00075-1/Section 1 - Instructions to Bidders (ITB).pdf</x:v>
      </x:c>
      <x:c r="H223" s="43" t="str">
        <x:v>2024-11-20 18:09:29</x:v>
      </x:c>
    </x:row>
    <x:row r="224">
      <x:c r="A224" s="43" t="str">
        <x:v>L2024-00075-1</x:v>
      </x:c>
      <x:c r="B224" s="46" t="str">
        <x:v>Section 2 - Bid Data Sheet (영문)_수정_1118.docx</x:v>
      </x:c>
      <x:c r="C224" s="43" t="str">
        <x:v>.docx</x:v>
      </x:c>
      <x:c r="D224" s="61" t="n">
        <x:v>56241</x:v>
      </x:c>
      <x:c r="E224" s="43" t="str">
        <x:v>downloaded</x:v>
      </x:c>
      <x:c r="F224" s="43" t="str">
        <x:v>7ea5c19faf965f11a60ebd94a9f922322f434b21a10bda3f934f027eb0e0bf1f</x:v>
      </x:c>
      <x:c r="G224" s="46" t="str">
        <x:v>/Users/nomadresearch/Documents/Claude/Projects/koica-construction-tender/data/raw/L2024-00075-1/Section 2 - Bid Data Sheet (영문)_수정_1118.docx</x:v>
      </x:c>
      <x:c r="H224" s="43" t="str">
        <x:v>2024-11-20 18:09:29</x:v>
      </x:c>
    </x:row>
    <x:row r="225">
      <x:c r="A225" s="43" t="str">
        <x:v>L2024-00075-1</x:v>
      </x:c>
      <x:c r="B225" s="46" t="str">
        <x:v>Sectoin 5 - Drawings.pdf</x:v>
      </x:c>
      <x:c r="C225" s="43" t="str">
        <x:v>.pdf</x:v>
      </x:c>
      <x:c r="D225" s="61" t="n">
        <x:v>30439979</x:v>
      </x:c>
      <x:c r="E225" s="43" t="str">
        <x:v>downloaded</x:v>
      </x:c>
      <x:c r="F225" s="43" t="str">
        <x:v>9baf739ffc688c00c8141ad4a9ae7c4c6b1c3983ab5f145abf684dab95f7c462</x:v>
      </x:c>
      <x:c r="G225" s="46" t="str">
        <x:v>/Users/nomadresearch/Documents/Claude/Projects/koica-construction-tender/data/raw/L2024-00075-1/Sectoin 5 - Drawings.pdf</x:v>
      </x:c>
      <x:c r="H225" s="43" t="str">
        <x:v>2024-11-20 18:09:29</x:v>
      </x:c>
    </x:row>
    <x:row r="226">
      <x:c r="A226" s="43" t="str">
        <x:v>L2024-00074-1</x:v>
      </x:c>
      <x:c r="B226" s="46" t="str">
        <x:v>5.Other relevant documents.zip</x:v>
      </x:c>
      <x:c r="C226" s="43" t="str">
        <x:v>.zip</x:v>
      </x:c>
      <x:c r="D226" s="61" t="n">
        <x:v>547072</x:v>
      </x:c>
      <x:c r="E226" s="43" t="str">
        <x:v>downloaded</x:v>
      </x:c>
      <x:c r="F226" s="43" t="str">
        <x:v>58e10de6cc4979bd60c6a08072aaf65e859290110ee40acb690dec470c1e5d16</x:v>
      </x:c>
      <x:c r="G226" s="46" t="str">
        <x:v>/Users/nomadresearch/Documents/Claude/Projects/koica-construction-tender/data/raw/L2024-00074-1/5.Other relevant documents.zip</x:v>
      </x:c>
      <x:c r="H226" s="43" t="str">
        <x:v>2024-11-20 01:25:25</x:v>
      </x:c>
    </x:row>
    <x:row r="227">
      <x:c r="A227" s="43" t="str">
        <x:v>L2024-00074-1</x:v>
      </x:c>
      <x:c r="B227" s="46" t="str">
        <x:v>4_2.Technical specifition_241104.hwp</x:v>
      </x:c>
      <x:c r="C227" s="43" t="str">
        <x:v>.hwp</x:v>
      </x:c>
      <x:c r="D227" s="61" t="n">
        <x:v>11594240</x:v>
      </x:c>
      <x:c r="E227" s="43" t="str">
        <x:v>downloaded</x:v>
      </x:c>
      <x:c r="F227" s="43" t="str">
        <x:v>906c79f8a17516b337bf48b3f610ce0a2033115a82c42c75d9751401e8fb2a08</x:v>
      </x:c>
      <x:c r="G227" s="46" t="str">
        <x:v>/Users/nomadresearch/Documents/Claude/Projects/koica-construction-tender/data/raw/L2024-00074-1/4_2.Technical specifition_241104.hwp</x:v>
      </x:c>
      <x:c r="H227" s="43" t="str">
        <x:v>2024-11-20 01:25:25</x:v>
      </x:c>
    </x:row>
    <x:row r="228">
      <x:c r="A228" s="43" t="str">
        <x:v>L2024-00074-1</x:v>
      </x:c>
      <x:c r="B228" s="46" t="str">
        <x:v>4_1.Summary for the list of items_241104.xlsx</x:v>
      </x:c>
      <x:c r="C228" s="43" t="str">
        <x:v>.xlsx</x:v>
      </x:c>
      <x:c r="D228" s="61" t="n">
        <x:v>22475</x:v>
      </x:c>
      <x:c r="E228" s="43" t="str">
        <x:v>downloaded</x:v>
      </x:c>
      <x:c r="F228" s="43" t="str">
        <x:v>34fc1cf74a3ce87abaefea5c1dea97a7544baac05ce371d8bea12def0cea6ce8</x:v>
      </x:c>
      <x:c r="G228" s="46" t="str">
        <x:v>/Users/nomadresearch/Documents/Claude/Projects/koica-construction-tender/data/raw/L2024-00074-1/4_1.Summary for the list of items_241104.xlsx</x:v>
      </x:c>
      <x:c r="H228" s="43" t="str">
        <x:v>2024-11-20 01:25:25</x:v>
      </x:c>
    </x:row>
    <x:row r="229">
      <x:c r="A229" s="43" t="str">
        <x:v>L2024-00074-1</x:v>
      </x:c>
      <x:c r="B229" s="46" t="str">
        <x:v>3.Section 2 - Bid Data Sheet (영문)_1031.docx</x:v>
      </x:c>
      <x:c r="C229" s="43" t="str">
        <x:v>.docx</x:v>
      </x:c>
      <x:c r="D229" s="61" t="n">
        <x:v>54097</x:v>
      </x:c>
      <x:c r="E229" s="43" t="str">
        <x:v>downloaded</x:v>
      </x:c>
      <x:c r="F229" s="43" t="str">
        <x:v>4af426fc58e2355dec5b93c9b8ae5c3c1b58f75163ce6bf404769df1d7c44cde</x:v>
      </x:c>
      <x:c r="G229" s="46" t="str">
        <x:v>/Users/nomadresearch/Documents/Claude/Projects/koica-construction-tender/data/raw/L2024-00074-1/3.Section 2 - Bid Data Sheet (영문)_1031.docx</x:v>
      </x:c>
      <x:c r="H229" s="43" t="str">
        <x:v>2024-11-20 01:25:25</x:v>
      </x:c>
    </x:row>
    <x:row r="230">
      <x:c r="A230" s="43" t="str">
        <x:v>L2024-00074-1</x:v>
      </x:c>
      <x:c r="B230" s="46" t="str">
        <x:v>2.Bidding Summary 2024_ KOICA.docx</x:v>
      </x:c>
      <x:c r="C230" s="43" t="str">
        <x:v>.docx</x:v>
      </x:c>
      <x:c r="D230" s="61" t="n">
        <x:v>31849</x:v>
      </x:c>
      <x:c r="E230" s="43" t="str">
        <x:v>downloaded</x:v>
      </x:c>
      <x:c r="F230" s="43" t="str">
        <x:v>b0c61081c575654fbb7ed904d370c929cf502ede195abe887d49dceaa05300db</x:v>
      </x:c>
      <x:c r="G230" s="46" t="str">
        <x:v>/Users/nomadresearch/Documents/Claude/Projects/koica-construction-tender/data/raw/L2024-00074-1/2.Bidding Summary 2024_ KOICA.docx</x:v>
      </x:c>
      <x:c r="H230" s="43" t="str">
        <x:v>2024-11-20 01:25:25</x:v>
      </x:c>
    </x:row>
    <x:row r="231">
      <x:c r="A231" s="43" t="str">
        <x:v>L2024-00072-1</x:v>
      </x:c>
      <x:c r="B231" s="46" t="str">
        <x:v>2. 입찰문서 각 1부 우간다 마케레레.zip</x:v>
      </x:c>
      <x:c r="C231" s="43" t="str">
        <x:v>.zip</x:v>
      </x:c>
      <x:c r="D231" s="61" t="n">
        <x:v>1149146</x:v>
      </x:c>
      <x:c r="E231" s="43" t="str">
        <x:v>downloaded</x:v>
      </x:c>
      <x:c r="F231" s="43" t="str">
        <x:v>43587fcba3bb7dae37257cce10618e40edf4ac3adac5f0e8a0d2aab18d2c5c20</x:v>
      </x:c>
      <x:c r="G231" s="46" t="str">
        <x:v>/Users/nomadresearch/Documents/Claude/Projects/koica-construction-tender/data/raw/L2024-00072-1/2. 입찰문서 각 1부 우간다 마케레레.zip</x:v>
      </x:c>
      <x:c r="H231" s="43" t="str">
        <x:v>2024-11-11 16:58:28</x:v>
      </x:c>
    </x:row>
    <x:row r="232">
      <x:c r="A232" s="43" t="str">
        <x:v>L2024-00072-1</x:v>
      </x:c>
      <x:c r="B232" s="46" t="str">
        <x:v>1. 국영문 입찰계획안 우간다 마케레레.zip</x:v>
      </x:c>
      <x:c r="C232" s="43" t="str">
        <x:v>.zip</x:v>
      </x:c>
      <x:c r="D232" s="61" t="n">
        <x:v>107072</x:v>
      </x:c>
      <x:c r="E232" s="43" t="str">
        <x:v>downloaded</x:v>
      </x:c>
      <x:c r="F232" s="43" t="str">
        <x:v>e3ab143d8086da49afcbaa087315f20640492df3104d4b6a03d4829765dfeb8a</x:v>
      </x:c>
      <x:c r="G232" s="46" t="str">
        <x:v>/Users/nomadresearch/Documents/Claude/Projects/koica-construction-tender/data/raw/L2024-00072-1/1. 국영문 입찰계획안 우간다 마케레레.zip</x:v>
      </x:c>
      <x:c r="H232" s="43" t="str">
        <x:v>2024-11-11 16:58:28</x:v>
      </x:c>
    </x:row>
    <x:row r="233">
      <x:c r="A233" s="43" t="str">
        <x:v>L2024-00068-2</x:v>
      </x:c>
      <x:c r="B233" s="46" t="str">
        <x:v>Section 1 - Instructions to Bidders (ITB) (240731).zip</x:v>
      </x:c>
      <x:c r="C233" s="43" t="str">
        <x:v>.zip</x:v>
      </x:c>
      <x:c r="D233" s="61" t="n">
        <x:v>417232</x:v>
      </x:c>
      <x:c r="E233" s="43" t="str">
        <x:v>downloaded</x:v>
      </x:c>
      <x:c r="F233" s="43" t="str">
        <x:v>83d95a30c3e7c8e9056698f4e727e94473b619e8ec4e3de59c00b497a1700599</x:v>
      </x:c>
      <x:c r="G233" s="46" t="str">
        <x:v>/Users/nomadresearch/Documents/Claude/Projects/koica-construction-tender/data/raw/L2024-00068-2/Section 1 - Instructions to Bidders (ITB) (240731).zip</x:v>
      </x:c>
      <x:c r="H233" s="43" t="str">
        <x:v>2024-11-14 18:30:03</x:v>
      </x:c>
    </x:row>
    <x:row r="234">
      <x:c r="A234" s="43" t="str">
        <x:v>L2024-00068-2</x:v>
      </x:c>
      <x:c r="B234" s="46" t="str">
        <x:v>Section 2 - Bid Data Sheet (Written in English).docx</x:v>
      </x:c>
      <x:c r="C234" s="43" t="str">
        <x:v>.docx</x:v>
      </x:c>
      <x:c r="D234" s="61" t="n">
        <x:v>53917</x:v>
      </x:c>
      <x:c r="E234" s="43" t="str">
        <x:v>downloaded</x:v>
      </x:c>
      <x:c r="F234" s="43" t="str">
        <x:v>e9424c869c93a5da5d8267f16ab9137777739061c8d9498178565cefea721d78</x:v>
      </x:c>
      <x:c r="G234" s="46" t="str">
        <x:v>/Users/nomadresearch/Documents/Claude/Projects/koica-construction-tender/data/raw/L2024-00068-2/Section 2 - Bid Data Sheet (Written in English).docx</x:v>
      </x:c>
      <x:c r="H234" s="43" t="str">
        <x:v>2024-11-14 18:30:03</x:v>
      </x:c>
    </x:row>
    <x:row r="235">
      <x:c r="A235" s="43" t="str">
        <x:v>L2024-00068-2</x:v>
      </x:c>
      <x:c r="B235" s="46" t="str">
        <x:v>Section 3 - Bidding Forms.docx</x:v>
      </x:c>
      <x:c r="C235" s="43" t="str">
        <x:v>.docx</x:v>
      </x:c>
      <x:c r="D235" s="61" t="n">
        <x:v>49063</x:v>
      </x:c>
      <x:c r="E235" s="43" t="str">
        <x:v>downloaded</x:v>
      </x:c>
      <x:c r="F235" s="43" t="str">
        <x:v>e14de7f870060079fb1daab7ccf1efa9c04d274d1483f04e8c0952a70d485bec</x:v>
      </x:c>
      <x:c r="G235" s="46" t="str">
        <x:v>/Users/nomadresearch/Documents/Claude/Projects/koica-construction-tender/data/raw/L2024-00068-2/Section 3 - Bidding Forms.docx</x:v>
      </x:c>
      <x:c r="H235" s="43" t="str">
        <x:v>2024-11-14 18:30:03</x:v>
      </x:c>
    </x:row>
    <x:row r="236">
      <x:c r="A236" s="43" t="str">
        <x:v>L2024-00068-2</x:v>
      </x:c>
      <x:c r="B236" s="46" t="str">
        <x:v>Section 4 - DQE.zip</x:v>
      </x:c>
      <x:c r="C236" s="43" t="str">
        <x:v>.zip</x:v>
      </x:c>
      <x:c r="D236" s="61" t="n">
        <x:v>900873</x:v>
      </x:c>
      <x:c r="E236" s="43" t="str">
        <x:v>downloaded</x:v>
      </x:c>
      <x:c r="F236" s="43" t="str">
        <x:v>684603373f670c2ed4bf65224b4c17f3aa0dde22ca13866cbdd4238684416846</x:v>
      </x:c>
      <x:c r="G236" s="46" t="str">
        <x:v>/Users/nomadresearch/Documents/Claude/Projects/koica-construction-tender/data/raw/L2024-00068-2/Section 4 - DQE.zip</x:v>
      </x:c>
      <x:c r="H236" s="43" t="str">
        <x:v>2024-11-14 18:30:03</x:v>
      </x:c>
    </x:row>
    <x:row r="237">
      <x:c r="A237" s="43" t="str">
        <x:v>L2024-00068-2</x:v>
      </x:c>
      <x:c r="B237" s="46" t="str">
        <x:v>Section 5 - Drawings.zip</x:v>
      </x:c>
      <x:c r="C237" s="43" t="str">
        <x:v>.zip</x:v>
      </x:c>
      <x:c r="D237" s="61" t="n">
        <x:v>26745579</x:v>
      </x:c>
      <x:c r="E237" s="43" t="str">
        <x:v>downloaded</x:v>
      </x:c>
      <x:c r="F237" s="43" t="str">
        <x:v>94097391e59a8a28925d4a2572979228f3ec400d23f0fb4a45a789958720ac14</x:v>
      </x:c>
      <x:c r="G237" s="46" t="str">
        <x:v>/Users/nomadresearch/Documents/Claude/Projects/koica-construction-tender/data/raw/L2024-00068-2/Section 5 - Drawings.zip</x:v>
      </x:c>
      <x:c r="H237" s="43" t="str">
        <x:v>2024-11-14 18:30:03</x:v>
      </x:c>
    </x:row>
    <x:row r="238">
      <x:c r="A238" s="43" t="str">
        <x:v>L2024-00068-2</x:v>
      </x:c>
      <x:c r="B238" s="46" t="str">
        <x:v>Section 6 - Scope of Work.docx</x:v>
      </x:c>
      <x:c r="C238" s="43" t="str">
        <x:v>.docx</x:v>
      </x:c>
      <x:c r="D238" s="61" t="n">
        <x:v>3934153</x:v>
      </x:c>
      <x:c r="E238" s="43" t="str">
        <x:v>downloaded</x:v>
      </x:c>
      <x:c r="F238" s="43" t="str">
        <x:v>ec3a5144c3e4438f3d3235dcaad421477a25ac576877b3786dd1c14e8a335888</x:v>
      </x:c>
      <x:c r="G238" s="46" t="str">
        <x:v>/Users/nomadresearch/Documents/Claude/Projects/koica-construction-tender/data/raw/L2024-00068-2/Section 6 - Scope of Work.docx</x:v>
      </x:c>
      <x:c r="H238" s="43" t="str">
        <x:v>2024-11-14 18:30:03</x:v>
      </x:c>
    </x:row>
    <x:row r="239">
      <x:c r="A239" s="43" t="str">
        <x:v>L2024-00068-2</x:v>
      </x:c>
      <x:c r="B239" s="46" t="str">
        <x:v>Section 7 - General Conditions of Contract.docx</x:v>
      </x:c>
      <x:c r="C239" s="43" t="str">
        <x:v>.docx</x:v>
      </x:c>
      <x:c r="D239" s="61" t="n">
        <x:v>202912</x:v>
      </x:c>
      <x:c r="E239" s="43" t="str">
        <x:v>downloaded</x:v>
      </x:c>
      <x:c r="F239" s="43" t="str">
        <x:v>fedf6aa3540ddde964e764325f1b28aff95914fe896d9a93b0b504953aef920a</x:v>
      </x:c>
      <x:c r="G239" s="46" t="str">
        <x:v>/Users/nomadresearch/Documents/Claude/Projects/koica-construction-tender/data/raw/L2024-00068-2/Section 7 - General Conditions of Contract.docx</x:v>
      </x:c>
      <x:c r="H239" s="43" t="str">
        <x:v>2024-11-14 18:30:03</x:v>
      </x:c>
    </x:row>
    <x:row r="240">
      <x:c r="A240" s="43" t="str">
        <x:v>L2024-00068-2</x:v>
      </x:c>
      <x:c r="B240" s="46" t="str">
        <x:v>Section 8 - Specail Conditions of Contract.docx</x:v>
      </x:c>
      <x:c r="C240" s="43" t="str">
        <x:v>.docx</x:v>
      </x:c>
      <x:c r="D240" s="61" t="n">
        <x:v>60774</x:v>
      </x:c>
      <x:c r="E240" s="43" t="str">
        <x:v>downloaded</x:v>
      </x:c>
      <x:c r="F240" s="43" t="str">
        <x:v>71f76a3e205a83768b2992bb6e9065dc516b4f8076b24418a316d4195274d0e8</x:v>
      </x:c>
      <x:c r="G240" s="46" t="str">
        <x:v>/Users/nomadresearch/Documents/Claude/Projects/koica-construction-tender/data/raw/L2024-00068-2/Section 8 - Specail Conditions of Contract.docx</x:v>
      </x:c>
      <x:c r="H240" s="43" t="str">
        <x:v>2024-11-14 18:30:03</x:v>
      </x:c>
    </x:row>
    <x:row r="241">
      <x:c r="A241" s="43" t="str">
        <x:v>L2024-00068-2</x:v>
      </x:c>
      <x:c r="B241" s="46" t="str">
        <x:v>Section 9 - Contract Forms.docx</x:v>
      </x:c>
      <x:c r="C241" s="43" t="str">
        <x:v>.docx</x:v>
      </x:c>
      <x:c r="D241" s="61" t="n">
        <x:v>38159</x:v>
      </x:c>
      <x:c r="E241" s="43" t="str">
        <x:v>downloaded</x:v>
      </x:c>
      <x:c r="F241" s="43" t="str">
        <x:v>0bce2d1fb64d0b2bf7c95f60fe85f7f4c07bcf3ac8c4cb65912db9515bbb5644</x:v>
      </x:c>
      <x:c r="G241" s="46" t="str">
        <x:v>/Users/nomadresearch/Documents/Claude/Projects/koica-construction-tender/data/raw/L2024-00068-2/Section 9 - Contract Forms.docx</x:v>
      </x:c>
      <x:c r="H241" s="43" t="str">
        <x:v>2024-11-14 18:30:03</x:v>
      </x:c>
    </x:row>
    <x:row r="242">
      <x:c r="A242" s="43" t="str">
        <x:v>L2024-00068-2</x:v>
      </x:c>
      <x:c r="B242" s="46" t="str">
        <x:v>Section 10 - Pledges.zip</x:v>
      </x:c>
      <x:c r="C242" s="43" t="str">
        <x:v>.zip</x:v>
      </x:c>
      <x:c r="D242" s="61" t="n">
        <x:v>69143</x:v>
      </x:c>
      <x:c r="E242" s="43" t="str">
        <x:v>downloaded</x:v>
      </x:c>
      <x:c r="F242" s="43" t="str">
        <x:v>c68e53944a8f0afc1892995c1597fc45de6bfe319f29975a6981e05379561cfa</x:v>
      </x:c>
      <x:c r="G242" s="46" t="str">
        <x:v>/Users/nomadresearch/Documents/Claude/Projects/koica-construction-tender/data/raw/L2024-00068-2/Section 10 - Pledges.zip</x:v>
      </x:c>
      <x:c r="H242" s="43" t="str">
        <x:v>2024-11-14 18:30:03</x:v>
      </x:c>
    </x:row>
    <x:row r="243">
      <x:c r="A243" s="43" t="str">
        <x:v>L2024-00068-2</x:v>
      </x:c>
      <x:c r="B243" s="46" t="str">
        <x:v>Section 11 - Bid Document Checklist_IPNETP Construction.xlsx</x:v>
      </x:c>
      <x:c r="C243" s="43" t="str">
        <x:v>.xlsx</x:v>
      </x:c>
      <x:c r="D243" s="61" t="n">
        <x:v>67399</x:v>
      </x:c>
      <x:c r="E243" s="43" t="str">
        <x:v>downloaded</x:v>
      </x:c>
      <x:c r="F243" s="43" t="str">
        <x:v>98007c42b1a6ef27ec8ee468f3e8412663a8625de470e779806190ce01a39a5c</x:v>
      </x:c>
      <x:c r="G243" s="46" t="str">
        <x:v>/Users/nomadresearch/Documents/Claude/Projects/koica-construction-tender/data/raw/L2024-00068-2/Section 11 - Bid Document Checklist_IPNETP Construction.xlsx</x:v>
      </x:c>
      <x:c r="H243" s="43" t="str">
        <x:v>2024-11-14 18:30:03</x:v>
      </x:c>
    </x:row>
    <x:row r="244">
      <x:c r="A244" s="43" t="str">
        <x:v>L2024-00068-2</x:v>
      </x:c>
      <x:c r="B244" s="46" t="str">
        <x:v>Power of Attorney for the authority to sign and execute contracts (계약서 서명권한 위임장).docx</x:v>
      </x:c>
      <x:c r="C244" s="43" t="str">
        <x:v>.docx</x:v>
      </x:c>
      <x:c r="D244" s="61" t="n">
        <x:v>18759</x:v>
      </x:c>
      <x:c r="E244" s="43" t="str">
        <x:v>downloaded</x:v>
      </x:c>
      <x:c r="F244" s="43" t="str">
        <x:v>ccfa30711d9124ace57f312b9b89267731c2844285ca78c55df13f43969cd647</x:v>
      </x:c>
      <x:c r="G244" s="46" t="str">
        <x:v>/Users/nomadresearch/Documents/Claude/Projects/koica-construction-tender/data/raw/L2024-00068-2/Power of Attorney for the authority to sign and execute contracts (계약서 서명권한 위임장).docx</x:v>
      </x:c>
      <x:c r="H244" s="43" t="str">
        <x:v>2024-11-14 18:30:03</x:v>
      </x:c>
    </x:row>
    <x:row r="245">
      <x:c r="A245" s="43" t="str">
        <x:v>L2024-00068-1</x:v>
      </x:c>
      <x:c r="B245" s="46" t="str">
        <x:v>(붙임 1) 국문 입찰 계획서류_Bid Data Sheet (국문본)_IPNETP 사업 시공.hwp</x:v>
      </x:c>
      <x:c r="C245" s="43" t="str">
        <x:v>.hwp</x:v>
      </x:c>
      <x:c r="D245" s="61" t="n">
        <x:v>64000</x:v>
      </x:c>
      <x:c r="E245" s="43" t="str">
        <x:v>downloaded</x:v>
      </x:c>
      <x:c r="F245" s="43" t="str">
        <x:v>7e7b3b94d408a5c3db377308f27d11af48b3c6ff309d86ff6aab797f34d6fbc5</x:v>
      </x:c>
      <x:c r="G245" s="46" t="str">
        <x:v>/Users/nomadresearch/Documents/Claude/Projects/koica-construction-tender/data/raw/L2024-00068-1/(붙임 1) 국문 입찰 계획서류_Bid Data Sheet (국문본)_IPNETP 사업 시공.hwp</x:v>
      </x:c>
      <x:c r="H245" s="43" t="str">
        <x:v>2024-10-25 20:10:38</x:v>
      </x:c>
    </x:row>
    <x:row r="246">
      <x:c r="A246" s="43" t="str">
        <x:v>L2024-00068-1</x:v>
      </x:c>
      <x:c r="B246" s="46" t="str">
        <x:v>Power of Attorney for the authority to sign and execute contracts (계약서 서명권한 위임장).docx</x:v>
      </x:c>
      <x:c r="C246" s="43" t="str">
        <x:v>.docx</x:v>
      </x:c>
      <x:c r="D246" s="61" t="n">
        <x:v>18759</x:v>
      </x:c>
      <x:c r="E246" s="43" t="str">
        <x:v>downloaded</x:v>
      </x:c>
      <x:c r="F246" s="43" t="str">
        <x:v>ccfa30711d9124ace57f312b9b89267731c2844285ca78c55df13f43969cd647</x:v>
      </x:c>
      <x:c r="G246" s="46" t="str">
        <x:v>/Users/nomadresearch/Documents/Claude/Projects/koica-construction-tender/data/raw/L2024-00068-1/Power of Attorney for the authority to sign and execute contracts (계약서 서명권한 위임장).docx</x:v>
      </x:c>
      <x:c r="H246" s="43" t="str">
        <x:v>2024-10-25 20:10:38</x:v>
      </x:c>
    </x:row>
    <x:row r="247">
      <x:c r="A247" s="43" t="str">
        <x:v>L2024-00068-1</x:v>
      </x:c>
      <x:c r="B247" s="46" t="str">
        <x:v>Section 1 - Instructions to Bidders (ITB) (240731).zip</x:v>
      </x:c>
      <x:c r="C247" s="43" t="str">
        <x:v>.zip</x:v>
      </x:c>
      <x:c r="D247" s="61" t="n">
        <x:v>417232</x:v>
      </x:c>
      <x:c r="E247" s="43" t="str">
        <x:v>downloaded</x:v>
      </x:c>
      <x:c r="F247" s="43" t="str">
        <x:v>83d95a30c3e7c8e9056698f4e727e94473b619e8ec4e3de59c00b497a1700599</x:v>
      </x:c>
      <x:c r="G247" s="46" t="str">
        <x:v>/Users/nomadresearch/Documents/Claude/Projects/koica-construction-tender/data/raw/L2024-00068-1/Section 1 - Instructions to Bidders (ITB) (240731).zip</x:v>
      </x:c>
      <x:c r="H247" s="43" t="str">
        <x:v>2024-10-25 20:10:38</x:v>
      </x:c>
    </x:row>
    <x:row r="248">
      <x:c r="A248" s="43" t="str">
        <x:v>L2024-00068-1</x:v>
      </x:c>
      <x:c r="B248" s="46" t="str">
        <x:v>Section 2 - Bid Data Sheet (Written in English).docx</x:v>
      </x:c>
      <x:c r="C248" s="43" t="str">
        <x:v>.docx</x:v>
      </x:c>
      <x:c r="D248" s="61" t="n">
        <x:v>54674</x:v>
      </x:c>
      <x:c r="E248" s="43" t="str">
        <x:v>downloaded</x:v>
      </x:c>
      <x:c r="F248" s="43" t="str">
        <x:v>5401b3272ed652124b37b1aad1e6146fe5528604d90b00b3f8a9e2ce6fb93a91</x:v>
      </x:c>
      <x:c r="G248" s="46" t="str">
        <x:v>/Users/nomadresearch/Documents/Claude/Projects/koica-construction-tender/data/raw/L2024-00068-1/Section 2 - Bid Data Sheet (Written in English).docx</x:v>
      </x:c>
      <x:c r="H248" s="43" t="str">
        <x:v>2024-10-25 20:10:38</x:v>
      </x:c>
    </x:row>
    <x:row r="249">
      <x:c r="A249" s="43" t="str">
        <x:v>L2024-00068-1</x:v>
      </x:c>
      <x:c r="B249" s="46" t="str">
        <x:v>Section 3 - Bidding Forms.docx</x:v>
      </x:c>
      <x:c r="C249" s="43" t="str">
        <x:v>.docx</x:v>
      </x:c>
      <x:c r="D249" s="61" t="n">
        <x:v>49139</x:v>
      </x:c>
      <x:c r="E249" s="43" t="str">
        <x:v>downloaded</x:v>
      </x:c>
      <x:c r="F249" s="43" t="str">
        <x:v>a66c3236c16be27ca27fb41f04370149d9b4e02027f9070a1d9ab0a8ddb0b624</x:v>
      </x:c>
      <x:c r="G249" s="46" t="str">
        <x:v>/Users/nomadresearch/Documents/Claude/Projects/koica-construction-tender/data/raw/L2024-00068-1/Section 3 - Bidding Forms.docx</x:v>
      </x:c>
      <x:c r="H249" s="43" t="str">
        <x:v>2024-10-25 20:10:38</x:v>
      </x:c>
    </x:row>
    <x:row r="250">
      <x:c r="A250" s="43" t="str">
        <x:v>L2024-00068-1</x:v>
      </x:c>
      <x:c r="B250" s="46" t="str">
        <x:v>Section 4 - DQE.zip</x:v>
      </x:c>
      <x:c r="C250" s="43" t="str">
        <x:v>.zip</x:v>
      </x:c>
      <x:c r="D250" s="61" t="n">
        <x:v>900873</x:v>
      </x:c>
      <x:c r="E250" s="43" t="str">
        <x:v>downloaded</x:v>
      </x:c>
      <x:c r="F250" s="43" t="str">
        <x:v>684603373f670c2ed4bf65224b4c17f3aa0dde22ca13866cbdd4238684416846</x:v>
      </x:c>
      <x:c r="G250" s="46" t="str">
        <x:v>/Users/nomadresearch/Documents/Claude/Projects/koica-construction-tender/data/raw/L2024-00068-1/Section 4 - DQE.zip</x:v>
      </x:c>
      <x:c r="H250" s="43" t="str">
        <x:v>2024-10-25 20:10:38</x:v>
      </x:c>
    </x:row>
    <x:row r="251">
      <x:c r="A251" s="43" t="str">
        <x:v>L2024-00068-1</x:v>
      </x:c>
      <x:c r="B251" s="46" t="str">
        <x:v>Section 5 - Drawings.zip</x:v>
      </x:c>
      <x:c r="C251" s="43" t="str">
        <x:v>.zip</x:v>
      </x:c>
      <x:c r="D251" s="61" t="n">
        <x:v>26745579</x:v>
      </x:c>
      <x:c r="E251" s="43" t="str">
        <x:v>downloaded</x:v>
      </x:c>
      <x:c r="F251" s="43" t="str">
        <x:v>94097391e59a8a28925d4a2572979228f3ec400d23f0fb4a45a789958720ac14</x:v>
      </x:c>
      <x:c r="G251" s="46" t="str">
        <x:v>/Users/nomadresearch/Documents/Claude/Projects/koica-construction-tender/data/raw/L2024-00068-1/Section 5 - Drawings.zip</x:v>
      </x:c>
      <x:c r="H251" s="43" t="str">
        <x:v>2024-10-25 20:10:38</x:v>
      </x:c>
    </x:row>
    <x:row r="252">
      <x:c r="A252" s="43" t="str">
        <x:v>L2024-00068-1</x:v>
      </x:c>
      <x:c r="B252" s="46" t="str">
        <x:v>Section 6 - Scope of Work.docx</x:v>
      </x:c>
      <x:c r="C252" s="43" t="str">
        <x:v>.docx</x:v>
      </x:c>
      <x:c r="D252" s="61" t="n">
        <x:v>3934153</x:v>
      </x:c>
      <x:c r="E252" s="43" t="str">
        <x:v>downloaded</x:v>
      </x:c>
      <x:c r="F252" s="43" t="str">
        <x:v>ec3a5144c3e4438f3d3235dcaad421477a25ac576877b3786dd1c14e8a335888</x:v>
      </x:c>
      <x:c r="G252" s="46" t="str">
        <x:v>/Users/nomadresearch/Documents/Claude/Projects/koica-construction-tender/data/raw/L2024-00068-1/Section 6 - Scope of Work.docx</x:v>
      </x:c>
      <x:c r="H252" s="43" t="str">
        <x:v>2024-10-25 20:10:38</x:v>
      </x:c>
    </x:row>
    <x:row r="253">
      <x:c r="A253" s="43" t="str">
        <x:v>L2024-00068-1</x:v>
      </x:c>
      <x:c r="B253" s="46" t="str">
        <x:v>Section 7 - General Conditions of Contract.docx</x:v>
      </x:c>
      <x:c r="C253" s="43" t="str">
        <x:v>.docx</x:v>
      </x:c>
      <x:c r="D253" s="61" t="n">
        <x:v>202912</x:v>
      </x:c>
      <x:c r="E253" s="43" t="str">
        <x:v>downloaded</x:v>
      </x:c>
      <x:c r="F253" s="43" t="str">
        <x:v>fedf6aa3540ddde964e764325f1b28aff95914fe896d9a93b0b504953aef920a</x:v>
      </x:c>
      <x:c r="G253" s="46" t="str">
        <x:v>/Users/nomadresearch/Documents/Claude/Projects/koica-construction-tender/data/raw/L2024-00068-1/Section 7 - General Conditions of Contract.docx</x:v>
      </x:c>
      <x:c r="H253" s="43" t="str">
        <x:v>2024-10-25 20:10:38</x:v>
      </x:c>
    </x:row>
    <x:row r="254">
      <x:c r="A254" s="43" t="str">
        <x:v>L2024-00068-1</x:v>
      </x:c>
      <x:c r="B254" s="46" t="str">
        <x:v>Section 8 - Specail Conditions of Contract.docx</x:v>
      </x:c>
      <x:c r="C254" s="43" t="str">
        <x:v>.docx</x:v>
      </x:c>
      <x:c r="D254" s="61" t="n">
        <x:v>60774</x:v>
      </x:c>
      <x:c r="E254" s="43" t="str">
        <x:v>downloaded</x:v>
      </x:c>
      <x:c r="F254" s="43" t="str">
        <x:v>71f76a3e205a83768b2992bb6e9065dc516b4f8076b24418a316d4195274d0e8</x:v>
      </x:c>
      <x:c r="G254" s="46" t="str">
        <x:v>/Users/nomadresearch/Documents/Claude/Projects/koica-construction-tender/data/raw/L2024-00068-1/Section 8 - Specail Conditions of Contract.docx</x:v>
      </x:c>
      <x:c r="H254" s="43" t="str">
        <x:v>2024-10-25 20:10:38</x:v>
      </x:c>
    </x:row>
    <x:row r="255">
      <x:c r="A255" s="43" t="str">
        <x:v>L2024-00068-1</x:v>
      </x:c>
      <x:c r="B255" s="46" t="str">
        <x:v>Section 9 - Contract Forms.docx</x:v>
      </x:c>
      <x:c r="C255" s="43" t="str">
        <x:v>.docx</x:v>
      </x:c>
      <x:c r="D255" s="61" t="n">
        <x:v>38159</x:v>
      </x:c>
      <x:c r="E255" s="43" t="str">
        <x:v>downloaded</x:v>
      </x:c>
      <x:c r="F255" s="43" t="str">
        <x:v>0bce2d1fb64d0b2bf7c95f60fe85f7f4c07bcf3ac8c4cb65912db9515bbb5644</x:v>
      </x:c>
      <x:c r="G255" s="46" t="str">
        <x:v>/Users/nomadresearch/Documents/Claude/Projects/koica-construction-tender/data/raw/L2024-00068-1/Section 9 - Contract Forms.docx</x:v>
      </x:c>
      <x:c r="H255" s="43" t="str">
        <x:v>2024-10-25 20:10:38</x:v>
      </x:c>
    </x:row>
    <x:row r="256">
      <x:c r="A256" s="43" t="str">
        <x:v>L2024-00068-1</x:v>
      </x:c>
      <x:c r="B256" s="46" t="str">
        <x:v>Section 10 - Pledges.zip</x:v>
      </x:c>
      <x:c r="C256" s="43" t="str">
        <x:v>.zip</x:v>
      </x:c>
      <x:c r="D256" s="61" t="n">
        <x:v>69143</x:v>
      </x:c>
      <x:c r="E256" s="43" t="str">
        <x:v>downloaded</x:v>
      </x:c>
      <x:c r="F256" s="43" t="str">
        <x:v>c68e53944a8f0afc1892995c1597fc45de6bfe319f29975a6981e05379561cfa</x:v>
      </x:c>
      <x:c r="G256" s="46" t="str">
        <x:v>/Users/nomadresearch/Documents/Claude/Projects/koica-construction-tender/data/raw/L2024-00068-1/Section 10 - Pledges.zip</x:v>
      </x:c>
      <x:c r="H256" s="43" t="str">
        <x:v>2024-10-25 20:10:38</x:v>
      </x:c>
    </x:row>
    <x:row r="257">
      <x:c r="A257" s="43" t="str">
        <x:v>L2024-00068-1</x:v>
      </x:c>
      <x:c r="B257" s="46" t="str">
        <x:v>Section 11 - Bid Document Checklist_IPNETP Construction.xlsx</x:v>
      </x:c>
      <x:c r="C257" s="43" t="str">
        <x:v>.xlsx</x:v>
      </x:c>
      <x:c r="D257" s="61" t="n">
        <x:v>66999</x:v>
      </x:c>
      <x:c r="E257" s="43" t="str">
        <x:v>downloaded</x:v>
      </x:c>
      <x:c r="F257" s="43" t="str">
        <x:v>e15331263bc5dc63bf84f2ca35d387eaf12457b9bf40b571b979e4d1a44373e7</x:v>
      </x:c>
      <x:c r="G257" s="46" t="str">
        <x:v>/Users/nomadresearch/Documents/Claude/Projects/koica-construction-tender/data/raw/L2024-00068-1/Section 11 - Bid Document Checklist_IPNETP Construction.xlsx</x:v>
      </x:c>
      <x:c r="H257" s="43" t="str">
        <x:v>2024-10-25 20:10:38</x:v>
      </x:c>
    </x:row>
    <x:row r="258">
      <x:c r="A258" s="43" t="str">
        <x:v>L2024-00066-1</x:v>
      </x:c>
      <x:c r="B258" s="46" t="str">
        <x:v>00 Summary of Bidding.docx</x:v>
      </x:c>
      <x:c r="C258" s="43" t="str">
        <x:v>.docx</x:v>
      </x:c>
      <x:c r="D258" s="61" t="n">
        <x:v>30673</x:v>
      </x:c>
      <x:c r="E258" s="43" t="str">
        <x:v>downloaded</x:v>
      </x:c>
      <x:c r="F258" s="43" t="str">
        <x:v>cb6c36fe1e27e6a452989ea51b3337fe7a0471ab66cd0a26b19221323a691e4a</x:v>
      </x:c>
      <x:c r="G258" s="46" t="str">
        <x:v>/Users/nomadresearch/Documents/Claude/Projects/koica-construction-tender/data/raw/L2024-00066-1/00 Summary of Bidding.docx</x:v>
      </x:c>
      <x:c r="H258" s="43" t="str">
        <x:v>2024-11-22 11:53:18</x:v>
      </x:c>
    </x:row>
    <x:row r="259">
      <x:c r="A259" s="43" t="str">
        <x:v>L2024-00066-1</x:v>
      </x:c>
      <x:c r="B259" s="46" t="str">
        <x:v>Appendix1. Power of Attorney for the authority to sign and execute contracts (계약서 서명권한 위임장).docx</x:v>
      </x:c>
      <x:c r="C259" s="43" t="str">
        <x:v>.docx</x:v>
      </x:c>
      <x:c r="D259" s="61" t="n">
        <x:v>19766</x:v>
      </x:c>
      <x:c r="E259" s="43" t="str">
        <x:v>downloaded</x:v>
      </x:c>
      <x:c r="F259" s="43" t="str">
        <x:v>6776a829e4e91baa81eefbd49a6a86ff441f811838db3ffc1ba37afa48936422</x:v>
      </x:c>
      <x:c r="G259" s="46" t="str">
        <x:v>/Users/nomadresearch/Documents/Claude/Projects/koica-construction-tender/data/raw/L2024-00066-1/Appendix1. Power of Attorney for the authority to sign and execute contracts (계약서 서명권한 위임장).docx</x:v>
      </x:c>
      <x:c r="H259" s="43" t="str">
        <x:v>2024-11-22 11:53:18</x:v>
      </x:c>
    </x:row>
    <x:row r="260">
      <x:c r="A260" s="43" t="str">
        <x:v>L2024-00066-1</x:v>
      </x:c>
      <x:c r="B260" s="46" t="str">
        <x:v>Appendix2. Pledges Forms.zip</x:v>
      </x:c>
      <x:c r="C260" s="43" t="str">
        <x:v>.zip</x:v>
      </x:c>
      <x:c r="D260" s="61" t="n">
        <x:v>85586</x:v>
      </x:c>
      <x:c r="E260" s="43" t="str">
        <x:v>downloaded</x:v>
      </x:c>
      <x:c r="F260" s="43" t="str">
        <x:v>ace77f0c472bac41b05b3348d76f2fece600d55060d9bc370047c00e36f9a7da</x:v>
      </x:c>
      <x:c r="G260" s="46" t="str">
        <x:v>/Users/nomadresearch/Documents/Claude/Projects/koica-construction-tender/data/raw/L2024-00066-1/Appendix2. Pledges Forms.zip</x:v>
      </x:c>
      <x:c r="H260" s="43" t="str">
        <x:v>2024-11-22 11:53:18</x:v>
      </x:c>
    </x:row>
    <x:row r="261">
      <x:c r="A261" s="43" t="str">
        <x:v>L2024-00066-1</x:v>
      </x:c>
      <x:c r="B261" s="46" t="str">
        <x:v>Section 1 - Instructions to Bidders (ITB).hwp</x:v>
      </x:c>
      <x:c r="C261" s="43" t="str">
        <x:v>.hwp</x:v>
      </x:c>
      <x:c r="D261" s="61" t="n">
        <x:v>84992</x:v>
      </x:c>
      <x:c r="E261" s="43" t="str">
        <x:v>downloaded</x:v>
      </x:c>
      <x:c r="F261" s="43" t="str">
        <x:v>35e9e63a08f39458899e3adc0611ab79c56f4148ee73c46dacfbd67183b3d3d3</x:v>
      </x:c>
      <x:c r="G261" s="46" t="str">
        <x:v>/Users/nomadresearch/Documents/Claude/Projects/koica-construction-tender/data/raw/L2024-00066-1/Section 1 - Instructions to Bidders (ITB).hwp</x:v>
      </x:c>
      <x:c r="H261" s="43" t="str">
        <x:v>2024-11-22 11:53:18</x:v>
      </x:c>
    </x:row>
    <x:row r="262">
      <x:c r="A262" s="43" t="str">
        <x:v>L2024-00066-1</x:v>
      </x:c>
      <x:c r="B262" s="46" t="str">
        <x:v>Section 2 - Bid Data Sheet (BDS) R1.docx</x:v>
      </x:c>
      <x:c r="C262" s="43" t="str">
        <x:v>.docx</x:v>
      </x:c>
      <x:c r="D262" s="61" t="n">
        <x:v>60932</x:v>
      </x:c>
      <x:c r="E262" s="43" t="str">
        <x:v>downloaded</x:v>
      </x:c>
      <x:c r="F262" s="43" t="str">
        <x:v>d82e24de27fb2b77a0d68f31f92df18e2bbd56e0981da6f89ee959edb643fc0c</x:v>
      </x:c>
      <x:c r="G262" s="46" t="str">
        <x:v>/Users/nomadresearch/Documents/Claude/Projects/koica-construction-tender/data/raw/L2024-00066-1/Section 2 - Bid Data Sheet (BDS) R1.docx</x:v>
      </x:c>
      <x:c r="H262" s="43" t="str">
        <x:v>2024-11-22 11:53:18</x:v>
      </x:c>
    </x:row>
    <x:row r="263">
      <x:c r="A263" s="43" t="str">
        <x:v>L2024-00066-1</x:v>
      </x:c>
      <x:c r="B263" s="46" t="str">
        <x:v>Section 3 - Bidding Forms R1.docx</x:v>
      </x:c>
      <x:c r="C263" s="43" t="str">
        <x:v>.docx</x:v>
      </x:c>
      <x:c r="D263" s="61" t="n">
        <x:v>63868</x:v>
      </x:c>
      <x:c r="E263" s="43" t="str">
        <x:v>downloaded</x:v>
      </x:c>
      <x:c r="F263" s="43" t="str">
        <x:v>cf5c9bdbc9e9f59200664289bdd558e7a5a4ab463c88fff411272c717e2ffdc7</x:v>
      </x:c>
      <x:c r="G263" s="46" t="str">
        <x:v>/Users/nomadresearch/Documents/Claude/Projects/koica-construction-tender/data/raw/L2024-00066-1/Section 3 - Bidding Forms R1.docx</x:v>
      </x:c>
      <x:c r="H263" s="43" t="str">
        <x:v>2024-11-22 11:53:18</x:v>
      </x:c>
    </x:row>
    <x:row r="264">
      <x:c r="A264" s="43" t="str">
        <x:v>L2024-00066-1</x:v>
      </x:c>
      <x:c r="B264" s="46" t="str">
        <x:v>Section 4 - Request for Proposal (RFP) R1.doc</x:v>
      </x:c>
      <x:c r="C264" s="43" t="str">
        <x:v>.doc</x:v>
      </x:c>
      <x:c r="D264" s="61" t="n">
        <x:v>126976</x:v>
      </x:c>
      <x:c r="E264" s="43" t="str">
        <x:v>downloaded</x:v>
      </x:c>
      <x:c r="F264" s="43" t="str">
        <x:v>fa06c1877d716be909965cce8b8f4777689945209c52cb3f18397b7ebcdfec9a</x:v>
      </x:c>
      <x:c r="G264" s="46" t="str">
        <x:v>/Users/nomadresearch/Documents/Claude/Projects/koica-construction-tender/data/raw/L2024-00066-1/Section 4 - Request for Proposal (RFP) R1.doc</x:v>
      </x:c>
      <x:c r="H264" s="43" t="str">
        <x:v>2024-11-22 11:53:18</x:v>
      </x:c>
    </x:row>
    <x:row r="265">
      <x:c r="A265" s="43" t="str">
        <x:v>L2024-00066-1</x:v>
      </x:c>
      <x:c r="B265" s="46" t="str">
        <x:v>Section 5 - Terms of Reference (ToR) R1.doc</x:v>
      </x:c>
      <x:c r="C265" s="43" t="str">
        <x:v>.doc</x:v>
      </x:c>
      <x:c r="D265" s="61" t="n">
        <x:v>1480192</x:v>
      </x:c>
      <x:c r="E265" s="43" t="str">
        <x:v>downloaded</x:v>
      </x:c>
      <x:c r="F265" s="43" t="str">
        <x:v>bff92d6b67fa5cb994ecf537fc452677ef3a08f0423a5b03fed3176ec4d74264</x:v>
      </x:c>
      <x:c r="G265" s="46" t="str">
        <x:v>/Users/nomadresearch/Documents/Claude/Projects/koica-construction-tender/data/raw/L2024-00066-1/Section 5 - Terms of Reference (ToR) R1.doc</x:v>
      </x:c>
      <x:c r="H265" s="43" t="str">
        <x:v>2024-11-22 11:53:18</x:v>
      </x:c>
    </x:row>
    <x:row r="266">
      <x:c r="A266" s="43" t="str">
        <x:v>L2024-00066-1</x:v>
      </x:c>
      <x:c r="B266" s="46" t="str">
        <x:v>Section 6 - Space Program Report.pdf</x:v>
      </x:c>
      <x:c r="C266" s="43" t="str">
        <x:v>.pdf</x:v>
      </x:c>
      <x:c r="D266" s="61" t="n">
        <x:v>1946524</x:v>
      </x:c>
      <x:c r="E266" s="43" t="str">
        <x:v>downloaded</x:v>
      </x:c>
      <x:c r="F266" s="43" t="str">
        <x:v>ac48632ac2729943795a77014afd013255c5d75499af3ff6cb3e5ba30bbb129d</x:v>
      </x:c>
      <x:c r="G266" s="46" t="str">
        <x:v>/Users/nomadresearch/Documents/Claude/Projects/koica-construction-tender/data/raw/L2024-00066-1/Section 6 - Space Program Report.pdf</x:v>
      </x:c>
      <x:c r="H266" s="43" t="str">
        <x:v>2024-11-22 11:53:18</x:v>
      </x:c>
    </x:row>
    <x:row r="267">
      <x:c r="A267" s="43" t="str">
        <x:v>L2024-00066-1</x:v>
      </x:c>
      <x:c r="B267" s="46" t="str">
        <x:v>Section 7 - General Conditions of Contract.docx</x:v>
      </x:c>
      <x:c r="C267" s="43" t="str">
        <x:v>.docx</x:v>
      </x:c>
      <x:c r="D267" s="61" t="n">
        <x:v>34911</x:v>
      </x:c>
      <x:c r="E267" s="43" t="str">
        <x:v>downloaded</x:v>
      </x:c>
      <x:c r="F267" s="43" t="str">
        <x:v>83d7fcabe51ad328fb7329da081d4f921110e5e42367cc1598173d635bbc979e</x:v>
      </x:c>
      <x:c r="G267" s="46" t="str">
        <x:v>/Users/nomadresearch/Documents/Claude/Projects/koica-construction-tender/data/raw/L2024-00066-1/Section 7 - General Conditions of Contract.docx</x:v>
      </x:c>
      <x:c r="H267" s="43" t="str">
        <x:v>2024-11-22 11:53:18</x:v>
      </x:c>
    </x:row>
    <x:row r="268">
      <x:c r="A268" s="43" t="str">
        <x:v>L2024-00066-1</x:v>
      </x:c>
      <x:c r="B268" s="46" t="str">
        <x:v>Section 8 - Special Conditions of Contract.docx</x:v>
      </x:c>
      <x:c r="C268" s="43" t="str">
        <x:v>.docx</x:v>
      </x:c>
      <x:c r="D268" s="61" t="n">
        <x:v>29518</x:v>
      </x:c>
      <x:c r="E268" s="43" t="str">
        <x:v>downloaded</x:v>
      </x:c>
      <x:c r="F268" s="43" t="str">
        <x:v>7526ab7be4a21e02af0062c36ada783a39e85921f3b8a006bd8451e5275c9173</x:v>
      </x:c>
      <x:c r="G268" s="46" t="str">
        <x:v>/Users/nomadresearch/Documents/Claude/Projects/koica-construction-tender/data/raw/L2024-00066-1/Section 8 - Special Conditions of Contract.docx</x:v>
      </x:c>
      <x:c r="H268" s="43" t="str">
        <x:v>2024-11-22 11:53:18</x:v>
      </x:c>
    </x:row>
    <x:row r="269">
      <x:c r="A269" s="43" t="str">
        <x:v>L2024-00066-1</x:v>
      </x:c>
      <x:c r="B269" s="46" t="str">
        <x:v>Section 9 - Contract Forms.docx</x:v>
      </x:c>
      <x:c r="C269" s="43" t="str">
        <x:v>.docx</x:v>
      </x:c>
      <x:c r="D269" s="61" t="n">
        <x:v>25253</x:v>
      </x:c>
      <x:c r="E269" s="43" t="str">
        <x:v>downloaded</x:v>
      </x:c>
      <x:c r="F269" s="43" t="str">
        <x:v>a84d804f9cef65e5c9a159bf8a1757a9340ac600e7f784a348079d6fb02aef1f</x:v>
      </x:c>
      <x:c r="G269" s="46" t="str">
        <x:v>/Users/nomadresearch/Documents/Claude/Projects/koica-construction-tender/data/raw/L2024-00066-1/Section 9 - Contract Forms.docx</x:v>
      </x:c>
      <x:c r="H269" s="43" t="str">
        <x:v>2024-11-22 11:53:18</x:v>
      </x:c>
    </x:row>
    <x:row r="270">
      <x:c r="A270" s="43" t="str">
        <x:v>L2024-00062-1</x:v>
      </x:c>
      <x:c r="B270" s="46" t="str">
        <x:v>1. 현지입찰 계획서(세네갈 미곡2차 시공)_최종.hwp</x:v>
      </x:c>
      <x:c r="C270" s="43" t="str">
        <x:v>.hwp</x:v>
      </x:c>
      <x:c r="D270" s="61" t="n">
        <x:v>5017600</x:v>
      </x:c>
      <x:c r="E270" s="43" t="str">
        <x:v>downloaded</x:v>
      </x:c>
      <x:c r="F270" s="43" t="str">
        <x:v>621f9d57ec360d0605c6b87a279efc99b24426bbe132eea8a9d349b524e1b87a</x:v>
      </x:c>
      <x:c r="G270" s="46" t="str">
        <x:v>/Users/nomadresearch/Documents/Claude/Projects/koica-construction-tender/data/raw/L2024-00062-1/1. 현지입찰 계획서(세네갈 미곡2차 시공)_최종.hwp</x:v>
      </x:c>
      <x:c r="H270" s="43" t="str">
        <x:v>2024-10-09 01:21:08</x:v>
      </x:c>
    </x:row>
    <x:row r="271">
      <x:c r="A271" s="43" t="str">
        <x:v>L2024-00056-2</x:v>
      </x:c>
      <x:c r="B271" s="46" t="str">
        <x:v>Section 7 - Special Conditions of Contract.docx</x:v>
      </x:c>
      <x:c r="C271" s="43" t="str">
        <x:v>.docx</x:v>
      </x:c>
      <x:c r="D271" s="61" t="n">
        <x:v>25034</x:v>
      </x:c>
      <x:c r="E271" s="43" t="str">
        <x:v>downloaded</x:v>
      </x:c>
      <x:c r="F271" s="43" t="str">
        <x:v>32fd886fb32403a81618fab17485cedd0df09561734399e4e20ffb730b6bdb6a</x:v>
      </x:c>
      <x:c r="G271" s="46" t="str">
        <x:v>/Users/nomadresearch/Documents/Claude/Projects/koica-construction-tender/data/raw/L2024-00056-2/Section 7 - Special Conditions of Contract.docx</x:v>
      </x:c>
      <x:c r="H271" s="43" t="str">
        <x:v>2024-10-16 18:57:52</x:v>
      </x:c>
    </x:row>
    <x:row r="272">
      <x:c r="A272" s="43" t="str">
        <x:v>L2024-00056-2</x:v>
      </x:c>
      <x:c r="B272" s="46" t="str">
        <x:v>Section 8 - Contract Forms.docx</x:v>
      </x:c>
      <x:c r="C272" s="43" t="str">
        <x:v>.docx</x:v>
      </x:c>
      <x:c r="D272" s="61" t="n">
        <x:v>22736</x:v>
      </x:c>
      <x:c r="E272" s="43" t="str">
        <x:v>downloaded</x:v>
      </x:c>
      <x:c r="F272" s="43" t="str">
        <x:v>367d75edf9970fc709cfe36895805583b1b0a353b708dab5e1b3b8619f54fea7</x:v>
      </x:c>
      <x:c r="G272" s="46" t="str">
        <x:v>/Users/nomadresearch/Documents/Claude/Projects/koica-construction-tender/data/raw/L2024-00056-2/Section 8 - Contract Forms.docx</x:v>
      </x:c>
      <x:c r="H272" s="43" t="str">
        <x:v>2024-10-16 18:57:52</x:v>
      </x:c>
    </x:row>
    <x:row r="273">
      <x:c r="A273" s="43" t="str">
        <x:v>L2024-00056-2</x:v>
      </x:c>
      <x:c r="B273" s="46" t="str">
        <x:v>Section 9 - Pledges.docx</x:v>
      </x:c>
      <x:c r="C273" s="43" t="str">
        <x:v>.docx</x:v>
      </x:c>
      <x:c r="D273" s="61" t="n">
        <x:v>31354</x:v>
      </x:c>
      <x:c r="E273" s="43" t="str">
        <x:v>downloaded</x:v>
      </x:c>
      <x:c r="F273" s="43" t="str">
        <x:v>1e4bf00b29e640877e686247b8cb9c5e2eb288be72a432c18ab1b3606847cc0c</x:v>
      </x:c>
      <x:c r="G273" s="46" t="str">
        <x:v>/Users/nomadresearch/Documents/Claude/Projects/koica-construction-tender/data/raw/L2024-00056-2/Section 9 - Pledges.docx</x:v>
      </x:c>
      <x:c r="H273" s="43" t="str">
        <x:v>2024-10-16 18:57:52</x:v>
      </x:c>
    </x:row>
    <x:row r="274">
      <x:c r="A274" s="43" t="str">
        <x:v>L2024-00056-2</x:v>
      </x:c>
      <x:c r="B274" s="46" t="str">
        <x:v>Section 9 - Pledges.zip</x:v>
      </x:c>
      <x:c r="C274" s="43" t="str">
        <x:v>.zip</x:v>
      </x:c>
      <x:c r="D274" s="61" t="n">
        <x:v>85586</x:v>
      </x:c>
      <x:c r="E274" s="43" t="str">
        <x:v>downloaded</x:v>
      </x:c>
      <x:c r="F274" s="43" t="str">
        <x:v>ace77f0c472bac41b05b3348d76f2fece600d55060d9bc370047c00e36f9a7da</x:v>
      </x:c>
      <x:c r="G274" s="46" t="str">
        <x:v>/Users/nomadresearch/Documents/Claude/Projects/koica-construction-tender/data/raw/L2024-00056-2/Section 9 - Pledges.zip</x:v>
      </x:c>
      <x:c r="H274" s="43" t="str">
        <x:v>2024-10-16 18:57:52</x:v>
      </x:c>
    </x:row>
    <x:row r="275">
      <x:c r="A275" s="43" t="str">
        <x:v>L2024-00056-2</x:v>
      </x:c>
      <x:c r="B275" s="46" t="str">
        <x:v>Section 10 - Bid Document Checklist.xlsx</x:v>
      </x:c>
      <x:c r="C275" s="43" t="str">
        <x:v>.xlsx</x:v>
      </x:c>
      <x:c r="D275" s="61" t="n">
        <x:v>25005</x:v>
      </x:c>
      <x:c r="E275" s="43" t="str">
        <x:v>downloaded</x:v>
      </x:c>
      <x:c r="F275" s="43" t="str">
        <x:v>8de71448e9a0b1326043ea8a235afb18716db73322a6c5cd19fb20261c0ce1de</x:v>
      </x:c>
      <x:c r="G275" s="46" t="str">
        <x:v>/Users/nomadresearch/Documents/Claude/Projects/koica-construction-tender/data/raw/L2024-00056-2/Section 10 - Bid Document Checklist.xlsx</x:v>
      </x:c>
      <x:c r="H275" s="43" t="str">
        <x:v>2024-10-16 18:57:52</x:v>
      </x:c>
    </x:row>
    <x:row r="276">
      <x:c r="A276" s="43" t="str">
        <x:v>L2024-00056-2</x:v>
      </x:c>
      <x:c r="B276" s="46" t="str">
        <x:v>Section 1 - Instructions to Bidders (ITB).pdf</x:v>
      </x:c>
      <x:c r="C276" s="43" t="str">
        <x:v>.pdf</x:v>
      </x:c>
      <x:c r="D276" s="61" t="n">
        <x:v>161633</x:v>
      </x:c>
      <x:c r="E276" s="43" t="str">
        <x:v>downloaded</x:v>
      </x:c>
      <x:c r="F276" s="43" t="str">
        <x:v>31f62db7af872ac18bef26a38348c4e5f39cb9887e6190c4a41058130b617084</x:v>
      </x:c>
      <x:c r="G276" s="46" t="str">
        <x:v>/Users/nomadresearch/Documents/Claude/Projects/koica-construction-tender/data/raw/L2024-00056-2/Section 1 - Instructions to Bidders (ITB).pdf</x:v>
      </x:c>
      <x:c r="H276" s="43" t="str">
        <x:v>2024-10-16 18:57:52</x:v>
      </x:c>
    </x:row>
    <x:row r="277">
      <x:c r="A277" s="43" t="str">
        <x:v>L2024-00056-2</x:v>
      </x:c>
      <x:c r="B277" s="46" t="str">
        <x:v>Section 2 - Bid Data Sheet (BDS)_Must Read.docx</x:v>
      </x:c>
      <x:c r="C277" s="43" t="str">
        <x:v>.docx</x:v>
      </x:c>
      <x:c r="D277" s="61" t="n">
        <x:v>72992</x:v>
      </x:c>
      <x:c r="E277" s="43" t="str">
        <x:v>downloaded</x:v>
      </x:c>
      <x:c r="F277" s="43" t="str">
        <x:v>41092bad1da10b1027155b813d17988075d565f750fbbcddb385022eba772237</x:v>
      </x:c>
      <x:c r="G277" s="46" t="str">
        <x:v>/Users/nomadresearch/Documents/Claude/Projects/koica-construction-tender/data/raw/L2024-00056-2/Section 2 - Bid Data Sheet (BDS)_Must Read.docx</x:v>
      </x:c>
      <x:c r="H277" s="43" t="str">
        <x:v>2024-10-16 18:57:52</x:v>
      </x:c>
    </x:row>
    <x:row r="278">
      <x:c r="A278" s="43" t="str">
        <x:v>L2024-00056-2</x:v>
      </x:c>
      <x:c r="B278" s="46" t="str">
        <x:v>Section 3 - Bidding Forms_코트디_ver.1.docx</x:v>
      </x:c>
      <x:c r="C278" s="43" t="str">
        <x:v>.docx</x:v>
      </x:c>
      <x:c r="D278" s="61" t="n">
        <x:v>57087</x:v>
      </x:c>
      <x:c r="E278" s="43" t="str">
        <x:v>downloaded</x:v>
      </x:c>
      <x:c r="F278" s="43" t="str">
        <x:v>e653ddaf7ba5deb225ac5baf9a1b4d7c2f5bcabcc190dbdce89ac6af775e1d0c</x:v>
      </x:c>
      <x:c r="G278" s="46" t="str">
        <x:v>/Users/nomadresearch/Documents/Claude/Projects/koica-construction-tender/data/raw/L2024-00056-2/Section 3 - Bidding Forms_코트디_ver.1.docx</x:v>
      </x:c>
      <x:c r="H278" s="43" t="str">
        <x:v>2024-10-16 18:57:52</x:v>
      </x:c>
    </x:row>
    <x:row r="279">
      <x:c r="A279" s="43" t="str">
        <x:v>L2024-00056-2</x:v>
      </x:c>
      <x:c r="B279" s="46" t="str">
        <x:v>Section 4 - Request for Proposal_코트디_ver.1.2_수정.docx</x:v>
      </x:c>
      <x:c r="C279" s="43" t="str">
        <x:v>.docx</x:v>
      </x:c>
      <x:c r="D279" s="61" t="n">
        <x:v>4145780</x:v>
      </x:c>
      <x:c r="E279" s="43" t="str">
        <x:v>downloaded</x:v>
      </x:c>
      <x:c r="F279" s="43" t="str">
        <x:v>8fa1eb64d7a664dab6385d0e0418d24a9b468f694a8ad3089574ba823160816c</x:v>
      </x:c>
      <x:c r="G279" s="46" t="str">
        <x:v>/Users/nomadresearch/Documents/Claude/Projects/koica-construction-tender/data/raw/L2024-00056-2/Section 4 - Request for Proposal_코트디_ver.1.2_수정.docx</x:v>
      </x:c>
      <x:c r="H279" s="43" t="str">
        <x:v>2024-10-16 18:57:52</x:v>
      </x:c>
    </x:row>
    <x:row r="280">
      <x:c r="A280" s="43" t="str">
        <x:v>L2024-00056-2</x:v>
      </x:c>
      <x:c r="B280" s="46" t="str">
        <x:v>Section 5 - Construction Supervision Forms.docx</x:v>
      </x:c>
      <x:c r="C280" s="43" t="str">
        <x:v>.docx</x:v>
      </x:c>
      <x:c r="D280" s="61" t="n">
        <x:v>21655</x:v>
      </x:c>
      <x:c r="E280" s="43" t="str">
        <x:v>downloaded</x:v>
      </x:c>
      <x:c r="F280" s="43" t="str">
        <x:v>6faffa7eea1b98283c98661c3d3929bc4a00e93b2a2dcb33ff3180dcdef6c55b</x:v>
      </x:c>
      <x:c r="G280" s="46" t="str">
        <x:v>/Users/nomadresearch/Documents/Claude/Projects/koica-construction-tender/data/raw/L2024-00056-2/Section 5 - Construction Supervision Forms.docx</x:v>
      </x:c>
      <x:c r="H280" s="43" t="str">
        <x:v>2024-10-16 18:57:52</x:v>
      </x:c>
    </x:row>
    <x:row r="281">
      <x:c r="A281" s="43" t="str">
        <x:v>L2024-00056-2</x:v>
      </x:c>
      <x:c r="B281" s="46" t="str">
        <x:v>Section 5 - Reference Documents.zip</x:v>
      </x:c>
      <x:c r="C281" s="43" t="str">
        <x:v>.zip</x:v>
      </x:c>
      <x:c r="D281" s="61" t="n">
        <x:v>71356</x:v>
      </x:c>
      <x:c r="E281" s="43" t="str">
        <x:v>downloaded</x:v>
      </x:c>
      <x:c r="F281" s="43" t="str">
        <x:v>649c3573e8d58100e0555cb3c522d6f8cf4c83cd76d41c1d46fc31ae399796b0</x:v>
      </x:c>
      <x:c r="G281" s="46" t="str">
        <x:v>/Users/nomadresearch/Documents/Claude/Projects/koica-construction-tender/data/raw/L2024-00056-2/Section 5 - Reference Documents.zip</x:v>
      </x:c>
      <x:c r="H281" s="43" t="str">
        <x:v>2024-10-16 18:57:52</x:v>
      </x:c>
    </x:row>
    <x:row r="282">
      <x:c r="A282" s="43" t="str">
        <x:v>L2024-00056-2</x:v>
      </x:c>
      <x:c r="B282" s="46" t="str">
        <x:v>Section 6 - General Conditions of Contract.docx</x:v>
      </x:c>
      <x:c r="C282" s="43" t="str">
        <x:v>.docx</x:v>
      </x:c>
      <x:c r="D282" s="61" t="n">
        <x:v>35387</x:v>
      </x:c>
      <x:c r="E282" s="43" t="str">
        <x:v>downloaded</x:v>
      </x:c>
      <x:c r="F282" s="43" t="str">
        <x:v>3f6ac1448828260ea110ed4386b4d06f2106e3856473460672a3c6f0005813d5</x:v>
      </x:c>
      <x:c r="G282" s="46" t="str">
        <x:v>/Users/nomadresearch/Documents/Claude/Projects/koica-construction-tender/data/raw/L2024-00056-2/Section 6 - General Conditions of Contract.docx</x:v>
      </x:c>
      <x:c r="H282" s="43" t="str">
        <x:v>2024-10-16 18:57:52</x:v>
      </x:c>
    </x:row>
    <x:row r="283">
      <x:c r="A283" s="43" t="str">
        <x:v>L2024-00056-1</x:v>
      </x:c>
      <x:c r="B283" s="46" t="str">
        <x:v>Section 1 - Instructions to Bidders (ITB).pdf</x:v>
      </x:c>
      <x:c r="C283" s="43" t="str">
        <x:v>.pdf</x:v>
      </x:c>
      <x:c r="D283" s="61" t="n">
        <x:v>161633</x:v>
      </x:c>
      <x:c r="E283" s="43" t="str">
        <x:v>downloaded</x:v>
      </x:c>
      <x:c r="F283" s="43" t="str">
        <x:v>31f62db7af872ac18bef26a38348c4e5f39cb9887e6190c4a41058130b617084</x:v>
      </x:c>
      <x:c r="G283" s="46" t="str">
        <x:v>/Users/nomadresearch/Documents/Claude/Projects/koica-construction-tender/data/raw/L2024-00056-1/Section 1 - Instructions to Bidders (ITB).pdf</x:v>
      </x:c>
      <x:c r="H283" s="43" t="str">
        <x:v>2024-09-27 17:35:00</x:v>
      </x:c>
    </x:row>
    <x:row r="284">
      <x:c r="A284" s="43" t="str">
        <x:v>L2024-00056-1</x:v>
      </x:c>
      <x:c r="B284" s="46" t="str">
        <x:v>Section 2 - Bid Data Sheet (BDS)_Must Read.docx</x:v>
      </x:c>
      <x:c r="C284" s="43" t="str">
        <x:v>.docx</x:v>
      </x:c>
      <x:c r="D284" s="61" t="n">
        <x:v>72809</x:v>
      </x:c>
      <x:c r="E284" s="43" t="str">
        <x:v>downloaded</x:v>
      </x:c>
      <x:c r="F284" s="43" t="str">
        <x:v>0bf837c6148cae34f24f7f351bfb7147d469e9dd9ae37230968cb187906866ff</x:v>
      </x:c>
      <x:c r="G284" s="46" t="str">
        <x:v>/Users/nomadresearch/Documents/Claude/Projects/koica-construction-tender/data/raw/L2024-00056-1/Section 2 - Bid Data Sheet (BDS)_Must Read.docx</x:v>
      </x:c>
      <x:c r="H284" s="43" t="str">
        <x:v>2024-09-27 17:35:00</x:v>
      </x:c>
    </x:row>
    <x:row r="285">
      <x:c r="A285" s="43" t="str">
        <x:v>L2024-00056-1</x:v>
      </x:c>
      <x:c r="B285" s="46" t="str">
        <x:v>Section 3 - Bidding Forms_코트디_ver.1.docx</x:v>
      </x:c>
      <x:c r="C285" s="43" t="str">
        <x:v>.docx</x:v>
      </x:c>
      <x:c r="D285" s="61" t="n">
        <x:v>57087</x:v>
      </x:c>
      <x:c r="E285" s="43" t="str">
        <x:v>downloaded</x:v>
      </x:c>
      <x:c r="F285" s="43" t="str">
        <x:v>e653ddaf7ba5deb225ac5baf9a1b4d7c2f5bcabcc190dbdce89ac6af775e1d0c</x:v>
      </x:c>
      <x:c r="G285" s="46" t="str">
        <x:v>/Users/nomadresearch/Documents/Claude/Projects/koica-construction-tender/data/raw/L2024-00056-1/Section 3 - Bidding Forms_코트디_ver.1.docx</x:v>
      </x:c>
      <x:c r="H285" s="43" t="str">
        <x:v>2024-09-27 17:35:00</x:v>
      </x:c>
    </x:row>
    <x:row r="286">
      <x:c r="A286" s="43" t="str">
        <x:v>L2024-00056-1</x:v>
      </x:c>
      <x:c r="B286" s="46" t="str">
        <x:v>Section 4 - Request for Proposal_코트디_ver.1.2_수정.docx</x:v>
      </x:c>
      <x:c r="C286" s="43" t="str">
        <x:v>.docx</x:v>
      </x:c>
      <x:c r="D286" s="61" t="n">
        <x:v>4145780</x:v>
      </x:c>
      <x:c r="E286" s="43" t="str">
        <x:v>downloaded</x:v>
      </x:c>
      <x:c r="F286" s="43" t="str">
        <x:v>8fa1eb64d7a664dab6385d0e0418d24a9b468f694a8ad3089574ba823160816c</x:v>
      </x:c>
      <x:c r="G286" s="46" t="str">
        <x:v>/Users/nomadresearch/Documents/Claude/Projects/koica-construction-tender/data/raw/L2024-00056-1/Section 4 - Request for Proposal_코트디_ver.1.2_수정.docx</x:v>
      </x:c>
      <x:c r="H286" s="43" t="str">
        <x:v>2024-09-27 17:35:00</x:v>
      </x:c>
    </x:row>
    <x:row r="287">
      <x:c r="A287" s="43" t="str">
        <x:v>L2024-00056-1</x:v>
      </x:c>
      <x:c r="B287" s="46" t="str">
        <x:v>Section 5 - Construction Supervision Forms.docx</x:v>
      </x:c>
      <x:c r="C287" s="43" t="str">
        <x:v>.docx</x:v>
      </x:c>
      <x:c r="D287" s="61" t="n">
        <x:v>21655</x:v>
      </x:c>
      <x:c r="E287" s="43" t="str">
        <x:v>downloaded</x:v>
      </x:c>
      <x:c r="F287" s="43" t="str">
        <x:v>6faffa7eea1b98283c98661c3d3929bc4a00e93b2a2dcb33ff3180dcdef6c55b</x:v>
      </x:c>
      <x:c r="G287" s="46" t="str">
        <x:v>/Users/nomadresearch/Documents/Claude/Projects/koica-construction-tender/data/raw/L2024-00056-1/Section 5 - Construction Supervision Forms.docx</x:v>
      </x:c>
      <x:c r="H287" s="43" t="str">
        <x:v>2024-09-27 17:35:00</x:v>
      </x:c>
    </x:row>
    <x:row r="288">
      <x:c r="A288" s="43" t="str">
        <x:v>L2024-00056-1</x:v>
      </x:c>
      <x:c r="B288" s="46" t="str">
        <x:v>Section 6 - General Conditions of Contract.docx</x:v>
      </x:c>
      <x:c r="C288" s="43" t="str">
        <x:v>.docx</x:v>
      </x:c>
      <x:c r="D288" s="61" t="n">
        <x:v>35387</x:v>
      </x:c>
      <x:c r="E288" s="43" t="str">
        <x:v>downloaded</x:v>
      </x:c>
      <x:c r="F288" s="43" t="str">
        <x:v>3f6ac1448828260ea110ed4386b4d06f2106e3856473460672a3c6f0005813d5</x:v>
      </x:c>
      <x:c r="G288" s="46" t="str">
        <x:v>/Users/nomadresearch/Documents/Claude/Projects/koica-construction-tender/data/raw/L2024-00056-1/Section 6 - General Conditions of Contract.docx</x:v>
      </x:c>
      <x:c r="H288" s="43" t="str">
        <x:v>2024-09-27 17:35:00</x:v>
      </x:c>
    </x:row>
    <x:row r="289">
      <x:c r="A289" s="43" t="str">
        <x:v>L2024-00056-1</x:v>
      </x:c>
      <x:c r="B289" s="46" t="str">
        <x:v>Section 7 - Special Conditions of Contract.docx</x:v>
      </x:c>
      <x:c r="C289" s="43" t="str">
        <x:v>.docx</x:v>
      </x:c>
      <x:c r="D289" s="61" t="n">
        <x:v>25034</x:v>
      </x:c>
      <x:c r="E289" s="43" t="str">
        <x:v>downloaded</x:v>
      </x:c>
      <x:c r="F289" s="43" t="str">
        <x:v>32fd886fb32403a81618fab17485cedd0df09561734399e4e20ffb730b6bdb6a</x:v>
      </x:c>
      <x:c r="G289" s="46" t="str">
        <x:v>/Users/nomadresearch/Documents/Claude/Projects/koica-construction-tender/data/raw/L2024-00056-1/Section 7 - Special Conditions of Contract.docx</x:v>
      </x:c>
      <x:c r="H289" s="43" t="str">
        <x:v>2024-09-27 17:35:00</x:v>
      </x:c>
    </x:row>
    <x:row r="290">
      <x:c r="A290" s="43" t="str">
        <x:v>L2024-00056-1</x:v>
      </x:c>
      <x:c r="B290" s="46" t="str">
        <x:v>Section 8 - Contract Forms.docx</x:v>
      </x:c>
      <x:c r="C290" s="43" t="str">
        <x:v>.docx</x:v>
      </x:c>
      <x:c r="D290" s="61" t="n">
        <x:v>22736</x:v>
      </x:c>
      <x:c r="E290" s="43" t="str">
        <x:v>downloaded</x:v>
      </x:c>
      <x:c r="F290" s="43" t="str">
        <x:v>367d75edf9970fc709cfe36895805583b1b0a353b708dab5e1b3b8619f54fea7</x:v>
      </x:c>
      <x:c r="G290" s="46" t="str">
        <x:v>/Users/nomadresearch/Documents/Claude/Projects/koica-construction-tender/data/raw/L2024-00056-1/Section 8 - Contract Forms.docx</x:v>
      </x:c>
      <x:c r="H290" s="43" t="str">
        <x:v>2024-09-27 17:35:00</x:v>
      </x:c>
    </x:row>
    <x:row r="291">
      <x:c r="A291" s="43" t="str">
        <x:v>L2024-00056-1</x:v>
      </x:c>
      <x:c r="B291" s="46" t="str">
        <x:v>Section 9 - Pledges.docx</x:v>
      </x:c>
      <x:c r="C291" s="43" t="str">
        <x:v>.docx</x:v>
      </x:c>
      <x:c r="D291" s="61" t="n">
        <x:v>31354</x:v>
      </x:c>
      <x:c r="E291" s="43" t="str">
        <x:v>downloaded</x:v>
      </x:c>
      <x:c r="F291" s="43" t="str">
        <x:v>1e4bf00b29e640877e686247b8cb9c5e2eb288be72a432c18ab1b3606847cc0c</x:v>
      </x:c>
      <x:c r="G291" s="46" t="str">
        <x:v>/Users/nomadresearch/Documents/Claude/Projects/koica-construction-tender/data/raw/L2024-00056-1/Section 9 - Pledges.docx</x:v>
      </x:c>
      <x:c r="H291" s="43" t="str">
        <x:v>2024-09-27 17:35:00</x:v>
      </x:c>
    </x:row>
    <x:row r="292">
      <x:c r="A292" s="43" t="str">
        <x:v>L2024-00056-1</x:v>
      </x:c>
      <x:c r="B292" s="46" t="str">
        <x:v>Section 10 - Bid Document Checklist.xlsx</x:v>
      </x:c>
      <x:c r="C292" s="43" t="str">
        <x:v>.xlsx</x:v>
      </x:c>
      <x:c r="D292" s="61" t="n">
        <x:v>24788</x:v>
      </x:c>
      <x:c r="E292" s="43" t="str">
        <x:v>downloaded</x:v>
      </x:c>
      <x:c r="F292" s="43" t="str">
        <x:v>f0af688635c89a5cd1a44ba189ab51e5e004363bea937c3b7285bbf06b265ef8</x:v>
      </x:c>
      <x:c r="G292" s="46" t="str">
        <x:v>/Users/nomadresearch/Documents/Claude/Projects/koica-construction-tender/data/raw/L2024-00056-1/Section 10 - Bid Document Checklist.xlsx</x:v>
      </x:c>
      <x:c r="H292" s="43" t="str">
        <x:v>2024-09-27 17:35:00</x:v>
      </x:c>
    </x:row>
    <x:row r="293">
      <x:c r="A293" s="43" t="str">
        <x:v>L2024-00055-1</x:v>
      </x:c>
      <x:c r="B293" s="46" t="str">
        <x:v>Section 2 - Bid Data Sheet (BDS)_Peru Pilot Compost Plant.docx</x:v>
      </x:c>
      <x:c r="C293" s="43" t="str">
        <x:v>.docx</x:v>
      </x:c>
      <x:c r="D293" s="61" t="n">
        <x:v>64486</x:v>
      </x:c>
      <x:c r="E293" s="43" t="str">
        <x:v>downloaded</x:v>
      </x:c>
      <x:c r="F293" s="43" t="str">
        <x:v>ace3a068c5ee6a12d3a8d11145e620f11e98824bbf0d1a9082c519449e052e52</x:v>
      </x:c>
      <x:c r="G293" s="46" t="str">
        <x:v>/Users/nomadresearch/Documents/Claude/Projects/koica-construction-tender/data/raw/L2024-00055-1/Section 2 - Bid Data Sheet (BDS)_Peru Pilot Compost Plant.docx</x:v>
      </x:c>
      <x:c r="H293" s="43" t="str">
        <x:v>2024-09-27 06:43:54</x:v>
      </x:c>
    </x:row>
    <x:row r="294">
      <x:c r="A294" s="43" t="str">
        <x:v>L2024-00055-1</x:v>
      </x:c>
      <x:c r="B294" s="46" t="str">
        <x:v>Section 3 - Bidding Forms.docx</x:v>
      </x:c>
      <x:c r="C294" s="43" t="str">
        <x:v>.docx</x:v>
      </x:c>
      <x:c r="D294" s="61" t="n">
        <x:v>49521</x:v>
      </x:c>
      <x:c r="E294" s="43" t="str">
        <x:v>downloaded</x:v>
      </x:c>
      <x:c r="F294" s="43" t="str">
        <x:v>06c9aaf8669e5190c44725ef0e9f1917fc3aac219d98ae540a8d5651f44e9107</x:v>
      </x:c>
      <x:c r="G294" s="46" t="str">
        <x:v>/Users/nomadresearch/Documents/Claude/Projects/koica-construction-tender/data/raw/L2024-00055-1/Section 3 - Bidding Forms.docx</x:v>
      </x:c>
      <x:c r="H294" s="43" t="str">
        <x:v>2024-09-27 06:43:54</x:v>
      </x:c>
    </x:row>
    <x:row r="295">
      <x:c r="A295" s="43" t="str">
        <x:v>L2024-00055-1</x:v>
      </x:c>
      <x:c r="B295" s="46" t="str">
        <x:v>Section 4 - Terms of Reference_Peru Pilot Compost Plant.docx</x:v>
      </x:c>
      <x:c r="C295" s="43" t="str">
        <x:v>.docx</x:v>
      </x:c>
      <x:c r="D295" s="61" t="n">
        <x:v>3543859</x:v>
      </x:c>
      <x:c r="E295" s="43" t="str">
        <x:v>downloaded</x:v>
      </x:c>
      <x:c r="F295" s="43" t="str">
        <x:v>6fe6956f1c20c73c42ae80600ae69fdf603fbeb37bc4c5147b992ea29c3630db</x:v>
      </x:c>
      <x:c r="G295" s="46" t="str">
        <x:v>/Users/nomadresearch/Documents/Claude/Projects/koica-construction-tender/data/raw/L2024-00055-1/Section 4 - Terms of Reference_Peru Pilot Compost Plant.docx</x:v>
      </x:c>
      <x:c r="H295" s="43" t="str">
        <x:v>2024-09-27 06:43:54</x:v>
      </x:c>
    </x:row>
    <x:row r="296">
      <x:c r="A296" s="43" t="str">
        <x:v>L2024-00055-1</x:v>
      </x:c>
      <x:c r="B296" s="46" t="str">
        <x:v>Section 5 - General Conditions of Contract (GCC)_Peru Pilot Compost Plant.docx</x:v>
      </x:c>
      <x:c r="C296" s="43" t="str">
        <x:v>.docx</x:v>
      </x:c>
      <x:c r="D296" s="61" t="n">
        <x:v>34263</x:v>
      </x:c>
      <x:c r="E296" s="43" t="str">
        <x:v>downloaded</x:v>
      </x:c>
      <x:c r="F296" s="43" t="str">
        <x:v>4000462ba63c615d0e9d4dbb99e685146bd8c40135f5dcb50ce2bd16dca0efc7</x:v>
      </x:c>
      <x:c r="G296" s="46" t="str">
        <x:v>/Users/nomadresearch/Documents/Claude/Projects/koica-construction-tender/data/raw/L2024-00055-1/Section 5 - General Conditions of Contract (GCC)_Peru Pilot Compost Plant.docx</x:v>
      </x:c>
      <x:c r="H296" s="43" t="str">
        <x:v>2024-09-27 06:43:54</x:v>
      </x:c>
    </x:row>
    <x:row r="297">
      <x:c r="A297" s="43" t="str">
        <x:v>L2024-00055-1</x:v>
      </x:c>
      <x:c r="B297" s="46" t="str">
        <x:v>Section 6 - Special Conditions of Contract (SCC)_Peru Pilot Compost Plant.docx</x:v>
      </x:c>
      <x:c r="C297" s="43" t="str">
        <x:v>.docx</x:v>
      </x:c>
      <x:c r="D297" s="61" t="n">
        <x:v>26853</x:v>
      </x:c>
      <x:c r="E297" s="43" t="str">
        <x:v>downloaded</x:v>
      </x:c>
      <x:c r="F297" s="43" t="str">
        <x:v>1e9e1ead8eadc1f31d14bc0924f4bf164dbe17d13f022bab0182bfbbaaa3fb97</x:v>
      </x:c>
      <x:c r="G297" s="46" t="str">
        <x:v>/Users/nomadresearch/Documents/Claude/Projects/koica-construction-tender/data/raw/L2024-00055-1/Section 6 - Special Conditions of Contract (SCC)_Peru Pilot Compost Plant.docx</x:v>
      </x:c>
      <x:c r="H297" s="43" t="str">
        <x:v>2024-09-27 06:43:54</x:v>
      </x:c>
    </x:row>
    <x:row r="298">
      <x:c r="A298" s="43" t="str">
        <x:v>L2024-00055-1</x:v>
      </x:c>
      <x:c r="B298" s="46" t="str">
        <x:v>Section 7 - Contract Forms_Peru Pilot Compost Plant.docx</x:v>
      </x:c>
      <x:c r="C298" s="43" t="str">
        <x:v>.docx</x:v>
      </x:c>
      <x:c r="D298" s="61" t="n">
        <x:v>22992</x:v>
      </x:c>
      <x:c r="E298" s="43" t="str">
        <x:v>downloaded</x:v>
      </x:c>
      <x:c r="F298" s="43" t="str">
        <x:v>aae21e0364d411b003ec863f9587fb5bd419cae961c5c76762dcf0190ad3ff86</x:v>
      </x:c>
      <x:c r="G298" s="46" t="str">
        <x:v>/Users/nomadresearch/Documents/Claude/Projects/koica-construction-tender/data/raw/L2024-00055-1/Section 7 - Contract Forms_Peru Pilot Compost Plant.docx</x:v>
      </x:c>
      <x:c r="H298" s="43" t="str">
        <x:v>2024-09-27 06:43:54</x:v>
      </x:c>
    </x:row>
    <x:row r="299">
      <x:c r="A299" s="43" t="str">
        <x:v>L2024-00055-1</x:v>
      </x:c>
      <x:c r="B299" s="46" t="str">
        <x:v>Section 1 - Instructions to Bidders (ITB).pdf</x:v>
      </x:c>
      <x:c r="C299" s="43" t="str">
        <x:v>.pdf</x:v>
      </x:c>
      <x:c r="D299" s="61" t="n">
        <x:v>123096</x:v>
      </x:c>
      <x:c r="E299" s="43" t="str">
        <x:v>downloaded</x:v>
      </x:c>
      <x:c r="F299" s="43" t="str">
        <x:v>a1e1c311007a6b79faa3bc64c818798f786ff87b1ba03a24dbcc32bed3e0c24b</x:v>
      </x:c>
      <x:c r="G299" s="46" t="str">
        <x:v>/Users/nomadresearch/Documents/Claude/Projects/koica-construction-tender/data/raw/L2024-00055-1/Section 1 - Instructions to Bidders (ITB).pdf</x:v>
      </x:c>
      <x:c r="H299" s="43" t="str">
        <x:v>2024-09-27 06:43:54</x:v>
      </x:c>
    </x:row>
    <x:row r="300">
      <x:c r="A300" s="43" t="str">
        <x:v>L2024-00054-2</x:v>
      </x:c>
      <x:c r="B300" s="46" t="str">
        <x:v>감리 재입찰 공고문_Anuncio de Licitacion_Final.docx</x:v>
      </x:c>
      <x:c r="C300" s="43" t="str">
        <x:v>.docx</x:v>
      </x:c>
      <x:c r="D300" s="61" t="n">
        <x:v>100898</x:v>
      </x:c>
      <x:c r="E300" s="43" t="str">
        <x:v>downloaded</x:v>
      </x:c>
      <x:c r="F300" s="43" t="str">
        <x:v>e4f31ba19bd05fa9d2223ca4702a28c70dda30832132ce26a31c70968a135357</x:v>
      </x:c>
      <x:c r="G300" s="46" t="str">
        <x:v>/Users/nomadresearch/Documents/Claude/Projects/koica-construction-tender/data/raw/L2024-00054-2/감리 재입찰 공고문_Anuncio de Licitacion_Final.docx</x:v>
      </x:c>
      <x:c r="H300" s="43" t="str">
        <x:v>2024-11-20 03:52:03</x:v>
      </x:c>
    </x:row>
    <x:row r="301">
      <x:c r="A301" s="43" t="str">
        <x:v>L2024-00054-2</x:v>
      </x:c>
      <x:c r="B301" s="46" t="str">
        <x:v>2. 영문 입찰서류 각 1부.zip</x:v>
      </x:c>
      <x:c r="C301" s="43" t="str">
        <x:v>.zip</x:v>
      </x:c>
      <x:c r="D301" s="61" t="n">
        <x:v>365868</x:v>
      </x:c>
      <x:c r="E301" s="43" t="str">
        <x:v>downloaded</x:v>
      </x:c>
      <x:c r="F301" s="43" t="str">
        <x:v>504089924dcc70ce667ae00aeadf631bd338e89137509acb52856da8bc0709d5</x:v>
      </x:c>
      <x:c r="G301" s="46" t="str">
        <x:v>/Users/nomadresearch/Documents/Claude/Projects/koica-construction-tender/data/raw/L2024-00054-2/2. 영문 입찰서류 각 1부.zip</x:v>
      </x:c>
      <x:c r="H301" s="43" t="str">
        <x:v>2024-11-20 03:52:03</x:v>
      </x:c>
    </x:row>
    <x:row r="302">
      <x:c r="A302" s="43" t="str">
        <x:v>L2024-00054-1</x:v>
      </x:c>
      <x:c r="B302" s="46" t="str">
        <x:v>입찰 공고문_감리_20240923.pdf</x:v>
      </x:c>
      <x:c r="C302" s="43" t="str">
        <x:v>.pdf</x:v>
      </x:c>
      <x:c r="D302" s="61" t="n">
        <x:v>160994</x:v>
      </x:c>
      <x:c r="E302" s="43" t="str">
        <x:v>downloaded</x:v>
      </x:c>
      <x:c r="F302" s="43" t="str">
        <x:v>e0ce7d7eaa5e2a659054b08441947b99ba77327fd23d88110b274e423de14f1b</x:v>
      </x:c>
      <x:c r="G302" s="46" t="str">
        <x:v>/Users/nomadresearch/Documents/Claude/Projects/koica-construction-tender/data/raw/L2024-00054-1/입찰 공고문_감리_20240923.pdf</x:v>
      </x:c>
      <x:c r="H302" s="43" t="str">
        <x:v>2024-09-24 04:07:36</x:v>
      </x:c>
    </x:row>
    <x:row r="303">
      <x:c r="A303" s="43" t="str">
        <x:v>L2024-00054-1</x:v>
      </x:c>
      <x:c r="B303" s="46" t="str">
        <x:v>Bidding Document_ITCA (Supervision)_(202409).zip</x:v>
      </x:c>
      <x:c r="C303" s="43" t="str">
        <x:v>.zip</x:v>
      </x:c>
      <x:c r="D303" s="61" t="n">
        <x:v>398454</x:v>
      </x:c>
      <x:c r="E303" s="43" t="str">
        <x:v>downloaded</x:v>
      </x:c>
      <x:c r="F303" s="43" t="str">
        <x:v>baf7d532ee013a3102a1a6ece7092d37bea602029a0f46a55183dc621fce89bf</x:v>
      </x:c>
      <x:c r="G303" s="46" t="str">
        <x:v>/Users/nomadresearch/Documents/Claude/Projects/koica-construction-tender/data/raw/L2024-00054-1/Bidding Document_ITCA (Supervision)_(202409).zip</x:v>
      </x:c>
      <x:c r="H303" s="43" t="str">
        <x:v>2024-09-24 04:07:36</x:v>
      </x:c>
    </x:row>
    <x:row r="304">
      <x:c r="A304" s="43" t="str">
        <x:v>L2024-00052-1</x:v>
      </x:c>
      <x:c r="B304" s="46" t="str">
        <x:v>입찰관련서류.zip</x:v>
      </x:c>
      <x:c r="C304" s="43" t="str">
        <x:v>.zip</x:v>
      </x:c>
      <x:c r="D304" s="61" t="n">
        <x:v>5907579</x:v>
      </x:c>
      <x:c r="E304" s="43" t="str">
        <x:v>downloaded</x:v>
      </x:c>
      <x:c r="F304" s="43" t="str">
        <x:v>a989da9dd6b2849b428612341ead633612336cd349d28a3f66a26d4529c76602</x:v>
      </x:c>
      <x:c r="G304" s="46" t="str">
        <x:v>/Users/nomadresearch/Documents/Claude/Projects/koica-construction-tender/data/raw/L2024-00052-1/입찰관련서류.zip</x:v>
      </x:c>
      <x:c r="H304" s="43" t="str">
        <x:v>2024-09-23 12:33:16</x:v>
      </x:c>
    </x:row>
    <x:row r="305">
      <x:c r="A305" s="43" t="str">
        <x:v>L2024-00050-1</x:v>
      </x:c>
      <x:c r="B305" s="46" t="str">
        <x:v>입찰계획안(국문)_240912.hwp</x:v>
      </x:c>
      <x:c r="C305" s="43" t="str">
        <x:v>.hwp</x:v>
      </x:c>
      <x:c r="D305" s="61" t="n">
        <x:v>187904</x:v>
      </x:c>
      <x:c r="E305" s="43" t="str">
        <x:v>downloaded</x:v>
      </x:c>
      <x:c r="F305" s="43" t="str">
        <x:v>b19aa88fe4464d99312e9db53573bbd51233894da44a85c364311557746fdd31</x:v>
      </x:c>
      <x:c r="G305" s="46" t="str">
        <x:v>/Users/nomadresearch/Documents/Claude/Projects/koica-construction-tender/data/raw/L2024-00050-1/입찰계획안(국문)_240912.hwp</x:v>
      </x:c>
      <x:c r="H305" s="43" t="str">
        <x:v>2024-09-12 17:20:51</x:v>
      </x:c>
    </x:row>
    <x:row r="306">
      <x:c r="A306" s="43" t="str">
        <x:v>L2024-00050-1</x:v>
      </x:c>
      <x:c r="B306" s="46" t="str">
        <x:v>입찰계획안(영문)_240912.docx</x:v>
      </x:c>
      <x:c r="C306" s="43" t="str">
        <x:v>.docx</x:v>
      </x:c>
      <x:c r="D306" s="61" t="n">
        <x:v>70374</x:v>
      </x:c>
      <x:c r="E306" s="43" t="str">
        <x:v>downloaded</x:v>
      </x:c>
      <x:c r="F306" s="43" t="str">
        <x:v>a97e2204cd7abdc401433f2445b64647f5c6108b87aaf1a9d1efe9231c168ebd</x:v>
      </x:c>
      <x:c r="G306" s="46" t="str">
        <x:v>/Users/nomadresearch/Documents/Claude/Projects/koica-construction-tender/data/raw/L2024-00050-1/입찰계획안(영문)_240912.docx</x:v>
      </x:c>
      <x:c r="H306" s="43" t="str">
        <x:v>2024-09-12 17:20:51</x:v>
      </x:c>
    </x:row>
    <x:row r="307">
      <x:c r="A307" s="43" t="str">
        <x:v>L2024-00050-1</x:v>
      </x:c>
      <x:c r="B307" s="46" t="str">
        <x:v>Part 1(입찰절차).zip</x:v>
      </x:c>
      <x:c r="C307" s="43" t="str">
        <x:v>.zip</x:v>
      </x:c>
      <x:c r="D307" s="61" t="n">
        <x:v>242902</x:v>
      </x:c>
      <x:c r="E307" s="43" t="str">
        <x:v>downloaded</x:v>
      </x:c>
      <x:c r="F307" s="43" t="str">
        <x:v>ab0bb5cfa61d3823937ee433e7da3dc95a1ac561e8de646fca273b38f38edecf</x:v>
      </x:c>
      <x:c r="G307" s="46" t="str">
        <x:v>/Users/nomadresearch/Documents/Claude/Projects/koica-construction-tender/data/raw/L2024-00050-1/Part 1(입찰절차).zip</x:v>
      </x:c>
      <x:c r="H307" s="43" t="str">
        <x:v>2024-09-12 17:20:51</x:v>
      </x:c>
    </x:row>
    <x:row r="308">
      <x:c r="A308" s="43" t="str">
        <x:v>L2024-00050-1</x:v>
      </x:c>
      <x:c r="B308" s="46" t="str">
        <x:v>Part 3(계약서 및 기타 자료).zip</x:v>
      </x:c>
      <x:c r="C308" s="43" t="str">
        <x:v>.zip</x:v>
      </x:c>
      <x:c r="D308" s="61" t="n">
        <x:v>381939</x:v>
      </x:c>
      <x:c r="E308" s="43" t="str">
        <x:v>downloaded</x:v>
      </x:c>
      <x:c r="F308" s="43" t="str">
        <x:v>8abea021b88bbab3ca5540b2a035beb9492124242530b4f5f374566576c29ee7</x:v>
      </x:c>
      <x:c r="G308" s="46" t="str">
        <x:v>/Users/nomadresearch/Documents/Claude/Projects/koica-construction-tender/data/raw/L2024-00050-1/Part 3(계약서 및 기타 자료).zip</x:v>
      </x:c>
      <x:c r="H308" s="43" t="str">
        <x:v>2024-09-12 17:20:51</x:v>
      </x:c>
    </x:row>
    <x:row r="309">
      <x:c r="A309" s="43" t="str">
        <x:v>L2024-00050-1</x:v>
      </x:c>
      <x:c r="B309" s="46" t="str">
        <x:v>우간다 조달청 규정.zip</x:v>
      </x:c>
      <x:c r="C309" s="43" t="str">
        <x:v>.zip</x:v>
      </x:c>
      <x:c r="D309" s="61" t="n">
        <x:v>1317450</x:v>
      </x:c>
      <x:c r="E309" s="43" t="str">
        <x:v>downloaded</x:v>
      </x:c>
      <x:c r="F309" s="43" t="str">
        <x:v>c875dab804788f7174e78c9b9937ea12295c2bb46df7d0b05a7dd7a5e1183bf5</x:v>
      </x:c>
      <x:c r="G309" s="46" t="str">
        <x:v>/Users/nomadresearch/Documents/Claude/Projects/koica-construction-tender/data/raw/L2024-00050-1/우간다 조달청 규정.zip</x:v>
      </x:c>
      <x:c r="H309" s="43" t="str">
        <x:v>2024-09-12 17:20:51</x:v>
      </x:c>
    </x:row>
    <x:row r="310">
      <x:c r="A310" s="43" t="str">
        <x:v>L2024-00049-2</x:v>
      </x:c>
      <x:c r="B310" s="46" t="str">
        <x:v>입찰공고문_Borrador anuncio de licitacion_최종.docx</x:v>
      </x:c>
      <x:c r="C310" s="43" t="str">
        <x:v>.docx</x:v>
      </x:c>
      <x:c r="D310" s="61" t="n">
        <x:v>100429</x:v>
      </x:c>
      <x:c r="E310" s="43" t="str">
        <x:v>downloaded</x:v>
      </x:c>
      <x:c r="F310" s="43" t="str">
        <x:v>44e06fed393862399f1779f8711104ea5173d2d0620b2c79ffbb8b0b82ab57d3</x:v>
      </x:c>
      <x:c r="G310" s="46" t="str">
        <x:v>/Users/nomadresearch/Documents/Claude/Projects/koica-construction-tender/data/raw/L2024-00049-2/입찰공고문_Borrador anuncio de licitacion_최종.docx</x:v>
      </x:c>
      <x:c r="H310" s="43" t="str">
        <x:v>2024-11-20 02:44:54</x:v>
      </x:c>
    </x:row>
    <x:row r="311">
      <x:c r="A311" s="43" t="str">
        <x:v>L2024-00049-2</x:v>
      </x:c>
      <x:c r="B311" s="46" t="str">
        <x:v>3. Bidding Document_ITCA (Construction).zip</x:v>
      </x:c>
      <x:c r="C311" s="43" t="str">
        <x:v>.zip</x:v>
      </x:c>
      <x:c r="D311" s="61" t="n">
        <x:v>1055015</x:v>
      </x:c>
      <x:c r="E311" s="43" t="str">
        <x:v>downloaded</x:v>
      </x:c>
      <x:c r="F311" s="43" t="str">
        <x:v>110dfba9d13b10d922be11fe381e089887cfab23cec8107edfc2f46f93160fe7</x:v>
      </x:c>
      <x:c r="G311" s="46" t="str">
        <x:v>/Users/nomadresearch/Documents/Claude/Projects/koica-construction-tender/data/raw/L2024-00049-2/3. Bidding Document_ITCA (Construction).zip</x:v>
      </x:c>
      <x:c r="H311" s="43" t="str">
        <x:v>2024-11-20 02:44:54</x:v>
      </x:c>
    </x:row>
    <x:row r="312">
      <x:c r="A312" s="43" t="str">
        <x:v>L2024-00049-1</x:v>
      </x:c>
      <x:c r="B312" s="46" t="str">
        <x:v>입찰공고문_서문_20240909.docx</x:v>
      </x:c>
      <x:c r="C312" s="43" t="str">
        <x:v>.docx</x:v>
      </x:c>
      <x:c r="D312" s="61" t="n">
        <x:v>100083</x:v>
      </x:c>
      <x:c r="E312" s="43" t="str">
        <x:v>downloaded</x:v>
      </x:c>
      <x:c r="F312" s="43" t="str">
        <x:v>969bf1aa55fcc321346289bb2769daa3e92d39edb265617b6bc95dd995488d2a</x:v>
      </x:c>
      <x:c r="G312" s="46" t="str">
        <x:v>/Users/nomadresearch/Documents/Claude/Projects/koica-construction-tender/data/raw/L2024-00049-1/입찰공고문_서문_20240909.docx</x:v>
      </x:c>
      <x:c r="H312" s="43" t="str">
        <x:v>2024-09-10 00:32:14</x:v>
      </x:c>
    </x:row>
    <x:row r="313">
      <x:c r="A313" s="43" t="str">
        <x:v>L2024-00049-1</x:v>
      </x:c>
      <x:c r="B313" s="46" t="str">
        <x:v>Bidding Document_ITCA(Construction)_Final.zip</x:v>
      </x:c>
      <x:c r="C313" s="43" t="str">
        <x:v>.zip</x:v>
      </x:c>
      <x:c r="D313" s="61" t="n">
        <x:v>910241</x:v>
      </x:c>
      <x:c r="E313" s="43" t="str">
        <x:v>downloaded</x:v>
      </x:c>
      <x:c r="F313" s="43" t="str">
        <x:v>5052a0bc0fd5df7d4cf57715b0a50db95e3a0c479ca3b1cb182e61752e8efaf4</x:v>
      </x:c>
      <x:c r="G313" s="46" t="str">
        <x:v>/Users/nomadresearch/Documents/Claude/Projects/koica-construction-tender/data/raw/L2024-00049-1/Bidding Document_ITCA(Construction)_Final.zip</x:v>
      </x:c>
      <x:c r="H313" s="43" t="str">
        <x:v>2024-09-10 00:32:14</x:v>
      </x:c>
    </x:row>
    <x:row r="314">
      <x:c r="A314" s="43" t="str">
        <x:v>L2024-00048-1</x:v>
      </x:c>
      <x:c r="B314" s="46" t="str">
        <x:v>Section 3 - Bidding Forms_코트디_ver.1.docx</x:v>
      </x:c>
      <x:c r="C314" s="43" t="str">
        <x:v>.docx</x:v>
      </x:c>
      <x:c r="D314" s="61" t="n">
        <x:v>57087</x:v>
      </x:c>
      <x:c r="E314" s="43" t="str">
        <x:v>downloaded</x:v>
      </x:c>
      <x:c r="F314" s="43" t="str">
        <x:v>e653ddaf7ba5deb225ac5baf9a1b4d7c2f5bcabcc190dbdce89ac6af775e1d0c</x:v>
      </x:c>
      <x:c r="G314" s="46" t="str">
        <x:v>/Users/nomadresearch/Documents/Claude/Projects/koica-construction-tender/data/raw/L2024-00048-1/Section 3 - Bidding Forms_코트디_ver.1.docx</x:v>
      </x:c>
      <x:c r="H314" s="43" t="str">
        <x:v>2024-08-31 01:51:49</x:v>
      </x:c>
    </x:row>
    <x:row r="315">
      <x:c r="A315" s="43" t="str">
        <x:v>L2024-00048-1</x:v>
      </x:c>
      <x:c r="B315" s="46" t="str">
        <x:v>Section 4 - Request for Proposal_코트디_ver.1.2_수정.docx</x:v>
      </x:c>
      <x:c r="C315" s="43" t="str">
        <x:v>.docx</x:v>
      </x:c>
      <x:c r="D315" s="61" t="n">
        <x:v>4145891</x:v>
      </x:c>
      <x:c r="E315" s="43" t="str">
        <x:v>downloaded</x:v>
      </x:c>
      <x:c r="F315" s="43" t="str">
        <x:v>9ef7ae6a792bdebd2cde514ccc8dc9b79b146237c3632b9b3773cc3cdc6ea532</x:v>
      </x:c>
      <x:c r="G315" s="46" t="str">
        <x:v>/Users/nomadresearch/Documents/Claude/Projects/koica-construction-tender/data/raw/L2024-00048-1/Section 4 - Request for Proposal_코트디_ver.1.2_수정.docx</x:v>
      </x:c>
      <x:c r="H315" s="43" t="str">
        <x:v>2024-08-31 01:51:49</x:v>
      </x:c>
    </x:row>
    <x:row r="316">
      <x:c r="A316" s="43" t="str">
        <x:v>L2024-00048-1</x:v>
      </x:c>
      <x:c r="B316" s="46" t="str">
        <x:v>Section 5 - Reference Documents.zip</x:v>
      </x:c>
      <x:c r="C316" s="43" t="str">
        <x:v>.zip</x:v>
      </x:c>
      <x:c r="D316" s="61" t="n">
        <x:v>71356</x:v>
      </x:c>
      <x:c r="E316" s="43" t="str">
        <x:v>downloaded</x:v>
      </x:c>
      <x:c r="F316" s="43" t="str">
        <x:v>649c3573e8d58100e0555cb3c522d6f8cf4c83cd76d41c1d46fc31ae399796b0</x:v>
      </x:c>
      <x:c r="G316" s="46" t="str">
        <x:v>/Users/nomadresearch/Documents/Claude/Projects/koica-construction-tender/data/raw/L2024-00048-1/Section 5 - Reference Documents.zip</x:v>
      </x:c>
      <x:c r="H316" s="43" t="str">
        <x:v>2024-08-31 01:51:49</x:v>
      </x:c>
    </x:row>
    <x:row r="317">
      <x:c r="A317" s="43" t="str">
        <x:v>L2024-00048-1</x:v>
      </x:c>
      <x:c r="B317" s="46" t="str">
        <x:v>Section 6 - General Conditions of Contract.docx</x:v>
      </x:c>
      <x:c r="C317" s="43" t="str">
        <x:v>.docx</x:v>
      </x:c>
      <x:c r="D317" s="61" t="n">
        <x:v>35387</x:v>
      </x:c>
      <x:c r="E317" s="43" t="str">
        <x:v>downloaded</x:v>
      </x:c>
      <x:c r="F317" s="43" t="str">
        <x:v>3f6ac1448828260ea110ed4386b4d06f2106e3856473460672a3c6f0005813d5</x:v>
      </x:c>
      <x:c r="G317" s="46" t="str">
        <x:v>/Users/nomadresearch/Documents/Claude/Projects/koica-construction-tender/data/raw/L2024-00048-1/Section 6 - General Conditions of Contract.docx</x:v>
      </x:c>
      <x:c r="H317" s="43" t="str">
        <x:v>2024-08-31 01:51:49</x:v>
      </x:c>
    </x:row>
    <x:row r="318">
      <x:c r="A318" s="43" t="str">
        <x:v>L2024-00048-1</x:v>
      </x:c>
      <x:c r="B318" s="46" t="str">
        <x:v>Section 7 - Special Conditions of Contract.docx</x:v>
      </x:c>
      <x:c r="C318" s="43" t="str">
        <x:v>.docx</x:v>
      </x:c>
      <x:c r="D318" s="61" t="n">
        <x:v>25034</x:v>
      </x:c>
      <x:c r="E318" s="43" t="str">
        <x:v>downloaded</x:v>
      </x:c>
      <x:c r="F318" s="43" t="str">
        <x:v>32fd886fb32403a81618fab17485cedd0df09561734399e4e20ffb730b6bdb6a</x:v>
      </x:c>
      <x:c r="G318" s="46" t="str">
        <x:v>/Users/nomadresearch/Documents/Claude/Projects/koica-construction-tender/data/raw/L2024-00048-1/Section 7 - Special Conditions of Contract.docx</x:v>
      </x:c>
      <x:c r="H318" s="43" t="str">
        <x:v>2024-08-31 01:51:49</x:v>
      </x:c>
    </x:row>
    <x:row r="319">
      <x:c r="A319" s="43" t="str">
        <x:v>L2024-00048-1</x:v>
      </x:c>
      <x:c r="B319" s="46" t="str">
        <x:v>Section 8 - Contract Forms.docx</x:v>
      </x:c>
      <x:c r="C319" s="43" t="str">
        <x:v>.docx</x:v>
      </x:c>
      <x:c r="D319" s="61" t="n">
        <x:v>22736</x:v>
      </x:c>
      <x:c r="E319" s="43" t="str">
        <x:v>downloaded</x:v>
      </x:c>
      <x:c r="F319" s="43" t="str">
        <x:v>367d75edf9970fc709cfe36895805583b1b0a353b708dab5e1b3b8619f54fea7</x:v>
      </x:c>
      <x:c r="G319" s="46" t="str">
        <x:v>/Users/nomadresearch/Documents/Claude/Projects/koica-construction-tender/data/raw/L2024-00048-1/Section 8 - Contract Forms.docx</x:v>
      </x:c>
      <x:c r="H319" s="43" t="str">
        <x:v>2024-08-31 01:51:49</x:v>
      </x:c>
    </x:row>
    <x:row r="320">
      <x:c r="A320" s="43" t="str">
        <x:v>L2024-00048-1</x:v>
      </x:c>
      <x:c r="B320" s="46" t="str">
        <x:v>Section 9 - Pledges.zip</x:v>
      </x:c>
      <x:c r="C320" s="43" t="str">
        <x:v>.zip</x:v>
      </x:c>
      <x:c r="D320" s="61" t="n">
        <x:v>85586</x:v>
      </x:c>
      <x:c r="E320" s="43" t="str">
        <x:v>downloaded</x:v>
      </x:c>
      <x:c r="F320" s="43" t="str">
        <x:v>ace77f0c472bac41b05b3348d76f2fece600d55060d9bc370047c00e36f9a7da</x:v>
      </x:c>
      <x:c r="G320" s="46" t="str">
        <x:v>/Users/nomadresearch/Documents/Claude/Projects/koica-construction-tender/data/raw/L2024-00048-1/Section 9 - Pledges.zip</x:v>
      </x:c>
      <x:c r="H320" s="43" t="str">
        <x:v>2024-08-31 01:51:49</x:v>
      </x:c>
    </x:row>
    <x:row r="321">
      <x:c r="A321" s="43" t="str">
        <x:v>L2024-00048-1</x:v>
      </x:c>
      <x:c r="B321" s="46" t="str">
        <x:v>Section 1 - Instructions to Bidders (ITB).zip</x:v>
      </x:c>
      <x:c r="C321" s="43" t="str">
        <x:v>.zip</x:v>
      </x:c>
      <x:c r="D321" s="61" t="n">
        <x:v>216187</x:v>
      </x:c>
      <x:c r="E321" s="43" t="str">
        <x:v>downloaded</x:v>
      </x:c>
      <x:c r="F321" s="43" t="str">
        <x:v>83a30a1bbd3428eb43da9ed6bec2f82a599b96c216b6ae1e7a616f346880363c</x:v>
      </x:c>
      <x:c r="G321" s="46" t="str">
        <x:v>/Users/nomadresearch/Documents/Claude/Projects/koica-construction-tender/data/raw/L2024-00048-1/Section 1 - Instructions to Bidders (ITB).zip</x:v>
      </x:c>
      <x:c r="H321" s="43" t="str">
        <x:v>2024-08-31 01:51:49</x:v>
      </x:c>
    </x:row>
    <x:row r="322">
      <x:c r="A322" s="43" t="str">
        <x:v>L2024-00048-1</x:v>
      </x:c>
      <x:c r="B322" s="46" t="str">
        <x:v>Summary of Bidding(FHBU Design).docx</x:v>
      </x:c>
      <x:c r="C322" s="43" t="str">
        <x:v>.docx</x:v>
      </x:c>
      <x:c r="D322" s="61" t="n">
        <x:v>35957</x:v>
      </x:c>
      <x:c r="E322" s="43" t="str">
        <x:v>downloaded</x:v>
      </x:c>
      <x:c r="F322" s="43" t="str">
        <x:v>d1bc5560546326c797ce6395d286035099a55b8858354b69489a023816a118f4</x:v>
      </x:c>
      <x:c r="G322" s="46" t="str">
        <x:v>/Users/nomadresearch/Documents/Claude/Projects/koica-construction-tender/data/raw/L2024-00048-1/Summary of Bidding(FHBU Design).docx</x:v>
      </x:c>
      <x:c r="H322" s="43" t="str">
        <x:v>2024-08-31 01:51:49</x:v>
      </x:c>
    </x:row>
    <x:row r="323">
      <x:c r="A323" s="43" t="str">
        <x:v>L2024-00048-1</x:v>
      </x:c>
      <x:c r="B323" s="46" t="str">
        <x:v>입찰 초청장.docx</x:v>
      </x:c>
      <x:c r="C323" s="43" t="str">
        <x:v>.docx</x:v>
      </x:c>
      <x:c r="D323" s="61" t="n">
        <x:v>22352</x:v>
      </x:c>
      <x:c r="E323" s="43" t="str">
        <x:v>downloaded</x:v>
      </x:c>
      <x:c r="F323" s="43" t="str">
        <x:v>00823c89b7cce3205a0990a65ea10eee9f595a101ce797a44ca0b5343199425e</x:v>
      </x:c>
      <x:c r="G323" s="46" t="str">
        <x:v>/Users/nomadresearch/Documents/Claude/Projects/koica-construction-tender/data/raw/L2024-00048-1/입찰 초청장.docx</x:v>
      </x:c>
      <x:c r="H323" s="43" t="str">
        <x:v>2024-08-31 01:51:49</x:v>
      </x:c>
    </x:row>
    <x:row r="324">
      <x:c r="A324" s="43" t="str">
        <x:v>L2024-00048-1</x:v>
      </x:c>
      <x:c r="B324" s="46" t="str">
        <x:v>(붙임 1) (국문) 입찰공고문_코트디부아르 FHBU 설계 및 감리 용역.hwp</x:v>
      </x:c>
      <x:c r="C324" s="43" t="str">
        <x:v>.hwp</x:v>
      </x:c>
      <x:c r="D324" s="61" t="n">
        <x:v>70656</x:v>
      </x:c>
      <x:c r="E324" s="43" t="str">
        <x:v>downloaded</x:v>
      </x:c>
      <x:c r="F324" s="43" t="str">
        <x:v>8d82745021ac5098c92c34cc441fd7a3d9db286a5c36411e1f8466adb1b846a4</x:v>
      </x:c>
      <x:c r="G324" s="46" t="str">
        <x:v>/Users/nomadresearch/Documents/Claude/Projects/koica-construction-tender/data/raw/L2024-00048-1/(붙임 1) (국문) 입찰공고문_코트디부아르 FHBU 설계 및 감리 용역.hwp</x:v>
      </x:c>
      <x:c r="H324" s="43" t="str">
        <x:v>2024-08-31 01:57:30</x:v>
      </x:c>
    </x:row>
    <x:row r="325">
      <x:c r="A325" s="43" t="str">
        <x:v>L2024-00048-1</x:v>
      </x:c>
      <x:c r="B325" s="46" t="str">
        <x:v>Section 2 - (영문) Bid Data Sheet (BDS)_코트디_ver.1.3.docx</x:v>
      </x:c>
      <x:c r="C325" s="43" t="str">
        <x:v>.docx</x:v>
      </x:c>
      <x:c r="D325" s="61" t="n">
        <x:v>69703</x:v>
      </x:c>
      <x:c r="E325" s="43" t="str">
        <x:v>downloaded</x:v>
      </x:c>
      <x:c r="F325" s="43" t="str">
        <x:v>848d286e496e1b928d01fde2cd4edd4ebec4ca4a8d28b0c85a3182ce3d650964</x:v>
      </x:c>
      <x:c r="G325" s="46" t="str">
        <x:v>/Users/nomadresearch/Documents/Claude/Projects/koica-construction-tender/data/raw/L2024-00048-1/Section 2 - (영문) Bid Data Sheet (BDS)_코트디_ver.1.3.docx</x:v>
      </x:c>
      <x:c r="H325" s="43" t="str">
        <x:v>2024-08-31 01:57:30</x:v>
      </x:c>
    </x:row>
    <x:row r="326">
      <x:c r="A326" s="43" t="str">
        <x:v>L2024-00042-1</x:v>
      </x:c>
      <x:c r="B326" s="46" t="str">
        <x:v>Section 1_Instructions to Bidders (ITB).pdf</x:v>
      </x:c>
      <x:c r="C326" s="43" t="str">
        <x:v>.pdf</x:v>
      </x:c>
      <x:c r="D326" s="61" t="n">
        <x:v>164026</x:v>
      </x:c>
      <x:c r="E326" s="43" t="str">
        <x:v>downloaded</x:v>
      </x:c>
      <x:c r="F326" s="43" t="str">
        <x:v>32f10bfcc629340097efe160cba53bb4fc2994da2a1b9bf05e2df85e749c0f2b</x:v>
      </x:c>
      <x:c r="G326" s="46" t="str">
        <x:v>/Users/nomadresearch/Documents/Claude/Projects/koica-construction-tender/data/raw/L2024-00042-1/Section 1_Instructions to Bidders (ITB).pdf</x:v>
      </x:c>
      <x:c r="H326" s="43" t="str">
        <x:v>2024-08-08 14:05:57</x:v>
      </x:c>
    </x:row>
    <x:row r="327">
      <x:c r="A327" s="43" t="str">
        <x:v>L2024-00042-1</x:v>
      </x:c>
      <x:c r="B327" s="46" t="str">
        <x:v>Section 2_Bid Data Sheet.pdf</x:v>
      </x:c>
      <x:c r="C327" s="43" t="str">
        <x:v>.pdf</x:v>
      </x:c>
      <x:c r="D327" s="61" t="n">
        <x:v>843652</x:v>
      </x:c>
      <x:c r="E327" s="43" t="str">
        <x:v>downloaded</x:v>
      </x:c>
      <x:c r="F327" s="43" t="str">
        <x:v>3eafe9e48316eea650c6755817743652ee57ccd5d902eaa224d770a4f27c5f67</x:v>
      </x:c>
      <x:c r="G327" s="46" t="str">
        <x:v>/Users/nomadresearch/Documents/Claude/Projects/koica-construction-tender/data/raw/L2024-00042-1/Section 2_Bid Data Sheet.pdf</x:v>
      </x:c>
      <x:c r="H327" s="43" t="str">
        <x:v>2024-08-08 14:05:57</x:v>
      </x:c>
    </x:row>
    <x:row r="328">
      <x:c r="A328" s="43" t="str">
        <x:v>L2024-00042-1</x:v>
      </x:c>
      <x:c r="B328" s="46" t="str">
        <x:v>Section 3_Bid Forms.docx</x:v>
      </x:c>
      <x:c r="C328" s="43" t="str">
        <x:v>.docx</x:v>
      </x:c>
      <x:c r="D328" s="61" t="n">
        <x:v>101201</x:v>
      </x:c>
      <x:c r="E328" s="43" t="str">
        <x:v>downloaded</x:v>
      </x:c>
      <x:c r="F328" s="43" t="str">
        <x:v>c2f44c9d2a733f93f415f7b11aa18ca93327ef16d74a0db2da312554f6aeacb9</x:v>
      </x:c>
      <x:c r="G328" s="46" t="str">
        <x:v>/Users/nomadresearch/Documents/Claude/Projects/koica-construction-tender/data/raw/L2024-00042-1/Section 3_Bid Forms.docx</x:v>
      </x:c>
      <x:c r="H328" s="43" t="str">
        <x:v>2024-08-08 14:05:57</x:v>
      </x:c>
    </x:row>
    <x:row r="329">
      <x:c r="A329" s="43" t="str">
        <x:v>L2024-00042-1</x:v>
      </x:c>
      <x:c r="B329" s="46" t="str">
        <x:v>Section 7_General Conditions of Contract.pdf</x:v>
      </x:c>
      <x:c r="C329" s="43" t="str">
        <x:v>.pdf</x:v>
      </x:c>
      <x:c r="D329" s="61" t="n">
        <x:v>1106035</x:v>
      </x:c>
      <x:c r="E329" s="43" t="str">
        <x:v>downloaded</x:v>
      </x:c>
      <x:c r="F329" s="43" t="str">
        <x:v>cb4a6640edd653d86db9fc095c77765c028d754fa0f6735f89b9efa66ff02f20</x:v>
      </x:c>
      <x:c r="G329" s="46" t="str">
        <x:v>/Users/nomadresearch/Documents/Claude/Projects/koica-construction-tender/data/raw/L2024-00042-1/Section 7_General Conditions of Contract.pdf</x:v>
      </x:c>
      <x:c r="H329" s="43" t="str">
        <x:v>2024-08-08 14:05:57</x:v>
      </x:c>
    </x:row>
    <x:row r="330">
      <x:c r="A330" s="43" t="str">
        <x:v>L2024-00042-1</x:v>
      </x:c>
      <x:c r="B330" s="46" t="str">
        <x:v>Section 8_Special Conditions of Contract.pdf</x:v>
      </x:c>
      <x:c r="C330" s="43" t="str">
        <x:v>.pdf</x:v>
      </x:c>
      <x:c r="D330" s="61" t="n">
        <x:v>462430</x:v>
      </x:c>
      <x:c r="E330" s="43" t="str">
        <x:v>downloaded</x:v>
      </x:c>
      <x:c r="F330" s="43" t="str">
        <x:v>dd5035d9e010eacb566a91b36109947e7ba5a88e8132e44ae994ce9064d491d2</x:v>
      </x:c>
      <x:c r="G330" s="46" t="str">
        <x:v>/Users/nomadresearch/Documents/Claude/Projects/koica-construction-tender/data/raw/L2024-00042-1/Section 8_Special Conditions of Contract.pdf</x:v>
      </x:c>
      <x:c r="H330" s="43" t="str">
        <x:v>2024-08-08 14:05:57</x:v>
      </x:c>
    </x:row>
    <x:row r="331">
      <x:c r="A331" s="43" t="str">
        <x:v>L2024-00041-1</x:v>
      </x:c>
      <x:c r="B331" s="46" t="str">
        <x:v>Section 9 - Contract Forms_v1_0603.docx</x:v>
      </x:c>
      <x:c r="C331" s="43" t="str">
        <x:v>.docx</x:v>
      </x:c>
      <x:c r="D331" s="61" t="n">
        <x:v>22992</x:v>
      </x:c>
      <x:c r="E331" s="43" t="str">
        <x:v>downloaded</x:v>
      </x:c>
      <x:c r="F331" s="43" t="str">
        <x:v>aae21e0364d411b003ec863f9587fb5bd419cae961c5c76762dcf0190ad3ff86</x:v>
      </x:c>
      <x:c r="G331" s="46" t="str">
        <x:v>/Users/nomadresearch/Documents/Claude/Projects/koica-construction-tender/data/raw/L2024-00041-1/Section 9 - Contract Forms_v1_0603.docx</x:v>
      </x:c>
      <x:c r="H331" s="43" t="str">
        <x:v>2024-08-07 00:58:51</x:v>
      </x:c>
    </x:row>
    <x:row r="332">
      <x:c r="A332" s="43" t="str">
        <x:v>L2024-00041-1</x:v>
      </x:c>
      <x:c r="B332" s="46" t="str">
        <x:v>Section 9 - Pledges_v1_0603.zip</x:v>
      </x:c>
      <x:c r="C332" s="43" t="str">
        <x:v>.zip</x:v>
      </x:c>
      <x:c r="D332" s="61" t="n">
        <x:v>85586</x:v>
      </x:c>
      <x:c r="E332" s="43" t="str">
        <x:v>downloaded</x:v>
      </x:c>
      <x:c r="F332" s="43" t="str">
        <x:v>ace77f0c472bac41b05b3348d76f2fece600d55060d9bc370047c00e36f9a7da</x:v>
      </x:c>
      <x:c r="G332" s="46" t="str">
        <x:v>/Users/nomadresearch/Documents/Claude/Projects/koica-construction-tender/data/raw/L2024-00041-1/Section 9 - Pledges_v1_0603.zip</x:v>
      </x:c>
      <x:c r="H332" s="43" t="str">
        <x:v>2024-08-07 00:58:51</x:v>
      </x:c>
    </x:row>
    <x:row r="333">
      <x:c r="A333" s="43" t="str">
        <x:v>L2024-00041-1</x:v>
      </x:c>
      <x:c r="B333" s="46" t="str">
        <x:v>Summary of Bidding (요약본)_v1_0517.docx</x:v>
      </x:c>
      <x:c r="C333" s="43" t="str">
        <x:v>.docx</x:v>
      </x:c>
      <x:c r="D333" s="61" t="n">
        <x:v>36225</x:v>
      </x:c>
      <x:c r="E333" s="43" t="str">
        <x:v>downloaded</x:v>
      </x:c>
      <x:c r="F333" s="43" t="str">
        <x:v>234babd497e6c4995d99de620d4a4e5f5ff6d0cb966bc6f6d3669af4e89de0df</x:v>
      </x:c>
      <x:c r="G333" s="46" t="str">
        <x:v>/Users/nomadresearch/Documents/Claude/Projects/koica-construction-tender/data/raw/L2024-00041-1/Summary of Bidding (요약본)_v1_0517.docx</x:v>
      </x:c>
      <x:c r="H333" s="43" t="str">
        <x:v>2024-08-07 00:58:51</x:v>
      </x:c>
    </x:row>
    <x:row r="334">
      <x:c r="A334" s="43" t="str">
        <x:v>L2024-00041-1</x:v>
      </x:c>
      <x:c r="B334" s="46" t="str">
        <x:v>Summary of Bidding (요약본)_v2_0603.docx</x:v>
      </x:c>
      <x:c r="C334" s="43" t="str">
        <x:v>.docx</x:v>
      </x:c>
      <x:c r="D334" s="61" t="n">
        <x:v>33757</x:v>
      </x:c>
      <x:c r="E334" s="43" t="str">
        <x:v>downloaded</x:v>
      </x:c>
      <x:c r="F334" s="43" t="str">
        <x:v>0b1506aefe4ebdcd5835e3dd672c395e90b6116f3f766777442af7e51f32cc75</x:v>
      </x:c>
      <x:c r="G334" s="46" t="str">
        <x:v>/Users/nomadresearch/Documents/Claude/Projects/koica-construction-tender/data/raw/L2024-00041-1/Summary of Bidding (요약본)_v2_0603.docx</x:v>
      </x:c>
      <x:c r="H334" s="43" t="str">
        <x:v>2024-08-07 00:58:51</x:v>
      </x:c>
    </x:row>
    <x:row r="335">
      <x:c r="A335" s="43" t="str">
        <x:v>L2024-00041-1</x:v>
      </x:c>
      <x:c r="B335" s="46" t="str">
        <x:v>Section 1 - Instructions to Bidders (ITB)_v1_0603.zip</x:v>
      </x:c>
      <x:c r="C335" s="43" t="str">
        <x:v>.zip</x:v>
      </x:c>
      <x:c r="D335" s="61" t="n">
        <x:v>216319</x:v>
      </x:c>
      <x:c r="E335" s="43" t="str">
        <x:v>downloaded</x:v>
      </x:c>
      <x:c r="F335" s="43" t="str">
        <x:v>11233da5e359ce592212699f6c499fb76b51eb57314e320bc488eddaa0c5dfe9</x:v>
      </x:c>
      <x:c r="G335" s="46" t="str">
        <x:v>/Users/nomadresearch/Documents/Claude/Projects/koica-construction-tender/data/raw/L2024-00041-1/Section 1 - Instructions to Bidders (ITB)_v1_0603.zip</x:v>
      </x:c>
      <x:c r="H335" s="43" t="str">
        <x:v>2024-08-07 00:58:51</x:v>
      </x:c>
    </x:row>
    <x:row r="336">
      <x:c r="A336" s="43" t="str">
        <x:v>L2024-00041-1</x:v>
      </x:c>
      <x:c r="B336" s="46" t="str">
        <x:v>Section 2 - Bid Data Sheet (BDS)_v5_0604.docx</x:v>
      </x:c>
      <x:c r="C336" s="43" t="str">
        <x:v>.docx</x:v>
      </x:c>
      <x:c r="D336" s="61" t="n">
        <x:v>92592</x:v>
      </x:c>
      <x:c r="E336" s="43" t="str">
        <x:v>downloaded</x:v>
      </x:c>
      <x:c r="F336" s="43" t="str">
        <x:v>6e8fe9124df7ae11760efa0959d72fd2f692aba86d73c9a5580e2d3cd4d33c4b</x:v>
      </x:c>
      <x:c r="G336" s="46" t="str">
        <x:v>/Users/nomadresearch/Documents/Claude/Projects/koica-construction-tender/data/raw/L2024-00041-1/Section 2 - Bid Data Sheet (BDS)_v5_0604.docx</x:v>
      </x:c>
      <x:c r="H336" s="43" t="str">
        <x:v>2024-08-07 00:58:51</x:v>
      </x:c>
    </x:row>
    <x:row r="337">
      <x:c r="A337" s="43" t="str">
        <x:v>L2024-00041-1</x:v>
      </x:c>
      <x:c r="B337" s="46" t="str">
        <x:v>Section 3 - Bidding Forms_v2_0603.docx</x:v>
      </x:c>
      <x:c r="C337" s="43" t="str">
        <x:v>.docx</x:v>
      </x:c>
      <x:c r="D337" s="61" t="n">
        <x:v>60170</x:v>
      </x:c>
      <x:c r="E337" s="43" t="str">
        <x:v>downloaded</x:v>
      </x:c>
      <x:c r="F337" s="43" t="str">
        <x:v>af78166fc8656f60cd1420e578f70d322290bda457113e999ae837aeba7cfff6</x:v>
      </x:c>
      <x:c r="G337" s="46" t="str">
        <x:v>/Users/nomadresearch/Documents/Claude/Projects/koica-construction-tender/data/raw/L2024-00041-1/Section 3 - Bidding Forms_v2_0603.docx</x:v>
      </x:c>
      <x:c r="H337" s="43" t="str">
        <x:v>2024-08-07 00:58:51</x:v>
      </x:c>
    </x:row>
    <x:row r="338">
      <x:c r="A338" s="43" t="str">
        <x:v>L2024-00041-1</x:v>
      </x:c>
      <x:c r="B338" s="46" t="str">
        <x:v>Section 4 - Request for Proposal (RFP)_v2_0603.doc</x:v>
      </x:c>
      <x:c r="C338" s="43" t="str">
        <x:v>.doc</x:v>
      </x:c>
      <x:c r="D338" s="61" t="n">
        <x:v>248832</x:v>
      </x:c>
      <x:c r="E338" s="43" t="str">
        <x:v>downloaded</x:v>
      </x:c>
      <x:c r="F338" s="43" t="str">
        <x:v>d307e5e9d82090e65480d1557119b9c1d0520c9ffb435d26e1c7b57b161d925c</x:v>
      </x:c>
      <x:c r="G338" s="46" t="str">
        <x:v>/Users/nomadresearch/Documents/Claude/Projects/koica-construction-tender/data/raw/L2024-00041-1/Section 4 - Request for Proposal (RFP)_v2_0603.doc</x:v>
      </x:c>
      <x:c r="H338" s="43" t="str">
        <x:v>2024-08-07 00:58:51</x:v>
      </x:c>
    </x:row>
    <x:row r="339">
      <x:c r="A339" s="43" t="str">
        <x:v>L2024-00041-1</x:v>
      </x:c>
      <x:c r="B339" s="46" t="str">
        <x:v>Section 5 - Scope of the Services (ToR)_v2_0603.docx</x:v>
      </x:c>
      <x:c r="C339" s="43" t="str">
        <x:v>.docx</x:v>
      </x:c>
      <x:c r="D339" s="61" t="n">
        <x:v>32824</x:v>
      </x:c>
      <x:c r="E339" s="43" t="str">
        <x:v>downloaded</x:v>
      </x:c>
      <x:c r="F339" s="43" t="str">
        <x:v>0c81b7dc4c7ead16d87c037417dd3324b7caab65662ff8443755082fffcbbe4f</x:v>
      </x:c>
      <x:c r="G339" s="46" t="str">
        <x:v>/Users/nomadresearch/Documents/Claude/Projects/koica-construction-tender/data/raw/L2024-00041-1/Section 5 - Scope of the Services (ToR)_v2_0603.docx</x:v>
      </x:c>
      <x:c r="H339" s="43" t="str">
        <x:v>2024-08-07 00:58:51</x:v>
      </x:c>
    </x:row>
    <x:row r="340">
      <x:c r="A340" s="43" t="str">
        <x:v>L2024-00041-1</x:v>
      </x:c>
      <x:c r="B340" s="46" t="str">
        <x:v>Section 6 - Reference Material (Construction scope &amp; space program)_v1_0603.pdf</x:v>
      </x:c>
      <x:c r="C340" s="43" t="str">
        <x:v>.pdf</x:v>
      </x:c>
      <x:c r="D340" s="61" t="n">
        <x:v>348018</x:v>
      </x:c>
      <x:c r="E340" s="43" t="str">
        <x:v>downloaded</x:v>
      </x:c>
      <x:c r="F340" s="43" t="str">
        <x:v>e2c557b0de75b49b96977bf8fa8c1ec2ca672603d4d8d7cf265f4d5cba40d8e5</x:v>
      </x:c>
      <x:c r="G340" s="46" t="str">
        <x:v>/Users/nomadresearch/Documents/Claude/Projects/koica-construction-tender/data/raw/L2024-00041-1/Section 6 - Reference Material (Construction scope &amp; space program)_v1_0603.pdf</x:v>
      </x:c>
      <x:c r="H340" s="43" t="str">
        <x:v>2024-08-07 00:58:51</x:v>
      </x:c>
    </x:row>
    <x:row r="341">
      <x:c r="A341" s="43" t="str">
        <x:v>L2024-00041-1</x:v>
      </x:c>
      <x:c r="B341" s="46" t="str">
        <x:v>Section 7 - General Conditions of Contract_v1_0603.docx</x:v>
      </x:c>
      <x:c r="C341" s="43" t="str">
        <x:v>.docx</x:v>
      </x:c>
      <x:c r="D341" s="61" t="n">
        <x:v>34911</x:v>
      </x:c>
      <x:c r="E341" s="43" t="str">
        <x:v>downloaded</x:v>
      </x:c>
      <x:c r="F341" s="43" t="str">
        <x:v>83d7fcabe51ad328fb7329da081d4f921110e5e42367cc1598173d635bbc979e</x:v>
      </x:c>
      <x:c r="G341" s="46" t="str">
        <x:v>/Users/nomadresearch/Documents/Claude/Projects/koica-construction-tender/data/raw/L2024-00041-1/Section 7 - General Conditions of Contract_v1_0603.docx</x:v>
      </x:c>
      <x:c r="H341" s="43" t="str">
        <x:v>2024-08-07 00:58:51</x:v>
      </x:c>
    </x:row>
    <x:row r="342">
      <x:c r="A342" s="43" t="str">
        <x:v>L2024-00041-1</x:v>
      </x:c>
      <x:c r="B342" s="46" t="str">
        <x:v>Section 8 - Special Conditions of Contract_v1_0603.docx</x:v>
      </x:c>
      <x:c r="C342" s="43" t="str">
        <x:v>.docx</x:v>
      </x:c>
      <x:c r="D342" s="61" t="n">
        <x:v>32626</x:v>
      </x:c>
      <x:c r="E342" s="43" t="str">
        <x:v>downloaded</x:v>
      </x:c>
      <x:c r="F342" s="43" t="str">
        <x:v>b7d045c57a1f120411285df30922afe96fa81d399988de5dbbf6ee1429c31a2d</x:v>
      </x:c>
      <x:c r="G342" s="46" t="str">
        <x:v>/Users/nomadresearch/Documents/Claude/Projects/koica-construction-tender/data/raw/L2024-00041-1/Section 8 - Special Conditions of Contract_v1_0603.docx</x:v>
      </x:c>
      <x:c r="H342" s="43" t="str">
        <x:v>2024-08-07 00:58:51</x:v>
      </x:c>
    </x:row>
    <x:row r="343">
      <x:c r="A343" s="43" t="str">
        <x:v>L2024-00041-1</x:v>
      </x:c>
      <x:c r="B343" s="46" t="str">
        <x:v>붙임_키르기스_가축품종개량_설계업체선정_현지입찰추진계획안_BDS_v11_0805.hwp</x:v>
      </x:c>
      <x:c r="C343" s="43" t="str">
        <x:v>.hwp</x:v>
      </x:c>
      <x:c r="D343" s="61" t="n">
        <x:v>87552</x:v>
      </x:c>
      <x:c r="E343" s="43" t="str">
        <x:v>downloaded</x:v>
      </x:c>
      <x:c r="F343" s="43" t="str">
        <x:v>2650c9a13362ac776c2f48c6f84dd211806b445586266696f4676677f5ac9ddb</x:v>
      </x:c>
      <x:c r="G343" s="46" t="str">
        <x:v>/Users/nomadresearch/Documents/Claude/Projects/koica-construction-tender/data/raw/L2024-00041-1/붙임_키르기스_가축품종개량_설계업체선정_현지입찰추진계획안_BDS_v11_0805.hwp</x:v>
      </x:c>
      <x:c r="H343" s="43" t="str">
        <x:v>2024-08-07 00:58:51</x:v>
      </x:c>
    </x:row>
    <x:row r="344">
      <x:c r="A344" s="43" t="str">
        <x:v>L2024-00039-1</x:v>
      </x:c>
      <x:c r="B344" s="46" t="str">
        <x:v>(이라크사무소) 한-이라크 직업훈련원 2차 지원사업 리노베이션 시공업체선정 현지입찰 계획(안).hwp</x:v>
      </x:c>
      <x:c r="C344" s="43" t="str">
        <x:v>.hwp</x:v>
      </x:c>
      <x:c r="D344" s="61" t="n">
        <x:v>129024</x:v>
      </x:c>
      <x:c r="E344" s="43" t="str">
        <x:v>downloaded</x:v>
      </x:c>
      <x:c r="F344" s="43" t="str">
        <x:v>7c8444e03c896b281f3bd807c03edfef8e4d434b9d18d695bff9f1660e882d17</x:v>
      </x:c>
      <x:c r="G344" s="46" t="str">
        <x:v>/Users/nomadresearch/Documents/Claude/Projects/koica-construction-tender/data/raw/L2024-00039-1/(이라크사무소) 한-이라크 직업훈련원 2차 지원사업 리노베이션 시공업체선정 현지입찰 계획(안).hwp</x:v>
      </x:c>
      <x:c r="H344" s="43" t="str">
        <x:v>2024-07-21 14:34:43</x:v>
      </x:c>
    </x:row>
    <x:row r="345">
      <x:c r="A345" s="43" t="str">
        <x:v>L2024-00039-1</x:v>
      </x:c>
      <x:c r="B345" s="46" t="str">
        <x:v>붙임1. 이라크 한-이라크 직훈원 리노베이션 시공 재공고 입찰계획_20240701.hwp</x:v>
      </x:c>
      <x:c r="C345" s="43" t="str">
        <x:v>.hwp</x:v>
      </x:c>
      <x:c r="D345" s="61" t="n">
        <x:v>252928</x:v>
      </x:c>
      <x:c r="E345" s="43" t="str">
        <x:v>downloaded</x:v>
      </x:c>
      <x:c r="F345" s="43" t="str">
        <x:v>4231c535647179339699a11ccd2ca946ed0ad4df41958bacc419833e9796d2a6</x:v>
      </x:c>
      <x:c r="G345" s="46" t="str">
        <x:v>/Users/nomadresearch/Documents/Claude/Projects/koica-construction-tender/data/raw/L2024-00039-1/붙임1. 이라크 한-이라크 직훈원 리노베이션 시공 재공고 입찰계획_20240701.hwp</x:v>
      </x:c>
      <x:c r="H345" s="43" t="str">
        <x:v>2024-07-21 14:34:43</x:v>
      </x:c>
    </x:row>
    <x:row r="346">
      <x:c r="A346" s="43" t="str">
        <x:v>L2024-00039-1</x:v>
      </x:c>
      <x:c r="B346" s="46" t="str">
        <x:v>붙임2. 시공예산산출내역서.xlsx</x:v>
      </x:c>
      <x:c r="C346" s="43" t="str">
        <x:v>.xlsx</x:v>
      </x:c>
      <x:c r="D346" s="61" t="n">
        <x:v>183092</x:v>
      </x:c>
      <x:c r="E346" s="43" t="str">
        <x:v>downloaded</x:v>
      </x:c>
      <x:c r="F346" s="43" t="str">
        <x:v>5853b6495d862bc94184a645cf2d6563ecd978ed1fb68e2227dffc2c10bb2036</x:v>
      </x:c>
      <x:c r="G346" s="46" t="str">
        <x:v>/Users/nomadresearch/Documents/Claude/Projects/koica-construction-tender/data/raw/L2024-00039-1/붙임2. 시공예산산출내역서.xlsx</x:v>
      </x:c>
      <x:c r="H346" s="43" t="str">
        <x:v>2024-07-21 14:34:43</x:v>
      </x:c>
    </x:row>
    <x:row r="347">
      <x:c r="A347" s="43" t="str">
        <x:v>L2024-00039-1</x:v>
      </x:c>
      <x:c r="B347" s="46" t="str">
        <x:v>붙임3. Bidding Documents_20240702.zip</x:v>
      </x:c>
      <x:c r="C347" s="43" t="str">
        <x:v>.zip</x:v>
      </x:c>
      <x:c r="D347" s="61" t="n">
        <x:v>781389</x:v>
      </x:c>
      <x:c r="E347" s="43" t="str">
        <x:v>downloaded</x:v>
      </x:c>
      <x:c r="F347" s="43" t="str">
        <x:v>adeb37cbe39c24c840a329f65b0417d38f598332b8917a6a4f9ec5379a6c3e0f</x:v>
      </x:c>
      <x:c r="G347" s="46" t="str">
        <x:v>/Users/nomadresearch/Documents/Claude/Projects/koica-construction-tender/data/raw/L2024-00039-1/붙임3. Bidding Documents_20240702.zip</x:v>
      </x:c>
      <x:c r="H347" s="43" t="str">
        <x:v>2024-07-21 14:34:43</x:v>
      </x:c>
    </x:row>
    <x:row r="348">
      <x:c r="A348" s="43" t="str">
        <x:v>L2024-00039-1</x:v>
      </x:c>
      <x:c r="B348" s="46" t="str">
        <x:v>붙임3. 입찰서류 및 계약서류(안)_재공고(20240701).zip</x:v>
      </x:c>
      <x:c r="C348" s="43" t="str">
        <x:v>.zip</x:v>
      </x:c>
      <x:c r="D348" s="61" t="n">
        <x:v>781389</x:v>
      </x:c>
      <x:c r="E348" s="43" t="str">
        <x:v>downloaded</x:v>
      </x:c>
      <x:c r="F348" s="43" t="str">
        <x:v>adeb37cbe39c24c840a329f65b0417d38f598332b8917a6a4f9ec5379a6c3e0f</x:v>
      </x:c>
      <x:c r="G348" s="46" t="str">
        <x:v>/Users/nomadresearch/Documents/Claude/Projects/koica-construction-tender/data/raw/L2024-00039-1/붙임3. 입찰서류 및 계약서류(안)_재공고(20240701).zip</x:v>
      </x:c>
      <x:c r="H348" s="43" t="str">
        <x:v>2024-07-21 14:34:43</x:v>
      </x:c>
    </x:row>
    <x:row r="349">
      <x:c r="A349" s="43" t="str">
        <x:v>L2024-00039-1</x:v>
      </x:c>
      <x:c r="B349" s="46" t="str">
        <x:v>붙임3. 조달1팀 검토의견서 및 공문.zip</x:v>
      </x:c>
      <x:c r="C349" s="43" t="str">
        <x:v>.zip</x:v>
      </x:c>
      <x:c r="D349" s="61" t="n">
        <x:v>600813</x:v>
      </x:c>
      <x:c r="E349" s="43" t="str">
        <x:v>downloaded</x:v>
      </x:c>
      <x:c r="F349" s="43" t="str">
        <x:v>31009dc36516356122e0af19d8fee763326330e4ff8d96dc50fe9bdf3f2983ef</x:v>
      </x:c>
      <x:c r="G349" s="46" t="str">
        <x:v>/Users/nomadresearch/Documents/Claude/Projects/koica-construction-tender/data/raw/L2024-00039-1/붙임3. 조달1팀 검토의견서 및 공문.zip</x:v>
      </x:c>
      <x:c r="H349" s="43" t="str">
        <x:v>2024-07-21 14:34:43</x:v>
      </x:c>
    </x:row>
    <x:row r="350">
      <x:c r="A350" s="43" t="str">
        <x:v>L2024-00035-1</x:v>
      </x:c>
      <x:c r="B350" s="46" t="str">
        <x:v>Section 1 - Instructions to Bidders (ITB).zip</x:v>
      </x:c>
      <x:c r="C350" s="43" t="str">
        <x:v>.zip</x:v>
      </x:c>
      <x:c r="D350" s="61" t="n">
        <x:v>216187</x:v>
      </x:c>
      <x:c r="E350" s="43" t="str">
        <x:v>downloaded</x:v>
      </x:c>
      <x:c r="F350" s="43" t="str">
        <x:v>83a30a1bbd3428eb43da9ed6bec2f82a599b96c216b6ae1e7a616f346880363c</x:v>
      </x:c>
      <x:c r="G350" s="46" t="str">
        <x:v>/Users/nomadresearch/Documents/Claude/Projects/koica-construction-tender/data/raw/L2024-00035-1/Section 1 - Instructions to Bidders (ITB).zip</x:v>
      </x:c>
      <x:c r="H350" s="43" t="str">
        <x:v>2024-06-21 14:20:39</x:v>
      </x:c>
    </x:row>
    <x:row r="351">
      <x:c r="A351" s="43" t="str">
        <x:v>L2024-00035-1</x:v>
      </x:c>
      <x:c r="B351" s="46" t="str">
        <x:v>Section 2 - (국문) 입찰공고문 (BDS)_kenya_0620.hwp</x:v>
      </x:c>
      <x:c r="C351" s="43" t="str">
        <x:v>.hwp</x:v>
      </x:c>
      <x:c r="D351" s="61" t="n">
        <x:v>67584</x:v>
      </x:c>
      <x:c r="E351" s="43" t="str">
        <x:v>downloaded</x:v>
      </x:c>
      <x:c r="F351" s="43" t="str">
        <x:v>3947649ab7e75fa34547034332113c7d31ccd24fb9c3d3b23f60e29a892dc494</x:v>
      </x:c>
      <x:c r="G351" s="46" t="str">
        <x:v>/Users/nomadresearch/Documents/Claude/Projects/koica-construction-tender/data/raw/L2024-00035-1/Section 2 - (국문) 입찰공고문 (BDS)_kenya_0620.hwp</x:v>
      </x:c>
      <x:c r="H351" s="43" t="str">
        <x:v>2024-06-21 14:20:39</x:v>
      </x:c>
    </x:row>
    <x:row r="352">
      <x:c r="A352" s="43" t="str">
        <x:v>L2024-00035-1</x:v>
      </x:c>
      <x:c r="B352" s="46" t="str">
        <x:v>Section 2 - (영문) Bid Data Sheet (BDS)_kenya_0620.docx</x:v>
      </x:c>
      <x:c r="C352" s="43" t="str">
        <x:v>.docx</x:v>
      </x:c>
      <x:c r="D352" s="61" t="n">
        <x:v>62230</x:v>
      </x:c>
      <x:c r="E352" s="43" t="str">
        <x:v>downloaded</x:v>
      </x:c>
      <x:c r="F352" s="43" t="str">
        <x:v>6bce7b963dfcf3d2c6296e0edecb5297db83d85f9712bac7e67729e36c2693b9</x:v>
      </x:c>
      <x:c r="G352" s="46" t="str">
        <x:v>/Users/nomadresearch/Documents/Claude/Projects/koica-construction-tender/data/raw/L2024-00035-1/Section 2 - (영문) Bid Data Sheet (BDS)_kenya_0620.docx</x:v>
      </x:c>
      <x:c r="H352" s="43" t="str">
        <x:v>2024-06-21 14:20:39</x:v>
      </x:c>
    </x:row>
    <x:row r="353">
      <x:c r="A353" s="43" t="str">
        <x:v>L2024-00035-1</x:v>
      </x:c>
      <x:c r="B353" s="46" t="str">
        <x:v>Section 3 - Bidding Forms_kenya_0620.docx</x:v>
      </x:c>
      <x:c r="C353" s="43" t="str">
        <x:v>.docx</x:v>
      </x:c>
      <x:c r="D353" s="61" t="n">
        <x:v>56918</x:v>
      </x:c>
      <x:c r="E353" s="43" t="str">
        <x:v>downloaded</x:v>
      </x:c>
      <x:c r="F353" s="43" t="str">
        <x:v>2274e79a61a4e1cd2b78fd633e1e09c749203d74d41139f0481e4ac38e855739</x:v>
      </x:c>
      <x:c r="G353" s="46" t="str">
        <x:v>/Users/nomadresearch/Documents/Claude/Projects/koica-construction-tender/data/raw/L2024-00035-1/Section 3 - Bidding Forms_kenya_0620.docx</x:v>
      </x:c>
      <x:c r="H353" s="43" t="str">
        <x:v>2024-06-21 14:20:39</x:v>
      </x:c>
    </x:row>
    <x:row r="354">
      <x:c r="A354" s="43" t="str">
        <x:v>L2024-00035-1</x:v>
      </x:c>
      <x:c r="B354" s="46" t="str">
        <x:v>Section 4 - Request for Proposal_kenya_0620.docx</x:v>
      </x:c>
      <x:c r="C354" s="43" t="str">
        <x:v>.docx</x:v>
      </x:c>
      <x:c r="D354" s="61" t="n">
        <x:v>1457299</x:v>
      </x:c>
      <x:c r="E354" s="43" t="str">
        <x:v>downloaded</x:v>
      </x:c>
      <x:c r="F354" s="43" t="str">
        <x:v>054d111741f4bfffd92799fd9a9e542ae487d06dc64989acff2122a7692c2818</x:v>
      </x:c>
      <x:c r="G354" s="46" t="str">
        <x:v>/Users/nomadresearch/Documents/Claude/Projects/koica-construction-tender/data/raw/L2024-00035-1/Section 4 - Request for Proposal_kenya_0620.docx</x:v>
      </x:c>
      <x:c r="H354" s="43" t="str">
        <x:v>2024-06-21 14:20:39</x:v>
      </x:c>
    </x:row>
    <x:row r="355">
      <x:c r="A355" s="43" t="str">
        <x:v>L2024-00035-1</x:v>
      </x:c>
      <x:c r="B355" s="46" t="str">
        <x:v>Section 5 - Reference Documents.zip</x:v>
      </x:c>
      <x:c r="C355" s="43" t="str">
        <x:v>.zip</x:v>
      </x:c>
      <x:c r="D355" s="61" t="n">
        <x:v>18929</x:v>
      </x:c>
      <x:c r="E355" s="43" t="str">
        <x:v>downloaded</x:v>
      </x:c>
      <x:c r="F355" s="43" t="str">
        <x:v>8ce9252a55149ad57dfc61b54ab0db802badc6669fb066c8dfe7a1b086d19b72</x:v>
      </x:c>
      <x:c r="G355" s="46" t="str">
        <x:v>/Users/nomadresearch/Documents/Claude/Projects/koica-construction-tender/data/raw/L2024-00035-1/Section 5 - Reference Documents.zip</x:v>
      </x:c>
      <x:c r="H355" s="43" t="str">
        <x:v>2024-06-21 14:20:39</x:v>
      </x:c>
    </x:row>
    <x:row r="356">
      <x:c r="A356" s="43" t="str">
        <x:v>L2024-00035-1</x:v>
      </x:c>
      <x:c r="B356" s="46" t="str">
        <x:v>Section 6 - General Conditions of Contract.docx</x:v>
      </x:c>
      <x:c r="C356" s="43" t="str">
        <x:v>.docx</x:v>
      </x:c>
      <x:c r="D356" s="61" t="n">
        <x:v>35355</x:v>
      </x:c>
      <x:c r="E356" s="43" t="str">
        <x:v>downloaded</x:v>
      </x:c>
      <x:c r="F356" s="43" t="str">
        <x:v>b5ea23da2b3bededcd80ffb801f51d9af990ab7c5463cfab4f2c4f02b9127676</x:v>
      </x:c>
      <x:c r="G356" s="46" t="str">
        <x:v>/Users/nomadresearch/Documents/Claude/Projects/koica-construction-tender/data/raw/L2024-00035-1/Section 6 - General Conditions of Contract.docx</x:v>
      </x:c>
      <x:c r="H356" s="43" t="str">
        <x:v>2024-06-21 14:20:39</x:v>
      </x:c>
    </x:row>
    <x:row r="357">
      <x:c r="A357" s="43" t="str">
        <x:v>L2024-00035-1</x:v>
      </x:c>
      <x:c r="B357" s="46" t="str">
        <x:v>Section 7 - Special Conditions of Contract.docx</x:v>
      </x:c>
      <x:c r="C357" s="43" t="str">
        <x:v>.docx</x:v>
      </x:c>
      <x:c r="D357" s="61" t="n">
        <x:v>25034</x:v>
      </x:c>
      <x:c r="E357" s="43" t="str">
        <x:v>downloaded</x:v>
      </x:c>
      <x:c r="F357" s="43" t="str">
        <x:v>32fd886fb32403a81618fab17485cedd0df09561734399e4e20ffb730b6bdb6a</x:v>
      </x:c>
      <x:c r="G357" s="46" t="str">
        <x:v>/Users/nomadresearch/Documents/Claude/Projects/koica-construction-tender/data/raw/L2024-00035-1/Section 7 - Special Conditions of Contract.docx</x:v>
      </x:c>
      <x:c r="H357" s="43" t="str">
        <x:v>2024-06-21 14:20:39</x:v>
      </x:c>
    </x:row>
    <x:row r="358">
      <x:c r="A358" s="43" t="str">
        <x:v>L2024-00035-1</x:v>
      </x:c>
      <x:c r="B358" s="46" t="str">
        <x:v>Section 8 - Contract Forms.docx</x:v>
      </x:c>
      <x:c r="C358" s="43" t="str">
        <x:v>.docx</x:v>
      </x:c>
      <x:c r="D358" s="61" t="n">
        <x:v>22736</x:v>
      </x:c>
      <x:c r="E358" s="43" t="str">
        <x:v>downloaded</x:v>
      </x:c>
      <x:c r="F358" s="43" t="str">
        <x:v>367d75edf9970fc709cfe36895805583b1b0a353b708dab5e1b3b8619f54fea7</x:v>
      </x:c>
      <x:c r="G358" s="46" t="str">
        <x:v>/Users/nomadresearch/Documents/Claude/Projects/koica-construction-tender/data/raw/L2024-00035-1/Section 8 - Contract Forms.docx</x:v>
      </x:c>
      <x:c r="H358" s="43" t="str">
        <x:v>2024-06-21 14:20:39</x:v>
      </x:c>
    </x:row>
    <x:row r="359">
      <x:c r="A359" s="43" t="str">
        <x:v>L2024-00035-1</x:v>
      </x:c>
      <x:c r="B359" s="46" t="str">
        <x:v>Section 9 - Pledges.zip</x:v>
      </x:c>
      <x:c r="C359" s="43" t="str">
        <x:v>.zip</x:v>
      </x:c>
      <x:c r="D359" s="61" t="n">
        <x:v>85586</x:v>
      </x:c>
      <x:c r="E359" s="43" t="str">
        <x:v>downloaded</x:v>
      </x:c>
      <x:c r="F359" s="43" t="str">
        <x:v>ace77f0c472bac41b05b3348d76f2fece600d55060d9bc370047c00e36f9a7da</x:v>
      </x:c>
      <x:c r="G359" s="46" t="str">
        <x:v>/Users/nomadresearch/Documents/Claude/Projects/koica-construction-tender/data/raw/L2024-00035-1/Section 9 - Pledges.zip</x:v>
      </x:c>
      <x:c r="H359" s="43" t="str">
        <x:v>2024-06-21 14:20:39</x:v>
      </x:c>
    </x:row>
    <x:row r="360">
      <x:c r="A360" s="43" t="str">
        <x:v>L2024-00035-1</x:v>
      </x:c>
      <x:c r="B360" s="46" t="str">
        <x:v>입찰공고문_홈페이지및SNS.pdf</x:v>
      </x:c>
      <x:c r="C360" s="43" t="str">
        <x:v>.pdf</x:v>
      </x:c>
      <x:c r="D360" s="61" t="n">
        <x:v>171138</x:v>
      </x:c>
      <x:c r="E360" s="43" t="str">
        <x:v>downloaded</x:v>
      </x:c>
      <x:c r="F360" s="43" t="str">
        <x:v>b1bb571be7470b8ee2461b4beace8746b37494212a02676ea95b3d525de7cea7</x:v>
      </x:c>
      <x:c r="G360" s="46" t="str">
        <x:v>/Users/nomadresearch/Documents/Claude/Projects/koica-construction-tender/data/raw/L2024-00035-1/입찰공고문_홈페이지및SNS.pdf</x:v>
      </x:c>
      <x:c r="H360" s="43" t="str">
        <x:v>2024-07-01 14:11:43</x:v>
      </x:c>
    </x:row>
    <x:row r="361">
      <x:c r="A361" s="43" t="str">
        <x:v>L2024-00031-1</x:v>
      </x:c>
      <x:c r="B361" s="46" t="str">
        <x:v>1-1. 네팔 박타푸르 취약지역의 빈곤층 건강수준 향상을 위한 역량강화 및 의료인프라 개선 사업-현지 시공업체 선정 입찰계획(안).hwp</x:v>
      </x:c>
      <x:c r="C361" s="43" t="str">
        <x:v>.hwp</x:v>
      </x:c>
      <x:c r="D361" s="61" t="n">
        <x:v>140800</x:v>
      </x:c>
      <x:c r="E361" s="43" t="str">
        <x:v>downloaded</x:v>
      </x:c>
      <x:c r="F361" s="43" t="str">
        <x:v>ef470ccff714d9bc3307c583cd51ccbfc3d9ffda0a0b28cf4dfd342c0796948a</x:v>
      </x:c>
      <x:c r="G361" s="46" t="str">
        <x:v>/Users/nomadresearch/Documents/Claude/Projects/koica-construction-tender/data/raw/L2024-00031-1/1-1. 네팔 박타푸르 취약지역의 빈곤층 건강수준 향상을 위한 역량강화 및 의료인프라 개선 사업-현지 시공업체 선정 입찰계획(안).hwp</x:v>
      </x:c>
      <x:c r="H361" s="43" t="str">
        <x:v>2024-06-13 17:05:31</x:v>
      </x:c>
    </x:row>
    <x:row r="362">
      <x:c r="A362" s="43" t="str">
        <x:v>L2024-00031-1</x:v>
      </x:c>
      <x:c r="B362" s="46" t="str">
        <x:v>1-2. BID DOCUMENTS-Project for Universal Health Coverage for the poor in vulnerable area in Bha.docx</x:v>
      </x:c>
      <x:c r="C362" s="43" t="str">
        <x:v>.docx</x:v>
      </x:c>
      <x:c r="D362" s="61" t="n">
        <x:v>36953</x:v>
      </x:c>
      <x:c r="E362" s="43" t="str">
        <x:v>downloaded</x:v>
      </x:c>
      <x:c r="F362" s="43" t="str">
        <x:v>327c8cd40855131e98408b1ab0719cf1c45db3a1d808623d81387dd7c866de7f</x:v>
      </x:c>
      <x:c r="G362" s="46" t="str">
        <x:v>/Users/nomadresearch/Documents/Claude/Projects/koica-construction-tender/data/raw/L2024-00031-1/1-2. BID DOCUMENTS-Project for Universal Health Coverage for the poor in vulnerable area in Bha.docx</x:v>
      </x:c>
      <x:c r="H362" s="43" t="str">
        <x:v>2024-06-13 17:05:31</x:v>
      </x:c>
    </x:row>
    <x:row r="363">
      <x:c r="A363" s="43" t="str">
        <x:v>L2024-00031-1</x:v>
      </x:c>
      <x:c r="B363" s="46" t="str">
        <x:v>1-3. Bidding Forms.docx</x:v>
      </x:c>
      <x:c r="C363" s="43" t="str">
        <x:v>.docx</x:v>
      </x:c>
      <x:c r="D363" s="61" t="n">
        <x:v>36852</x:v>
      </x:c>
      <x:c r="E363" s="43" t="str">
        <x:v>downloaded</x:v>
      </x:c>
      <x:c r="F363" s="43" t="str">
        <x:v>4df7445c69b4e94d2f92097988baf54baa76a93b0d9b62b282d5c227295cbee7</x:v>
      </x:c>
      <x:c r="G363" s="46" t="str">
        <x:v>/Users/nomadresearch/Documents/Claude/Projects/koica-construction-tender/data/raw/L2024-00031-1/1-3. Bidding Forms.docx</x:v>
      </x:c>
      <x:c r="H363" s="43" t="str">
        <x:v>2024-06-13 17:05:31</x:v>
      </x:c>
    </x:row>
    <x:row r="364">
      <x:c r="A364" s="43" t="str">
        <x:v>L2024-00031-1</x:v>
      </x:c>
      <x:c r="B364" s="46" t="str">
        <x:v>2-1. Beyond Media 견적서.pdf</x:v>
      </x:c>
      <x:c r="C364" s="43" t="str">
        <x:v>.pdf</x:v>
      </x:c>
      <x:c r="D364" s="61" t="n">
        <x:v>1695337</x:v>
      </x:c>
      <x:c r="E364" s="43" t="str">
        <x:v>downloaded</x:v>
      </x:c>
      <x:c r="F364" s="43" t="str">
        <x:v>87c3cda64fee850c6cc5f32fe50db0f6534233ff8ffec4a69e2403f10342a3a6</x:v>
      </x:c>
      <x:c r="G364" s="46" t="str">
        <x:v>/Users/nomadresearch/Documents/Claude/Projects/koica-construction-tender/data/raw/L2024-00031-1/2-1. Beyond Media 견적서.pdf</x:v>
      </x:c>
      <x:c r="H364" s="43" t="str">
        <x:v>2024-06-13 17:05:31</x:v>
      </x:c>
    </x:row>
    <x:row r="365">
      <x:c r="A365" s="43" t="str">
        <x:v>L2024-00031-1</x:v>
      </x:c>
      <x:c r="B365" s="46" t="str">
        <x:v>2-2. Lalitpur Link Media 견적서.jpg</x:v>
      </x:c>
      <x:c r="C365" s="43" t="str">
        <x:v>.jpg</x:v>
      </x:c>
      <x:c r="D365" s="61" t="n">
        <x:v>900118</x:v>
      </x:c>
      <x:c r="E365" s="43" t="str">
        <x:v>downloaded</x:v>
      </x:c>
      <x:c r="F365" s="43" t="str">
        <x:v>efc6ff4620c511b51ad0dc33683022177ecaa448c37c22a7eafd1d35d6afe8af</x:v>
      </x:c>
      <x:c r="G365" s="46" t="str">
        <x:v>/Users/nomadresearch/Documents/Claude/Projects/koica-construction-tender/data/raw/L2024-00031-1/2-2. Lalitpur Link Media 견적서.jpg</x:v>
      </x:c>
      <x:c r="H365" s="43" t="str">
        <x:v>2024-06-13 17:05:31</x:v>
      </x:c>
    </x:row>
    <x:row r="366">
      <x:c r="A366" s="43" t="str">
        <x:v>L2024-00031-1</x:v>
      </x:c>
      <x:c r="B366" s="46" t="str">
        <x:v>2-3. Milestone Media Service 견적서.jpg</x:v>
      </x:c>
      <x:c r="C366" s="43" t="str">
        <x:v>.jpg</x:v>
      </x:c>
      <x:c r="D366" s="61" t="n">
        <x:v>763751</x:v>
      </x:c>
      <x:c r="E366" s="43" t="str">
        <x:v>downloaded</x:v>
      </x:c>
      <x:c r="F366" s="43" t="str">
        <x:v>6a85ce90b8375c45580eb59eb26dbcad083b14c97bd1130d231cf263433bb1a1</x:v>
      </x:c>
      <x:c r="G366" s="46" t="str">
        <x:v>/Users/nomadresearch/Documents/Claude/Projects/koica-construction-tender/data/raw/L2024-00031-1/2-3. Milestone Media Service 견적서.jpg</x:v>
      </x:c>
      <x:c r="H366" s="43" t="str">
        <x:v>2024-06-13 17:05:31</x:v>
      </x:c>
    </x:row>
    <x:row r="367">
      <x:c r="A367" s="43" t="str">
        <x:v>L2024-00031-1</x:v>
      </x:c>
      <x:c r="B367" s="46" t="str">
        <x:v>2-4. 견적서 비교결과표.xlsx</x:v>
      </x:c>
      <x:c r="C367" s="43" t="str">
        <x:v>.xlsx</x:v>
      </x:c>
      <x:c r="D367" s="61" t="n">
        <x:v>6363</x:v>
      </x:c>
      <x:c r="E367" s="43" t="str">
        <x:v>downloaded</x:v>
      </x:c>
      <x:c r="F367" s="43" t="str">
        <x:v>cbbe6e22369f0ea484519d6c1ad8507be06cdff5d989be9a24ad5913c67ee063</x:v>
      </x:c>
      <x:c r="G367" s="46" t="str">
        <x:v>/Users/nomadresearch/Documents/Claude/Projects/koica-construction-tender/data/raw/L2024-00031-1/2-4. 견적서 비교결과표.xlsx</x:v>
      </x:c>
      <x:c r="H367" s="43" t="str">
        <x:v>2024-06-13 17:05:31</x:v>
      </x:c>
    </x:row>
    <x:row r="368">
      <x:c r="A368" s="43" t="str">
        <x:v>L2024-00031-1</x:v>
      </x:c>
      <x:c r="B368" s="46" t="str">
        <x:v>3-1. 설계감리사측 입찰서류 제출 표지.jpg</x:v>
      </x:c>
      <x:c r="C368" s="43" t="str">
        <x:v>.jpg</x:v>
      </x:c>
      <x:c r="D368" s="61" t="n">
        <x:v>112956</x:v>
      </x:c>
      <x:c r="E368" s="43" t="str">
        <x:v>downloaded</x:v>
      </x:c>
      <x:c r="F368" s="43" t="str">
        <x:v>b6e61b792f6cf3f9a7f6f6ac30fea65ead822c9b7474e03dfbb3315c241a7045</x:v>
      </x:c>
      <x:c r="G368" s="46" t="str">
        <x:v>/Users/nomadresearch/Documents/Claude/Projects/koica-construction-tender/data/raw/L2024-00031-1/3-1. 설계감리사측 입찰서류 제출 표지.jpg</x:v>
      </x:c>
      <x:c r="H368" s="43" t="str">
        <x:v>2024-06-13 17:05:31</x:v>
      </x:c>
    </x:row>
    <x:row r="369">
      <x:c r="A369" s="43" t="str">
        <x:v>L2024-00031-1</x:v>
      </x:c>
      <x:c r="B369" s="46" t="str">
        <x:v>3-2. 설계감리사측 기초가격 제시 페이지.jpg</x:v>
      </x:c>
      <x:c r="C369" s="43" t="str">
        <x:v>.jpg</x:v>
      </x:c>
      <x:c r="D369" s="61" t="n">
        <x:v>101723</x:v>
      </x:c>
      <x:c r="E369" s="43" t="str">
        <x:v>downloaded</x:v>
      </x:c>
      <x:c r="F369" s="43" t="str">
        <x:v>54401295a50aa4eb483abb56c3b6213c7c6022c4938b92f9f33c25f91f4749ac</x:v>
      </x:c>
      <x:c r="G369" s="46" t="str">
        <x:v>/Users/nomadresearch/Documents/Claude/Projects/koica-construction-tender/data/raw/L2024-00031-1/3-2. 설계감리사측 기초가격 제시 페이지.jpg</x:v>
      </x:c>
      <x:c r="H369" s="43" t="str">
        <x:v>2024-06-13 17:05:31</x:v>
      </x:c>
    </x:row>
    <x:row r="370">
      <x:c r="A370" s="43" t="str">
        <x:v>L2024-00024-1</x:v>
      </x:c>
      <x:c r="B370" s="46" t="str">
        <x:v>★Section 2 - Bid Data Sheet (BDS).pdf</x:v>
      </x:c>
      <x:c r="C370" s="43" t="str">
        <x:v>.pdf</x:v>
      </x:c>
      <x:c r="D370" s="61" t="n">
        <x:v>1074267</x:v>
      </x:c>
      <x:c r="E370" s="43" t="str">
        <x:v>downloaded</x:v>
      </x:c>
      <x:c r="F370" s="43" t="str">
        <x:v>2440e55cbe4f15ab79cdbcd22a6fb9850ff268ed10c6b8dbff4ae68640e24dda</x:v>
      </x:c>
      <x:c r="G370" s="46" t="str">
        <x:v>/Users/nomadresearch/Documents/Claude/Projects/koica-construction-tender/data/raw/L2024-00024-1/★Section 2 - Bid Data Sheet (BDS).pdf</x:v>
      </x:c>
      <x:c r="H370" s="43" t="str">
        <x:v>2024-05-21 17:39:35</x:v>
      </x:c>
    </x:row>
    <x:row r="371">
      <x:c r="A371" s="43" t="str">
        <x:v>L2024-00024-1</x:v>
      </x:c>
      <x:c r="B371" s="46" t="str">
        <x:v>Section 1 - Instructions to Bidders (ITB).zip</x:v>
      </x:c>
      <x:c r="C371" s="43" t="str">
        <x:v>.zip</x:v>
      </x:c>
      <x:c r="D371" s="61" t="n">
        <x:v>142749</x:v>
      </x:c>
      <x:c r="E371" s="43" t="str">
        <x:v>downloaded</x:v>
      </x:c>
      <x:c r="F371" s="43" t="str">
        <x:v>b053efccd5315ddb110c579a301979768e1d74fe19710f6b3f9b11b0f57b6543</x:v>
      </x:c>
      <x:c r="G371" s="46" t="str">
        <x:v>/Users/nomadresearch/Documents/Claude/Projects/koica-construction-tender/data/raw/L2024-00024-1/Section 1 - Instructions to Bidders (ITB).zip</x:v>
      </x:c>
      <x:c r="H371" s="43" t="str">
        <x:v>2024-05-21 17:39:35</x:v>
      </x:c>
    </x:row>
    <x:row r="372">
      <x:c r="A372" s="43" t="str">
        <x:v>L2024-00024-1</x:v>
      </x:c>
      <x:c r="B372" s="46" t="str">
        <x:v>Section 3 - Bidding Forms.docx</x:v>
      </x:c>
      <x:c r="C372" s="43" t="str">
        <x:v>.docx</x:v>
      </x:c>
      <x:c r="D372" s="61" t="n">
        <x:v>56101</x:v>
      </x:c>
      <x:c r="E372" s="43" t="str">
        <x:v>downloaded</x:v>
      </x:c>
      <x:c r="F372" s="43" t="str">
        <x:v>dffd30e31a1c48cc56345ee836f0fc2dc2a7ad3f2b594ea704e4592c3f20903b</x:v>
      </x:c>
      <x:c r="G372" s="46" t="str">
        <x:v>/Users/nomadresearch/Documents/Claude/Projects/koica-construction-tender/data/raw/L2024-00024-1/Section 3 - Bidding Forms.docx</x:v>
      </x:c>
      <x:c r="H372" s="43" t="str">
        <x:v>2024-05-21 17:39:35</x:v>
      </x:c>
    </x:row>
    <x:row r="373">
      <x:c r="A373" s="43" t="str">
        <x:v>L2024-00024-1</x:v>
      </x:c>
      <x:c r="B373" s="46" t="str">
        <x:v>related documents.zip</x:v>
      </x:c>
      <x:c r="C373" s="43" t="str">
        <x:v>.zip</x:v>
      </x:c>
      <x:c r="D373" s="61" t="n">
        <x:v>151937</x:v>
      </x:c>
      <x:c r="E373" s="43" t="str">
        <x:v>downloaded</x:v>
      </x:c>
      <x:c r="F373" s="43" t="str">
        <x:v>bb32126a4edf92a3e095032d7ef8363a022e58d27ae473009d4b93359e1ebea0</x:v>
      </x:c>
      <x:c r="G373" s="46" t="str">
        <x:v>/Users/nomadresearch/Documents/Claude/Projects/koica-construction-tender/data/raw/L2024-00024-1/related documents.zip</x:v>
      </x:c>
      <x:c r="H373" s="43" t="str">
        <x:v>2024-05-21 17:39:35</x:v>
      </x:c>
    </x:row>
    <x:row r="374">
      <x:c r="A374" s="43" t="str">
        <x:v>L2024-00024-1</x:v>
      </x:c>
      <x:c r="B374" s="46" t="str">
        <x:v>Power of Attorney for the authority to sign and execute contracts (계약서 서명권한 위임장).docx</x:v>
      </x:c>
      <x:c r="C374" s="43" t="str">
        <x:v>.docx</x:v>
      </x:c>
      <x:c r="D374" s="61" t="n">
        <x:v>18759</x:v>
      </x:c>
      <x:c r="E374" s="43" t="str">
        <x:v>downloaded</x:v>
      </x:c>
      <x:c r="F374" s="43" t="str">
        <x:v>ccfa30711d9124ace57f312b9b89267731c2844285ca78c55df13f43969cd647</x:v>
      </x:c>
      <x:c r="G374" s="46" t="str">
        <x:v>/Users/nomadresearch/Documents/Claude/Projects/koica-construction-tender/data/raw/L2024-00024-1/Power of Attorney for the authority to sign and execute contracts (계약서 서명권한 위임장).docx</x:v>
      </x:c>
      <x:c r="H374" s="43" t="str">
        <x:v>2024-05-21 17:39:35</x:v>
      </x:c>
    </x:row>
    <x:row r="375">
      <x:c r="A375" s="43" t="str">
        <x:v>L2024-00022-1</x:v>
      </x:c>
      <x:c r="B375" s="46" t="str">
        <x:v>설계용역 입찰 공고.png</x:v>
      </x:c>
      <x:c r="C375" s="43" t="str">
        <x:v>.png</x:v>
      </x:c>
      <x:c r="D375" s="61" t="n">
        <x:v>401345</x:v>
      </x:c>
      <x:c r="E375" s="43" t="str">
        <x:v>downloaded</x:v>
      </x:c>
      <x:c r="F375" s="43" t="str">
        <x:v>5f93d627d3f7d7131b18a2faddd713c972243c54a04c057c637d74e053c86803</x:v>
      </x:c>
      <x:c r="G375" s="46" t="str">
        <x:v>/Users/nomadresearch/Documents/Claude/Projects/koica-construction-tender/data/raw/L2024-00022-1/설계용역 입찰 공고.png</x:v>
      </x:c>
      <x:c r="H375" s="43" t="str">
        <x:v>2024-05-16 12:41:50</x:v>
      </x:c>
    </x:row>
    <x:row r="376">
      <x:c r="A376" s="43" t="str">
        <x:v>L2024-00021-1</x:v>
      </x:c>
      <x:c r="B376" s="46" t="str">
        <x:v>설계용역 입찰 재공고.png</x:v>
      </x:c>
      <x:c r="C376" s="43" t="str">
        <x:v>.png</x:v>
      </x:c>
      <x:c r="D376" s="61" t="n">
        <x:v>633142</x:v>
      </x:c>
      <x:c r="E376" s="43" t="str">
        <x:v>downloaded</x:v>
      </x:c>
      <x:c r="F376" s="43" t="str">
        <x:v>f4f2546a2b97d7cd247b6f4bb3b877294aa40cadffa834950a09c72f6f74bcf1</x:v>
      </x:c>
      <x:c r="G376" s="46" t="str">
        <x:v>/Users/nomadresearch/Documents/Claude/Projects/koica-construction-tender/data/raw/L2024-00021-1/설계용역 입찰 재공고.png</x:v>
      </x:c>
      <x:c r="H376" s="43" t="str">
        <x:v>2024-05-16 10:36:20</x:v>
      </x:c>
    </x:row>
    <x:row r="377">
      <x:c r="A377" s="43" t="str">
        <x:v>L2024-00021-1</x:v>
      </x:c>
      <x:c r="B377" s="46" t="str">
        <x:v>첨부2-1#1,2_Contract_2024 2.21.doc</x:v>
      </x:c>
      <x:c r="C377" s="43" t="str">
        <x:v>.doc</x:v>
      </x:c>
      <x:c r="D377" s="61" t="n">
        <x:v>108032</x:v>
      </x:c>
      <x:c r="E377" s="43" t="str">
        <x:v>downloaded</x:v>
      </x:c>
      <x:c r="F377" s="43" t="str">
        <x:v>81d4515db6a9abdae1a1d70cb5b7cd1e19b926a068d8576e9d1c681ddb583e2d</x:v>
      </x:c>
      <x:c r="G377" s="46" t="str">
        <x:v>/Users/nomadresearch/Documents/Claude/Projects/koica-construction-tender/data/raw/L2024-00021-1/첨부2-1#1,2_Contract_2024 2.21.doc</x:v>
      </x:c>
      <x:c r="H377" s="43" t="str">
        <x:v>2024-05-16 10:36:20</x:v>
      </x:c>
    </x:row>
    <x:row r="378">
      <x:c r="A378" s="43" t="str">
        <x:v>L2024-00021-1</x:v>
      </x:c>
      <x:c r="B378" s="46" t="str">
        <x:v>첨부2-2#3,4_Contract_2024 2.21.doc</x:v>
      </x:c>
      <x:c r="C378" s="43" t="str">
        <x:v>.doc</x:v>
      </x:c>
      <x:c r="D378" s="61" t="n">
        <x:v>108544</x:v>
      </x:c>
      <x:c r="E378" s="43" t="str">
        <x:v>downloaded</x:v>
      </x:c>
      <x:c r="F378" s="43" t="str">
        <x:v>09fe3c5806ab6807f4093637a752088957f102d056c8d12efc138928777a6359</x:v>
      </x:c>
      <x:c r="G378" s="46" t="str">
        <x:v>/Users/nomadresearch/Documents/Claude/Projects/koica-construction-tender/data/raw/L2024-00021-1/첨부2-2#3,4_Contract_2024 2.21.doc</x:v>
      </x:c>
      <x:c r="H378" s="43" t="str">
        <x:v>2024-05-16 10:36:20</x:v>
      </x:c>
    </x:row>
    <x:row r="379">
      <x:c r="A379" s="43" t="str">
        <x:v>L2024-00018-1</x:v>
      </x:c>
      <x:c r="B379" s="46" t="str">
        <x:v>붙임1. 파라과이 ICT 혁신센터 감리사 선정 입찰계획서 (국문).hwp</x:v>
      </x:c>
      <x:c r="C379" s="43" t="str">
        <x:v>.hwp</x:v>
      </x:c>
      <x:c r="D379" s="61" t="n">
        <x:v>135168</x:v>
      </x:c>
      <x:c r="E379" s="43" t="str">
        <x:v>downloaded</x:v>
      </x:c>
      <x:c r="F379" s="43" t="str">
        <x:v>51bbb797360df3b43b42d9567902225f439037eeffe4f8a65e989ea3659d2b91</x:v>
      </x:c>
      <x:c r="G379" s="46" t="str">
        <x:v>/Users/nomadresearch/Documents/Claude/Projects/koica-construction-tender/data/raw/L2024-00018-1/붙임1. 파라과이 ICT 혁신센터 감리사 선정 입찰계획서 (국문).hwp</x:v>
      </x:c>
      <x:c r="H379" s="43" t="str">
        <x:v>2024-05-14 04:01:01</x:v>
      </x:c>
    </x:row>
    <x:row r="380">
      <x:c r="A380" s="43" t="str">
        <x:v>L2024-00018-1</x:v>
      </x:c>
      <x:c r="B380" s="46" t="str">
        <x:v>붙임2. 현지 감리업체 선정 입찰 계획서 영문 및 붙임문서.zip</x:v>
      </x:c>
      <x:c r="C380" s="43" t="str">
        <x:v>.zip</x:v>
      </x:c>
      <x:c r="D380" s="61" t="n">
        <x:v>1982855</x:v>
      </x:c>
      <x:c r="E380" s="43" t="str">
        <x:v>downloaded</x:v>
      </x:c>
      <x:c r="F380" s="43" t="str">
        <x:v>8380cca6c3d011443486ce7cfcac89915e4b24ebdc8b54e8357f41164096d503</x:v>
      </x:c>
      <x:c r="G380" s="46" t="str">
        <x:v>/Users/nomadresearch/Documents/Claude/Projects/koica-construction-tender/data/raw/L2024-00018-1/붙임2. 현지 감리업체 선정 입찰 계획서 영문 및 붙임문서.zip</x:v>
      </x:c>
      <x:c r="H380" s="43" t="str">
        <x:v>2024-05-14 04:01:01</x:v>
      </x:c>
    </x:row>
    <x:row r="381">
      <x:c r="A381" s="43" t="str">
        <x:v>L2024-00017-1</x:v>
      </x:c>
      <x:c r="B381" s="46" t="str">
        <x:v>붙임1. 파라과이 ICT 혁신센터 시공사 선정 입찰계획서(국문).hwp</x:v>
      </x:c>
      <x:c r="C381" s="43" t="str">
        <x:v>.hwp</x:v>
      </x:c>
      <x:c r="D381" s="61" t="n">
        <x:v>81408</x:v>
      </x:c>
      <x:c r="E381" s="43" t="str">
        <x:v>downloaded</x:v>
      </x:c>
      <x:c r="F381" s="43" t="str">
        <x:v>a1fc3124d72ce4697ad09e0fcd93ddead83dda2e77833f42e6704ee18cb5db9c</x:v>
      </x:c>
      <x:c r="G381" s="46" t="str">
        <x:v>/Users/nomadresearch/Documents/Claude/Projects/koica-construction-tender/data/raw/L2024-00017-1/붙임1. 파라과이 ICT 혁신센터 시공사 선정 입찰계획서(국문).hwp</x:v>
      </x:c>
      <x:c r="H381" s="43" t="str">
        <x:v>2024-05-14 03:59:06</x:v>
      </x:c>
    </x:row>
    <x:row r="382">
      <x:c r="A382" s="43" t="str">
        <x:v>L2024-00017-1</x:v>
      </x:c>
      <x:c r="B382" s="46" t="str">
        <x:v>붙임2. 파라과이 ICT 혁신센터 시공사 선정 입찰계획서(영문) 및 관련 양식.zip</x:v>
      </x:c>
      <x:c r="C382" s="43" t="str">
        <x:v>.zip</x:v>
      </x:c>
      <x:c r="D382" s="61" t="n">
        <x:v>7240866</x:v>
      </x:c>
      <x:c r="E382" s="43" t="str">
        <x:v>downloaded</x:v>
      </x:c>
      <x:c r="F382" s="43" t="str">
        <x:v>d09307a81c95042d43311c845b827ae93b71da48a205d49a3c1f729259aeb26b</x:v>
      </x:c>
      <x:c r="G382" s="46" t="str">
        <x:v>/Users/nomadresearch/Documents/Claude/Projects/koica-construction-tender/data/raw/L2024-00017-1/붙임2. 파라과이 ICT 혁신센터 시공사 선정 입찰계획서(영문) 및 관련 양식.zip</x:v>
      </x:c>
      <x:c r="H382" s="43" t="str">
        <x:v>2024-05-14 03:59:06</x:v>
      </x:c>
    </x:row>
    <x:row r="383">
      <x:c r="A383" s="43" t="str">
        <x:v>L2024-00013-1</x:v>
      </x:c>
      <x:c r="B383" s="46" t="str">
        <x:v>Section 1 - Instructions to Bidders (ITB).docx</x:v>
      </x:c>
      <x:c r="C383" s="43" t="str">
        <x:v>.docx</x:v>
      </x:c>
      <x:c r="D383" s="61" t="n">
        <x:v>40293</x:v>
      </x:c>
      <x:c r="E383" s="43" t="str">
        <x:v>downloaded</x:v>
      </x:c>
      <x:c r="F383" s="43" t="str">
        <x:v>133457ec4f88a40236711521e808c00b5fa26b8e9dbbef0696c8367280a0433a</x:v>
      </x:c>
      <x:c r="G383" s="46" t="str">
        <x:v>/Users/nomadresearch/Documents/Claude/Projects/koica-construction-tender/data/raw/L2024-00013-1/Section 1 - Instructions to Bidders (ITB).docx</x:v>
      </x:c>
      <x:c r="H383" s="43" t="str">
        <x:v>2024-04-26 13:01:57</x:v>
      </x:c>
    </x:row>
    <x:row r="384">
      <x:c r="A384" s="43" t="str">
        <x:v>L2024-00013-1</x:v>
      </x:c>
      <x:c r="B384" s="46" t="str">
        <x:v>2-1. Section 2 - Bid Data Sheet.docx</x:v>
      </x:c>
      <x:c r="C384" s="43" t="str">
        <x:v>.docx</x:v>
      </x:c>
      <x:c r="D384" s="61" t="n">
        <x:v>1911730</x:v>
      </x:c>
      <x:c r="E384" s="43" t="str">
        <x:v>downloaded</x:v>
      </x:c>
      <x:c r="F384" s="43" t="str">
        <x:v>9be715dbe86701c32099532ccceb15d9a9d6c6c3935f4e9b5d5a6f9ba8b5cb3d</x:v>
      </x:c>
      <x:c r="G384" s="46" t="str">
        <x:v>/Users/nomadresearch/Documents/Claude/Projects/koica-construction-tender/data/raw/L2024-00013-1/2-1. Section 2 - Bid Data Sheet.docx</x:v>
      </x:c>
      <x:c r="H384" s="43" t="str">
        <x:v>2024-04-26 13:01:57</x:v>
      </x:c>
    </x:row>
    <x:row r="385">
      <x:c r="A385" s="43" t="str">
        <x:v>L2024-00013-1</x:v>
      </x:c>
      <x:c r="B385" s="46" t="str">
        <x:v>2-2. Invitation for Bids.docx</x:v>
      </x:c>
      <x:c r="C385" s="43" t="str">
        <x:v>.docx</x:v>
      </x:c>
      <x:c r="D385" s="61" t="n">
        <x:v>31277</x:v>
      </x:c>
      <x:c r="E385" s="43" t="str">
        <x:v>downloaded</x:v>
      </x:c>
      <x:c r="F385" s="43" t="str">
        <x:v>e4d7bdd35a929ee70809f32560ee082a08598027287327665e29a9a6a70655a8</x:v>
      </x:c>
      <x:c r="G385" s="46" t="str">
        <x:v>/Users/nomadresearch/Documents/Claude/Projects/koica-construction-tender/data/raw/L2024-00013-1/2-2. Invitation for Bids.docx</x:v>
      </x:c>
      <x:c r="H385" s="43" t="str">
        <x:v>2024-04-26 13:01:57</x:v>
      </x:c>
    </x:row>
    <x:row r="386">
      <x:c r="A386" s="43" t="str">
        <x:v>L2024-00001-1</x:v>
      </x:c>
      <x:c r="B386" s="46" t="str">
        <x:v>붙임 2. 입찰서류 (최종).zip</x:v>
      </x:c>
      <x:c r="C386" s="43" t="str">
        <x:v>.zip</x:v>
      </x:c>
      <x:c r="D386" s="61" t="n">
        <x:v>2915721</x:v>
      </x:c>
      <x:c r="E386" s="43" t="str">
        <x:v>downloaded</x:v>
      </x:c>
      <x:c r="F386" s="43" t="str">
        <x:v>ff7974cabf2e554b33d8a7d3de32f2a593490dd679e72e2da0c51b36acc64333</x:v>
      </x:c>
      <x:c r="G386" s="46" t="str">
        <x:v>/Users/nomadresearch/Documents/Claude/Projects/koica-construction-tender/data/raw/L2024-00001-1/붙임 2. 입찰서류 (최종).zip</x:v>
      </x:c>
      <x:c r="H386" s="43" t="str">
        <x:v>2024-01-11 16:29:04</x:v>
      </x:c>
    </x:row>
    <x:row r="387">
      <x:c r="A387" s="43" t="str">
        <x:v>L2024-00001-1</x:v>
      </x:c>
      <x:c r="B387" s="46" t="str">
        <x:v>붙임 1. 국문 입찰공고문(BDS) (최종).hwp</x:v>
      </x:c>
      <x:c r="C387" s="43" t="str">
        <x:v>.hwp</x:v>
      </x:c>
      <x:c r="D387" s="61" t="n">
        <x:v>64000</x:v>
      </x:c>
      <x:c r="E387" s="43" t="str">
        <x:v>downloaded</x:v>
      </x:c>
      <x:c r="F387" s="43" t="str">
        <x:v>6ff53de0822d861c23b11afd8af83c56e941361a92c205178a0005a98058afad</x:v>
      </x:c>
      <x:c r="G387" s="46" t="str">
        <x:v>/Users/nomadresearch/Documents/Claude/Projects/koica-construction-tender/data/raw/L2024-00001-1/붙임 1. 국문 입찰공고문(BDS) (최종).hwp</x:v>
      </x:c>
      <x:c r="H387" s="43" t="str">
        <x:v>2024-01-11 16:29:04</x:v>
      </x:c>
    </x:row>
    <x:row r="388">
      <x:c r="A388" s="43" t="str">
        <x:v>L2023-00077-1</x:v>
      </x:c>
      <x:c r="B388" s="46" t="str">
        <x:v>붙임0. 현지입찰계획_세네갈국회사업 리모델링입찰.docx</x:v>
      </x:c>
      <x:c r="C388" s="43" t="str">
        <x:v>.docx</x:v>
      </x:c>
      <x:c r="D388" s="61" t="n">
        <x:v>64867</x:v>
      </x:c>
      <x:c r="E388" s="43" t="str">
        <x:v>downloaded</x:v>
      </x:c>
      <x:c r="F388" s="43" t="str">
        <x:v>daf6390c9ceb404af952615c5f7a654376f268ed6757c0fefc4b75270bd5c178</x:v>
      </x:c>
      <x:c r="G388" s="46" t="str">
        <x:v>/Users/nomadresearch/Documents/Claude/Projects/koica-construction-tender/data/raw/L2023-00077-1/붙임0. 현지입찰계획_세네갈국회사업 리모델링입찰.docx</x:v>
      </x:c>
      <x:c r="H388" s="43" t="str">
        <x:v>2023-12-21 02:52:36</x:v>
      </x:c>
    </x:row>
    <x:row r="389">
      <x:c r="A389" s="43" t="str">
        <x:v>L2023-00077-1</x:v>
      </x:c>
      <x:c r="B389" s="46" t="str">
        <x:v>붙임1. 제안요청서( Request For Proposal for NA Project).docx</x:v>
      </x:c>
      <x:c r="C389" s="43" t="str">
        <x:v>.docx</x:v>
      </x:c>
      <x:c r="D389" s="61" t="n">
        <x:v>55591</x:v>
      </x:c>
      <x:c r="E389" s="43" t="str">
        <x:v>downloaded</x:v>
      </x:c>
      <x:c r="F389" s="43" t="str">
        <x:v>0fb80510792aaa74d01b64cb5b7bf415246da76a22a2f3e9d85ceffa769608d3</x:v>
      </x:c>
      <x:c r="G389" s="46" t="str">
        <x:v>/Users/nomadresearch/Documents/Claude/Projects/koica-construction-tender/data/raw/L2023-00077-1/붙임1. 제안요청서( Request For Proposal for NA Project).docx</x:v>
      </x:c>
      <x:c r="H389" s="43" t="str">
        <x:v>2023-12-21 02:52:36</x:v>
      </x:c>
    </x:row>
    <x:row r="390">
      <x:c r="A390" s="43" t="str">
        <x:v>L2023-00077-1</x:v>
      </x:c>
      <x:c r="B390" s="46" t="str">
        <x:v>붙임1_제안요청서_Request_For_Proposal_for_NA_Project_CM수정.docx</x:v>
      </x:c>
      <x:c r="C390" s="43" t="str">
        <x:v>.docx</x:v>
      </x:c>
      <x:c r="D390" s="61" t="n">
        <x:v>52800</x:v>
      </x:c>
      <x:c r="E390" s="43" t="str">
        <x:v>downloaded</x:v>
      </x:c>
      <x:c r="F390" s="43" t="str">
        <x:v>b2667cfd17767c8cbe802e0dd365b46e5dc2b94852ef120c4830aa6778666a42</x:v>
      </x:c>
      <x:c r="G390" s="46" t="str">
        <x:v>/Users/nomadresearch/Documents/Claude/Projects/koica-construction-tender/data/raw/L2023-00077-1/붙임1_제안요청서_Request_For_Proposal_for_NA_Project_CM수정.docx</x:v>
      </x:c>
      <x:c r="H390" s="43" t="str">
        <x:v>2023-12-21 02:52:36</x:v>
      </x:c>
    </x:row>
    <x:row r="391">
      <x:c r="A391" s="43" t="str">
        <x:v>L2023-00077-1</x:v>
      </x:c>
      <x:c r="B391" s="46" t="str">
        <x:v>붙임2. 기술평가표_최종.docx</x:v>
      </x:c>
      <x:c r="C391" s="43" t="str">
        <x:v>.docx</x:v>
      </x:c>
      <x:c r="D391" s="61" t="n">
        <x:v>62700</x:v>
      </x:c>
      <x:c r="E391" s="43" t="str">
        <x:v>downloaded</x:v>
      </x:c>
      <x:c r="F391" s="43" t="str">
        <x:v>1523545307f86081715a234db6f040bf3b44e471faf2b59968b4b3d4a3f6c880</x:v>
      </x:c>
      <x:c r="G391" s="46" t="str">
        <x:v>/Users/nomadresearch/Documents/Claude/Projects/koica-construction-tender/data/raw/L2023-00077-1/붙임2. 기술평가표_최종.docx</x:v>
      </x:c>
      <x:c r="H391" s="43" t="str">
        <x:v>2023-12-21 02:52:36</x:v>
      </x:c>
    </x:row>
    <x:row r="392">
      <x:c r="A392" s="43" t="str">
        <x:v>L2023-00077-1</x:v>
      </x:c>
      <x:c r="B392" s="46" t="str">
        <x:v>붙임3_입찰공고문Senegal_National_Assembly_Invitation_for_Bids_최종.docx</x:v>
      </x:c>
      <x:c r="C392" s="43" t="str">
        <x:v>.docx</x:v>
      </x:c>
      <x:c r="D392" s="61" t="n">
        <x:v>26232</x:v>
      </x:c>
      <x:c r="E392" s="43" t="str">
        <x:v>downloaded</x:v>
      </x:c>
      <x:c r="F392" s="43" t="str">
        <x:v>d378e0480b38da8ae4c98e5823fe46709393dd58638952c72915f52c4622d51e</x:v>
      </x:c>
      <x:c r="G392" s="46" t="str">
        <x:v>/Users/nomadresearch/Documents/Claude/Projects/koica-construction-tender/data/raw/L2023-00077-1/붙임3_입찰공고문Senegal_National_Assembly_Invitation_for_Bids_최종.docx</x:v>
      </x:c>
      <x:c r="H392" s="43" t="str">
        <x:v>2023-12-21 02:52:36</x:v>
      </x:c>
    </x:row>
    <x:row r="393">
      <x:c r="A393" s="43" t="str">
        <x:v>L2023-00077-1</x:v>
      </x:c>
      <x:c r="B393" s="46" t="str">
        <x:v>붙임4. 과업지시서(Instruction for the Work)_1110.docx</x:v>
      </x:c>
      <x:c r="C393" s="43" t="str">
        <x:v>.docx</x:v>
      </x:c>
      <x:c r="D393" s="61" t="n">
        <x:v>709079</x:v>
      </x:c>
      <x:c r="E393" s="43" t="str">
        <x:v>downloaded</x:v>
      </x:c>
      <x:c r="F393" s="43" t="str">
        <x:v>8565f0b0af5b6369f93d2c91f0836e81f982dfde6ad78d73e142e7629c49892f</x:v>
      </x:c>
      <x:c r="G393" s="46" t="str">
        <x:v>/Users/nomadresearch/Documents/Claude/Projects/koica-construction-tender/data/raw/L2023-00077-1/붙임4. 과업지시서(Instruction for the Work)_1110.docx</x:v>
      </x:c>
      <x:c r="H393" s="43" t="str">
        <x:v>2023-12-21 02:52:36</x:v>
      </x:c>
    </x:row>
    <x:row r="394">
      <x:c r="A394" s="43" t="str">
        <x:v>L2023-00077-1</x:v>
      </x:c>
      <x:c r="B394" s="46" t="str">
        <x:v>붙임5-2. 투찰내역서_1110.xlsx</x:v>
      </x:c>
      <x:c r="C394" s="43" t="str">
        <x:v>.xlsx</x:v>
      </x:c>
      <x:c r="D394" s="61" t="n">
        <x:v>55458</x:v>
      </x:c>
      <x:c r="E394" s="43" t="str">
        <x:v>downloaded</x:v>
      </x:c>
      <x:c r="F394" s="43" t="str">
        <x:v>71899f389f9e348861e2a95f1b03eeb116fedb6b75f99b02bedaafb9600b8747</x:v>
      </x:c>
      <x:c r="G394" s="46" t="str">
        <x:v>/Users/nomadresearch/Documents/Claude/Projects/koica-construction-tender/data/raw/L2023-00077-1/붙임5-2. 투찰내역서_1110.xlsx</x:v>
      </x:c>
      <x:c r="H394" s="43" t="str">
        <x:v>2023-12-21 02:52:36</x:v>
      </x:c>
    </x:row>
    <x:row r="395">
      <x:c r="A395" s="43" t="str">
        <x:v>L2023-00077-1</x:v>
      </x:c>
      <x:c r="B395" s="46" t="str">
        <x:v>붙임7. 긴급발주요청공문_세네갈국회.pdf</x:v>
      </x:c>
      <x:c r="C395" s="43" t="str">
        <x:v>.pdf</x:v>
      </x:c>
      <x:c r="D395" s="61" t="n">
        <x:v>327956</x:v>
      </x:c>
      <x:c r="E395" s="43" t="str">
        <x:v>downloaded</x:v>
      </x:c>
      <x:c r="F395" s="43" t="str">
        <x:v>028b8073b855df090dbbba7d97899796600038a79bf7732eeb1793ec7f49ab60</x:v>
      </x:c>
      <x:c r="G395" s="46" t="str">
        <x:v>/Users/nomadresearch/Documents/Claude/Projects/koica-construction-tender/data/raw/L2023-00077-1/붙임7. 긴급발주요청공문_세네갈국회.pdf</x:v>
      </x:c>
      <x:c r="H395" s="43" t="str">
        <x:v>2023-12-21 02:52:36</x:v>
      </x:c>
    </x:row>
    <x:row r="396">
      <x:c r="A396" s="43" t="str">
        <x:v>L2023-00075-1</x:v>
      </x:c>
      <x:c r="B396" s="46" t="str">
        <x:v>(231213) RTCC 발주감리 계약서.pdf</x:v>
      </x:c>
      <x:c r="C396" s="43" t="str">
        <x:v>.pdf</x:v>
      </x:c>
      <x:c r="D396" s="61" t="n">
        <x:v>974425</x:v>
      </x:c>
      <x:c r="E396" s="43" t="str">
        <x:v>downloaded</x:v>
      </x:c>
      <x:c r="F396" s="43" t="str">
        <x:v>c9be7b77c2c8caa32fd4a86ed0ddaf42bae85d59cdb3250a0876c7cae60d30b7</x:v>
      </x:c>
      <x:c r="G396" s="46" t="str">
        <x:v>/Users/nomadresearch/Documents/Claude/Projects/koica-construction-tender/data/raw/L2023-00075-1/(231213) RTCC 발주감리 계약서.pdf</x:v>
      </x:c>
      <x:c r="H396" s="43" t="str">
        <x:v>2023-12-20 15:24:52</x:v>
      </x:c>
    </x:row>
    <x:row r="397">
      <x:c r="A397" s="43" t="str">
        <x:v>L2023-00075-1</x:v>
      </x:c>
      <x:c r="B397" s="46" t="str">
        <x:v>RTCC 시공 Terms of Reference for NIFS Construction(2023.12.14).docx</x:v>
      </x:c>
      <x:c r="C397" s="43" t="str">
        <x:v>.docx</x:v>
      </x:c>
      <x:c r="D397" s="61" t="n">
        <x:v>54988</x:v>
      </x:c>
      <x:c r="E397" s="43" t="str">
        <x:v>downloaded</x:v>
      </x:c>
      <x:c r="F397" s="43" t="str">
        <x:v>0afaa8b87506057722b2404bdfd542abc37ec783fa4ab4469707e0b71fef65a7</x:v>
      </x:c>
      <x:c r="G397" s="46" t="str">
        <x:v>/Users/nomadresearch/Documents/Claude/Projects/koica-construction-tender/data/raw/L2023-00075-1/RTCC 시공 Terms of Reference for NIFS Construction(2023.12.14).docx</x:v>
      </x:c>
      <x:c r="H397" s="43" t="str">
        <x:v>2023-12-20 15:24:52</x:v>
      </x:c>
    </x:row>
    <x:row r="398">
      <x:c r="A398" s="43" t="str">
        <x:v>L2023-00075-1</x:v>
      </x:c>
      <x:c r="B398" s="46" t="str">
        <x:v>첨부1 RTCC 시공 3자계약서 (2023.12.18)_Rev1.docx</x:v>
      </x:c>
      <x:c r="C398" s="43" t="str">
        <x:v>.docx</x:v>
      </x:c>
      <x:c r="D398" s="61" t="n">
        <x:v>61141</x:v>
      </x:c>
      <x:c r="E398" s="43" t="str">
        <x:v>downloaded</x:v>
      </x:c>
      <x:c r="F398" s="43" t="str">
        <x:v>38f9103d45b5294f73f49ea2f44a996d2dc85da9cdbbbe8568fab982191c095e</x:v>
      </x:c>
      <x:c r="G398" s="46" t="str">
        <x:v>/Users/nomadresearch/Documents/Claude/Projects/koica-construction-tender/data/raw/L2023-00075-1/첨부1 RTCC 시공 3자계약서 (2023.12.18)_Rev1.docx</x:v>
      </x:c>
      <x:c r="H398" s="43" t="str">
        <x:v>2023-12-20 15:24:52</x:v>
      </x:c>
    </x:row>
    <x:row r="399">
      <x:c r="A399" s="43" t="str">
        <x:v>L2023-00074-1</x:v>
      </x:c>
      <x:c r="B399" s="46" t="str">
        <x:v>붙임2. 신문공고 사본.pdf</x:v>
      </x:c>
      <x:c r="C399" s="43" t="str">
        <x:v>.pdf</x:v>
      </x:c>
      <x:c r="D399" s="61" t="n">
        <x:v>796411</x:v>
      </x:c>
      <x:c r="E399" s="43" t="str">
        <x:v>downloaded</x:v>
      </x:c>
      <x:c r="F399" s="43" t="str">
        <x:v>fd2be46659060bec1e576d153c297a9b16f609580ae7388b39589abd9998daf2</x:v>
      </x:c>
      <x:c r="G399" s="46" t="str">
        <x:v>/Users/nomadresearch/Documents/Claude/Projects/koica-construction-tender/data/raw/L2023-00074-1/붙임2. 신문공고 사본.pdf</x:v>
      </x:c>
      <x:c r="H399" s="43" t="str">
        <x:v>2023-12-19 14:33:36</x:v>
      </x:c>
    </x:row>
    <x:row r="400">
      <x:c r="A400" s="43" t="str">
        <x:v>L2023-00073-1</x:v>
      </x:c>
      <x:c r="B400" s="46" t="str">
        <x:v>붙임2. 신문공고 사본.pdf</x:v>
      </x:c>
      <x:c r="C400" s="43" t="str">
        <x:v>.pdf</x:v>
      </x:c>
      <x:c r="D400" s="61" t="n">
        <x:v>796411</x:v>
      </x:c>
      <x:c r="E400" s="43" t="str">
        <x:v>downloaded</x:v>
      </x:c>
      <x:c r="F400" s="43" t="str">
        <x:v>fd2be46659060bec1e576d153c297a9b16f609580ae7388b39589abd9998daf2</x:v>
      </x:c>
      <x:c r="G400" s="46" t="str">
        <x:v>/Users/nomadresearch/Documents/Claude/Projects/koica-construction-tender/data/raw/L2023-00073-1/붙임2. 신문공고 사본.pdf</x:v>
      </x:c>
      <x:c r="H400" s="43" t="str">
        <x:v>2023-12-19 14:35:00</x:v>
      </x:c>
    </x:row>
    <x:row r="401">
      <x:c r="A401" s="43" t="str">
        <x:v>L2023-00072-2</x:v>
      </x:c>
      <x:c r="B401" s="46" t="str">
        <x:v>Summary of the bidding_Final.docx</x:v>
      </x:c>
      <x:c r="C401" s="43" t="str">
        <x:v>.docx</x:v>
      </x:c>
      <x:c r="D401" s="61" t="n">
        <x:v>21904</x:v>
      </x:c>
      <x:c r="E401" s="43" t="str">
        <x:v>downloaded</x:v>
      </x:c>
      <x:c r="F401" s="43" t="str">
        <x:v>50390c9f5094f69b93744344e02f8df010e00145c55660ee101e4033ad5cee46</x:v>
      </x:c>
      <x:c r="G401" s="46" t="str">
        <x:v>/Users/nomadresearch/Documents/Claude/Projects/koica-construction-tender/data/raw/L2023-00072-2/Summary of the bidding_Final.docx</x:v>
      </x:c>
      <x:c r="H401" s="43" t="str">
        <x:v>2024-01-04 17:37:42</x:v>
      </x:c>
    </x:row>
    <x:row r="402">
      <x:c r="A402" s="43" t="str">
        <x:v>L2023-00072-2</x:v>
      </x:c>
      <x:c r="B402" s="46" t="str">
        <x:v>Section_1_Instructions_to_Bidders_(ITB).docx</x:v>
      </x:c>
      <x:c r="C402" s="43" t="str">
        <x:v>.docx</x:v>
      </x:c>
      <x:c r="D402" s="61" t="n">
        <x:v>36982</x:v>
      </x:c>
      <x:c r="E402" s="43" t="str">
        <x:v>downloaded</x:v>
      </x:c>
      <x:c r="F402" s="43" t="str">
        <x:v>26d50e2024d504e550ce0962971ad3cd4ebfd19f7a6f7e301c483e8bb20601fa</x:v>
      </x:c>
      <x:c r="G402" s="46" t="str">
        <x:v>/Users/nomadresearch/Documents/Claude/Projects/koica-construction-tender/data/raw/L2023-00072-2/Section_1_Instructions_to_Bidders_(ITB).docx</x:v>
      </x:c>
      <x:c r="H402" s="43" t="str">
        <x:v>2024-01-04 17:37:42</x:v>
      </x:c>
    </x:row>
    <x:row r="403">
      <x:c r="A403" s="43" t="str">
        <x:v>L2023-00072-2</x:v>
      </x:c>
      <x:c r="B403" s="46" t="str">
        <x:v>Section_2_Bid_Data_Sheet_(BDS).docx</x:v>
      </x:c>
      <x:c r="C403" s="43" t="str">
        <x:v>.docx</x:v>
      </x:c>
      <x:c r="D403" s="61" t="n">
        <x:v>53592</x:v>
      </x:c>
      <x:c r="E403" s="43" t="str">
        <x:v>downloaded</x:v>
      </x:c>
      <x:c r="F403" s="43" t="str">
        <x:v>7a0f7ada43a17af9b597b06da1e58d09f46fb0fbddd8e9db5d24a960c4e79c91</x:v>
      </x:c>
      <x:c r="G403" s="46" t="str">
        <x:v>/Users/nomadresearch/Documents/Claude/Projects/koica-construction-tender/data/raw/L2023-00072-2/Section_2_Bid_Data_Sheet_(BDS).docx</x:v>
      </x:c>
      <x:c r="H403" s="43" t="str">
        <x:v>2024-01-04 17:37:42</x:v>
      </x:c>
    </x:row>
    <x:row r="404">
      <x:c r="A404" s="43" t="str">
        <x:v>L2023-00072-2</x:v>
      </x:c>
      <x:c r="B404" s="46" t="str">
        <x:v>Section_3_Bidding Forms.docx</x:v>
      </x:c>
      <x:c r="C404" s="43" t="str">
        <x:v>.docx</x:v>
      </x:c>
      <x:c r="D404" s="61" t="n">
        <x:v>44815</x:v>
      </x:c>
      <x:c r="E404" s="43" t="str">
        <x:v>downloaded</x:v>
      </x:c>
      <x:c r="F404" s="43" t="str">
        <x:v>53ae0f90b9f3ebdb7d8a3217a512ef885eb4cb27c6c7f88cf69b31d272d5940b</x:v>
      </x:c>
      <x:c r="G404" s="46" t="str">
        <x:v>/Users/nomadresearch/Documents/Claude/Projects/koica-construction-tender/data/raw/L2023-00072-2/Section_3_Bidding Forms.docx</x:v>
      </x:c>
      <x:c r="H404" s="43" t="str">
        <x:v>2024-01-04 17:37:42</x:v>
      </x:c>
    </x:row>
    <x:row r="405">
      <x:c r="A405" s="43" t="str">
        <x:v>L2023-00072-2</x:v>
      </x:c>
      <x:c r="B405" s="46" t="str">
        <x:v>Section_4_List and price input table.xlsx</x:v>
      </x:c>
      <x:c r="C405" s="43" t="str">
        <x:v>.xlsx</x:v>
      </x:c>
      <x:c r="D405" s="61" t="n">
        <x:v>19629</x:v>
      </x:c>
      <x:c r="E405" s="43" t="str">
        <x:v>downloaded</x:v>
      </x:c>
      <x:c r="F405" s="43" t="str">
        <x:v>3af2df429e6c7d836b45230d128e65dd4c9b12c0aaf47e399f9f636ff3c9f480</x:v>
      </x:c>
      <x:c r="G405" s="46" t="str">
        <x:v>/Users/nomadresearch/Documents/Claude/Projects/koica-construction-tender/data/raw/L2023-00072-2/Section_4_List and price input table.xlsx</x:v>
      </x:c>
      <x:c r="H405" s="43" t="str">
        <x:v>2024-01-04 17:37:42</x:v>
      </x:c>
    </x:row>
    <x:row r="406">
      <x:c r="A406" s="43" t="str">
        <x:v>L2023-00072-2</x:v>
      </x:c>
      <x:c r="B406" s="46" t="str">
        <x:v>Section_5_6_Equipment list and construction site information.docx</x:v>
      </x:c>
      <x:c r="C406" s="43" t="str">
        <x:v>.docx</x:v>
      </x:c>
      <x:c r="D406" s="61" t="n">
        <x:v>4239036</x:v>
      </x:c>
      <x:c r="E406" s="43" t="str">
        <x:v>downloaded</x:v>
      </x:c>
      <x:c r="F406" s="43" t="str">
        <x:v>362e1a2903e623e66833c5439e34266df97d235d40464a413d90c1b5b4dc389d</x:v>
      </x:c>
      <x:c r="G406" s="46" t="str">
        <x:v>/Users/nomadresearch/Documents/Claude/Projects/koica-construction-tender/data/raw/L2023-00072-2/Section_5_6_Equipment list and construction site information.docx</x:v>
      </x:c>
      <x:c r="H406" s="43" t="str">
        <x:v>2024-01-04 17:37:42</x:v>
      </x:c>
    </x:row>
    <x:row r="407">
      <x:c r="A407" s="43" t="str">
        <x:v>L2023-00072-2</x:v>
      </x:c>
      <x:c r="B407" s="46" t="str">
        <x:v>Section_7_General Conditions of Contract.docx</x:v>
      </x:c>
      <x:c r="C407" s="43" t="str">
        <x:v>.docx</x:v>
      </x:c>
      <x:c r="D407" s="61" t="n">
        <x:v>56338</x:v>
      </x:c>
      <x:c r="E407" s="43" t="str">
        <x:v>downloaded</x:v>
      </x:c>
      <x:c r="F407" s="43" t="str">
        <x:v>65ca581d0886ddb48c8adcc4a2e82bf31628e136e2478db3d1f932fae3b0fc0d</x:v>
      </x:c>
      <x:c r="G407" s="46" t="str">
        <x:v>/Users/nomadresearch/Documents/Claude/Projects/koica-construction-tender/data/raw/L2023-00072-2/Section_7_General Conditions of Contract.docx</x:v>
      </x:c>
      <x:c r="H407" s="43" t="str">
        <x:v>2024-01-04 17:37:42</x:v>
      </x:c>
    </x:row>
    <x:row r="408">
      <x:c r="A408" s="43" t="str">
        <x:v>L2023-00072-1</x:v>
      </x:c>
      <x:c r="B408" s="46" t="str">
        <x:v>Section_1_Instructions_to_Bidders_(ITB).docx</x:v>
      </x:c>
      <x:c r="C408" s="43" t="str">
        <x:v>.docx</x:v>
      </x:c>
      <x:c r="D408" s="61" t="n">
        <x:v>36982</x:v>
      </x:c>
      <x:c r="E408" s="43" t="str">
        <x:v>downloaded</x:v>
      </x:c>
      <x:c r="F408" s="43" t="str">
        <x:v>26d50e2024d504e550ce0962971ad3cd4ebfd19f7a6f7e301c483e8bb20601fa</x:v>
      </x:c>
      <x:c r="G408" s="46" t="str">
        <x:v>/Users/nomadresearch/Documents/Claude/Projects/koica-construction-tender/data/raw/L2023-00072-1/Section_1_Instructions_to_Bidders_(ITB).docx</x:v>
      </x:c>
      <x:c r="H408" s="43" t="str">
        <x:v>2023-12-18 16:10:27</x:v>
      </x:c>
    </x:row>
    <x:row r="409">
      <x:c r="A409" s="43" t="str">
        <x:v>L2023-00072-1</x:v>
      </x:c>
      <x:c r="B409" s="46" t="str">
        <x:v>Section_2_Bid_Data_Sheet_(BDS).docx</x:v>
      </x:c>
      <x:c r="C409" s="43" t="str">
        <x:v>.docx</x:v>
      </x:c>
      <x:c r="D409" s="61" t="n">
        <x:v>52836</x:v>
      </x:c>
      <x:c r="E409" s="43" t="str">
        <x:v>downloaded</x:v>
      </x:c>
      <x:c r="F409" s="43" t="str">
        <x:v>f7757d15242763975941c4ed3986827c83f353a5f804559e135a4ade8ebc4c55</x:v>
      </x:c>
      <x:c r="G409" s="46" t="str">
        <x:v>/Users/nomadresearch/Documents/Claude/Projects/koica-construction-tender/data/raw/L2023-00072-1/Section_2_Bid_Data_Sheet_(BDS).docx</x:v>
      </x:c>
      <x:c r="H409" s="43" t="str">
        <x:v>2023-12-18 16:10:27</x:v>
      </x:c>
    </x:row>
    <x:row r="410">
      <x:c r="A410" s="43" t="str">
        <x:v>L2023-00072-1</x:v>
      </x:c>
      <x:c r="B410" s="46" t="str">
        <x:v>Section_3_Bidding Forms.docx</x:v>
      </x:c>
      <x:c r="C410" s="43" t="str">
        <x:v>.docx</x:v>
      </x:c>
      <x:c r="D410" s="61" t="n">
        <x:v>44815</x:v>
      </x:c>
      <x:c r="E410" s="43" t="str">
        <x:v>downloaded</x:v>
      </x:c>
      <x:c r="F410" s="43" t="str">
        <x:v>53ae0f90b9f3ebdb7d8a3217a512ef885eb4cb27c6c7f88cf69b31d272d5940b</x:v>
      </x:c>
      <x:c r="G410" s="46" t="str">
        <x:v>/Users/nomadresearch/Documents/Claude/Projects/koica-construction-tender/data/raw/L2023-00072-1/Section_3_Bidding Forms.docx</x:v>
      </x:c>
      <x:c r="H410" s="43" t="str">
        <x:v>2023-12-18 16:10:27</x:v>
      </x:c>
    </x:row>
    <x:row r="411">
      <x:c r="A411" s="43" t="str">
        <x:v>L2023-00072-1</x:v>
      </x:c>
      <x:c r="B411" s="46" t="str">
        <x:v>Section_4_List and price input table.xlsx</x:v>
      </x:c>
      <x:c r="C411" s="43" t="str">
        <x:v>.xlsx</x:v>
      </x:c>
      <x:c r="D411" s="61" t="n">
        <x:v>19629</x:v>
      </x:c>
      <x:c r="E411" s="43" t="str">
        <x:v>downloaded</x:v>
      </x:c>
      <x:c r="F411" s="43" t="str">
        <x:v>3af2df429e6c7d836b45230d128e65dd4c9b12c0aaf47e399f9f636ff3c9f480</x:v>
      </x:c>
      <x:c r="G411" s="46" t="str">
        <x:v>/Users/nomadresearch/Documents/Claude/Projects/koica-construction-tender/data/raw/L2023-00072-1/Section_4_List and price input table.xlsx</x:v>
      </x:c>
      <x:c r="H411" s="43" t="str">
        <x:v>2023-12-18 16:10:27</x:v>
      </x:c>
    </x:row>
    <x:row r="412">
      <x:c r="A412" s="43" t="str">
        <x:v>L2023-00072-1</x:v>
      </x:c>
      <x:c r="B412" s="46" t="str">
        <x:v>Section_5_6_Equipment list and construction site information.docx</x:v>
      </x:c>
      <x:c r="C412" s="43" t="str">
        <x:v>.docx</x:v>
      </x:c>
      <x:c r="D412" s="61" t="n">
        <x:v>4239036</x:v>
      </x:c>
      <x:c r="E412" s="43" t="str">
        <x:v>downloaded</x:v>
      </x:c>
      <x:c r="F412" s="43" t="str">
        <x:v>362e1a2903e623e66833c5439e34266df97d235d40464a413d90c1b5b4dc389d</x:v>
      </x:c>
      <x:c r="G412" s="46" t="str">
        <x:v>/Users/nomadresearch/Documents/Claude/Projects/koica-construction-tender/data/raw/L2023-00072-1/Section_5_6_Equipment list and construction site information.docx</x:v>
      </x:c>
      <x:c r="H412" s="43" t="str">
        <x:v>2023-12-18 16:10:27</x:v>
      </x:c>
    </x:row>
    <x:row r="413">
      <x:c r="A413" s="43" t="str">
        <x:v>L2023-00072-1</x:v>
      </x:c>
      <x:c r="B413" s="46" t="str">
        <x:v>Section_7_General Conditions of Contract.docx</x:v>
      </x:c>
      <x:c r="C413" s="43" t="str">
        <x:v>.docx</x:v>
      </x:c>
      <x:c r="D413" s="61" t="n">
        <x:v>56338</x:v>
      </x:c>
      <x:c r="E413" s="43" t="str">
        <x:v>downloaded</x:v>
      </x:c>
      <x:c r="F413" s="43" t="str">
        <x:v>65ca581d0886ddb48c8adcc4a2e82bf31628e136e2478db3d1f932fae3b0fc0d</x:v>
      </x:c>
      <x:c r="G413" s="46" t="str">
        <x:v>/Users/nomadresearch/Documents/Claude/Projects/koica-construction-tender/data/raw/L2023-00072-1/Section_7_General Conditions of Contract.docx</x:v>
      </x:c>
      <x:c r="H413" s="43" t="str">
        <x:v>2023-12-18 16:10:27</x:v>
      </x:c>
    </x:row>
    <x:row r="414">
      <x:c r="A414" s="43" t="str">
        <x:v>L2023-00072-1</x:v>
      </x:c>
      <x:c r="B414" s="46" t="str">
        <x:v>Summary of the bidding_Final.docx</x:v>
      </x:c>
      <x:c r="C414" s="43" t="str">
        <x:v>.docx</x:v>
      </x:c>
      <x:c r="D414" s="61" t="n">
        <x:v>22004</x:v>
      </x:c>
      <x:c r="E414" s="43" t="str">
        <x:v>downloaded</x:v>
      </x:c>
      <x:c r="F414" s="43" t="str">
        <x:v>7c8c1d1bd347c39302e021214b55c3ae576c8a442a98d2686473fab2b7773daf</x:v>
      </x:c>
      <x:c r="G414" s="46" t="str">
        <x:v>/Users/nomadresearch/Documents/Claude/Projects/koica-construction-tender/data/raw/L2023-00072-1/Summary of the bidding_Final.docx</x:v>
      </x:c>
      <x:c r="H414" s="43" t="str">
        <x:v>2023-12-18 16:10:27</x:v>
      </x:c>
    </x:row>
    <x:row r="415">
      <x:c r="A415" s="43" t="str">
        <x:v>L2023-00071-1</x:v>
      </x:c>
      <x:c r="B415" s="46" t="str">
        <x:v>붙임 2. Bid Announcement_입찰공고문(영문)_Final.docx</x:v>
      </x:c>
      <x:c r="C415" s="43" t="str">
        <x:v>.docx</x:v>
      </x:c>
      <x:c r="D415" s="61" t="n">
        <x:v>32735</x:v>
      </x:c>
      <x:c r="E415" s="43" t="str">
        <x:v>downloaded</x:v>
      </x:c>
      <x:c r="F415" s="43" t="str">
        <x:v>2f258d8e85d5667fbad91088bbb11c2d1238c78ce39da9a135eb40ba4304bb5c</x:v>
      </x:c>
      <x:c r="G415" s="46" t="str">
        <x:v>/Users/nomadresearch/Documents/Claude/Projects/koica-construction-tender/data/raw/L2023-00071-1/붙임 2. Bid Announcement_입찰공고문(영문)_Final.docx</x:v>
      </x:c>
      <x:c r="H415" s="43" t="str">
        <x:v>2023-12-21 12:46:05</x:v>
      </x:c>
    </x:row>
    <x:row r="416">
      <x:c r="A416" s="43" t="str">
        <x:v>L2023-00071-1</x:v>
      </x:c>
      <x:c r="B416" s="46" t="str">
        <x:v>붙임 3. 기타 입찰서류.zip</x:v>
      </x:c>
      <x:c r="C416" s="43" t="str">
        <x:v>.zip</x:v>
      </x:c>
      <x:c r="D416" s="61" t="n">
        <x:v>1053417</x:v>
      </x:c>
      <x:c r="E416" s="43" t="str">
        <x:v>downloaded</x:v>
      </x:c>
      <x:c r="F416" s="43" t="str">
        <x:v>cd930a5afbfd26840c13c7c105f8b4c8835866cb05d41654da5e409c359148ed</x:v>
      </x:c>
      <x:c r="G416" s="46" t="str">
        <x:v>/Users/nomadresearch/Documents/Claude/Projects/koica-construction-tender/data/raw/L2023-00071-1/붙임 3. 기타 입찰서류.zip</x:v>
      </x:c>
      <x:c r="H416" s="43" t="str">
        <x:v>2023-12-21 12:46:05</x:v>
      </x:c>
    </x:row>
    <x:row r="417">
      <x:c r="A417" s="43" t="str">
        <x:v>L2023-00070-2</x:v>
      </x:c>
      <x:c r="B417" s="46" t="str">
        <x:v>(볼리비아) 라파스 주 임상병리검사실 체계 강화사업(2022-2026_700만불) 현지 설계입찰 유찰보고 및 재공고 계획(안).hwp</x:v>
      </x:c>
      <x:c r="C417" s="43" t="str">
        <x:v>.hwp</x:v>
      </x:c>
      <x:c r="D417" s="61" t="n">
        <x:v>163840</x:v>
      </x:c>
      <x:c r="E417" s="43" t="str">
        <x:v>downloaded</x:v>
      </x:c>
      <x:c r="F417" s="43" t="str">
        <x:v>8ea8410294dc9e82fbf79c7a78e27a61e4f8e03ecfb3556759822261893b56b7</x:v>
      </x:c>
      <x:c r="G417" s="46" t="str">
        <x:v>/Users/nomadresearch/Documents/Claude/Projects/koica-construction-tender/data/raw/L2023-00070-2/(볼리비아) 라파스 주 임상병리검사실 체계 강화사업(2022-2026_700만불) 현지 설계입찰 유찰보고 및 재공고 계획(안).hwp</x:v>
      </x:c>
      <x:c r="H417" s="43" t="str">
        <x:v>2023-12-05 08:14:48</x:v>
      </x:c>
    </x:row>
    <x:row r="418">
      <x:c r="A418" s="43" t="str">
        <x:v>L2023-00070-2</x:v>
      </x:c>
      <x:c r="B418" s="46" t="str">
        <x:v>붙임1. 라파스 주 임상병리 검사실 설계 입찰 결과(유찰) 보고.hwp</x:v>
      </x:c>
      <x:c r="C418" s="43" t="str">
        <x:v>.hwp</x:v>
      </x:c>
      <x:c r="D418" s="61" t="n">
        <x:v>33280</x:v>
      </x:c>
      <x:c r="E418" s="43" t="str">
        <x:v>downloaded</x:v>
      </x:c>
      <x:c r="F418" s="43" t="str">
        <x:v>b63fc28faabaeb412f9436608f46e5227fbeef7fd345b3fc2781f201bbae99c3</x:v>
      </x:c>
      <x:c r="G418" s="46" t="str">
        <x:v>/Users/nomadresearch/Documents/Claude/Projects/koica-construction-tender/data/raw/L2023-00070-2/붙임1. 라파스 주 임상병리 검사실 설계 입찰 결과(유찰) 보고.hwp</x:v>
      </x:c>
      <x:c r="H418" s="43" t="str">
        <x:v>2023-12-05 08:14:48</x:v>
      </x:c>
    </x:row>
    <x:row r="419">
      <x:c r="A419" s="43" t="str">
        <x:v>L2023-00070-2</x:v>
      </x:c>
      <x:c r="B419" s="46" t="str">
        <x:v>붙임2. 재공고 입찰계획안_231029.hwp</x:v>
      </x:c>
      <x:c r="C419" s="43" t="str">
        <x:v>.hwp</x:v>
      </x:c>
      <x:c r="D419" s="61" t="n">
        <x:v>1275392</x:v>
      </x:c>
      <x:c r="E419" s="43" t="str">
        <x:v>downloaded</x:v>
      </x:c>
      <x:c r="F419" s="43" t="str">
        <x:v>b2cfa9c9a39c4412187ac7e932269e115643cd82bebf3cf42f46238dded9b564</x:v>
      </x:c>
      <x:c r="G419" s="46" t="str">
        <x:v>/Users/nomadresearch/Documents/Claude/Projects/koica-construction-tender/data/raw/L2023-00070-2/붙임2. 재공고 입찰계획안_231029.hwp</x:v>
      </x:c>
      <x:c r="H419" s="43" t="str">
        <x:v>2023-12-05 08:14:48</x:v>
      </x:c>
    </x:row>
    <x:row r="420">
      <x:c r="A420" s="43" t="str">
        <x:v>L2023-00070-2</x:v>
      </x:c>
      <x:c r="B420" s="46" t="str">
        <x:v>붙임3. (입찰서류-영문) LDRL-설계입찰_1029.zip</x:v>
      </x:c>
      <x:c r="C420" s="43" t="str">
        <x:v>.zip</x:v>
      </x:c>
      <x:c r="D420" s="61" t="n">
        <x:v>2116652</x:v>
      </x:c>
      <x:c r="E420" s="43" t="str">
        <x:v>downloaded</x:v>
      </x:c>
      <x:c r="F420" s="43" t="str">
        <x:v>4167448df6fba78e0404f02383057fbbe4001e92a9a3379300cc2e66ea2535ec</x:v>
      </x:c>
      <x:c r="G420" s="46" t="str">
        <x:v>/Users/nomadresearch/Documents/Claude/Projects/koica-construction-tender/data/raw/L2023-00070-2/붙임3. (입찰서류-영문) LDRL-설계입찰_1029.zip</x:v>
      </x:c>
      <x:c r="H420" s="43" t="str">
        <x:v>2023-12-05 08:14:48</x:v>
      </x:c>
    </x:row>
    <x:row r="421">
      <x:c r="A421" s="43" t="str">
        <x:v>L2023-00070-2</x:v>
      </x:c>
      <x:c r="B421" s="46" t="str">
        <x:v>붙임4. (관련규정) KOICA Regulations.zip</x:v>
      </x:c>
      <x:c r="C421" s="43" t="str">
        <x:v>.zip</x:v>
      </x:c>
      <x:c r="D421" s="61" t="n">
        <x:v>1729598</x:v>
      </x:c>
      <x:c r="E421" s="43" t="str">
        <x:v>downloaded</x:v>
      </x:c>
      <x:c r="F421" s="43" t="str">
        <x:v>80228d7d5f85ed824b1c12e5f6004f9e40362af75c8fd73621f0aad67fb86b7a</x:v>
      </x:c>
      <x:c r="G421" s="46" t="str">
        <x:v>/Users/nomadresearch/Documents/Claude/Projects/koica-construction-tender/data/raw/L2023-00070-2/붙임4. (관련규정) KOICA Regulations.zip</x:v>
      </x:c>
      <x:c r="H421" s="43" t="str">
        <x:v>2023-12-05 08:14:48</x:v>
      </x:c>
    </x:row>
    <x:row r="422">
      <x:c r="A422" s="43" t="str">
        <x:v>L2023-00070-1</x:v>
      </x:c>
      <x:c r="B422" s="46" t="str">
        <x:v>(볼리비아) 라파스 주 임상병리검사실 체계 강화사업(2022-2026_700만불) 현지 설계사 선정 입찰계획(안).hwp</x:v>
      </x:c>
      <x:c r="C422" s="43" t="str">
        <x:v>.hwp</x:v>
      </x:c>
      <x:c r="D422" s="61" t="n">
        <x:v>163840</x:v>
      </x:c>
      <x:c r="E422" s="43" t="str">
        <x:v>downloaded</x:v>
      </x:c>
      <x:c r="F422" s="43" t="str">
        <x:v>a4bd980e62de971fe9a7fc2d1b546fb585d2c5b7a6569b8922cac9a74e4d0a7d</x:v>
      </x:c>
      <x:c r="G422" s="46" t="str">
        <x:v>/Users/nomadresearch/Documents/Claude/Projects/koica-construction-tender/data/raw/L2023-00070-1/(볼리비아) 라파스 주 임상병리검사실 체계 강화사업(2022-2026_700만불) 현지 설계사 선정 입찰계획(안).hwp</x:v>
      </x:c>
      <x:c r="H422" s="43" t="str">
        <x:v>2023-12-05 08:02:13</x:v>
      </x:c>
    </x:row>
    <x:row r="423">
      <x:c r="A423" s="43" t="str">
        <x:v>L2023-00070-1</x:v>
      </x:c>
      <x:c r="B423" s="46" t="str">
        <x:v>1-1. (본부확인본) (입찰설명서) 라파즈주임상병리검사실 설계용역 입찰설명서.hwp</x:v>
      </x:c>
      <x:c r="C423" s="43" t="str">
        <x:v>.hwp</x:v>
      </x:c>
      <x:c r="D423" s="61" t="n">
        <x:v>1297920</x:v>
      </x:c>
      <x:c r="E423" s="43" t="str">
        <x:v>downloaded</x:v>
      </x:c>
      <x:c r="F423" s="43" t="str">
        <x:v>bb440e2c844557d465a5c6b8397857f24c8b92abc5b0f50f78ef5c96a3588c3f</x:v>
      </x:c>
      <x:c r="G423" s="46" t="str">
        <x:v>/Users/nomadresearch/Documents/Claude/Projects/koica-construction-tender/data/raw/L2023-00070-1/1-1. (본부확인본) (입찰설명서) 라파즈주임상병리검사실 설계용역 입찰설명서.hwp</x:v>
      </x:c>
      <x:c r="H423" s="43" t="str">
        <x:v>2023-12-05 08:02:13</x:v>
      </x:c>
    </x:row>
    <x:row r="424">
      <x:c r="A424" s="43" t="str">
        <x:v>L2023-00070-1</x:v>
      </x:c>
      <x:c r="B424" s="46" t="str">
        <x:v>1-2. (클린버전) (입찰설명서) 라파즈주임상병리검사실 설계용역 입찰설명서.hwp</x:v>
      </x:c>
      <x:c r="C424" s="43" t="str">
        <x:v>.hwp</x:v>
      </x:c>
      <x:c r="D424" s="61" t="n">
        <x:v>1288704</x:v>
      </x:c>
      <x:c r="E424" s="43" t="str">
        <x:v>downloaded</x:v>
      </x:c>
      <x:c r="F424" s="43" t="str">
        <x:v>a1ed131bb36caa618c89cf3d59652c6a936f2c6e7603e115a5a8070e56e16587</x:v>
      </x:c>
      <x:c r="G424" s="46" t="str">
        <x:v>/Users/nomadresearch/Documents/Claude/Projects/koica-construction-tender/data/raw/L2023-00070-1/1-2. (클린버전) (입찰설명서) 라파즈주임상병리검사실 설계용역 입찰설명서.hwp</x:v>
      </x:c>
      <x:c r="H424" s="43" t="str">
        <x:v>2023-12-05 08:02:13</x:v>
      </x:c>
    </x:row>
    <x:row r="425">
      <x:c r="A425" s="43" t="str">
        <x:v>L2023-00070-1</x:v>
      </x:c>
      <x:c r="B425" s="46" t="str">
        <x:v>2. (입찰서류-영문) LDRL-설계입찰.zip</x:v>
      </x:c>
      <x:c r="C425" s="43" t="str">
        <x:v>.zip</x:v>
      </x:c>
      <x:c r="D425" s="61" t="n">
        <x:v>2100832</x:v>
      </x:c>
      <x:c r="E425" s="43" t="str">
        <x:v>downloaded</x:v>
      </x:c>
      <x:c r="F425" s="43" t="str">
        <x:v>c7722c3178d6ce9357937d379ae99c3682237d0964274d6e56488ea37c06348e</x:v>
      </x:c>
      <x:c r="G425" s="46" t="str">
        <x:v>/Users/nomadresearch/Documents/Claude/Projects/koica-construction-tender/data/raw/L2023-00070-1/2. (입찰서류-영문) LDRL-설계입찰.zip</x:v>
      </x:c>
      <x:c r="H425" s="43" t="str">
        <x:v>2023-12-05 08:02:13</x:v>
      </x:c>
    </x:row>
    <x:row r="426">
      <x:c r="A426" s="43" t="str">
        <x:v>L2023-00070-1</x:v>
      </x:c>
      <x:c r="B426" s="46" t="str">
        <x:v>3. (관련규정) KOICA Regulations.zip</x:v>
      </x:c>
      <x:c r="C426" s="43" t="str">
        <x:v>.zip</x:v>
      </x:c>
      <x:c r="D426" s="61" t="n">
        <x:v>1729598</x:v>
      </x:c>
      <x:c r="E426" s="43" t="str">
        <x:v>downloaded</x:v>
      </x:c>
      <x:c r="F426" s="43" t="str">
        <x:v>80228d7d5f85ed824b1c12e5f6004f9e40362af75c8fd73621f0aad67fb86b7a</x:v>
      </x:c>
      <x:c r="G426" s="46" t="str">
        <x:v>/Users/nomadresearch/Documents/Claude/Projects/koica-construction-tender/data/raw/L2023-00070-1/3. (관련규정) KOICA Regulations.zip</x:v>
      </x:c>
      <x:c r="H426" s="43" t="str">
        <x:v>2023-12-05 08:02:13</x:v>
      </x:c>
    </x:row>
    <x:row r="427">
      <x:c r="A427" s="43" t="str">
        <x:v>L2023-00068-1</x:v>
      </x:c>
      <x:c r="B427" s="46" t="str">
        <x:v>붙임2. Notice of Bid (Draft).doc</x:v>
      </x:c>
      <x:c r="C427" s="43" t="str">
        <x:v>.doc</x:v>
      </x:c>
      <x:c r="D427" s="61" t="n">
        <x:v>73728</x:v>
      </x:c>
      <x:c r="E427" s="43" t="str">
        <x:v>downloaded</x:v>
      </x:c>
      <x:c r="F427" s="43" t="str">
        <x:v>6ecd90549ec1ea2b49936f0fb85fc57cc50774e83d1c0a09dbbd1360ac3667d0</x:v>
      </x:c>
      <x:c r="G427" s="46" t="str">
        <x:v>/Users/nomadresearch/Documents/Claude/Projects/koica-construction-tender/data/raw/L2023-00068-1/붙임2. Notice of Bid (Draft).doc</x:v>
      </x:c>
      <x:c r="H427" s="43" t="str">
        <x:v>2023-11-30 10:57:23</x:v>
      </x:c>
    </x:row>
    <x:row r="428">
      <x:c r="A428" s="43" t="str">
        <x:v>L2023-00068-1</x:v>
      </x:c>
      <x:c r="B428" s="46" t="str">
        <x:v>입찰공고 관련서류 최종본.zip</x:v>
      </x:c>
      <x:c r="C428" s="43" t="str">
        <x:v>.zip</x:v>
      </x:c>
      <x:c r="D428" s="61" t="n">
        <x:v>31155736</x:v>
      </x:c>
      <x:c r="E428" s="43" t="str">
        <x:v>downloaded</x:v>
      </x:c>
      <x:c r="F428" s="43" t="str">
        <x:v>e7f5512f27f30d121c9cc6e6ffd96bd2de9ad02236a4d60c162daa3a7d4d33e3</x:v>
      </x:c>
      <x:c r="G428" s="46" t="str">
        <x:v>/Users/nomadresearch/Documents/Claude/Projects/koica-construction-tender/data/raw/L2023-00068-1/입찰공고 관련서류 최종본.zip</x:v>
      </x:c>
      <x:c r="H428" s="43" t="str">
        <x:v>2023-11-30 10:57:23</x:v>
      </x:c>
    </x:row>
    <x:row r="429">
      <x:c r="A429" s="43" t="str">
        <x:v>L2023-00068-1</x:v>
      </x:c>
      <x:c r="B429" s="46" t="str">
        <x:v>(Additional Attachments) KOICA Regulations and Guidelines for Procurement.zip</x:v>
      </x:c>
      <x:c r="C429" s="43" t="str">
        <x:v>.zip</x:v>
      </x:c>
      <x:c r="D429" s="61" t="n">
        <x:v>2016427</x:v>
      </x:c>
      <x:c r="E429" s="43" t="str">
        <x:v>downloaded</x:v>
      </x:c>
      <x:c r="F429" s="43" t="str">
        <x:v>8aab55181048bab1a9a05c8d8411f56c7adcbc39aa1612d23a9384e9abceacc7</x:v>
      </x:c>
      <x:c r="G429" s="46" t="str">
        <x:v>/Users/nomadresearch/Documents/Claude/Projects/koica-construction-tender/data/raw/L2023-00068-1/(Additional Attachments) KOICA Regulations and Guidelines for Procurement.zip</x:v>
      </x:c>
      <x:c r="H429" s="43" t="str">
        <x:v>2023-11-30 10:57:23</x:v>
      </x:c>
    </x:row>
    <x:row r="430">
      <x:c r="A430" s="43" t="str">
        <x:v>L2023-00067-1</x:v>
      </x:c>
      <x:c r="B430" s="46" t="str">
        <x:v>ENG Version.zip</x:v>
      </x:c>
      <x:c r="C430" s="43" t="str">
        <x:v>.zip</x:v>
      </x:c>
      <x:c r="D430" s="61" t="n">
        <x:v>13541993</x:v>
      </x:c>
      <x:c r="E430" s="43" t="str">
        <x:v>downloaded</x:v>
      </x:c>
      <x:c r="F430" s="43" t="str">
        <x:v>b7518869e74fa6f89680b1bb6b505ddb2ba7094b04bd67469dcd0fdbf4bcf1a6</x:v>
      </x:c>
      <x:c r="G430" s="46" t="str">
        <x:v>/Users/nomadresearch/Documents/Claude/Projects/koica-construction-tender/data/raw/L2023-00067-1/ENG Version.zip</x:v>
      </x:c>
      <x:c r="H430" s="43" t="str">
        <x:v>2023-11-22 03:22:52</x:v>
      </x:c>
    </x:row>
    <x:row r="431">
      <x:c r="A431" s="43" t="str">
        <x:v>L2023-00067-1</x:v>
      </x:c>
      <x:c r="B431" s="46" t="str">
        <x:v>RUS Version.zip</x:v>
      </x:c>
      <x:c r="C431" s="43" t="str">
        <x:v>.zip</x:v>
      </x:c>
      <x:c r="D431" s="61" t="n">
        <x:v>13540704</x:v>
      </x:c>
      <x:c r="E431" s="43" t="str">
        <x:v>downloaded</x:v>
      </x:c>
      <x:c r="F431" s="43" t="str">
        <x:v>f4201d092a9c5194945927c4c5fee4ce0cea8febe57fee7ae8117341f92bfbbb</x:v>
      </x:c>
      <x:c r="G431" s="46" t="str">
        <x:v>/Users/nomadresearch/Documents/Claude/Projects/koica-construction-tender/data/raw/L2023-00067-1/RUS Version.zip</x:v>
      </x:c>
      <x:c r="H431" s="43" t="str">
        <x:v>2023-11-22 03:22:52</x:v>
      </x:c>
    </x:row>
    <x:row r="432">
      <x:c r="A432" s="43" t="str">
        <x:v>L2023-00065-1</x:v>
      </x:c>
      <x:c r="B432" s="46" t="str">
        <x:v>BID Announcement (English).docx</x:v>
      </x:c>
      <x:c r="C432" s="43" t="str">
        <x:v>.docx</x:v>
      </x:c>
      <x:c r="D432" s="61" t="n">
        <x:v>102142</x:v>
      </x:c>
      <x:c r="E432" s="43" t="str">
        <x:v>downloaded</x:v>
      </x:c>
      <x:c r="F432" s="43" t="str">
        <x:v>b276290312ff05178a9468ab34d55f36df00d9833bc14daf2f1ff2573967ef03</x:v>
      </x:c>
      <x:c r="G432" s="46" t="str">
        <x:v>/Users/nomadresearch/Documents/Claude/Projects/koica-construction-tender/data/raw/L2023-00065-1/BID Announcement (English).docx</x:v>
      </x:c>
      <x:c r="H432" s="43" t="str">
        <x:v>2023-11-13 21:20:28</x:v>
      </x:c>
    </x:row>
    <x:row r="433">
      <x:c r="A433" s="43" t="str">
        <x:v>L2023-00065-1</x:v>
      </x:c>
      <x:c r="B433" s="46" t="str">
        <x:v>BID_Announcement_Daily_News_of_Korean_Residents.docx</x:v>
      </x:c>
      <x:c r="C433" s="43" t="str">
        <x:v>.docx</x:v>
      </x:c>
      <x:c r="D433" s="61" t="n">
        <x:v>33976</x:v>
      </x:c>
      <x:c r="E433" s="43" t="str">
        <x:v>downloaded</x:v>
      </x:c>
      <x:c r="F433" s="43" t="str">
        <x:v>742227f4862f395197c697a248e80ca570552d96a0e2ee6fe48cead5df638532</x:v>
      </x:c>
      <x:c r="G433" s="46" t="str">
        <x:v>/Users/nomadresearch/Documents/Claude/Projects/koica-construction-tender/data/raw/L2023-00065-1/BID_Announcement_Daily_News_of_Korean_Residents.docx</x:v>
      </x:c>
      <x:c r="H433" s="43" t="str">
        <x:v>2023-11-13 21:20:28</x:v>
      </x:c>
    </x:row>
    <x:row r="434">
      <x:c r="A434" s="43" t="str">
        <x:v>L2023-00065-1</x:v>
      </x:c>
      <x:c r="B434" s="46" t="str">
        <x:v>Letter of Interest.docx</x:v>
      </x:c>
      <x:c r="C434" s="43" t="str">
        <x:v>.docx</x:v>
      </x:c>
      <x:c r="D434" s="61" t="n">
        <x:v>18338</x:v>
      </x:c>
      <x:c r="E434" s="43" t="str">
        <x:v>downloaded</x:v>
      </x:c>
      <x:c r="F434" s="43" t="str">
        <x:v>352a3c1c2490b68e22cd9b409b6bf31e1858731ebc1912e7b65d868c812d4d54</x:v>
      </x:c>
      <x:c r="G434" s="46" t="str">
        <x:v>/Users/nomadresearch/Documents/Claude/Projects/koica-construction-tender/data/raw/L2023-00065-1/Letter of Interest.docx</x:v>
      </x:c>
      <x:c r="H434" s="43" t="str">
        <x:v>2023-11-13 21:20:28</x:v>
      </x:c>
    </x:row>
    <x:row r="435">
      <x:c r="A435" s="43" t="str">
        <x:v>L2023-00065-1</x:v>
      </x:c>
      <x:c r="B435" s="46" t="str">
        <x:v>Pre-Bid Explaination Meeting PPT.pptx</x:v>
      </x:c>
      <x:c r="C435" s="43" t="str">
        <x:v>.pptx</x:v>
      </x:c>
      <x:c r="D435" s="61" t="n">
        <x:v>2996234</x:v>
      </x:c>
      <x:c r="E435" s="43" t="str">
        <x:v>downloaded</x:v>
      </x:c>
      <x:c r="F435" s="43" t="str">
        <x:v>8b1c3b58ff68352e25f3d755318a12fc35d6261014f5cfafb742ef1a8f0e657d</x:v>
      </x:c>
      <x:c r="G435" s="46" t="str">
        <x:v>/Users/nomadresearch/Documents/Claude/Projects/koica-construction-tender/data/raw/L2023-00065-1/Pre-Bid Explaination Meeting PPT.pptx</x:v>
      </x:c>
      <x:c r="H435" s="43" t="str">
        <x:v>2023-11-13 21:20:28</x:v>
      </x:c>
    </x:row>
    <x:row r="436">
      <x:c r="A436" s="43" t="str">
        <x:v>L2023-00065-1</x:v>
      </x:c>
      <x:c r="B436" s="46" t="str">
        <x:v>(attached) Pre_school_Education_Complex_Constsruction_Supervision_Contractor.zip</x:v>
      </x:c>
      <x:c r="C436" s="43" t="str">
        <x:v>.zip</x:v>
      </x:c>
      <x:c r="D436" s="61" t="n">
        <x:v>369842</x:v>
      </x:c>
      <x:c r="E436" s="43" t="str">
        <x:v>downloaded</x:v>
      </x:c>
      <x:c r="F436" s="43" t="str">
        <x:v>e5822262e8dc8b5ab61b96a204798d1ef41f0e6b9a8d791dab1bbe789c31f6ce</x:v>
      </x:c>
      <x:c r="G436" s="46" t="str">
        <x:v>/Users/nomadresearch/Documents/Claude/Projects/koica-construction-tender/data/raw/L2023-00065-1/(attached) Pre_school_Education_Complex_Constsruction_Supervision_Contractor.zip</x:v>
      </x:c>
      <x:c r="H436" s="43" t="str">
        <x:v>2023-11-13 21:20:28</x:v>
      </x:c>
    </x:row>
    <x:row r="437">
      <x:c r="A437" s="43" t="str">
        <x:v>L2023-00061-1</x:v>
      </x:c>
      <x:c r="B437" s="46" t="str">
        <x:v>붙임 1. 입찰 계획서(안).hwp</x:v>
      </x:c>
      <x:c r="C437" s="43" t="str">
        <x:v>.hwp</x:v>
      </x:c>
      <x:c r="D437" s="61" t="n">
        <x:v>450048</x:v>
      </x:c>
      <x:c r="E437" s="43" t="str">
        <x:v>downloaded</x:v>
      </x:c>
      <x:c r="F437" s="43" t="str">
        <x:v>1847a9bd384008175c792b86093cf85e01e3d35637ee336defb020797acdc3d3</x:v>
      </x:c>
      <x:c r="G437" s="46" t="str">
        <x:v>/Users/nomadresearch/Documents/Claude/Projects/koica-construction-tender/data/raw/L2023-00061-1/붙임 1. 입찰 계획서(안).hwp</x:v>
      </x:c>
      <x:c r="H437" s="43" t="str">
        <x:v>2023-10-18 19:49:11</x:v>
      </x:c>
    </x:row>
    <x:row r="438">
      <x:c r="A438" s="43" t="str">
        <x:v>L2023-00061-1</x:v>
      </x:c>
      <x:c r="B438" s="46" t="str">
        <x:v>붙임 2. 입찰 공고문.zip</x:v>
      </x:c>
      <x:c r="C438" s="43" t="str">
        <x:v>.zip</x:v>
      </x:c>
      <x:c r="D438" s="61" t="n">
        <x:v>48994</x:v>
      </x:c>
      <x:c r="E438" s="43" t="str">
        <x:v>downloaded</x:v>
      </x:c>
      <x:c r="F438" s="43" t="str">
        <x:v>4f89e5ad1a740d2dcd0d7e857b030755072b8a332fb73fb8925d04ac4dc77254</x:v>
      </x:c>
      <x:c r="G438" s="46" t="str">
        <x:v>/Users/nomadresearch/Documents/Claude/Projects/koica-construction-tender/data/raw/L2023-00061-1/붙임 2. 입찰 공고문.zip</x:v>
      </x:c>
      <x:c r="H438" s="43" t="str">
        <x:v>2023-10-18 19:49:11</x:v>
      </x:c>
    </x:row>
    <x:row r="439">
      <x:c r="A439" s="43" t="str">
        <x:v>L2023-00061-1</x:v>
      </x:c>
      <x:c r="B439" s="46" t="str">
        <x:v>붙임 3. 입찰 문서.zip</x:v>
      </x:c>
      <x:c r="C439" s="43" t="str">
        <x:v>.zip</x:v>
      </x:c>
      <x:c r="D439" s="61" t="n">
        <x:v>9810860</x:v>
      </x:c>
      <x:c r="E439" s="43" t="str">
        <x:v>downloaded</x:v>
      </x:c>
      <x:c r="F439" s="43" t="str">
        <x:v>1b9f80d9333b162aef97658bcfa97ba0f3c5fca06b1c4d231e5f03ac284fcbec</x:v>
      </x:c>
      <x:c r="G439" s="46" t="str">
        <x:v>/Users/nomadresearch/Documents/Claude/Projects/koica-construction-tender/data/raw/L2023-00061-1/붙임 3. 입찰 문서.zip</x:v>
      </x:c>
      <x:c r="H439" s="43" t="str">
        <x:v>2023-10-18 19:49:11</x:v>
      </x:c>
    </x:row>
    <x:row r="440">
      <x:c r="A440" s="43" t="str">
        <x:v>L2023-00061-1</x:v>
      </x:c>
      <x:c r="B440" s="46" t="str">
        <x:v>붙임 4. 입찰 공고 견적.zip</x:v>
      </x:c>
      <x:c r="C440" s="43" t="str">
        <x:v>.zip</x:v>
      </x:c>
      <x:c r="D440" s="61" t="n">
        <x:v>1867235</x:v>
      </x:c>
      <x:c r="E440" s="43" t="str">
        <x:v>downloaded</x:v>
      </x:c>
      <x:c r="F440" s="43" t="str">
        <x:v>324894032d083d14060198dd4b0642706febe04c89a0989514911663d5b0f6a0</x:v>
      </x:c>
      <x:c r="G440" s="46" t="str">
        <x:v>/Users/nomadresearch/Documents/Claude/Projects/koica-construction-tender/data/raw/L2023-00061-1/붙임 4. 입찰 공고 견적.zip</x:v>
      </x:c>
      <x:c r="H440" s="43" t="str">
        <x:v>2023-10-18 19:49:11</x:v>
      </x:c>
    </x:row>
    <x:row r="441">
      <x:c r="A441" s="43" t="str">
        <x:v>L2023-00061-1</x:v>
      </x:c>
      <x:c r="B441" s="46" t="str">
        <x:v>붙임 5. 주재국 조달 지침(Federal Procument Directive).pdf</x:v>
      </x:c>
      <x:c r="C441" s="43" t="str">
        <x:v>.pdf</x:v>
      </x:c>
      <x:c r="D441" s="61" t="n">
        <x:v>426307</x:v>
      </x:c>
      <x:c r="E441" s="43" t="str">
        <x:v>downloaded</x:v>
      </x:c>
      <x:c r="F441" s="43" t="str">
        <x:v>e7b9e10b1d9b66ad704580bcfdbfadf80231f4adcf66246550db2c41a0a8010f</x:v>
      </x:c>
      <x:c r="G441" s="46" t="str">
        <x:v>/Users/nomadresearch/Documents/Claude/Projects/koica-construction-tender/data/raw/L2023-00061-1/붙임 5. 주재국 조달 지침(Federal Procument Directive).pdf</x:v>
      </x:c>
      <x:c r="H441" s="43" t="str">
        <x:v>2023-10-18 19:49:11</x:v>
      </x:c>
    </x:row>
    <x:row r="442">
      <x:c r="A442" s="43" t="str">
        <x:v>L2023-00060-1</x:v>
      </x:c>
      <x:c r="B442" s="46" t="str">
        <x:v>붙임 1. 입찰공고문 및 서류_영문.zip</x:v>
      </x:c>
      <x:c r="C442" s="43" t="str">
        <x:v>.zip</x:v>
      </x:c>
      <x:c r="D442" s="61" t="n">
        <x:v>1111290</x:v>
      </x:c>
      <x:c r="E442" s="43" t="str">
        <x:v>downloaded</x:v>
      </x:c>
      <x:c r="F442" s="43" t="str">
        <x:v>6d190a5e4076dcccc3d9f0cc566cbc17e2acef191eea78fbd20574b427bb7308</x:v>
      </x:c>
      <x:c r="G442" s="46" t="str">
        <x:v>/Users/nomadresearch/Documents/Claude/Projects/koica-construction-tender/data/raw/L2023-00060-1/붙임 1. 입찰공고문 및 서류_영문.zip</x:v>
      </x:c>
      <x:c r="H442" s="43" t="str">
        <x:v>2023-10-07 01:02:02</x:v>
      </x:c>
    </x:row>
    <x:row r="443">
      <x:c r="A443" s="43" t="str">
        <x:v>L2023-00060-1</x:v>
      </x:c>
      <x:c r="B443" s="46" t="str">
        <x:v>붙임 2. 입찰공고문 및 서류_서문.zip</x:v>
      </x:c>
      <x:c r="C443" s="43" t="str">
        <x:v>.zip</x:v>
      </x:c>
      <x:c r="D443" s="61" t="n">
        <x:v>1183172</x:v>
      </x:c>
      <x:c r="E443" s="43" t="str">
        <x:v>downloaded</x:v>
      </x:c>
      <x:c r="F443" s="43" t="str">
        <x:v>58847121a62dd6a5cc2481df9a98ed1ce90c6cb522fede19616fccfef9cdddca</x:v>
      </x:c>
      <x:c r="G443" s="46" t="str">
        <x:v>/Users/nomadresearch/Documents/Claude/Projects/koica-construction-tender/data/raw/L2023-00060-1/붙임 2. 입찰공고문 및 서류_서문.zip</x:v>
      </x:c>
      <x:c r="H443" s="43" t="str">
        <x:v>2023-10-07 01:02:02</x:v>
      </x:c>
    </x:row>
    <x:row r="444">
      <x:c r="A444" s="43" t="str">
        <x:v>L2023-00058-1</x:v>
      </x:c>
      <x:c r="B444" s="46" t="str">
        <x:v>Section 8 - Special Conditions of Contract.pdf</x:v>
      </x:c>
      <x:c r="C444" s="43" t="str">
        <x:v>.pdf</x:v>
      </x:c>
      <x:c r="D444" s="61" t="n">
        <x:v>287401</x:v>
      </x:c>
      <x:c r="E444" s="43" t="str">
        <x:v>downloaded</x:v>
      </x:c>
      <x:c r="F444" s="43" t="str">
        <x:v>25a4b793a0789e8f9fef7085cf77bc7637a7e884b3401237c92118ef6ea90ea1</x:v>
      </x:c>
      <x:c r="G444" s="46" t="str">
        <x:v>/Users/nomadresearch/Documents/Claude/Projects/koica-construction-tender/data/raw/L2023-00058-1/Section 8 - Special Conditions of Contract.pdf</x:v>
      </x:c>
      <x:c r="H444" s="43" t="str">
        <x:v>2023-09-26 02:16:31</x:v>
      </x:c>
    </x:row>
    <x:row r="445">
      <x:c r="A445" s="43" t="str">
        <x:v>L2023-00058-1</x:v>
      </x:c>
      <x:c r="B445" s="46" t="str">
        <x:v>Section 9 - Contract Forms.pdf</x:v>
      </x:c>
      <x:c r="C445" s="43" t="str">
        <x:v>.pdf</x:v>
      </x:c>
      <x:c r="D445" s="61" t="n">
        <x:v>109960</x:v>
      </x:c>
      <x:c r="E445" s="43" t="str">
        <x:v>downloaded</x:v>
      </x:c>
      <x:c r="F445" s="43" t="str">
        <x:v>cf2659d57041b4da27f48905f0d2fc11e1331adef624b39272ee6b617a3bea0b</x:v>
      </x:c>
      <x:c r="G445" s="46" t="str">
        <x:v>/Users/nomadresearch/Documents/Claude/Projects/koica-construction-tender/data/raw/L2023-00058-1/Section 9 - Contract Forms.pdf</x:v>
      </x:c>
      <x:c r="H445" s="43" t="str">
        <x:v>2023-09-26 02:16:31</x:v>
      </x:c>
    </x:row>
    <x:row r="446">
      <x:c r="A446" s="43" t="str">
        <x:v>L2023-00058-1</x:v>
      </x:c>
      <x:c r="B446" s="46" t="str">
        <x:v>Section 1 - Instructions to Bidders (ITB).pdf</x:v>
      </x:c>
      <x:c r="C446" s="43" t="str">
        <x:v>.pdf</x:v>
      </x:c>
      <x:c r="D446" s="61" t="n">
        <x:v>119325</x:v>
      </x:c>
      <x:c r="E446" s="43" t="str">
        <x:v>downloaded</x:v>
      </x:c>
      <x:c r="F446" s="43" t="str">
        <x:v>66019999bdde00909321790b6a534db0bb14fb22c40b0e43ac81ee69cb92731e</x:v>
      </x:c>
      <x:c r="G446" s="46" t="str">
        <x:v>/Users/nomadresearch/Documents/Claude/Projects/koica-construction-tender/data/raw/L2023-00058-1/Section 1 - Instructions to Bidders (ITB).pdf</x:v>
      </x:c>
      <x:c r="H446" s="43" t="str">
        <x:v>2023-09-26 02:16:31</x:v>
      </x:c>
    </x:row>
    <x:row r="447">
      <x:c r="A447" s="43" t="str">
        <x:v>L2023-00058-1</x:v>
      </x:c>
      <x:c r="B447" s="46" t="str">
        <x:v>Section 2 - Bid Data Sheet_reannouncement_final.pdf</x:v>
      </x:c>
      <x:c r="C447" s="43" t="str">
        <x:v>.pdf</x:v>
      </x:c>
      <x:c r="D447" s="61" t="n">
        <x:v>531983</x:v>
      </x:c>
      <x:c r="E447" s="43" t="str">
        <x:v>downloaded</x:v>
      </x:c>
      <x:c r="F447" s="43" t="str">
        <x:v>d6de3fb797be8d91eb3dba1014ba8e6dc2188b7c253fdb4d2e68b4037f4aa632</x:v>
      </x:c>
      <x:c r="G447" s="46" t="str">
        <x:v>/Users/nomadresearch/Documents/Claude/Projects/koica-construction-tender/data/raw/L2023-00058-1/Section 2 - Bid Data Sheet_reannouncement_final.pdf</x:v>
      </x:c>
      <x:c r="H447" s="43" t="str">
        <x:v>2023-09-26 02:16:31</x:v>
      </x:c>
    </x:row>
    <x:row r="448">
      <x:c r="A448" s="43" t="str">
        <x:v>L2023-00058-1</x:v>
      </x:c>
      <x:c r="B448" s="46" t="str">
        <x:v>Section 3 - Bidding Forms (영문).pdf</x:v>
      </x:c>
      <x:c r="C448" s="43" t="str">
        <x:v>.pdf</x:v>
      </x:c>
      <x:c r="D448" s="61" t="n">
        <x:v>430716</x:v>
      </x:c>
      <x:c r="E448" s="43" t="str">
        <x:v>downloaded</x:v>
      </x:c>
      <x:c r="F448" s="43" t="str">
        <x:v>ca1c9295ea6c20fa589b3bc1b612a4c4ecbe0cb99adc0732432d2e68394b7a87</x:v>
      </x:c>
      <x:c r="G448" s="46" t="str">
        <x:v>/Users/nomadresearch/Documents/Claude/Projects/koica-construction-tender/data/raw/L2023-00058-1/Section 3 - Bidding Forms (영문).pdf</x:v>
      </x:c>
      <x:c r="H448" s="43" t="str">
        <x:v>2023-09-26 02:16:31</x:v>
      </x:c>
    </x:row>
    <x:row r="449">
      <x:c r="A449" s="43" t="str">
        <x:v>L2023-00058-1</x:v>
      </x:c>
      <x:c r="B449" s="46" t="str">
        <x:v>Section 7 - General Conditions of Contract.pdf</x:v>
      </x:c>
      <x:c r="C449" s="43" t="str">
        <x:v>.pdf</x:v>
      </x:c>
      <x:c r="D449" s="61" t="n">
        <x:v>1063868</x:v>
      </x:c>
      <x:c r="E449" s="43" t="str">
        <x:v>downloaded</x:v>
      </x:c>
      <x:c r="F449" s="43" t="str">
        <x:v>956903405a19d9d751317c42bae07de970891a20c126ff129295a4eed94d5b0b</x:v>
      </x:c>
      <x:c r="G449" s="46" t="str">
        <x:v>/Users/nomadresearch/Documents/Claude/Projects/koica-construction-tender/data/raw/L2023-00058-1/Section 7 - General Conditions of Contract.pdf</x:v>
      </x:c>
      <x:c r="H449" s="43" t="str">
        <x:v>2023-09-26 02:16:31</x:v>
      </x:c>
    </x:row>
    <x:row r="450">
      <x:c r="A450" s="43" t="str">
        <x:v>L2023-00057-1</x:v>
      </x:c>
      <x:c r="B450" s="46" t="str">
        <x:v>1. 국문 입찰계획_엘살바도르 국립보건교육센터 감리입찰_v4.hwp</x:v>
      </x:c>
      <x:c r="C450" s="43" t="str">
        <x:v>.hwp</x:v>
      </x:c>
      <x:c r="D450" s="61" t="n">
        <x:v>80896</x:v>
      </x:c>
      <x:c r="E450" s="43" t="str">
        <x:v>downloaded</x:v>
      </x:c>
      <x:c r="F450" s="43" t="str">
        <x:v>486346a989fa8e8c8bf102d65f4b2281746de55e323530dbc53656cc3e107f13</x:v>
      </x:c>
      <x:c r="G450" s="46" t="str">
        <x:v>/Users/nomadresearch/Documents/Claude/Projects/koica-construction-tender/data/raw/L2023-00057-1/1. 국문 입찰계획_엘살바도르 국립보건교육센터 감리입찰_v4.hwp</x:v>
      </x:c>
      <x:c r="H450" s="43" t="str">
        <x:v>2023-09-26 02:08:54</x:v>
      </x:c>
    </x:row>
    <x:row r="451">
      <x:c r="A451" s="43" t="str">
        <x:v>L2023-00057-1</x:v>
      </x:c>
      <x:c r="B451" s="46" t="str">
        <x:v>2. Bid documents_eng_v4.zip</x:v>
      </x:c>
      <x:c r="C451" s="43" t="str">
        <x:v>.zip</x:v>
      </x:c>
      <x:c r="D451" s="61" t="n">
        <x:v>338765</x:v>
      </x:c>
      <x:c r="E451" s="43" t="str">
        <x:v>downloaded</x:v>
      </x:c>
      <x:c r="F451" s="43" t="str">
        <x:v>cdefdb015d622886d2d734784efff030985f7ec4100c417e76b698ea676c82b2</x:v>
      </x:c>
      <x:c r="G451" s="46" t="str">
        <x:v>/Users/nomadresearch/Documents/Claude/Projects/koica-construction-tender/data/raw/L2023-00057-1/2. Bid documents_eng_v4.zip</x:v>
      </x:c>
      <x:c r="H451" s="43" t="str">
        <x:v>2023-09-26 02:08:54</x:v>
      </x:c>
    </x:row>
    <x:row r="452">
      <x:c r="A452" s="43" t="str">
        <x:v>L2023-00057-1</x:v>
      </x:c>
      <x:c r="B452" s="46" t="str">
        <x:v>3. 입찰공고(안)_서문.doc</x:v>
      </x:c>
      <x:c r="C452" s="43" t="str">
        <x:v>.doc</x:v>
      </x:c>
      <x:c r="D452" s="61" t="n">
        <x:v>297472</x:v>
      </x:c>
      <x:c r="E452" s="43" t="str">
        <x:v>downloaded</x:v>
      </x:c>
      <x:c r="F452" s="43" t="str">
        <x:v>252102e9cbe8b6e62aecfc5a5125f5aa1040662a72d29f451523a3a9abf290d6</x:v>
      </x:c>
      <x:c r="G452" s="46" t="str">
        <x:v>/Users/nomadresearch/Documents/Claude/Projects/koica-construction-tender/data/raw/L2023-00057-1/3. 입찰공고(안)_서문.doc</x:v>
      </x:c>
      <x:c r="H452" s="43" t="str">
        <x:v>2023-09-26 02:08:54</x:v>
      </x:c>
    </x:row>
    <x:row r="453">
      <x:c r="A453" s="43" t="str">
        <x:v>L2023-00054-2</x:v>
      </x:c>
      <x:c r="B453" s="46" t="str">
        <x:v>Bidding Announcement_231103.pdf</x:v>
      </x:c>
      <x:c r="C453" s="43" t="str">
        <x:v>.pdf</x:v>
      </x:c>
      <x:c r="D453" s="61" t="n">
        <x:v>167434</x:v>
      </x:c>
      <x:c r="E453" s="43" t="str">
        <x:v>downloaded</x:v>
      </x:c>
      <x:c r="F453" s="43" t="str">
        <x:v>95d9f60419f904fb41dc90fda62edd993eca825db26eaa61ec2e513acfa9d338</x:v>
      </x:c>
      <x:c r="G453" s="46" t="str">
        <x:v>/Users/nomadresearch/Documents/Claude/Projects/koica-construction-tender/data/raw/L2023-00054-2/Bidding Announcement_231103.pdf</x:v>
      </x:c>
      <x:c r="H453" s="43" t="str">
        <x:v>2023-11-15 11:56:36</x:v>
      </x:c>
    </x:row>
    <x:row r="454">
      <x:c r="A454" s="43" t="str">
        <x:v>L2023-00054-1</x:v>
      </x:c>
      <x:c r="B454" s="46" t="str">
        <x:v>Bidding Announcement_230921.pdf</x:v>
      </x:c>
      <x:c r="C454" s="43" t="str">
        <x:v>.pdf</x:v>
      </x:c>
      <x:c r="D454" s="61" t="n">
        <x:v>1932992</x:v>
      </x:c>
      <x:c r="E454" s="43" t="str">
        <x:v>downloaded</x:v>
      </x:c>
      <x:c r="F454" s="43" t="str">
        <x:v>2bc9d13f2020c729e712465dd3c0091ae194bd7bbf1a92eaad72248b192d5ce5</x:v>
      </x:c>
      <x:c r="G454" s="46" t="str">
        <x:v>/Users/nomadresearch/Documents/Claude/Projects/koica-construction-tender/data/raw/L2023-00054-1/Bidding Announcement_230921.pdf</x:v>
      </x:c>
      <x:c r="H454" s="43" t="str">
        <x:v>2023-09-21 11:06:50</x:v>
      </x:c>
    </x:row>
    <x:row r="455">
      <x:c r="A455" s="43" t="str">
        <x:v>L2023-00053-1</x:v>
      </x:c>
      <x:c r="B455" s="46" t="str">
        <x:v>Urgench VTC Bid Attachment Documents.zip</x:v>
      </x:c>
      <x:c r="C455" s="43" t="str">
        <x:v>.zip</x:v>
      </x:c>
      <x:c r="D455" s="61" t="n">
        <x:v>17246765</x:v>
      </x:c>
      <x:c r="E455" s="43" t="str">
        <x:v>downloaded</x:v>
      </x:c>
      <x:c r="F455" s="43" t="str">
        <x:v>536a00b0fa9d5f6dfced744c6e0afe275038dfdc35eec9fc8f2587e52bfd988e</x:v>
      </x:c>
      <x:c r="G455" s="46" t="str">
        <x:v>/Users/nomadresearch/Documents/Claude/Projects/koica-construction-tender/data/raw/L2023-00053-1/Urgench VTC Bid Attachment Documents.zip</x:v>
      </x:c>
      <x:c r="H455" s="43" t="str">
        <x:v>2023-09-12 00:03:12</x:v>
      </x:c>
    </x:row>
    <x:row r="456">
      <x:c r="A456" s="43" t="str">
        <x:v>L2023-00051-1</x:v>
      </x:c>
      <x:c r="B456" s="46" t="str">
        <x:v>입찰 관련 공문.hwp</x:v>
      </x:c>
      <x:c r="C456" s="43" t="str">
        <x:v>.hwp</x:v>
      </x:c>
      <x:c r="D456" s="61" t="n">
        <x:v>157696</x:v>
      </x:c>
      <x:c r="E456" s="43" t="str">
        <x:v>downloaded</x:v>
      </x:c>
      <x:c r="F456" s="43" t="str">
        <x:v>2d55342bf6e0f2891986699e0e306cf1ae1d05ca451641119150dd702ddae236</x:v>
      </x:c>
      <x:c r="G456" s="46" t="str">
        <x:v>/Users/nomadresearch/Documents/Claude/Projects/koica-construction-tender/data/raw/L2023-00051-1/입찰 관련 공문.hwp</x:v>
      </x:c>
      <x:c r="H456" s="43" t="str">
        <x:v>2023-09-06 15:30:14</x:v>
      </x:c>
    </x:row>
    <x:row r="457">
      <x:c r="A457" s="43" t="str">
        <x:v>L2023-00051-1</x:v>
      </x:c>
      <x:c r="B457" s="46" t="str">
        <x:v>몽골 조달청 전자조달시스템 입찰 마감 내역(캡쳐).pdf</x:v>
      </x:c>
      <x:c r="C457" s="43" t="str">
        <x:v>.pdf</x:v>
      </x:c>
      <x:c r="D457" s="61" t="n">
        <x:v>76372</x:v>
      </x:c>
      <x:c r="E457" s="43" t="str">
        <x:v>downloaded</x:v>
      </x:c>
      <x:c r="F457" s="43" t="str">
        <x:v>e046f3b8e41beca2e380daef8e18c5abde502dc3ecee936c12be2f60ca99e1ef</x:v>
      </x:c>
      <x:c r="G457" s="46" t="str">
        <x:v>/Users/nomadresearch/Documents/Claude/Projects/koica-construction-tender/data/raw/L2023-00051-1/몽골 조달청 전자조달시스템 입찰 마감 내역(캡쳐).pdf</x:v>
      </x:c>
      <x:c r="H457" s="43" t="str">
        <x:v>2023-09-06 15:30:14</x:v>
      </x:c>
    </x:row>
    <x:row r="458">
      <x:c r="A458" s="43" t="str">
        <x:v>L2023-00051-1</x:v>
      </x:c>
      <x:c r="B458" s="46" t="str">
        <x:v>몽골 조달청 전자조달시스템 입찰 마감 내역(한국어 번역).hwp</x:v>
      </x:c>
      <x:c r="C458" s="43" t="str">
        <x:v>.hwp</x:v>
      </x:c>
      <x:c r="D458" s="61" t="n">
        <x:v>31744</x:v>
      </x:c>
      <x:c r="E458" s="43" t="str">
        <x:v>downloaded</x:v>
      </x:c>
      <x:c r="F458" s="43" t="str">
        <x:v>63a993360846f42ff02aa53c81ec4cefcdeec18b2c164e3f30c312bed762e90e</x:v>
      </x:c>
      <x:c r="G458" s="46" t="str">
        <x:v>/Users/nomadresearch/Documents/Claude/Projects/koica-construction-tender/data/raw/L2023-00051-1/몽골 조달청 전자조달시스템 입찰 마감 내역(한국어 번역).hwp</x:v>
      </x:c>
      <x:c r="H458" s="43" t="str">
        <x:v>2023-09-06 15:30:14</x:v>
      </x:c>
    </x:row>
    <x:row r="459">
      <x:c r="A459" s="43" t="str">
        <x:v>L2023-00050-1</x:v>
      </x:c>
      <x:c r="B459" s="46" t="str">
        <x:v>현지입찰 진행상황 보고 문서(번역본).pdf</x:v>
      </x:c>
      <x:c r="C459" s="43" t="str">
        <x:v>.pdf</x:v>
      </x:c>
      <x:c r="D459" s="61" t="n">
        <x:v>1533893</x:v>
      </x:c>
      <x:c r="E459" s="43" t="str">
        <x:v>downloaded</x:v>
      </x:c>
      <x:c r="F459" s="43" t="str">
        <x:v>be1982c664136fad51771e9709e487f30316088d9f2205dad3739b3eaf18b00b</x:v>
      </x:c>
      <x:c r="G459" s="46" t="str">
        <x:v>/Users/nomadresearch/Documents/Claude/Projects/koica-construction-tender/data/raw/L2023-00050-1/현지입찰 진행상황 보고 문서(번역본).pdf</x:v>
      </x:c>
      <x:c r="H459" s="43" t="str">
        <x:v>2023-09-05 17:54:06</x:v>
      </x:c>
    </x:row>
    <x:row r="460">
      <x:c r="A460" s="43" t="str">
        <x:v>L2023-00050-1</x:v>
      </x:c>
      <x:c r="B460" s="46" t="str">
        <x:v>현지입찰 결과 통보 문서(번역본).pdf</x:v>
      </x:c>
      <x:c r="C460" s="43" t="str">
        <x:v>.pdf</x:v>
      </x:c>
      <x:c r="D460" s="61" t="n">
        <x:v>496542</x:v>
      </x:c>
      <x:c r="E460" s="43" t="str">
        <x:v>downloaded</x:v>
      </x:c>
      <x:c r="F460" s="43" t="str">
        <x:v>a52599883a2925d7605e6e75f878bc909b7079af49e5fca09dd3ff26def45498</x:v>
      </x:c>
      <x:c r="G460" s="46" t="str">
        <x:v>/Users/nomadresearch/Documents/Claude/Projects/koica-construction-tender/data/raw/L2023-00050-1/현지입찰 결과 통보 문서(번역본).pdf</x:v>
      </x:c>
      <x:c r="H460" s="43" t="str">
        <x:v>2023-09-06 15:43:02</x:v>
      </x:c>
    </x:row>
    <x:row r="461">
      <x:c r="A461" s="43" t="str">
        <x:v>L2023-00050-1</x:v>
      </x:c>
      <x:c r="B461" s="46" t="str">
        <x:v>현지입찰 평가위원회 결과 보고서(번역본).pdf</x:v>
      </x:c>
      <x:c r="C461" s="43" t="str">
        <x:v>.pdf</x:v>
      </x:c>
      <x:c r="D461" s="61" t="n">
        <x:v>5064292</x:v>
      </x:c>
      <x:c r="E461" s="43" t="str">
        <x:v>downloaded</x:v>
      </x:c>
      <x:c r="F461" s="43" t="str">
        <x:v>e09e38c9fd5f5df8c6fde440db773c22f42817f5c494e4edfc7dba45f2509c5c</x:v>
      </x:c>
      <x:c r="G461" s="46" t="str">
        <x:v>/Users/nomadresearch/Documents/Claude/Projects/koica-construction-tender/data/raw/L2023-00050-1/현지입찰 평가위원회 결과 보고서(번역본).pdf</x:v>
      </x:c>
      <x:c r="H461" s="43" t="str">
        <x:v>2023-09-06 15:43:02</x:v>
      </x:c>
    </x:row>
    <x:row r="462">
      <x:c r="A462" s="43" t="str">
        <x:v>L2023-00048-1</x:v>
      </x:c>
      <x:c r="B462" s="46" t="str">
        <x:v>광물석유청 시공 관련 공지(번역본).hwp</x:v>
      </x:c>
      <x:c r="C462" s="43" t="str">
        <x:v>.hwp</x:v>
      </x:c>
      <x:c r="D462" s="61" t="n">
        <x:v>26112</x:v>
      </x:c>
      <x:c r="E462" s="43" t="str">
        <x:v>downloaded</x:v>
      </x:c>
      <x:c r="F462" s="43" t="str">
        <x:v>77407400e46ac4472515c033cfa7614347ec5232c3387ed0d8dac4f3718e912b</x:v>
      </x:c>
      <x:c r="G462" s="46" t="str">
        <x:v>/Users/nomadresearch/Documents/Claude/Projects/koica-construction-tender/data/raw/L2023-00048-1/광물석유청 시공 관련 공지(번역본).hwp</x:v>
      </x:c>
      <x:c r="H462" s="43" t="str">
        <x:v>2023-08-31 17:08:16</x:v>
      </x:c>
    </x:row>
    <x:row r="463">
      <x:c r="A463" s="43" t="str">
        <x:v>L2023-00048-1</x:v>
      </x:c>
      <x:c r="B463" s="46" t="str">
        <x:v>광물석유청 시공 공지 원본.JPG</x:v>
      </x:c>
      <x:c r="C463" s="43" t="str">
        <x:v>.jpg</x:v>
      </x:c>
      <x:c r="D463" s="61" t="n">
        <x:v>162874</x:v>
      </x:c>
      <x:c r="E463" s="43" t="str">
        <x:v>downloaded</x:v>
      </x:c>
      <x:c r="F463" s="43" t="str">
        <x:v>d0d9cd93e3d08832b7726c63e762704bb171526b0d28ab8b15257440384b50ed</x:v>
      </x:c>
      <x:c r="G463" s="46" t="str">
        <x:v>/Users/nomadresearch/Documents/Claude/Projects/koica-construction-tender/data/raw/L2023-00048-1/광물석유청 시공 공지 원본.JPG</x:v>
      </x:c>
      <x:c r="H463" s="43" t="str">
        <x:v>2023-08-31 17:08:16</x:v>
      </x:c>
    </x:row>
    <x:row r="464">
      <x:c r="A464" s="43" t="str">
        <x:v>L2023-00047-1</x:v>
      </x:c>
      <x:c r="B464" s="46" t="str">
        <x:v>한몽기술대학 시공 관련 공지(번역본).hwp</x:v>
      </x:c>
      <x:c r="C464" s="43" t="str">
        <x:v>.hwp</x:v>
      </x:c>
      <x:c r="D464" s="61" t="n">
        <x:v>26112</x:v>
      </x:c>
      <x:c r="E464" s="43" t="str">
        <x:v>downloaded</x:v>
      </x:c>
      <x:c r="F464" s="43" t="str">
        <x:v>9391f4994f842287beda07bd3fcb0535dd5abf4753cfe7170d31d2af1eebe29e</x:v>
      </x:c>
      <x:c r="G464" s="46" t="str">
        <x:v>/Users/nomadresearch/Documents/Claude/Projects/koica-construction-tender/data/raw/L2023-00047-1/한몽기술대학 시공 관련 공지(번역본).hwp</x:v>
      </x:c>
      <x:c r="H464" s="43" t="str">
        <x:v>2023-08-31 17:02:21</x:v>
      </x:c>
    </x:row>
    <x:row r="465">
      <x:c r="A465" s="43" t="str">
        <x:v>L2023-00047-1</x:v>
      </x:c>
      <x:c r="B465" s="46" t="str">
        <x:v>한몽기술대학 시공 입찰 공고 원본.JPG</x:v>
      </x:c>
      <x:c r="C465" s="43" t="str">
        <x:v>.jpg</x:v>
      </x:c>
      <x:c r="D465" s="61" t="n">
        <x:v>167374</x:v>
      </x:c>
      <x:c r="E465" s="43" t="str">
        <x:v>downloaded</x:v>
      </x:c>
      <x:c r="F465" s="43" t="str">
        <x:v>684781a35e74957c63e4d070e92e72c1706807ee0e7fb75949459b8649e795f9</x:v>
      </x:c>
      <x:c r="G465" s="46" t="str">
        <x:v>/Users/nomadresearch/Documents/Claude/Projects/koica-construction-tender/data/raw/L2023-00047-1/한몽기술대학 시공 입찰 공고 원본.JPG</x:v>
      </x:c>
      <x:c r="H465" s="43" t="str">
        <x:v>2023-08-31 17:02:21</x:v>
      </x:c>
    </x:row>
    <x:row r="466">
      <x:c r="A466" s="43" t="str">
        <x:v>L2023-00045-1</x:v>
      </x:c>
      <x:c r="B466" s="46" t="str">
        <x:v>입찰공고문_영문_Final.docx</x:v>
      </x:c>
      <x:c r="C466" s="43" t="str">
        <x:v>.docx</x:v>
      </x:c>
      <x:c r="D466" s="61" t="n">
        <x:v>30952</x:v>
      </x:c>
      <x:c r="E466" s="43" t="str">
        <x:v>downloaded</x:v>
      </x:c>
      <x:c r="F466" s="43" t="str">
        <x:v>ed686da82f6f760497c69017b2f7b5d815ead51d3e7961a0d91fa42da45f2e1d</x:v>
      </x:c>
      <x:c r="G466" s="46" t="str">
        <x:v>/Users/nomadresearch/Documents/Claude/Projects/koica-construction-tender/data/raw/L2023-00045-1/입찰공고문_영문_Final.docx</x:v>
      </x:c>
      <x:c r="H466" s="43" t="str">
        <x:v>2023-08-29 01:55:24</x:v>
      </x:c>
    </x:row>
    <x:row r="467">
      <x:c r="A467" s="43" t="str">
        <x:v>L2023-00042-1</x:v>
      </x:c>
      <x:c r="B467" s="46" t="str">
        <x:v>The Daily Star_Bid News.pdf</x:v>
      </x:c>
      <x:c r="C467" s="43" t="str">
        <x:v>.pdf</x:v>
      </x:c>
      <x:c r="D467" s="61" t="n">
        <x:v>3820058</x:v>
      </x:c>
      <x:c r="E467" s="43" t="str">
        <x:v>downloaded</x:v>
      </x:c>
      <x:c r="F467" s="43" t="str">
        <x:v>6a97f2f470d87177b956e49eb59835849109aa7480329e77abbbdea0547eeda8</x:v>
      </x:c>
      <x:c r="G467" s="46" t="str">
        <x:v>/Users/nomadresearch/Documents/Claude/Projects/koica-construction-tender/data/raw/L2023-00042-1/The Daily Star_Bid News.pdf</x:v>
      </x:c>
      <x:c r="H467" s="43" t="str">
        <x:v>2023-08-20 23:07:14</x:v>
      </x:c>
    </x:row>
    <x:row r="468">
      <x:c r="A468" s="43" t="str">
        <x:v>L2023-00040-1</x:v>
      </x:c>
      <x:c r="B468" s="46" t="str">
        <x:v>입찰설명서(국문).hwp</x:v>
      </x:c>
      <x:c r="C468" s="43" t="str">
        <x:v>.hwp</x:v>
      </x:c>
      <x:c r="D468" s="61" t="n">
        <x:v>9687552</x:v>
      </x:c>
      <x:c r="E468" s="43" t="str">
        <x:v>downloaded</x:v>
      </x:c>
      <x:c r="F468" s="43" t="str">
        <x:v>2bee96b3094c1e0c7c51fb79f82147cddf4e80b32af8652ac22a2da0ee0b03a5</x:v>
      </x:c>
      <x:c r="G468" s="46" t="str">
        <x:v>/Users/nomadresearch/Documents/Claude/Projects/koica-construction-tender/data/raw/L2023-00040-1/입찰설명서(국문).hwp</x:v>
      </x:c>
      <x:c r="H468" s="43" t="str">
        <x:v>2023-08-08 22:17:02</x:v>
      </x:c>
    </x:row>
    <x:row r="469">
      <x:c r="A469" s="43" t="str">
        <x:v>L2023-00040-1</x:v>
      </x:c>
      <x:c r="B469" s="46" t="str">
        <x:v>입찰공고문(영문).docx</x:v>
      </x:c>
      <x:c r="C469" s="43" t="str">
        <x:v>.docx</x:v>
      </x:c>
      <x:c r="D469" s="61" t="n">
        <x:v>20129</x:v>
      </x:c>
      <x:c r="E469" s="43" t="str">
        <x:v>downloaded</x:v>
      </x:c>
      <x:c r="F469" s="43" t="str">
        <x:v>4c0010cdc1bf4106029019edeb43af2833b946c120d8be98d440bcf394412cf1</x:v>
      </x:c>
      <x:c r="G469" s="46" t="str">
        <x:v>/Users/nomadresearch/Documents/Claude/Projects/koica-construction-tender/data/raw/L2023-00040-1/입찰공고문(영문).docx</x:v>
      </x:c>
      <x:c r="H469" s="43" t="str">
        <x:v>2023-08-08 22:17:02</x:v>
      </x:c>
    </x:row>
    <x:row r="470">
      <x:c r="A470" s="43" t="str">
        <x:v>L2023-00040-1</x:v>
      </x:c>
      <x:c r="B470" s="46" t="str">
        <x:v>입찰안내자료(영문).zip</x:v>
      </x:c>
      <x:c r="C470" s="43" t="str">
        <x:v>.zip</x:v>
      </x:c>
      <x:c r="D470" s="61" t="n">
        <x:v>4261364</x:v>
      </x:c>
      <x:c r="E470" s="43" t="str">
        <x:v>downloaded</x:v>
      </x:c>
      <x:c r="F470" s="43" t="str">
        <x:v>3906f6af12bb5cdadeedcd466c193e5b3e809229bb95c9b81f517a1819a7e2e5</x:v>
      </x:c>
      <x:c r="G470" s="46" t="str">
        <x:v>/Users/nomadresearch/Documents/Claude/Projects/koica-construction-tender/data/raw/L2023-00040-1/입찰안내자료(영문).zip</x:v>
      </x:c>
      <x:c r="H470" s="43" t="str">
        <x:v>2023-08-08 22:17:02</x:v>
      </x:c>
    </x:row>
    <x:row r="471">
      <x:c r="A471" s="43" t="str">
        <x:v>L2023-00038-1</x:v>
      </x:c>
      <x:c r="B471" s="46" t="str">
        <x:v>1. 입찰계획서(피지국립재활센터 건립사업 설계 및 감리 용역)-김우영-230713.hwp</x:v>
      </x:c>
      <x:c r="C471" s="43" t="str">
        <x:v>.hwp</x:v>
      </x:c>
      <x:c r="D471" s="61" t="n">
        <x:v>120320</x:v>
      </x:c>
      <x:c r="E471" s="43" t="str">
        <x:v>downloaded</x:v>
      </x:c>
      <x:c r="F471" s="43" t="str">
        <x:v>04167cb6664b62c6f899bc464177b9ec9ba5b791b83591988eb9db5ab108ea1c</x:v>
      </x:c>
      <x:c r="G471" s="46" t="str">
        <x:v>/Users/nomadresearch/Documents/Claude/Projects/koica-construction-tender/data/raw/L2023-00038-1/1. 입찰계획서(피지국립재활센터 건립사업 설계 및 감리 용역)-김우영-230713.hwp</x:v>
      </x:c>
      <x:c r="H471" s="43" t="str">
        <x:v>2023-07-24 08:29:39</x:v>
      </x:c>
    </x:row>
    <x:row r="472">
      <x:c r="A472" s="43" t="str">
        <x:v>L2023-00038-1</x:v>
      </x:c>
      <x:c r="B472" s="46" t="str">
        <x:v>2. 현지입찰 첨부문서 묶음.zip</x:v>
      </x:c>
      <x:c r="C472" s="43" t="str">
        <x:v>.zip</x:v>
      </x:c>
      <x:c r="D472" s="61" t="n">
        <x:v>1376906</x:v>
      </x:c>
      <x:c r="E472" s="43" t="str">
        <x:v>downloaded</x:v>
      </x:c>
      <x:c r="F472" s="43" t="str">
        <x:v>7d7709d18af5a38ad9bbb045cde3e34cc548e2777421eac5557b55c3c40aa9cd</x:v>
      </x:c>
      <x:c r="G472" s="46" t="str">
        <x:v>/Users/nomadresearch/Documents/Claude/Projects/koica-construction-tender/data/raw/L2023-00038-1/2. 현지입찰 첨부문서 묶음.zip</x:v>
      </x:c>
      <x:c r="H472" s="43" t="str">
        <x:v>2023-07-24 08:29:39</x:v>
      </x:c>
    </x:row>
    <x:row r="473">
      <x:c r="A473" s="43" t="str">
        <x:v>L2023-00037-1</x:v>
      </x:c>
      <x:c r="B473" s="46" t="str">
        <x:v>국문 입찰계획_엘살바도르 국립보건교육센터 감리입찰_v3.hwp</x:v>
      </x:c>
      <x:c r="C473" s="43" t="str">
        <x:v>.hwp</x:v>
      </x:c>
      <x:c r="D473" s="61" t="n">
        <x:v>80896</x:v>
      </x:c>
      <x:c r="E473" s="43" t="str">
        <x:v>downloaded</x:v>
      </x:c>
      <x:c r="F473" s="43" t="str">
        <x:v>c10c4eb172cdd999e24265d3b7e7b1a0e3d6dfa0b2c8aa526ec656692e3e292c</x:v>
      </x:c>
      <x:c r="G473" s="46" t="str">
        <x:v>/Users/nomadresearch/Documents/Claude/Projects/koica-construction-tender/data/raw/L2023-00037-1/국문 입찰계획_엘살바도르 국립보건교육센터 감리입찰_v3.hwp</x:v>
      </x:c>
      <x:c r="H473" s="43" t="str">
        <x:v>2023-07-19 01:35:44</x:v>
      </x:c>
    </x:row>
    <x:row r="474">
      <x:c r="A474" s="43" t="str">
        <x:v>L2023-00037-1</x:v>
      </x:c>
      <x:c r="B474" s="46" t="str">
        <x:v>영서문 입찰문서 일체_v3.zip</x:v>
      </x:c>
      <x:c r="C474" s="43" t="str">
        <x:v>.zip</x:v>
      </x:c>
      <x:c r="D474" s="61" t="n">
        <x:v>3419345</x:v>
      </x:c>
      <x:c r="E474" s="43" t="str">
        <x:v>downloaded</x:v>
      </x:c>
      <x:c r="F474" s="43" t="str">
        <x:v>029eefee393a28942a085ee0611a09c3c1796743a737e8f345e0f2e36f8e3cc9</x:v>
      </x:c>
      <x:c r="G474" s="46" t="str">
        <x:v>/Users/nomadresearch/Documents/Claude/Projects/koica-construction-tender/data/raw/L2023-00037-1/영서문 입찰문서 일체_v3.zip</x:v>
      </x:c>
      <x:c r="H474" s="43" t="str">
        <x:v>2023-07-19 01:35:44</x:v>
      </x:c>
    </x:row>
    <x:row r="475">
      <x:c r="A475" s="43" t="str">
        <x:v>L2023-00036-1</x:v>
      </x:c>
      <x:c r="B475" s="46" t="str">
        <x:v>붙임3_입찰관련서류_검토완_0717.zip</x:v>
      </x:c>
      <x:c r="C475" s="43" t="str">
        <x:v>.zip</x:v>
      </x:c>
      <x:c r="D475" s="61" t="n">
        <x:v>17241640</x:v>
      </x:c>
      <x:c r="E475" s="43" t="str">
        <x:v>downloaded</x:v>
      </x:c>
      <x:c r="F475" s="43" t="str">
        <x:v>41f6927524f70aab2ee8ae93843081ed8112eebcf59de947e108bf215b3eee04</x:v>
      </x:c>
      <x:c r="G475" s="46" t="str">
        <x:v>/Users/nomadresearch/Documents/Claude/Projects/koica-construction-tender/data/raw/L2023-00036-1/붙임3_입찰관련서류_검토완_0717.zip</x:v>
      </x:c>
      <x:c r="H475" s="43" t="str">
        <x:v>2023-07-18 20:42:37</x:v>
      </x:c>
    </x:row>
    <x:row r="476">
      <x:c r="A476" s="43" t="str">
        <x:v>L2023-00035-1</x:v>
      </x:c>
      <x:c r="B476" s="46" t="str">
        <x:v>DOC.zip</x:v>
      </x:c>
      <x:c r="C476" s="43" t="str">
        <x:v>.zip</x:v>
      </x:c>
      <x:c r="D476" s="61" t="n">
        <x:v>858990</x:v>
      </x:c>
      <x:c r="E476" s="43" t="str">
        <x:v>downloaded</x:v>
      </x:c>
      <x:c r="F476" s="43" t="str">
        <x:v>9c92fd3094f698774d0120e00ffae6c67a311d3be51f4d9d4d99915ccd649578</x:v>
      </x:c>
      <x:c r="G476" s="46" t="str">
        <x:v>/Users/nomadresearch/Documents/Claude/Projects/koica-construction-tender/data/raw/L2023-00035-1/DOC.zip</x:v>
      </x:c>
      <x:c r="H476" s="43" t="str">
        <x:v>2023-07-14 16:56:48</x:v>
      </x:c>
    </x:row>
    <x:row r="477">
      <x:c r="A477" s="43" t="str">
        <x:v>L2023-00032-1</x:v>
      </x:c>
      <x:c r="B477" s="46" t="str">
        <x:v>1. 입찰공고문(국영문)_0628 수정.zip</x:v>
      </x:c>
      <x:c r="C477" s="43" t="str">
        <x:v>.zip</x:v>
      </x:c>
      <x:c r="D477" s="61" t="n">
        <x:v>160866</x:v>
      </x:c>
      <x:c r="E477" s="43" t="str">
        <x:v>downloaded</x:v>
      </x:c>
      <x:c r="F477" s="43" t="str">
        <x:v>dfa80aaa29798cfc3070f9a70d08849642df638e004ee12d038399be5cd1ab25</x:v>
      </x:c>
      <x:c r="G477" s="46" t="str">
        <x:v>/Users/nomadresearch/Documents/Claude/Projects/koica-construction-tender/data/raw/L2023-00032-1/1. 입찰공고문(국영문)_0628 수정.zip</x:v>
      </x:c>
      <x:c r="H477" s="43" t="str">
        <x:v>2023-07-06 00:12:39</x:v>
      </x:c>
    </x:row>
    <x:row r="478">
      <x:c r="A478" s="43" t="str">
        <x:v>L2023-00032-1</x:v>
      </x:c>
      <x:c r="B478" s="46" t="str">
        <x:v>2. 입찰서류(영문).zip</x:v>
      </x:c>
      <x:c r="C478" s="43" t="str">
        <x:v>.zip</x:v>
      </x:c>
      <x:c r="D478" s="61" t="n">
        <x:v>6952369</x:v>
      </x:c>
      <x:c r="E478" s="43" t="str">
        <x:v>downloaded</x:v>
      </x:c>
      <x:c r="F478" s="43" t="str">
        <x:v>a7e83868fe719861a6cbc5c1d58b43fdb080f732cf6e8af3a89a3c539531e70c</x:v>
      </x:c>
      <x:c r="G478" s="46" t="str">
        <x:v>/Users/nomadresearch/Documents/Claude/Projects/koica-construction-tender/data/raw/L2023-00032-1/2. 입찰서류(영문).zip</x:v>
      </x:c>
      <x:c r="H478" s="43" t="str">
        <x:v>2023-07-06 00:12:39</x:v>
      </x:c>
    </x:row>
    <x:row r="479">
      <x:c r="A479" s="43" t="str">
        <x:v>L2023-00030-1</x:v>
      </x:c>
      <x:c r="B479" s="46" t="str">
        <x:v>1. Invitation for Bids(Design &amp; Construction Supervision Services_Ovalau_KOICA)_v3.docx</x:v>
      </x:c>
      <x:c r="C479" s="43" t="str">
        <x:v>.docx</x:v>
      </x:c>
      <x:c r="D479" s="61" t="n">
        <x:v>39421</x:v>
      </x:c>
      <x:c r="E479" s="43" t="str">
        <x:v>downloaded</x:v>
      </x:c>
      <x:c r="F479" s="43" t="str">
        <x:v>6070876b063b0564b8744e94e742b8ec76b2c087b3cdb9c101f2abaf8476b41a</x:v>
      </x:c>
      <x:c r="G479" s="46" t="str">
        <x:v>/Users/nomadresearch/Documents/Claude/Projects/koica-construction-tender/data/raw/L2023-00030-1/1. Invitation for Bids(Design &amp; Construction Supervision Services_Ovalau_KOICA)_v3.docx</x:v>
      </x:c>
      <x:c r="H479" s="43" t="str">
        <x:v>2023-06-28 11:10:14</x:v>
      </x:c>
    </x:row>
    <x:row r="480">
      <x:c r="A480" s="43" t="str">
        <x:v>L2023-00030-1</x:v>
      </x:c>
      <x:c r="B480" s="46" t="str">
        <x:v>2. Bid Data Sheet(Design &amp; Construction Supervision Services_Ovalau_KOICA)_v2.docx</x:v>
      </x:c>
      <x:c r="C480" s="43" t="str">
        <x:v>.docx</x:v>
      </x:c>
      <x:c r="D480" s="61" t="n">
        <x:v>38488</x:v>
      </x:c>
      <x:c r="E480" s="43" t="str">
        <x:v>downloaded</x:v>
      </x:c>
      <x:c r="F480" s="43" t="str">
        <x:v>366bd03a0d482e3ec42f83943771ecd43a07cfc70d28fa0f47c4d7840b315898</x:v>
      </x:c>
      <x:c r="G480" s="46" t="str">
        <x:v>/Users/nomadresearch/Documents/Claude/Projects/koica-construction-tender/data/raw/L2023-00030-1/2. Bid Data Sheet(Design &amp; Construction Supervision Services_Ovalau_KOICA)_v2.docx</x:v>
      </x:c>
      <x:c r="H480" s="43" t="str">
        <x:v>2023-06-28 11:10:14</x:v>
      </x:c>
    </x:row>
    <x:row r="481">
      <x:c r="A481" s="43" t="str">
        <x:v>L2023-00028-1</x:v>
      </x:c>
      <x:c r="B481" s="46" t="str">
        <x:v>1. 입찰계획안(국, 영문).zip</x:v>
      </x:c>
      <x:c r="C481" s="43" t="str">
        <x:v>.zip</x:v>
      </x:c>
      <x:c r="D481" s="61" t="n">
        <x:v>5172957</x:v>
      </x:c>
      <x:c r="E481" s="43" t="str">
        <x:v>downloaded</x:v>
      </x:c>
      <x:c r="F481" s="43" t="str">
        <x:v>32ce2f03faf963871ff190dd99f8e2c66f6ffc97e60332ee1bec661e6ea9df0c</x:v>
      </x:c>
      <x:c r="G481" s="46" t="str">
        <x:v>/Users/nomadresearch/Documents/Claude/Projects/koica-construction-tender/data/raw/L2023-00028-1/1. 입찰계획안(국, 영문).zip</x:v>
      </x:c>
      <x:c r="H481" s="43" t="str">
        <x:v>2023-06-27 20:11:34</x:v>
      </x:c>
    </x:row>
    <x:row r="482">
      <x:c r="A482" s="43" t="str">
        <x:v>L2023-00028-1</x:v>
      </x:c>
      <x:c r="B482" s="46" t="str">
        <x:v>2. 입찰서류(영문).zip</x:v>
      </x:c>
      <x:c r="C482" s="43" t="str">
        <x:v>.zip</x:v>
      </x:c>
      <x:c r="D482" s="61" t="n">
        <x:v>8251178</x:v>
      </x:c>
      <x:c r="E482" s="43" t="str">
        <x:v>downloaded</x:v>
      </x:c>
      <x:c r="F482" s="43" t="str">
        <x:v>9c25451a86a97756e511864c0b1b30490c969ec2a5633b043d4b124392a42682</x:v>
      </x:c>
      <x:c r="G482" s="46" t="str">
        <x:v>/Users/nomadresearch/Documents/Claude/Projects/koica-construction-tender/data/raw/L2023-00028-1/2. 입찰서류(영문).zip</x:v>
      </x:c>
      <x:c r="H482" s="43" t="str">
        <x:v>2023-06-27 20:11:34</x:v>
      </x:c>
    </x:row>
    <x:row r="483">
      <x:c r="A483" s="43" t="str">
        <x:v>L2023-00027-1</x:v>
      </x:c>
      <x:c r="B483" s="46" t="str">
        <x:v>1. 입찰계획 (국문)_v2.hwp</x:v>
      </x:c>
      <x:c r="C483" s="43" t="str">
        <x:v>.hwp</x:v>
      </x:c>
      <x:c r="D483" s="61" t="n">
        <x:v>68608</x:v>
      </x:c>
      <x:c r="E483" s="43" t="str">
        <x:v>downloaded</x:v>
      </x:c>
      <x:c r="F483" s="43" t="str">
        <x:v>b8e7fa88d928e1ef163abd068082fdaf3fdc9433536a1794c215d839baf26b91</x:v>
      </x:c>
      <x:c r="G483" s="46" t="str">
        <x:v>/Users/nomadresearch/Documents/Claude/Projects/koica-construction-tender/data/raw/L2023-00027-1/1. 입찰계획 (국문)_v2.hwp</x:v>
      </x:c>
      <x:c r="H483" s="43" t="str">
        <x:v>2023-06-22 02:17:18</x:v>
      </x:c>
    </x:row>
    <x:row r="484">
      <x:c r="A484" s="43" t="str">
        <x:v>L2023-00027-1</x:v>
      </x:c>
      <x:c r="B484" s="46" t="str">
        <x:v>입찰서류 일체(영서).zip</x:v>
      </x:c>
      <x:c r="C484" s="43" t="str">
        <x:v>.zip</x:v>
      </x:c>
      <x:c r="D484" s="61" t="n">
        <x:v>6094995</x:v>
      </x:c>
      <x:c r="E484" s="43" t="str">
        <x:v>downloaded</x:v>
      </x:c>
      <x:c r="F484" s="43" t="str">
        <x:v>c15d8a68f8773c53c4c206355efafdd353cf509441557f676bf2e650480059cc</x:v>
      </x:c>
      <x:c r="G484" s="46" t="str">
        <x:v>/Users/nomadresearch/Documents/Claude/Projects/koica-construction-tender/data/raw/L2023-00027-1/입찰서류 일체(영서).zip</x:v>
      </x:c>
      <x:c r="H484" s="43" t="str">
        <x:v>2023-06-22 02:17:18</x:v>
      </x:c>
    </x:row>
    <x:row r="485">
      <x:c r="A485" s="43" t="str">
        <x:v>L2023-00024-1</x:v>
      </x:c>
      <x:c r="B485" s="46" t="str">
        <x:v>(붙임2) 입찰공고문_ENG_DOC_30 March.zip</x:v>
      </x:c>
      <x:c r="C485" s="43" t="str">
        <x:v>.zip</x:v>
      </x:c>
      <x:c r="D485" s="61" t="n">
        <x:v>464871</x:v>
      </x:c>
      <x:c r="E485" s="43" t="str">
        <x:v>downloaded</x:v>
      </x:c>
      <x:c r="F485" s="43" t="str">
        <x:v>3589db6eb8969688b660b0b302847272ae6f7de38dde7eace390c5aa510c2f05</x:v>
      </x:c>
      <x:c r="G485" s="46" t="str">
        <x:v>/Users/nomadresearch/Documents/Claude/Projects/koica-construction-tender/data/raw/L2023-00024-1/(붙임2) 입찰공고문_ENG_DOC_30 March.zip</x:v>
      </x:c>
      <x:c r="H485" s="43" t="str">
        <x:v>2023-05-25 12:51:11</x:v>
      </x:c>
    </x:row>
    <x:row r="486">
      <x:c r="A486" s="43" t="str">
        <x:v>L2023-00022-1</x:v>
      </x:c>
      <x:c r="B486" s="46" t="str">
        <x:v>4. KOICA Regulations and Guidelines (2).zip</x:v>
      </x:c>
      <x:c r="C486" s="43" t="str">
        <x:v>.zip</x:v>
      </x:c>
      <x:c r="D486" s="61" t="n">
        <x:v>2017505</x:v>
      </x:c>
      <x:c r="E486" s="43" t="str">
        <x:v>downloaded</x:v>
      </x:c>
      <x:c r="F486" s="43" t="str">
        <x:v>d9396c918967f50b2155bb726764ae0df60ac9b308ca169fc36359d2f51fc5f1</x:v>
      </x:c>
      <x:c r="G486" s="46" t="str">
        <x:v>/Users/nomadresearch/Documents/Claude/Projects/koica-construction-tender/data/raw/L2023-00022-1/4. KOICA Regulations and Guidelines (2).zip</x:v>
      </x:c>
      <x:c r="H486" s="43" t="str">
        <x:v>2023-05-04 10:37:38</x:v>
      </x:c>
    </x:row>
    <x:row r="487">
      <x:c r="A487" s="43" t="str">
        <x:v>L2023-00022-1</x:v>
      </x:c>
      <x:c r="B487" s="46" t="str">
        <x:v>3. KOICA Safty Mangement Manual (1).zip</x:v>
      </x:c>
      <x:c r="C487" s="43" t="str">
        <x:v>.zip</x:v>
      </x:c>
      <x:c r="D487" s="61" t="n">
        <x:v>657115</x:v>
      </x:c>
      <x:c r="E487" s="43" t="str">
        <x:v>downloaded</x:v>
      </x:c>
      <x:c r="F487" s="43" t="str">
        <x:v>5f4725f0705fc4cc620a042bd0c9d36c94f55050c59e7b9a1a15135e1f67e4bb</x:v>
      </x:c>
      <x:c r="G487" s="46" t="str">
        <x:v>/Users/nomadresearch/Documents/Claude/Projects/koica-construction-tender/data/raw/L2023-00022-1/3. KOICA Safty Mangement Manual (1).zip</x:v>
      </x:c>
      <x:c r="H487" s="43" t="str">
        <x:v>2023-05-04 10:37:38</x:v>
      </x:c>
    </x:row>
    <x:row r="488">
      <x:c r="A488" s="43" t="str">
        <x:v>L2023-00022-1</x:v>
      </x:c>
      <x:c r="B488" s="46" t="str">
        <x:v>2. Section 1,7,8,9 (3).zip</x:v>
      </x:c>
      <x:c r="C488" s="43" t="str">
        <x:v>.zip</x:v>
      </x:c>
      <x:c r="D488" s="61" t="n">
        <x:v>492738</x:v>
      </x:c>
      <x:c r="E488" s="43" t="str">
        <x:v>downloaded</x:v>
      </x:c>
      <x:c r="F488" s="43" t="str">
        <x:v>37ad5828c2d2e05c30cebfc2e2bcf5c701c8688bbb4003dd0a0fdda61d68891f</x:v>
      </x:c>
      <x:c r="G488" s="46" t="str">
        <x:v>/Users/nomadresearch/Documents/Claude/Projects/koica-construction-tender/data/raw/L2023-00022-1/2. Section 1,7,8,9 (3).zip</x:v>
      </x:c>
      <x:c r="H488" s="43" t="str">
        <x:v>2023-05-04 10:37:38</x:v>
      </x:c>
    </x:row>
    <x:row r="489">
      <x:c r="A489" s="43" t="str">
        <x:v>L2023-00022-1</x:v>
      </x:c>
      <x:c r="B489" s="46" t="str">
        <x:v>1. Section 2,3 (2).zip</x:v>
      </x:c>
      <x:c r="C489" s="43" t="str">
        <x:v>.zip</x:v>
      </x:c>
      <x:c r="D489" s="61" t="n">
        <x:v>399285</x:v>
      </x:c>
      <x:c r="E489" s="43" t="str">
        <x:v>downloaded</x:v>
      </x:c>
      <x:c r="F489" s="43" t="str">
        <x:v>52cb1513c8640ba458e860b0593dd96aa25afe0efcd031292af685c1bf06774b</x:v>
      </x:c>
      <x:c r="G489" s="46" t="str">
        <x:v>/Users/nomadresearch/Documents/Claude/Projects/koica-construction-tender/data/raw/L2023-00022-1/1. Section 2,3 (2).zip</x:v>
      </x:c>
      <x:c r="H489" s="43" t="str">
        <x:v>2023-05-04 10:37:38</x:v>
      </x:c>
    </x:row>
    <x:row r="490">
      <x:c r="A490" s="43" t="str">
        <x:v>L2023-00022-1</x:v>
      </x:c>
      <x:c r="B490" s="46" t="str">
        <x:v>Notice of Bid for Construction_230503.docx</x:v>
      </x:c>
      <x:c r="C490" s="43" t="str">
        <x:v>.docx</x:v>
      </x:c>
      <x:c r="D490" s="61" t="n">
        <x:v>51331</x:v>
      </x:c>
      <x:c r="E490" s="43" t="str">
        <x:v>downloaded</x:v>
      </x:c>
      <x:c r="F490" s="43" t="str">
        <x:v>864efec4bcfbba8019dd29a4fb14fad84b654c85c211d1f83fbb76db834cb482</x:v>
      </x:c>
      <x:c r="G490" s="46" t="str">
        <x:v>/Users/nomadresearch/Documents/Claude/Projects/koica-construction-tender/data/raw/L2023-00022-1/Notice of Bid for Construction_230503.docx</x:v>
      </x:c>
      <x:c r="H490" s="43" t="str">
        <x:v>2023-05-04 10:37:38</x:v>
      </x:c>
    </x:row>
    <x:row r="491">
      <x:c r="A491" s="43" t="str">
        <x:v>L2023-00021-1</x:v>
      </x:c>
      <x:c r="B491" s="46" t="str">
        <x:v>붙임 1. 입찰설명회 참가 명단 및 설계입찰 제출 명단.pdf</x:v>
      </x:c>
      <x:c r="C491" s="43" t="str">
        <x:v>.pdf</x:v>
      </x:c>
      <x:c r="D491" s="61" t="n">
        <x:v>506068</x:v>
      </x:c>
      <x:c r="E491" s="43" t="str">
        <x:v>downloaded</x:v>
      </x:c>
      <x:c r="F491" s="43" t="str">
        <x:v>8a5262f63ed68f2c724abd0854c48256b358d434310a6b08ec365586d69121b0</x:v>
      </x:c>
      <x:c r="G491" s="46" t="str">
        <x:v>/Users/nomadresearch/Documents/Claude/Projects/koica-construction-tender/data/raw/L2023-00021-1/붙임 1. 입찰설명회 참가 명단 및 설계입찰 제출 명단.pdf</x:v>
      </x:c>
      <x:c r="H491" s="43" t="str">
        <x:v>2023-04-29 04:25:34</x:v>
      </x:c>
    </x:row>
    <x:row r="492">
      <x:c r="A492" s="43" t="str">
        <x:v>L2023-00021-1</x:v>
      </x:c>
      <x:c r="B492" s="46" t="str">
        <x:v>붙임 2. 설계 입찰평가서.pdf</x:v>
      </x:c>
      <x:c r="C492" s="43" t="str">
        <x:v>.pdf</x:v>
      </x:c>
      <x:c r="D492" s="61" t="n">
        <x:v>929464</x:v>
      </x:c>
      <x:c r="E492" s="43" t="str">
        <x:v>downloaded</x:v>
      </x:c>
      <x:c r="F492" s="43" t="str">
        <x:v>64767e2c778b8217ae8870ab570b29fa8866880788b18a91708bcc2211c12999</x:v>
      </x:c>
      <x:c r="G492" s="46" t="str">
        <x:v>/Users/nomadresearch/Documents/Claude/Projects/koica-construction-tender/data/raw/L2023-00021-1/붙임 2. 설계 입찰평가서.pdf</x:v>
      </x:c>
      <x:c r="H492" s="43" t="str">
        <x:v>2023-04-29 04:25:34</x:v>
      </x:c>
    </x:row>
    <x:row r="493">
      <x:c r="A493" s="43" t="str">
        <x:v>L2023-00021-1</x:v>
      </x:c>
      <x:c r="B493" s="46" t="str">
        <x:v>붙임1. 멀티미디어 설계용역 평가 결과서 총괄_230322.pdf</x:v>
      </x:c>
      <x:c r="C493" s="43" t="str">
        <x:v>.pdf</x:v>
      </x:c>
      <x:c r="D493" s="61" t="n">
        <x:v>1077212</x:v>
      </x:c>
      <x:c r="E493" s="43" t="str">
        <x:v>downloaded</x:v>
      </x:c>
      <x:c r="F493" s="43" t="str">
        <x:v>e38d3b14f7ae51945027feabea9a78b36a81621e872c48809579a55bea43ad86</x:v>
      </x:c>
      <x:c r="G493" s="46" t="str">
        <x:v>/Users/nomadresearch/Documents/Claude/Projects/koica-construction-tender/data/raw/L2023-00021-1/붙임1. 멀티미디어 설계용역 평가 결과서 총괄_230322.pdf</x:v>
      </x:c>
      <x:c r="H493" s="43" t="str">
        <x:v>2023-04-29 04:25:34</x:v>
      </x:c>
    </x:row>
    <x:row r="494">
      <x:c r="A494" s="43" t="str">
        <x:v>L2023-00021-1</x:v>
      </x:c>
      <x:c r="B494" s="46" t="str">
        <x:v>붙임2. 평가표 및 서약서.zip</x:v>
      </x:c>
      <x:c r="C494" s="43" t="str">
        <x:v>.zip</x:v>
      </x:c>
      <x:c r="D494" s="61" t="n">
        <x:v>6840606</x:v>
      </x:c>
      <x:c r="E494" s="43" t="str">
        <x:v>downloaded</x:v>
      </x:c>
      <x:c r="F494" s="43" t="str">
        <x:v>25ccfaf966208c61efb1b7f38758a16ff953da546b7a5d61b1ab9ffce69b33b8</x:v>
      </x:c>
      <x:c r="G494" s="46" t="str">
        <x:v>/Users/nomadresearch/Documents/Claude/Projects/koica-construction-tender/data/raw/L2023-00021-1/붙임2. 평가표 및 서약서.zip</x:v>
      </x:c>
      <x:c r="H494" s="43" t="str">
        <x:v>2023-04-29 04:25:34</x:v>
      </x:c>
    </x:row>
    <x:row r="495">
      <x:c r="A495" s="43" t="str">
        <x:v>L2023-00021-1</x:v>
      </x:c>
      <x:c r="B495" s="46" t="str">
        <x:v>붙임3. 파라과이 멀티미디어센터_설계계약서 초안.zip</x:v>
      </x:c>
      <x:c r="C495" s="43" t="str">
        <x:v>.zip</x:v>
      </x:c>
      <x:c r="D495" s="61" t="n">
        <x:v>10568363</x:v>
      </x:c>
      <x:c r="E495" s="43" t="str">
        <x:v>downloaded</x:v>
      </x:c>
      <x:c r="F495" s="43" t="str">
        <x:v>d5e4882b938b143e5ceb770ebb92f7571fb4af7888da96eab401d0e5f4050d88</x:v>
      </x:c>
      <x:c r="G495" s="46" t="str">
        <x:v>/Users/nomadresearch/Documents/Claude/Projects/koica-construction-tender/data/raw/L2023-00021-1/붙임3. 파라과이 멀티미디어센터_설계계약서 초안.zip</x:v>
      </x:c>
      <x:c r="H495" s="43" t="str">
        <x:v>2023-04-29 04:25:34</x:v>
      </x:c>
    </x:row>
    <x:row r="496">
      <x:c r="A496" s="43" t="str">
        <x:v>L2023-00021-1</x:v>
      </x:c>
      <x:c r="B496" s="46" t="str">
        <x:v>붙임1. 파라과이 멀티미디어 센터 설계용역 입찰설명서(국문본)_최종_230130_기평팀확인.hwp</x:v>
      </x:c>
      <x:c r="C496" s="43" t="str">
        <x:v>.hwp</x:v>
      </x:c>
      <x:c r="D496" s="61" t="n">
        <x:v>2262016</x:v>
      </x:c>
      <x:c r="E496" s="43" t="str">
        <x:v>downloaded</x:v>
      </x:c>
      <x:c r="F496" s="43" t="str">
        <x:v>f9931dffadc530d8c4b564cf5bfc4cab66a412beb7d06f20cd3135fd7c8f297b</x:v>
      </x:c>
      <x:c r="G496" s="46" t="str">
        <x:v>/Users/nomadresearch/Documents/Claude/Projects/koica-construction-tender/data/raw/L2023-00021-1/붙임1. 파라과이 멀티미디어 센터 설계용역 입찰설명서(국문본)_최종_230130_기평팀확인.hwp</x:v>
      </x:c>
      <x:c r="H496" s="43" t="str">
        <x:v>2023-04-29 04:25:34</x:v>
      </x:c>
    </x:row>
    <x:row r="497">
      <x:c r="A497" s="43" t="str">
        <x:v>L2023-00021-1</x:v>
      </x:c>
      <x:c r="B497" s="46" t="str">
        <x:v>붙임2. 파라과이 멀티미디어 센터 설계용역 입찰설명서(영문본) 1식.zip</x:v>
      </x:c>
      <x:c r="C497" s="43" t="str">
        <x:v>.zip</x:v>
      </x:c>
      <x:c r="D497" s="61" t="n">
        <x:v>10677851</x:v>
      </x:c>
      <x:c r="E497" s="43" t="str">
        <x:v>downloaded</x:v>
      </x:c>
      <x:c r="F497" s="43" t="str">
        <x:v>e799b26fc39ecac94fb1b089653337e9af2beb7932d2557d7c9b159b9b9a6511</x:v>
      </x:c>
      <x:c r="G497" s="46" t="str">
        <x:v>/Users/nomadresearch/Documents/Claude/Projects/koica-construction-tender/data/raw/L2023-00021-1/붙임2. 파라과이 멀티미디어 센터 설계용역 입찰설명서(영문본) 1식.zip</x:v>
      </x:c>
      <x:c r="H497" s="43" t="str">
        <x:v>2023-04-29 04:25:34</x:v>
      </x:c>
    </x:row>
    <x:row r="498">
      <x:c r="A498" s="43" t="str">
        <x:v>L2023-00021-1</x:v>
      </x:c>
      <x:c r="B498" s="46" t="str">
        <x:v>붙임5. 멀티미디어-건축 발주계획 등록 화면.JPG</x:v>
      </x:c>
      <x:c r="C498" s="43" t="str">
        <x:v>.jpg</x:v>
      </x:c>
      <x:c r="D498" s="61" t="n">
        <x:v>69693</x:v>
      </x:c>
      <x:c r="E498" s="43" t="str">
        <x:v>downloaded</x:v>
      </x:c>
      <x:c r="F498" s="43" t="str">
        <x:v>7ff6b13eb17f2da5c3eb5d07160687a61df5abb27378937786bae1cdcd92e0c8</x:v>
      </x:c>
      <x:c r="G498" s="46" t="str">
        <x:v>/Users/nomadresearch/Documents/Claude/Projects/koica-construction-tender/data/raw/L2023-00021-1/붙임5. 멀티미디어-건축 발주계획 등록 화면.JPG</x:v>
      </x:c>
      <x:c r="H498" s="43" t="str">
        <x:v>2023-04-29 04:25:34</x:v>
      </x:c>
    </x:row>
    <x:row r="499">
      <x:c r="A499" s="43" t="str">
        <x:v>L2023-00019-1</x:v>
      </x:c>
      <x:c r="B499" s="46" t="str">
        <x:v>4. KOICA Regulations and Guidelines (1).zip</x:v>
      </x:c>
      <x:c r="C499" s="43" t="str">
        <x:v>.zip</x:v>
      </x:c>
      <x:c r="D499" s="61" t="n">
        <x:v>2017505</x:v>
      </x:c>
      <x:c r="E499" s="43" t="str">
        <x:v>downloaded</x:v>
      </x:c>
      <x:c r="F499" s="43" t="str">
        <x:v>d9396c918967f50b2155bb726764ae0df60ac9b308ca169fc36359d2f51fc5f1</x:v>
      </x:c>
      <x:c r="G499" s="46" t="str">
        <x:v>/Users/nomadresearch/Documents/Claude/Projects/koica-construction-tender/data/raw/L2023-00019-1/4. KOICA Regulations and Guidelines (1).zip</x:v>
      </x:c>
      <x:c r="H499" s="43" t="str">
        <x:v>2023-04-24 18:41:19</x:v>
      </x:c>
    </x:row>
    <x:row r="500">
      <x:c r="A500" s="43" t="str">
        <x:v>L2023-00019-1</x:v>
      </x:c>
      <x:c r="B500" s="46" t="str">
        <x:v>1. Section 2,3 (1).zip</x:v>
      </x:c>
      <x:c r="C500" s="43" t="str">
        <x:v>.zip</x:v>
      </x:c>
      <x:c r="D500" s="61" t="n">
        <x:v>729898</x:v>
      </x:c>
      <x:c r="E500" s="43" t="str">
        <x:v>downloaded</x:v>
      </x:c>
      <x:c r="F500" s="43" t="str">
        <x:v>1b6f86073d1b3e4e718c8bea5c8fb2b71a561db6fee788b0bc90fb91d4bd9255</x:v>
      </x:c>
      <x:c r="G500" s="46" t="str">
        <x:v>/Users/nomadresearch/Documents/Claude/Projects/koica-construction-tender/data/raw/L2023-00019-1/1. Section 2,3 (1).zip</x:v>
      </x:c>
      <x:c r="H500" s="43" t="str">
        <x:v>2023-04-24 18:41:19</x:v>
      </x:c>
    </x:row>
    <x:row r="501">
      <x:c r="A501" s="43" t="str">
        <x:v>L2023-00019-1</x:v>
      </x:c>
      <x:c r="B501" s="46" t="str">
        <x:v>2. Section 1,7,8,9 (2).zip</x:v>
      </x:c>
      <x:c r="C501" s="43" t="str">
        <x:v>.zip</x:v>
      </x:c>
      <x:c r="D501" s="61" t="n">
        <x:v>432716</x:v>
      </x:c>
      <x:c r="E501" s="43" t="str">
        <x:v>downloaded</x:v>
      </x:c>
      <x:c r="F501" s="43" t="str">
        <x:v>bb86c6024fd44ec5748d0d8eec33d6accc886772bb8ca41c7041311e66caefb7</x:v>
      </x:c>
      <x:c r="G501" s="46" t="str">
        <x:v>/Users/nomadresearch/Documents/Claude/Projects/koica-construction-tender/data/raw/L2023-00019-1/2. Section 1,7,8,9 (2).zip</x:v>
      </x:c>
      <x:c r="H501" s="43" t="str">
        <x:v>2023-04-24 18:41:19</x:v>
      </x:c>
    </x:row>
    <x:row r="502">
      <x:c r="A502" s="43" t="str">
        <x:v>L2023-00019-1</x:v>
      </x:c>
      <x:c r="B502" s="46" t="str">
        <x:v>3. KOICA Safty Mangement Manual.zip</x:v>
      </x:c>
      <x:c r="C502" s="43" t="str">
        <x:v>.zip</x:v>
      </x:c>
      <x:c r="D502" s="61" t="n">
        <x:v>657115</x:v>
      </x:c>
      <x:c r="E502" s="43" t="str">
        <x:v>downloaded</x:v>
      </x:c>
      <x:c r="F502" s="43" t="str">
        <x:v>5f4725f0705fc4cc620a042bd0c9d36c94f55050c59e7b9a1a15135e1f67e4bb</x:v>
      </x:c>
      <x:c r="G502" s="46" t="str">
        <x:v>/Users/nomadresearch/Documents/Claude/Projects/koica-construction-tender/data/raw/L2023-00019-1/3. KOICA Safty Mangement Manual.zip</x:v>
      </x:c>
      <x:c r="H502" s="43" t="str">
        <x:v>2023-04-24 18:41:19</x:v>
      </x:c>
    </x:row>
    <x:row r="503">
      <x:c r="A503" s="43" t="str">
        <x:v>L2023-00018-1</x:v>
      </x:c>
      <x:c r="B503" s="46" t="str">
        <x:v>(붙임1) 취약계층 청소년 사회복귀 지원사업 시공사 선정 입찰계획(안) - v2.5.hwp</x:v>
      </x:c>
      <x:c r="C503" s="43" t="str">
        <x:v>.hwp</x:v>
      </x:c>
      <x:c r="D503" s="61" t="n">
        <x:v>61440</x:v>
      </x:c>
      <x:c r="E503" s="43" t="str">
        <x:v>downloaded</x:v>
      </x:c>
      <x:c r="F503" s="43" t="str">
        <x:v>0d1006e710ae8589177b7d44bf7ae31082521b0bb903909840eee62cbe67bc11</x:v>
      </x:c>
      <x:c r="G503" s="46" t="str">
        <x:v>/Users/nomadresearch/Documents/Claude/Projects/koica-construction-tender/data/raw/L2023-00018-1/(붙임1) 취약계층 청소년 사회복귀 지원사업 시공사 선정 입찰계획(안) - v2.5.hwp</x:v>
      </x:c>
      <x:c r="H503" s="43" t="str">
        <x:v>2023-04-18 11:48:05</x:v>
      </x:c>
    </x:row>
    <x:row r="504">
      <x:c r="A504" s="43" t="str">
        <x:v>L2023-00018-1</x:v>
      </x:c>
      <x:c r="B504" s="46" t="str">
        <x:v>(붙임2) 입찰공고문 - Section 2 - Bid Data Sheet (BDS) - v1.6.hwp</x:v>
      </x:c>
      <x:c r="C504" s="43" t="str">
        <x:v>.hwp</x:v>
      </x:c>
      <x:c r="D504" s="61" t="n">
        <x:v>80896</x:v>
      </x:c>
      <x:c r="E504" s="43" t="str">
        <x:v>downloaded</x:v>
      </x:c>
      <x:c r="F504" s="43" t="str">
        <x:v>00b0cfaae01be6559d849bf4a78478592e658d466197595c08e0685bb70fa7cc</x:v>
      </x:c>
      <x:c r="G504" s="46" t="str">
        <x:v>/Users/nomadresearch/Documents/Claude/Projects/koica-construction-tender/data/raw/L2023-00018-1/(붙임2) 입찰공고문 - Section 2 - Bid Data Sheet (BDS) - v1.6.hwp</x:v>
      </x:c>
      <x:c r="H504" s="43" t="str">
        <x:v>2023-04-18 11:48:05</x:v>
      </x:c>
    </x:row>
    <x:row r="505">
      <x:c r="A505" s="43" t="str">
        <x:v>L2023-00015-1</x:v>
      </x:c>
      <x:c r="B505" s="46" t="str">
        <x:v>붙임 1. (국문) 감리입찰계획(안).hwp</x:v>
      </x:c>
      <x:c r="C505" s="43" t="str">
        <x:v>.hwp</x:v>
      </x:c>
      <x:c r="D505" s="61" t="n">
        <x:v>346112</x:v>
      </x:c>
      <x:c r="E505" s="43" t="str">
        <x:v>downloaded</x:v>
      </x:c>
      <x:c r="F505" s="43" t="str">
        <x:v>3c4ea68bb1ef56893468e2b7a4379fe68752eb9e735eaf1f0e89013b69b950ed</x:v>
      </x:c>
      <x:c r="G505" s="46" t="str">
        <x:v>/Users/nomadresearch/Documents/Claude/Projects/koica-construction-tender/data/raw/L2023-00015-1/붙임 1. (국문) 감리입찰계획(안).hwp</x:v>
      </x:c>
      <x:c r="H505" s="43" t="str">
        <x:v>2023-03-30 13:54:40</x:v>
      </x:c>
    </x:row>
    <x:row r="506">
      <x:c r="A506" s="43" t="str">
        <x:v>L2023-00015-1</x:v>
      </x:c>
      <x:c r="B506" s="46" t="str">
        <x:v>붙임 2. (영문) 감리 입찰 공고(안).docx</x:v>
      </x:c>
      <x:c r="C506" s="43" t="str">
        <x:v>.docx</x:v>
      </x:c>
      <x:c r="D506" s="61" t="n">
        <x:v>63754</x:v>
      </x:c>
      <x:c r="E506" s="43" t="str">
        <x:v>downloaded</x:v>
      </x:c>
      <x:c r="F506" s="43" t="str">
        <x:v>13916d2efe6a899ee69b121e944ff45ef73f464da87b5393a615b9c96982f096</x:v>
      </x:c>
      <x:c r="G506" s="46" t="str">
        <x:v>/Users/nomadresearch/Documents/Claude/Projects/koica-construction-tender/data/raw/L2023-00015-1/붙임 2. (영문) 감리 입찰 공고(안).docx</x:v>
      </x:c>
      <x:c r="H506" s="43" t="str">
        <x:v>2023-03-30 13:54:40</x:v>
      </x:c>
    </x:row>
    <x:row r="507">
      <x:c r="A507" s="43" t="str">
        <x:v>L2023-00015-1</x:v>
      </x:c>
      <x:c r="B507" s="46" t="str">
        <x:v>붙임 3. 입찰 관련 부속서류 일체.Zip</x:v>
      </x:c>
      <x:c r="C507" s="43" t="str">
        <x:v>.zip</x:v>
      </x:c>
      <x:c r="D507" s="61" t="n">
        <x:v>535530</x:v>
      </x:c>
      <x:c r="E507" s="43" t="str">
        <x:v>downloaded</x:v>
      </x:c>
      <x:c r="F507" s="43" t="str">
        <x:v>396ed5a76684a37175551dee7d340d89739d31015a62be525fc6dda2f3f6e51a</x:v>
      </x:c>
      <x:c r="G507" s="46" t="str">
        <x:v>/Users/nomadresearch/Documents/Claude/Projects/koica-construction-tender/data/raw/L2023-00015-1/붙임 3. 입찰 관련 부속서류 일체.Zip</x:v>
      </x:c>
      <x:c r="H507" s="43" t="str">
        <x:v>2023-03-30 13:54:40</x:v>
      </x:c>
    </x:row>
    <x:row r="508">
      <x:c r="A508" s="43" t="str">
        <x:v>L2023-00012-1</x:v>
      </x:c>
      <x:c r="B508" s="46" t="str">
        <x:v>붙임 6. 서약서.Zip</x:v>
      </x:c>
      <x:c r="C508" s="43" t="str">
        <x:v>.zip</x:v>
      </x:c>
      <x:c r="D508" s="61" t="n">
        <x:v>65638</x:v>
      </x:c>
      <x:c r="E508" s="43" t="str">
        <x:v>downloaded</x:v>
      </x:c>
      <x:c r="F508" s="43" t="str">
        <x:v>4f017c81c924b57a1946a21a2e3d52fe39d96701b77273cc40154e053b6bbfcd</x:v>
      </x:c>
      <x:c r="G508" s="46" t="str">
        <x:v>/Users/nomadresearch/Documents/Claude/Projects/koica-construction-tender/data/raw/L2023-00012-1/붙임 6. 서약서.Zip</x:v>
      </x:c>
      <x:c r="H508" s="43" t="str">
        <x:v>2023-03-28 09:27:56</x:v>
      </x:c>
    </x:row>
    <x:row r="509">
      <x:c r="A509" s="43" t="str">
        <x:v>L2023-00012-1</x:v>
      </x:c>
      <x:c r="B509" s="46" t="str">
        <x:v>붙임 3. 부속서류 일체.Zip</x:v>
      </x:c>
      <x:c r="C509" s="43" t="str">
        <x:v>.zip</x:v>
      </x:c>
      <x:c r="D509" s="61" t="n">
        <x:v>620369</x:v>
      </x:c>
      <x:c r="E509" s="43" t="str">
        <x:v>downloaded</x:v>
      </x:c>
      <x:c r="F509" s="43" t="str">
        <x:v>c27477ff77a5cb20e7e3e62d54328f7a2d21ae0a8ddf19d88a47f97f4d9f4e02</x:v>
      </x:c>
      <x:c r="G509" s="46" t="str">
        <x:v>/Users/nomadresearch/Documents/Claude/Projects/koica-construction-tender/data/raw/L2023-00012-1/붙임 3. 부속서류 일체.Zip</x:v>
      </x:c>
      <x:c r="H509" s="43" t="str">
        <x:v>2023-03-28 09:27:56</x:v>
      </x:c>
    </x:row>
    <x:row r="510">
      <x:c r="A510" s="43" t="str">
        <x:v>L2023-00012-1</x:v>
      </x:c>
      <x:c r="B510" s="46" t="str">
        <x:v>붙임 2. (영문) 입찰 공고(안).doc</x:v>
      </x:c>
      <x:c r="C510" s="43" t="str">
        <x:v>.doc</x:v>
      </x:c>
      <x:c r="D510" s="61" t="n">
        <x:v>134144</x:v>
      </x:c>
      <x:c r="E510" s="43" t="str">
        <x:v>downloaded</x:v>
      </x:c>
      <x:c r="F510" s="43" t="str">
        <x:v>1e75e46efcf95484a3353e555fae0b3d57ff301781faec09730c5abe0f43c13e</x:v>
      </x:c>
      <x:c r="G510" s="46" t="str">
        <x:v>/Users/nomadresearch/Documents/Claude/Projects/koica-construction-tender/data/raw/L2023-00012-1/붙임 2. (영문) 입찰 공고(안).doc</x:v>
      </x:c>
      <x:c r="H510" s="43" t="str">
        <x:v>2023-03-28 09:27:56</x:v>
      </x:c>
    </x:row>
    <x:row r="511">
      <x:c r="A511" s="43" t="str">
        <x:v>L2023-00012-1</x:v>
      </x:c>
      <x:c r="B511" s="46" t="str">
        <x:v>붙임 2. (국문) 입찰 계획서.hwp</x:v>
      </x:c>
      <x:c r="C511" s="43" t="str">
        <x:v>.hwp</x:v>
      </x:c>
      <x:c r="D511" s="61" t="n">
        <x:v>342016</x:v>
      </x:c>
      <x:c r="E511" s="43" t="str">
        <x:v>downloaded</x:v>
      </x:c>
      <x:c r="F511" s="43" t="str">
        <x:v>7eeb06e6b621da7fe7ad440d018ff2813acbb4d24e98ef0fdccbd4296bbf4e05</x:v>
      </x:c>
      <x:c r="G511" s="46" t="str">
        <x:v>/Users/nomadresearch/Documents/Claude/Projects/koica-construction-tender/data/raw/L2023-00012-1/붙임 2. (국문) 입찰 계획서.hwp</x:v>
      </x:c>
      <x:c r="H511" s="43" t="str">
        <x:v>2023-03-28 09:27:56</x:v>
      </x:c>
    </x:row>
    <x:row r="512">
      <x:c r="A512" s="43" t="str">
        <x:v>L2023-00011-1</x:v>
      </x:c>
      <x:c r="B512" s="46" t="str">
        <x:v>입찰계획안(국문)_230321.hwp</x:v>
      </x:c>
      <x:c r="C512" s="43" t="str">
        <x:v>.hwp</x:v>
      </x:c>
      <x:c r="D512" s="61" t="n">
        <x:v>67584</x:v>
      </x:c>
      <x:c r="E512" s="43" t="str">
        <x:v>downloaded</x:v>
      </x:c>
      <x:c r="F512" s="43" t="str">
        <x:v>f7a3559b8475c34d2f7367a8f4ffd2c4de444ffe371bacabb311cd99ccd6c8db</x:v>
      </x:c>
      <x:c r="G512" s="46" t="str">
        <x:v>/Users/nomadresearch/Documents/Claude/Projects/koica-construction-tender/data/raw/L2023-00011-1/입찰계획안(국문)_230321.hwp</x:v>
      </x:c>
      <x:c r="H512" s="43" t="str">
        <x:v>2023-03-28 13:31:28</x:v>
      </x:c>
    </x:row>
    <x:row r="513">
      <x:c r="A513" s="43" t="str">
        <x:v>L2023-00011-1</x:v>
      </x:c>
      <x:c r="B513" s="46" t="str">
        <x:v>Section 2 - Bid Data Sheet (BDS).docx</x:v>
      </x:c>
      <x:c r="C513" s="43" t="str">
        <x:v>.docx</x:v>
      </x:c>
      <x:c r="D513" s="61" t="n">
        <x:v>50548</x:v>
      </x:c>
      <x:c r="E513" s="43" t="str">
        <x:v>downloaded</x:v>
      </x:c>
      <x:c r="F513" s="43" t="str">
        <x:v>8b2e9ecfbaf7633395c0a697998d8f40ebcd27864f738bc3e3afeefe40e31ea9</x:v>
      </x:c>
      <x:c r="G513" s="46" t="str">
        <x:v>/Users/nomadresearch/Documents/Claude/Projects/koica-construction-tender/data/raw/L2023-00011-1/Section 2 - Bid Data Sheet (BDS).docx</x:v>
      </x:c>
      <x:c r="H513" s="43" t="str">
        <x:v>2023-03-28 13:31:28</x:v>
      </x:c>
    </x:row>
    <x:row r="514">
      <x:c r="A514" s="43" t="str">
        <x:v>L2023-00009-1</x:v>
      </x:c>
      <x:c r="B514" s="46" t="str">
        <x:v>1. 입찰계획안(국영문).zip</x:v>
      </x:c>
      <x:c r="C514" s="43" t="str">
        <x:v>.zip</x:v>
      </x:c>
      <x:c r="D514" s="61" t="n">
        <x:v>120997</x:v>
      </x:c>
      <x:c r="E514" s="43" t="str">
        <x:v>downloaded</x:v>
      </x:c>
      <x:c r="F514" s="43" t="str">
        <x:v>4621678c0700c95a86c9aacacdc004cfd1ac2caeeb9e4448844d44343d7ed837</x:v>
      </x:c>
      <x:c r="G514" s="46" t="str">
        <x:v>/Users/nomadresearch/Documents/Claude/Projects/koica-construction-tender/data/raw/L2023-00009-1/1. 입찰계획안(국영문).zip</x:v>
      </x:c>
      <x:c r="H514" s="43" t="str">
        <x:v>2023-03-27 19:56:46</x:v>
      </x:c>
    </x:row>
    <x:row r="515">
      <x:c r="A515" s="43" t="str">
        <x:v>L2023-00009-1</x:v>
      </x:c>
      <x:c r="B515" s="46" t="str">
        <x:v>2. 입찰서류(영문).zip</x:v>
      </x:c>
      <x:c r="C515" s="43" t="str">
        <x:v>.zip</x:v>
      </x:c>
      <x:c r="D515" s="61" t="n">
        <x:v>20914091</x:v>
      </x:c>
      <x:c r="E515" s="43" t="str">
        <x:v>downloaded</x:v>
      </x:c>
      <x:c r="F515" s="43" t="str">
        <x:v>ee9a6aab923705060b18ab138b2218919dfab036e7228e14f0df0da38c527019</x:v>
      </x:c>
      <x:c r="G515" s="46" t="str">
        <x:v>/Users/nomadresearch/Documents/Claude/Projects/koica-construction-tender/data/raw/L2023-00009-1/2. 입찰서류(영문).zip</x:v>
      </x:c>
      <x:c r="H515" s="43" t="str">
        <x:v>2023-03-27 19:56:46</x:v>
      </x:c>
    </x:row>
    <x:row r="516">
      <x:c r="A516" s="43" t="str">
        <x:v>L2023-00007-1</x:v>
      </x:c>
      <x:c r="B516" s="46" t="str">
        <x:v>붙임1_우르겐치_시공사선정_입찰공고문_20230228최종수정본.docx</x:v>
      </x:c>
      <x:c r="C516" s="43" t="str">
        <x:v>.docx</x:v>
      </x:c>
      <x:c r="D516" s="61" t="n">
        <x:v>32485</x:v>
      </x:c>
      <x:c r="E516" s="43" t="str">
        <x:v>downloaded</x:v>
      </x:c>
      <x:c r="F516" s="43" t="str">
        <x:v>5f09465780bdb3a49165c57f24f0d3271d8b4711dc919b9de4f18a4fd54e301d</x:v>
      </x:c>
      <x:c r="G516" s="46" t="str">
        <x:v>/Users/nomadresearch/Documents/Claude/Projects/koica-construction-tender/data/raw/L2023-00007-1/붙임1_우르겐치_시공사선정_입찰공고문_20230228최종수정본.docx</x:v>
      </x:c>
      <x:c r="H516" s="43" t="str">
        <x:v>2023-03-11 20:36:54</x:v>
      </x:c>
    </x:row>
    <x:row r="517">
      <x:c r="A517" s="43" t="str">
        <x:v>L2023-00007-1</x:v>
      </x:c>
      <x:c r="B517" s="46" t="str">
        <x:v>붙임2_우르겐치_시공_입찰공고_첨부서류_모음_수정.zip</x:v>
      </x:c>
      <x:c r="C517" s="43" t="str">
        <x:v>.zip</x:v>
      </x:c>
      <x:c r="D517" s="61" t="n">
        <x:v>748783</x:v>
      </x:c>
      <x:c r="E517" s="43" t="str">
        <x:v>downloaded</x:v>
      </x:c>
      <x:c r="F517" s="43" t="str">
        <x:v>9c6231eb964d853525c828d237ef8bece342862db5927cf2582222546c10e464</x:v>
      </x:c>
      <x:c r="G517" s="46" t="str">
        <x:v>/Users/nomadresearch/Documents/Claude/Projects/koica-construction-tender/data/raw/L2023-00007-1/붙임2_우르겐치_시공_입찰공고_첨부서류_모음_수정.zip</x:v>
      </x:c>
      <x:c r="H517" s="43" t="str">
        <x:v>2023-03-11 20:36:54</x:v>
      </x:c>
    </x:row>
    <x:row r="518">
      <x:c r="A518" s="43" t="str">
        <x:v>L2023-00006-1</x:v>
      </x:c>
      <x:c r="B518" s="46" t="str">
        <x:v>3. KOICA Safty Management Manual.zip</x:v>
      </x:c>
      <x:c r="C518" s="43" t="str">
        <x:v>.zip</x:v>
      </x:c>
      <x:c r="D518" s="61" t="n">
        <x:v>657115</x:v>
      </x:c>
      <x:c r="E518" s="43" t="str">
        <x:v>downloaded</x:v>
      </x:c>
      <x:c r="F518" s="43" t="str">
        <x:v>5f4725f0705fc4cc620a042bd0c9d36c94f55050c59e7b9a1a15135e1f67e4bb</x:v>
      </x:c>
      <x:c r="G518" s="46" t="str">
        <x:v>/Users/nomadresearch/Documents/Claude/Projects/koica-construction-tender/data/raw/L2023-00006-1/3. KOICA Safty Management Manual.zip</x:v>
      </x:c>
      <x:c r="H518" s="43" t="str">
        <x:v>2023-02-23 14:44:17</x:v>
      </x:c>
    </x:row>
    <x:row r="519">
      <x:c r="A519" s="43" t="str">
        <x:v>L2023-00006-1</x:v>
      </x:c>
      <x:c r="B519" s="46" t="str">
        <x:v>2. Section 1,7,8,9.zip</x:v>
      </x:c>
      <x:c r="C519" s="43" t="str">
        <x:v>.zip</x:v>
      </x:c>
      <x:c r="D519" s="61" t="n">
        <x:v>492738</x:v>
      </x:c>
      <x:c r="E519" s="43" t="str">
        <x:v>downloaded</x:v>
      </x:c>
      <x:c r="F519" s="43" t="str">
        <x:v>37ad5828c2d2e05c30cebfc2e2bcf5c701c8688bbb4003dd0a0fdda61d68891f</x:v>
      </x:c>
      <x:c r="G519" s="46" t="str">
        <x:v>/Users/nomadresearch/Documents/Claude/Projects/koica-construction-tender/data/raw/L2023-00006-1/2. Section 1,7,8,9.zip</x:v>
      </x:c>
      <x:c r="H519" s="43" t="str">
        <x:v>2023-02-23 14:44:17</x:v>
      </x:c>
    </x:row>
    <x:row r="520">
      <x:c r="A520" s="43" t="str">
        <x:v>L2023-00006-1</x:v>
      </x:c>
      <x:c r="B520" s="46" t="str">
        <x:v>1. Section 2,3.zip</x:v>
      </x:c>
      <x:c r="C520" s="43" t="str">
        <x:v>.zip</x:v>
      </x:c>
      <x:c r="D520" s="61" t="n">
        <x:v>590697</x:v>
      </x:c>
      <x:c r="E520" s="43" t="str">
        <x:v>downloaded</x:v>
      </x:c>
      <x:c r="F520" s="43" t="str">
        <x:v>dcf0e93795f5fce7e0b55885077d7452ce4668a13c14fcb858bfb8d13a3f8c75</x:v>
      </x:c>
      <x:c r="G520" s="46" t="str">
        <x:v>/Users/nomadresearch/Documents/Claude/Projects/koica-construction-tender/data/raw/L2023-00006-1/1. Section 2,3.zip</x:v>
      </x:c>
      <x:c r="H520" s="43" t="str">
        <x:v>2023-02-23 14:44:17</x:v>
      </x:c>
    </x:row>
    <x:row r="521">
      <x:c r="A521" s="43" t="str">
        <x:v>L2023-00006-1</x:v>
      </x:c>
      <x:c r="B521" s="46" t="str">
        <x:v>4. KOICA Regulations and Guidelines.zip</x:v>
      </x:c>
      <x:c r="C521" s="43" t="str">
        <x:v>.zip</x:v>
      </x:c>
      <x:c r="D521" s="61" t="n">
        <x:v>2017505</x:v>
      </x:c>
      <x:c r="E521" s="43" t="str">
        <x:v>downloaded</x:v>
      </x:c>
      <x:c r="F521" s="43" t="str">
        <x:v>d9396c918967f50b2155bb726764ae0df60ac9b308ca169fc36359d2f51fc5f1</x:v>
      </x:c>
      <x:c r="G521" s="46" t="str">
        <x:v>/Users/nomadresearch/Documents/Claude/Projects/koica-construction-tender/data/raw/L2023-00006-1/4. KOICA Regulations and Guidelines.zip</x:v>
      </x:c>
      <x:c r="H521" s="43" t="str">
        <x:v>2023-02-23 14:44:17</x:v>
      </x:c>
    </x:row>
    <x:row r="522">
      <x:c r="A522" s="43" t="str">
        <x:v>L2023-00004-1</x:v>
      </x:c>
      <x:c r="B522" s="46" t="str">
        <x:v>「에티오피아 양질의 일자리 창출을 위한 ICT 기반의 창업 및 중소기업 육성 지원 사업」 ICT센터 현지 리모델링 시공 입찰 계획(안).hwp</x:v>
      </x:c>
      <x:c r="C522" s="43" t="str">
        <x:v>.hwp</x:v>
      </x:c>
      <x:c r="D522" s="61" t="n">
        <x:v>157696</x:v>
      </x:c>
      <x:c r="E522" s="43" t="str">
        <x:v>downloaded</x:v>
      </x:c>
      <x:c r="F522" s="43" t="str">
        <x:v>6792fabd9bc390c577aea8dcce2679460375287df8ffb4459ef709ef2a8f38fc</x:v>
      </x:c>
      <x:c r="G522" s="46" t="str">
        <x:v>/Users/nomadresearch/Documents/Claude/Projects/koica-construction-tender/data/raw/L2023-00004-1/「에티오피아 양질의 일자리 창출을 위한 ICT 기반의 창업 및 중소기업 육성 지원 사업」 ICT센터 현지 리모델링 시공 입찰 계획(안).hwp</x:v>
      </x:c>
      <x:c r="H522" s="43" t="str">
        <x:v>2023-02-16 22:42:17</x:v>
      </x:c>
    </x:row>
    <x:row r="523">
      <x:c r="A523" s="43" t="str">
        <x:v>L2023-00004-1</x:v>
      </x:c>
      <x:c r="B523" s="46" t="str">
        <x:v>붙임 1. 에티오피아 ICT 센터 입찰 계획.hwp</x:v>
      </x:c>
      <x:c r="C523" s="43" t="str">
        <x:v>.hwp</x:v>
      </x:c>
      <x:c r="D523" s="61" t="n">
        <x:v>174592</x:v>
      </x:c>
      <x:c r="E523" s="43" t="str">
        <x:v>downloaded</x:v>
      </x:c>
      <x:c r="F523" s="43" t="str">
        <x:v>0c9a439e6a8f5469309b9c70f021c8bbc45ace1e96f194a5a9cd6f958a3bb17f</x:v>
      </x:c>
      <x:c r="G523" s="46" t="str">
        <x:v>/Users/nomadresearch/Documents/Claude/Projects/koica-construction-tender/data/raw/L2023-00004-1/붙임 1. 에티오피아 ICT 센터 입찰 계획.hwp</x:v>
      </x:c>
      <x:c r="H523" s="43" t="str">
        <x:v>2023-02-16 22:42:17</x:v>
      </x:c>
    </x:row>
    <x:row r="524">
      <x:c r="A524" s="43" t="str">
        <x:v>L2023-00004-1</x:v>
      </x:c>
      <x:c r="B524" s="46" t="str">
        <x:v>붙임 2. 입찰 서류.zip</x:v>
      </x:c>
      <x:c r="C524" s="43" t="str">
        <x:v>.zip</x:v>
      </x:c>
      <x:c r="D524" s="61" t="n">
        <x:v>7446678</x:v>
      </x:c>
      <x:c r="E524" s="43" t="str">
        <x:v>downloaded</x:v>
      </x:c>
      <x:c r="F524" s="43" t="str">
        <x:v>ff6dff4aef30d234381a5edfdaad42b2b7af84929b47f5cb3aeff8cb0e1a76e2</x:v>
      </x:c>
      <x:c r="G524" s="46" t="str">
        <x:v>/Users/nomadresearch/Documents/Claude/Projects/koica-construction-tender/data/raw/L2023-00004-1/붙임 2. 입찰 서류.zip</x:v>
      </x:c>
      <x:c r="H524" s="43" t="str">
        <x:v>2023-02-16 22:42:17</x:v>
      </x:c>
    </x:row>
    <x:row r="525">
      <x:c r="A525" s="43" t="str">
        <x:v>L2023-00004-1</x:v>
      </x:c>
      <x:c r="B525" s="46" t="str">
        <x:v>붙임 3. 입찰 공고문.zip</x:v>
      </x:c>
      <x:c r="C525" s="43" t="str">
        <x:v>.zip</x:v>
      </x:c>
      <x:c r="D525" s="61" t="n">
        <x:v>28643</x:v>
      </x:c>
      <x:c r="E525" s="43" t="str">
        <x:v>downloaded</x:v>
      </x:c>
      <x:c r="F525" s="43" t="str">
        <x:v>14f86dad24847e5a742c36146b5a52aa16925004ddabdc1296a64258b2312c94</x:v>
      </x:c>
      <x:c r="G525" s="46" t="str">
        <x:v>/Users/nomadresearch/Documents/Claude/Projects/koica-construction-tender/data/raw/L2023-00004-1/붙임 3. 입찰 공고문.zip</x:v>
      </x:c>
      <x:c r="H525" s="43" t="str">
        <x:v>2023-02-16 22:42:17</x:v>
      </x:c>
    </x:row>
    <x:row r="526">
      <x:c r="A526" s="43" t="str">
        <x:v>L2023-00004-1</x:v>
      </x:c>
      <x:c r="B526" s="46" t="str">
        <x:v>붙임 4. 입찰 공고 견적서.zip</x:v>
      </x:c>
      <x:c r="C526" s="43" t="str">
        <x:v>.zip</x:v>
      </x:c>
      <x:c r="D526" s="61" t="n">
        <x:v>2089989</x:v>
      </x:c>
      <x:c r="E526" s="43" t="str">
        <x:v>downloaded</x:v>
      </x:c>
      <x:c r="F526" s="43" t="str">
        <x:v>afc7d79d1a5fecd0e8eae00669fc997d740b04699b751b289842b2bd71f8e81c</x:v>
      </x:c>
      <x:c r="G526" s="46" t="str">
        <x:v>/Users/nomadresearch/Documents/Claude/Projects/koica-construction-tender/data/raw/L2023-00004-1/붙임 4. 입찰 공고 견적서.zip</x:v>
      </x:c>
      <x:c r="H526" s="43" t="str">
        <x:v>2023-02-16 22:42:17</x:v>
      </x:c>
    </x:row>
    <x:row r="527">
      <x:c r="A527" s="43" t="str">
        <x:v>L2023-00004-1</x:v>
      </x:c>
      <x:c r="B527" s="46" t="str">
        <x:v>붙임 5. 유찰 결과 보고 내부결재.zip</x:v>
      </x:c>
      <x:c r="C527" s="43" t="str">
        <x:v>.zip</x:v>
      </x:c>
      <x:c r="D527" s="61" t="n">
        <x:v>1430025</x:v>
      </x:c>
      <x:c r="E527" s="43" t="str">
        <x:v>downloaded</x:v>
      </x:c>
      <x:c r="F527" s="43" t="str">
        <x:v>fd9eafdd9add4732e457c1188b4182bb7af4fb69f6995b54b20a10365c9372fe</x:v>
      </x:c>
      <x:c r="G527" s="46" t="str">
        <x:v>/Users/nomadresearch/Documents/Claude/Projects/koica-construction-tender/data/raw/L2023-00004-1/붙임 5. 유찰 결과 보고 내부결재.zip</x:v>
      </x:c>
      <x:c r="H527" s="43" t="str">
        <x:v>2023-02-16 22:42:17</x:v>
      </x:c>
    </x:row>
    <x:row r="528">
      <x:c r="A528" s="43" t="str">
        <x:v>L2023-00003-1</x:v>
      </x:c>
      <x:c r="B528" s="46" t="str">
        <x:v>Bid Document(ESMV II)_separately attached.zip</x:v>
      </x:c>
      <x:c r="C528" s="43" t="str">
        <x:v>.zip</x:v>
      </x:c>
      <x:c r="D528" s="61" t="n">
        <x:v>20363383</x:v>
      </x:c>
      <x:c r="E528" s="43" t="str">
        <x:v>downloaded</x:v>
      </x:c>
      <x:c r="F528" s="43" t="str">
        <x:v>f55e01cf35b2cc73e36a8bce6556a26dee14b1701d0fbd12ffd29feef4f6dd26</x:v>
      </x:c>
      <x:c r="G528" s="46" t="str">
        <x:v>/Users/nomadresearch/Documents/Claude/Projects/koica-construction-tender/data/raw/L2023-00003-1/Bid Document(ESMV II)_separately attached.zip</x:v>
      </x:c>
      <x:c r="H528" s="43" t="str">
        <x:v>2023-02-14 19:54:07</x:v>
      </x:c>
    </x:row>
    <x:row r="529">
      <x:c r="A529" s="43" t="str">
        <x:v>L2022-00068-1</x:v>
      </x:c>
      <x:c r="B529" s="46" t="str">
        <x:v>「에티오피아 양질의 일자리 창출을 위한 ICT기반의 창업 및 중소기업 육성 지원 사업」ICT 센터 현지 리모델링 시공 입찰 계획(안).hwp</x:v>
      </x:c>
      <x:c r="C529" s="43" t="str">
        <x:v>.hwp</x:v>
      </x:c>
      <x:c r="D529" s="61" t="n">
        <x:v>162304</x:v>
      </x:c>
      <x:c r="E529" s="43" t="str">
        <x:v>downloaded</x:v>
      </x:c>
      <x:c r="F529" s="43" t="str">
        <x:v>3ff5ba92f5755a8b6bdde3dfe2ce994845a33ae85e2e9b5ed73563612cf4310c</x:v>
      </x:c>
      <x:c r="G529" s="46" t="str">
        <x:v>/Users/nomadresearch/Documents/Claude/Projects/koica-construction-tender/data/raw/L2022-00068-1/「에티오피아 양질의 일자리 창출을 위한 ICT기반의 창업 및 중소기업 육성 지원 사업」ICT 센터 현지 리모델링 시공 입찰 계획(안).hwp</x:v>
      </x:c>
      <x:c r="H529" s="43" t="str">
        <x:v>2022-11-18 22:30:45</x:v>
      </x:c>
    </x:row>
    <x:row r="530">
      <x:c r="A530" s="43" t="str">
        <x:v>L2022-00068-1</x:v>
      </x:c>
      <x:c r="B530" s="46" t="str">
        <x:v>붙임 1. 입찰 계획서.hwp</x:v>
      </x:c>
      <x:c r="C530" s="43" t="str">
        <x:v>.hwp</x:v>
      </x:c>
      <x:c r="D530" s="61" t="n">
        <x:v>175104</x:v>
      </x:c>
      <x:c r="E530" s="43" t="str">
        <x:v>downloaded</x:v>
      </x:c>
      <x:c r="F530" s="43" t="str">
        <x:v>96d303cd1205d8b18270ee3d22610c486eaf02d15157a87e1554baaa720cff27</x:v>
      </x:c>
      <x:c r="G530" s="46" t="str">
        <x:v>/Users/nomadresearch/Documents/Claude/Projects/koica-construction-tender/data/raw/L2022-00068-1/붙임 1. 입찰 계획서.hwp</x:v>
      </x:c>
      <x:c r="H530" s="43" t="str">
        <x:v>2022-11-18 22:30:45</x:v>
      </x:c>
    </x:row>
    <x:row r="531">
      <x:c r="A531" s="43" t="str">
        <x:v>L2022-00068-1</x:v>
      </x:c>
      <x:c r="B531" s="46" t="str">
        <x:v>붙임 2. 입찰 관련 서류.zip</x:v>
      </x:c>
      <x:c r="C531" s="43" t="str">
        <x:v>.zip</x:v>
      </x:c>
      <x:c r="D531" s="61" t="n">
        <x:v>9471788</x:v>
      </x:c>
      <x:c r="E531" s="43" t="str">
        <x:v>downloaded</x:v>
      </x:c>
      <x:c r="F531" s="43" t="str">
        <x:v>dac6b578a35bc390daa18270a98a35e964c5eababa9bcaeffd36a0e8912be384</x:v>
      </x:c>
      <x:c r="G531" s="46" t="str">
        <x:v>/Users/nomadresearch/Documents/Claude/Projects/koica-construction-tender/data/raw/L2022-00068-1/붙임 2. 입찰 관련 서류.zip</x:v>
      </x:c>
      <x:c r="H531" s="43" t="str">
        <x:v>2022-11-18 22:30:45</x:v>
      </x:c>
    </x:row>
    <x:row r="532">
      <x:c r="A532" s="43" t="str">
        <x:v>L2022-00068-1</x:v>
      </x:c>
      <x:c r="B532" s="46" t="str">
        <x:v>붙임 3. 입찰 공고문(Invitation for Bid).zip</x:v>
      </x:c>
      <x:c r="C532" s="43" t="str">
        <x:v>.zip</x:v>
      </x:c>
      <x:c r="D532" s="61" t="n">
        <x:v>28930</x:v>
      </x:c>
      <x:c r="E532" s="43" t="str">
        <x:v>downloaded</x:v>
      </x:c>
      <x:c r="F532" s="43" t="str">
        <x:v>38eea1c1ddfb0cd0fc53f5edba4008366eae12328697146688470ad1567edc87</x:v>
      </x:c>
      <x:c r="G532" s="46" t="str">
        <x:v>/Users/nomadresearch/Documents/Claude/Projects/koica-construction-tender/data/raw/L2022-00068-1/붙임 3. 입찰 공고문(Invitation for Bid).zip</x:v>
      </x:c>
      <x:c r="H532" s="43" t="str">
        <x:v>2022-11-18 22:30:45</x:v>
      </x:c>
    </x:row>
    <x:row r="533">
      <x:c r="A533" s="43" t="str">
        <x:v>L2022-00066-1</x:v>
      </x:c>
      <x:c r="B533" s="46" t="str">
        <x:v>한몽기술대학 용역 서비스 관련 재공지(번역본).hwp</x:v>
      </x:c>
      <x:c r="C533" s="43" t="str">
        <x:v>.hwp</x:v>
      </x:c>
      <x:c r="D533" s="61" t="n">
        <x:v>26112</x:v>
      </x:c>
      <x:c r="E533" s="43" t="str">
        <x:v>downloaded</x:v>
      </x:c>
      <x:c r="F533" s="43" t="str">
        <x:v>a34f6d81e6aaa750e36fffe4f34d673412367d8825b4b3141eb8546cff438dc6</x:v>
      </x:c>
      <x:c r="G533" s="46" t="str">
        <x:v>/Users/nomadresearch/Documents/Claude/Projects/koica-construction-tender/data/raw/L2022-00066-1/한몽기술대학 용역 서비스 관련 재공지(번역본).hwp</x:v>
      </x:c>
      <x:c r="H533" s="43" t="str">
        <x:v>2022-11-04 18:03:54</x:v>
      </x:c>
    </x:row>
    <x:row r="534">
      <x:c r="A534" s="43" t="str">
        <x:v>L2022-00066-1</x:v>
      </x:c>
      <x:c r="B534" s="46" t="str">
        <x:v>한몽기술대학 용역 서비스 관련 재공지(원본).pdf</x:v>
      </x:c>
      <x:c r="C534" s="43" t="str">
        <x:v>.pdf</x:v>
      </x:c>
      <x:c r="D534" s="61" t="n">
        <x:v>114221</x:v>
      </x:c>
      <x:c r="E534" s="43" t="str">
        <x:v>downloaded</x:v>
      </x:c>
      <x:c r="F534" s="43" t="str">
        <x:v>32f88873d011553a40feb3c9befaec2e2bfe2baceed929833e4dfdba77772bde</x:v>
      </x:c>
      <x:c r="G534" s="46" t="str">
        <x:v>/Users/nomadresearch/Documents/Claude/Projects/koica-construction-tender/data/raw/L2022-00066-1/한몽기술대학 용역 서비스 관련 재공지(원본).pdf</x:v>
      </x:c>
      <x:c r="H534" s="43" t="str">
        <x:v>2022-11-04 18:03:54</x:v>
      </x:c>
    </x:row>
    <x:row r="535">
      <x:c r="A535" s="43" t="str">
        <x:v>L2022-00065-2</x:v>
      </x:c>
      <x:c r="B535" s="46" t="str">
        <x:v>한몽기술대 공고 캡처본.JPG</x:v>
      </x:c>
      <x:c r="C535" s="43" t="str">
        <x:v>.jpg</x:v>
      </x:c>
      <x:c r="D535" s="61" t="n">
        <x:v>163177</x:v>
      </x:c>
      <x:c r="E535" s="43" t="str">
        <x:v>downloaded</x:v>
      </x:c>
      <x:c r="F535" s="43" t="str">
        <x:v>8da932e03a9180419ac9dff8ddb3015206037010d0dfff96193c291684fe6494</x:v>
      </x:c>
      <x:c r="G535" s="46" t="str">
        <x:v>/Users/nomadresearch/Documents/Claude/Projects/koica-construction-tender/data/raw/L2022-00065-2/한몽기술대 공고 캡처본.JPG</x:v>
      </x:c>
      <x:c r="H535" s="43" t="str">
        <x:v>2022-11-04 18:00:13</x:v>
      </x:c>
    </x:row>
    <x:row r="536">
      <x:c r="A536" s="43" t="str">
        <x:v>L2022-00065-1</x:v>
      </x:c>
      <x:c r="B536" s="46" t="str">
        <x:v>한몽기술대학교 용역 서비스 관련 공지 원본_0706.pdf</x:v>
      </x:c>
      <x:c r="C536" s="43" t="str">
        <x:v>.pdf</x:v>
      </x:c>
      <x:c r="D536" s="61" t="n">
        <x:v>114256</x:v>
      </x:c>
      <x:c r="E536" s="43" t="str">
        <x:v>downloaded</x:v>
      </x:c>
      <x:c r="F536" s="43" t="str">
        <x:v>6c66b4325215419abaf741460d4644d41051fd3e1ca1aa0ebc683b6f09e79c6e</x:v>
      </x:c>
      <x:c r="G536" s="46" t="str">
        <x:v>/Users/nomadresearch/Documents/Claude/Projects/koica-construction-tender/data/raw/L2022-00065-1/한몽기술대학교 용역 서비스 관련 공지 원본_0706.pdf</x:v>
      </x:c>
      <x:c r="H536" s="43" t="str">
        <x:v>2022-11-04 17:57:02</x:v>
      </x:c>
    </x:row>
    <x:row r="537">
      <x:c r="A537" s="43" t="str">
        <x:v>L2022-00065-1</x:v>
      </x:c>
      <x:c r="B537" s="46" t="str">
        <x:v>한몽기술대학교 용역 서비스 관련 공지(번역본)_0706.hwp</x:v>
      </x:c>
      <x:c r="C537" s="43" t="str">
        <x:v>.hwp</x:v>
      </x:c>
      <x:c r="D537" s="61" t="n">
        <x:v>14336</x:v>
      </x:c>
      <x:c r="E537" s="43" t="str">
        <x:v>downloaded</x:v>
      </x:c>
      <x:c r="F537" s="43" t="str">
        <x:v>062da5a6a6373893589722d64ffc160e7559fc6dc01ea8dc8fa973f9702c9ca6</x:v>
      </x:c>
      <x:c r="G537" s="46" t="str">
        <x:v>/Users/nomadresearch/Documents/Claude/Projects/koica-construction-tender/data/raw/L2022-00065-1/한몽기술대학교 용역 서비스 관련 공지(번역본)_0706.hwp</x:v>
      </x:c>
      <x:c r="H537" s="43" t="str">
        <x:v>2022-11-04 17:57:02</x:v>
      </x:c>
    </x:row>
    <x:row r="538">
      <x:c r="A538" s="43" t="str">
        <x:v>L2022-00064-1</x:v>
      </x:c>
      <x:c r="B538" s="46" t="str">
        <x:v>광물석유청 용역 서비스 관련 재공지(번역본).hwp</x:v>
      </x:c>
      <x:c r="C538" s="43" t="str">
        <x:v>.hwp</x:v>
      </x:c>
      <x:c r="D538" s="61" t="n">
        <x:v>14336</x:v>
      </x:c>
      <x:c r="E538" s="43" t="str">
        <x:v>downloaded</x:v>
      </x:c>
      <x:c r="F538" s="43" t="str">
        <x:v>e6f1d6cd387316856eecb04bfa53fd60407afc1ae609b1a460f90c6b48f46755</x:v>
      </x:c>
      <x:c r="G538" s="46" t="str">
        <x:v>/Users/nomadresearch/Documents/Claude/Projects/koica-construction-tender/data/raw/L2022-00064-1/광물석유청 용역 서비스 관련 재공지(번역본).hwp</x:v>
      </x:c>
      <x:c r="H538" s="43" t="str">
        <x:v>2022-11-04 17:38:03</x:v>
      </x:c>
    </x:row>
    <x:row r="539">
      <x:c r="A539" s="43" t="str">
        <x:v>L2022-00064-1</x:v>
      </x:c>
      <x:c r="B539" s="46" t="str">
        <x:v>광물석유청 용역 서비스 관련 재공지(원본).pdf</x:v>
      </x:c>
      <x:c r="C539" s="43" t="str">
        <x:v>.pdf</x:v>
      </x:c>
      <x:c r="D539" s="61" t="n">
        <x:v>142803</x:v>
      </x:c>
      <x:c r="E539" s="43" t="str">
        <x:v>downloaded</x:v>
      </x:c>
      <x:c r="F539" s="43" t="str">
        <x:v>530ba5ab381282989f1314d9a7865ebb17389f9aa7e62cf6e0950780f21da6ee</x:v>
      </x:c>
      <x:c r="G539" s="46" t="str">
        <x:v>/Users/nomadresearch/Documents/Claude/Projects/koica-construction-tender/data/raw/L2022-00064-1/광물석유청 용역 서비스 관련 재공지(원본).pdf</x:v>
      </x:c>
      <x:c r="H539" s="43" t="str">
        <x:v>2022-11-04 17:38:03</x:v>
      </x:c>
    </x:row>
    <x:row r="540">
      <x:c r="A540" s="43" t="str">
        <x:v>L2022-00063-2</x:v>
      </x:c>
      <x:c r="B540" s="46" t="str">
        <x:v>광물석유청 공고 캡처본 (2).JPG</x:v>
      </x:c>
      <x:c r="C540" s="43" t="str">
        <x:v>.jpg</x:v>
      </x:c>
      <x:c r="D540" s="61" t="n">
        <x:v>152362</x:v>
      </x:c>
      <x:c r="E540" s="43" t="str">
        <x:v>downloaded</x:v>
      </x:c>
      <x:c r="F540" s="43" t="str">
        <x:v>49ad28442db2476985a21b47d77223cf6e62bd8387d9a528ea1e883eb505a630</x:v>
      </x:c>
      <x:c r="G540" s="46" t="str">
        <x:v>/Users/nomadresearch/Documents/Claude/Projects/koica-construction-tender/data/raw/L2022-00063-2/광물석유청 공고 캡처본 (2).JPG</x:v>
      </x:c>
      <x:c r="H540" s="43" t="str">
        <x:v>2022-11-04 15:53:05</x:v>
      </x:c>
    </x:row>
    <x:row r="541">
      <x:c r="A541" s="43" t="str">
        <x:v>L2022-00063-1</x:v>
      </x:c>
      <x:c r="B541" s="46" t="str">
        <x:v>광물석유청 용역 서비스 관련 공지 원본_0720.pdf</x:v>
      </x:c>
      <x:c r="C541" s="43" t="str">
        <x:v>.pdf</x:v>
      </x:c>
      <x:c r="D541" s="61" t="n">
        <x:v>105709</x:v>
      </x:c>
      <x:c r="E541" s="43" t="str">
        <x:v>downloaded</x:v>
      </x:c>
      <x:c r="F541" s="43" t="str">
        <x:v>52ce36813a421d4d1c2861ccab11ded13d95902d3491ce092530744121227cc3</x:v>
      </x:c>
      <x:c r="G541" s="46" t="str">
        <x:v>/Users/nomadresearch/Documents/Claude/Projects/koica-construction-tender/data/raw/L2022-00063-1/광물석유청 용역 서비스 관련 공지 원본_0720.pdf</x:v>
      </x:c>
      <x:c r="H541" s="43" t="str">
        <x:v>2022-11-04 15:50:37</x:v>
      </x:c>
    </x:row>
    <x:row r="542">
      <x:c r="A542" s="43" t="str">
        <x:v>L2022-00063-1</x:v>
      </x:c>
      <x:c r="B542" s="46" t="str">
        <x:v>광물석유청 용역 서비스 관련 공지(번역본)_0720.hwp</x:v>
      </x:c>
      <x:c r="C542" s="43" t="str">
        <x:v>.hwp</x:v>
      </x:c>
      <x:c r="D542" s="61" t="n">
        <x:v>14336</x:v>
      </x:c>
      <x:c r="E542" s="43" t="str">
        <x:v>downloaded</x:v>
      </x:c>
      <x:c r="F542" s="43" t="str">
        <x:v>c5a7124fdc5efc897b16fa6b26f57694f776c9f30e6c7e3dba55a1eccaa79da4</x:v>
      </x:c>
      <x:c r="G542" s="46" t="str">
        <x:v>/Users/nomadresearch/Documents/Claude/Projects/koica-construction-tender/data/raw/L2022-00063-1/광물석유청 용역 서비스 관련 공지(번역본)_0720.hwp</x:v>
      </x:c>
      <x:c r="H542" s="43" t="str">
        <x:v>2022-11-04 15:50:37</x:v>
      </x:c>
    </x:row>
    <x:row r="543">
      <x:c r="A543" s="43" t="str">
        <x:v>L2022-00060-1</x:v>
      </x:c>
      <x:c r="B543" s="46" t="str">
        <x:v>(붙임2) 입찰안내서(영문).zip</x:v>
      </x:c>
      <x:c r="C543" s="43" t="str">
        <x:v>.zip</x:v>
      </x:c>
      <x:c r="D543" s="61" t="n">
        <x:v>521268</x:v>
      </x:c>
      <x:c r="E543" s="43" t="str">
        <x:v>downloaded</x:v>
      </x:c>
      <x:c r="F543" s="43" t="str">
        <x:v>cbe4859af70dc5925fbee7332f61e5f58ed1d1f33b1f516e2142cb43d11a4176</x:v>
      </x:c>
      <x:c r="G543" s="46" t="str">
        <x:v>/Users/nomadresearch/Documents/Claude/Projects/koica-construction-tender/data/raw/L2022-00060-1/(붙임2) 입찰안내서(영문).zip</x:v>
      </x:c>
      <x:c r="H543" s="43" t="str">
        <x:v>2022-10-11 00:48:03</x:v>
      </x:c>
    </x:row>
    <x:row r="544">
      <x:c r="A544" s="43" t="str">
        <x:v>L2022-00060-1</x:v>
      </x:c>
      <x:c r="B544" s="46" t="str">
        <x:v>(붙임4) 감리 입찰계획서(국문).hwp</x:v>
      </x:c>
      <x:c r="C544" s="43" t="str">
        <x:v>.hwp</x:v>
      </x:c>
      <x:c r="D544" s="61" t="n">
        <x:v>95744</x:v>
      </x:c>
      <x:c r="E544" s="43" t="str">
        <x:v>downloaded</x:v>
      </x:c>
      <x:c r="F544" s="43" t="str">
        <x:v>6c61a6cd540455b74122f1b11164e1c5e46dc1a72a0d4d114341806fd63091b9</x:v>
      </x:c>
      <x:c r="G544" s="46" t="str">
        <x:v>/Users/nomadresearch/Documents/Claude/Projects/koica-construction-tender/data/raw/L2022-00060-1/(붙임4) 감리 입찰계획서(국문).hwp</x:v>
      </x:c>
      <x:c r="H544" s="43" t="str">
        <x:v>2022-10-11 00:48:03</x:v>
      </x:c>
    </x:row>
    <x:row r="545">
      <x:c r="A545" s="43" t="str">
        <x:v>L2022-00060-1</x:v>
      </x:c>
      <x:c r="B545" s="46" t="str">
        <x:v>(붙임1) 입찰공고문(영문).docx</x:v>
      </x:c>
      <x:c r="C545" s="43" t="str">
        <x:v>.docx</x:v>
      </x:c>
      <x:c r="D545" s="61" t="n">
        <x:v>18874</x:v>
      </x:c>
      <x:c r="E545" s="43" t="str">
        <x:v>downloaded</x:v>
      </x:c>
      <x:c r="F545" s="43" t="str">
        <x:v>bc9bfb384488d2a1af5d57b7c487ab837ced40d1e62e9cded985556852c672c3</x:v>
      </x:c>
      <x:c r="G545" s="46" t="str">
        <x:v>/Users/nomadresearch/Documents/Claude/Projects/koica-construction-tender/data/raw/L2022-00060-1/(붙임1) 입찰공고문(영문).docx</x:v>
      </x:c>
      <x:c r="H545" s="43" t="str">
        <x:v>2022-10-11 00:48:03</x:v>
      </x:c>
    </x:row>
    <x:row r="546">
      <x:c r="A546" s="43" t="str">
        <x:v>L2022-00059-1</x:v>
      </x:c>
      <x:c r="B546" s="46" t="str">
        <x:v>입찰설명서(국문).hwp</x:v>
      </x:c>
      <x:c r="C546" s="43" t="str">
        <x:v>.hwp</x:v>
      </x:c>
      <x:c r="D546" s="61" t="n">
        <x:v>9704448</x:v>
      </x:c>
      <x:c r="E546" s="43" t="str">
        <x:v>downloaded</x:v>
      </x:c>
      <x:c r="F546" s="43" t="str">
        <x:v>3c0e099e520ad628dcd4e9dad0e66c96bd71791c0ea1e1646b0f7b86220f544d</x:v>
      </x:c>
      <x:c r="G546" s="46" t="str">
        <x:v>/Users/nomadresearch/Documents/Claude/Projects/koica-construction-tender/data/raw/L2022-00059-1/입찰설명서(국문).hwp</x:v>
      </x:c>
      <x:c r="H546" s="43" t="str">
        <x:v>2022-10-05 04:25:41</x:v>
      </x:c>
    </x:row>
    <x:row r="547">
      <x:c r="A547" s="43" t="str">
        <x:v>L2022-00059-1</x:v>
      </x:c>
      <x:c r="B547" s="46" t="str">
        <x:v>입찰공고문(영문).docx</x:v>
      </x:c>
      <x:c r="C547" s="43" t="str">
        <x:v>.docx</x:v>
      </x:c>
      <x:c r="D547" s="61" t="n">
        <x:v>17788</x:v>
      </x:c>
      <x:c r="E547" s="43" t="str">
        <x:v>downloaded</x:v>
      </x:c>
      <x:c r="F547" s="43" t="str">
        <x:v>39f757f604002803e13d981afeaecabd59e189ba7b27e4791f459342052cafec</x:v>
      </x:c>
      <x:c r="G547" s="46" t="str">
        <x:v>/Users/nomadresearch/Documents/Claude/Projects/koica-construction-tender/data/raw/L2022-00059-1/입찰공고문(영문).docx</x:v>
      </x:c>
      <x:c r="H547" s="43" t="str">
        <x:v>2022-10-05 04:25:41</x:v>
      </x:c>
    </x:row>
    <x:row r="548">
      <x:c r="A548" s="43" t="str">
        <x:v>L2022-00059-1</x:v>
      </x:c>
      <x:c r="B548" s="46" t="str">
        <x:v>입찰안내자료(영문).zip</x:v>
      </x:c>
      <x:c r="C548" s="43" t="str">
        <x:v>.zip</x:v>
      </x:c>
      <x:c r="D548" s="61" t="n">
        <x:v>7421266</x:v>
      </x:c>
      <x:c r="E548" s="43" t="str">
        <x:v>downloaded</x:v>
      </x:c>
      <x:c r="F548" s="43" t="str">
        <x:v>f30bf3fa801d00f11be97fde53bcfd561d228ed6e954f7d9c7484cd05c8328dc</x:v>
      </x:c>
      <x:c r="G548" s="46" t="str">
        <x:v>/Users/nomadresearch/Documents/Claude/Projects/koica-construction-tender/data/raw/L2022-00059-1/입찰안내자료(영문).zip</x:v>
      </x:c>
      <x:c r="H548" s="43" t="str">
        <x:v>2022-10-05 04:25:41</x:v>
      </x:c>
    </x:row>
    <x:row r="549">
      <x:c r="A549" s="43" t="str">
        <x:v>L2022-00056-1</x:v>
      </x:c>
      <x:c r="B549" s="46" t="str">
        <x:v>Request for Proposal.docx</x:v>
      </x:c>
      <x:c r="C549" s="43" t="str">
        <x:v>.docx</x:v>
      </x:c>
      <x:c r="D549" s="61" t="n">
        <x:v>35965</x:v>
      </x:c>
      <x:c r="E549" s="43" t="str">
        <x:v>downloaded</x:v>
      </x:c>
      <x:c r="F549" s="43" t="str">
        <x:v>443d6d2432e135d54b0a47fc927e7721f72c657bf0af55406cf853f5eae94724</x:v>
      </x:c>
      <x:c r="G549" s="46" t="str">
        <x:v>/Users/nomadresearch/Documents/Claude/Projects/koica-construction-tender/data/raw/L2022-00056-1/Request for Proposal.docx</x:v>
      </x:c>
      <x:c r="H549" s="43" t="str">
        <x:v>2022-09-27 04:35:00</x:v>
      </x:c>
    </x:row>
    <x:row r="550">
      <x:c r="A550" s="43" t="str">
        <x:v>L2022-00056-1</x:v>
      </x:c>
      <x:c r="B550" s="46" t="str">
        <x:v>과테말라 웨웨떼낭고 모자병원 보수공사 공사입찰계획서-2022.09.19..hwp</x:v>
      </x:c>
      <x:c r="C550" s="43" t="str">
        <x:v>.hwp</x:v>
      </x:c>
      <x:c r="D550" s="61" t="n">
        <x:v>67072</x:v>
      </x:c>
      <x:c r="E550" s="43" t="str">
        <x:v>downloaded</x:v>
      </x:c>
      <x:c r="F550" s="43" t="str">
        <x:v>13d9dc573fd2cb11f11dd586e9c7c84b7a4580aaffc20e11052e0365e4200946</x:v>
      </x:c>
      <x:c r="G550" s="46" t="str">
        <x:v>/Users/nomadresearch/Documents/Claude/Projects/koica-construction-tender/data/raw/L2022-00056-1/과테말라 웨웨떼낭고 모자병원 보수공사 공사입찰계획서-2022.09.19..hwp</x:v>
      </x:c>
      <x:c r="H550" s="43" t="str">
        <x:v>2022-09-27 04:35:00</x:v>
      </x:c>
    </x:row>
    <x:row r="551">
      <x:c r="A551" s="43" t="str">
        <x:v>L2022-00055-1</x:v>
      </x:c>
      <x:c r="B551" s="46" t="str">
        <x:v>[ENG]_Bidding_DOCs_HDES.zip</x:v>
      </x:c>
      <x:c r="C551" s="43" t="str">
        <x:v>.zip</x:v>
      </x:c>
      <x:c r="D551" s="61" t="n">
        <x:v>262928</x:v>
      </x:c>
      <x:c r="E551" s="43" t="str">
        <x:v>downloaded</x:v>
      </x:c>
      <x:c r="F551" s="43" t="str">
        <x:v>c426a150d6f0e472c1fb372018abdc6202c455ca574c1197a382a43628a90d16</x:v>
      </x:c>
      <x:c r="G551" s="46" t="str">
        <x:v>/Users/nomadresearch/Documents/Claude/Projects/koica-construction-tender/data/raw/L2022-00055-1/[ENG]_Bidding_DOCs_HDES.zip</x:v>
      </x:c>
      <x:c r="H551" s="43" t="str">
        <x:v>2022-09-26 12:43:22</x:v>
      </x:c>
    </x:row>
    <x:row r="552">
      <x:c r="A552" s="43" t="str">
        <x:v>L2022-00055-1</x:v>
      </x:c>
      <x:c r="B552" s="46" t="str">
        <x:v>[RUS]_Bidding_DOCs_HDES.zip</x:v>
      </x:c>
      <x:c r="C552" s="43" t="str">
        <x:v>.zip</x:v>
      </x:c>
      <x:c r="D552" s="61" t="n">
        <x:v>293415</x:v>
      </x:c>
      <x:c r="E552" s="43" t="str">
        <x:v>downloaded</x:v>
      </x:c>
      <x:c r="F552" s="43" t="str">
        <x:v>3d81cae9b171e528baade2adedade30f849f3a393ca52b5a9466fb65586e890c</x:v>
      </x:c>
      <x:c r="G552" s="46" t="str">
        <x:v>/Users/nomadresearch/Documents/Claude/Projects/koica-construction-tender/data/raw/L2022-00055-1/[RUS]_Bidding_DOCs_HDES.zip</x:v>
      </x:c>
      <x:c r="H552" s="43" t="str">
        <x:v>2022-09-26 12:43:22</x:v>
      </x:c>
    </x:row>
    <x:row r="553">
      <x:c r="A553" s="43" t="str">
        <x:v>L2022-00055-1</x:v>
      </x:c>
      <x:c r="B553" s="46" t="str">
        <x:v>(붙임1) 키르기즈 약초건조장 신축공사 현지 입찰 계획서(안) 국문_v4_0914_추가수정.hwp</x:v>
      </x:c>
      <x:c r="C553" s="43" t="str">
        <x:v>.hwp</x:v>
      </x:c>
      <x:c r="D553" s="61" t="n">
        <x:v>156160</x:v>
      </x:c>
      <x:c r="E553" s="43" t="str">
        <x:v>downloaded</x:v>
      </x:c>
      <x:c r="F553" s="43" t="str">
        <x:v>d3ae3e003af1a90aca702f38fa8e39ac7abe9c15a7734694b0cd9051408a9151</x:v>
      </x:c>
      <x:c r="G553" s="46" t="str">
        <x:v>/Users/nomadresearch/Documents/Claude/Projects/koica-construction-tender/data/raw/L2022-00055-1/(붙임1) 키르기즈 약초건조장 신축공사 현지 입찰 계획서(안) 국문_v4_0914_추가수정.hwp</x:v>
      </x:c>
      <x:c r="H553" s="43" t="str">
        <x:v>2022-09-26 12:43:22</x:v>
      </x:c>
    </x:row>
    <x:row r="554">
      <x:c r="A554" s="43" t="str">
        <x:v>L2022-00046-1</x:v>
      </x:c>
      <x:c r="B554" s="46" t="str">
        <x:v>(붙임1) 입찰공고문(영문).docx</x:v>
      </x:c>
      <x:c r="C554" s="43" t="str">
        <x:v>.docx</x:v>
      </x:c>
      <x:c r="D554" s="61" t="n">
        <x:v>34697</x:v>
      </x:c>
      <x:c r="E554" s="43" t="str">
        <x:v>downloaded</x:v>
      </x:c>
      <x:c r="F554" s="43" t="str">
        <x:v>13e1d97cb91da1dc6ace14d6db9a676e80e185ecd1b548226775495e4c7dabd9</x:v>
      </x:c>
      <x:c r="G554" s="46" t="str">
        <x:v>/Users/nomadresearch/Documents/Claude/Projects/koica-construction-tender/data/raw/L2022-00046-1/(붙임1) 입찰공고문(영문).docx</x:v>
      </x:c>
      <x:c r="H554" s="43" t="str">
        <x:v>2022-09-14 00:16:07</x:v>
      </x:c>
    </x:row>
    <x:row r="555">
      <x:c r="A555" s="43" t="str">
        <x:v>L2022-00046-1</x:v>
      </x:c>
      <x:c r="B555" s="46" t="str">
        <x:v>(붙임2) 입찰안내서(영문)_최종.zip</x:v>
      </x:c>
      <x:c r="C555" s="43" t="str">
        <x:v>.zip</x:v>
      </x:c>
      <x:c r="D555" s="61" t="n">
        <x:v>575013</x:v>
      </x:c>
      <x:c r="E555" s="43" t="str">
        <x:v>downloaded</x:v>
      </x:c>
      <x:c r="F555" s="43" t="str">
        <x:v>5c3e067f57b228be753af832ece497b831c4c68912e69abed6b9cae4732c9b2e</x:v>
      </x:c>
      <x:c r="G555" s="46" t="str">
        <x:v>/Users/nomadresearch/Documents/Claude/Projects/koica-construction-tender/data/raw/L2022-00046-1/(붙임2) 입찰안내서(영문)_최종.zip</x:v>
      </x:c>
      <x:c r="H555" s="43" t="str">
        <x:v>2022-09-14 00:16:07</x:v>
      </x:c>
    </x:row>
    <x:row r="556">
      <x:c r="A556" s="43" t="str">
        <x:v>L2022-00046-1</x:v>
      </x:c>
      <x:c r="B556" s="46" t="str">
        <x:v>(붙임4) 도미니카공화국 성보건센터 시공 입찰계획서.hwp</x:v>
      </x:c>
      <x:c r="C556" s="43" t="str">
        <x:v>.hwp</x:v>
      </x:c>
      <x:c r="D556" s="61" t="n">
        <x:v>158208</x:v>
      </x:c>
      <x:c r="E556" s="43" t="str">
        <x:v>downloaded</x:v>
      </x:c>
      <x:c r="F556" s="43" t="str">
        <x:v>1930f9eef761637e3c3972b8adc04c96da22f08b462af298463b44d78138f131</x:v>
      </x:c>
      <x:c r="G556" s="46" t="str">
        <x:v>/Users/nomadresearch/Documents/Claude/Projects/koica-construction-tender/data/raw/L2022-00046-1/(붙임4) 도미니카공화국 성보건센터 시공 입찰계획서.hwp</x:v>
      </x:c>
      <x:c r="H556" s="43" t="str">
        <x:v>2022-09-14 00:16:07</x:v>
      </x:c>
    </x:row>
    <x:row r="557">
      <x:c r="A557" s="43" t="str">
        <x:v>L2022-00043-1</x:v>
      </x:c>
      <x:c r="B557" s="46" t="str">
        <x:v>붙임. 사이버안전을 위한 디지털 수사 역량 확산 사업 사이버 경찰센터 시공 입찰공고문.doc</x:v>
      </x:c>
      <x:c r="C557" s="43" t="str">
        <x:v>.doc</x:v>
      </x:c>
      <x:c r="D557" s="61" t="n">
        <x:v>90624</x:v>
      </x:c>
      <x:c r="E557" s="43" t="str">
        <x:v>downloaded</x:v>
      </x:c>
      <x:c r="F557" s="43" t="str">
        <x:v>7ce33e0be061be0f3271a22751f6cbef55396dd54d28e6e42440dc8dae5c65dc</x:v>
      </x:c>
      <x:c r="G557" s="46" t="str">
        <x:v>/Users/nomadresearch/Documents/Claude/Projects/koica-construction-tender/data/raw/L2022-00043-1/붙임. 사이버안전을 위한 디지털 수사 역량 확산 사업 사이버 경찰센터 시공 입찰공고문.doc</x:v>
      </x:c>
      <x:c r="H557" s="43" t="str">
        <x:v>2022-09-04 12:17:22</x:v>
      </x:c>
    </x:row>
    <x:row r="558">
      <x:c r="A558" s="43" t="str">
        <x:v>L2022-00042-1</x:v>
      </x:c>
      <x:c r="B558" s="46" t="str">
        <x:v>1.1 잔여공사 입찰계획서_QIRDP_220817_v2.docx</x:v>
      </x:c>
      <x:c r="C558" s="43" t="str">
        <x:v>.docx</x:v>
      </x:c>
      <x:c r="D558" s="61" t="n">
        <x:v>116655</x:v>
      </x:c>
      <x:c r="E558" s="43" t="str">
        <x:v>downloaded</x:v>
      </x:c>
      <x:c r="F558" s="43" t="str">
        <x:v>4701e625c3a890e4145c367d8a48f1a8170fb9864fcce85ee7511013ddb2b717</x:v>
      </x:c>
      <x:c r="G558" s="46" t="str">
        <x:v>/Users/nomadresearch/Documents/Claude/Projects/koica-construction-tender/data/raw/L2022-00042-1/1.1 잔여공사 입찰계획서_QIRDP_220817_v2.docx</x:v>
      </x:c>
      <x:c r="H558" s="43" t="str">
        <x:v>2022-08-23 11:09:26</x:v>
      </x:c>
    </x:row>
    <x:row r="559">
      <x:c r="A559" s="43" t="str">
        <x:v>L2022-00040-1</x:v>
      </x:c>
      <x:c r="B559" s="46" t="str">
        <x:v>(붙임1) 입찰공고문(영문).docx</x:v>
      </x:c>
      <x:c r="C559" s="43" t="str">
        <x:v>.docx</x:v>
      </x:c>
      <x:c r="D559" s="61" t="n">
        <x:v>18626</x:v>
      </x:c>
      <x:c r="E559" s="43" t="str">
        <x:v>downloaded</x:v>
      </x:c>
      <x:c r="F559" s="43" t="str">
        <x:v>f1a8037cbfe8e973d4f3a0dcfc239513c479760bcf328b99d4d99b860ca16131</x:v>
      </x:c>
      <x:c r="G559" s="46" t="str">
        <x:v>/Users/nomadresearch/Documents/Claude/Projects/koica-construction-tender/data/raw/L2022-00040-1/(붙임1) 입찰공고문(영문).docx</x:v>
      </x:c>
      <x:c r="H559" s="43" t="str">
        <x:v>2022-08-11 03:49:47</x:v>
      </x:c>
    </x:row>
    <x:row r="560">
      <x:c r="A560" s="43" t="str">
        <x:v>L2022-00040-1</x:v>
      </x:c>
      <x:c r="B560" s="46" t="str">
        <x:v>(붙임2) 입찰안내서(영문).zip</x:v>
      </x:c>
      <x:c r="C560" s="43" t="str">
        <x:v>.zip</x:v>
      </x:c>
      <x:c r="D560" s="61" t="n">
        <x:v>511821</x:v>
      </x:c>
      <x:c r="E560" s="43" t="str">
        <x:v>downloaded</x:v>
      </x:c>
      <x:c r="F560" s="43" t="str">
        <x:v>284df4d655f2f779f9834384a7f36138074895364cf02d247c2f233f4d7718c5</x:v>
      </x:c>
      <x:c r="G560" s="46" t="str">
        <x:v>/Users/nomadresearch/Documents/Claude/Projects/koica-construction-tender/data/raw/L2022-00040-1/(붙임2) 입찰안내서(영문).zip</x:v>
      </x:c>
      <x:c r="H560" s="43" t="str">
        <x:v>2022-08-11 03:49:47</x:v>
      </x:c>
    </x:row>
    <x:row r="561">
      <x:c r="A561" s="43" t="str">
        <x:v>L2022-00040-1</x:v>
      </x:c>
      <x:c r="B561" s="46" t="str">
        <x:v>(붙임3) 설계 및 규정참고자료(영문).zip</x:v>
      </x:c>
      <x:c r="C561" s="43" t="str">
        <x:v>.zip</x:v>
      </x:c>
      <x:c r="D561" s="61" t="n">
        <x:v>10517011</x:v>
      </x:c>
      <x:c r="E561" s="43" t="str">
        <x:v>downloaded</x:v>
      </x:c>
      <x:c r="F561" s="43" t="str">
        <x:v>3c436f27f3ce2c33cada462e9dda3047ec37f28e48e4aa7b929e5d41b9c1035f</x:v>
      </x:c>
      <x:c r="G561" s="46" t="str">
        <x:v>/Users/nomadresearch/Documents/Claude/Projects/koica-construction-tender/data/raw/L2022-00040-1/(붙임3) 설계 및 규정참고자료(영문).zip</x:v>
      </x:c>
      <x:c r="H561" s="43" t="str">
        <x:v>2022-08-11 03:49:47</x:v>
      </x:c>
    </x:row>
    <x:row r="562">
      <x:c r="A562" s="43" t="str">
        <x:v>L2022-00040-1</x:v>
      </x:c>
      <x:c r="B562" s="46" t="str">
        <x:v>(붙임4) 감리 입찰계획서(국문).hwp</x:v>
      </x:c>
      <x:c r="C562" s="43" t="str">
        <x:v>.hwp</x:v>
      </x:c>
      <x:c r="D562" s="61" t="n">
        <x:v>158208</x:v>
      </x:c>
      <x:c r="E562" s="43" t="str">
        <x:v>downloaded</x:v>
      </x:c>
      <x:c r="F562" s="43" t="str">
        <x:v>2440bfa4831f837114fb03dbb1cb961cf7e90678b65a789a627b10220f28939f</x:v>
      </x:c>
      <x:c r="G562" s="46" t="str">
        <x:v>/Users/nomadresearch/Documents/Claude/Projects/koica-construction-tender/data/raw/L2022-00040-1/(붙임4) 감리 입찰계획서(국문).hwp</x:v>
      </x:c>
      <x:c r="H562" s="43" t="str">
        <x:v>2022-08-11 03:49:47</x:v>
      </x:c>
    </x:row>
    <x:row r="563">
      <x:c r="A563" s="43" t="str">
        <x:v>L2022-00038-1</x:v>
      </x:c>
      <x:c r="B563" s="46" t="str">
        <x:v>붙임 2. 표제사업 일반기자재 공급업체 현지입찰계획(안) 일반_최최종.hwp</x:v>
      </x:c>
      <x:c r="C563" s="43" t="str">
        <x:v>.hwp</x:v>
      </x:c>
      <x:c r="D563" s="61" t="n">
        <x:v>78336</x:v>
      </x:c>
      <x:c r="E563" s="43" t="str">
        <x:v>downloaded</x:v>
      </x:c>
      <x:c r="F563" s="43" t="str">
        <x:v>af71f6d76e34ad0204e88e545693aab1d9645652164ed84f78affc66f9bd3a28</x:v>
      </x:c>
      <x:c r="G563" s="46" t="str">
        <x:v>/Users/nomadresearch/Documents/Claude/Projects/koica-construction-tender/data/raw/L2022-00038-1/붙임 2. 표제사업 일반기자재 공급업체 현지입찰계획(안) 일반_최최종.hwp</x:v>
      </x:c>
      <x:c r="H563" s="43" t="str">
        <x:v>2022-07-18 03:24:20</x:v>
      </x:c>
    </x:row>
    <x:row r="564">
      <x:c r="A564" s="43" t="str">
        <x:v>L2022-00038-1</x:v>
      </x:c>
      <x:c r="B564" s="46" t="str">
        <x:v>붙임 3. 표제사업 일반기자재 입찰 영문 안내서.docx</x:v>
      </x:c>
      <x:c r="C564" s="43" t="str">
        <x:v>.docx</x:v>
      </x:c>
      <x:c r="D564" s="61" t="n">
        <x:v>70707</x:v>
      </x:c>
      <x:c r="E564" s="43" t="str">
        <x:v>downloaded</x:v>
      </x:c>
      <x:c r="F564" s="43" t="str">
        <x:v>6dbfc7107a548632190a550d8162a0edd866d57155526ce7e73eae23a8c16f4c</x:v>
      </x:c>
      <x:c r="G564" s="46" t="str">
        <x:v>/Users/nomadresearch/Documents/Claude/Projects/koica-construction-tender/data/raw/L2022-00038-1/붙임 3. 표제사업 일반기자재 입찰 영문 안내서.docx</x:v>
      </x:c>
      <x:c r="H564" s="43" t="str">
        <x:v>2022-07-18 03:24:20</x:v>
      </x:c>
    </x:row>
    <x:row r="565">
      <x:c r="A565" s="43" t="str">
        <x:v>L2022-00038-1</x:v>
      </x:c>
      <x:c r="B565" s="46" t="str">
        <x:v>붙임 5. 표제사업 일반기자재 현지입찰 공고문(안).docx</x:v>
      </x:c>
      <x:c r="C565" s="43" t="str">
        <x:v>.docx</x:v>
      </x:c>
      <x:c r="D565" s="61" t="n">
        <x:v>131600</x:v>
      </x:c>
      <x:c r="E565" s="43" t="str">
        <x:v>downloaded</x:v>
      </x:c>
      <x:c r="F565" s="43" t="str">
        <x:v>95c938b839dffb226f8c72a246767614bffad339be186b3a5027bc33ecd15a98</x:v>
      </x:c>
      <x:c r="G565" s="46" t="str">
        <x:v>/Users/nomadresearch/Documents/Claude/Projects/koica-construction-tender/data/raw/L2022-00038-1/붙임 5. 표제사업 일반기자재 현지입찰 공고문(안).docx</x:v>
      </x:c>
      <x:c r="H565" s="43" t="str">
        <x:v>2022-07-18 03:24:20</x:v>
      </x:c>
    </x:row>
    <x:row r="566">
      <x:c r="A566" s="43" t="str">
        <x:v>L2022-00038-1</x:v>
      </x:c>
      <x:c r="B566" s="46" t="str">
        <x:v>붙임 6. 표제사업 일반기자재 입찰 세부사양서 및 투찰양식.zip</x:v>
      </x:c>
      <x:c r="C566" s="43" t="str">
        <x:v>.zip</x:v>
      </x:c>
      <x:c r="D566" s="61" t="n">
        <x:v>130371</x:v>
      </x:c>
      <x:c r="E566" s="43" t="str">
        <x:v>downloaded</x:v>
      </x:c>
      <x:c r="F566" s="43" t="str">
        <x:v>2004b24cac44cb90c8b12313f0241d7945fe600d6338e87f5ea234815d93aa6f</x:v>
      </x:c>
      <x:c r="G566" s="46" t="str">
        <x:v>/Users/nomadresearch/Documents/Claude/Projects/koica-construction-tender/data/raw/L2022-00038-1/붙임 6. 표제사업 일반기자재 입찰 세부사양서 및 투찰양식.zip</x:v>
      </x:c>
      <x:c r="H566" s="43" t="str">
        <x:v>2022-07-18 03:24:20</x:v>
      </x:c>
    </x:row>
    <x:row r="567">
      <x:c r="A567" s="43" t="str">
        <x:v>L2022-00037-1</x:v>
      </x:c>
      <x:c r="B567" s="46" t="str">
        <x:v>입찰공고문(최종).docx</x:v>
      </x:c>
      <x:c r="C567" s="43" t="str">
        <x:v>.docx</x:v>
      </x:c>
      <x:c r="D567" s="61" t="n">
        <x:v>48078</x:v>
      </x:c>
      <x:c r="E567" s="43" t="str">
        <x:v>downloaded</x:v>
      </x:c>
      <x:c r="F567" s="43" t="str">
        <x:v>b19e53af02a94cc2599379f08adccaf77d07d44911fc693a4036f520af4a438c</x:v>
      </x:c>
      <x:c r="G567" s="46" t="str">
        <x:v>/Users/nomadresearch/Documents/Claude/Projects/koica-construction-tender/data/raw/L2022-00037-1/입찰공고문(최종).docx</x:v>
      </x:c>
      <x:c r="H567" s="43" t="str">
        <x:v>2022-07-12 10:11:15</x:v>
      </x:c>
    </x:row>
    <x:row r="568">
      <x:c r="A568" s="43" t="str">
        <x:v>L2022-00034-1</x:v>
      </x:c>
      <x:c r="B568" s="46" t="str">
        <x:v>3. 뉴스 및 홈페이지 공고문.jpeg</x:v>
      </x:c>
      <x:c r="C568" s="43" t="str">
        <x:v>.jpeg</x:v>
      </x:c>
      <x:c r="D568" s="61" t="n">
        <x:v>473058</x:v>
      </x:c>
      <x:c r="E568" s="43" t="str">
        <x:v>downloaded</x:v>
      </x:c>
      <x:c r="F568" s="43" t="str">
        <x:v>2a45f3c6a0b4ed82651545b6dda8f3eb2541f381188a516793f6f0b854687cb9</x:v>
      </x:c>
      <x:c r="G568" s="46" t="str">
        <x:v>/Users/nomadresearch/Documents/Claude/Projects/koica-construction-tender/data/raw/L2022-00034-1/3. 뉴스 및 홈페이지 공고문.jpeg</x:v>
      </x:c>
      <x:c r="H568" s="43" t="str">
        <x:v>2022-06-30 20:43:22</x:v>
      </x:c>
    </x:row>
    <x:row r="569">
      <x:c r="A569" s="43" t="str">
        <x:v>L2022-00034-1</x:v>
      </x:c>
      <x:c r="B569" s="46" t="str">
        <x:v>1. 영양교육센터 시공업체 선정 국문 입찰계획안.hwp</x:v>
      </x:c>
      <x:c r="C569" s="43" t="str">
        <x:v>.hwp</x:v>
      </x:c>
      <x:c r="D569" s="61" t="n">
        <x:v>156672</x:v>
      </x:c>
      <x:c r="E569" s="43" t="str">
        <x:v>downloaded</x:v>
      </x:c>
      <x:c r="F569" s="43" t="str">
        <x:v>b3bd1bb43a1c32aedf6d7d1645a45d01b4d242080d5cf84d8735614d5ade208b</x:v>
      </x:c>
      <x:c r="G569" s="46" t="str">
        <x:v>/Users/nomadresearch/Documents/Claude/Projects/koica-construction-tender/data/raw/L2022-00034-1/1. 영양교육센터 시공업체 선정 국문 입찰계획안.hwp</x:v>
      </x:c>
      <x:c r="H569" s="43" t="str">
        <x:v>2022-06-30 20:43:22</x:v>
      </x:c>
    </x:row>
    <x:row r="570">
      <x:c r="A570" s="43" t="str">
        <x:v>L2022-00034-1</x:v>
      </x:c>
      <x:c r="B570" s="46" t="str">
        <x:v>2. 영양교육센터 설립사업 입찰관련 서류.zip</x:v>
      </x:c>
      <x:c r="C570" s="43" t="str">
        <x:v>.zip</x:v>
      </x:c>
      <x:c r="D570" s="61" t="n">
        <x:v>88329373</x:v>
      </x:c>
      <x:c r="E570" s="43" t="str">
        <x:v>downloaded</x:v>
      </x:c>
      <x:c r="F570" s="43" t="str">
        <x:v>9e9112c07a2e3e633756fa67dc5c130de7fb27d9ae24b6c672bb0fad7984ab9e</x:v>
      </x:c>
      <x:c r="G570" s="46" t="str">
        <x:v>/Users/nomadresearch/Documents/Claude/Projects/koica-construction-tender/data/raw/L2022-00034-1/2. 영양교육센터 설립사업 입찰관련 서류.zip</x:v>
      </x:c>
      <x:c r="H570" s="43" t="str">
        <x:v>2022-06-30 20:43:22</x:v>
      </x:c>
    </x:row>
    <x:row r="571">
      <x:c r="A571" s="43" t="str">
        <x:v>L2022-00033-1</x:v>
      </x:c>
      <x:c r="B571" s="46" t="str">
        <x:v>입찰공고문.pdf</x:v>
      </x:c>
      <x:c r="C571" s="43" t="str">
        <x:v>.pdf</x:v>
      </x:c>
      <x:c r="D571" s="61" t="n">
        <x:v>3745563</x:v>
      </x:c>
      <x:c r="E571" s="43" t="str">
        <x:v>downloaded</x:v>
      </x:c>
      <x:c r="F571" s="43" t="str">
        <x:v>a677d137cdcfb4c68480cdd1a06611c663d39d057ed6ceebd38326dacb2ce85e</x:v>
      </x:c>
      <x:c r="G571" s="46" t="str">
        <x:v>/Users/nomadresearch/Documents/Claude/Projects/koica-construction-tender/data/raw/L2022-00033-1/입찰공고문.pdf</x:v>
      </x:c>
      <x:c r="H571" s="43" t="str">
        <x:v>2022-06-30 12:09:28</x:v>
      </x:c>
    </x:row>
    <x:row r="572">
      <x:c r="A572" s="43" t="str">
        <x:v>L2022-00032-1</x:v>
      </x:c>
      <x:c r="B572" s="46" t="str">
        <x:v>(붙임1) 입찰공고문(영문).docx</x:v>
      </x:c>
      <x:c r="C572" s="43" t="str">
        <x:v>.docx</x:v>
      </x:c>
      <x:c r="D572" s="61" t="n">
        <x:v>35509</x:v>
      </x:c>
      <x:c r="E572" s="43" t="str">
        <x:v>downloaded</x:v>
      </x:c>
      <x:c r="F572" s="43" t="str">
        <x:v>34da5087932bc618af8322c4c02cf57f89085e9264b3649450cb552c80ec0cc9</x:v>
      </x:c>
      <x:c r="G572" s="46" t="str">
        <x:v>/Users/nomadresearch/Documents/Claude/Projects/koica-construction-tender/data/raw/L2022-00032-1/(붙임1) 입찰공고문(영문).docx</x:v>
      </x:c>
      <x:c r="H572" s="43" t="str">
        <x:v>2022-06-29 22:10:38</x:v>
      </x:c>
    </x:row>
    <x:row r="573">
      <x:c r="A573" s="43" t="str">
        <x:v>L2022-00032-1</x:v>
      </x:c>
      <x:c r="B573" s="46" t="str">
        <x:v>(붙임2) 입찰안내서(영문)_최종.zip</x:v>
      </x:c>
      <x:c r="C573" s="43" t="str">
        <x:v>.zip</x:v>
      </x:c>
      <x:c r="D573" s="61" t="n">
        <x:v>575596</x:v>
      </x:c>
      <x:c r="E573" s="43" t="str">
        <x:v>downloaded</x:v>
      </x:c>
      <x:c r="F573" s="43" t="str">
        <x:v>9ecdfbcfc4a4baea54e91cee6d6aac0e7ee78b0724c018275a1a3f5c3ab5a1d7</x:v>
      </x:c>
      <x:c r="G573" s="46" t="str">
        <x:v>/Users/nomadresearch/Documents/Claude/Projects/koica-construction-tender/data/raw/L2022-00032-1/(붙임2) 입찰안내서(영문)_최종.zip</x:v>
      </x:c>
      <x:c r="H573" s="43" t="str">
        <x:v>2022-06-29 22:10:38</x:v>
      </x:c>
    </x:row>
    <x:row r="574">
      <x:c r="A574" s="43" t="str">
        <x:v>L2022-00032-1</x:v>
      </x:c>
      <x:c r="B574" s="46" t="str">
        <x:v>(붙임3) 설계 및 규정참고자료(영문).zip</x:v>
      </x:c>
      <x:c r="C574" s="43" t="str">
        <x:v>.zip</x:v>
      </x:c>
      <x:c r="D574" s="61" t="n">
        <x:v>10517011</x:v>
      </x:c>
      <x:c r="E574" s="43" t="str">
        <x:v>downloaded</x:v>
      </x:c>
      <x:c r="F574" s="43" t="str">
        <x:v>3c436f27f3ce2c33cada462e9dda3047ec37f28e48e4aa7b929e5d41b9c1035f</x:v>
      </x:c>
      <x:c r="G574" s="46" t="str">
        <x:v>/Users/nomadresearch/Documents/Claude/Projects/koica-construction-tender/data/raw/L2022-00032-1/(붙임3) 설계 및 규정참고자료(영문).zip</x:v>
      </x:c>
      <x:c r="H574" s="43" t="str">
        <x:v>2022-06-29 22:10:38</x:v>
      </x:c>
    </x:row>
    <x:row r="575">
      <x:c r="A575" s="43" t="str">
        <x:v>L2022-00032-1</x:v>
      </x:c>
      <x:c r="B575" s="46" t="str">
        <x:v>(붙임4) 도미니카공화국 성보건센터 시공 입찰계획서.hwp</x:v>
      </x:c>
      <x:c r="C575" s="43" t="str">
        <x:v>.hwp</x:v>
      </x:c>
      <x:c r="D575" s="61" t="n">
        <x:v>158208</x:v>
      </x:c>
      <x:c r="E575" s="43" t="str">
        <x:v>downloaded</x:v>
      </x:c>
      <x:c r="F575" s="43" t="str">
        <x:v>0276ccf9f3300f4f31502b273b5b72ea4b3d1b650e70784da7468c062c53ae71</x:v>
      </x:c>
      <x:c r="G575" s="46" t="str">
        <x:v>/Users/nomadresearch/Documents/Claude/Projects/koica-construction-tender/data/raw/L2022-00032-1/(붙임4) 도미니카공화국 성보건센터 시공 입찰계획서.hwp</x:v>
      </x:c>
      <x:c r="H575" s="43" t="str">
        <x:v>2022-06-29 22:10:38</x:v>
      </x:c>
    </x:row>
    <x:row r="576">
      <x:c r="A576" s="43" t="str">
        <x:v>L2022-00031-1</x:v>
      </x:c>
      <x:c r="B576" s="46" t="str">
        <x:v>붙임 1. 설계업체 선정 국제입찰 추진계획서 (220628).hwp</x:v>
      </x:c>
      <x:c r="C576" s="43" t="str">
        <x:v>.hwp</x:v>
      </x:c>
      <x:c r="D576" s="61" t="n">
        <x:v>1628160</x:v>
      </x:c>
      <x:c r="E576" s="43" t="str">
        <x:v>downloaded</x:v>
      </x:c>
      <x:c r="F576" s="43" t="str">
        <x:v>f02ce611534f762f97b663de7317ac2de8d421218aa8bab5c6ad0f7229d933de</x:v>
      </x:c>
      <x:c r="G576" s="46" t="str">
        <x:v>/Users/nomadresearch/Documents/Claude/Projects/koica-construction-tender/data/raw/L2022-00031-1/붙임 1. 설계업체 선정 국제입찰 추진계획서 (220628).hwp</x:v>
      </x:c>
      <x:c r="H576" s="43" t="str">
        <x:v>2022-06-29 20:04:44</x:v>
      </x:c>
    </x:row>
    <x:row r="577">
      <x:c r="A577" s="43" t="str">
        <x:v>L2022-00031-1</x:v>
      </x:c>
      <x:c r="B577" s="46" t="str">
        <x:v>붙임 2 입찰 관련 문서 (220628).zip</x:v>
      </x:c>
      <x:c r="C577" s="43" t="str">
        <x:v>.zip</x:v>
      </x:c>
      <x:c r="D577" s="61" t="n">
        <x:v>20130865</x:v>
      </x:c>
      <x:c r="E577" s="43" t="str">
        <x:v>downloaded</x:v>
      </x:c>
      <x:c r="F577" s="43" t="str">
        <x:v>1b236efadfedf90450cf50e1d237a8acc1d86aaf0487109a33943a10083c0f7c</x:v>
      </x:c>
      <x:c r="G577" s="46" t="str">
        <x:v>/Users/nomadresearch/Documents/Claude/Projects/koica-construction-tender/data/raw/L2022-00031-1/붙임 2 입찰 관련 문서 (220628).zip</x:v>
      </x:c>
      <x:c r="H577" s="43" t="str">
        <x:v>2022-06-29 20:04:44</x:v>
      </x:c>
    </x:row>
    <x:row r="578">
      <x:c r="A578" s="43" t="str">
        <x:v>L2022-00031-1</x:v>
      </x:c>
      <x:c r="B578" s="46" t="str">
        <x:v>입찰공고문(영문).jpeg</x:v>
      </x:c>
      <x:c r="C578" s="43" t="str">
        <x:v>.jpeg</x:v>
      </x:c>
      <x:c r="D578" s="61" t="n">
        <x:v>301417</x:v>
      </x:c>
      <x:c r="E578" s="43" t="str">
        <x:v>downloaded</x:v>
      </x:c>
      <x:c r="F578" s="43" t="str">
        <x:v>561537d7d34254ceda92d01fbf98097074d510b53bd71c9642f10013bf9e96bb</x:v>
      </x:c>
      <x:c r="G578" s="46" t="str">
        <x:v>/Users/nomadresearch/Documents/Claude/Projects/koica-construction-tender/data/raw/L2022-00031-1/입찰공고문(영문).jpeg</x:v>
      </x:c>
      <x:c r="H578" s="43" t="str">
        <x:v>2022-06-30 13:11:11</x:v>
      </x:c>
    </x:row>
    <x:row r="579">
      <x:c r="A579" s="43" t="str">
        <x:v>L2022-00029-1</x:v>
      </x:c>
      <x:c r="B579" s="46" t="str">
        <x:v>1. 국문입찰계획서 (네팔사무소 조정안)_0531.hwp</x:v>
      </x:c>
      <x:c r="C579" s="43" t="str">
        <x:v>.hwp</x:v>
      </x:c>
      <x:c r="D579" s="61" t="n">
        <x:v>267264</x:v>
      </x:c>
      <x:c r="E579" s="43" t="str">
        <x:v>downloaded</x:v>
      </x:c>
      <x:c r="F579" s="43" t="str">
        <x:v>013f81ffd3896f5629a84e8548c0ee30c1e199b16ae1b77af2308fdf4cf9ad23</x:v>
      </x:c>
      <x:c r="G579" s="46" t="str">
        <x:v>/Users/nomadresearch/Documents/Claude/Projects/koica-construction-tender/data/raw/L2022-00029-1/1. 국문입찰계획서 (네팔사무소 조정안)_0531.hwp</x:v>
      </x:c>
      <x:c r="H579" s="43" t="str">
        <x:v>2022-06-13 17:34:33</x:v>
      </x:c>
    </x:row>
    <x:row r="580">
      <x:c r="A580" s="43" t="str">
        <x:v>L2022-00029-1</x:v>
      </x:c>
      <x:c r="B580" s="46" t="str">
        <x:v>2. 영문입찰계획서(네팔사무소 조정안)_0531.docx</x:v>
      </x:c>
      <x:c r="C580" s="43" t="str">
        <x:v>.docx</x:v>
      </x:c>
      <x:c r="D580" s="61" t="n">
        <x:v>322118</x:v>
      </x:c>
      <x:c r="E580" s="43" t="str">
        <x:v>downloaded</x:v>
      </x:c>
      <x:c r="F580" s="43" t="str">
        <x:v>517d7e3fa8cc66204be0199cff899b54c835ac0594742cb4aa297a69cf1fb5d8</x:v>
      </x:c>
      <x:c r="G580" s="46" t="str">
        <x:v>/Users/nomadresearch/Documents/Claude/Projects/koica-construction-tender/data/raw/L2022-00029-1/2. 영문입찰계획서(네팔사무소 조정안)_0531.docx</x:v>
      </x:c>
      <x:c r="H580" s="43" t="str">
        <x:v>2022-06-13 17:34:33</x:v>
      </x:c>
    </x:row>
    <x:row r="581">
      <x:c r="A581" s="43" t="str">
        <x:v>L2022-00029-1</x:v>
      </x:c>
      <x:c r="B581" s="46" t="str">
        <x:v>Himalayan Times.pdf</x:v>
      </x:c>
      <x:c r="C581" s="43" t="str">
        <x:v>.pdf</x:v>
      </x:c>
      <x:c r="D581" s="61" t="n">
        <x:v>279581</x:v>
      </x:c>
      <x:c r="E581" s="43" t="str">
        <x:v>downloaded</x:v>
      </x:c>
      <x:c r="F581" s="43" t="str">
        <x:v>b279081ba2e501e6e9ec1a6c1f15c542aa8c191a0eb20da14ffcdcfcd2d91dce</x:v>
      </x:c>
      <x:c r="G581" s="46" t="str">
        <x:v>/Users/nomadresearch/Documents/Claude/Projects/koica-construction-tender/data/raw/L2022-00029-1/Himalayan Times.pdf</x:v>
      </x:c>
      <x:c r="H581" s="43" t="str">
        <x:v>2022-06-13 18:38:56</x:v>
      </x:c>
    </x:row>
    <x:row r="582">
      <x:c r="A582" s="43" t="str">
        <x:v>L2022-00029-1</x:v>
      </x:c>
      <x:c r="B582" s="46" t="str">
        <x:v>Rising Nepal.pdf</x:v>
      </x:c>
      <x:c r="C582" s="43" t="str">
        <x:v>.pdf</x:v>
      </x:c>
      <x:c r="D582" s="61" t="n">
        <x:v>646452</x:v>
      </x:c>
      <x:c r="E582" s="43" t="str">
        <x:v>downloaded</x:v>
      </x:c>
      <x:c r="F582" s="43" t="str">
        <x:v>0034d95f04cd0c7c8e6ebfea72cd4ab2573c01a673c87f71ab879401c19d6484</x:v>
      </x:c>
      <x:c r="G582" s="46" t="str">
        <x:v>/Users/nomadresearch/Documents/Claude/Projects/koica-construction-tender/data/raw/L2022-00029-1/Rising Nepal.pdf</x:v>
      </x:c>
      <x:c r="H582" s="43" t="str">
        <x:v>2022-06-13 18:38:56</x:v>
      </x:c>
    </x:row>
    <x:row r="583">
      <x:c r="A583" s="43" t="str">
        <x:v>L2022-00027-1</x:v>
      </x:c>
      <x:c r="B583" s="46" t="str">
        <x:v>1. 입찰계획안(국문)_키토혁신센터 설계_220601.hwp</x:v>
      </x:c>
      <x:c r="C583" s="43" t="str">
        <x:v>.hwp</x:v>
      </x:c>
      <x:c r="D583" s="61" t="n">
        <x:v>16566784</x:v>
      </x:c>
      <x:c r="E583" s="43" t="str">
        <x:v>downloaded</x:v>
      </x:c>
      <x:c r="F583" s="43" t="str">
        <x:v>23496634d332514b8226ec61258b51a71e65f1b4b5f4933063e6dddb2cc53c73</x:v>
      </x:c>
      <x:c r="G583" s="46" t="str">
        <x:v>/Users/nomadresearch/Documents/Claude/Projects/koica-construction-tender/data/raw/L2022-00027-1/1. 입찰계획안(국문)_키토혁신센터 설계_220601.hwp</x:v>
      </x:c>
      <x:c r="H583" s="43" t="str">
        <x:v>2022-06-09 07:40:57</x:v>
      </x:c>
    </x:row>
    <x:row r="584">
      <x:c r="A584" s="43" t="str">
        <x:v>L2022-00027-1</x:v>
      </x:c>
      <x:c r="B584" s="46" t="str">
        <x:v>2. 입찰서류(영문)_키토혁신센터 설계_220531.zip</x:v>
      </x:c>
      <x:c r="C584" s="43" t="str">
        <x:v>.zip</x:v>
      </x:c>
      <x:c r="D584" s="61" t="n">
        <x:v>16807128</x:v>
      </x:c>
      <x:c r="E584" s="43" t="str">
        <x:v>downloaded</x:v>
      </x:c>
      <x:c r="F584" s="43" t="str">
        <x:v>06745012f4b96b429ebb17f0624195e233f0d922e99ace374d67755ba3271036</x:v>
      </x:c>
      <x:c r="G584" s="46" t="str">
        <x:v>/Users/nomadresearch/Documents/Claude/Projects/koica-construction-tender/data/raw/L2022-00027-1/2. 입찰서류(영문)_키토혁신센터 설계_220531.zip</x:v>
      </x:c>
      <x:c r="H584" s="43" t="str">
        <x:v>2022-06-09 07:40:57</x:v>
      </x:c>
    </x:row>
    <x:row r="585">
      <x:c r="A585" s="43" t="str">
        <x:v>L2022-00025-1</x:v>
      </x:c>
      <x:c r="B585" s="46" t="str">
        <x:v>Bid Advert (New Vision)_입찰 공고문.pdf</x:v>
      </x:c>
      <x:c r="C585" s="43" t="str">
        <x:v>.pdf</x:v>
      </x:c>
      <x:c r="D585" s="61" t="n">
        <x:v>903987</x:v>
      </x:c>
      <x:c r="E585" s="43" t="str">
        <x:v>downloaded</x:v>
      </x:c>
      <x:c r="F585" s="43" t="str">
        <x:v>ebf23f70ce5c8397a9cb24036a6e1d184ae37ba3b552f20f3933e8e139203b00</x:v>
      </x:c>
      <x:c r="G585" s="46" t="str">
        <x:v>/Users/nomadresearch/Documents/Claude/Projects/koica-construction-tender/data/raw/L2022-00025-1/Bid Advert (New Vision)_입찰 공고문.pdf</x:v>
      </x:c>
      <x:c r="H585" s="43" t="str">
        <x:v>2022-06-07 16:40:53</x:v>
      </x:c>
    </x:row>
    <x:row r="586">
      <x:c r="A586" s="43" t="str">
        <x:v>L2022-00025-1</x:v>
      </x:c>
      <x:c r="B586" s="46" t="str">
        <x:v>(붙임1-8) 영문입찰6-미티아나 및 음피지 건축자재 공급.doc</x:v>
      </x:c>
      <x:c r="C586" s="43" t="str">
        <x:v>.doc</x:v>
      </x:c>
      <x:c r="D586" s="61" t="n">
        <x:v>791552</x:v>
      </x:c>
      <x:c r="E586" s="43" t="str">
        <x:v>downloaded</x:v>
      </x:c>
      <x:c r="F586" s="43" t="str">
        <x:v>1fc5e09376bf53d5e4fcc846e1e86dd399d36ed0712f724b3fdb30743d6f449f</x:v>
      </x:c>
      <x:c r="G586" s="46" t="str">
        <x:v>/Users/nomadresearch/Documents/Claude/Projects/koica-construction-tender/data/raw/L2022-00025-1/(붙임1-8) 영문입찰6-미티아나 및 음피지 건축자재 공급.doc</x:v>
      </x:c>
      <x:c r="H586" s="43" t="str">
        <x:v>2022-06-07 16:40:53</x:v>
      </x:c>
    </x:row>
    <x:row r="587">
      <x:c r="A587" s="43" t="str">
        <x:v>L2022-00019-1</x:v>
      </x:c>
      <x:c r="B587" s="46" t="str">
        <x:v>01. RMNCH &amp; EVAW의 시공업체 선정 입찰계획(220523).hwp</x:v>
      </x:c>
      <x:c r="C587" s="43" t="str">
        <x:v>.hwp</x:v>
      </x:c>
      <x:c r="D587" s="61" t="n">
        <x:v>68608</x:v>
      </x:c>
      <x:c r="E587" s="43" t="str">
        <x:v>downloaded</x:v>
      </x:c>
      <x:c r="F587" s="43" t="str">
        <x:v>06fbe4957e5a69f8e9e9fe998f4284ee4af926da3fd31488523d250148794fde</x:v>
      </x:c>
      <x:c r="G587" s="46" t="str">
        <x:v>/Users/nomadresearch/Documents/Claude/Projects/koica-construction-tender/data/raw/L2022-00019-1/01. RMNCH &amp; EVAW의 시공업체 선정 입찰계획(220523).hwp</x:v>
      </x:c>
      <x:c r="H587" s="43" t="str">
        <x:v>2022-05-31 18:08:24</x:v>
      </x:c>
    </x:row>
    <x:row r="588">
      <x:c r="A588" s="43" t="str">
        <x:v>L2022-00019-1</x:v>
      </x:c>
      <x:c r="B588" s="46" t="str">
        <x:v>02. Notice of Tender For New Construction Project(As of May 20 2022).docx</x:v>
      </x:c>
      <x:c r="C588" s="43" t="str">
        <x:v>.docx</x:v>
      </x:c>
      <x:c r="D588" s="61" t="n">
        <x:v>29053</x:v>
      </x:c>
      <x:c r="E588" s="43" t="str">
        <x:v>downloaded</x:v>
      </x:c>
      <x:c r="F588" s="43" t="str">
        <x:v>574814f473b8947dbeb399d295b5fdc0ee3ab3cf584c54a37be3b7ebca2ff703</x:v>
      </x:c>
      <x:c r="G588" s="46" t="str">
        <x:v>/Users/nomadresearch/Documents/Claude/Projects/koica-construction-tender/data/raw/L2022-00019-1/02. Notice of Tender For New Construction Project(As of May 20 2022).docx</x:v>
      </x:c>
      <x:c r="H588" s="43" t="str">
        <x:v>2022-05-31 18:08:24</x:v>
      </x:c>
    </x:row>
    <x:row r="589">
      <x:c r="A589" s="43" t="str">
        <x:v>L2022-00019-1</x:v>
      </x:c>
      <x:c r="B589" s="46" t="str">
        <x:v>03. RFP for RMNCH Project &amp; EVAW Project-Final of Final(As of May 20 2022).docx</x:v>
      </x:c>
      <x:c r="C589" s="43" t="str">
        <x:v>.docx</x:v>
      </x:c>
      <x:c r="D589" s="61" t="n">
        <x:v>6768250</x:v>
      </x:c>
      <x:c r="E589" s="43" t="str">
        <x:v>downloaded</x:v>
      </x:c>
      <x:c r="F589" s="43" t="str">
        <x:v>c76e389093006f8de7f2d8dc1e10c5a062548181c431f2ed7ddfee3de394e8e6</x:v>
      </x:c>
      <x:c r="G589" s="46" t="str">
        <x:v>/Users/nomadresearch/Documents/Claude/Projects/koica-construction-tender/data/raw/L2022-00019-1/03. RFP for RMNCH Project &amp; EVAW Project-Final of Final(As of May 20 2022).docx</x:v>
      </x:c>
      <x:c r="H589" s="43" t="str">
        <x:v>2022-05-31 18:08:24</x:v>
      </x:c>
    </x:row>
    <x:row r="590">
      <x:c r="A590" s="43" t="str">
        <x:v>L2022-00019-1</x:v>
      </x:c>
      <x:c r="B590" s="46" t="str">
        <x:v>04. Appendix-3 . Contract Agreement, GCC&amp; SCC-Final of Final(As of May 20 2022).docx</x:v>
      </x:c>
      <x:c r="C590" s="43" t="str">
        <x:v>.docx</x:v>
      </x:c>
      <x:c r="D590" s="61" t="n">
        <x:v>260592</x:v>
      </x:c>
      <x:c r="E590" s="43" t="str">
        <x:v>downloaded</x:v>
      </x:c>
      <x:c r="F590" s="43" t="str">
        <x:v>bfcb420d6ba09514a5e839e6895ac461a991247270c7c4afd33bd0cd0ba57767</x:v>
      </x:c>
      <x:c r="G590" s="46" t="str">
        <x:v>/Users/nomadresearch/Documents/Claude/Projects/koica-construction-tender/data/raw/L2022-00019-1/04. Appendix-3 . Contract Agreement, GCC&amp; SCC-Final of Final(As of May 20 2022).docx</x:v>
      </x:c>
      <x:c r="H590" s="43" t="str">
        <x:v>2022-05-31 18:08:24</x:v>
      </x:c>
    </x:row>
    <x:row r="591">
      <x:c r="A591" s="43" t="str">
        <x:v>L2022-00019-1</x:v>
      </x:c>
      <x:c r="B591" s="46" t="str">
        <x:v>05. Bidding Documents (220523).docx</x:v>
      </x:c>
      <x:c r="C591" s="43" t="str">
        <x:v>.docx</x:v>
      </x:c>
      <x:c r="D591" s="61" t="n">
        <x:v>142774</x:v>
      </x:c>
      <x:c r="E591" s="43" t="str">
        <x:v>downloaded</x:v>
      </x:c>
      <x:c r="F591" s="43" t="str">
        <x:v>25984e5ce18e982dce0d8f89ec56ac75e4158621f2111ad08ba18df30038ec99</x:v>
      </x:c>
      <x:c r="G591" s="46" t="str">
        <x:v>/Users/nomadresearch/Documents/Claude/Projects/koica-construction-tender/data/raw/L2022-00019-1/05. Bidding Documents (220523).docx</x:v>
      </x:c>
      <x:c r="H591" s="43" t="str">
        <x:v>2022-05-31 18:08:24</x:v>
      </x:c>
    </x:row>
    <x:row r="592">
      <x:c r="A592" s="43" t="str">
        <x:v>L2022-00015-1</x:v>
      </x:c>
      <x:c r="B592" s="46" t="str">
        <x:v>01 필리핀 농기계 현대화 사업 센터 신축 ITB Rev02_20220513_edited.doc</x:v>
      </x:c>
      <x:c r="C592" s="43" t="str">
        <x:v>.doc</x:v>
      </x:c>
      <x:c r="D592" s="61" t="n">
        <x:v>116736</x:v>
      </x:c>
      <x:c r="E592" s="43" t="str">
        <x:v>downloaded</x:v>
      </x:c>
      <x:c r="F592" s="43" t="str">
        <x:v>ad374cfc566895df883a62a119ea9225267c21057ec92a9aa8c7db92739fdad0</x:v>
      </x:c>
      <x:c r="G592" s="46" t="str">
        <x:v>/Users/nomadresearch/Documents/Claude/Projects/koica-construction-tender/data/raw/L2022-00015-1/01 필리핀 농기계 현대화 사업 센터 신축 ITB Rev02_20220513_edited.doc</x:v>
      </x:c>
      <x:c r="H592" s="43" t="str">
        <x:v>2022-05-20 16:40:39</x:v>
      </x:c>
    </x:row>
    <x:row r="593">
      <x:c r="A593" s="43" t="str">
        <x:v>L2022-00009-1</x:v>
      </x:c>
      <x:c r="B593" s="46" t="str">
        <x:v>Bid Announcement_KOICA-UPLB Project.docx</x:v>
      </x:c>
      <x:c r="C593" s="43" t="str">
        <x:v>.docx</x:v>
      </x:c>
      <x:c r="D593" s="61" t="n">
        <x:v>25094</x:v>
      </x:c>
      <x:c r="E593" s="43" t="str">
        <x:v>downloaded</x:v>
      </x:c>
      <x:c r="F593" s="43" t="str">
        <x:v>1ae30692425605750365ed13c413febc6c074a787765053c95527e0077461e5a</x:v>
      </x:c>
      <x:c r="G593" s="46" t="str">
        <x:v>/Users/nomadresearch/Documents/Claude/Projects/koica-construction-tender/data/raw/L2022-00009-1/Bid Announcement_KOICA-UPLB Project.docx</x:v>
      </x:c>
      <x:c r="H593" s="43" t="str">
        <x:v>2022-04-29 09:53:30</x:v>
      </x:c>
    </x:row>
    <x:row r="594">
      <x:c r="A594" s="43" t="str">
        <x:v>L2022-00007-2</x:v>
      </x:c>
      <x:c r="B594" s="46" t="str">
        <x:v>(붙임1) 220525인도네시아 경찰청사이버범죄수사 교육센타 시공사 선정 입찰계획(안) - 재공고.hwp</x:v>
      </x:c>
      <x:c r="C594" s="43" t="str">
        <x:v>.hwp</x:v>
      </x:c>
      <x:c r="D594" s="61" t="n">
        <x:v>64512</x:v>
      </x:c>
      <x:c r="E594" s="43" t="str">
        <x:v>downloaded</x:v>
      </x:c>
      <x:c r="F594" s="43" t="str">
        <x:v>f54d8dafbc77f0ca93309a2f27803ad526c645396e07be4ad1c97f85d15a96a7</x:v>
      </x:c>
      <x:c r="G594" s="46" t="str">
        <x:v>/Users/nomadresearch/Documents/Claude/Projects/koica-construction-tender/data/raw/L2022-00007-2/(붙임1) 220525인도네시아 경찰청사이버범죄수사 교육센타 시공사 선정 입찰계획(안) - 재공고.hwp</x:v>
      </x:c>
      <x:c r="H594" s="43" t="str">
        <x:v>2022-05-31 15:36:34</x:v>
      </x:c>
    </x:row>
    <x:row r="595">
      <x:c r="A595" s="43" t="str">
        <x:v>L2022-00007-2</x:v>
      </x:c>
      <x:c r="B595" s="46" t="str">
        <x:v>(붙임2) Bidding Announcement for Police Cybercrime Investigation Education Center - 30 May 2022 - v1.2.docx</x:v>
      </x:c>
      <x:c r="C595" s="43" t="str">
        <x:v>.docx</x:v>
      </x:c>
      <x:c r="D595" s="61" t="n">
        <x:v>46629</x:v>
      </x:c>
      <x:c r="E595" s="43" t="str">
        <x:v>downloaded</x:v>
      </x:c>
      <x:c r="F595" s="43" t="str">
        <x:v>cefbf4dd7153ec415aa0e506dadfe3835003aa784c2c20663a36f1202b9e460f</x:v>
      </x:c>
      <x:c r="G595" s="46" t="str">
        <x:v>/Users/nomadresearch/Documents/Claude/Projects/koica-construction-tender/data/raw/L2022-00007-2/(붙임2) Bidding Announcement for Police Cybercrime Investigation Education Center - 30 May 2022 - v1.2.docx</x:v>
      </x:c>
      <x:c r="H595" s="43" t="str">
        <x:v>2022-05-31 15:36:34</x:v>
      </x:c>
    </x:row>
    <x:row r="596">
      <x:c r="A596" s="43" t="str">
        <x:v>L2022-00007-1</x:v>
      </x:c>
      <x:c r="B596" s="46" t="str">
        <x:v>(붙임1) 220331인도네시아 경찰청사이버범죄수사 교육센타 시공사 선정 입찰계획(안)-최종 (클린).hwp</x:v>
      </x:c>
      <x:c r="C596" s="43" t="str">
        <x:v>.hwp</x:v>
      </x:c>
      <x:c r="D596" s="61" t="n">
        <x:v>60928</x:v>
      </x:c>
      <x:c r="E596" s="43" t="str">
        <x:v>downloaded</x:v>
      </x:c>
      <x:c r="F596" s="43" t="str">
        <x:v>337636c0dead33d1f70b472878141645dad4f88e9079adde851654db206c0847</x:v>
      </x:c>
      <x:c r="G596" s="46" t="str">
        <x:v>/Users/nomadresearch/Documents/Claude/Projects/koica-construction-tender/data/raw/L2022-00007-1/(붙임1) 220331인도네시아 경찰청사이버범죄수사 교육센타 시공사 선정 입찰계획(안)-최종 (클린).hwp</x:v>
      </x:c>
      <x:c r="H596" s="43" t="str">
        <x:v>2022-04-05 13:36:25</x:v>
      </x:c>
    </x:row>
    <x:row r="597">
      <x:c r="A597" s="43" t="str">
        <x:v>L2022-00007-1</x:v>
      </x:c>
      <x:c r="B597" s="46" t="str">
        <x:v>Final - Bidding Announcement for Police Cybercrime Investigation Education Center - 5 April 2022.docx</x:v>
      </x:c>
      <x:c r="C597" s="43" t="str">
        <x:v>.docx</x:v>
      </x:c>
      <x:c r="D597" s="61" t="n">
        <x:v>44950</x:v>
      </x:c>
      <x:c r="E597" s="43" t="str">
        <x:v>downloaded</x:v>
      </x:c>
      <x:c r="F597" s="43" t="str">
        <x:v>4532342d028bd7979c42fa4ae194d7dc37203f3d592db254b1f1c95ea3221140</x:v>
      </x:c>
      <x:c r="G597" s="46" t="str">
        <x:v>/Users/nomadresearch/Documents/Claude/Projects/koica-construction-tender/data/raw/L2022-00007-1/Final - Bidding Announcement for Police Cybercrime Investigation Education Center - 5 April 2022.docx</x:v>
      </x:c>
      <x:c r="H597" s="43" t="str">
        <x:v>2022-04-05 13:36:25</x:v>
      </x:c>
    </x:row>
    <x:row r="598">
      <x:c r="A598" s="43" t="str">
        <x:v>L2022-00007-1</x:v>
      </x:c>
      <x:c r="B598" s="46" t="str">
        <x:v>(Form) Letter of Interest.docx</x:v>
      </x:c>
      <x:c r="C598" s="43" t="str">
        <x:v>.docx</x:v>
      </x:c>
      <x:c r="D598" s="61" t="n">
        <x:v>22345</x:v>
      </x:c>
      <x:c r="E598" s="43" t="str">
        <x:v>downloaded</x:v>
      </x:c>
      <x:c r="F598" s="43" t="str">
        <x:v>bf4bf3d7b58b4ab2d7be5389582f61c8cf2c7952a252c61b70379a47aa0c8e5f</x:v>
      </x:c>
      <x:c r="G598" s="46" t="str">
        <x:v>/Users/nomadresearch/Documents/Claude/Projects/koica-construction-tender/data/raw/L2022-00007-1/(Form) Letter of Interest.docx</x:v>
      </x:c>
      <x:c r="H598" s="43" t="str">
        <x:v>2022-04-05 13:36:25</x:v>
      </x:c>
    </x:row>
    <x:row r="599">
      <x:c r="A599" s="43" t="str">
        <x:v>L2022-00006-1</x:v>
      </x:c>
      <x:c r="B599" s="46" t="str">
        <x:v>붙임 1. 네팔경찰 역량강화를 위한 사이버안전국 설립사업 -국문본(조달실 반영분).hwp</x:v>
      </x:c>
      <x:c r="C599" s="43" t="str">
        <x:v>.hwp</x:v>
      </x:c>
      <x:c r="D599" s="61" t="n">
        <x:v>1754624</x:v>
      </x:c>
      <x:c r="E599" s="43" t="str">
        <x:v>downloaded</x:v>
      </x:c>
      <x:c r="F599" s="43" t="str">
        <x:v>4e7817a1eab7751bb886fd061d0a8843973315f437613472df8d5f1543d44d4f</x:v>
      </x:c>
      <x:c r="G599" s="46" t="str">
        <x:v>/Users/nomadresearch/Documents/Claude/Projects/koica-construction-tender/data/raw/L2022-00006-1/붙임 1. 네팔경찰 역량강화를 위한 사이버안전국 설립사업 -국문본(조달실 반영분).hwp</x:v>
      </x:c>
      <x:c r="H599" s="43" t="str">
        <x:v>2022-04-05 10:27:33</x:v>
      </x:c>
    </x:row>
    <x:row r="600">
      <x:c r="A600" s="43" t="str">
        <x:v>L2022-00006-1</x:v>
      </x:c>
      <x:c r="B600" s="46" t="str">
        <x:v>붙임 2. 입찰공고.docx</x:v>
      </x:c>
      <x:c r="C600" s="43" t="str">
        <x:v>.docx</x:v>
      </x:c>
      <x:c r="D600" s="61" t="n">
        <x:v>43577</x:v>
      </x:c>
      <x:c r="E600" s="43" t="str">
        <x:v>downloaded</x:v>
      </x:c>
      <x:c r="F600" s="43" t="str">
        <x:v>a894ee902ebe5928cc2f75d242bd6b96873d100e44fd8d7c0a236f511194c73b</x:v>
      </x:c>
      <x:c r="G600" s="46" t="str">
        <x:v>/Users/nomadresearch/Documents/Claude/Projects/koica-construction-tender/data/raw/L2022-00006-1/붙임 2. 입찰공고.docx</x:v>
      </x:c>
      <x:c r="H600" s="43" t="str">
        <x:v>2022-04-05 10:27:33</x:v>
      </x:c>
    </x:row>
    <x:row r="601">
      <x:c r="A601" s="43" t="str">
        <x:v>L2022-00006-1</x:v>
      </x:c>
      <x:c r="B601" s="46" t="str">
        <x:v>붙임 3. 입찰계획안 -영문본.docx</x:v>
      </x:c>
      <x:c r="C601" s="43" t="str">
        <x:v>.docx</x:v>
      </x:c>
      <x:c r="D601" s="61" t="n">
        <x:v>1633049</x:v>
      </x:c>
      <x:c r="E601" s="43" t="str">
        <x:v>downloaded</x:v>
      </x:c>
      <x:c r="F601" s="43" t="str">
        <x:v>b161e447be5136bd1091b494d069a88dd831be9f967185b815018b92e9137c69</x:v>
      </x:c>
      <x:c r="G601" s="46" t="str">
        <x:v>/Users/nomadresearch/Documents/Claude/Projects/koica-construction-tender/data/raw/L2022-00006-1/붙임 3. 입찰계획안 -영문본.docx</x:v>
      </x:c>
      <x:c r="H601" s="43" t="str">
        <x:v>2022-04-05 10:27:33</x:v>
      </x:c>
    </x:row>
    <x:row r="602">
      <x:c r="A602" s="43" t="str">
        <x:v>L2022-00003-1</x:v>
      </x:c>
      <x:c r="B602" s="46" t="str">
        <x:v>코이카사무소_우르겐치직훈원 입찰공고문(홈페이지게시).pdf</x:v>
      </x:c>
      <x:c r="C602" s="43" t="str">
        <x:v>.pdf</x:v>
      </x:c>
      <x:c r="D602" s="61" t="n">
        <x:v>175280</x:v>
      </x:c>
      <x:c r="E602" s="43" t="str">
        <x:v>downloaded</x:v>
      </x:c>
      <x:c r="F602" s="43" t="str">
        <x:v>37e55022a1a2028326e6a75f0d0e9aa2c80828b19eb06245446a76fa01cc159f</x:v>
      </x:c>
      <x:c r="G602" s="46" t="str">
        <x:v>/Users/nomadresearch/Documents/Claude/Projects/koica-construction-tender/data/raw/L2022-00003-1/코이카사무소_우르겐치직훈원 입찰공고문(홈페이지게시).pdf</x:v>
      </x:c>
      <x:c r="H602" s="43" t="str">
        <x:v>2022-02-25 15:23:01</x:v>
      </x:c>
    </x:row>
    <x:row r="603">
      <x:c r="A603" s="43" t="str">
        <x:v>L2022-00003-1</x:v>
      </x:c>
      <x:c r="B603" s="46" t="str">
        <x:v>KOICA URGENCH BID DOCUMENTS-FINAL(FINAL).zip</x:v>
      </x:c>
      <x:c r="C603" s="43" t="str">
        <x:v>.zip</x:v>
      </x:c>
      <x:c r="D603" s="61" t="n">
        <x:v>42485685</x:v>
      </x:c>
      <x:c r="E603" s="43" t="str">
        <x:v>downloaded</x:v>
      </x:c>
      <x:c r="F603" s="43" t="str">
        <x:v>962bd8e7613960d22ee4b22d587d20a20a973e3a7308b3ed33899a7c7d16bc29</x:v>
      </x:c>
      <x:c r="G603" s="46" t="str">
        <x:v>/Users/nomadresearch/Documents/Claude/Projects/koica-construction-tender/data/raw/L2022-00003-1/KOICA URGENCH BID DOCUMENTS-FINAL(FINAL).zip</x:v>
      </x:c>
      <x:c r="H603" s="43" t="str">
        <x:v>2022-02-25 15:23:01</x:v>
      </x:c>
    </x:row>
    <x:row r="604">
      <x:c r="A604" s="43" t="str">
        <x:v>L2022-00002-1</x:v>
      </x:c>
      <x:c r="B604" s="46" t="str">
        <x:v>0 Bidding Guideline for supervision service.docx</x:v>
      </x:c>
      <x:c r="C604" s="43" t="str">
        <x:v>.docx</x:v>
      </x:c>
      <x:c r="D604" s="61" t="n">
        <x:v>147470</x:v>
      </x:c>
      <x:c r="E604" s="43" t="str">
        <x:v>downloaded</x:v>
      </x:c>
      <x:c r="F604" s="43" t="str">
        <x:v>feb38cbf116400722958a4373b8badf5555167a184a71603b7aa270e2654134b</x:v>
      </x:c>
      <x:c r="G604" s="46" t="str">
        <x:v>/Users/nomadresearch/Documents/Claude/Projects/koica-construction-tender/data/raw/L2022-00002-1/0 Bidding Guideline for supervision service.docx</x:v>
      </x:c>
      <x:c r="H604" s="43" t="str">
        <x:v>2022-01-22 06:01:39</x:v>
      </x:c>
    </x:row>
    <x:row r="605">
      <x:c r="A605" s="43" t="str">
        <x:v>L2022-00002-1</x:v>
      </x:c>
      <x:c r="B605" s="46" t="str">
        <x:v>1.0 Section I. Invitation for Bids.docx</x:v>
      </x:c>
      <x:c r="C605" s="43" t="str">
        <x:v>.docx</x:v>
      </x:c>
      <x:c r="D605" s="61" t="n">
        <x:v>54471</x:v>
      </x:c>
      <x:c r="E605" s="43" t="str">
        <x:v>downloaded</x:v>
      </x:c>
      <x:c r="F605" s="43" t="str">
        <x:v>836431bf8e3654fd8ebc2fedacc6c7bb69c2eca4cc9e42ed79a5a9c2954d7360</x:v>
      </x:c>
      <x:c r="G605" s="46" t="str">
        <x:v>/Users/nomadresearch/Documents/Claude/Projects/koica-construction-tender/data/raw/L2022-00002-1/1.0 Section I. Invitation for Bids.docx</x:v>
      </x:c>
      <x:c r="H605" s="43" t="str">
        <x:v>2022-01-22 06:01:39</x:v>
      </x:c>
    </x:row>
    <x:row r="606">
      <x:c r="A606" s="43" t="str">
        <x:v>L2022-00002-1</x:v>
      </x:c>
      <x:c r="B606" s="46" t="str">
        <x:v>2.0 Section II. Instructions to Bidders and Bid Data Sheet.docx</x:v>
      </x:c>
      <x:c r="C606" s="43" t="str">
        <x:v>.docx</x:v>
      </x:c>
      <x:c r="D606" s="61" t="n">
        <x:v>76150</x:v>
      </x:c>
      <x:c r="E606" s="43" t="str">
        <x:v>downloaded</x:v>
      </x:c>
      <x:c r="F606" s="43" t="str">
        <x:v>507ae71dc4d6d4796a56965d6429453ca2c228dc0cdd494367757a5ec28e96e2</x:v>
      </x:c>
      <x:c r="G606" s="46" t="str">
        <x:v>/Users/nomadresearch/Documents/Claude/Projects/koica-construction-tender/data/raw/L2022-00002-1/2.0 Section II. Instructions to Bidders and Bid Data Sheet.docx</x:v>
      </x:c>
      <x:c r="H606" s="43" t="str">
        <x:v>2022-01-22 06:01:39</x:v>
      </x:c>
    </x:row>
    <x:row r="607">
      <x:c r="A607" s="43" t="str">
        <x:v>L2022-00002-1</x:v>
      </x:c>
      <x:c r="B607" s="46" t="str">
        <x:v>3.0 Section III. Bidding Forms.docx</x:v>
      </x:c>
      <x:c r="C607" s="43" t="str">
        <x:v>.docx</x:v>
      </x:c>
      <x:c r="D607" s="61" t="n">
        <x:v>61471</x:v>
      </x:c>
      <x:c r="E607" s="43" t="str">
        <x:v>downloaded</x:v>
      </x:c>
      <x:c r="F607" s="43" t="str">
        <x:v>e256c3ee11a5e8dc6b0cbec308052f7b575bfd429aa5700dbdac6f2c93218b46</x:v>
      </x:c>
      <x:c r="G607" s="46" t="str">
        <x:v>/Users/nomadresearch/Documents/Claude/Projects/koica-construction-tender/data/raw/L2022-00002-1/3.0 Section III. Bidding Forms.docx</x:v>
      </x:c>
      <x:c r="H607" s="43" t="str">
        <x:v>2022-01-22 06:01:39</x:v>
      </x:c>
    </x:row>
    <x:row r="608">
      <x:c r="A608" s="43" t="str">
        <x:v>L2022-00002-1</x:v>
      </x:c>
      <x:c r="B608" s="46" t="str">
        <x:v>4.0 Section IV. Scope of Works.docx</x:v>
      </x:c>
      <x:c r="C608" s="43" t="str">
        <x:v>.docx</x:v>
      </x:c>
      <x:c r="D608" s="61" t="n">
        <x:v>106140</x:v>
      </x:c>
      <x:c r="E608" s="43" t="str">
        <x:v>downloaded</x:v>
      </x:c>
      <x:c r="F608" s="43" t="str">
        <x:v>00443f4fe6921f4d9a8f729c150b30ff422ee91d6c34d67928648b1584263a40</x:v>
      </x:c>
      <x:c r="G608" s="46" t="str">
        <x:v>/Users/nomadresearch/Documents/Claude/Projects/koica-construction-tender/data/raw/L2022-00002-1/4.0 Section IV. Scope of Works.docx</x:v>
      </x:c>
      <x:c r="H608" s="43" t="str">
        <x:v>2022-01-22 06:01:39</x:v>
      </x:c>
    </x:row>
    <x:row r="609">
      <x:c r="A609" s="43" t="str">
        <x:v>L2022-00001-1</x:v>
      </x:c>
      <x:c r="B609" s="46" t="str">
        <x:v>Section_01_IIB_Instructions on International Bidding.pdf</x:v>
      </x:c>
      <x:c r="C609" s="43" t="str">
        <x:v>.pdf</x:v>
      </x:c>
      <x:c r="D609" s="61" t="n">
        <x:v>167350</x:v>
      </x:c>
      <x:c r="E609" s="43" t="str">
        <x:v>downloaded</x:v>
      </x:c>
      <x:c r="F609" s="43" t="str">
        <x:v>f755a07ff68013d8440d3f5637021508a97f8035b5a15100053ddcf1182e4094</x:v>
      </x:c>
      <x:c r="G609" s="46" t="str">
        <x:v>/Users/nomadresearch/Documents/Claude/Projects/koica-construction-tender/data/raw/L2022-00001-1/Section_01_IIB_Instructions on International Bidding.pdf</x:v>
      </x:c>
      <x:c r="H609" s="43" t="str">
        <x:v>2022-01-15 00:06:55</x:v>
      </x:c>
    </x:row>
    <x:row r="610">
      <x:c r="A610" s="43" t="str">
        <x:v>L2022-00001-1</x:v>
      </x:c>
      <x:c r="B610" s="46" t="str">
        <x:v>Section_02_EQC_Evaluation and Qualification Criteria.docx</x:v>
      </x:c>
      <x:c r="C610" s="43" t="str">
        <x:v>.docx</x:v>
      </x:c>
      <x:c r="D610" s="61" t="n">
        <x:v>38286</x:v>
      </x:c>
      <x:c r="E610" s="43" t="str">
        <x:v>downloaded</x:v>
      </x:c>
      <x:c r="F610" s="43" t="str">
        <x:v>6caeb282cf3231d9abcb40169bb51e41f601eff21b3c20bf5bbf91d26ed9d459</x:v>
      </x:c>
      <x:c r="G610" s="46" t="str">
        <x:v>/Users/nomadresearch/Documents/Claude/Projects/koica-construction-tender/data/raw/L2022-00001-1/Section_02_EQC_Evaluation and Qualification Criteria.docx</x:v>
      </x:c>
      <x:c r="H610" s="43" t="str">
        <x:v>2022-01-15 00:06:55</x:v>
      </x:c>
    </x:row>
    <x:row r="611">
      <x:c r="A611" s="43" t="str">
        <x:v>L2022-00001-1</x:v>
      </x:c>
      <x:c r="B611" s="46" t="str">
        <x:v>Section_03_BDF_Bidding Form.docx</x:v>
      </x:c>
      <x:c r="C611" s="43" t="str">
        <x:v>.docx</x:v>
      </x:c>
      <x:c r="D611" s="61" t="n">
        <x:v>77863</x:v>
      </x:c>
      <x:c r="E611" s="43" t="str">
        <x:v>downloaded</x:v>
      </x:c>
      <x:c r="F611" s="43" t="str">
        <x:v>fbdb3d24ea436b80d12e630bca3fd722a79fe013caf3d691d15860edbc74dd4a</x:v>
      </x:c>
      <x:c r="G611" s="46" t="str">
        <x:v>/Users/nomadresearch/Documents/Claude/Projects/koica-construction-tender/data/raw/L2022-00001-1/Section_03_BDF_Bidding Form.docx</x:v>
      </x:c>
      <x:c r="H611" s="43" t="str">
        <x:v>2022-01-15 00:06:55</x:v>
      </x:c>
    </x:row>
    <x:row r="612">
      <x:c r="A612" s="43" t="str">
        <x:v>L2022-00001-1</x:v>
      </x:c>
      <x:c r="B612" s="46" t="str">
        <x:v>Section_04_Employer Requirement.docx</x:v>
      </x:c>
      <x:c r="C612" s="43" t="str">
        <x:v>.docx</x:v>
      </x:c>
      <x:c r="D612" s="61" t="n">
        <x:v>44497</x:v>
      </x:c>
      <x:c r="E612" s="43" t="str">
        <x:v>downloaded</x:v>
      </x:c>
      <x:c r="F612" s="43" t="str">
        <x:v>370ccb27551668ea43a725d65e35ce47a3b3ae54cb2214ec14b8dc236e581935</x:v>
      </x:c>
      <x:c r="G612" s="46" t="str">
        <x:v>/Users/nomadresearch/Documents/Claude/Projects/koica-construction-tender/data/raw/L2022-00001-1/Section_04_Employer Requirement.docx</x:v>
      </x:c>
      <x:c r="H612" s="43" t="str">
        <x:v>2022-01-15 00:06:55</x:v>
      </x:c>
    </x:row>
    <x:row r="613">
      <x:c r="A613" s="43" t="str">
        <x:v>L2022-00001-1</x:v>
      </x:c>
      <x:c r="B613" s="46" t="str">
        <x:v>Section_05_The scope of works.docx</x:v>
      </x:c>
      <x:c r="C613" s="43" t="str">
        <x:v>.docx</x:v>
      </x:c>
      <x:c r="D613" s="61" t="n">
        <x:v>52551</x:v>
      </x:c>
      <x:c r="E613" s="43" t="str">
        <x:v>downloaded</x:v>
      </x:c>
      <x:c r="F613" s="43" t="str">
        <x:v>eeaa1ec3b1248fe5f9688a6985b419d50eb8b45c70e4e9b8208abe857ac6d470</x:v>
      </x:c>
      <x:c r="G613" s="46" t="str">
        <x:v>/Users/nomadresearch/Documents/Claude/Projects/koica-construction-tender/data/raw/L2022-00001-1/Section_05_The scope of works.docx</x:v>
      </x:c>
      <x:c r="H613" s="43" t="str">
        <x:v>2022-01-15 00:06:55</x:v>
      </x:c>
    </x:row>
    <x:row r="614">
      <x:c r="A614" s="43" t="str">
        <x:v>L2022-00001-1</x:v>
      </x:c>
      <x:c r="B614" s="46" t="str">
        <x:v>Section_06_Technical Specification.docx</x:v>
      </x:c>
      <x:c r="C614" s="43" t="str">
        <x:v>.docx</x:v>
      </x:c>
      <x:c r="D614" s="61" t="n">
        <x:v>21961</x:v>
      </x:c>
      <x:c r="E614" s="43" t="str">
        <x:v>downloaded</x:v>
      </x:c>
      <x:c r="F614" s="43" t="str">
        <x:v>0479c6f666aed3e5719e76f1c1aec5116bb93f920e345932568a12c62c0c9008</x:v>
      </x:c>
      <x:c r="G614" s="46" t="str">
        <x:v>/Users/nomadresearch/Documents/Claude/Projects/koica-construction-tender/data/raw/L2022-00001-1/Section_06_Technical Specification.docx</x:v>
      </x:c>
      <x:c r="H614" s="43" t="str">
        <x:v>2022-01-15 00:06:55</x:v>
      </x:c>
    </x:row>
    <x:row r="615">
      <x:c r="A615" s="43" t="str">
        <x:v>L2022-00001-1</x:v>
      </x:c>
      <x:c r="B615" s="46" t="str">
        <x:v>Section_07_DWG.docx</x:v>
      </x:c>
      <x:c r="C615" s="43" t="str">
        <x:v>.docx</x:v>
      </x:c>
      <x:c r="D615" s="61" t="n">
        <x:v>21946</x:v>
      </x:c>
      <x:c r="E615" s="43" t="str">
        <x:v>downloaded</x:v>
      </x:c>
      <x:c r="F615" s="43" t="str">
        <x:v>8b5ef1930ab9a7e589820862d5924b1314f65f1d430da8f1fc37757f95c0f64c</x:v>
      </x:c>
      <x:c r="G615" s="46" t="str">
        <x:v>/Users/nomadresearch/Documents/Claude/Projects/koica-construction-tender/data/raw/L2022-00001-1/Section_07_DWG.docx</x:v>
      </x:c>
      <x:c r="H615" s="43" t="str">
        <x:v>2022-01-15 00:06:55</x:v>
      </x:c>
    </x:row>
    <x:row r="616">
      <x:c r="A616" s="43" t="str">
        <x:v>L2022-00001-1</x:v>
      </x:c>
      <x:c r="B616" s="46" t="str">
        <x:v>Section_08_BOQ_unpriced.docx</x:v>
      </x:c>
      <x:c r="C616" s="43" t="str">
        <x:v>.docx</x:v>
      </x:c>
      <x:c r="D616" s="61" t="n">
        <x:v>22122</x:v>
      </x:c>
      <x:c r="E616" s="43" t="str">
        <x:v>downloaded</x:v>
      </x:c>
      <x:c r="F616" s="43" t="str">
        <x:v>5afc968d5d913464aee1298ddb9d2dff4b27466b7dc41ddff1c88c6b3d93bc7b</x:v>
      </x:c>
      <x:c r="G616" s="46" t="str">
        <x:v>/Users/nomadresearch/Documents/Claude/Projects/koica-construction-tender/data/raw/L2022-00001-1/Section_08_BOQ_unpriced.docx</x:v>
      </x:c>
      <x:c r="H616" s="43" t="str">
        <x:v>2022-01-15 00:06:55</x:v>
      </x:c>
    </x:row>
    <x:row r="617">
      <x:c r="A617" s="43" t="str">
        <x:v>L2022-00001-1</x:v>
      </x:c>
      <x:c r="B617" s="46" t="str">
        <x:v>Section_09_Contract Agreement.docx</x:v>
      </x:c>
      <x:c r="C617" s="43" t="str">
        <x:v>.docx</x:v>
      </x:c>
      <x:c r="D617" s="61" t="n">
        <x:v>37385</x:v>
      </x:c>
      <x:c r="E617" s="43" t="str">
        <x:v>downloaded</x:v>
      </x:c>
      <x:c r="F617" s="43" t="str">
        <x:v>5aba07f72304e33ddcac3fdda5c1a928db61a87ae44219c21b9ca058d5626580</x:v>
      </x:c>
      <x:c r="G617" s="46" t="str">
        <x:v>/Users/nomadresearch/Documents/Claude/Projects/koica-construction-tender/data/raw/L2022-00001-1/Section_09_Contract Agreement.docx</x:v>
      </x:c>
      <x:c r="H617" s="43" t="str">
        <x:v>2022-01-15 00:06:55</x:v>
      </x:c>
    </x:row>
    <x:row r="618">
      <x:c r="A618" s="43" t="str">
        <x:v>L2022-00001-1</x:v>
      </x:c>
      <x:c r="B618" s="46" t="str">
        <x:v>모잠비크 직훈사업 시공업체 선정 입찰계획.hwp</x:v>
      </x:c>
      <x:c r="C618" s="43" t="str">
        <x:v>.hwp</x:v>
      </x:c>
      <x:c r="D618" s="61" t="n">
        <x:v>129024</x:v>
      </x:c>
      <x:c r="E618" s="43" t="str">
        <x:v>downloaded</x:v>
      </x:c>
      <x:c r="F618" s="43" t="str">
        <x:v>d5d09a8635e4fea48a4821d2fa222ae646699c372fadb85dd74710c368656bd8</x:v>
      </x:c>
      <x:c r="G618" s="46" t="str">
        <x:v>/Users/nomadresearch/Documents/Claude/Projects/koica-construction-tender/data/raw/L2022-00001-1/모잠비크 직훈사업 시공업체 선정 입찰계획.hwp</x:v>
      </x:c>
      <x:c r="H618" s="43" t="str">
        <x:v>2022-01-15 00:06:55</x:v>
      </x:c>
    </x:row>
    <x:row r="619">
      <x:c r="A619" s="43" t="str">
        <x:v>L2021-00045-1</x:v>
      </x:c>
      <x:c r="B619" s="46" t="str">
        <x:v>0 Bidding Guideline for Construction_ATC.docx</x:v>
      </x:c>
      <x:c r="C619" s="43" t="str">
        <x:v>.docx</x:v>
      </x:c>
      <x:c r="D619" s="61" t="n">
        <x:v>134779</x:v>
      </x:c>
      <x:c r="E619" s="43" t="str">
        <x:v>downloaded</x:v>
      </x:c>
      <x:c r="F619" s="43" t="str">
        <x:v>6723172f670ce738654823efaa92cfea5c3f8766235d3f72ecc1b2948edd2937</x:v>
      </x:c>
      <x:c r="G619" s="46" t="str">
        <x:v>/Users/nomadresearch/Documents/Claude/Projects/koica-construction-tender/data/raw/L2021-00045-1/0 Bidding Guideline for Construction_ATC.docx</x:v>
      </x:c>
      <x:c r="H619" s="43" t="str">
        <x:v>2021-12-29 23:22:11</x:v>
      </x:c>
    </x:row>
    <x:row r="620">
      <x:c r="A620" s="43" t="str">
        <x:v>L2021-00045-1</x:v>
      </x:c>
      <x:c r="B620" s="46" t="str">
        <x:v>1.0 Section I. Invitation for Bids_ATC.docx</x:v>
      </x:c>
      <x:c r="C620" s="43" t="str">
        <x:v>.docx</x:v>
      </x:c>
      <x:c r="D620" s="61" t="n">
        <x:v>52596</x:v>
      </x:c>
      <x:c r="E620" s="43" t="str">
        <x:v>downloaded</x:v>
      </x:c>
      <x:c r="F620" s="43" t="str">
        <x:v>26040ea853597dbae3b91b055bcb7b1549cb22129c19bd1668e323785f90b0e1</x:v>
      </x:c>
      <x:c r="G620" s="46" t="str">
        <x:v>/Users/nomadresearch/Documents/Claude/Projects/koica-construction-tender/data/raw/L2021-00045-1/1.0 Section I. Invitation for Bids_ATC.docx</x:v>
      </x:c>
      <x:c r="H620" s="43" t="str">
        <x:v>2021-12-29 23:22:11</x:v>
      </x:c>
    </x:row>
    <x:row r="621">
      <x:c r="A621" s="43" t="str">
        <x:v>L2021-00045-1</x:v>
      </x:c>
      <x:c r="B621" s="46" t="str">
        <x:v>2.0 Section II. Instructions to Bidders and Bid Data Sheet_ATC.docx</x:v>
      </x:c>
      <x:c r="C621" s="43" t="str">
        <x:v>.docx</x:v>
      </x:c>
      <x:c r="D621" s="61" t="n">
        <x:v>73459</x:v>
      </x:c>
      <x:c r="E621" s="43" t="str">
        <x:v>downloaded</x:v>
      </x:c>
      <x:c r="F621" s="43" t="str">
        <x:v>27f8d2528ac7f3ee8501b5a8bd0d6bc60ab2293a25518e6f18acc8059a5b0c9c</x:v>
      </x:c>
      <x:c r="G621" s="46" t="str">
        <x:v>/Users/nomadresearch/Documents/Claude/Projects/koica-construction-tender/data/raw/L2021-00045-1/2.0 Section II. Instructions to Bidders and Bid Data Sheet_ATC.docx</x:v>
      </x:c>
      <x:c r="H621" s="43" t="str">
        <x:v>2021-12-29 23:22:11</x:v>
      </x:c>
    </x:row>
    <x:row r="622">
      <x:c r="A622" s="43" t="str">
        <x:v>L2021-00045-1</x:v>
      </x:c>
      <x:c r="B622" s="46" t="str">
        <x:v>3.0 Section III. Bidding Forms_ATC.docx</x:v>
      </x:c>
      <x:c r="C622" s="43" t="str">
        <x:v>.docx</x:v>
      </x:c>
      <x:c r="D622" s="61" t="n">
        <x:v>57052</x:v>
      </x:c>
      <x:c r="E622" s="43" t="str">
        <x:v>downloaded</x:v>
      </x:c>
      <x:c r="F622" s="43" t="str">
        <x:v>9c0420fc1f641d25b4db8c699c2f44ce68371978b0d5fd0ed0e050855d02577f</x:v>
      </x:c>
      <x:c r="G622" s="46" t="str">
        <x:v>/Users/nomadresearch/Documents/Claude/Projects/koica-construction-tender/data/raw/L2021-00045-1/3.0 Section III. Bidding Forms_ATC.docx</x:v>
      </x:c>
      <x:c r="H622" s="43" t="str">
        <x:v>2021-12-29 23:22:11</x:v>
      </x:c>
    </x:row>
    <x:row r="623">
      <x:c r="A623" s="43" t="str">
        <x:v>L2021-00045-1</x:v>
      </x:c>
      <x:c r="B623" s="46" t="str">
        <x:v>4.0 Section IV. Scope of Works_ATC.docx</x:v>
      </x:c>
      <x:c r="C623" s="43" t="str">
        <x:v>.docx</x:v>
      </x:c>
      <x:c r="D623" s="61" t="n">
        <x:v>43206</x:v>
      </x:c>
      <x:c r="E623" s="43" t="str">
        <x:v>downloaded</x:v>
      </x:c>
      <x:c r="F623" s="43" t="str">
        <x:v>9c584779d02227544d32533e14cef95d5ebaf29dd446aa41be0d2f8f75fef3fc</x:v>
      </x:c>
      <x:c r="G623" s="46" t="str">
        <x:v>/Users/nomadresearch/Documents/Claude/Projects/koica-construction-tender/data/raw/L2021-00045-1/4.0 Section IV. Scope of Works_ATC.docx</x:v>
      </x:c>
      <x:c r="H623" s="43" t="str">
        <x:v>2021-12-29 23:22:11</x:v>
      </x:c>
    </x:row>
    <x:row r="624">
      <x:c r="A624" s="43" t="str">
        <x:v>L2021-00045-1</x:v>
      </x:c>
      <x:c r="B624" s="46" t="str">
        <x:v>5.0. Section V. Conditions of Contract_ATC.docx</x:v>
      </x:c>
      <x:c r="C624" s="43" t="str">
        <x:v>.docx</x:v>
      </x:c>
      <x:c r="D624" s="61" t="n">
        <x:v>62607</x:v>
      </x:c>
      <x:c r="E624" s="43" t="str">
        <x:v>downloaded</x:v>
      </x:c>
      <x:c r="F624" s="43" t="str">
        <x:v>6a9bf5a8872a3ec5609866cd182d10f8e7ce0036c463cf9922920de074abbd6a</x:v>
      </x:c>
      <x:c r="G624" s="46" t="str">
        <x:v>/Users/nomadresearch/Documents/Claude/Projects/koica-construction-tender/data/raw/L2021-00045-1/5.0. Section V. Conditions of Contract_ATC.docx</x:v>
      </x:c>
      <x:c r="H624" s="43" t="str">
        <x:v>2021-12-29 23:22:11</x:v>
      </x:c>
    </x:row>
    <x:row r="625">
      <x:c r="A625" s="43" t="str">
        <x:v>L2021-00045-1</x:v>
      </x:c>
      <x:c r="B625" s="46" t="str">
        <x:v>붙임5. 입찰계획안.hwp</x:v>
      </x:c>
      <x:c r="C625" s="43" t="str">
        <x:v>.hwp</x:v>
      </x:c>
      <x:c r="D625" s="61" t="n">
        <x:v>49152</x:v>
      </x:c>
      <x:c r="E625" s="43" t="str">
        <x:v>downloaded</x:v>
      </x:c>
      <x:c r="F625" s="43" t="str">
        <x:v>d3bf6d8f7bce0705664ccbf20629281d50ccf668c145f1868ae6a41e077fa9e0</x:v>
      </x:c>
      <x:c r="G625" s="46" t="str">
        <x:v>/Users/nomadresearch/Documents/Claude/Projects/koica-construction-tender/data/raw/L2021-00045-1/붙임5. 입찰계획안.hwp</x:v>
      </x:c>
      <x:c r="H625" s="43" t="str">
        <x:v>2021-12-29 23:22:11</x:v>
      </x:c>
    </x:row>
    <x:row r="626">
      <x:c r="A626" s="43" t="str">
        <x:v>L2021-00042-1</x:v>
      </x:c>
      <x:c r="B626" s="46" t="str">
        <x:v>0.0 입찰공고문(영문).docx</x:v>
      </x:c>
      <x:c r="C626" s="43" t="str">
        <x:v>.docx</x:v>
      </x:c>
      <x:c r="D626" s="61" t="n">
        <x:v>53751</x:v>
      </x:c>
      <x:c r="E626" s="43" t="str">
        <x:v>downloaded</x:v>
      </x:c>
      <x:c r="F626" s="43" t="str">
        <x:v>6b0158628f46aaec2de6c4cfcb7b41951b8735419af635fd4268b671e310406e</x:v>
      </x:c>
      <x:c r="G626" s="46" t="str">
        <x:v>/Users/nomadresearch/Documents/Claude/Projects/koica-construction-tender/data/raw/L2021-00042-1/0.0 입찰공고문(영문).docx</x:v>
      </x:c>
      <x:c r="H626" s="43" t="str">
        <x:v>2021-11-17 23:44:51</x:v>
      </x:c>
    </x:row>
    <x:row r="627">
      <x:c r="A627" s="43" t="str">
        <x:v>L2021-00042-1</x:v>
      </x:c>
      <x:c r="B627" s="46" t="str">
        <x:v>1.0 입찰안내서(영문).docx</x:v>
      </x:c>
      <x:c r="C627" s="43" t="str">
        <x:v>.docx</x:v>
      </x:c>
      <x:c r="D627" s="61" t="n">
        <x:v>144514</x:v>
      </x:c>
      <x:c r="E627" s="43" t="str">
        <x:v>downloaded</x:v>
      </x:c>
      <x:c r="F627" s="43" t="str">
        <x:v>9d4e7c75541d17147e67558b5617a55f999204ba37356c4c12b1ddf905e5b7f5</x:v>
      </x:c>
      <x:c r="G627" s="46" t="str">
        <x:v>/Users/nomadresearch/Documents/Claude/Projects/koica-construction-tender/data/raw/L2021-00042-1/1.0 입찰안내서(영문).docx</x:v>
      </x:c>
      <x:c r="H627" s="43" t="str">
        <x:v>2021-11-17 23:44:51</x:v>
      </x:c>
    </x:row>
    <x:row r="628">
      <x:c r="A628" s="43" t="str">
        <x:v>L2021-00042-1</x:v>
      </x:c>
      <x:c r="B628" s="46" t="str">
        <x:v>2.0 Bid Data Sheet(영문).docx</x:v>
      </x:c>
      <x:c r="C628" s="43" t="str">
        <x:v>.docx</x:v>
      </x:c>
      <x:c r="D628" s="61" t="n">
        <x:v>76041</x:v>
      </x:c>
      <x:c r="E628" s="43" t="str">
        <x:v>downloaded</x:v>
      </x:c>
      <x:c r="F628" s="43" t="str">
        <x:v>117b885654ffa268f2ac554da859237ddffcb4bea99a3b597dfff58faa627059</x:v>
      </x:c>
      <x:c r="G628" s="46" t="str">
        <x:v>/Users/nomadresearch/Documents/Claude/Projects/koica-construction-tender/data/raw/L2021-00042-1/2.0 Bid Data Sheet(영문).docx</x:v>
      </x:c>
      <x:c r="H628" s="43" t="str">
        <x:v>2021-11-17 23:44:51</x:v>
      </x:c>
    </x:row>
    <x:row r="629">
      <x:c r="A629" s="43" t="str">
        <x:v>L2021-00042-1</x:v>
      </x:c>
      <x:c r="B629" s="46" t="str">
        <x:v>3.0 Section III. Bidding Forms.docx</x:v>
      </x:c>
      <x:c r="C629" s="43" t="str">
        <x:v>.docx</x:v>
      </x:c>
      <x:c r="D629" s="61" t="n">
        <x:v>58385</x:v>
      </x:c>
      <x:c r="E629" s="43" t="str">
        <x:v>downloaded</x:v>
      </x:c>
      <x:c r="F629" s="43" t="str">
        <x:v>7ba44485ba6f40ba7dc760da4a8861da375b474208eab1d924f77940b35c3593</x:v>
      </x:c>
      <x:c r="G629" s="46" t="str">
        <x:v>/Users/nomadresearch/Documents/Claude/Projects/koica-construction-tender/data/raw/L2021-00042-1/3.0 Section III. Bidding Forms.docx</x:v>
      </x:c>
      <x:c r="H629" s="43" t="str">
        <x:v>2021-11-17 23:44:51</x:v>
      </x:c>
    </x:row>
    <x:row r="630">
      <x:c r="A630" s="43" t="str">
        <x:v>L2021-00042-1</x:v>
      </x:c>
      <x:c r="B630" s="46" t="str">
        <x:v>4.0 Section IV. Scope of Works.docx</x:v>
      </x:c>
      <x:c r="C630" s="43" t="str">
        <x:v>.docx</x:v>
      </x:c>
      <x:c r="D630" s="61" t="n">
        <x:v>106198</x:v>
      </x:c>
      <x:c r="E630" s="43" t="str">
        <x:v>downloaded</x:v>
      </x:c>
      <x:c r="F630" s="43" t="str">
        <x:v>b41027fe6efab50884231345d222ebbcaca1a2e76edb50886450d7b17d979fa2</x:v>
      </x:c>
      <x:c r="G630" s="46" t="str">
        <x:v>/Users/nomadresearch/Documents/Claude/Projects/koica-construction-tender/data/raw/L2021-00042-1/4.0 Section IV. Scope of Works.docx</x:v>
      </x:c>
      <x:c r="H630" s="43" t="str">
        <x:v>2021-11-17 23:44:51</x:v>
      </x:c>
    </x:row>
    <x:row r="631">
      <x:c r="A631" s="43" t="str">
        <x:v>L2021-00042-1</x:v>
      </x:c>
      <x:c r="B631" s="46" t="str">
        <x:v>5.0. Section V. Conditions of Contract.docx</x:v>
      </x:c>
      <x:c r="C631" s="43" t="str">
        <x:v>.docx</x:v>
      </x:c>
      <x:c r="D631" s="61" t="n">
        <x:v>54890</x:v>
      </x:c>
      <x:c r="E631" s="43" t="str">
        <x:v>downloaded</x:v>
      </x:c>
      <x:c r="F631" s="43" t="str">
        <x:v>39a7f5b2552d8691f92d01ca335034a5645ce96123a18a3a89b2877018dd691b</x:v>
      </x:c>
      <x:c r="G631" s="46" t="str">
        <x:v>/Users/nomadresearch/Documents/Claude/Projects/koica-construction-tender/data/raw/L2021-00042-1/5.0. Section V. Conditions of Contract.docx</x:v>
      </x:c>
      <x:c r="H631" s="43" t="str">
        <x:v>2021-11-17 23:44:51</x:v>
      </x:c>
    </x:row>
    <x:row r="632">
      <x:c r="A632" s="43" t="str">
        <x:v>L2021-00037-1</x:v>
      </x:c>
      <x:c r="B632" s="46" t="str">
        <x:v>0. Expression of Interest_form (21.11.04_Maternal &amp; Child Health).docx</x:v>
      </x:c>
      <x:c r="C632" s="43" t="str">
        <x:v>.docx</x:v>
      </x:c>
      <x:c r="D632" s="61" t="n">
        <x:v>53229</x:v>
      </x:c>
      <x:c r="E632" s="43" t="str">
        <x:v>downloaded</x:v>
      </x:c>
      <x:c r="F632" s="43" t="str">
        <x:v>0c9f67a7e6f73177dcc660de68cde03f900033c9a46bc11d33d6e6b09a8f316e</x:v>
      </x:c>
      <x:c r="G632" s="46" t="str">
        <x:v>/Users/nomadresearch/Documents/Claude/Projects/koica-construction-tender/data/raw/L2021-00037-1/0. Expression of Interest_form (21.11.04_Maternal &amp; Child Health).docx</x:v>
      </x:c>
      <x:c r="H632" s="43" t="str">
        <x:v>2021-11-10 05:22:46</x:v>
      </x:c>
    </x:row>
    <x:row r="633">
      <x:c r="A633" s="43" t="str">
        <x:v>L2021-00037-1</x:v>
      </x:c>
      <x:c r="B633" s="46" t="str">
        <x:v>1. RFP_(21.11.04_Maternal &amp; Child Health).pdf</x:v>
      </x:c>
      <x:c r="C633" s="43" t="str">
        <x:v>.pdf</x:v>
      </x:c>
      <x:c r="D633" s="61" t="n">
        <x:v>1140646</x:v>
      </x:c>
      <x:c r="E633" s="43" t="str">
        <x:v>downloaded</x:v>
      </x:c>
      <x:c r="F633" s="43" t="str">
        <x:v>3a62799ea4a3b818933bf51b3020c70356359c9c1b4237e529bc30a9524ad9ff</x:v>
      </x:c>
      <x:c r="G633" s="46" t="str">
        <x:v>/Users/nomadresearch/Documents/Claude/Projects/koica-construction-tender/data/raw/L2021-00037-1/1. RFP_(21.11.04_Maternal &amp; Child Health).pdf</x:v>
      </x:c>
      <x:c r="H633" s="43" t="str">
        <x:v>2021-11-10 05:22:46</x:v>
      </x:c>
    </x:row>
    <x:row r="634">
      <x:c r="A634" s="43" t="str">
        <x:v>L2021-00037-1</x:v>
      </x:c>
      <x:c r="B634" s="46" t="str">
        <x:v>2. Invitation For Bids (IFB)_(21.11.04_Maternal &amp; Child Health).docx</x:v>
      </x:c>
      <x:c r="C634" s="43" t="str">
        <x:v>.docx</x:v>
      </x:c>
      <x:c r="D634" s="61" t="n">
        <x:v>51125</x:v>
      </x:c>
      <x:c r="E634" s="43" t="str">
        <x:v>downloaded</x:v>
      </x:c>
      <x:c r="F634" s="43" t="str">
        <x:v>5fd756b28fb6e7585a912b390fb3d28953a4e37740cb868040b3676adabab5b9</x:v>
      </x:c>
      <x:c r="G634" s="46" t="str">
        <x:v>/Users/nomadresearch/Documents/Claude/Projects/koica-construction-tender/data/raw/L2021-00037-1/2. Invitation For Bids (IFB)_(21.11.04_Maternal &amp; Child Health).docx</x:v>
      </x:c>
      <x:c r="H634" s="43" t="str">
        <x:v>2021-11-10 05:22:46</x:v>
      </x:c>
    </x:row>
    <x:row r="635">
      <x:c r="A635" s="43" t="str">
        <x:v>L2021-00037-1</x:v>
      </x:c>
      <x:c r="B635" s="46" t="str">
        <x:v>3. Bid Document-1_(21.11.04_Maternal &amp; Child Health).docx</x:v>
      </x:c>
      <x:c r="C635" s="43" t="str">
        <x:v>.docx</x:v>
      </x:c>
      <x:c r="D635" s="61" t="n">
        <x:v>111070</x:v>
      </x:c>
      <x:c r="E635" s="43" t="str">
        <x:v>downloaded</x:v>
      </x:c>
      <x:c r="F635" s="43" t="str">
        <x:v>3b084b3e9ffe737a2624090e81aa1287bab68d6edc7630f29c38c969c46da821</x:v>
      </x:c>
      <x:c r="G635" s="46" t="str">
        <x:v>/Users/nomadresearch/Documents/Claude/Projects/koica-construction-tender/data/raw/L2021-00037-1/3. Bid Document-1_(21.11.04_Maternal &amp; Child Health).docx</x:v>
      </x:c>
      <x:c r="H635" s="43" t="str">
        <x:v>2021-11-10 05:22:46</x:v>
      </x:c>
    </x:row>
    <x:row r="636">
      <x:c r="A636" s="43" t="str">
        <x:v>L2021-00037-1</x:v>
      </x:c>
      <x:c r="B636" s="46" t="str">
        <x:v>4. Bid Document-2_(21.11.04_Maternal &amp; Child Health).docx</x:v>
      </x:c>
      <x:c r="C636" s="43" t="str">
        <x:v>.docx</x:v>
      </x:c>
      <x:c r="D636" s="61" t="n">
        <x:v>239625</x:v>
      </x:c>
      <x:c r="E636" s="43" t="str">
        <x:v>downloaded</x:v>
      </x:c>
      <x:c r="F636" s="43" t="str">
        <x:v>8a8d4ab8896c45cf9b980fb3fbea3c06db28cd9de88dd86249c8cace426eb528</x:v>
      </x:c>
      <x:c r="G636" s="46" t="str">
        <x:v>/Users/nomadresearch/Documents/Claude/Projects/koica-construction-tender/data/raw/L2021-00037-1/4. Bid Document-2_(21.11.04_Maternal &amp; Child Health).docx</x:v>
      </x:c>
      <x:c r="H636" s="43" t="str">
        <x:v>2021-11-10 05:22:46</x:v>
      </x:c>
    </x:row>
    <x:row r="637">
      <x:c r="A637" s="43" t="str">
        <x:v>L2021-00037-1</x:v>
      </x:c>
      <x:c r="B637" s="46" t="str">
        <x:v>5. Pre-Bid Meeting_(21.11.04_Maternal &amp; Child Health).pdf</x:v>
      </x:c>
      <x:c r="C637" s="43" t="str">
        <x:v>.pdf</x:v>
      </x:c>
      <x:c r="D637" s="61" t="n">
        <x:v>1997834</x:v>
      </x:c>
      <x:c r="E637" s="43" t="str">
        <x:v>downloaded</x:v>
      </x:c>
      <x:c r="F637" s="43" t="str">
        <x:v>3de5634558d2e66c746d3abdb0fda5c13525eb09678303fdd3e02b1c5d6a650b</x:v>
      </x:c>
      <x:c r="G637" s="46" t="str">
        <x:v>/Users/nomadresearch/Documents/Claude/Projects/koica-construction-tender/data/raw/L2021-00037-1/5. Pre-Bid Meeting_(21.11.04_Maternal &amp; Child Health).pdf</x:v>
      </x:c>
      <x:c r="H637" s="43" t="str">
        <x:v>2021-11-10 05:22:46</x:v>
      </x:c>
    </x:row>
    <x:row r="638">
      <x:c r="A638" s="43" t="str">
        <x:v>L2021-00037-1</x:v>
      </x:c>
      <x:c r="B638" s="46" t="str">
        <x:v>00. Bid announcemet(20.11.04)_(Maternal &amp; Child Health)_Cambodian.pdf</x:v>
      </x:c>
      <x:c r="C638" s="43" t="str">
        <x:v>.pdf</x:v>
      </x:c>
      <x:c r="D638" s="61" t="n">
        <x:v>601822</x:v>
      </x:c>
      <x:c r="E638" s="43" t="str">
        <x:v>downloaded</x:v>
      </x:c>
      <x:c r="F638" s="43" t="str">
        <x:v>c276b7f1a32dc39545d2ece2178eec7cb213f532c1e9977d52cd9737cdd67775</x:v>
      </x:c>
      <x:c r="G638" s="46" t="str">
        <x:v>/Users/nomadresearch/Documents/Claude/Projects/koica-construction-tender/data/raw/L2021-00037-1/00. Bid announcemet(20.11.04)_(Maternal &amp; Child Health)_Cambodian.pdf</x:v>
      </x:c>
      <x:c r="H638" s="43" t="str">
        <x:v>2021-11-10 05:22:46</x:v>
      </x:c>
    </x:row>
    <x:row r="639">
      <x:c r="A639" s="43" t="str">
        <x:v>L2021-00037-1</x:v>
      </x:c>
      <x:c r="B639" s="46" t="str">
        <x:v>00. Bid announcemet(20.11.04)_(Maternal &amp; Child Health)_REV.2.docx</x:v>
      </x:c>
      <x:c r="C639" s="43" t="str">
        <x:v>.docx</x:v>
      </x:c>
      <x:c r="D639" s="61" t="n">
        <x:v>48915</x:v>
      </x:c>
      <x:c r="E639" s="43" t="str">
        <x:v>downloaded</x:v>
      </x:c>
      <x:c r="F639" s="43" t="str">
        <x:v>de4cefdc880728c048e5b237a30ae76d707aa1224caaba72eae43b0f0eaca832</x:v>
      </x:c>
      <x:c r="G639" s="46" t="str">
        <x:v>/Users/nomadresearch/Documents/Claude/Projects/koica-construction-tender/data/raw/L2021-00037-1/00. Bid announcemet(20.11.04)_(Maternal &amp; Child Health)_REV.2.docx</x:v>
      </x:c>
      <x:c r="H639" s="43" t="str">
        <x:v>2021-11-10 05:22:46</x:v>
      </x:c>
    </x:row>
    <x:row r="640">
      <x:c r="A640" s="43" t="str">
        <x:v>L2021-00036-1</x:v>
      </x:c>
      <x:c r="B640" s="46" t="str">
        <x:v>[붙임] 입찰 서류_11.1.docx</x:v>
      </x:c>
      <x:c r="C640" s="43" t="str">
        <x:v>.docx</x:v>
      </x:c>
      <x:c r="D640" s="61" t="n">
        <x:v>710706</x:v>
      </x:c>
      <x:c r="E640" s="43" t="str">
        <x:v>downloaded</x:v>
      </x:c>
      <x:c r="F640" s="43" t="str">
        <x:v>7f616d8b834dd423fcece81827fa2a54455da0c4456e7d8df2ae99bcc1b98843</x:v>
      </x:c>
      <x:c r="G640" s="46" t="str">
        <x:v>/Users/nomadresearch/Documents/Claude/Projects/koica-construction-tender/data/raw/L2021-00036-1/[붙임] 입찰 서류_11.1.docx</x:v>
      </x:c>
      <x:c r="H640" s="43" t="str">
        <x:v>2021-11-02 20:30:57</x:v>
      </x:c>
    </x:row>
    <x:row r="641">
      <x:c r="A641" s="43" t="str">
        <x:v>L2021-00031-1</x:v>
      </x:c>
      <x:c r="B641" s="46" t="str">
        <x:v>1. RFP (Request for Proposal)_1021.docx</x:v>
      </x:c>
      <x:c r="C641" s="43" t="str">
        <x:v>.docx</x:v>
      </x:c>
      <x:c r="D641" s="61" t="n">
        <x:v>371792</x:v>
      </x:c>
      <x:c r="E641" s="43" t="str">
        <x:v>downloaded</x:v>
      </x:c>
      <x:c r="F641" s="43" t="str">
        <x:v>9ab3c9334f2d56139f0f0c614b870b60d65066fd9abbf93aca689fd28abf1a21</x:v>
      </x:c>
      <x:c r="G641" s="46" t="str">
        <x:v>/Users/nomadresearch/Documents/Claude/Projects/koica-construction-tender/data/raw/L2021-00031-1/1. RFP (Request for Proposal)_1021.docx</x:v>
      </x:c>
      <x:c r="H641" s="43" t="str">
        <x:v>2021-10-22 19:14:58</x:v>
      </x:c>
    </x:row>
    <x:row r="642">
      <x:c r="A642" s="43" t="str">
        <x:v>L2021-00031-1</x:v>
      </x:c>
      <x:c r="B642" s="46" t="str">
        <x:v>2. Chapters.zip</x:v>
      </x:c>
      <x:c r="C642" s="43" t="str">
        <x:v>.zip</x:v>
      </x:c>
      <x:c r="D642" s="61" t="n">
        <x:v>50990462</x:v>
      </x:c>
      <x:c r="E642" s="43" t="str">
        <x:v>downloaded</x:v>
      </x:c>
      <x:c r="F642" s="43" t="str">
        <x:v>5e357af330aca5222de013af789fddf165d0b06463b4af626270104309ae6328</x:v>
      </x:c>
      <x:c r="G642" s="46" t="str">
        <x:v>/Users/nomadresearch/Documents/Claude/Projects/koica-construction-tender/data/raw/L2021-00031-1/2. Chapters.zip</x:v>
      </x:c>
      <x:c r="H642" s="43" t="str">
        <x:v>2021-10-22 19:14:58</x:v>
      </x:c>
    </x:row>
    <x:row r="643">
      <x:c r="A643" s="43" t="str">
        <x:v>L2021-00031-1</x:v>
      </x:c>
      <x:c r="B643" s="46" t="str">
        <x:v>3. Attachments.zip</x:v>
      </x:c>
      <x:c r="C643" s="43" t="str">
        <x:v>.zip</x:v>
      </x:c>
      <x:c r="D643" s="61" t="n">
        <x:v>179112</x:v>
      </x:c>
      <x:c r="E643" s="43" t="str">
        <x:v>downloaded</x:v>
      </x:c>
      <x:c r="F643" s="43" t="str">
        <x:v>b530720628d1340420f421254a5841a9216f868280919e44df1f3422ec0ea207</x:v>
      </x:c>
      <x:c r="G643" s="46" t="str">
        <x:v>/Users/nomadresearch/Documents/Claude/Projects/koica-construction-tender/data/raw/L2021-00031-1/3. Attachments.zip</x:v>
      </x:c>
      <x:c r="H643" s="43" t="str">
        <x:v>2021-10-22 19:14:58</x:v>
      </x:c>
    </x:row>
    <x:row r="644">
      <x:c r="A644" s="43" t="str">
        <x:v>L2021-00031-1</x:v>
      </x:c>
      <x:c r="B644" s="46" t="str">
        <x:v>붙임1. 태양전지 인증시험소 시공업체 선정 국문 입찰계획안_최종.hwp</x:v>
      </x:c>
      <x:c r="C644" s="43" t="str">
        <x:v>.hwp</x:v>
      </x:c>
      <x:c r="D644" s="61" t="n">
        <x:v>150528</x:v>
      </x:c>
      <x:c r="E644" s="43" t="str">
        <x:v>downloaded</x:v>
      </x:c>
      <x:c r="F644" s="43" t="str">
        <x:v>9cf34489babe28fbec4ea8c2a7f24b86fbe713a325a93d4f2556f4c007ae0990</x:v>
      </x:c>
      <x:c r="G644" s="46" t="str">
        <x:v>/Users/nomadresearch/Documents/Claude/Projects/koica-construction-tender/data/raw/L2021-00031-1/붙임1. 태양전지 인증시험소 시공업체 선정 국문 입찰계획안_최종.hwp</x:v>
      </x:c>
      <x:c r="H644" s="43" t="str">
        <x:v>2021-10-22 19:14:58</x:v>
      </x:c>
    </x:row>
    <x:row r="645">
      <x:c r="A645" s="43" t="str">
        <x:v>L2021-00031-1</x:v>
      </x:c>
      <x:c r="B645" s="46" t="str">
        <x:v>붙임5. CM사 공문.hwp</x:v>
      </x:c>
      <x:c r="C645" s="43" t="str">
        <x:v>.hwp</x:v>
      </x:c>
      <x:c r="D645" s="61" t="n">
        <x:v>205824</x:v>
      </x:c>
      <x:c r="E645" s="43" t="str">
        <x:v>downloaded</x:v>
      </x:c>
      <x:c r="F645" s="43" t="str">
        <x:v>1cce17c7393f8208679def4105f8d58e26c94c2a4a872191468d8abeba09a71f</x:v>
      </x:c>
      <x:c r="G645" s="46" t="str">
        <x:v>/Users/nomadresearch/Documents/Claude/Projects/koica-construction-tender/data/raw/L2021-00031-1/붙임5. CM사 공문.hwp</x:v>
      </x:c>
      <x:c r="H645" s="43" t="str">
        <x:v>2021-10-22 19:14:58</x:v>
      </x:c>
    </x:row>
    <x:row r="646">
      <x:c r="A646" s="43" t="str">
        <x:v>L2021-00031-1</x:v>
      </x:c>
      <x:c r="B646" s="46" t="str">
        <x:v>PQ notice_1022.jpeg</x:v>
      </x:c>
      <x:c r="C646" s="43" t="str">
        <x:v>.jpeg</x:v>
      </x:c>
      <x:c r="D646" s="61" t="n">
        <x:v>482562</x:v>
      </x:c>
      <x:c r="E646" s="43" t="str">
        <x:v>downloaded</x:v>
      </x:c>
      <x:c r="F646" s="43" t="str">
        <x:v>3d21a2f65d2ff7061128e01acdb3b3bc840efd889b0c4d6aaca857e12a32a2ae</x:v>
      </x:c>
      <x:c r="G646" s="46" t="str">
        <x:v>/Users/nomadresearch/Documents/Claude/Projects/koica-construction-tender/data/raw/L2021-00031-1/PQ notice_1022.jpeg</x:v>
      </x:c>
      <x:c r="H646" s="43" t="str">
        <x:v>2021-10-22 19:14:58</x:v>
      </x:c>
    </x:row>
    <x:row r="647">
      <x:c r="A647" s="43" t="str">
        <x:v>L2021-00030-1</x:v>
      </x:c>
      <x:c r="B647" s="46" t="str">
        <x:v>0 Bidding Guideline for Construction Contractor_Hangar.docx</x:v>
      </x:c>
      <x:c r="C647" s="43" t="str">
        <x:v>.docx</x:v>
      </x:c>
      <x:c r="D647" s="61" t="n">
        <x:v>137514</x:v>
      </x:c>
      <x:c r="E647" s="43" t="str">
        <x:v>downloaded</x:v>
      </x:c>
      <x:c r="F647" s="43" t="str">
        <x:v>f2354133fd209f2161370a36b4b57e057634103989ee6359553b7072f30f13b8</x:v>
      </x:c>
      <x:c r="G647" s="46" t="str">
        <x:v>/Users/nomadresearch/Documents/Claude/Projects/koica-construction-tender/data/raw/L2021-00030-1/0 Bidding Guideline for Construction Contractor_Hangar.docx</x:v>
      </x:c>
      <x:c r="H647" s="43" t="str">
        <x:v>2021-10-22 10:00:56</x:v>
      </x:c>
    </x:row>
    <x:row r="648">
      <x:c r="A648" s="43" t="str">
        <x:v>L2021-00030-1</x:v>
      </x:c>
      <x:c r="B648" s="46" t="str">
        <x:v>1.0 Section I. Invitation for Bids_Hangar_Contractor.docx</x:v>
      </x:c>
      <x:c r="C648" s="43" t="str">
        <x:v>.docx</x:v>
      </x:c>
      <x:c r="D648" s="61" t="n">
        <x:v>53618</x:v>
      </x:c>
      <x:c r="E648" s="43" t="str">
        <x:v>downloaded</x:v>
      </x:c>
      <x:c r="F648" s="43" t="str">
        <x:v>10d11923ee9f4b11eb01043d3d103a723376b2846c65c4fc367dd72c422fe233</x:v>
      </x:c>
      <x:c r="G648" s="46" t="str">
        <x:v>/Users/nomadresearch/Documents/Claude/Projects/koica-construction-tender/data/raw/L2021-00030-1/1.0 Section I. Invitation for Bids_Hangar_Contractor.docx</x:v>
      </x:c>
      <x:c r="H648" s="43" t="str">
        <x:v>2021-10-22 10:00:56</x:v>
      </x:c>
    </x:row>
    <x:row r="649">
      <x:c r="A649" s="43" t="str">
        <x:v>L2021-00030-1</x:v>
      </x:c>
      <x:c r="B649" s="46" t="str">
        <x:v>2.0 Section II. Instructions to Bidders and Bid Data Sheet_Hangar_Contractor.docx</x:v>
      </x:c>
      <x:c r="C649" s="43" t="str">
        <x:v>.docx</x:v>
      </x:c>
      <x:c r="D649" s="61" t="n">
        <x:v>75125</x:v>
      </x:c>
      <x:c r="E649" s="43" t="str">
        <x:v>downloaded</x:v>
      </x:c>
      <x:c r="F649" s="43" t="str">
        <x:v>32a852ec0bb2a6f9c3d1d85f8c9aea9f8d6c97bca80cceb1eabc673f6ee470dc</x:v>
      </x:c>
      <x:c r="G649" s="46" t="str">
        <x:v>/Users/nomadresearch/Documents/Claude/Projects/koica-construction-tender/data/raw/L2021-00030-1/2.0 Section II. Instructions to Bidders and Bid Data Sheet_Hangar_Contractor.docx</x:v>
      </x:c>
      <x:c r="H649" s="43" t="str">
        <x:v>2021-10-22 10:00:56</x:v>
      </x:c>
    </x:row>
    <x:row r="650">
      <x:c r="A650" s="43" t="str">
        <x:v>L2021-00030-1</x:v>
      </x:c>
      <x:c r="B650" s="46" t="str">
        <x:v>3.0 Section III. Bidding Forms_Hangar_Contractor.docx</x:v>
      </x:c>
      <x:c r="C650" s="43" t="str">
        <x:v>.docx</x:v>
      </x:c>
      <x:c r="D650" s="61" t="n">
        <x:v>58569</x:v>
      </x:c>
      <x:c r="E650" s="43" t="str">
        <x:v>downloaded</x:v>
      </x:c>
      <x:c r="F650" s="43" t="str">
        <x:v>628e65c7a668a0462151434e750e0542bbdf5027934799b31a1e803a8c30ed60</x:v>
      </x:c>
      <x:c r="G650" s="46" t="str">
        <x:v>/Users/nomadresearch/Documents/Claude/Projects/koica-construction-tender/data/raw/L2021-00030-1/3.0 Section III. Bidding Forms_Hangar_Contractor.docx</x:v>
      </x:c>
      <x:c r="H650" s="43" t="str">
        <x:v>2021-10-22 10:00:56</x:v>
      </x:c>
    </x:row>
    <x:row r="651">
      <x:c r="A651" s="43" t="str">
        <x:v>L2021-00030-1</x:v>
      </x:c>
      <x:c r="B651" s="46" t="str">
        <x:v>4.0 Section IV. Scope of Works_Hangar_Contractor.docx</x:v>
      </x:c>
      <x:c r="C651" s="43" t="str">
        <x:v>.docx</x:v>
      </x:c>
      <x:c r="D651" s="61" t="n">
        <x:v>49203</x:v>
      </x:c>
      <x:c r="E651" s="43" t="str">
        <x:v>downloaded</x:v>
      </x:c>
      <x:c r="F651" s="43" t="str">
        <x:v>d59b22932c51fa863ff53ce28d225b1146cf1fbdc10b389d0fc65a45318f13e8</x:v>
      </x:c>
      <x:c r="G651" s="46" t="str">
        <x:v>/Users/nomadresearch/Documents/Claude/Projects/koica-construction-tender/data/raw/L2021-00030-1/4.0 Section IV. Scope of Works_Hangar_Contractor.docx</x:v>
      </x:c>
      <x:c r="H651" s="43" t="str">
        <x:v>2021-10-22 10:00:56</x:v>
      </x:c>
    </x:row>
    <x:row r="652">
      <x:c r="A652" s="43" t="str">
        <x:v>L2021-00030-1</x:v>
      </x:c>
      <x:c r="B652" s="46" t="str">
        <x:v>5.0. Section V. Conditions of Contract_Hangar_Contractor.docx</x:v>
      </x:c>
      <x:c r="C652" s="43" t="str">
        <x:v>.docx</x:v>
      </x:c>
      <x:c r="D652" s="61" t="n">
        <x:v>64717</x:v>
      </x:c>
      <x:c r="E652" s="43" t="str">
        <x:v>downloaded</x:v>
      </x:c>
      <x:c r="F652" s="43" t="str">
        <x:v>d5a429cdead850cbc48c5e7f07bd9c75aa44f69f2d588d596f14c75ea194768b</x:v>
      </x:c>
      <x:c r="G652" s="46" t="str">
        <x:v>/Users/nomadresearch/Documents/Claude/Projects/koica-construction-tender/data/raw/L2021-00030-1/5.0. Section V. Conditions of Contract_Hangar_Contractor.docx</x:v>
      </x:c>
      <x:c r="H652" s="43" t="str">
        <x:v>2021-10-22 10:00:56</x:v>
      </x:c>
    </x:row>
    <x:row r="653">
      <x:c r="A653" s="43" t="str">
        <x:v>L2021-00030-1</x:v>
      </x:c>
      <x:c r="B653" s="46" t="str">
        <x:v>파라과이 항공교육센터 격납고_시공 입찰계획서.hwp</x:v>
      </x:c>
      <x:c r="C653" s="43" t="str">
        <x:v>.hwp</x:v>
      </x:c>
      <x:c r="D653" s="61" t="n">
        <x:v>46080</x:v>
      </x:c>
      <x:c r="E653" s="43" t="str">
        <x:v>downloaded</x:v>
      </x:c>
      <x:c r="F653" s="43" t="str">
        <x:v>8a5e9f755ed049a520ed990f01b199df36c42c2bc962c582c9d52998f64b672f</x:v>
      </x:c>
      <x:c r="G653" s="46" t="str">
        <x:v>/Users/nomadresearch/Documents/Claude/Projects/koica-construction-tender/data/raw/L2021-00030-1/파라과이 항공교육센터 격납고_시공 입찰계획서.hwp</x:v>
      </x:c>
      <x:c r="H653" s="43" t="str">
        <x:v>2021-10-22 10:00:56</x:v>
      </x:c>
    </x:row>
    <x:row r="654">
      <x:c r="A654" s="43" t="str">
        <x:v>L2021-00029-1</x:v>
      </x:c>
      <x:c r="B654" s="46" t="str">
        <x:v>국문 입찰계획서(Rev02).pdf</x:v>
      </x:c>
      <x:c r="C654" s="43" t="str">
        <x:v>.pdf</x:v>
      </x:c>
      <x:c r="D654" s="61" t="n">
        <x:v>270896</x:v>
      </x:c>
      <x:c r="E654" s="43" t="str">
        <x:v>downloaded</x:v>
      </x:c>
      <x:c r="F654" s="43" t="str">
        <x:v>2619c7c319b19ddc6eb48d670ac7f16d58307ac1d533d830b07faf2a39a60e80</x:v>
      </x:c>
      <x:c r="G654" s="46" t="str">
        <x:v>/Users/nomadresearch/Documents/Claude/Projects/koica-construction-tender/data/raw/L2021-00029-1/국문 입찰계획서(Rev02).pdf</x:v>
      </x:c>
      <x:c r="H654" s="43" t="str">
        <x:v>2021-10-11 14:16:48</x:v>
      </x:c>
    </x:row>
    <x:row r="655">
      <x:c r="A655" s="43" t="str">
        <x:v>L2021-00029-1</x:v>
      </x:c>
      <x:c r="B655" s="46" t="str">
        <x:v>네팔 ORC시공업체선정 영문 RFP.pdf</x:v>
      </x:c>
      <x:c r="C655" s="43" t="str">
        <x:v>.pdf</x:v>
      </x:c>
      <x:c r="D655" s="61" t="n">
        <x:v>331759</x:v>
      </x:c>
      <x:c r="E655" s="43" t="str">
        <x:v>downloaded</x:v>
      </x:c>
      <x:c r="F655" s="43" t="str">
        <x:v>d307b5ccd02047cd7c104cd0af18707ee25a6ce93ba100e59e36dd6a4f061aa1</x:v>
      </x:c>
      <x:c r="G655" s="46" t="str">
        <x:v>/Users/nomadresearch/Documents/Claude/Projects/koica-construction-tender/data/raw/L2021-00029-1/네팔 ORC시공업체선정 영문 RFP.pdf</x:v>
      </x:c>
      <x:c r="H655" s="43" t="str">
        <x:v>2021-10-11 14:16:48</x:v>
      </x:c>
    </x:row>
    <x:row r="656">
      <x:c r="A656" s="43" t="str">
        <x:v>L2021-00029-1</x:v>
      </x:c>
      <x:c r="B656" s="46" t="str">
        <x:v>ORC시공사선정 입찰공고.pdf</x:v>
      </x:c>
      <x:c r="C656" s="43" t="str">
        <x:v>.pdf</x:v>
      </x:c>
      <x:c r="D656" s="61" t="n">
        <x:v>337288</x:v>
      </x:c>
      <x:c r="E656" s="43" t="str">
        <x:v>downloaded</x:v>
      </x:c>
      <x:c r="F656" s="43" t="str">
        <x:v>412e10d94ce958fee4757083b4765f86c38f32ecd0ba38a66ab3994425e57d04</x:v>
      </x:c>
      <x:c r="G656" s="46" t="str">
        <x:v>/Users/nomadresearch/Documents/Claude/Projects/koica-construction-tender/data/raw/L2021-00029-1/ORC시공사선정 입찰공고.pdf</x:v>
      </x:c>
      <x:c r="H656" s="43" t="str">
        <x:v>2021-10-11 14:16:48</x:v>
      </x:c>
    </x:row>
    <x:row r="657">
      <x:c r="A657" s="43" t="str">
        <x:v>L2021-00028-1</x:v>
      </x:c>
      <x:c r="B657" s="46" t="str">
        <x:v>(붙임 1) 한코센터 추가 IT 기자재 구매 입찰계획안_국문본(210915).hwp</x:v>
      </x:c>
      <x:c r="C657" s="43" t="str">
        <x:v>.hwp</x:v>
      </x:c>
      <x:c r="D657" s="61" t="n">
        <x:v>138752</x:v>
      </x:c>
      <x:c r="E657" s="43" t="str">
        <x:v>downloaded</x:v>
      </x:c>
      <x:c r="F657" s="43" t="str">
        <x:v>bbad30ce6ea48721740c579dd7ae3d23c2cae6208cf96070494b30f39dfc53f4</x:v>
      </x:c>
      <x:c r="G657" s="46" t="str">
        <x:v>/Users/nomadresearch/Documents/Claude/Projects/koica-construction-tender/data/raw/L2021-00028-1/(붙임 1) 한코센터 추가 IT 기자재 구매 입찰계획안_국문본(210915).hwp</x:v>
      </x:c>
      <x:c r="H657" s="43" t="str">
        <x:v>2021-09-30 23:36:04</x:v>
      </x:c>
    </x:row>
    <x:row r="658">
      <x:c r="A658" s="43" t="str">
        <x:v>L2021-00028-1</x:v>
      </x:c>
      <x:c r="B658" s="46" t="str">
        <x:v>(붙임 4) 입찰공고문(불문).docx</x:v>
      </x:c>
      <x:c r="C658" s="43" t="str">
        <x:v>.docx</x:v>
      </x:c>
      <x:c r="D658" s="61" t="n">
        <x:v>36644</x:v>
      </x:c>
      <x:c r="E658" s="43" t="str">
        <x:v>downloaded</x:v>
      </x:c>
      <x:c r="F658" s="43" t="str">
        <x:v>3d4cd9fd32fc319f9d1ed48f068e689b352696aa1eaa9e6e810ffcbf1a866ba9</x:v>
      </x:c>
      <x:c r="G658" s="46" t="str">
        <x:v>/Users/nomadresearch/Documents/Claude/Projects/koica-construction-tender/data/raw/L2021-00028-1/(붙임 4) 입찰공고문(불문).docx</x:v>
      </x:c>
      <x:c r="H658" s="43" t="str">
        <x:v>2021-09-30 23:36:04</x:v>
      </x:c>
    </x:row>
    <x:row r="659">
      <x:c r="A659" s="43" t="str">
        <x:v>L2021-00028-1</x:v>
      </x:c>
      <x:c r="B659" s="46" t="str">
        <x:v>(붙임 5) 제안요청서 DAO.docx</x:v>
      </x:c>
      <x:c r="C659" s="43" t="str">
        <x:v>.docx</x:v>
      </x:c>
      <x:c r="D659" s="61" t="n">
        <x:v>61319</x:v>
      </x:c>
      <x:c r="E659" s="43" t="str">
        <x:v>downloaded</x:v>
      </x:c>
      <x:c r="F659" s="43" t="str">
        <x:v>2b37f2560847f0a025281fd98f2e331908a816a2bfaa655d28c2f7c41383713e</x:v>
      </x:c>
      <x:c r="G659" s="46" t="str">
        <x:v>/Users/nomadresearch/Documents/Claude/Projects/koica-construction-tender/data/raw/L2021-00028-1/(붙임 5) 제안요청서 DAO.docx</x:v>
      </x:c>
      <x:c r="H659" s="43" t="str">
        <x:v>2021-09-30 23:36:04</x:v>
      </x:c>
    </x:row>
    <x:row r="660">
      <x:c r="A660" s="43" t="str">
        <x:v>L2021-00025-1</x:v>
      </x:c>
      <x:c r="B660" s="46" t="str">
        <x:v>2. Bid announcemet(20.08.27)_(Maternal &amp; Child Health)1.docx</x:v>
      </x:c>
      <x:c r="C660" s="43" t="str">
        <x:v>.docx</x:v>
      </x:c>
      <x:c r="D660" s="61" t="n">
        <x:v>32182</x:v>
      </x:c>
      <x:c r="E660" s="43" t="str">
        <x:v>downloaded</x:v>
      </x:c>
      <x:c r="F660" s="43" t="str">
        <x:v>d70a626ee26bcf504e5598f46986613738f56c45c5cf6ca4765954fba6b7874f</x:v>
      </x:c>
      <x:c r="G660" s="46" t="str">
        <x:v>/Users/nomadresearch/Documents/Claude/Projects/koica-construction-tender/data/raw/L2021-00025-1/2. Bid announcemet(20.08.27)_(Maternal &amp; Child Health)1.docx</x:v>
      </x:c>
      <x:c r="H660" s="43" t="str">
        <x:v>2021-09-02 08:31:27</x:v>
      </x:c>
    </x:row>
    <x:row r="661">
      <x:c r="A661" s="43" t="str">
        <x:v>L2021-00025-1</x:v>
      </x:c>
      <x:c r="B661" s="46" t="str">
        <x:v>3. RFP_(20.08.27_Maternal &amp; Child Health).docx</x:v>
      </x:c>
      <x:c r="C661" s="43" t="str">
        <x:v>.docx</x:v>
      </x:c>
      <x:c r="D661" s="61" t="n">
        <x:v>4355719</x:v>
      </x:c>
      <x:c r="E661" s="43" t="str">
        <x:v>downloaded</x:v>
      </x:c>
      <x:c r="F661" s="43" t="str">
        <x:v>3e18a9b49791dc24c3c68758db1ae53d43778d8098adcda7552700c99262d90b</x:v>
      </x:c>
      <x:c r="G661" s="46" t="str">
        <x:v>/Users/nomadresearch/Documents/Claude/Projects/koica-construction-tender/data/raw/L2021-00025-1/3. RFP_(20.08.27_Maternal &amp; Child Health).docx</x:v>
      </x:c>
      <x:c r="H661" s="43" t="str">
        <x:v>2021-09-02 08:31:27</x:v>
      </x:c>
    </x:row>
    <x:row r="662">
      <x:c r="A662" s="43" t="str">
        <x:v>L2021-00025-1</x:v>
      </x:c>
      <x:c r="B662" s="46" t="str">
        <x:v>4. Invitation For Bids (IFB)_(20.08.27_Maternal &amp; Child Health).docx</x:v>
      </x:c>
      <x:c r="C662" s="43" t="str">
        <x:v>.docx</x:v>
      </x:c>
      <x:c r="D662" s="61" t="n">
        <x:v>51052</x:v>
      </x:c>
      <x:c r="E662" s="43" t="str">
        <x:v>downloaded</x:v>
      </x:c>
      <x:c r="F662" s="43" t="str">
        <x:v>0c589f2fe7adce5511366fababe9494367a8c3cb4c56868549c575d7391c20b2</x:v>
      </x:c>
      <x:c r="G662" s="46" t="str">
        <x:v>/Users/nomadresearch/Documents/Claude/Projects/koica-construction-tender/data/raw/L2021-00025-1/4. Invitation For Bids (IFB)_(20.08.27_Maternal &amp; Child Health).docx</x:v>
      </x:c>
      <x:c r="H662" s="43" t="str">
        <x:v>2021-09-02 08:31:27</x:v>
      </x:c>
    </x:row>
    <x:row r="663">
      <x:c r="A663" s="43" t="str">
        <x:v>L2021-00025-1</x:v>
      </x:c>
      <x:c r="B663" s="46" t="str">
        <x:v>5. Bid Document-1_(20.08.27_Maternal &amp; Child Health).docx</x:v>
      </x:c>
      <x:c r="C663" s="43" t="str">
        <x:v>.docx</x:v>
      </x:c>
      <x:c r="D663" s="61" t="n">
        <x:v>110521</x:v>
      </x:c>
      <x:c r="E663" s="43" t="str">
        <x:v>downloaded</x:v>
      </x:c>
      <x:c r="F663" s="43" t="str">
        <x:v>2587e67ea29e71672f309b196f13b17c4d13ed9c84b0ffdd68e77345a85c3b61</x:v>
      </x:c>
      <x:c r="G663" s="46" t="str">
        <x:v>/Users/nomadresearch/Documents/Claude/Projects/koica-construction-tender/data/raw/L2021-00025-1/5. Bid Document-1_(20.08.27_Maternal &amp; Child Health).docx</x:v>
      </x:c>
      <x:c r="H663" s="43" t="str">
        <x:v>2021-09-02 08:31:27</x:v>
      </x:c>
    </x:row>
    <x:row r="664">
      <x:c r="A664" s="43" t="str">
        <x:v>L2021-00025-1</x:v>
      </x:c>
      <x:c r="B664" s="46" t="str">
        <x:v>6. Bid Document-2_(20.08.27_Maternal &amp; Child Health).docx</x:v>
      </x:c>
      <x:c r="C664" s="43" t="str">
        <x:v>.docx</x:v>
      </x:c>
      <x:c r="D664" s="61" t="n">
        <x:v>239315</x:v>
      </x:c>
      <x:c r="E664" s="43" t="str">
        <x:v>downloaded</x:v>
      </x:c>
      <x:c r="F664" s="43" t="str">
        <x:v>8a4f52e0bf6a7d60907aceb5ec909d5d30533b3ed7a4986d8a4b20ad8d0a1a1d</x:v>
      </x:c>
      <x:c r="G664" s="46" t="str">
        <x:v>/Users/nomadresearch/Documents/Claude/Projects/koica-construction-tender/data/raw/L2021-00025-1/6. Bid Document-2_(20.08.27_Maternal &amp; Child Health).docx</x:v>
      </x:c>
      <x:c r="H664" s="43" t="str">
        <x:v>2021-09-02 08:31:27</x:v>
      </x:c>
    </x:row>
    <x:row r="665">
      <x:c r="A665" s="43" t="str">
        <x:v>L2021-00025-1</x:v>
      </x:c>
      <x:c r="B665" s="46" t="str">
        <x:v>7. Pre-Bid Meeting_(20.08.27_Maternal &amp; Child Health).pdf</x:v>
      </x:c>
      <x:c r="C665" s="43" t="str">
        <x:v>.pdf</x:v>
      </x:c>
      <x:c r="D665" s="61" t="n">
        <x:v>725801</x:v>
      </x:c>
      <x:c r="E665" s="43" t="str">
        <x:v>downloaded</x:v>
      </x:c>
      <x:c r="F665" s="43" t="str">
        <x:v>4b4ed36dbaf2b98d625ce8002e9c6ea8c4cd15e5a67fc6119aa0a6301b4c2c4f</x:v>
      </x:c>
      <x:c r="G665" s="46" t="str">
        <x:v>/Users/nomadresearch/Documents/Claude/Projects/koica-construction-tender/data/raw/L2021-00025-1/7. Pre-Bid Meeting_(20.08.27_Maternal &amp; Child Health).pdf</x:v>
      </x:c>
      <x:c r="H665" s="43" t="str">
        <x:v>2021-09-02 08:31:27</x:v>
      </x:c>
    </x:row>
    <x:row r="666">
      <x:c r="A666" s="43" t="str">
        <x:v>L2021-00022-1</x:v>
      </x:c>
      <x:c r="B666" s="46" t="str">
        <x:v>(붙임 1) 한코센터 IT 기자재 입찰계획안_국문본(210622).hwp</x:v>
      </x:c>
      <x:c r="C666" s="43" t="str">
        <x:v>.hwp</x:v>
      </x:c>
      <x:c r="D666" s="61" t="n">
        <x:v>114176</x:v>
      </x:c>
      <x:c r="E666" s="43" t="str">
        <x:v>downloaded</x:v>
      </x:c>
      <x:c r="F666" s="43" t="str">
        <x:v>e749043b955b8828d8e8f7cefbb98d8faf1345b877047e4d9988bcf6132d1e01</x:v>
      </x:c>
      <x:c r="G666" s="46" t="str">
        <x:v>/Users/nomadresearch/Documents/Claude/Projects/koica-construction-tender/data/raw/L2021-00022-1/(붙임 1) 한코센터 IT 기자재 입찰계획안_국문본(210622).hwp</x:v>
      </x:c>
      <x:c r="H666" s="43" t="str">
        <x:v>2021-06-28 20:18:40</x:v>
      </x:c>
    </x:row>
    <x:row r="667">
      <x:c r="A667" s="43" t="str">
        <x:v>L2021-00022-1</x:v>
      </x:c>
      <x:c r="B667" s="46" t="str">
        <x:v>(붙임 2) 가격조사자료 및 물량내역서.zip</x:v>
      </x:c>
      <x:c r="C667" s="43" t="str">
        <x:v>.zip</x:v>
      </x:c>
      <x:c r="D667" s="61" t="n">
        <x:v>1639987</x:v>
      </x:c>
      <x:c r="E667" s="43" t="str">
        <x:v>downloaded</x:v>
      </x:c>
      <x:c r="F667" s="43" t="str">
        <x:v>bf78666834f6745381c052a6ec7d3530e8c6f15fb9f326eb87a6c3fb11712130</x:v>
      </x:c>
      <x:c r="G667" s="46" t="str">
        <x:v>/Users/nomadresearch/Documents/Claude/Projects/koica-construction-tender/data/raw/L2021-00022-1/(붙임 2) 가격조사자료 및 물량내역서.zip</x:v>
      </x:c>
      <x:c r="H667" s="43" t="str">
        <x:v>2021-06-28 20:18:40</x:v>
      </x:c>
    </x:row>
    <x:row r="668">
      <x:c r="A668" s="43" t="str">
        <x:v>L2021-00022-1</x:v>
      </x:c>
      <x:c r="B668" s="46" t="str">
        <x:v>(붙임 3) 센터측 긴급입찰 요청 공한.pdf</x:v>
      </x:c>
      <x:c r="C668" s="43" t="str">
        <x:v>.pdf</x:v>
      </x:c>
      <x:c r="D668" s="61" t="n">
        <x:v>335596</x:v>
      </x:c>
      <x:c r="E668" s="43" t="str">
        <x:v>downloaded</x:v>
      </x:c>
      <x:c r="F668" s="43" t="str">
        <x:v>86fb69bb9c907660a5caffe1249a2f27caee5e00220aaccc5e23a56b34d7db79</x:v>
      </x:c>
      <x:c r="G668" s="46" t="str">
        <x:v>/Users/nomadresearch/Documents/Claude/Projects/koica-construction-tender/data/raw/L2021-00022-1/(붙임 3) 센터측 긴급입찰 요청 공한.pdf</x:v>
      </x:c>
      <x:c r="H668" s="43" t="str">
        <x:v>2021-06-28 20:18:40</x:v>
      </x:c>
    </x:row>
    <x:row r="669">
      <x:c r="A669" s="43" t="str">
        <x:v>L2021-00022-1</x:v>
      </x:c>
      <x:c r="B669" s="46" t="str">
        <x:v>(붙임 4) 입찰공고문_불문본(210623).docx</x:v>
      </x:c>
      <x:c r="C669" s="43" t="str">
        <x:v>.docx</x:v>
      </x:c>
      <x:c r="D669" s="61" t="n">
        <x:v>33820</x:v>
      </x:c>
      <x:c r="E669" s="43" t="str">
        <x:v>downloaded</x:v>
      </x:c>
      <x:c r="F669" s="43" t="str">
        <x:v>cff9f9f7c6eed4e80b8be989b581fac1de3b015a2b2cd01701cdd4b45a9442b0</x:v>
      </x:c>
      <x:c r="G669" s="46" t="str">
        <x:v>/Users/nomadresearch/Documents/Claude/Projects/koica-construction-tender/data/raw/L2021-00022-1/(붙임 4) 입찰공고문_불문본(210623).docx</x:v>
      </x:c>
      <x:c r="H669" s="43" t="str">
        <x:v>2021-06-28 20:18:40</x:v>
      </x:c>
    </x:row>
    <x:row r="670">
      <x:c r="A670" s="43" t="str">
        <x:v>L2021-00022-1</x:v>
      </x:c>
      <x:c r="B670" s="46" t="str">
        <x:v>(붙임 5) 제안요청서_불문본(210623).docx</x:v>
      </x:c>
      <x:c r="C670" s="43" t="str">
        <x:v>.docx</x:v>
      </x:c>
      <x:c r="D670" s="61" t="n">
        <x:v>62360</x:v>
      </x:c>
      <x:c r="E670" s="43" t="str">
        <x:v>downloaded</x:v>
      </x:c>
      <x:c r="F670" s="43" t="str">
        <x:v>db26feb0776055bb3e1d2782d3c848bfd2b28f5458a90c2e920c2195aeb88ae1</x:v>
      </x:c>
      <x:c r="G670" s="46" t="str">
        <x:v>/Users/nomadresearch/Documents/Claude/Projects/koica-construction-tender/data/raw/L2021-00022-1/(붙임 5) 제안요청서_불문본(210623).docx</x:v>
      </x:c>
      <x:c r="H670" s="43" t="str">
        <x:v>2021-06-28 20:18:40</x:v>
      </x:c>
    </x:row>
    <x:row r="671">
      <x:c r="A671" s="43" t="str">
        <x:v>L2021-00022-1</x:v>
      </x:c>
      <x:c r="B671" s="46" t="str">
        <x:v>(붙임 6) 코트디부아르 공공계약규정(Code-Marches-Publics-Ordonnance).pdf</x:v>
      </x:c>
      <x:c r="C671" s="43" t="str">
        <x:v>.pdf</x:v>
      </x:c>
      <x:c r="D671" s="61" t="n">
        <x:v>1911490</x:v>
      </x:c>
      <x:c r="E671" s="43" t="str">
        <x:v>downloaded</x:v>
      </x:c>
      <x:c r="F671" s="43" t="str">
        <x:v>2ce2d92a5a13742711e498be6e16eaebbf69dc75a45754c3f0c5f0c584d1dc60</x:v>
      </x:c>
      <x:c r="G671" s="46" t="str">
        <x:v>/Users/nomadresearch/Documents/Claude/Projects/koica-construction-tender/data/raw/L2021-00022-1/(붙임 6) 코트디부아르 공공계약규정(Code-Marches-Publics-Ordonnance).pdf</x:v>
      </x:c>
      <x:c r="H671" s="43" t="str">
        <x:v>2021-06-28 20:18:40</x:v>
      </x:c>
    </x:row>
    <x:row r="672">
      <x:c r="A672" s="43" t="str">
        <x:v>L2021-00022-1</x:v>
      </x:c>
      <x:c r="B672" s="46" t="str">
        <x:v>(붙임 7) 입찰공고비용 Invoice.zip</x:v>
      </x:c>
      <x:c r="C672" s="43" t="str">
        <x:v>.zip</x:v>
      </x:c>
      <x:c r="D672" s="61" t="n">
        <x:v>835488</x:v>
      </x:c>
      <x:c r="E672" s="43" t="str">
        <x:v>downloaded</x:v>
      </x:c>
      <x:c r="F672" s="43" t="str">
        <x:v>6b961c6391164f2f45db054a9262239502ea83ded6e54cc908f4bf943bdc8217</x:v>
      </x:c>
      <x:c r="G672" s="46" t="str">
        <x:v>/Users/nomadresearch/Documents/Claude/Projects/koica-construction-tender/data/raw/L2021-00022-1/(붙임 7) 입찰공고비용 Invoice.zip</x:v>
      </x:c>
      <x:c r="H672" s="43" t="str">
        <x:v>2021-06-28 20:18:40</x:v>
      </x:c>
    </x:row>
    <x:row r="673">
      <x:c r="A673" s="43" t="str">
        <x:v>L2021-00019-1</x:v>
      </x:c>
      <x:c r="B673" s="46" t="str">
        <x:v>02 라오스_RMNCH&amp;GENDER Bid Announcement Rev03 (20210528).doc</x:v>
      </x:c>
      <x:c r="C673" s="43" t="str">
        <x:v>.doc</x:v>
      </x:c>
      <x:c r="D673" s="61" t="n">
        <x:v>75776</x:v>
      </x:c>
      <x:c r="E673" s="43" t="str">
        <x:v>downloaded</x:v>
      </x:c>
      <x:c r="F673" s="43" t="str">
        <x:v>7a4137ba4b32b1135fda043acecbfbff3ad3ce429b384306c2a81fc9b51d0d5d</x:v>
      </x:c>
      <x:c r="G673" s="46" t="str">
        <x:v>/Users/nomadresearch/Documents/Claude/Projects/koica-construction-tender/data/raw/L2021-00019-1/02 라오스_RMNCH&amp;GENDER Bid Announcement Rev03 (20210528).doc</x:v>
      </x:c>
      <x:c r="H673" s="43" t="str">
        <x:v>2021-06-11 18:48:49</x:v>
      </x:c>
    </x:row>
    <x:row r="674">
      <x:c r="A674" s="43" t="str">
        <x:v>L2021-00018-1</x:v>
      </x:c>
      <x:c r="B674" s="46" t="str">
        <x:v>1. RFP 023 2020 - Tender Document and Annexes_ ANCCESS PROJECT.pdf</x:v>
      </x:c>
      <x:c r="C674" s="43" t="str">
        <x:v>.pdf</x:v>
      </x:c>
      <x:c r="D674" s="61" t="n">
        <x:v>2053850</x:v>
      </x:c>
      <x:c r="E674" s="43" t="str">
        <x:v>downloaded</x:v>
      </x:c>
      <x:c r="F674" s="43" t="str">
        <x:v>ad870f5ec56e33e0ab9dd92eaa87966f81cb2be71cc11f48b856df2ba1c82855</x:v>
      </x:c>
      <x:c r="G674" s="46" t="str">
        <x:v>/Users/nomadresearch/Documents/Claude/Projects/koica-construction-tender/data/raw/L2021-00018-1/1. RFP 023 2020 - Tender Document and Annexes_ ANCCESS PROJECT.pdf</x:v>
      </x:c>
      <x:c r="H674" s="43" t="str">
        <x:v>2021-06-11 15:06:24</x:v>
      </x:c>
    </x:row>
    <x:row r="675">
      <x:c r="A675" s="43" t="str">
        <x:v>L2021-00018-1</x:v>
      </x:c>
      <x:c r="B675" s="46" t="str">
        <x:v>2. Returnable Bidding Forms_ACCESS PROJECT.docx</x:v>
      </x:c>
      <x:c r="C675" s="43" t="str">
        <x:v>.docx</x:v>
      </x:c>
      <x:c r="D675" s="61" t="n">
        <x:v>73560</x:v>
      </x:c>
      <x:c r="E675" s="43" t="str">
        <x:v>downloaded</x:v>
      </x:c>
      <x:c r="F675" s="43" t="str">
        <x:v>71852e4520af31b7f5cc7f26c43a7900b98afde5347cdca18bfc29182656f5c1</x:v>
      </x:c>
      <x:c r="G675" s="46" t="str">
        <x:v>/Users/nomadresearch/Documents/Claude/Projects/koica-construction-tender/data/raw/L2021-00018-1/2. Returnable Bidding Forms_ACCESS PROJECT.docx</x:v>
      </x:c>
      <x:c r="H675" s="43" t="str">
        <x:v>2021-06-11 15:06:24</x:v>
      </x:c>
    </x:row>
    <x:row r="676">
      <x:c r="A676" s="43" t="str">
        <x:v>L2021-00018-1</x:v>
      </x:c>
      <x:c r="B676" s="46" t="str">
        <x:v>3. Sample Written-Self Declaration_ACCESS PROJECT.docx</x:v>
      </x:c>
      <x:c r="C676" s="43" t="str">
        <x:v>.docx</x:v>
      </x:c>
      <x:c r="D676" s="61" t="n">
        <x:v>24923</x:v>
      </x:c>
      <x:c r="E676" s="43" t="str">
        <x:v>downloaded</x:v>
      </x:c>
      <x:c r="F676" s="43" t="str">
        <x:v>1aecc95936ca74540002e4e7e1ecc4f84ee1ddc078a367aba3609cfacaa1149d</x:v>
      </x:c>
      <x:c r="G676" s="46" t="str">
        <x:v>/Users/nomadresearch/Documents/Claude/Projects/koica-construction-tender/data/raw/L2021-00018-1/3. Sample Written-Self Declaration_ACCESS PROJECT.docx</x:v>
      </x:c>
      <x:c r="H676" s="43" t="str">
        <x:v>2021-06-11 15:06:24</x:v>
      </x:c>
    </x:row>
    <x:row r="677">
      <x:c r="A677" s="43" t="str">
        <x:v>L2021-00018-1</x:v>
      </x:c>
      <x:c r="B677" s="46" t="str">
        <x:v>4. E-Tendering User Guide_ACCESS PROJECT.pdf</x:v>
      </x:c>
      <x:c r="C677" s="43" t="str">
        <x:v>.pdf</x:v>
      </x:c>
      <x:c r="D677" s="61" t="n">
        <x:v>5096440</x:v>
      </x:c>
      <x:c r="E677" s="43" t="str">
        <x:v>downloaded</x:v>
      </x:c>
      <x:c r="F677" s="43" t="str">
        <x:v>9a0704f73e273258632e4be5e341394414b993bb632869dc8c7da0df775aa874</x:v>
      </x:c>
      <x:c r="G677" s="46" t="str">
        <x:v>/Users/nomadresearch/Documents/Claude/Projects/koica-construction-tender/data/raw/L2021-00018-1/4. E-Tendering User Guide_ACCESS PROJECT.pdf</x:v>
      </x:c>
      <x:c r="H677" s="43" t="str">
        <x:v>2021-06-11 15:06:24</x:v>
      </x:c>
    </x:row>
    <x:row r="678">
      <x:c r="A678" s="43" t="str">
        <x:v>L2021-00018-1</x:v>
      </x:c>
      <x:c r="B678" s="46" t="str">
        <x:v>5. Frequently Asked Questions on E-Tendering_ACCESS PROJECT.pdf</x:v>
      </x:c>
      <x:c r="C678" s="43" t="str">
        <x:v>.pdf</x:v>
      </x:c>
      <x:c r="D678" s="61" t="n">
        <x:v>1104718</x:v>
      </x:c>
      <x:c r="E678" s="43" t="str">
        <x:v>downloaded</x:v>
      </x:c>
      <x:c r="F678" s="43" t="str">
        <x:v>80482851addb80cc8d5659eaedd64314263e093d571b82b1843405c529292a41</x:v>
      </x:c>
      <x:c r="G678" s="46" t="str">
        <x:v>/Users/nomadresearch/Documents/Claude/Projects/koica-construction-tender/data/raw/L2021-00018-1/5. Frequently Asked Questions on E-Tendering_ACCESS PROJECT.pdf</x:v>
      </x:c>
      <x:c r="H678" s="43" t="str">
        <x:v>2021-06-11 15:06:24</x:v>
      </x:c>
    </x:row>
    <x:row r="679">
      <x:c r="A679" s="43" t="str">
        <x:v>L2021-00017-1</x:v>
      </x:c>
      <x:c r="B679" s="46" t="str">
        <x:v>붙임1. 건조농대 및 수자원센터 사후지원공사 입찰계획서_0505.hwp</x:v>
      </x:c>
      <x:c r="C679" s="43" t="str">
        <x:v>.hwp</x:v>
      </x:c>
      <x:c r="D679" s="61" t="n">
        <x:v>178688</x:v>
      </x:c>
      <x:c r="E679" s="43" t="str">
        <x:v>downloaded</x:v>
      </x:c>
      <x:c r="F679" s="43" t="str">
        <x:v>4a37bd98b02c02b02087889b2809e621100aa73f96b8d04657fec10e271d3abb</x:v>
      </x:c>
      <x:c r="G679" s="46" t="str">
        <x:v>/Users/nomadresearch/Documents/Claude/Projects/koica-construction-tender/data/raw/L2021-00017-1/붙임1. 건조농대 및 수자원센터 사후지원공사 입찰계획서_0505.hwp</x:v>
      </x:c>
      <x:c r="H679" s="43" t="str">
        <x:v>2021-05-18 12:53:43</x:v>
      </x:c>
    </x:row>
    <x:row r="680">
      <x:c r="A680" s="43" t="str">
        <x:v>L2021-00017-1</x:v>
      </x:c>
      <x:c r="B680" s="46" t="str">
        <x:v>bid notice AAUR PCRWR.jpg</x:v>
      </x:c>
      <x:c r="C680" s="43" t="str">
        <x:v>.jpg</x:v>
      </x:c>
      <x:c r="D680" s="61" t="n">
        <x:v>281356</x:v>
      </x:c>
      <x:c r="E680" s="43" t="str">
        <x:v>downloaded</x:v>
      </x:c>
      <x:c r="F680" s="43" t="str">
        <x:v>631be5cb0be57c9fa5481e9ca7adea9fe39ab3d23e09e2968b0c9532ed1c7714</x:v>
      </x:c>
      <x:c r="G680" s="46" t="str">
        <x:v>/Users/nomadresearch/Documents/Claude/Projects/koica-construction-tender/data/raw/L2021-00017-1/bid notice AAUR PCRWR.jpg</x:v>
      </x:c>
      <x:c r="H680" s="43" t="str">
        <x:v>2021-05-18 12:54:46</x:v>
      </x:c>
    </x:row>
    <x:row r="681">
      <x:c r="A681" s="43" t="str">
        <x:v>L2021-00017-1</x:v>
      </x:c>
      <x:c r="B681" s="46" t="str">
        <x:v>Bidding Documents for Distribution AAUR PCRWR_0517.zip</x:v>
      </x:c>
      <x:c r="C681" s="43" t="str">
        <x:v>.zip</x:v>
      </x:c>
      <x:c r="D681" s="61" t="n">
        <x:v>37079261</x:v>
      </x:c>
      <x:c r="E681" s="43" t="str">
        <x:v>downloaded</x:v>
      </x:c>
      <x:c r="F681" s="43" t="str">
        <x:v>eb97dd61748e2d0b3fbd37a15b4edb63a8e70c3cb4d1dff9335ef2f4654e7a43</x:v>
      </x:c>
      <x:c r="G681" s="46" t="str">
        <x:v>/Users/nomadresearch/Documents/Claude/Projects/koica-construction-tender/data/raw/L2021-00017-1/Bidding Documents for Distribution AAUR PCRWR_0517.zip</x:v>
      </x:c>
      <x:c r="H681" s="43" t="str">
        <x:v>2021-05-18 12:54:46</x:v>
      </x:c>
    </x:row>
    <x:row r="682">
      <x:c r="A682" s="43" t="str">
        <x:v>L2021-00016-2</x:v>
      </x:c>
      <x:c r="B682" s="46" t="str">
        <x:v>1. 모자보건 입찰계획(최종)_입찰기간단축(적격+가격입찰).hwp</x:v>
      </x:c>
      <x:c r="C682" s="43" t="str">
        <x:v>.hwp</x:v>
      </x:c>
      <x:c r="D682" s="61" t="n">
        <x:v>100352</x:v>
      </x:c>
      <x:c r="E682" s="43" t="str">
        <x:v>downloaded</x:v>
      </x:c>
      <x:c r="F682" s="43" t="str">
        <x:v>5870de40361343cd6c9093918ca06e0e20539e700bbb69c4300bd3ba1087e0fc</x:v>
      </x:c>
      <x:c r="G682" s="46" t="str">
        <x:v>/Users/nomadresearch/Documents/Claude/Projects/koica-construction-tender/data/raw/L2021-00016-2/1. 모자보건 입찰계획(최종)_입찰기간단축(적격+가격입찰).hwp</x:v>
      </x:c>
      <x:c r="H682" s="43" t="str">
        <x:v>2021-06-20 13:39:07</x:v>
      </x:c>
    </x:row>
    <x:row r="683">
      <x:c r="A683" s="43" t="str">
        <x:v>L2021-00016-2</x:v>
      </x:c>
      <x:c r="B683" s="46" t="str">
        <x:v>2. Bid announcemet_(Maternal &amp; Child Health).docx</x:v>
      </x:c>
      <x:c r="C683" s="43" t="str">
        <x:v>.docx</x:v>
      </x:c>
      <x:c r="D683" s="61" t="n">
        <x:v>51467</x:v>
      </x:c>
      <x:c r="E683" s="43" t="str">
        <x:v>downloaded</x:v>
      </x:c>
      <x:c r="F683" s="43" t="str">
        <x:v>8fd34d6a5b893f8db3dae9d6225b9283c89562a1ab6a6f2bf06a9d2269c9db6e</x:v>
      </x:c>
      <x:c r="G683" s="46" t="str">
        <x:v>/Users/nomadresearch/Documents/Claude/Projects/koica-construction-tender/data/raw/L2021-00016-2/2. Bid announcemet_(Maternal &amp; Child Health).docx</x:v>
      </x:c>
      <x:c r="H683" s="43" t="str">
        <x:v>2021-06-20 13:39:07</x:v>
      </x:c>
    </x:row>
    <x:row r="684">
      <x:c r="A684" s="43" t="str">
        <x:v>L2021-00016-1</x:v>
      </x:c>
      <x:c r="B684" s="46" t="str">
        <x:v>캄보디아 동북부 소외지역 모자보건 프로그램 시공업체 선정 입찰 공고문.pdf</x:v>
      </x:c>
      <x:c r="C684" s="43" t="str">
        <x:v>.pdf</x:v>
      </x:c>
      <x:c r="D684" s="61" t="n">
        <x:v>197373</x:v>
      </x:c>
      <x:c r="E684" s="43" t="str">
        <x:v>downloaded</x:v>
      </x:c>
      <x:c r="F684" s="43" t="str">
        <x:v>a3566bc798a9dd8b92427371f74b3fa79109d5ae0890db1edb2c99457d5fa90a</x:v>
      </x:c>
      <x:c r="G684" s="46" t="str">
        <x:v>/Users/nomadresearch/Documents/Claude/Projects/koica-construction-tender/data/raw/L2021-00016-1/캄보디아 동북부 소외지역 모자보건 프로그램 시공업체 선정 입찰 공고문.pdf</x:v>
      </x:c>
      <x:c r="H684" s="43" t="str">
        <x:v>2021-05-11 13:34:07</x:v>
      </x:c>
    </x:row>
    <x:row r="685">
      <x:c r="A685" s="43" t="str">
        <x:v>L2021-00015-1</x:v>
      </x:c>
      <x:c r="B685" s="46" t="str">
        <x:v>1-2 (REV.2_영문본) 입찰공고(인큐베이팅 센터_영문)_최종버젼.docx</x:v>
      </x:c>
      <x:c r="C685" s="43" t="str">
        <x:v>.docx</x:v>
      </x:c>
      <x:c r="D685" s="61" t="n">
        <x:v>50922</x:v>
      </x:c>
      <x:c r="E685" s="43" t="str">
        <x:v>downloaded</x:v>
      </x:c>
      <x:c r="F685" s="43" t="str">
        <x:v>a5802570b8aaf1eb94376cc771a9e47ec90e4411793bf16093c59d90717ab338</x:v>
      </x:c>
      <x:c r="G685" s="46" t="str">
        <x:v>/Users/nomadresearch/Documents/Claude/Projects/koica-construction-tender/data/raw/L2021-00015-1/1-2 (REV.2_영문본) 입찰공고(인큐베이팅 센터_영문)_최종버젼.docx</x:v>
      </x:c>
      <x:c r="H685" s="43" t="str">
        <x:v>2021-05-10 17:09:30</x:v>
      </x:c>
    </x:row>
    <x:row r="686">
      <x:c r="A686" s="43" t="str">
        <x:v>L2021-00014-1</x:v>
      </x:c>
      <x:c r="B686" s="46" t="str">
        <x:v>붙임1. 210209_기술+가격_PhilMech_설계업체 선정 입찰계획(안)_본부의견반영_Rev.02.doc</x:v>
      </x:c>
      <x:c r="C686" s="43" t="str">
        <x:v>.doc</x:v>
      </x:c>
      <x:c r="D686" s="61" t="n">
        <x:v>1009152</x:v>
      </x:c>
      <x:c r="E686" s="43" t="str">
        <x:v>downloaded</x:v>
      </x:c>
      <x:c r="F686" s="43" t="str">
        <x:v>70d413833d004c1017b46da9efc4f1819f1d838f737fceeeaee497f407c08f4a</x:v>
      </x:c>
      <x:c r="G686" s="46" t="str">
        <x:v>/Users/nomadresearch/Documents/Claude/Projects/koica-construction-tender/data/raw/L2021-00014-1/붙임1. 210209_기술+가격_PhilMech_설계업체 선정 입찰계획(안)_본부의견반영_Rev.02.doc</x:v>
      </x:c>
      <x:c r="H686" s="43" t="str">
        <x:v>2021-05-10 12:24:40</x:v>
      </x:c>
    </x:row>
    <x:row r="687">
      <x:c r="A687" s="43" t="str">
        <x:v>L2021-00014-1</x:v>
      </x:c>
      <x:c r="B687" s="46" t="str">
        <x:v>붙임2. 입찰부속서류_03.30.zip</x:v>
      </x:c>
      <x:c r="C687" s="43" t="str">
        <x:v>.zip</x:v>
      </x:c>
      <x:c r="D687" s="61" t="n">
        <x:v>885093</x:v>
      </x:c>
      <x:c r="E687" s="43" t="str">
        <x:v>downloaded</x:v>
      </x:c>
      <x:c r="F687" s="43" t="str">
        <x:v>d9a0074c3b40c4b4af3cbeb6ee9f2a5aa88ec6620343963788827d4842821cd7</x:v>
      </x:c>
      <x:c r="G687" s="46" t="str">
        <x:v>/Users/nomadresearch/Documents/Claude/Projects/koica-construction-tender/data/raw/L2021-00014-1/붙임2. 입찰부속서류_03.30.zip</x:v>
      </x:c>
      <x:c r="H687" s="43" t="str">
        <x:v>2021-05-10 12:24:40</x:v>
      </x:c>
    </x:row>
    <x:row r="688">
      <x:c r="A688" s="43" t="str">
        <x:v>L2021-00014-1</x:v>
      </x:c>
      <x:c r="B688" s="46" t="str">
        <x:v>붙임3. quotation for newspaper advertisement.zip</x:v>
      </x:c>
      <x:c r="C688" s="43" t="str">
        <x:v>.zip</x:v>
      </x:c>
      <x:c r="D688" s="61" t="n">
        <x:v>697371</x:v>
      </x:c>
      <x:c r="E688" s="43" t="str">
        <x:v>downloaded</x:v>
      </x:c>
      <x:c r="F688" s="43" t="str">
        <x:v>7c1efc250dbfd8ad639df6dc6575a0a12152676ca82fd06389a30333a8a7d9b0</x:v>
      </x:c>
      <x:c r="G688" s="46" t="str">
        <x:v>/Users/nomadresearch/Documents/Claude/Projects/koica-construction-tender/data/raw/L2021-00014-1/붙임3. quotation for newspaper advertisement.zip</x:v>
      </x:c>
      <x:c r="H688" s="43" t="str">
        <x:v>2021-05-10 12:24:40</x:v>
      </x:c>
    </x:row>
    <x:row r="689">
      <x:c r="A689" s="43" t="str">
        <x:v>L2021-00013-1</x:v>
      </x:c>
      <x:c r="B689" s="46" t="str">
        <x:v>첨부2. 설계 및 감리사 선정 영문 RFP(1).docx</x:v>
      </x:c>
      <x:c r="C689" s="43" t="str">
        <x:v>.docx</x:v>
      </x:c>
      <x:c r="D689" s="61" t="n">
        <x:v>3716520</x:v>
      </x:c>
      <x:c r="E689" s="43" t="str">
        <x:v>downloaded</x:v>
      </x:c>
      <x:c r="F689" s="43" t="str">
        <x:v>83a8a7c4fd2a037613eeac239704ea01078139f8c4c0e748c4e3c2699beb558c</x:v>
      </x:c>
      <x:c r="G689" s="46" t="str">
        <x:v>/Users/nomadresearch/Documents/Claude/Projects/koica-construction-tender/data/raw/L2021-00013-1/첨부2. 설계 및 감리사 선정 영문 RFP(1).docx</x:v>
      </x:c>
      <x:c r="H689" s="43" t="str">
        <x:v>2021-05-06 10:47:51</x:v>
      </x:c>
    </x:row>
    <x:row r="690">
      <x:c r="A690" s="43" t="str">
        <x:v>L2021-00013-1</x:v>
      </x:c>
      <x:c r="B690" s="46" t="str">
        <x:v>첨부1. 설계 및 감리사 선정 국문입찰계획(안)(1).hwp</x:v>
      </x:c>
      <x:c r="C690" s="43" t="str">
        <x:v>.hwp</x:v>
      </x:c>
      <x:c r="D690" s="61" t="n">
        <x:v>176128</x:v>
      </x:c>
      <x:c r="E690" s="43" t="str">
        <x:v>downloaded</x:v>
      </x:c>
      <x:c r="F690" s="43" t="str">
        <x:v>172feb1a72b9e134aba7043660d92bd816f6b89a11176bdee4acbd16b5143abd</x:v>
      </x:c>
      <x:c r="G690" s="46" t="str">
        <x:v>/Users/nomadresearch/Documents/Claude/Projects/koica-construction-tender/data/raw/L2021-00013-1/첨부1. 설계 및 감리사 선정 국문입찰계획(안)(1).hwp</x:v>
      </x:c>
      <x:c r="H690" s="43" t="str">
        <x:v>2021-05-06 10:47:51</x:v>
      </x:c>
    </x:row>
    <x:row r="691">
      <x:c r="A691" s="43" t="str">
        <x:v>L2021-00012-1</x:v>
      </x:c>
      <x:c r="B691" s="46" t="str">
        <x:v>PKNC Bid Notice.jpg</x:v>
      </x:c>
      <x:c r="C691" s="43" t="str">
        <x:v>.jpg</x:v>
      </x:c>
      <x:c r="D691" s="61" t="n">
        <x:v>2165800</x:v>
      </x:c>
      <x:c r="E691" s="43" t="str">
        <x:v>downloaded</x:v>
      </x:c>
      <x:c r="F691" s="43" t="str">
        <x:v>4f3dbf515adacebb3b435c0ee6ce95698223202153a7b0e8c09789f46a4e3b5e</x:v>
      </x:c>
      <x:c r="G691" s="46" t="str">
        <x:v>/Users/nomadresearch/Documents/Claude/Projects/koica-construction-tender/data/raw/L2021-00012-1/PKNC Bid Notice.jpg</x:v>
      </x:c>
      <x:c r="H691" s="43" t="str">
        <x:v>2021-04-29 19:26:27</x:v>
      </x:c>
    </x:row>
    <x:row r="692">
      <x:c r="A692" s="43" t="str">
        <x:v>L2021-00012-1</x:v>
      </x:c>
      <x:c r="B692" s="46" t="str">
        <x:v>20210428_PKNC Bid Notice (scanned).pdf</x:v>
      </x:c>
      <x:c r="C692" s="43" t="str">
        <x:v>.pdf</x:v>
      </x:c>
      <x:c r="D692" s="61" t="n">
        <x:v>486394</x:v>
      </x:c>
      <x:c r="E692" s="43" t="str">
        <x:v>downloaded</x:v>
      </x:c>
      <x:c r="F692" s="43" t="str">
        <x:v>60078cd4af4a0f7b8af393a1254499322f9e2ad13e130778bc27cb65cdf4960c</x:v>
      </x:c>
      <x:c r="G692" s="46" t="str">
        <x:v>/Users/nomadresearch/Documents/Claude/Projects/koica-construction-tender/data/raw/L2021-00012-1/20210428_PKNC Bid Notice (scanned).pdf</x:v>
      </x:c>
      <x:c r="H692" s="43" t="str">
        <x:v>2021-04-29 19:26:27</x:v>
      </x:c>
    </x:row>
    <x:row r="693">
      <x:c r="A693" s="43" t="str">
        <x:v>L2021-00012-1</x:v>
      </x:c>
      <x:c r="B693" s="46" t="str">
        <x:v>Bid Documents for Distribution_PKNC final.zip</x:v>
      </x:c>
      <x:c r="C693" s="43" t="str">
        <x:v>.zip</x:v>
      </x:c>
      <x:c r="D693" s="61" t="n">
        <x:v>705817</x:v>
      </x:c>
      <x:c r="E693" s="43" t="str">
        <x:v>downloaded</x:v>
      </x:c>
      <x:c r="F693" s="43" t="str">
        <x:v>1f28dbeb4ccc8c73b4edaf26382225211bc158bb76313351765bece60e87c5c4</x:v>
      </x:c>
      <x:c r="G693" s="46" t="str">
        <x:v>/Users/nomadresearch/Documents/Claude/Projects/koica-construction-tender/data/raw/L2021-00012-1/Bid Documents for Distribution_PKNC final.zip</x:v>
      </x:c>
      <x:c r="H693" s="43" t="str">
        <x:v>2021-04-29 19:26:27</x:v>
      </x:c>
    </x:row>
    <x:row r="694">
      <x:c r="A694" s="43" t="str">
        <x:v>L2021-00011-1</x:v>
      </x:c>
      <x:c r="B694" s="46" t="str">
        <x:v>국문_입찰계획서.hwp</x:v>
      </x:c>
      <x:c r="C694" s="43" t="str">
        <x:v>.hwp</x:v>
      </x:c>
      <x:c r="D694" s="61" t="n">
        <x:v>142336</x:v>
      </x:c>
      <x:c r="E694" s="43" t="str">
        <x:v>downloaded</x:v>
      </x:c>
      <x:c r="F694" s="43" t="str">
        <x:v>b9f7c6b79cd47a2f2d6dfd1b4dc14313463130e2f82a51936190dc1c9cd533eb</x:v>
      </x:c>
      <x:c r="G694" s="46" t="str">
        <x:v>/Users/nomadresearch/Documents/Claude/Projects/koica-construction-tender/data/raw/L2021-00011-1/국문_입찰계획서.hwp</x:v>
      </x:c>
      <x:c r="H694" s="43" t="str">
        <x:v>2021-04-17 06:40:16</x:v>
      </x:c>
    </x:row>
    <x:row r="695">
      <x:c r="A695" s="43" t="str">
        <x:v>L2021-00011-1</x:v>
      </x:c>
      <x:c r="B695" s="46" t="str">
        <x:v>영문 서류 일체.zip</x:v>
      </x:c>
      <x:c r="C695" s="43" t="str">
        <x:v>.zip</x:v>
      </x:c>
      <x:c r="D695" s="61" t="n">
        <x:v>1680812</x:v>
      </x:c>
      <x:c r="E695" s="43" t="str">
        <x:v>downloaded</x:v>
      </x:c>
      <x:c r="F695" s="43" t="str">
        <x:v>dc1468a4c736bd6afecc61500b296f914b7cb0cbd716296fb2d39a80558f03da</x:v>
      </x:c>
      <x:c r="G695" s="46" t="str">
        <x:v>/Users/nomadresearch/Documents/Claude/Projects/koica-construction-tender/data/raw/L2021-00011-1/영문 서류 일체.zip</x:v>
      </x:c>
      <x:c r="H695" s="43" t="str">
        <x:v>2021-04-17 06:40:16</x:v>
      </x:c>
    </x:row>
    <x:row r="696">
      <x:c r="A696" s="43" t="str">
        <x:v>L2021-00005-1</x:v>
      </x:c>
      <x:c r="B696" s="46" t="str">
        <x:v>붙임1. 입찰 계획서(국문)_20210201.hwp</x:v>
      </x:c>
      <x:c r="C696" s="43" t="str">
        <x:v>.hwp</x:v>
      </x:c>
      <x:c r="D696" s="61" t="n">
        <x:v>3371520</x:v>
      </x:c>
      <x:c r="E696" s="43" t="str">
        <x:v>downloaded</x:v>
      </x:c>
      <x:c r="F696" s="43" t="str">
        <x:v>2b358c84e021243ed268adfd72f2d8a174ebf1e332974a4e2b97cc4d329b32aa</x:v>
      </x:c>
      <x:c r="G696" s="46" t="str">
        <x:v>/Users/nomadresearch/Documents/Claude/Projects/koica-construction-tender/data/raw/L2021-00005-1/붙임1. 입찰 계획서(국문)_20210201.hwp</x:v>
      </x:c>
      <x:c r="H696" s="43" t="str">
        <x:v>2021-02-10 03:25:30</x:v>
      </x:c>
    </x:row>
    <x:row r="697">
      <x:c r="A697" s="43" t="str">
        <x:v>L2021-00005-1</x:v>
      </x:c>
      <x:c r="B697" s="46" t="str">
        <x:v>붙임2. 입찰 계획서(영문) 및 관련 양식.zip</x:v>
      </x:c>
      <x:c r="C697" s="43" t="str">
        <x:v>.zip</x:v>
      </x:c>
      <x:c r="D697" s="61" t="n">
        <x:v>7394504</x:v>
      </x:c>
      <x:c r="E697" s="43" t="str">
        <x:v>downloaded</x:v>
      </x:c>
      <x:c r="F697" s="43" t="str">
        <x:v>58199573427419797f3c54f23e66dd93578ac8fccf7a843f4be1ee235c37a2a9</x:v>
      </x:c>
      <x:c r="G697" s="46" t="str">
        <x:v>/Users/nomadresearch/Documents/Claude/Projects/koica-construction-tender/data/raw/L2021-00005-1/붙임2. 입찰 계획서(영문) 및 관련 양식.zip</x:v>
      </x:c>
      <x:c r="H697" s="43" t="str">
        <x:v>2021-02-10 03:25:30</x:v>
      </x:c>
    </x:row>
    <x:row r="698">
      <x:c r="A698" s="43" t="str">
        <x:v>L2021-00004-1</x:v>
      </x:c>
      <x:c r="B698" s="46" t="str">
        <x:v>1. 설계 및 감리사 선정 영문 RFP.pdf</x:v>
      </x:c>
      <x:c r="C698" s="43" t="str">
        <x:v>.pdf</x:v>
      </x:c>
      <x:c r="D698" s="61" t="n">
        <x:v>841547</x:v>
      </x:c>
      <x:c r="E698" s="43" t="str">
        <x:v>downloaded</x:v>
      </x:c>
      <x:c r="F698" s="43" t="str">
        <x:v>88162d9431111eb4e18b3ffc3a89b82607669c716c18ddf9894e987273e2e10d</x:v>
      </x:c>
      <x:c r="G698" s="46" t="str">
        <x:v>/Users/nomadresearch/Documents/Claude/Projects/koica-construction-tender/data/raw/L2021-00004-1/1. 설계 및 감리사 선정 영문 RFP.pdf</x:v>
      </x:c>
      <x:c r="H698" s="43" t="str">
        <x:v>2021-02-09 12:22:40</x:v>
      </x:c>
    </x:row>
    <x:row r="699">
      <x:c r="A699" s="43" t="str">
        <x:v>L2021-00004-1</x:v>
      </x:c>
      <x:c r="B699" s="46" t="str">
        <x:v>2. 입찰공고.docx</x:v>
      </x:c>
      <x:c r="C699" s="43" t="str">
        <x:v>.docx</x:v>
      </x:c>
      <x:c r="D699" s="61" t="n">
        <x:v>19608</x:v>
      </x:c>
      <x:c r="E699" s="43" t="str">
        <x:v>downloaded</x:v>
      </x:c>
      <x:c r="F699" s="43" t="str">
        <x:v>9d6edc00815ee3c7496ecbcc1872cf1473eb87c08061f3bfbfbd052116809734</x:v>
      </x:c>
      <x:c r="G699" s="46" t="str">
        <x:v>/Users/nomadresearch/Documents/Claude/Projects/koica-construction-tender/data/raw/L2021-00004-1/2. 입찰공고.docx</x:v>
      </x:c>
      <x:c r="H699" s="43" t="str">
        <x:v>2021-02-09 12:22:40</x:v>
      </x:c>
    </x:row>
    <x:row r="700">
      <x:c r="A700" s="43" t="str">
        <x:v>L2021-00004-1</x:v>
      </x:c>
      <x:c r="B700" s="46" t="str">
        <x:v>3. 입찰서류 세트.zip</x:v>
      </x:c>
      <x:c r="C700" s="43" t="str">
        <x:v>.zip</x:v>
      </x:c>
      <x:c r="D700" s="61" t="n">
        <x:v>505866</x:v>
      </x:c>
      <x:c r="E700" s="43" t="str">
        <x:v>downloaded</x:v>
      </x:c>
      <x:c r="F700" s="43" t="str">
        <x:v>f6f4b5305fb7bd2916d5ebaacd5e40b204c432c2776374abc7a022ffc68b6811</x:v>
      </x:c>
      <x:c r="G700" s="46" t="str">
        <x:v>/Users/nomadresearch/Documents/Claude/Projects/koica-construction-tender/data/raw/L2021-00004-1/3. 입찰서류 세트.zip</x:v>
      </x:c>
      <x:c r="H700" s="43" t="str">
        <x:v>2021-02-09 12:22:40</x:v>
      </x:c>
    </x:row>
    <x:row r="701">
      <x:c r="A701" s="43" t="str">
        <x:v>L2021-00004-1</x:v>
      </x:c>
      <x:c r="B701" s="46" t="str">
        <x:v>4. 현지 입찰공고 결과 증빙.pdf</x:v>
      </x:c>
      <x:c r="C701" s="43" t="str">
        <x:v>.pdf</x:v>
      </x:c>
      <x:c r="D701" s="61" t="n">
        <x:v>767347</x:v>
      </x:c>
      <x:c r="E701" s="43" t="str">
        <x:v>downloaded</x:v>
      </x:c>
      <x:c r="F701" s="43" t="str">
        <x:v>7ab647fe0b398d20006bdcc8d3b23b43a0aab688eec27955aaad2618ab520145</x:v>
      </x:c>
      <x:c r="G701" s="46" t="str">
        <x:v>/Users/nomadresearch/Documents/Claude/Projects/koica-construction-tender/data/raw/L2021-00004-1/4. 현지 입찰공고 결과 증빙.pdf</x:v>
      </x:c>
      <x:c r="H701" s="43" t="str">
        <x:v>2021-02-09 12:37:34</x:v>
      </x:c>
    </x:row>
    <x:row r="702">
      <x:c r="A702" s="43" t="str">
        <x:v>L2021-00001-2</x:v>
      </x:c>
      <x:c r="B702" s="46" t="str">
        <x:v>붙임 1. 재공고 입찰 추진계획서.hwp</x:v>
      </x:c>
      <x:c r="C702" s="43" t="str">
        <x:v>.hwp</x:v>
      </x:c>
      <x:c r="D702" s="61" t="n">
        <x:v>5448704</x:v>
      </x:c>
      <x:c r="E702" s="43" t="str">
        <x:v>downloaded</x:v>
      </x:c>
      <x:c r="F702" s="43" t="str">
        <x:v>c3cd699edb6f9eccca70201bf6a67c888b23b669833dbb28e18e3a0165146963</x:v>
      </x:c>
      <x:c r="G702" s="46" t="str">
        <x:v>/Users/nomadresearch/Documents/Claude/Projects/koica-construction-tender/data/raw/L2021-00001-2/붙임 1. 재공고 입찰 추진계획서.hwp</x:v>
      </x:c>
      <x:c r="H702" s="43" t="str">
        <x:v>2021-04-08 15:46:03</x:v>
      </x:c>
    </x:row>
    <x:row r="703">
      <x:c r="A703" s="43" t="str">
        <x:v>L2021-00001-2</x:v>
      </x:c>
      <x:c r="B703" s="46" t="str">
        <x:v>붙임 2. 입찰  안내서(영문) 및 관련서류.zip</x:v>
      </x:c>
      <x:c r="C703" s="43" t="str">
        <x:v>.zip</x:v>
      </x:c>
      <x:c r="D703" s="61" t="n">
        <x:v>2609313</x:v>
      </x:c>
      <x:c r="E703" s="43" t="str">
        <x:v>downloaded</x:v>
      </x:c>
      <x:c r="F703" s="43" t="str">
        <x:v>9042c25e5d9b30cff8694e4707903bd2a6d395dd886825ebe41b2248ea556d87</x:v>
      </x:c>
      <x:c r="G703" s="46" t="str">
        <x:v>/Users/nomadresearch/Documents/Claude/Projects/koica-construction-tender/data/raw/L2021-00001-2/붙임 2. 입찰 안내서(영문) 및 관련서류.zip</x:v>
      </x:c>
      <x:c r="H703" s="43" t="str">
        <x:v>2021-04-08 15:46:03</x:v>
      </x:c>
    </x:row>
    <x:row r="704">
      <x:c r="A704" s="43" t="str">
        <x:v>L2021-00001-2</x:v>
      </x:c>
      <x:c r="B704" s="46" t="str">
        <x:v>붙임 3. 제안요청서 및 입찰서 양식.zip</x:v>
      </x:c>
      <x:c r="C704" s="43" t="str">
        <x:v>.zip</x:v>
      </x:c>
      <x:c r="D704" s="61" t="n">
        <x:v>126863</x:v>
      </x:c>
      <x:c r="E704" s="43" t="str">
        <x:v>downloaded</x:v>
      </x:c>
      <x:c r="F704" s="43" t="str">
        <x:v>ccd1be4c9f460cf41622130db86bf718f794c6902f19a352e1d3f02979bbd338</x:v>
      </x:c>
      <x:c r="G704" s="46" t="str">
        <x:v>/Users/nomadresearch/Documents/Claude/Projects/koica-construction-tender/data/raw/L2021-00001-2/붙임 3. 제안요청서 및 입찰서 양식.zip</x:v>
      </x:c>
      <x:c r="H704" s="43" t="str">
        <x:v>2021-04-08 15:46:03</x:v>
      </x:c>
    </x:row>
    <x:row r="705">
      <x:c r="A705" s="43" t="str">
        <x:v>L2021-00001-2</x:v>
      </x:c>
      <x:c r="B705" s="46" t="str">
        <x:v>붙임 4. 계약서 문안(영문).docx</x:v>
      </x:c>
      <x:c r="C705" s="43" t="str">
        <x:v>.docx</x:v>
      </x:c>
      <x:c r="D705" s="61" t="n">
        <x:v>88467</x:v>
      </x:c>
      <x:c r="E705" s="43" t="str">
        <x:v>downloaded</x:v>
      </x:c>
      <x:c r="F705" s="43" t="str">
        <x:v>50df0a9408e4413e51edcc2ca91c5dd21badfc034605daf6d0c53203dde29ee3</x:v>
      </x:c>
      <x:c r="G705" s="46" t="str">
        <x:v>/Users/nomadresearch/Documents/Claude/Projects/koica-construction-tender/data/raw/L2021-00001-2/붙임 4. 계약서 문안(영문).docx</x:v>
      </x:c>
      <x:c r="H705" s="43" t="str">
        <x:v>2021-04-08 15:46:03</x:v>
      </x:c>
    </x:row>
    <x:row r="706">
      <x:c r="A706" s="43" t="str">
        <x:v>L2021-00001-1</x:v>
      </x:c>
      <x:c r="B706" s="46" t="str">
        <x:v>붙임 1. 입찰 추진계획서(국문).hwp</x:v>
      </x:c>
      <x:c r="C706" s="43" t="str">
        <x:v>.hwp</x:v>
      </x:c>
      <x:c r="D706" s="61" t="n">
        <x:v>5447680</x:v>
      </x:c>
      <x:c r="E706" s="43" t="str">
        <x:v>downloaded</x:v>
      </x:c>
      <x:c r="F706" s="43" t="str">
        <x:v>02cf3ec20d413534b29cc2265b56f270554464af4e3fc74e7ecd5a16927f47bd</x:v>
      </x:c>
      <x:c r="G706" s="46" t="str">
        <x:v>/Users/nomadresearch/Documents/Claude/Projects/koica-construction-tender/data/raw/L2021-00001-1/붙임 1. 입찰 추진계획서(국문).hwp</x:v>
      </x:c>
      <x:c r="H706" s="43" t="str">
        <x:v>2021-01-21 14:47:33</x:v>
      </x:c>
    </x:row>
    <x:row r="707">
      <x:c r="A707" s="43" t="str">
        <x:v>L2021-00001-1</x:v>
      </x:c>
      <x:c r="B707" s="46" t="str">
        <x:v>붙임 2. 입찰 안내서(영문) 및 관련서류.zip</x:v>
      </x:c>
      <x:c r="C707" s="43" t="str">
        <x:v>.zip</x:v>
      </x:c>
      <x:c r="D707" s="61" t="n">
        <x:v>3616345</x:v>
      </x:c>
      <x:c r="E707" s="43" t="str">
        <x:v>downloaded</x:v>
      </x:c>
      <x:c r="F707" s="43" t="str">
        <x:v>71cb0bb93d4414bbe637f370de830cf2dc5978aef499c02210a4d2dbd78d7ab2</x:v>
      </x:c>
      <x:c r="G707" s="46" t="str">
        <x:v>/Users/nomadresearch/Documents/Claude/Projects/koica-construction-tender/data/raw/L2021-00001-1/붙임 2. 입찰 안내서(영문) 및 관련서류.zip</x:v>
      </x:c>
      <x:c r="H707" s="43" t="str">
        <x:v>2021-01-21 14:47:33</x:v>
      </x:c>
    </x:row>
    <x:row r="708">
      <x:c r="A708" s="43" t="str">
        <x:v>L2021-00001-1</x:v>
      </x:c>
      <x:c r="B708" s="46" t="str">
        <x:v>붙임 3. 제안요청서 및 입찰서 양식(영문).zip</x:v>
      </x:c>
      <x:c r="C708" s="43" t="str">
        <x:v>.zip</x:v>
      </x:c>
      <x:c r="D708" s="61" t="n">
        <x:v>166685</x:v>
      </x:c>
      <x:c r="E708" s="43" t="str">
        <x:v>downloaded</x:v>
      </x:c>
      <x:c r="F708" s="43" t="str">
        <x:v>dda8cf4a4da1ee5eca05d8c1ba82a49a6abad6a2ffa9fee8b9475bcc4b6b7ca1</x:v>
      </x:c>
      <x:c r="G708" s="46" t="str">
        <x:v>/Users/nomadresearch/Documents/Claude/Projects/koica-construction-tender/data/raw/L2021-00001-1/붙임 3. 제안요청서 및 입찰서 양식(영문).zip</x:v>
      </x:c>
      <x:c r="H708" s="43" t="str">
        <x:v>2021-01-21 14:47:33</x:v>
      </x:c>
    </x:row>
    <x:row r="709">
      <x:c r="A709" s="44" t="str">
        <x:v>L2021-00001-1</x:v>
      </x:c>
      <x:c r="B709" s="47" t="str">
        <x:v>붙임 4. 계약서 문안(영문).docx</x:v>
      </x:c>
      <x:c r="C709" s="44" t="str">
        <x:v>.docx</x:v>
      </x:c>
      <x:c r="D709" s="62" t="n">
        <x:v>88395</x:v>
      </x:c>
      <x:c r="E709" s="44" t="str">
        <x:v>downloaded</x:v>
      </x:c>
      <x:c r="F709" s="44" t="str">
        <x:v>97c596695d1f8263f19154d75bdac69eafbc459eceb073d13496de184b75d975</x:v>
      </x:c>
      <x:c r="G709" s="47" t="str">
        <x:v>/Users/nomadresearch/Documents/Claude/Projects/koica-construction-tender/data/raw/L2021-00001-1/붙임 4. 계약서 문안(영문).docx</x:v>
      </x:c>
      <x:c r="H709" s="44" t="str">
        <x:v>2021-01-21 14:47:33</x:v>
      </x:c>
    </x:row>
  </x:sheetData>
  <x:mergeCells>
    <x:mergeCell ref="A1:H1"/>
  </x:mergeCells>
  <x:pageMargins left="0.7" right="0.7" top="0.75" bottom="0.75" header="0.3" footer="0.3"/>
  <x:tableParts count="1">
    <x:tablePart xmlns:r="http://schemas.openxmlformats.org/officeDocument/2006/relationships" r:id="R76c63223df78497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72" hidden="0" customWidth="1"/>
    <x:col min="3" max="3" width="12" hidden="0" customWidth="1"/>
    <x:col min="4" max="4" width="15" hidden="0" customWidth="1"/>
    <x:col min="5" max="5" width="15" hidden="0" customWidth="1"/>
    <x:col min="6" max="6" width="12" hidden="0" customWidth="1"/>
  </x:cols>
  <x:sheetData>
    <x:row r="1" ht="30" customHeight="1">
      <x:c r="A1" s="28" t="str">
        <x:v>ZIP 내부 파일 포함 분석 인덱스</x:v>
      </x:c>
    </x:row>
    <x:row r="2" ht="34" customHeight="1">
      <x:c r="A2" s="35" t="str">
        <x:v>공고번호</x:v>
      </x:c>
      <x:c r="B2" s="36" t="str">
        <x:v>분석파일</x:v>
      </x:c>
      <x:c r="C2" s="36" t="str">
        <x:v>확장자</x:v>
      </x:c>
      <x:c r="D2" s="36" t="str">
        <x:v>크기(Byte)</x:v>
      </x:c>
      <x:c r="E2" s="36" t="str">
        <x:v>텍스트 청크</x:v>
      </x:c>
      <x:c r="F2" s="37" t="str">
        <x:v>근거수</x:v>
      </x:c>
    </x:row>
    <x:row r="3">
      <x:c r="A3" s="42" t="str">
        <x:v>L2025-00108-1</x:v>
      </x:c>
      <x:c r="B3" s="45" t="str">
        <x:v>L2025-00108-1/2025 11월 입찰공고.pdf</x:v>
      </x:c>
      <x:c r="C3" s="42" t="str">
        <x:v>.pdf</x:v>
      </x:c>
      <x:c r="D3" s="60" t="n">
        <x:v>4734567</x:v>
      </x:c>
      <x:c r="E3" s="60" t="n">
        <x:v>0</x:v>
      </x:c>
      <x:c r="F3" s="60" t="n">
        <x:v>0</x:v>
      </x:c>
    </x:row>
    <x:row r="4">
      <x:c r="A4" s="43" t="str">
        <x:v>L2025-00106-1</x:v>
      </x:c>
      <x:c r="B4" s="46" t="str">
        <x:v>L2025-00106-1/실험실 Control office_최종.zip</x:v>
      </x:c>
      <x:c r="C4" s="43" t="str">
        <x:v>.zip</x:v>
      </x:c>
      <x:c r="D4" s="61" t="n">
        <x:v>96742</x:v>
      </x:c>
      <x:c r="E4" s="61" t="n">
        <x:v>0</x:v>
      </x:c>
      <x:c r="F4" s="61" t="n">
        <x:v>0</x:v>
      </x:c>
    </x:row>
    <x:row r="5">
      <x:c r="A5" s="43" t="str">
        <x:v>L2025-00106-1</x:v>
      </x:c>
      <x:c r="B5" s="46" t="str">
        <x:v>L2025-00106-1/실험실 Control office_최종/Control office_최종/Annex 1. Contract of Control Office for LNSP_CM.docx</x:v>
      </x:c>
      <x:c r="C5" s="43" t="str">
        <x:v>.docx</x:v>
      </x:c>
      <x:c r="D5" s="61" t="n">
        <x:v>29657</x:v>
      </x:c>
      <x:c r="E5" s="61" t="n">
        <x:v>58</x:v>
      </x:c>
      <x:c r="F5" s="61" t="n">
        <x:v>0</x:v>
      </x:c>
    </x:row>
    <x:row r="6">
      <x:c r="A6" s="43" t="str">
        <x:v>L2025-00106-1</x:v>
      </x:c>
      <x:c r="B6" s="46" t="str">
        <x:v>L2025-00106-1/실험실 Control office_최종/Control office_최종/Annex_2_Undertaking_of_Payment_and_Integrity_Pledge_control_CM.docx</x:v>
      </x:c>
      <x:c r="C6" s="43" t="str">
        <x:v>.docx</x:v>
      </x:c>
      <x:c r="D6" s="61" t="n">
        <x:v>24339</x:v>
      </x:c>
      <x:c r="E6" s="61" t="n">
        <x:v>48</x:v>
      </x:c>
      <x:c r="F6" s="61" t="n">
        <x:v>2</x:v>
      </x:c>
    </x:row>
    <x:row r="7">
      <x:c r="A7" s="43" t="str">
        <x:v>L2025-00106-1</x:v>
      </x:c>
      <x:c r="B7" s="46" t="str">
        <x:v>L2025-00106-1/실험실 Control office_최종/Control office_최종/ITB to Bid for Controll office_CM.docx</x:v>
      </x:c>
      <x:c r="C7" s="43" t="str">
        <x:v>.docx</x:v>
      </x:c>
      <x:c r="D7" s="61" t="n">
        <x:v>25274</x:v>
      </x:c>
      <x:c r="E7" s="61" t="n">
        <x:v>70</x:v>
      </x:c>
      <x:c r="F7" s="61" t="n">
        <x:v>1</x:v>
      </x:c>
    </x:row>
    <x:row r="8">
      <x:c r="A8" s="43" t="str">
        <x:v>L2025-00106-1</x:v>
      </x:c>
      <x:c r="B8" s="46" t="str">
        <x:v>L2025-00106-1/실험실 Control office_최종/Control office_최종/RFP for Controll office_CM_clean.docx</x:v>
      </x:c>
      <x:c r="C8" s="43" t="str">
        <x:v>.docx</x:v>
      </x:c>
      <x:c r="D8" s="61" t="n">
        <x:v>28942</x:v>
      </x:c>
      <x:c r="E8" s="61" t="n">
        <x:v>118</x:v>
      </x:c>
      <x:c r="F8" s="61" t="n">
        <x:v>5</x:v>
      </x:c>
    </x:row>
    <x:row r="9">
      <x:c r="A9" s="43" t="str">
        <x:v>L2025-00099-1</x:v>
      </x:c>
      <x:c r="B9" s="46" t="str">
        <x:v>L2025-00099-1/KG-2025-11.zip</x:v>
      </x:c>
      <x:c r="C9" s="43" t="str">
        <x:v>.zip</x:v>
      </x:c>
      <x:c r="D9" s="61" t="n">
        <x:v>531988</x:v>
      </x:c>
      <x:c r="E9" s="61" t="n">
        <x:v>0</x:v>
      </x:c>
      <x:c r="F9" s="61" t="n">
        <x:v>0</x:v>
      </x:c>
    </x:row>
    <x:row r="10">
      <x:c r="A10" s="43" t="str">
        <x:v>L2025-00099-1</x:v>
      </x:c>
      <x:c r="B10" s="46" t="str">
        <x:v>L2025-00099-1/KG-2025-11/KG-2025-11/ENG_Section 1 Instructions_to_Bidders_ITB_WaSH.doc</x:v>
      </x:c>
      <x:c r="C10" s="43" t="str">
        <x:v>.doc</x:v>
      </x:c>
      <x:c r="D10" s="61" t="n">
        <x:v>246288</x:v>
      </x:c>
      <x:c r="E10" s="61" t="n">
        <x:v>38</x:v>
      </x:c>
      <x:c r="F10" s="61" t="n">
        <x:v>0</x:v>
      </x:c>
    </x:row>
    <x:row r="11">
      <x:c r="A11" s="43" t="str">
        <x:v>L2025-00099-1</x:v>
      </x:c>
      <x:c r="B11" s="46" t="str">
        <x:v>L2025-00099-1/KG-2025-11/KG-2025-11/Section 2 - Bid Data Sheet (영문)_WaSH.docx</x:v>
      </x:c>
      <x:c r="C11" s="43" t="str">
        <x:v>.docx</x:v>
      </x:c>
      <x:c r="D11" s="61" t="n">
        <x:v>43852</x:v>
      </x:c>
      <x:c r="E11" s="61" t="n">
        <x:v>189</x:v>
      </x:c>
      <x:c r="F11" s="61" t="n">
        <x:v>4</x:v>
      </x:c>
    </x:row>
    <x:row r="12">
      <x:c r="A12" s="43" t="str">
        <x:v>L2025-00099-1</x:v>
      </x:c>
      <x:c r="B12" s="46" t="str">
        <x:v>L2025-00099-1/KG-2025-11/KG-2025-11/Section 3 - Bidding Forms_수정(250410)_WaSH.docx</x:v>
      </x:c>
      <x:c r="C12" s="43" t="str">
        <x:v>.docx</x:v>
      </x:c>
      <x:c r="D12" s="61" t="n">
        <x:v>57387</x:v>
      </x:c>
      <x:c r="E12" s="61" t="n">
        <x:v>233</x:v>
      </x:c>
      <x:c r="F12" s="61" t="n">
        <x:v>0</x:v>
      </x:c>
    </x:row>
    <x:row r="13">
      <x:c r="A13" s="43" t="str">
        <x:v>L2025-00099-1</x:v>
      </x:c>
      <x:c r="B13" s="46" t="str">
        <x:v>L2025-00099-1/KG-2025-11/KG-2025-11/Section 4_5_6 -Requirements_WaSH.docx</x:v>
      </x:c>
      <x:c r="C13" s="43" t="str">
        <x:v>.docx</x:v>
      </x:c>
      <x:c r="D13" s="61" t="n">
        <x:v>115032</x:v>
      </x:c>
      <x:c r="E13" s="61" t="n">
        <x:v>766</x:v>
      </x:c>
      <x:c r="F13" s="61" t="n">
        <x:v>3</x:v>
      </x:c>
    </x:row>
    <x:row r="14">
      <x:c r="A14" s="43" t="str">
        <x:v>L2025-00099-1</x:v>
      </x:c>
      <x:c r="B14" s="46" t="str">
        <x:v>L2025-00099-1/KG-2025-11/KG-2025-11/Section 7 - General Conditions of Contract_WaSH.docx</x:v>
      </x:c>
      <x:c r="C14" s="43" t="str">
        <x:v>.docx</x:v>
      </x:c>
      <x:c r="D14" s="61" t="n">
        <x:v>202912</x:v>
      </x:c>
      <x:c r="E14" s="61" t="n">
        <x:v>1406</x:v>
      </x:c>
      <x:c r="F14" s="61" t="n">
        <x:v>2</x:v>
      </x:c>
    </x:row>
    <x:row r="15">
      <x:c r="A15" s="43" t="str">
        <x:v>L2025-00099-1</x:v>
      </x:c>
      <x:c r="B15" s="46" t="str">
        <x:v>L2025-00099-1/KG-2025-11/KG-2025-11/Section 8 Special_Conditions_of_Contract_WaSH.docx</x:v>
      </x:c>
      <x:c r="C15" s="43" t="str">
        <x:v>.docx</x:v>
      </x:c>
      <x:c r="D15" s="61" t="n">
        <x:v>70468</x:v>
      </x:c>
      <x:c r="E15" s="61" t="n">
        <x:v>335</x:v>
      </x:c>
      <x:c r="F15" s="61" t="n">
        <x:v>2</x:v>
      </x:c>
    </x:row>
    <x:row r="16">
      <x:c r="A16" s="43" t="str">
        <x:v>L2025-00099-1</x:v>
      </x:c>
      <x:c r="B16" s="46" t="str">
        <x:v>L2025-00099-1/KG-2025-11/KG-2025-11/Section 9 - Contract Forms_WaSH.docx</x:v>
      </x:c>
      <x:c r="C16" s="43" t="str">
        <x:v>.docx</x:v>
      </x:c>
      <x:c r="D16" s="61" t="n">
        <x:v>38159</x:v>
      </x:c>
      <x:c r="E16" s="61" t="n">
        <x:v>30</x:v>
      </x:c>
      <x:c r="F16" s="61" t="n">
        <x:v>0</x:v>
      </x:c>
    </x:row>
    <x:row r="17">
      <x:c r="A17" s="43" t="str">
        <x:v>L2025-00099-1</x:v>
      </x:c>
      <x:c r="B17" s="46" t="str">
        <x:v>L2025-00099-1/붙임 1. (국문) 입찰추진계획(안).hwp</x:v>
      </x:c>
      <x:c r="C17" s="43" t="str">
        <x:v>.hwp</x:v>
      </x:c>
      <x:c r="D17" s="61" t="n">
        <x:v>376832</x:v>
      </x:c>
      <x:c r="E17" s="61" t="n">
        <x:v>310</x:v>
      </x:c>
      <x:c r="F17" s="61" t="n">
        <x:v>1</x:v>
      </x:c>
    </x:row>
    <x:row r="18">
      <x:c r="A18" s="43" t="str">
        <x:v>L2025-00097-1</x:v>
      </x:c>
      <x:c r="B18" s="46" t="str">
        <x:v>L2025-00097-1/붙임1. 공고내역 (KG-2025-10).zip</x:v>
      </x:c>
      <x:c r="C18" s="43" t="str">
        <x:v>.zip</x:v>
      </x:c>
      <x:c r="D18" s="61" t="n">
        <x:v>16937555</x:v>
      </x:c>
      <x:c r="E18" s="61" t="n">
        <x:v>0</x:v>
      </x:c>
      <x:c r="F18" s="61" t="n">
        <x:v>0</x:v>
      </x:c>
    </x:row>
    <x:row r="19">
      <x:c r="A19" s="43" t="str">
        <x:v>L2025-00097-1</x:v>
      </x:c>
      <x:c r="B19" s="46" t="str">
        <x:v>L2025-00097-1/붙임1. 공고내역 (KG-2025-10)/ENG - final/Section 1 - Instructions to Bidders (ITB).docx</x:v>
      </x:c>
      <x:c r="C19" s="43" t="str">
        <x:v>.docx</x:v>
      </x:c>
      <x:c r="D19" s="61" t="n">
        <x:v>33834</x:v>
      </x:c>
      <x:c r="E19" s="61" t="n">
        <x:v>160</x:v>
      </x:c>
      <x:c r="F19" s="61" t="n">
        <x:v>0</x:v>
      </x:c>
    </x:row>
    <x:row r="20">
      <x:c r="A20" s="43" t="str">
        <x:v>L2025-00097-1</x:v>
      </x:c>
      <x:c r="B20" s="46" t="str">
        <x:v>L2025-00097-1/붙임1. 공고내역 (KG-2025-10)/ENG - final/Section 2 - Bid Data Sheet (BDS).docx</x:v>
      </x:c>
      <x:c r="C20" s="43" t="str">
        <x:v>.docx</x:v>
      </x:c>
      <x:c r="D20" s="61" t="n">
        <x:v>83578</x:v>
      </x:c>
      <x:c r="E20" s="61" t="n">
        <x:v>271</x:v>
      </x:c>
      <x:c r="F20" s="61" t="n">
        <x:v>9</x:v>
      </x:c>
    </x:row>
    <x:row r="21">
      <x:c r="A21" s="43" t="str">
        <x:v>L2025-00097-1</x:v>
      </x:c>
      <x:c r="B21" s="46" t="str">
        <x:v>L2025-00097-1/붙임1. 공고내역 (KG-2025-10)/ENG - final/Section 3 - Bidding Forms.docx</x:v>
      </x:c>
      <x:c r="C21" s="43" t="str">
        <x:v>.docx</x:v>
      </x:c>
      <x:c r="D21" s="61" t="n">
        <x:v>60800</x:v>
      </x:c>
      <x:c r="E21" s="61" t="n">
        <x:v>277</x:v>
      </x:c>
      <x:c r="F21" s="61" t="n">
        <x:v>0</x:v>
      </x:c>
    </x:row>
    <x:row r="22">
      <x:c r="A22" s="43" t="str">
        <x:v>L2025-00097-1</x:v>
      </x:c>
      <x:c r="B22" s="46" t="str">
        <x:v>L2025-00097-1/붙임1. 공고내역 (KG-2025-10)/ENG - final/Section 4 - Request for Proposal (RFP).doc</x:v>
      </x:c>
      <x:c r="C22" s="43" t="str">
        <x:v>.doc</x:v>
      </x:c>
      <x:c r="D22" s="61" t="n">
        <x:v>210432</x:v>
      </x:c>
      <x:c r="E22" s="61" t="n">
        <x:v>186</x:v>
      </x:c>
      <x:c r="F22" s="61" t="n">
        <x:v>0</x:v>
      </x:c>
    </x:row>
    <x:row r="23">
      <x:c r="A23" s="43" t="str">
        <x:v>L2025-00097-1</x:v>
      </x:c>
      <x:c r="B23" s="46" t="str">
        <x:v>L2025-00097-1/붙임1. 공고내역 (KG-2025-10)/ENG - final/Section 4 (Annex 1) Sample of Technical Proposal.doc</x:v>
      </x:c>
      <x:c r="C23" s="43" t="str">
        <x:v>.doc</x:v>
      </x:c>
      <x:c r="D23" s="61" t="n">
        <x:v>186880</x:v>
      </x:c>
      <x:c r="E23" s="61" t="n">
        <x:v>72</x:v>
      </x:c>
      <x:c r="F23" s="61" t="n">
        <x:v>0</x:v>
      </x:c>
    </x:row>
    <x:row r="24">
      <x:c r="A24" s="43" t="str">
        <x:v>L2025-00097-1</x:v>
      </x:c>
      <x:c r="B24" s="46" t="str">
        <x:v>L2025-00097-1/붙임1. 공고내역 (KG-2025-10)/ENG - final/Section 4 (Annex 2) Guidelines_for_Technical_Proposal.docx</x:v>
      </x:c>
      <x:c r="C24" s="43" t="str">
        <x:v>.docx</x:v>
      </x:c>
      <x:c r="D24" s="61" t="n">
        <x:v>15200</x:v>
      </x:c>
      <x:c r="E24" s="61" t="n">
        <x:v>8</x:v>
      </x:c>
      <x:c r="F24" s="61" t="n">
        <x:v>0</x:v>
      </x:c>
    </x:row>
    <x:row r="25">
      <x:c r="A25" s="43" t="str">
        <x:v>L2025-00097-1</x:v>
      </x:c>
      <x:c r="B25" s="46" t="str">
        <x:v>L2025-00097-1/붙임1. 공고내역 (KG-2025-10)/ENG - final/Section 5 - Scope of the Services (ToR).docx</x:v>
      </x:c>
      <x:c r="C25" s="43" t="str">
        <x:v>.docx</x:v>
      </x:c>
      <x:c r="D25" s="61" t="n">
        <x:v>41527</x:v>
      </x:c>
      <x:c r="E25" s="61" t="n">
        <x:v>172</x:v>
      </x:c>
      <x:c r="F25" s="61" t="n">
        <x:v>1</x:v>
      </x:c>
    </x:row>
    <x:row r="26">
      <x:c r="A26" s="43" t="str">
        <x:v>L2025-00097-1</x:v>
      </x:c>
      <x:c r="B26" s="46" t="str">
        <x:v>L2025-00097-1/붙임1. 공고내역 (KG-2025-10)/ENG - final/Section 6 - Reference Material.pdf</x:v>
      </x:c>
      <x:c r="C26" s="43" t="str">
        <x:v>.pdf</x:v>
      </x:c>
      <x:c r="D26" s="61" t="n">
        <x:v>144569</x:v>
      </x:c>
      <x:c r="E26" s="61" t="n">
        <x:v>11</x:v>
      </x:c>
      <x:c r="F26" s="61" t="n">
        <x:v>0</x:v>
      </x:c>
    </x:row>
    <x:row r="27">
      <x:c r="A27" s="43" t="str">
        <x:v>L2025-00097-1</x:v>
      </x:c>
      <x:c r="B27" s="46" t="str">
        <x:v>L2025-00097-1/붙임1. 공고내역 (KG-2025-10)/ENG - final/Section 6 (Annex 1) Space Program MM.pdf</x:v>
      </x:c>
      <x:c r="C27" s="43" t="str">
        <x:v>.pdf</x:v>
      </x:c>
      <x:c r="D27" s="61" t="n">
        <x:v>6305676</x:v>
      </x:c>
      <x:c r="E27" s="61" t="n">
        <x:v>0</x:v>
      </x:c>
      <x:c r="F27" s="61" t="n">
        <x:v>0</x:v>
      </x:c>
    </x:row>
    <x:row r="28">
      <x:c r="A28" s="43" t="str">
        <x:v>L2025-00097-1</x:v>
      </x:c>
      <x:c r="B28" s="46" t="str">
        <x:v>L2025-00097-1/붙임1. 공고내역 (KG-2025-10)/ENG - final/Section 6 (Annex 2) Project site information.pdf</x:v>
      </x:c>
      <x:c r="C28" s="43" t="str">
        <x:v>.pdf</x:v>
      </x:c>
      <x:c r="D28" s="61" t="n">
        <x:v>616651</x:v>
      </x:c>
      <x:c r="E28" s="61" t="n">
        <x:v>11</x:v>
      </x:c>
      <x:c r="F28" s="61" t="n">
        <x:v>0</x:v>
      </x:c>
    </x:row>
    <x:row r="29">
      <x:c r="A29" s="43" t="str">
        <x:v>L2025-00097-1</x:v>
      </x:c>
      <x:c r="B29" s="46" t="str">
        <x:v>L2025-00097-1/붙임1. 공고내역 (KG-2025-10)/ENG - final/Section 7 - General Conditions of Contract.docx</x:v>
      </x:c>
      <x:c r="C29" s="43" t="str">
        <x:v>.docx</x:v>
      </x:c>
      <x:c r="D29" s="61" t="n">
        <x:v>37516</x:v>
      </x:c>
      <x:c r="E29" s="61" t="n">
        <x:v>179</x:v>
      </x:c>
      <x:c r="F29" s="61" t="n">
        <x:v>0</x:v>
      </x:c>
    </x:row>
    <x:row r="30">
      <x:c r="A30" s="43" t="str">
        <x:v>L2025-00097-1</x:v>
      </x:c>
      <x:c r="B30" s="46" t="str">
        <x:v>L2025-00097-1/붙임1. 공고내역 (KG-2025-10)/ENG - final/Section 8 - Special Conditions of Contract.docx</x:v>
      </x:c>
      <x:c r="C30" s="43" t="str">
        <x:v>.docx</x:v>
      </x:c>
      <x:c r="D30" s="61" t="n">
        <x:v>29224</x:v>
      </x:c>
      <x:c r="E30" s="61" t="n">
        <x:v>66</x:v>
      </x:c>
      <x:c r="F30" s="61" t="n">
        <x:v>0</x:v>
      </x:c>
    </x:row>
    <x:row r="31">
      <x:c r="A31" s="43" t="str">
        <x:v>L2025-00097-1</x:v>
      </x:c>
      <x:c r="B31" s="46" t="str">
        <x:v>L2025-00097-1/붙임1. 공고내역 (KG-2025-10)/ENG - final/Section 9 - Contract Forms.docx</x:v>
      </x:c>
      <x:c r="C31" s="43" t="str">
        <x:v>.docx</x:v>
      </x:c>
      <x:c r="D31" s="61" t="n">
        <x:v>25304</x:v>
      </x:c>
      <x:c r="E31" s="61" t="n">
        <x:v>96</x:v>
      </x:c>
      <x:c r="F31" s="61" t="n">
        <x:v>0</x:v>
      </x:c>
    </x:row>
    <x:row r="32">
      <x:c r="A32" s="43" t="str">
        <x:v>L2025-00097-1</x:v>
      </x:c>
      <x:c r="B32" s="46" t="str">
        <x:v>L2025-00097-1/붙임1. 공고내역 (KG-2025-10)/RUS - final/Section 1 - Instructions to Bidders (RUS).docx</x:v>
      </x:c>
      <x:c r="C32" s="43" t="str">
        <x:v>.docx</x:v>
      </x:c>
      <x:c r="D32" s="61" t="n">
        <x:v>30898</x:v>
      </x:c>
      <x:c r="E32" s="61" t="n">
        <x:v>161</x:v>
      </x:c>
      <x:c r="F32" s="61" t="n">
        <x:v>0</x:v>
      </x:c>
    </x:row>
    <x:row r="33">
      <x:c r="A33" s="43" t="str">
        <x:v>L2025-00097-1</x:v>
      </x:c>
      <x:c r="B33" s="46" t="str">
        <x:v>L2025-00097-1/붙임1. 공고내역 (KG-2025-10)/RUS - final/Section 2 - Bid Data Sheet (BDS)  (RUS).docx</x:v>
      </x:c>
      <x:c r="C33" s="43" t="str">
        <x:v>.docx</x:v>
      </x:c>
      <x:c r="D33" s="61" t="n">
        <x:v>84262</x:v>
      </x:c>
      <x:c r="E33" s="61" t="n">
        <x:v>275</x:v>
      </x:c>
      <x:c r="F33" s="61" t="n">
        <x:v>0</x:v>
      </x:c>
    </x:row>
    <x:row r="34">
      <x:c r="A34" s="43" t="str">
        <x:v>L2025-00097-1</x:v>
      </x:c>
      <x:c r="B34" s="46" t="str">
        <x:v>L2025-00097-1/붙임1. 공고내역 (KG-2025-10)/RUS - final/Section 3 - Bidding Forms (RUS).docx</x:v>
      </x:c>
      <x:c r="C34" s="43" t="str">
        <x:v>.docx</x:v>
      </x:c>
      <x:c r="D34" s="61" t="n">
        <x:v>65212</x:v>
      </x:c>
      <x:c r="E34" s="61" t="n">
        <x:v>277</x:v>
      </x:c>
      <x:c r="F34" s="61" t="n">
        <x:v>0</x:v>
      </x:c>
    </x:row>
    <x:row r="35">
      <x:c r="A35" s="43" t="str">
        <x:v>L2025-00097-1</x:v>
      </x:c>
      <x:c r="B35" s="46" t="str">
        <x:v>L2025-00097-1/붙임1. 공고내역 (KG-2025-10)/RUS - final/Section 4 - Request for Proposal (RUS).doc</x:v>
      </x:c>
      <x:c r="C35" s="43" t="str">
        <x:v>.doc</x:v>
      </x:c>
      <x:c r="D35" s="61" t="n">
        <x:v>228864</x:v>
      </x:c>
      <x:c r="E35" s="61" t="n">
        <x:v>188</x:v>
      </x:c>
      <x:c r="F35" s="61" t="n">
        <x:v>0</x:v>
      </x:c>
    </x:row>
    <x:row r="36">
      <x:c r="A36" s="43" t="str">
        <x:v>L2025-00097-1</x:v>
      </x:c>
      <x:c r="B36" s="46" t="str">
        <x:v>L2025-00097-1/붙임1. 공고내역 (KG-2025-10)/RUS - final/Section 4 (Annex 1) Sample of Technical Proposal (RUS).doc</x:v>
      </x:c>
      <x:c r="C36" s="43" t="str">
        <x:v>.doc</x:v>
      </x:c>
      <x:c r="D36" s="61" t="n">
        <x:v>204288</x:v>
      </x:c>
      <x:c r="E36" s="61" t="n">
        <x:v>73</x:v>
      </x:c>
      <x:c r="F36" s="61" t="n">
        <x:v>0</x:v>
      </x:c>
    </x:row>
    <x:row r="37">
      <x:c r="A37" s="43" t="str">
        <x:v>L2025-00097-1</x:v>
      </x:c>
      <x:c r="B37" s="46" t="str">
        <x:v>L2025-00097-1/붙임1. 공고내역 (KG-2025-10)/RUS - final/Section 4 (Annex 2) Guidelines_for_Technical_Proposal (RUS).docx</x:v>
      </x:c>
      <x:c r="C37" s="43" t="str">
        <x:v>.docx</x:v>
      </x:c>
      <x:c r="D37" s="61" t="n">
        <x:v>15548</x:v>
      </x:c>
      <x:c r="E37" s="61" t="n">
        <x:v>8</x:v>
      </x:c>
      <x:c r="F37" s="61" t="n">
        <x:v>0</x:v>
      </x:c>
    </x:row>
    <x:row r="38">
      <x:c r="A38" s="43" t="str">
        <x:v>L2025-00097-1</x:v>
      </x:c>
      <x:c r="B38" s="46" t="str">
        <x:v>L2025-00097-1/붙임1. 공고내역 (KG-2025-10)/RUS - final/Section 5 - Scope of the Services (ToR) (RUS).docx</x:v>
      </x:c>
      <x:c r="C38" s="43" t="str">
        <x:v>.docx</x:v>
      </x:c>
      <x:c r="D38" s="61" t="n">
        <x:v>45359</x:v>
      </x:c>
      <x:c r="E38" s="61" t="n">
        <x:v>172</x:v>
      </x:c>
      <x:c r="F38" s="61" t="n">
        <x:v>0</x:v>
      </x:c>
    </x:row>
    <x:row r="39">
      <x:c r="A39" s="43" t="str">
        <x:v>L2025-00097-1</x:v>
      </x:c>
      <x:c r="B39" s="46" t="str">
        <x:v>L2025-00097-1/붙임1. 공고내역 (KG-2025-10)/RUS - final/Section 6 - Reference Material (RUS).doc</x:v>
      </x:c>
      <x:c r="C39" s="43" t="str">
        <x:v>.doc</x:v>
      </x:c>
      <x:c r="D39" s="61" t="n">
        <x:v>1274880</x:v>
      </x:c>
      <x:c r="E39" s="61" t="n">
        <x:v>26</x:v>
      </x:c>
      <x:c r="F39" s="61" t="n">
        <x:v>0</x:v>
      </x:c>
    </x:row>
    <x:row r="40">
      <x:c r="A40" s="43" t="str">
        <x:v>L2025-00097-1</x:v>
      </x:c>
      <x:c r="B40" s="46" t="str">
        <x:v>L2025-00097-1/붙임1. 공고내역 (KG-2025-10)/RUS - final/Section 6 (Annex 1) Space Program MM (RUS).pdf</x:v>
      </x:c>
      <x:c r="C40" s="43" t="str">
        <x:v>.pdf</x:v>
      </x:c>
      <x:c r="D40" s="61" t="n">
        <x:v>6305676</x:v>
      </x:c>
      <x:c r="E40" s="61" t="n">
        <x:v>0</x:v>
      </x:c>
      <x:c r="F40" s="61" t="n">
        <x:v>0</x:v>
      </x:c>
    </x:row>
    <x:row r="41">
      <x:c r="A41" s="43" t="str">
        <x:v>L2025-00097-1</x:v>
      </x:c>
      <x:c r="B41" s="46" t="str">
        <x:v>L2025-00097-1/붙임1. 공고내역 (KG-2025-10)/RUS - final/Section 6 (Annex 2) Project site information  (RUS).pdf</x:v>
      </x:c>
      <x:c r="C41" s="43" t="str">
        <x:v>.pdf</x:v>
      </x:c>
      <x:c r="D41" s="61" t="n">
        <x:v>4607339</x:v>
      </x:c>
      <x:c r="E41" s="61" t="n">
        <x:v>8</x:v>
      </x:c>
      <x:c r="F41" s="61" t="n">
        <x:v>0</x:v>
      </x:c>
    </x:row>
    <x:row r="42">
      <x:c r="A42" s="43" t="str">
        <x:v>L2025-00097-1</x:v>
      </x:c>
      <x:c r="B42" s="46" t="str">
        <x:v>L2025-00097-1/붙임1. 공고내역 (KG-2025-10)/RUS - final/Section 7 - General Conditions of Contract (RUS).docx</x:v>
      </x:c>
      <x:c r="C42" s="43" t="str">
        <x:v>.docx</x:v>
      </x:c>
      <x:c r="D42" s="61" t="n">
        <x:v>46587</x:v>
      </x:c>
      <x:c r="E42" s="61" t="n">
        <x:v>179</x:v>
      </x:c>
      <x:c r="F42" s="61" t="n">
        <x:v>0</x:v>
      </x:c>
    </x:row>
    <x:row r="43">
      <x:c r="A43" s="43" t="str">
        <x:v>L2025-00097-1</x:v>
      </x:c>
      <x:c r="B43" s="46" t="str">
        <x:v>L2025-00097-1/붙임1. 공고내역 (KG-2025-10)/RUS - final/Section 8 - Special Conditions of Contract (RUS).docx</x:v>
      </x:c>
      <x:c r="C43" s="43" t="str">
        <x:v>.docx</x:v>
      </x:c>
      <x:c r="D43" s="61" t="n">
        <x:v>32370</x:v>
      </x:c>
      <x:c r="E43" s="61" t="n">
        <x:v>66</x:v>
      </x:c>
      <x:c r="F43" s="61" t="n">
        <x:v>0</x:v>
      </x:c>
    </x:row>
    <x:row r="44">
      <x:c r="A44" s="43" t="str">
        <x:v>L2025-00097-1</x:v>
      </x:c>
      <x:c r="B44" s="46" t="str">
        <x:v>L2025-00097-1/붙임1. 공고내역 (KG-2025-10)/RUS - final/Section 9 - Contract Forms (RUS).docx</x:v>
      </x:c>
      <x:c r="C44" s="43" t="str">
        <x:v>.docx</x:v>
      </x:c>
      <x:c r="D44" s="61" t="n">
        <x:v>34286</x:v>
      </x:c>
      <x:c r="E44" s="61" t="n">
        <x:v>93</x:v>
      </x:c>
      <x:c r="F44" s="61" t="n">
        <x:v>0</x:v>
      </x:c>
    </x:row>
    <x:row r="45">
      <x:c r="A45" s="43" t="str">
        <x:v>L2025-00094-1</x:v>
      </x:c>
      <x:c r="B45" s="46" t="str">
        <x:v>L2025-00094-1/ReBidding Documents (Guimaras_Design) 1022v2.zip</x:v>
      </x:c>
      <x:c r="C45" s="43" t="str">
        <x:v>.zip</x:v>
      </x:c>
      <x:c r="D45" s="61" t="n">
        <x:v>6224101</x:v>
      </x:c>
      <x:c r="E45" s="61" t="n">
        <x:v>0</x:v>
      </x:c>
      <x:c r="F45" s="61" t="n">
        <x:v>0</x:v>
      </x:c>
    </x:row>
    <x:row r="46">
      <x:c r="A46" s="43" t="str">
        <x:v>L2025-00094-1</x:v>
      </x:c>
      <x:c r="B46" s="46" t="str">
        <x:v>L2025-00094-1/ReBidding Documents (Guimaras_Design) 1022v2/ReBidding Documents (Guimaras_Design) 1022/Power of Attorney for the authority to sign and execute contracts.docx</x:v>
      </x:c>
      <x:c r="C46" s="43" t="str">
        <x:v>.docx</x:v>
      </x:c>
      <x:c r="D46" s="61" t="n">
        <x:v>18112</x:v>
      </x:c>
      <x:c r="E46" s="61" t="n">
        <x:v>15</x:v>
      </x:c>
      <x:c r="F46" s="61" t="n">
        <x:v>0</x:v>
      </x:c>
    </x:row>
    <x:row r="47">
      <x:c r="A47" s="43" t="str">
        <x:v>L2025-00094-1</x:v>
      </x:c>
      <x:c r="B47" s="46" t="str">
        <x:v>L2025-00094-1/ReBidding Documents (Guimaras_Design) 1022v2/ReBidding Documents (Guimaras_Design) 1022/Section 1 - Instructions to Bidders (ITB).docx</x:v>
      </x:c>
      <x:c r="C47" s="43" t="str">
        <x:v>.docx</x:v>
      </x:c>
      <x:c r="D47" s="61" t="n">
        <x:v>35098</x:v>
      </x:c>
      <x:c r="E47" s="61" t="n">
        <x:v>160</x:v>
      </x:c>
      <x:c r="F47" s="61" t="n">
        <x:v>0</x:v>
      </x:c>
    </x:row>
    <x:row r="48">
      <x:c r="A48" s="43" t="str">
        <x:v>L2025-00094-1</x:v>
      </x:c>
      <x:c r="B48" s="46" t="str">
        <x:v>L2025-00094-1/ReBidding Documents (Guimaras_Design) 1022v2/ReBidding Documents (Guimaras_Design) 1022/Section 2 - Bid Data Sheet (BDS)_20251020v5.docx</x:v>
      </x:c>
      <x:c r="C48" s="43" t="str">
        <x:v>.docx</x:v>
      </x:c>
      <x:c r="D48" s="61" t="n">
        <x:v>78223</x:v>
      </x:c>
      <x:c r="E48" s="61" t="n">
        <x:v>327</x:v>
      </x:c>
      <x:c r="F48" s="61" t="n">
        <x:v>5</x:v>
      </x:c>
    </x:row>
    <x:row r="49">
      <x:c r="A49" s="43" t="str">
        <x:v>L2025-00094-1</x:v>
      </x:c>
      <x:c r="B49" s="46" t="str">
        <x:v>L2025-00094-1/ReBidding Documents (Guimaras_Design) 1022v2/ReBidding Documents (Guimaras_Design) 1022/Section 3 - Bidding Forms_251020.docx</x:v>
      </x:c>
      <x:c r="C49" s="43" t="str">
        <x:v>.docx</x:v>
      </x:c>
      <x:c r="D49" s="61" t="n">
        <x:v>64774</x:v>
      </x:c>
      <x:c r="E49" s="61" t="n">
        <x:v>366</x:v>
      </x:c>
      <x:c r="F49" s="61" t="n">
        <x:v>2</x:v>
      </x:c>
    </x:row>
    <x:row r="50">
      <x:c r="A50" s="43" t="str">
        <x:v>L2025-00094-1</x:v>
      </x:c>
      <x:c r="B50" s="46" t="str">
        <x:v>L2025-00094-1/ReBidding Documents (Guimaras_Design) 1022v2/ReBidding Documents (Guimaras_Design) 1022/Section 4 - Selection method of successful bidder.docx</x:v>
      </x:c>
      <x:c r="C50" s="43" t="str">
        <x:v>.docx</x:v>
      </x:c>
      <x:c r="D50" s="61" t="n">
        <x:v>43394</x:v>
      </x:c>
      <x:c r="E50" s="61" t="n">
        <x:v>103</x:v>
      </x:c>
      <x:c r="F50" s="61" t="n">
        <x:v>0</x:v>
      </x:c>
    </x:row>
    <x:row r="51">
      <x:c r="A51" s="43" t="str">
        <x:v>L2025-00094-1</x:v>
      </x:c>
      <x:c r="B51" s="46" t="str">
        <x:v>L2025-00094-1/ReBidding Documents (Guimaras_Design) 1022v2/ReBidding Documents (Guimaras_Design) 1022/Section 5 - Request for Proposal (RFP)_Design Service.docx</x:v>
      </x:c>
      <x:c r="C51" s="43" t="str">
        <x:v>.docx</x:v>
      </x:c>
      <x:c r="D51" s="61" t="n">
        <x:v>6199714</x:v>
      </x:c>
      <x:c r="E51" s="61" t="n">
        <x:v>385</x:v>
      </x:c>
      <x:c r="F51" s="61" t="n">
        <x:v>16</x:v>
      </x:c>
    </x:row>
    <x:row r="52">
      <x:c r="A52" s="43" t="str">
        <x:v>L2025-00094-1</x:v>
      </x:c>
      <x:c r="B52" s="46" t="str">
        <x:v>L2025-00094-1/ReBidding Documents (Guimaras_Design) 1022v2/ReBidding Documents (Guimaras_Design) 1022/Section 6 - General Conditions of Contract.docx</x:v>
      </x:c>
      <x:c r="C52" s="43" t="str">
        <x:v>.docx</x:v>
      </x:c>
      <x:c r="D52" s="61" t="n">
        <x:v>42999</x:v>
      </x:c>
      <x:c r="E52" s="61" t="n">
        <x:v>216</x:v>
      </x:c>
      <x:c r="F52" s="61" t="n">
        <x:v>0</x:v>
      </x:c>
    </x:row>
    <x:row r="53">
      <x:c r="A53" s="43" t="str">
        <x:v>L2025-00094-1</x:v>
      </x:c>
      <x:c r="B53" s="46" t="str">
        <x:v>L2025-00094-1/ReBidding Documents (Guimaras_Design) 1022v2/ReBidding Documents (Guimaras_Design) 1022/Section 7 - Special Conditions of Contract_20251016.docx</x:v>
      </x:c>
      <x:c r="C53" s="43" t="str">
        <x:v>.docx</x:v>
      </x:c>
      <x:c r="D53" s="61" t="n">
        <x:v>43667</x:v>
      </x:c>
      <x:c r="E53" s="61" t="n">
        <x:v>132</x:v>
      </x:c>
      <x:c r="F53" s="61" t="n">
        <x:v>2</x:v>
      </x:c>
    </x:row>
    <x:row r="54">
      <x:c r="A54" s="43" t="str">
        <x:v>L2025-00094-1</x:v>
      </x:c>
      <x:c r="B54" s="46" t="str">
        <x:v>L2025-00094-1/ReBidding Documents (Guimaras_Design) 1022v2/ReBidding Documents (Guimaras_Design) 1022/Section 8 - Contract Forms_251020v2.docx</x:v>
      </x:c>
      <x:c r="C54" s="43" t="str">
        <x:v>.docx</x:v>
      </x:c>
      <x:c r="D54" s="61" t="n">
        <x:v>28438</x:v>
      </x:c>
      <x:c r="E54" s="61" t="n">
        <x:v>33</x:v>
      </x:c>
      <x:c r="F54" s="61" t="n">
        <x:v>1</x:v>
      </x:c>
    </x:row>
    <x:row r="55">
      <x:c r="A55" s="43" t="str">
        <x:v>L2025-00094-1</x:v>
      </x:c>
      <x:c r="B55" s="46" t="str">
        <x:v>L2025-00094-1/ReBidding Documents (Guimaras_Design) 1022v2/ReBidding Documents (Guimaras_Design) 1022/Section 9 - Pledges.zip</x:v>
      </x:c>
      <x:c r="C55" s="43" t="str">
        <x:v>.zip</x:v>
      </x:c>
      <x:c r="D55" s="61" t="n">
        <x:v>68676</x:v>
      </x:c>
      <x:c r="E55" s="61" t="n">
        <x:v>0</x:v>
      </x:c>
      <x:c r="F55" s="61" t="n">
        <x:v>0</x:v>
      </x:c>
    </x:row>
    <x:row r="56">
      <x:c r="A56" s="43" t="str">
        <x:v>L2025-00094-1</x:v>
      </x:c>
      <x:c r="B56" s="46" t="str">
        <x:v>L2025-00094-1/Summary of Rebidding Invitation to Bid 1022.pdf</x:v>
      </x:c>
      <x:c r="C56" s="43" t="str">
        <x:v>.pdf</x:v>
      </x:c>
      <x:c r="D56" s="61" t="n">
        <x:v>1842650</x:v>
      </x:c>
      <x:c r="E56" s="61" t="n">
        <x:v>0</x:v>
      </x:c>
      <x:c r="F56" s="61" t="n">
        <x:v>0</x:v>
      </x:c>
    </x:row>
    <x:row r="57">
      <x:c r="A57" s="43" t="str">
        <x:v>L2025-00087-1</x:v>
      </x:c>
      <x:c r="B57" s="46" t="str">
        <x:v>L2025-00087-1/01. Invitation for Bids_Summary of Bidding.docx</x:v>
      </x:c>
      <x:c r="C57" s="43" t="str">
        <x:v>.docx</x:v>
      </x:c>
      <x:c r="D57" s="61" t="n">
        <x:v>34239</x:v>
      </x:c>
      <x:c r="E57" s="61" t="n">
        <x:v>46</x:v>
      </x:c>
      <x:c r="F57" s="61" t="n">
        <x:v>3</x:v>
      </x:c>
    </x:row>
    <x:row r="58">
      <x:c r="A58" s="43" t="str">
        <x:v>L2025-00085-1</x:v>
      </x:c>
      <x:c r="B58" s="46" t="str">
        <x:v>L2025-00085-1/붙임1. 이라크 한-이라크 심장병 어린이 전문 병원 현지시공 신규 입찰 계획(안)-.hwp</x:v>
      </x:c>
      <x:c r="C58" s="43" t="str">
        <x:v>.hwp</x:v>
      </x:c>
      <x:c r="D58" s="61" t="n">
        <x:v>249344</x:v>
      </x:c>
      <x:c r="E58" s="61" t="n">
        <x:v>475</x:v>
      </x:c>
      <x:c r="F58" s="61" t="n">
        <x:v>6</x:v>
      </x:c>
    </x:row>
    <x:row r="59">
      <x:c r="A59" s="43" t="str">
        <x:v>L2025-00085-1</x:v>
      </x:c>
      <x:c r="B59" s="46" t="str">
        <x:v>L2025-00085-1/붙임2. 현지입찰(신규입찰) 서류 및 계약서류(안).zip</x:v>
      </x:c>
      <x:c r="C59" s="43" t="str">
        <x:v>.zip</x:v>
      </x:c>
      <x:c r="D59" s="61" t="n">
        <x:v>8300339</x:v>
      </x:c>
      <x:c r="E59" s="61" t="n">
        <x:v>0</x:v>
      </x:c>
      <x:c r="F59" s="61" t="n">
        <x:v>0</x:v>
      </x:c>
    </x:row>
    <x:row r="60">
      <x:c r="A60" s="43" t="str">
        <x:v>L2025-00085-1</x:v>
      </x:c>
      <x:c r="B60" s="46" t="str">
        <x:v>L2025-00085-1/붙임2. 현지입찰(신규입찰) 서류 및 계약서류(안)/★Summary of Bidding _공고용 최종.docx</x:v>
      </x:c>
      <x:c r="C60" s="43" t="str">
        <x:v>.docx</x:v>
      </x:c>
      <x:c r="D60" s="61" t="n">
        <x:v>19345</x:v>
      </x:c>
      <x:c r="E60" s="61" t="n">
        <x:v>41</x:v>
      </x:c>
      <x:c r="F60" s="61" t="n">
        <x:v>4</x:v>
      </x:c>
    </x:row>
    <x:row r="61">
      <x:c r="A61" s="43" t="str">
        <x:v>L2025-00085-1</x:v>
      </x:c>
      <x:c r="B61" s="46" t="str">
        <x:v>L2025-00085-1/붙임2. 현지입찰(신규입찰) 서류 및 계약서류(안)/IKHCC Section 1 - Instructions to bidder in the international bidding of KOICA.docx</x:v>
      </x:c>
      <x:c r="C61" s="43" t="str">
        <x:v>.docx</x:v>
      </x:c>
      <x:c r="D61" s="61" t="n">
        <x:v>36396</x:v>
      </x:c>
      <x:c r="E61" s="61" t="n">
        <x:v>202</x:v>
      </x:c>
      <x:c r="F61" s="61" t="n">
        <x:v>0</x:v>
      </x:c>
    </x:row>
    <x:row r="62">
      <x:c r="A62" s="43" t="str">
        <x:v>L2025-00085-1</x:v>
      </x:c>
      <x:c r="B62" s="46" t="str">
        <x:v>L2025-00085-1/붙임2. 현지입찰(신규입찰) 서류 및 계약서류(안)/IKHCC Section 2 - Bid Data Sheet (ITB) (English)  250930 final★.docx</x:v>
      </x:c>
      <x:c r="C62" s="43" t="str">
        <x:v>.docx</x:v>
      </x:c>
      <x:c r="D62" s="61" t="n">
        <x:v>73167</x:v>
      </x:c>
      <x:c r="E62" s="61" t="n">
        <x:v>291</x:v>
      </x:c>
      <x:c r="F62" s="61" t="n">
        <x:v>11</x:v>
      </x:c>
    </x:row>
    <x:row r="63">
      <x:c r="A63" s="43" t="str">
        <x:v>L2025-00085-1</x:v>
      </x:c>
      <x:c r="B63" s="46" t="str">
        <x:v>L2025-00085-1/붙임2. 현지입찰(신규입찰) 서류 및 계약서류(안)/IKHCC Section 3 - Bidding Forms 250903.docx</x:v>
      </x:c>
      <x:c r="C63" s="43" t="str">
        <x:v>.docx</x:v>
      </x:c>
      <x:c r="D63" s="61" t="n">
        <x:v>67889</x:v>
      </x:c>
      <x:c r="E63" s="61" t="n">
        <x:v>361</x:v>
      </x:c>
      <x:c r="F63" s="61" t="n">
        <x:v>3</x:v>
      </x:c>
    </x:row>
    <x:row r="64">
      <x:c r="A64" s="43" t="str">
        <x:v>L2025-00085-1</x:v>
      </x:c>
      <x:c r="B64" s="46" t="str">
        <x:v>L2025-00085-1/붙임2. 현지입찰(신규입찰) 서류 및 계약서류(안)/IKHCC Section 4 - IKHCC BLANK BOQ 250903_최종.zip</x:v>
      </x:c>
      <x:c r="C64" s="43" t="str">
        <x:v>.zip</x:v>
      </x:c>
      <x:c r="D64" s="61" t="n">
        <x:v>7985017</x:v>
      </x:c>
      <x:c r="E64" s="61" t="n">
        <x:v>0</x:v>
      </x:c>
      <x:c r="F64" s="61" t="n">
        <x:v>0</x:v>
      </x:c>
    </x:row>
    <x:row r="65">
      <x:c r="A65" s="43" t="str">
        <x:v>L2025-00085-1</x:v>
      </x:c>
      <x:c r="B65" s="46" t="str">
        <x:v>L2025-00085-1/붙임2. 현지입찰(신규입찰) 서류 및 계약서류(안)/IKHCC Section 4,5,6 BOQ, Drawing, Spec.docx</x:v>
      </x:c>
      <x:c r="C65" s="43" t="str">
        <x:v>.docx</x:v>
      </x:c>
      <x:c r="D65" s="61" t="n">
        <x:v>11941</x:v>
      </x:c>
      <x:c r="E65" s="61" t="n">
        <x:v>6</x:v>
      </x:c>
      <x:c r="F65" s="61" t="n">
        <x:v>0</x:v>
      </x:c>
    </x:row>
    <x:row r="66">
      <x:c r="A66" s="43" t="str">
        <x:v>L2025-00085-1</x:v>
      </x:c>
      <x:c r="B66" s="46" t="str">
        <x:v>L2025-00085-1/붙임2. 현지입찰(신규입찰) 서류 및 계약서류(안)/IKHCC Section 7,8 - contract conditions - General &amp; Special conditions. of contract 250903.docx</x:v>
      </x:c>
      <x:c r="C66" s="43" t="str">
        <x:v>.docx</x:v>
      </x:c>
      <x:c r="D66" s="61" t="n">
        <x:v>216099</x:v>
      </x:c>
      <x:c r="E66" s="61" t="n">
        <x:v>1500</x:v>
      </x:c>
      <x:c r="F66" s="61" t="n">
        <x:v>4</x:v>
      </x:c>
    </x:row>
    <x:row r="67">
      <x:c r="A67" s="43" t="str">
        <x:v>L2025-00085-1</x:v>
      </x:c>
      <x:c r="B67" s="46" t="str">
        <x:v>L2025-00085-1/붙임2. 현지입찰(신규입찰) 서류 및 계약서류(안)/IKHCC Section 9 - Contract Forms 250903-1.docx</x:v>
      </x:c>
      <x:c r="C67" s="43" t="str">
        <x:v>.docx</x:v>
      </x:c>
      <x:c r="D67" s="61" t="n">
        <x:v>37725</x:v>
      </x:c>
      <x:c r="E67" s="61" t="n">
        <x:v>28</x:v>
      </x:c>
      <x:c r="F67" s="61" t="n">
        <x:v>0</x:v>
      </x:c>
    </x:row>
    <x:row r="68">
      <x:c r="A68" s="43" t="str">
        <x:v>L2025-00084-1</x:v>
      </x:c>
      <x:c r="B68" s="46" t="str">
        <x:v>L2025-00084-1/Section 2 - Bid Data Sheet (EN)_vr8.docx</x:v>
      </x:c>
      <x:c r="C68" s="43" t="str">
        <x:v>.docx</x:v>
      </x:c>
      <x:c r="D68" s="61" t="n">
        <x:v>71214</x:v>
      </x:c>
      <x:c r="E68" s="61" t="n">
        <x:v>219</x:v>
      </x:c>
      <x:c r="F68" s="61" t="n">
        <x:v>6</x:v>
      </x:c>
    </x:row>
    <x:row r="69">
      <x:c r="A69" s="43" t="str">
        <x:v>L2025-00078-1</x:v>
      </x:c>
      <x:c r="B69" s="46" t="str">
        <x:v>L2025-00078-1/1. 국문 입찰계획서.hwp</x:v>
      </x:c>
      <x:c r="C69" s="43" t="str">
        <x:v>.hwp</x:v>
      </x:c>
      <x:c r="D69" s="61" t="n">
        <x:v>162304</x:v>
      </x:c>
      <x:c r="E69" s="61" t="n">
        <x:v>582</x:v>
      </x:c>
      <x:c r="F69" s="61" t="n">
        <x:v>6</x:v>
      </x:c>
    </x:row>
    <x:row r="70">
      <x:c r="A70" s="43" t="str">
        <x:v>L2025-00078-1</x:v>
      </x:c>
      <x:c r="B70" s="46" t="str">
        <x:v>L2025-00078-1/1. 일간지 공고내역.pdf</x:v>
      </x:c>
      <x:c r="C70" s="43" t="str">
        <x:v>.pdf</x:v>
      </x:c>
      <x:c r="D70" s="61" t="n">
        <x:v>1411733</x:v>
      </x:c>
      <x:c r="E70" s="61" t="n">
        <x:v>1</x:v>
      </x:c>
      <x:c r="F70" s="61" t="n">
        <x:v>0</x:v>
      </x:c>
    </x:row>
    <x:row r="71">
      <x:c r="A71" s="43" t="str">
        <x:v>L2025-00078-1</x:v>
      </x:c>
      <x:c r="B71" s="46" t="str">
        <x:v>L2025-00078-1/2. (BDS)영문 입찰계획서.docx</x:v>
      </x:c>
      <x:c r="C71" s="43" t="str">
        <x:v>.docx</x:v>
      </x:c>
      <x:c r="D71" s="61" t="n">
        <x:v>68663</x:v>
      </x:c>
      <x:c r="E71" s="61" t="n">
        <x:v>295</x:v>
      </x:c>
      <x:c r="F71" s="61" t="n">
        <x:v>6</x:v>
      </x:c>
    </x:row>
    <x:row r="72">
      <x:c r="A72" s="43" t="str">
        <x:v>L2025-00075-1</x:v>
      </x:c>
      <x:c r="B72" s="46" t="str">
        <x:v>L2025-00075-1/Power of Attorney for the authority to sign and execute contracts.docx</x:v>
      </x:c>
      <x:c r="C72" s="43" t="str">
        <x:v>.docx</x:v>
      </x:c>
      <x:c r="D72" s="61" t="n">
        <x:v>18112</x:v>
      </x:c>
      <x:c r="E72" s="61" t="n">
        <x:v>15</x:v>
      </x:c>
      <x:c r="F72" s="61" t="n">
        <x:v>0</x:v>
      </x:c>
    </x:row>
    <x:row r="73">
      <x:c r="A73" s="43" t="str">
        <x:v>L2025-00075-1</x:v>
      </x:c>
      <x:c r="B73" s="46" t="str">
        <x:v>L2025-00075-1/Section 1 - Instructions to Bidders (ITB)_fin.docx</x:v>
      </x:c>
      <x:c r="C73" s="43" t="str">
        <x:v>.docx</x:v>
      </x:c>
      <x:c r="D73" s="61" t="n">
        <x:v>35098</x:v>
      </x:c>
      <x:c r="E73" s="61" t="n">
        <x:v>160</x:v>
      </x:c>
      <x:c r="F73" s="61" t="n">
        <x:v>0</x:v>
      </x:c>
    </x:row>
    <x:row r="74">
      <x:c r="A74" s="43" t="str">
        <x:v>L2025-00075-1</x:v>
      </x:c>
      <x:c r="B74" s="46" t="str">
        <x:v>L2025-00075-1/Section 2 - Bid Data Sheet (BDS)_20250913_fin.docx</x:v>
      </x:c>
      <x:c r="C74" s="43" t="str">
        <x:v>.docx</x:v>
      </x:c>
      <x:c r="D74" s="61" t="n">
        <x:v>78715</x:v>
      </x:c>
      <x:c r="E74" s="61" t="n">
        <x:v>334</x:v>
      </x:c>
      <x:c r="F74" s="61" t="n">
        <x:v>5</x:v>
      </x:c>
    </x:row>
    <x:row r="75">
      <x:c r="A75" s="43" t="str">
        <x:v>L2025-00075-1</x:v>
      </x:c>
      <x:c r="B75" s="46" t="str">
        <x:v>L2025-00075-1/Section 3 - Bidding Forms_fin.docx</x:v>
      </x:c>
      <x:c r="C75" s="43" t="str">
        <x:v>.docx</x:v>
      </x:c>
      <x:c r="D75" s="61" t="n">
        <x:v>64142</x:v>
      </x:c>
      <x:c r="E75" s="61" t="n">
        <x:v>363</x:v>
      </x:c>
      <x:c r="F75" s="61" t="n">
        <x:v>2</x:v>
      </x:c>
    </x:row>
    <x:row r="76">
      <x:c r="A76" s="43" t="str">
        <x:v>L2025-00075-1</x:v>
      </x:c>
      <x:c r="B76" s="46" t="str">
        <x:v>L2025-00075-1/Section 4 - Selection method of successful bidder_fin.docx</x:v>
      </x:c>
      <x:c r="C76" s="43" t="str">
        <x:v>.docx</x:v>
      </x:c>
      <x:c r="D76" s="61" t="n">
        <x:v>43394</x:v>
      </x:c>
      <x:c r="E76" s="61" t="n">
        <x:v>103</x:v>
      </x:c>
      <x:c r="F76" s="61" t="n">
        <x:v>0</x:v>
      </x:c>
    </x:row>
    <x:row r="77">
      <x:c r="A77" s="43" t="str">
        <x:v>L2025-00075-1</x:v>
      </x:c>
      <x:c r="B77" s="46" t="str">
        <x:v>L2025-00075-1/Section 5 - Request for Proposal (RFP)_Design Service_fin.docx</x:v>
      </x:c>
      <x:c r="C77" s="43" t="str">
        <x:v>.docx</x:v>
      </x:c>
      <x:c r="D77" s="61" t="n">
        <x:v>6199714</x:v>
      </x:c>
      <x:c r="E77" s="61" t="n">
        <x:v>385</x:v>
      </x:c>
      <x:c r="F77" s="61" t="n">
        <x:v>16</x:v>
      </x:c>
    </x:row>
    <x:row r="78">
      <x:c r="A78" s="43" t="str">
        <x:v>L2025-00075-1</x:v>
      </x:c>
      <x:c r="B78" s="46" t="str">
        <x:v>L2025-00075-1/Section 6 - General Conditions of Contract_fin.docx</x:v>
      </x:c>
      <x:c r="C78" s="43" t="str">
        <x:v>.docx</x:v>
      </x:c>
      <x:c r="D78" s="61" t="n">
        <x:v>42999</x:v>
      </x:c>
      <x:c r="E78" s="61" t="n">
        <x:v>216</x:v>
      </x:c>
      <x:c r="F78" s="61" t="n">
        <x:v>0</x:v>
      </x:c>
    </x:row>
    <x:row r="79">
      <x:c r="A79" s="43" t="str">
        <x:v>L2025-00075-1</x:v>
      </x:c>
      <x:c r="B79" s="46" t="str">
        <x:v>L2025-00075-1/Section 7 - Special Conditions of Contract_fin.docx</x:v>
      </x:c>
      <x:c r="C79" s="43" t="str">
        <x:v>.docx</x:v>
      </x:c>
      <x:c r="D79" s="61" t="n">
        <x:v>43667</x:v>
      </x:c>
      <x:c r="E79" s="61" t="n">
        <x:v>132</x:v>
      </x:c>
      <x:c r="F79" s="61" t="n">
        <x:v>2</x:v>
      </x:c>
    </x:row>
    <x:row r="80">
      <x:c r="A80" s="43" t="str">
        <x:v>L2025-00075-1</x:v>
      </x:c>
      <x:c r="B80" s="46" t="str">
        <x:v>L2025-00075-1/Section 8 - Contract Forms_fin.docx</x:v>
      </x:c>
      <x:c r="C80" s="43" t="str">
        <x:v>.docx</x:v>
      </x:c>
      <x:c r="D80" s="61" t="n">
        <x:v>27821</x:v>
      </x:c>
      <x:c r="E80" s="61" t="n">
        <x:v>33</x:v>
      </x:c>
      <x:c r="F80" s="61" t="n">
        <x:v>1</x:v>
      </x:c>
    </x:row>
    <x:row r="81">
      <x:c r="A81" s="43" t="str">
        <x:v>L2025-00075-1</x:v>
      </x:c>
      <x:c r="B81" s="46" t="str">
        <x:v>L2025-00075-1/Section 9 - Pledges.zip</x:v>
      </x:c>
      <x:c r="C81" s="43" t="str">
        <x:v>.zip</x:v>
      </x:c>
      <x:c r="D81" s="61" t="n">
        <x:v>68676</x:v>
      </x:c>
      <x:c r="E81" s="61" t="n">
        <x:v>0</x:v>
      </x:c>
      <x:c r="F81" s="61" t="n">
        <x:v>0</x:v>
      </x:c>
    </x:row>
    <x:row r="82">
      <x:c r="A82" s="43" t="str">
        <x:v>L2025-00075-1</x:v>
      </x:c>
      <x:c r="B82" s="46" t="str">
        <x:v>L2025-00075-1/Section 9 - Pledges/Declaration of Anti_Corruption (╣▌║╬╞╨ ╝▒╛≡╝¡).docx</x:v>
      </x:c>
      <x:c r="C82" s="43" t="str">
        <x:v>.docx</x:v>
      </x:c>
      <x:c r="D82" s="61" t="n">
        <x:v>23025</x:v>
      </x:c>
      <x:c r="E82" s="61" t="n">
        <x:v>38</x:v>
      </x:c>
      <x:c r="F82" s="61" t="n">
        <x:v>0</x:v>
      </x:c>
    </x:row>
    <x:row r="83">
      <x:c r="A83" s="43" t="str">
        <x:v>L2025-00075-1</x:v>
      </x:c>
      <x:c r="B83" s="46" t="str">
        <x:v>L2025-00075-1/Section 9 - Pledges/Fair Contract Pledge Letter (░°┴ñ░Φ╛α ╝¡╛α╝¡).docx</x:v>
      </x:c>
      <x:c r="C83" s="43" t="str">
        <x:v>.docx</x:v>
      </x:c>
      <x:c r="D83" s="61" t="n">
        <x:v>18740</x:v>
      </x:c>
      <x:c r="E83" s="61" t="n">
        <x:v>20</x:v>
      </x:c>
      <x:c r="F83" s="61" t="n">
        <x:v>0</x:v>
      </x:c>
    </x:row>
    <x:row r="84">
      <x:c r="A84" s="43" t="str">
        <x:v>L2025-00075-1</x:v>
      </x:c>
      <x:c r="B84" s="46" t="str">
        <x:v>L2025-00075-1/Section 9 - Pledges/Integrity Pledge (├╗╖┼░Φ╛α╝¡).docx</x:v>
      </x:c>
      <x:c r="C84" s="43" t="str">
        <x:v>.docx</x:v>
      </x:c>
      <x:c r="D84" s="61" t="n">
        <x:v>36507</x:v>
      </x:c>
      <x:c r="E84" s="61" t="n">
        <x:v>17</x:v>
      </x:c>
      <x:c r="F84" s="61" t="n">
        <x:v>0</x:v>
      </x:c>
    </x:row>
    <x:row r="85">
      <x:c r="A85" s="43" t="str">
        <x:v>L2025-00075-1</x:v>
      </x:c>
      <x:c r="B85" s="46" t="str">
        <x:v>L2025-00075-1/Summary of Bidding_Invitation to Bid_250913.docx</x:v>
      </x:c>
      <x:c r="C85" s="43" t="str">
        <x:v>.docx</x:v>
      </x:c>
      <x:c r="D85" s="61" t="n">
        <x:v>31039</x:v>
      </x:c>
      <x:c r="E85" s="61" t="n">
        <x:v>41</x:v>
      </x:c>
      <x:c r="F85" s="61" t="n">
        <x:v>4</x:v>
      </x:c>
    </x:row>
    <x:row r="86">
      <x:c r="A86" s="43" t="str">
        <x:v>L2025-00073-1</x:v>
      </x:c>
      <x:c r="B86" s="46" t="str">
        <x:v>L2025-00073-1/(붙임1) 입찰공고문(국문).pdf</x:v>
      </x:c>
      <x:c r="C86" s="43" t="str">
        <x:v>.pdf</x:v>
      </x:c>
      <x:c r="D86" s="61" t="n">
        <x:v>270250</x:v>
      </x:c>
      <x:c r="E86" s="61" t="n">
        <x:v>20</x:v>
      </x:c>
      <x:c r="F86" s="61" t="n">
        <x:v>9</x:v>
      </x:c>
    </x:row>
    <x:row r="87">
      <x:c r="A87" s="43" t="str">
        <x:v>L2025-00073-1</x:v>
      </x:c>
      <x:c r="B87" s="46" t="str">
        <x:v>L2025-00073-1/(붙임2) 입찰서류(영문)_도면, 시방서, 프로젝트리포트 제외.zip</x:v>
      </x:c>
      <x:c r="C87" s="43" t="str">
        <x:v>.zip</x:v>
      </x:c>
      <x:c r="D87" s="61" t="n">
        <x:v>1408588</x:v>
      </x:c>
      <x:c r="E87" s="61" t="n">
        <x:v>0</x:v>
      </x:c>
      <x:c r="F87" s="61" t="n">
        <x:v>0</x:v>
      </x:c>
    </x:row>
    <x:row r="88">
      <x:c r="A88" s="43" t="str">
        <x:v>L2025-00073-1</x:v>
      </x:c>
      <x:c r="B88" s="46" t="str">
        <x:v>L2025-00073-1/(붙임2) 입찰서류(영문)_도면, 시방서, 프로젝트리포트 제외/Section 1_Instructions to Bidders(ITB).hwp</x:v>
      </x:c>
      <x:c r="C88" s="43" t="str">
        <x:v>.hwp</x:v>
      </x:c>
      <x:c r="D88" s="61" t="n">
        <x:v>105984</x:v>
      </x:c>
      <x:c r="E88" s="61" t="n">
        <x:v>165</x:v>
      </x:c>
      <x:c r="F88" s="61" t="n">
        <x:v>0</x:v>
      </x:c>
    </x:row>
    <x:row r="89">
      <x:c r="A89" s="43" t="str">
        <x:v>L2025-00073-1</x:v>
      </x:c>
      <x:c r="B89" s="46" t="str">
        <x:v>L2025-00073-1/(붙임2) 입찰서류(영문)_도면, 시방서, 프로젝트리포트 제외/Section 2_Bid Data Sheet(BDS).docx</x:v>
      </x:c>
      <x:c r="C89" s="43" t="str">
        <x:v>.docx</x:v>
      </x:c>
      <x:c r="D89" s="61" t="n">
        <x:v>89464</x:v>
      </x:c>
      <x:c r="E89" s="61" t="n">
        <x:v>321</x:v>
      </x:c>
      <x:c r="F89" s="61" t="n">
        <x:v>6</x:v>
      </x:c>
    </x:row>
    <x:row r="90">
      <x:c r="A90" s="43" t="str">
        <x:v>L2025-00073-1</x:v>
      </x:c>
      <x:c r="B90" s="46" t="str">
        <x:v>L2025-00073-1/(붙임2) 입찰서류(영문)_도면, 시방서, 프로젝트리포트 제외/Section 3_Bid Forms.docx</x:v>
      </x:c>
      <x:c r="C90" s="43" t="str">
        <x:v>.docx</x:v>
      </x:c>
      <x:c r="D90" s="61" t="n">
        <x:v>105730</x:v>
      </x:c>
      <x:c r="E90" s="61" t="n">
        <x:v>279</x:v>
      </x:c>
      <x:c r="F90" s="61" t="n">
        <x:v>0</x:v>
      </x:c>
    </x:row>
    <x:row r="91">
      <x:c r="A91" s="43" t="str">
        <x:v>L2025-00073-1</x:v>
      </x:c>
      <x:c r="B91" s="46" t="str">
        <x:v>L2025-00073-1/(붙임2) 입찰서류(영문)_도면, 시방서, 프로젝트리포트 제외/Section 4_BLANK BOQ.xlsx</x:v>
      </x:c>
      <x:c r="C91" s="43" t="str">
        <x:v>.xlsx</x:v>
      </x:c>
      <x:c r="D91" s="61" t="n">
        <x:v>875472</x:v>
      </x:c>
      <x:c r="E91" s="61" t="n">
        <x:v>11850</x:v>
      </x:c>
      <x:c r="F91" s="61" t="n">
        <x:v>32</x:v>
      </x:c>
    </x:row>
    <x:row r="92">
      <x:c r="A92" s="43" t="str">
        <x:v>L2025-00073-1</x:v>
      </x:c>
      <x:c r="B92" s="46" t="str">
        <x:v>L2025-00073-1/(붙임2) 입찰서류(영문)_도면, 시방서, 프로젝트리포트 제외/Section 7_General Conditions of Contract.docx</x:v>
      </x:c>
      <x:c r="C92" s="43" t="str">
        <x:v>.docx</x:v>
      </x:c>
      <x:c r="D92" s="61" t="n">
        <x:v>205732</x:v>
      </x:c>
      <x:c r="E92" s="61" t="n">
        <x:v>1406</x:v>
      </x:c>
      <x:c r="F92" s="61" t="n">
        <x:v>2</x:v>
      </x:c>
    </x:row>
    <x:row r="93">
      <x:c r="A93" s="43" t="str">
        <x:v>L2025-00073-1</x:v>
      </x:c>
      <x:c r="B93" s="46" t="str">
        <x:v>L2025-00073-1/(붙임2) 입찰서류(영문)_도면, 시방서, 프로젝트리포트 제외/Section 8_Special Conditions of Contract.docx</x:v>
      </x:c>
      <x:c r="C93" s="43" t="str">
        <x:v>.docx</x:v>
      </x:c>
      <x:c r="D93" s="61" t="n">
        <x:v>61232</x:v>
      </x:c>
      <x:c r="E93" s="61" t="n">
        <x:v>256</x:v>
      </x:c>
      <x:c r="F93" s="61" t="n">
        <x:v>4</x:v>
      </x:c>
    </x:row>
    <x:row r="94">
      <x:c r="A94" s="43" t="str">
        <x:v>L2025-00073-1</x:v>
      </x:c>
      <x:c r="B94" s="46" t="str">
        <x:v>L2025-00073-1/(붙임2) 입찰서류(영문)_도면, 시방서, 프로젝트리포트 제외/Section 9_Contract Forms.docx</x:v>
      </x:c>
      <x:c r="C94" s="43" t="str">
        <x:v>.docx</x:v>
      </x:c>
      <x:c r="D94" s="61" t="n">
        <x:v>40462</x:v>
      </x:c>
      <x:c r="E94" s="61" t="n">
        <x:v>32</x:v>
      </x:c>
      <x:c r="F94" s="61" t="n">
        <x:v>0</x:v>
      </x:c>
    </x:row>
    <x:row r="95">
      <x:c r="A95" s="43" t="str">
        <x:v>L2025-00071-1</x:v>
      </x:c>
      <x:c r="B95" s="46" t="str">
        <x:v>L2025-00071-1/붙임2. 현지입찰(재공고입찰) 서류 및 계약서류(안).zip</x:v>
      </x:c>
      <x:c r="C95" s="43" t="str">
        <x:v>.zip</x:v>
      </x:c>
      <x:c r="D95" s="61" t="n">
        <x:v>8311530</x:v>
      </x:c>
      <x:c r="E95" s="61" t="n">
        <x:v>0</x:v>
      </x:c>
      <x:c r="F95" s="61" t="n">
        <x:v>0</x:v>
      </x:c>
    </x:row>
    <x:row r="96">
      <x:c r="A96" s="43" t="str">
        <x:v>L2025-00071-1</x:v>
      </x:c>
      <x:c r="B96" s="46" t="str">
        <x:v>L2025-00071-1/붙임2. 현지입찰(재공고입찰) 서류 및 계약서류(안)/í┌Summary of Bidding IKHCC_250903_final revised(╟÷┴÷ ░°░φ┐δ).docx</x:v>
      </x:c>
      <x:c r="C96" s="43" t="str">
        <x:v>.docx</x:v>
      </x:c>
      <x:c r="D96" s="61" t="n">
        <x:v>30392</x:v>
      </x:c>
      <x:c r="E96" s="61" t="n">
        <x:v>42</x:v>
      </x:c>
      <x:c r="F96" s="61" t="n">
        <x:v>4</x:v>
      </x:c>
    </x:row>
    <x:row r="97">
      <x:c r="A97" s="43" t="str">
        <x:v>L2025-00071-1</x:v>
      </x:c>
      <x:c r="B97" s="46" t="str">
        <x:v>L2025-00071-1/붙임2. 현지입찰(재공고입찰) 서류 및 계약서류(안)/IKHCC Section 1 - Instructions to bidder in the international bidding of KOICA.docx</x:v>
      </x:c>
      <x:c r="C97" s="43" t="str">
        <x:v>.docx</x:v>
      </x:c>
      <x:c r="D97" s="61" t="n">
        <x:v>36396</x:v>
      </x:c>
      <x:c r="E97" s="61" t="n">
        <x:v>202</x:v>
      </x:c>
      <x:c r="F97" s="61" t="n">
        <x:v>0</x:v>
      </x:c>
    </x:row>
    <x:row r="98">
      <x:c r="A98" s="43" t="str">
        <x:v>L2025-00071-1</x:v>
      </x:c>
      <x:c r="B98" s="46" t="str">
        <x:v>L2025-00071-1/붙임2. 현지입찰(재공고입찰) 서류 및 계약서류(안)/IKHCC Section 2 - Bid Data Sheet (ITB) (English)  250903_final.docx</x:v>
      </x:c>
      <x:c r="C98" s="43" t="str">
        <x:v>.docx</x:v>
      </x:c>
      <x:c r="D98" s="61" t="n">
        <x:v>73525</x:v>
      </x:c>
      <x:c r="E98" s="61" t="n">
        <x:v>300</x:v>
      </x:c>
      <x:c r="F98" s="61" t="n">
        <x:v>12</x:v>
      </x:c>
    </x:row>
    <x:row r="99">
      <x:c r="A99" s="43" t="str">
        <x:v>L2025-00071-1</x:v>
      </x:c>
      <x:c r="B99" s="46" t="str">
        <x:v>L2025-00071-1/붙임2. 현지입찰(재공고입찰) 서류 및 계약서류(안)/IKHCC Section 3 - Bidding Forms 250903.docx</x:v>
      </x:c>
      <x:c r="C99" s="43" t="str">
        <x:v>.docx</x:v>
      </x:c>
      <x:c r="D99" s="61" t="n">
        <x:v>67889</x:v>
      </x:c>
      <x:c r="E99" s="61" t="n">
        <x:v>361</x:v>
      </x:c>
      <x:c r="F99" s="61" t="n">
        <x:v>3</x:v>
      </x:c>
    </x:row>
    <x:row r="100">
      <x:c r="A100" s="43" t="str">
        <x:v>L2025-00071-1</x:v>
      </x:c>
      <x:c r="B100" s="46" t="str">
        <x:v>L2025-00071-1/붙임2. 현지입찰(재공고입찰) 서류 및 계약서류(안)/IKHCC Section 4 - IKHCC BLANK BOQ 250903.Zip</x:v>
      </x:c>
      <x:c r="C100" s="43" t="str">
        <x:v>.zip</x:v>
      </x:c>
      <x:c r="D100" s="61" t="n">
        <x:v>7985148</x:v>
      </x:c>
      <x:c r="E100" s="61" t="n">
        <x:v>0</x:v>
      </x:c>
      <x:c r="F100" s="61" t="n">
        <x:v>0</x:v>
      </x:c>
    </x:row>
    <x:row r="101">
      <x:c r="A101" s="43" t="str">
        <x:v>L2025-00071-1</x:v>
      </x:c>
      <x:c r="B101" s="46" t="str">
        <x:v>L2025-00071-1/붙임2. 현지입찰(재공고입찰) 서류 및 계약서류(안)/IKHCC Section 4,5,6 BOQ, Drawing, Spec.docx</x:v>
      </x:c>
      <x:c r="C101" s="43" t="str">
        <x:v>.docx</x:v>
      </x:c>
      <x:c r="D101" s="61" t="n">
        <x:v>11941</x:v>
      </x:c>
      <x:c r="E101" s="61" t="n">
        <x:v>6</x:v>
      </x:c>
      <x:c r="F101" s="61" t="n">
        <x:v>0</x:v>
      </x:c>
    </x:row>
    <x:row r="102">
      <x:c r="A102" s="43" t="str">
        <x:v>L2025-00071-1</x:v>
      </x:c>
      <x:c r="B102" s="46" t="str">
        <x:v>L2025-00071-1/붙임2. 현지입찰(재공고입찰) 서류 및 계약서류(안)/IKHCC Section 7,8 - contract conditions - General &amp; Special conditions. of contract 250903.docx</x:v>
      </x:c>
      <x:c r="C102" s="43" t="str">
        <x:v>.docx</x:v>
      </x:c>
      <x:c r="D102" s="61" t="n">
        <x:v>216099</x:v>
      </x:c>
      <x:c r="E102" s="61" t="n">
        <x:v>1500</x:v>
      </x:c>
      <x:c r="F102" s="61" t="n">
        <x:v>4</x:v>
      </x:c>
    </x:row>
    <x:row r="103">
      <x:c r="A103" s="43" t="str">
        <x:v>L2025-00071-1</x:v>
      </x:c>
      <x:c r="B103" s="46" t="str">
        <x:v>L2025-00071-1/붙임2. 현지입찰(재공고입찰) 서류 및 계약서류(안)/IKHCC Section 9 - Contract Forms 250903-1.docx</x:v>
      </x:c>
      <x:c r="C103" s="43" t="str">
        <x:v>.docx</x:v>
      </x:c>
      <x:c r="D103" s="61" t="n">
        <x:v>37725</x:v>
      </x:c>
      <x:c r="E103" s="61" t="n">
        <x:v>28</x:v>
      </x:c>
      <x:c r="F103" s="61" t="n">
        <x:v>0</x:v>
      </x:c>
    </x:row>
    <x:row r="104">
      <x:c r="A104" s="43" t="str">
        <x:v>L2025-00070-1</x:v>
      </x:c>
      <x:c r="B104" s="46" t="str">
        <x:v>L2025-00070-1/붙임3. 현지입찰 서류 및 계약서류(안).zip</x:v>
      </x:c>
      <x:c r="C104" s="43" t="str">
        <x:v>.zip</x:v>
      </x:c>
      <x:c r="D104" s="61" t="n">
        <x:v>8767106</x:v>
      </x:c>
      <x:c r="E104" s="61" t="n">
        <x:v>0</x:v>
      </x:c>
      <x:c r="F104" s="61" t="n">
        <x:v>0</x:v>
      </x:c>
    </x:row>
    <x:row r="105">
      <x:c r="A105" s="43" t="str">
        <x:v>L2025-00070-1</x:v>
      </x:c>
      <x:c r="B105" s="46" t="str">
        <x:v>L2025-00070-1/붙임3. 현지입찰 서류 및 계약서류(안)/IKHCC Section 1 - Instructions to bidder in the international bidding of KOICA.docx</x:v>
      </x:c>
      <x:c r="C105" s="43" t="str">
        <x:v>.docx</x:v>
      </x:c>
      <x:c r="D105" s="61" t="n">
        <x:v>36396</x:v>
      </x:c>
      <x:c r="E105" s="61" t="n">
        <x:v>202</x:v>
      </x:c>
      <x:c r="F105" s="61" t="n">
        <x:v>0</x:v>
      </x:c>
    </x:row>
    <x:row r="106">
      <x:c r="A106" s="43" t="str">
        <x:v>L2025-00070-1</x:v>
      </x:c>
      <x:c r="B106" s="46" t="str">
        <x:v>L2025-00070-1/붙임3. 현지입찰 서류 및 계약서류(안)/IKHCC Section 2 - Bid Data Sheet (ITB) (English) revised final 250702.docx</x:v>
      </x:c>
      <x:c r="C106" s="43" t="str">
        <x:v>.docx</x:v>
      </x:c>
      <x:c r="D106" s="61" t="n">
        <x:v>73867</x:v>
      </x:c>
      <x:c r="E106" s="61" t="n">
        <x:v>300</x:v>
      </x:c>
      <x:c r="F106" s="61" t="n">
        <x:v>11</x:v>
      </x:c>
    </x:row>
    <x:row r="107">
      <x:c r="A107" s="43" t="str">
        <x:v>L2025-00070-1</x:v>
      </x:c>
      <x:c r="B107" s="46" t="str">
        <x:v>L2025-00070-1/붙임3. 현지입찰 서류 및 계약서류(안)/IKHCC Section 3 - Bidding Forms 250624-2.docx</x:v>
      </x:c>
      <x:c r="C107" s="43" t="str">
        <x:v>.docx</x:v>
      </x:c>
      <x:c r="D107" s="61" t="n">
        <x:v>69664</x:v>
      </x:c>
      <x:c r="E107" s="61" t="n">
        <x:v>362</x:v>
      </x:c>
      <x:c r="F107" s="61" t="n">
        <x:v>2</x:v>
      </x:c>
    </x:row>
    <x:row r="108">
      <x:c r="A108" s="43" t="str">
        <x:v>L2025-00070-1</x:v>
      </x:c>
      <x:c r="B108" s="46" t="str">
        <x:v>L2025-00070-1/붙임3. 현지입찰 서류 및 계약서류(안)/IKHCC Section 4 - IKHCC BLANK BOQ 250430.zip</x:v>
      </x:c>
      <x:c r="C108" s="43" t="str">
        <x:v>.zip</x:v>
      </x:c>
      <x:c r="D108" s="61" t="n">
        <x:v>8546544</x:v>
      </x:c>
      <x:c r="E108" s="61" t="n">
        <x:v>0</x:v>
      </x:c>
      <x:c r="F108" s="61" t="n">
        <x:v>0</x:v>
      </x:c>
    </x:row>
    <x:row r="109">
      <x:c r="A109" s="43" t="str">
        <x:v>L2025-00070-1</x:v>
      </x:c>
      <x:c r="B109" s="46" t="str">
        <x:v>L2025-00070-1/붙임3. 현지입찰 서류 및 계약서류(안)/IKHCC Section 4,5,6 BOQ, Drawing, Spec.docx</x:v>
      </x:c>
      <x:c r="C109" s="43" t="str">
        <x:v>.docx</x:v>
      </x:c>
      <x:c r="D109" s="61" t="n">
        <x:v>11941</x:v>
      </x:c>
      <x:c r="E109" s="61" t="n">
        <x:v>6</x:v>
      </x:c>
      <x:c r="F109" s="61" t="n">
        <x:v>0</x:v>
      </x:c>
    </x:row>
    <x:row r="110">
      <x:c r="A110" s="43" t="str">
        <x:v>L2025-00070-1</x:v>
      </x:c>
      <x:c r="B110" s="46" t="str">
        <x:v>L2025-00070-1/붙임3. 현지입찰 서류 및 계약서류(안)/IKHCC Section 7,8 - contract conditions - General &amp; Special conditions. of contract 250311.docx</x:v>
      </x:c>
      <x:c r="C110" s="43" t="str">
        <x:v>.docx</x:v>
      </x:c>
      <x:c r="D110" s="61" t="n">
        <x:v>217679</x:v>
      </x:c>
      <x:c r="E110" s="61" t="n">
        <x:v>1499</x:v>
      </x:c>
      <x:c r="F110" s="61" t="n">
        <x:v>4</x:v>
      </x:c>
    </x:row>
    <x:row r="111">
      <x:c r="A111" s="43" t="str">
        <x:v>L2025-00070-1</x:v>
      </x:c>
      <x:c r="B111" s="46" t="str">
        <x:v>L2025-00070-1/붙임3. 현지입찰 서류 및 계약서류(안)/IKHCC Section 9 - Contract Forms 250625.docx</x:v>
      </x:c>
      <x:c r="C111" s="43" t="str">
        <x:v>.docx</x:v>
      </x:c>
      <x:c r="D111" s="61" t="n">
        <x:v>38596</x:v>
      </x:c>
      <x:c r="E111" s="61" t="n">
        <x:v>28</x:v>
      </x:c>
      <x:c r="F111" s="61" t="n">
        <x:v>0</x:v>
      </x:c>
    </x:row>
    <x:row r="112">
      <x:c r="A112" s="43" t="str">
        <x:v>L2025-00070-1</x:v>
      </x:c>
      <x:c r="B112" s="46" t="str">
        <x:v>L2025-00070-1/붙임3. 현지입찰 서류 및 계약서류(안)/Summary of Bidding IKHCC_final.docx</x:v>
      </x:c>
      <x:c r="C112" s="43" t="str">
        <x:v>.docx</x:v>
      </x:c>
      <x:c r="D112" s="61" t="n">
        <x:v>30296</x:v>
      </x:c>
      <x:c r="E112" s="61" t="n">
        <x:v>42</x:v>
      </x:c>
      <x:c r="F112" s="61" t="n">
        <x:v>4</x:v>
      </x:c>
    </x:row>
    <x:row r="113">
      <x:c r="A113" s="43" t="str">
        <x:v>L2025-00068-1</x:v>
      </x:c>
      <x:c r="B113" s="46" t="str">
        <x:v>L2025-00068-1/Contact History Declaration.pdf</x:v>
      </x:c>
      <x:c r="C113" s="43" t="str">
        <x:v>.pdf</x:v>
      </x:c>
      <x:c r="D113" s="61" t="n">
        <x:v>1798414</x:v>
      </x:c>
      <x:c r="E113" s="61" t="n">
        <x:v>0</x:v>
      </x:c>
      <x:c r="F113" s="61" t="n">
        <x:v>0</x:v>
      </x:c>
    </x:row>
    <x:row r="114">
      <x:c r="A114" s="43" t="str">
        <x:v>L2025-00068-1</x:v>
      </x:c>
      <x:c r="B114" s="46" t="str">
        <x:v>L2025-00068-1/letter of Oath.pdf</x:v>
      </x:c>
      <x:c r="C114" s="43" t="str">
        <x:v>.pdf</x:v>
      </x:c>
      <x:c r="D114" s="61" t="n">
        <x:v>2971318</x:v>
      </x:c>
      <x:c r="E114" s="61" t="n">
        <x:v>0</x:v>
      </x:c>
      <x:c r="F114" s="61" t="n">
        <x:v>0</x:v>
      </x:c>
    </x:row>
    <x:row r="115">
      <x:c r="A115" s="43" t="str">
        <x:v>L2025-00068-1</x:v>
      </x:c>
      <x:c r="B115" s="46" t="str">
        <x:v>L2025-00068-1/입찰결과.pdf</x:v>
      </x:c>
      <x:c r="C115" s="43" t="str">
        <x:v>.pdf</x:v>
      </x:c>
      <x:c r="D115" s="61" t="n">
        <x:v>55019</x:v>
      </x:c>
      <x:c r="E115" s="61" t="n">
        <x:v>1</x:v>
      </x:c>
      <x:c r="F115" s="61" t="n">
        <x:v>0</x:v>
      </x:c>
    </x:row>
    <x:row r="116">
      <x:c r="A116" s="43" t="str">
        <x:v>L2025-00068-1</x:v>
      </x:c>
      <x:c r="B116" s="46" t="str">
        <x:v>L2025-00068-1/최종 평가(총괄표).xlsx</x:v>
      </x:c>
      <x:c r="C116" s="43" t="str">
        <x:v>.xlsx</x:v>
      </x:c>
      <x:c r="D116" s="61" t="n">
        <x:v>25110</x:v>
      </x:c>
      <x:c r="E116" s="61" t="n">
        <x:v>91</x:v>
      </x:c>
      <x:c r="F116" s="61" t="n">
        <x:v>0</x:v>
      </x:c>
    </x:row>
    <x:row r="117">
      <x:c r="A117" s="43" t="str">
        <x:v>L2025-00066-1</x:v>
      </x:c>
      <x:c r="B117" s="46" t="str">
        <x:v>L2025-00066-1/붙임1. Section 2 - 입찰공고문 (BDS)_파키스탄_물탄_설계_최종.hwp</x:v>
      </x:c>
      <x:c r="C117" s="43" t="str">
        <x:v>.hwp</x:v>
      </x:c>
      <x:c r="D117" s="61" t="n">
        <x:v>78336</x:v>
      </x:c>
      <x:c r="E117" s="61" t="n">
        <x:v>564</x:v>
      </x:c>
      <x:c r="F117" s="61" t="n">
        <x:v>1</x:v>
      </x:c>
    </x:row>
    <x:row r="118">
      <x:c r="A118" s="43" t="str">
        <x:v>L2025-00066-1</x:v>
      </x:c>
      <x:c r="B118" s="46" t="str">
        <x:v>L2025-00066-1/붙임2. 입찰 부속서류 일체.fin.zip</x:v>
      </x:c>
      <x:c r="C118" s="43" t="str">
        <x:v>.zip</x:v>
      </x:c>
      <x:c r="D118" s="61" t="n">
        <x:v>6227677</x:v>
      </x:c>
      <x:c r="E118" s="61" t="n">
        <x:v>0</x:v>
      </x:c>
      <x:c r="F118" s="61" t="n">
        <x:v>0</x:v>
      </x:c>
    </x:row>
    <x:row r="119">
      <x:c r="A119" s="43" t="str">
        <x:v>L2025-00066-1</x:v>
      </x:c>
      <x:c r="B119" s="46" t="str">
        <x:v>L2025-00066-1/붙임2. 입찰 부속서류 일체.fin/Section 1 - Instructions to Bidders (ITB).docx</x:v>
      </x:c>
      <x:c r="C119" s="43" t="str">
        <x:v>.docx</x:v>
      </x:c>
      <x:c r="D119" s="61" t="n">
        <x:v>30052</x:v>
      </x:c>
      <x:c r="E119" s="61" t="n">
        <x:v>40</x:v>
      </x:c>
      <x:c r="F119" s="61" t="n">
        <x:v>3</x:v>
      </x:c>
    </x:row>
    <x:row r="120">
      <x:c r="A120" s="43" t="str">
        <x:v>L2025-00066-1</x:v>
      </x:c>
      <x:c r="B120" s="46" t="str">
        <x:v>L2025-00066-1/붙임2. 입찰 부속서류 일체.fin/Section 2 - Bid Data Sheet (BDS)_ver.fin.docx</x:v>
      </x:c>
      <x:c r="C120" s="43" t="str">
        <x:v>.docx</x:v>
      </x:c>
      <x:c r="D120" s="61" t="n">
        <x:v>73838</x:v>
      </x:c>
      <x:c r="E120" s="61" t="n">
        <x:v>242</x:v>
      </x:c>
      <x:c r="F120" s="61" t="n">
        <x:v>1</x:v>
      </x:c>
    </x:row>
    <x:row r="121">
      <x:c r="A121" s="43" t="str">
        <x:v>L2025-00066-1</x:v>
      </x:c>
      <x:c r="B121" s="46" t="str">
        <x:v>L2025-00066-1/붙임2. 입찰 부속서류 일체.fin/Section 3 - Bidding Forms.docx</x:v>
      </x:c>
      <x:c r="C121" s="43" t="str">
        <x:v>.docx</x:v>
      </x:c>
      <x:c r="D121" s="61" t="n">
        <x:v>82849</x:v>
      </x:c>
      <x:c r="E121" s="61" t="n">
        <x:v>328</x:v>
      </x:c>
      <x:c r="F121" s="61" t="n">
        <x:v>0</x:v>
      </x:c>
    </x:row>
    <x:row r="122">
      <x:c r="A122" s="43" t="str">
        <x:v>L2025-00066-1</x:v>
      </x:c>
      <x:c r="B122" s="46" t="str">
        <x:v>L2025-00066-1/붙임2. 입찰 부속서류 일체.fin/Section 4 - Request for Proposal (RFP).docx</x:v>
      </x:c>
      <x:c r="C122" s="43" t="str">
        <x:v>.docx</x:v>
      </x:c>
      <x:c r="D122" s="61" t="n">
        <x:v>52037</x:v>
      </x:c>
      <x:c r="E122" s="61" t="n">
        <x:v>95</x:v>
      </x:c>
      <x:c r="F122" s="61" t="n">
        <x:v>2</x:v>
      </x:c>
    </x:row>
    <x:row r="123">
      <x:c r="A123" s="43" t="str">
        <x:v>L2025-00066-1</x:v>
      </x:c>
      <x:c r="B123" s="46" t="str">
        <x:v>L2025-00066-1/붙임2. 입찰 부속서류 일체.fin/Section 5 - Terms of reference.docx</x:v>
      </x:c>
      <x:c r="C123" s="43" t="str">
        <x:v>.docx</x:v>
      </x:c>
      <x:c r="D123" s="61" t="n">
        <x:v>4648656</x:v>
      </x:c>
      <x:c r="E123" s="61" t="n">
        <x:v>197</x:v>
      </x:c>
      <x:c r="F123" s="61" t="n">
        <x:v>0</x:v>
      </x:c>
    </x:row>
    <x:row r="124">
      <x:c r="A124" s="43" t="str">
        <x:v>L2025-00066-1</x:v>
      </x:c>
      <x:c r="B124" s="46" t="str">
        <x:v>L2025-00066-1/붙임2. 입찰 부속서류 일체.fin/Section 6 - Reference Documents.zip</x:v>
      </x:c>
      <x:c r="C124" s="43" t="str">
        <x:v>.zip</x:v>
      </x:c>
      <x:c r="D124" s="61" t="n">
        <x:v>1284043</x:v>
      </x:c>
      <x:c r="E124" s="61" t="n">
        <x:v>0</x:v>
      </x:c>
      <x:c r="F124" s="61" t="n">
        <x:v>0</x:v>
      </x:c>
    </x:row>
    <x:row r="125">
      <x:c r="A125" s="43" t="str">
        <x:v>L2025-00066-1</x:v>
      </x:c>
      <x:c r="B125" s="46" t="str">
        <x:v>L2025-00066-1/붙임2. 입찰 부속서류 일체.fin/Section 7 - General Conditions of Contract.docx</x:v>
      </x:c>
      <x:c r="C125" s="43" t="str">
        <x:v>.docx</x:v>
      </x:c>
      <x:c r="D125" s="61" t="n">
        <x:v>35376</x:v>
      </x:c>
      <x:c r="E125" s="61" t="n">
        <x:v>179</x:v>
      </x:c>
      <x:c r="F125" s="61" t="n">
        <x:v>0</x:v>
      </x:c>
    </x:row>
    <x:row r="126">
      <x:c r="A126" s="43" t="str">
        <x:v>L2025-00066-1</x:v>
      </x:c>
      <x:c r="B126" s="46" t="str">
        <x:v>L2025-00066-1/붙임2. 입찰 부속서류 일체.fin/Section 8 - Special Conditions of Contract.docx</x:v>
      </x:c>
      <x:c r="C126" s="43" t="str">
        <x:v>.docx</x:v>
      </x:c>
      <x:c r="D126" s="61" t="n">
        <x:v>23821</x:v>
      </x:c>
      <x:c r="E126" s="61" t="n">
        <x:v>44</x:v>
      </x:c>
      <x:c r="F126" s="61" t="n">
        <x:v>0</x:v>
      </x:c>
    </x:row>
    <x:row r="127">
      <x:c r="A127" s="43" t="str">
        <x:v>L2025-00066-1</x:v>
      </x:c>
      <x:c r="B127" s="46" t="str">
        <x:v>L2025-00066-1/붙임2. 입찰 부속서류 일체.fin/Section 9 - Contract Forms.docx</x:v>
      </x:c>
      <x:c r="C127" s="43" t="str">
        <x:v>.docx</x:v>
      </x:c>
      <x:c r="D127" s="61" t="n">
        <x:v>23396</x:v>
      </x:c>
      <x:c r="E127" s="61" t="n">
        <x:v>91</x:v>
      </x:c>
      <x:c r="F127" s="61" t="n">
        <x:v>0</x:v>
      </x:c>
    </x:row>
    <x:row r="128">
      <x:c r="A128" s="43" t="str">
        <x:v>L2025-00063-1</x:v>
      </x:c>
      <x:c r="B128" s="46" t="str">
        <x:v>L2025-00063-1/2. (영문) 현지 입찰공고문.docx</x:v>
      </x:c>
      <x:c r="C128" s="43" t="str">
        <x:v>.docx</x:v>
      </x:c>
      <x:c r="D128" s="61" t="n">
        <x:v>1779758</x:v>
      </x:c>
      <x:c r="E128" s="61" t="n">
        <x:v>4</x:v>
      </x:c>
      <x:c r="F128" s="61" t="n">
        <x:v>1</x:v>
      </x:c>
    </x:row>
    <x:row r="129">
      <x:c r="A129" s="43" t="str">
        <x:v>L2025-00063-1</x:v>
      </x:c>
      <x:c r="B129" s="46" t="str">
        <x:v>L2025-00063-1/4. 현지 입찰 안내문(영문)_vF.docx</x:v>
      </x:c>
      <x:c r="C129" s="43" t="str">
        <x:v>.docx</x:v>
      </x:c>
      <x:c r="D129" s="61" t="n">
        <x:v>6403096</x:v>
      </x:c>
      <x:c r="E129" s="61" t="n">
        <x:v>293</x:v>
      </x:c>
      <x:c r="F129" s="61" t="n">
        <x:v>2</x:v>
      </x:c>
    </x:row>
    <x:row r="130">
      <x:c r="A130" s="43" t="str">
        <x:v>L2025-00063-1</x:v>
      </x:c>
      <x:c r="B130" s="46" t="str">
        <x:v>L2025-00063-1/5. 현지 입찰 필수 서류(조감도 미포함).zip</x:v>
      </x:c>
      <x:c r="C130" s="43" t="str">
        <x:v>.zip</x:v>
      </x:c>
      <x:c r="D130" s="61" t="n">
        <x:v>9419006</x:v>
      </x:c>
      <x:c r="E130" s="61" t="n">
        <x:v>0</x:v>
      </x:c>
      <x:c r="F130" s="61" t="n">
        <x:v>0</x:v>
      </x:c>
    </x:row>
    <x:row r="131">
      <x:c r="A131" s="43" t="str">
        <x:v>L2025-00063-1</x:v>
      </x:c>
      <x:c r="B131" s="46" t="str">
        <x:v>L2025-00063-1/5. 현지 입찰 필수 서류(조감도 미포함)/Section 1 - Instructions to Bidders (ITB).pdf</x:v>
      </x:c>
      <x:c r="C131" s="43" t="str">
        <x:v>.pdf</x:v>
      </x:c>
      <x:c r="D131" s="61" t="n">
        <x:v>177895</x:v>
      </x:c>
      <x:c r="E131" s="61" t="n">
        <x:v>12</x:v>
      </x:c>
      <x:c r="F131" s="61" t="n">
        <x:v>0</x:v>
      </x:c>
    </x:row>
    <x:row r="132">
      <x:c r="A132" s="43" t="str">
        <x:v>L2025-00063-1</x:v>
      </x:c>
      <x:c r="B132" s="46" t="str">
        <x:v>L2025-00063-1/5. 현지 입찰 필수 서류(조감도 미포함)/Section 2 - Bid Data Sheet (BDS)_vF.docx</x:v>
      </x:c>
      <x:c r="C132" s="43" t="str">
        <x:v>.docx</x:v>
      </x:c>
      <x:c r="D132" s="61" t="n">
        <x:v>6403096</x:v>
      </x:c>
      <x:c r="E132" s="61" t="n">
        <x:v>293</x:v>
      </x:c>
      <x:c r="F132" s="61" t="n">
        <x:v>2</x:v>
      </x:c>
    </x:row>
    <x:row r="133">
      <x:c r="A133" s="43" t="str">
        <x:v>L2025-00063-1</x:v>
      </x:c>
      <x:c r="B133" s="46" t="str">
        <x:v>L2025-00063-1/5. 현지 입찰 필수 서류(조감도 미포함)/Section 3 - Bidding Forms.docx</x:v>
      </x:c>
      <x:c r="C133" s="43" t="str">
        <x:v>.docx</x:v>
      </x:c>
      <x:c r="D133" s="61" t="n">
        <x:v>43335</x:v>
      </x:c>
      <x:c r="E133" s="61" t="n">
        <x:v>195</x:v>
      </x:c>
      <x:c r="F133" s="61" t="n">
        <x:v>0</x:v>
      </x:c>
    </x:row>
    <x:row r="134">
      <x:c r="A134" s="43" t="str">
        <x:v>L2025-00063-1</x:v>
      </x:c>
      <x:c r="B134" s="46" t="str">
        <x:v>L2025-00063-1/5. 현지 입찰 필수 서류(조감도 미포함)/Section 4 - Scope of Works.docx</x:v>
      </x:c>
      <x:c r="C134" s="43" t="str">
        <x:v>.docx</x:v>
      </x:c>
      <x:c r="D134" s="61" t="n">
        <x:v>37711</x:v>
      </x:c>
      <x:c r="E134" s="61" t="n">
        <x:v>53</x:v>
      </x:c>
      <x:c r="F134" s="61" t="n">
        <x:v>0</x:v>
      </x:c>
    </x:row>
    <x:row r="135">
      <x:c r="A135" s="43" t="str">
        <x:v>L2025-00063-1</x:v>
      </x:c>
      <x:c r="B135" s="46" t="str">
        <x:v>L2025-00063-1/5. 현지 입찰 필수 서류(조감도 미포함)/Section 6 - General Conditions of Contract.docx</x:v>
      </x:c>
      <x:c r="C135" s="43" t="str">
        <x:v>.docx</x:v>
      </x:c>
      <x:c r="D135" s="61" t="n">
        <x:v>393391</x:v>
      </x:c>
      <x:c r="E135" s="61" t="n">
        <x:v>179</x:v>
      </x:c>
      <x:c r="F135" s="61" t="n">
        <x:v>0</x:v>
      </x:c>
    </x:row>
    <x:row r="136">
      <x:c r="A136" s="43" t="str">
        <x:v>L2025-00063-1</x:v>
      </x:c>
      <x:c r="B136" s="46" t="str">
        <x:v>L2025-00063-1/5. 현지 입찰 필수 서류(조감도 미포함)/Section 7 - Special Conditions of Contract.docx</x:v>
      </x:c>
      <x:c r="C136" s="43" t="str">
        <x:v>.docx</x:v>
      </x:c>
      <x:c r="D136" s="61" t="n">
        <x:v>394077</x:v>
      </x:c>
      <x:c r="E136" s="61" t="n">
        <x:v>88</x:v>
      </x:c>
      <x:c r="F136" s="61" t="n">
        <x:v>0</x:v>
      </x:c>
    </x:row>
    <x:row r="137">
      <x:c r="A137" s="43" t="str">
        <x:v>L2025-00063-1</x:v>
      </x:c>
      <x:c r="B137" s="46" t="str">
        <x:v>L2025-00063-1/5. 현지 입찰 필수 서류(조감도 미포함)/Section 8 - Contract Forms.docx</x:v>
      </x:c>
      <x:c r="C137" s="43" t="str">
        <x:v>.docx</x:v>
      </x:c>
      <x:c r="D137" s="61" t="n">
        <x:v>569871</x:v>
      </x:c>
      <x:c r="E137" s="61" t="n">
        <x:v>93</x:v>
      </x:c>
      <x:c r="F137" s="61" t="n">
        <x:v>0</x:v>
      </x:c>
    </x:row>
    <x:row r="138">
      <x:c r="A138" s="43" t="str">
        <x:v>L2025-00063-1</x:v>
      </x:c>
      <x:c r="B138" s="46" t="str">
        <x:v>L2025-00063-1/5. 현지 입찰 필수 서류(조감도 미포함)/Section 9_Attachment (KOICA Regulation).zip</x:v>
      </x:c>
      <x:c r="C138" s="43" t="str">
        <x:v>.zip</x:v>
      </x:c>
      <x:c r="D138" s="61" t="n">
        <x:v>1619936</x:v>
      </x:c>
      <x:c r="E138" s="61" t="n">
        <x:v>0</x:v>
      </x:c>
      <x:c r="F138" s="61" t="n">
        <x:v>0</x:v>
      </x:c>
    </x:row>
    <x:row r="139">
      <x:c r="A139" s="43" t="str">
        <x:v>L2025-00062-1</x:v>
      </x:c>
      <x:c r="B139" s="46" t="str">
        <x:v>L2025-00062-1/1-2. 입찰공고문(영문)_시범농장 신축.docx</x:v>
      </x:c>
      <x:c r="C139" s="43" t="str">
        <x:v>.docx</x:v>
      </x:c>
      <x:c r="D139" s="61" t="n">
        <x:v>72366</x:v>
      </x:c>
      <x:c r="E139" s="61" t="n">
        <x:v>223</x:v>
      </x:c>
      <x:c r="F139" s="61" t="n">
        <x:v>5</x:v>
      </x:c>
    </x:row>
    <x:row r="140">
      <x:c r="A140" s="43" t="str">
        <x:v>L2025-00062-1</x:v>
      </x:c>
      <x:c r="B140" s="46" t="str">
        <x:v>L2025-00062-1/붙임 2. 입찰 첨부서류 각 1부(Part II 제외).zip</x:v>
      </x:c>
      <x:c r="C140" s="43" t="str">
        <x:v>.zip</x:v>
      </x:c>
      <x:c r="D140" s="61" t="n">
        <x:v>1753840</x:v>
      </x:c>
      <x:c r="E140" s="61" t="n">
        <x:v>0</x:v>
      </x:c>
      <x:c r="F140" s="61" t="n">
        <x:v>0</x:v>
      </x:c>
    </x:row>
    <x:row r="141">
      <x:c r="A141" s="43" t="str">
        <x:v>L2025-00062-1</x:v>
      </x:c>
      <x:c r="B141" s="46" t="str">
        <x:v>L2025-00062-1/붙임 2. 입찰 첨부서류 각 1부(Part II 제외)/붙임 2. 입찰 첨부서류 각 1부(Part II 제외)/Power of Attorney for the authority to sign and execute contracts (계약서 서명권한 위임장).docx</x:v>
      </x:c>
      <x:c r="C141" s="43" t="str">
        <x:v>.docx</x:v>
      </x:c>
      <x:c r="D141" s="61" t="n">
        <x:v>18759</x:v>
      </x:c>
      <x:c r="E141" s="61" t="n">
        <x:v>15</x:v>
      </x:c>
      <x:c r="F141" s="61" t="n">
        <x:v>0</x:v>
      </x:c>
    </x:row>
    <x:row r="142">
      <x:c r="A142" s="43" t="str">
        <x:v>L2025-00062-1</x:v>
      </x:c>
      <x:c r="B142" s="46" t="str">
        <x:v>L2025-00062-1/붙임 2. 입찰 첨부서류 각 1부(Part II 제외)/붙임 2. 입찰 첨부서류 각 1부(Part II 제외)/Section 1 - Instructions to Bidders (ITB).pdf</x:v>
      </x:c>
      <x:c r="C142" s="43" t="str">
        <x:v>.pdf</x:v>
      </x:c>
      <x:c r="D142" s="61" t="n">
        <x:v>146068</x:v>
      </x:c>
      <x:c r="E142" s="61" t="n">
        <x:v>7</x:v>
      </x:c>
      <x:c r="F142" s="61" t="n">
        <x:v>0</x:v>
      </x:c>
    </x:row>
    <x:row r="143">
      <x:c r="A143" s="43" t="str">
        <x:v>L2025-00062-1</x:v>
      </x:c>
      <x:c r="B143" s="46" t="str">
        <x:v>L2025-00062-1/붙임 2. 입찰 첨부서류 각 1부(Part II 제외)/붙임 2. 입찰 첨부서류 각 1부(Part II 제외)/Section 2 - Bid Data Sheet (New Farm).docx</x:v>
      </x:c>
      <x:c r="C143" s="43" t="str">
        <x:v>.docx</x:v>
      </x:c>
      <x:c r="D143" s="61" t="n">
        <x:v>72111</x:v>
      </x:c>
      <x:c r="E143" s="61" t="n">
        <x:v>223</x:v>
      </x:c>
      <x:c r="F143" s="61" t="n">
        <x:v>5</x:v>
      </x:c>
    </x:row>
    <x:row r="144">
      <x:c r="A144" s="43" t="str">
        <x:v>L2025-00062-1</x:v>
      </x:c>
      <x:c r="B144" s="46" t="str">
        <x:v>L2025-00062-1/붙임 2. 입찰 첨부서류 각 1부(Part II 제외)/붙임 2. 입찰 첨부서류 각 1부(Part II 제외)/Section 3 - Bidding Forms.docx</x:v>
      </x:c>
      <x:c r="C144" s="43" t="str">
        <x:v>.docx</x:v>
      </x:c>
      <x:c r="D144" s="61" t="n">
        <x:v>43979</x:v>
      </x:c>
      <x:c r="E144" s="61" t="n">
        <x:v>166</x:v>
      </x:c>
      <x:c r="F144" s="61" t="n">
        <x:v>0</x:v>
      </x:c>
    </x:row>
    <x:row r="145">
      <x:c r="A145" s="43" t="str">
        <x:v>L2025-00062-1</x:v>
      </x:c>
      <x:c r="B145" s="46" t="str">
        <x:v>L2025-00062-1/붙임 2. 입찰 첨부서류 각 1부(Part II 제외)/붙임 2. 입찰 첨부서류 각 1부(Part II 제외)/Section 6 - Scope of Works.docx</x:v>
      </x:c>
      <x:c r="C145" s="43" t="str">
        <x:v>.docx</x:v>
      </x:c>
      <x:c r="D145" s="61" t="n">
        <x:v>1142778</x:v>
      </x:c>
      <x:c r="E145" s="61" t="n">
        <x:v>218</x:v>
      </x:c>
      <x:c r="F145" s="61" t="n">
        <x:v>1</x:v>
      </x:c>
    </x:row>
    <x:row r="146">
      <x:c r="A146" s="43" t="str">
        <x:v>L2025-00062-1</x:v>
      </x:c>
      <x:c r="B146" s="46" t="str">
        <x:v>L2025-00062-1/붙임 2. 입찰 첨부서류 각 1부(Part II 제외)/붙임 2. 입찰 첨부서류 각 1부(Part II 제외)/Section 7 - General Conditions of Contract.docx</x:v>
      </x:c>
      <x:c r="C146" s="43" t="str">
        <x:v>.docx</x:v>
      </x:c>
      <x:c r="D146" s="61" t="n">
        <x:v>202912</x:v>
      </x:c>
      <x:c r="E146" s="61" t="n">
        <x:v>1406</x:v>
      </x:c>
      <x:c r="F146" s="61" t="n">
        <x:v>2</x:v>
      </x:c>
    </x:row>
    <x:row r="147">
      <x:c r="A147" s="43" t="str">
        <x:v>L2025-00062-1</x:v>
      </x:c>
      <x:c r="B147" s="46" t="str">
        <x:v>L2025-00062-1/붙임 2. 입찰 첨부서류 각 1부(Part II 제외)/붙임 2. 입찰 첨부서류 각 1부(Part II 제외)/Section 8 - Specail Conditions of Contract.docx</x:v>
      </x:c>
      <x:c r="C147" s="43" t="str">
        <x:v>.docx</x:v>
      </x:c>
      <x:c r="D147" s="61" t="n">
        <x:v>60774</x:v>
      </x:c>
      <x:c r="E147" s="61" t="n">
        <x:v>292</x:v>
      </x:c>
      <x:c r="F147" s="61" t="n">
        <x:v>1</x:v>
      </x:c>
    </x:row>
    <x:row r="148">
      <x:c r="A148" s="43" t="str">
        <x:v>L2025-00062-1</x:v>
      </x:c>
      <x:c r="B148" s="46" t="str">
        <x:v>L2025-00062-1/붙임 2. 입찰 첨부서류 각 1부(Part II 제외)/붙임 2. 입찰 첨부서류 각 1부(Part II 제외)/Section 9 - Contract Forms.docx</x:v>
      </x:c>
      <x:c r="C148" s="43" t="str">
        <x:v>.docx</x:v>
      </x:c>
      <x:c r="D148" s="61" t="n">
        <x:v>38159</x:v>
      </x:c>
      <x:c r="E148" s="61" t="n">
        <x:v>30</x:v>
      </x:c>
      <x:c r="F148" s="61" t="n">
        <x:v>0</x:v>
      </x:c>
    </x:row>
    <x:row r="149">
      <x:c r="A149" s="43" t="str">
        <x:v>L2025-00062-1</x:v>
      </x:c>
      <x:c r="B149" s="46" t="str">
        <x:v>L2025-00062-1/붙임 2. 입찰 첨부서류 각 1부(Part II 제외)/붙임 2. 입찰 첨부서류 각 1부(Part II 제외)/Section 9 - Pledges.zip</x:v>
      </x:c>
      <x:c r="C149" s="43" t="str">
        <x:v>.zip</x:v>
      </x:c>
      <x:c r="D149" s="61" t="n">
        <x:v>69143</x:v>
      </x:c>
      <x:c r="E149" s="61" t="n">
        <x:v>0</x:v>
      </x:c>
      <x:c r="F149" s="61" t="n">
        <x:v>0</x:v>
      </x:c>
    </x:row>
    <x:row r="150">
      <x:c r="A150" s="43" t="str">
        <x:v>L2025-00062-1</x:v>
      </x:c>
      <x:c r="B150" s="46" t="str">
        <x:v>L2025-00062-1/붙임 3. 우간다 조달청(PPDA) 관련 규정.zip</x:v>
      </x:c>
      <x:c r="C150" s="43" t="str">
        <x:v>.zip</x:v>
      </x:c>
      <x:c r="D150" s="61" t="n">
        <x:v>1316818</x:v>
      </x:c>
      <x:c r="E150" s="61" t="n">
        <x:v>0</x:v>
      </x:c>
      <x:c r="F150" s="61" t="n">
        <x:v>0</x:v>
      </x:c>
    </x:row>
    <x:row r="151">
      <x:c r="A151" s="43" t="str">
        <x:v>L2025-00062-1</x:v>
      </x:c>
      <x:c r="B151" s="46" t="str">
        <x:v>L2025-00062-1/붙임 3. 우간다 조달청(PPDA) 관련 규정/3-1. (PPDA 보증규정) GUIDELINE-3-OF-2024-ON-BID-AND-PERFORMANCE-SECURITIES.pdf</x:v>
      </x:c>
      <x:c r="C151" s="43" t="str">
        <x:v>.pdf</x:v>
      </x:c>
      <x:c r="D151" s="61" t="n">
        <x:v>1041182</x:v>
      </x:c>
      <x:c r="E151" s="61" t="n">
        <x:v>4</x:v>
      </x:c>
      <x:c r="F151" s="61" t="n">
        <x:v>2</x:v>
      </x:c>
    </x:row>
    <x:row r="152">
      <x:c r="A152" s="43" t="str">
        <x:v>L2025-00062-1</x:v>
      </x:c>
      <x:c r="B152" s="46" t="str">
        <x:v>L2025-00062-1/붙임 3. 우간다 조달청(PPDA) 관련 규정/3-2. (PPDA 특혜마진 관련규정) PPDA-Act-2003 (Ammended 2021).pdf</x:v>
      </x:c>
      <x:c r="C152" s="43" t="str">
        <x:v>.pdf</x:v>
      </x:c>
      <x:c r="D152" s="61" t="n">
        <x:v>515969</x:v>
      </x:c>
      <x:c r="E152" s="61" t="n">
        <x:v>101</x:v>
      </x:c>
      <x:c r="F152" s="61" t="n">
        <x:v>0</x:v>
      </x:c>
    </x:row>
    <x:row r="153">
      <x:c r="A153" s="43" t="str">
        <x:v>L2025-00060-1</x:v>
      </x:c>
      <x:c r="B153" s="46" t="str">
        <x:v>L2025-00060-1/(붙임 1) (국문) 입찰서류_코트디부아르 부아케 설계 및 감리 용역_최종.hwp</x:v>
      </x:c>
      <x:c r="C153" s="43" t="str">
        <x:v>.hwp</x:v>
      </x:c>
      <x:c r="D153" s="61" t="n">
        <x:v>79872</x:v>
      </x:c>
      <x:c r="E153" s="61" t="n">
        <x:v>529</x:v>
      </x:c>
      <x:c r="F153" s="61" t="n">
        <x:v>0</x:v>
      </x:c>
    </x:row>
    <x:row r="154">
      <x:c r="A154" s="43" t="str">
        <x:v>L2025-00060-1</x:v>
      </x:c>
      <x:c r="B154" s="46" t="str">
        <x:v>L2025-00060-1/(붙임 2) (영문) 입찰서류_코트디부아르 부아케 설계 및 감리 용역_최종.zip</x:v>
      </x:c>
      <x:c r="C154" s="43" t="str">
        <x:v>.zip</x:v>
      </x:c>
      <x:c r="D154" s="61" t="n">
        <x:v>4365186</x:v>
      </x:c>
      <x:c r="E154" s="61" t="n">
        <x:v>0</x:v>
      </x:c>
      <x:c r="F154" s="61" t="n">
        <x:v>0</x:v>
      </x:c>
    </x:row>
    <x:row r="155">
      <x:c r="A155" s="43" t="str">
        <x:v>L2025-00060-1</x:v>
      </x:c>
      <x:c r="B155" s="46" t="str">
        <x:v>L2025-00060-1/(붙임 2) (영문) 입찰서류_코트디부아르 부아케 설계 및 감리 용역_최종/Section 1 - Instructions to Bidders (ITB)_Bouake Project Design.zip</x:v>
      </x:c>
      <x:c r="C155" s="43" t="str">
        <x:v>.zip</x:v>
      </x:c>
      <x:c r="D155" s="61" t="n">
        <x:v>216187</x:v>
      </x:c>
      <x:c r="E155" s="61" t="n">
        <x:v>0</x:v>
      </x:c>
      <x:c r="F155" s="61" t="n">
        <x:v>0</x:v>
      </x:c>
    </x:row>
    <x:row r="156">
      <x:c r="A156" s="43" t="str">
        <x:v>L2025-00060-1</x:v>
      </x:c>
      <x:c r="B156" s="46" t="str">
        <x:v>L2025-00060-1/(붙임 2) (영문) 입찰서류_코트디부아르 부아케 설계 및 감리 용역_최종/Section 2 - Bid Data Sheet (BDS)_EN_Bouake Project Design.docx</x:v>
      </x:c>
      <x:c r="C156" s="43" t="str">
        <x:v>.docx</x:v>
      </x:c>
      <x:c r="D156" s="61" t="n">
        <x:v>78529</x:v>
      </x:c>
      <x:c r="E156" s="61" t="n">
        <x:v>260</x:v>
      </x:c>
      <x:c r="F156" s="61" t="n">
        <x:v>1</x:v>
      </x:c>
    </x:row>
    <x:row r="157">
      <x:c r="A157" s="43" t="str">
        <x:v>L2025-00060-1</x:v>
      </x:c>
      <x:c r="B157" s="46" t="str">
        <x:v>L2025-00060-1/(붙임 2) (영문) 입찰서류_코트디부아르 부아케 설계 및 감리 용역_최종/Section 3 - Bidding Forms_Bouake Project Design.docx</x:v>
      </x:c>
      <x:c r="C157" s="43" t="str">
        <x:v>.docx</x:v>
      </x:c>
      <x:c r="D157" s="61" t="n">
        <x:v>57087</x:v>
      </x:c>
      <x:c r="E157" s="61" t="n">
        <x:v>268</x:v>
      </x:c>
      <x:c r="F157" s="61" t="n">
        <x:v>0</x:v>
      </x:c>
    </x:row>
    <x:row r="158">
      <x:c r="A158" s="43" t="str">
        <x:v>L2025-00060-1</x:v>
      </x:c>
      <x:c r="B158" s="46" t="str">
        <x:v>L2025-00060-1/(붙임 2) (영문) 입찰서류_코트디부아르 부아케 설계 및 감리 용역_최종/Section 4 - Request for Proposal_Bouake Project Design.docx</x:v>
      </x:c>
      <x:c r="C158" s="43" t="str">
        <x:v>.docx</x:v>
      </x:c>
      <x:c r="D158" s="61" t="n">
        <x:v>4098941</x:v>
      </x:c>
      <x:c r="E158" s="61" t="n">
        <x:v>409</x:v>
      </x:c>
      <x:c r="F158" s="61" t="n">
        <x:v>2</x:v>
      </x:c>
    </x:row>
    <x:row r="159">
      <x:c r="A159" s="43" t="str">
        <x:v>L2025-00060-1</x:v>
      </x:c>
      <x:c r="B159" s="46" t="str">
        <x:v>L2025-00060-1/(붙임 2) (영문) 입찰서류_코트디부아르 부아케 설계 및 감리 용역_최종/Section 5 - Reference Documents_Bouake Project Design.zip</x:v>
      </x:c>
      <x:c r="C159" s="43" t="str">
        <x:v>.zip</x:v>
      </x:c>
      <x:c r="D159" s="61" t="n">
        <x:v>40679</x:v>
      </x:c>
      <x:c r="E159" s="61" t="n">
        <x:v>0</x:v>
      </x:c>
      <x:c r="F159" s="61" t="n">
        <x:v>0</x:v>
      </x:c>
    </x:row>
    <x:row r="160">
      <x:c r="A160" s="43" t="str">
        <x:v>L2025-00060-1</x:v>
      </x:c>
      <x:c r="B160" s="46" t="str">
        <x:v>L2025-00060-1/(붙임 2) (영문) 입찰서류_코트디부아르 부아케 설계 및 감리 용역_최종/Section 6 - General Conditions of Contract_Bouake Project Design.docx</x:v>
      </x:c>
      <x:c r="C160" s="43" t="str">
        <x:v>.docx</x:v>
      </x:c>
      <x:c r="D160" s="61" t="n">
        <x:v>35387</x:v>
      </x:c>
      <x:c r="E160" s="61" t="n">
        <x:v>181</x:v>
      </x:c>
      <x:c r="F160" s="61" t="n">
        <x:v>0</x:v>
      </x:c>
    </x:row>
    <x:row r="161">
      <x:c r="A161" s="43" t="str">
        <x:v>L2025-00060-1</x:v>
      </x:c>
      <x:c r="B161" s="46" t="str">
        <x:v>L2025-00060-1/(붙임 2) (영문) 입찰서류_코트디부아르 부아케 설계 및 감리 용역_최종/Section 7 - Special Conditions of Contract_Bouake Project Design.docx</x:v>
      </x:c>
      <x:c r="C161" s="43" t="str">
        <x:v>.docx</x:v>
      </x:c>
      <x:c r="D161" s="61" t="n">
        <x:v>26551</x:v>
      </x:c>
      <x:c r="E161" s="61" t="n">
        <x:v>42</x:v>
      </x:c>
      <x:c r="F161" s="61" t="n">
        <x:v>0</x:v>
      </x:c>
    </x:row>
    <x:row r="162">
      <x:c r="A162" s="43" t="str">
        <x:v>L2025-00060-1</x:v>
      </x:c>
      <x:c r="B162" s="46" t="str">
        <x:v>L2025-00060-1/(붙임 2) (영문) 입찰서류_코트디부아르 부아케 설계 및 감리 용역_최종/Section 8 - Contract Forms_Bouake Project Design.docx</x:v>
      </x:c>
      <x:c r="C162" s="43" t="str">
        <x:v>.docx</x:v>
      </x:c>
      <x:c r="D162" s="61" t="n">
        <x:v>22736</x:v>
      </x:c>
      <x:c r="E162" s="61" t="n">
        <x:v>93</x:v>
      </x:c>
      <x:c r="F162" s="61" t="n">
        <x:v>0</x:v>
      </x:c>
    </x:row>
    <x:row r="163">
      <x:c r="A163" s="43" t="str">
        <x:v>L2025-00060-1</x:v>
      </x:c>
      <x:c r="B163" s="46" t="str">
        <x:v>L2025-00060-1/(붙임 2) (영문) 입찰서류_코트디부아르 부아케 설계 및 감리 용역_최종/Section 9 - Pledges_Bouake Project Design.zip</x:v>
      </x:c>
      <x:c r="C163" s="43" t="str">
        <x:v>.zip</x:v>
      </x:c>
      <x:c r="D163" s="61" t="n">
        <x:v>85586</x:v>
      </x:c>
      <x:c r="E163" s="61" t="n">
        <x:v>0</x:v>
      </x:c>
      <x:c r="F163" s="61" t="n">
        <x:v>0</x:v>
      </x:c>
    </x:row>
    <x:row r="164">
      <x:c r="A164" s="43" t="str">
        <x:v>L2025-00058-1</x:v>
      </x:c>
      <x:c r="B164" s="46" t="str">
        <x:v>L2025-00058-1/(붙임1) 공고내역 (KG_2025_07).zip</x:v>
      </x:c>
      <x:c r="C164" s="43" t="str">
        <x:v>.zip</x:v>
      </x:c>
      <x:c r="D164" s="61" t="n">
        <x:v>6239427</x:v>
      </x:c>
      <x:c r="E164" s="61" t="n">
        <x:v>0</x:v>
      </x:c>
      <x:c r="F164" s="61" t="n">
        <x:v>0</x:v>
      </x:c>
    </x:row>
    <x:row r="165">
      <x:c r="A165" s="43" t="str">
        <x:v>L2025-00058-1</x:v>
      </x:c>
      <x:c r="B165" s="46" t="str">
        <x:v>L2025-00058-1/(붙임1) 공고내역 (KG_2025_07)/Re-Bid_Document_Digitalization_of_the_Parliament_KG_2025_07/Bid document (Eng)/250428_JUNIPER_Agreement_for_the_supply_of_goods_or_technical_support.pdf</x:v>
      </x:c>
      <x:c r="C165" s="43" t="str">
        <x:v>.pdf</x:v>
      </x:c>
      <x:c r="D165" s="61" t="n">
        <x:v>453314</x:v>
      </x:c>
      <x:c r="E165" s="61" t="n">
        <x:v>0</x:v>
      </x:c>
      <x:c r="F165" s="61" t="n">
        <x:v>0</x:v>
      </x:c>
    </x:row>
    <x:row r="166">
      <x:c r="A166" s="43" t="str">
        <x:v>L2025-00058-1</x:v>
      </x:c>
      <x:c r="B166" s="46" t="str">
        <x:v>L2025-00058-1/(붙임1) 공고내역 (KG_2025_07)/Re-Bid_Document_Digitalization_of_the_Parliament_KG_2025_07/Bid document (Eng)/ENG_Section 1 - Instructions to Bidders_ITB_Digitalization_Parliament.doc</x:v>
      </x:c>
      <x:c r="C166" s="43" t="str">
        <x:v>.doc</x:v>
      </x:c>
      <x:c r="D166" s="61" t="n">
        <x:v>257231</x:v>
      </x:c>
      <x:c r="E166" s="61" t="n">
        <x:v>38</x:v>
      </x:c>
      <x:c r="F166" s="61" t="n">
        <x:v>0</x:v>
      </x:c>
    </x:row>
    <x:row r="167">
      <x:c r="A167" s="43" t="str">
        <x:v>L2025-00058-1</x:v>
      </x:c>
      <x:c r="B167" s="46" t="str">
        <x:v>L2025-00058-1/(붙임1) 공고내역 (KG_2025_07)/Re-Bid_Document_Digitalization_of_the_Parliament_KG_2025_07/Bid document (Eng)/ENG_Section 2 - Bid Data Sheet Digitalization Parliament_2025 07(final).docx</x:v>
      </x:c>
      <x:c r="C167" s="43" t="str">
        <x:v>.docx</x:v>
      </x:c>
      <x:c r="D167" s="61" t="n">
        <x:v>44000</x:v>
      </x:c>
      <x:c r="E167" s="61" t="n">
        <x:v>273</x:v>
      </x:c>
      <x:c r="F167" s="61" t="n">
        <x:v>5</x:v>
      </x:c>
    </x:row>
    <x:row r="168">
      <x:c r="A168" s="43" t="str">
        <x:v>L2025-00058-1</x:v>
      </x:c>
      <x:c r="B168" s="46" t="str">
        <x:v>L2025-00058-1/(붙임1) 공고내역 (KG_2025_07)/Re-Bid_Document_Digitalization_of_the_Parliament_KG_2025_07/Bid document (Eng)/ENG_Section 3 - Bidding Forms_Digitalization Parliament_2025_07.doc</x:v>
      </x:c>
      <x:c r="C168" s="43" t="str">
        <x:v>.doc</x:v>
      </x:c>
      <x:c r="D168" s="61" t="n">
        <x:v>374272</x:v>
      </x:c>
      <x:c r="E168" s="61" t="n">
        <x:v>186</x:v>
      </x:c>
      <x:c r="F168" s="61" t="n">
        <x:v>2</x:v>
      </x:c>
    </x:row>
    <x:row r="169">
      <x:c r="A169" s="43" t="str">
        <x:v>L2025-00058-1</x:v>
      </x:c>
      <x:c r="B169" s="46" t="str">
        <x:v>L2025-00058-1/(붙임1) 공고내역 (KG_2025_07)/Re-Bid_Document_Digitalization_of_the_Parliament_KG_2025_07/Bid document (Eng)/ENG_Section 4_6 - Requirements_Digitalization Parliament_2025_07.docx</x:v>
      </x:c>
      <x:c r="C169" s="43" t="str">
        <x:v>.docx</x:v>
      </x:c>
      <x:c r="D169" s="61" t="n">
        <x:v>2194409</x:v>
      </x:c>
      <x:c r="E169" s="61" t="n">
        <x:v>814</x:v>
      </x:c>
      <x:c r="F169" s="61" t="n">
        <x:v>1</x:v>
      </x:c>
    </x:row>
    <x:row r="170">
      <x:c r="A170" s="43" t="str">
        <x:v>L2025-00058-1</x:v>
      </x:c>
      <x:c r="B170" s="46" t="str">
        <x:v>L2025-00058-1/(붙임1) 공고내역 (KG_2025_07)/Re-Bid_Document_Digitalization_of_the_Parliament_KG_2025_07/Bid document (Eng)/ENG_Section 7 - General_Conditions_of_Contract_Digitalization_Parliament.docx</x:v>
      </x:c>
      <x:c r="C170" s="43" t="str">
        <x:v>.docx</x:v>
      </x:c>
      <x:c r="D170" s="61" t="n">
        <x:v>215518</x:v>
      </x:c>
      <x:c r="E170" s="61" t="n">
        <x:v>1543</x:v>
      </x:c>
      <x:c r="F170" s="61" t="n">
        <x:v>2</x:v>
      </x:c>
    </x:row>
    <x:row r="171">
      <x:c r="A171" s="43" t="str">
        <x:v>L2025-00058-1</x:v>
      </x:c>
      <x:c r="B171" s="46" t="str">
        <x:v>L2025-00058-1/(붙임1) 공고내역 (KG_2025_07)/Re-Bid_Document_Digitalization_of_the_Parliament_KG_2025_07/Bid document (Eng)/ENG_Section 8 - Special_Conditions_of_Contract_Digitalization_Parliament(CM reviewed).docx</x:v>
      </x:c>
      <x:c r="C171" s="43" t="str">
        <x:v>.docx</x:v>
      </x:c>
      <x:c r="D171" s="61" t="n">
        <x:v>66588</x:v>
      </x:c>
      <x:c r="E171" s="61" t="n">
        <x:v>261</x:v>
      </x:c>
      <x:c r="F171" s="61" t="n">
        <x:v>0</x:v>
      </x:c>
    </x:row>
    <x:row r="172">
      <x:c r="A172" s="43" t="str">
        <x:v>L2025-00058-1</x:v>
      </x:c>
      <x:c r="B172" s="46" t="str">
        <x:v>L2025-00058-1/(붙임1) 공고내역 (KG_2025_07)/Re-Bid_Document_Digitalization_of_the_Parliament_KG_2025_07/Bid document (Eng)/ENG_Section 9 - Contract_Forms_Digitalization_Parliament.docx</x:v>
      </x:c>
      <x:c r="C172" s="43" t="str">
        <x:v>.docx</x:v>
      </x:c>
      <x:c r="D172" s="61" t="n">
        <x:v>38953</x:v>
      </x:c>
      <x:c r="E172" s="61" t="n">
        <x:v>30</x:v>
      </x:c>
      <x:c r="F172" s="61" t="n">
        <x:v>0</x:v>
      </x:c>
    </x:row>
    <x:row r="173">
      <x:c r="A173" s="43" t="str">
        <x:v>L2025-00058-1</x:v>
      </x:c>
      <x:c r="B173" s="46" t="str">
        <x:v>L2025-00058-1/(붙임1) 공고내역 (KG_2025_07)/Re-Bid_Document_Digitalization_of_the_Parliament_KG_2025_07/Bid document (Rus)/250428_JUNIPER_Agreement_for_the_supply_of_goods_or_technical_support.pdf</x:v>
      </x:c>
      <x:c r="C173" s="43" t="str">
        <x:v>.pdf</x:v>
      </x:c>
      <x:c r="D173" s="61" t="n">
        <x:v>456504</x:v>
      </x:c>
      <x:c r="E173" s="61" t="n">
        <x:v>0</x:v>
      </x:c>
      <x:c r="F173" s="61" t="n">
        <x:v>0</x:v>
      </x:c>
    </x:row>
    <x:row r="174">
      <x:c r="A174" s="43" t="str">
        <x:v>L2025-00058-1</x:v>
      </x:c>
      <x:c r="B174" s="46" t="str">
        <x:v>L2025-00058-1/(붙임1) 공고내역 (KG_2025_07)/Re-Bid_Document_Digitalization_of_the_Parliament_KG_2025_07/Bid document (Rus)/RUS_Section_1_Instructions_to_Bidders_ITB_Digitalization_Parliament.docx</x:v>
      </x:c>
      <x:c r="C174" s="43" t="str">
        <x:v>.docx</x:v>
      </x:c>
      <x:c r="D174" s="61" t="n">
        <x:v>38892</x:v>
      </x:c>
      <x:c r="E174" s="61" t="n">
        <x:v>165</x:v>
      </x:c>
      <x:c r="F174" s="61" t="n">
        <x:v>0</x:v>
      </x:c>
    </x:row>
    <x:row r="175">
      <x:c r="A175" s="43" t="str">
        <x:v>L2025-00058-1</x:v>
      </x:c>
      <x:c r="B175" s="46" t="str">
        <x:v>L2025-00058-1/(붙임1) 공고내역 (KG_2025_07)/Re-Bid_Document_Digitalization_of_the_Parliament_KG_2025_07/Bid document (Rus)/RUS_Section_2 - Bid_Data_Sheet_Digitalization_Parliament.docx</x:v>
      </x:c>
      <x:c r="C175" s="43" t="str">
        <x:v>.docx</x:v>
      </x:c>
      <x:c r="D175" s="61" t="n">
        <x:v>59664</x:v>
      </x:c>
      <x:c r="E175" s="61" t="n">
        <x:v>256</x:v>
      </x:c>
      <x:c r="F175" s="61" t="n">
        <x:v>0</x:v>
      </x:c>
    </x:row>
    <x:row r="176">
      <x:c r="A176" s="43" t="str">
        <x:v>L2025-00058-1</x:v>
      </x:c>
      <x:c r="B176" s="46" t="str">
        <x:v>L2025-00058-1/(붙임1) 공고내역 (KG_2025_07)/Re-Bid_Document_Digitalization_of_the_Parliament_KG_2025_07/Bid document (Rus)/RUS_Section_3_Bidding_Forms_Digitalization_Parliament.doc</x:v>
      </x:c>
      <x:c r="C176" s="43" t="str">
        <x:v>.doc</x:v>
      </x:c>
      <x:c r="D176" s="61" t="n">
        <x:v>322560</x:v>
      </x:c>
      <x:c r="E176" s="61" t="n">
        <x:v>186</x:v>
      </x:c>
      <x:c r="F176" s="61" t="n">
        <x:v>0</x:v>
      </x:c>
    </x:row>
    <x:row r="177">
      <x:c r="A177" s="43" t="str">
        <x:v>L2025-00058-1</x:v>
      </x:c>
      <x:c r="B177" s="46" t="str">
        <x:v>L2025-00058-1/(붙임1) 공고내역 (KG_2025_07)/Re-Bid_Document_Digitalization_of_the_Parliament_KG_2025_07/Bid document (Rus)/RUS_Section_4_6_Requirements_Digitalization_Parliament.docx</x:v>
      </x:c>
      <x:c r="C177" s="43" t="str">
        <x:v>.docx</x:v>
      </x:c>
      <x:c r="D177" s="61" t="n">
        <x:v>2367853</x:v>
      </x:c>
      <x:c r="E177" s="61" t="n">
        <x:v>814</x:v>
      </x:c>
      <x:c r="F177" s="61" t="n">
        <x:v>0</x:v>
      </x:c>
    </x:row>
    <x:row r="178">
      <x:c r="A178" s="43" t="str">
        <x:v>L2025-00058-1</x:v>
      </x:c>
      <x:c r="B178" s="46" t="str">
        <x:v>L2025-00058-1/(붙임1) 공고내역 (KG_2025_07)/Re-Bid_Document_Digitalization_of_the_Parliament_KG_2025_07/Bid document (Rus)/RUS_Section_7_General_Conditions_of_Contract_Digitalization_Parliament.docx</x:v>
      </x:c>
      <x:c r="C178" s="43" t="str">
        <x:v>.docx</x:v>
      </x:c>
      <x:c r="D178" s="61" t="n">
        <x:v>197452</x:v>
      </x:c>
      <x:c r="E178" s="61" t="n">
        <x:v>1542</x:v>
      </x:c>
      <x:c r="F178" s="61" t="n">
        <x:v>0</x:v>
      </x:c>
    </x:row>
    <x:row r="179">
      <x:c r="A179" s="43" t="str">
        <x:v>L2025-00058-1</x:v>
      </x:c>
      <x:c r="B179" s="46" t="str">
        <x:v>L2025-00058-1/(붙임1) 공고내역 (KG_2025_07)/Re-Bid_Document_Digitalization_of_the_Parliament_KG_2025_07/Bid document (Rus)/RUS_Section_8_Special_Conditions_of_Contract_Digitalization_Parliament.docx</x:v>
      </x:c>
      <x:c r="C179" s="43" t="str">
        <x:v>.docx</x:v>
      </x:c>
      <x:c r="D179" s="61" t="n">
        <x:v>75322</x:v>
      </x:c>
      <x:c r="E179" s="61" t="n">
        <x:v>261</x:v>
      </x:c>
      <x:c r="F179" s="61" t="n">
        <x:v>0</x:v>
      </x:c>
    </x:row>
    <x:row r="180">
      <x:c r="A180" s="43" t="str">
        <x:v>L2025-00058-1</x:v>
      </x:c>
      <x:c r="B180" s="46" t="str">
        <x:v>L2025-00058-1/(붙임1) 공고내역 (KG_2025_07)/Re-Bid_Document_Digitalization_of_the_Parliament_KG_2025_07/Bid document (Rus)/RUS_Section_9_Contract_Forms_Digitalization_Parliament.docx</x:v>
      </x:c>
      <x:c r="C180" s="43" t="str">
        <x:v>.docx</x:v>
      </x:c>
      <x:c r="D180" s="61" t="n">
        <x:v>17762</x:v>
      </x:c>
      <x:c r="E180" s="61" t="n">
        <x:v>30</x:v>
      </x:c>
      <x:c r="F180" s="61" t="n">
        <x:v>0</x:v>
      </x:c>
    </x:row>
    <x:row r="181">
      <x:c r="A181" s="43" t="str">
        <x:v>L2025-00058-1</x:v>
      </x:c>
      <x:c r="B181" s="46" t="str">
        <x:v>L2025-00058-1/(붙임2) 입찰 공고 내역_링크.docx</x:v>
      </x:c>
      <x:c r="C181" s="43" t="str">
        <x:v>.docx</x:v>
      </x:c>
      <x:c r="D181" s="61" t="n">
        <x:v>9809</x:v>
      </x:c>
      <x:c r="E181" s="61" t="n">
        <x:v>13</x:v>
      </x:c>
      <x:c r="F181" s="61" t="n">
        <x:v>0</x:v>
      </x:c>
    </x:row>
    <x:row r="182">
      <x:c r="A182" s="43" t="str">
        <x:v>L2025-00056-1</x:v>
      </x:c>
      <x:c r="B182" s="46" t="str">
        <x:v>L2025-00056-1/1-Y.S.W(CAMBODIA) CO.,LTD.zip</x:v>
      </x:c>
      <x:c r="C182" s="43" t="str">
        <x:v>.zip</x:v>
      </x:c>
      <x:c r="D182" s="61" t="n">
        <x:v>4713616</x:v>
      </x:c>
      <x:c r="E182" s="61" t="n">
        <x:v>0</x:v>
      </x:c>
      <x:c r="F182" s="61" t="n">
        <x:v>0</x:v>
      </x:c>
    </x:row>
    <x:row r="183">
      <x:c r="A183" s="43" t="str">
        <x:v>L2025-00056-1</x:v>
      </x:c>
      <x:c r="B183" s="46" t="str">
        <x:v>L2025-00056-1/1-Y.S.W(CAMBODIA) CO.,LTD/1-Y.S.W(CAMBODIA) CO.,LTD/Bid application form.08.07.pdf</x:v>
      </x:c>
      <x:c r="C183" s="43" t="str">
        <x:v>.pdf</x:v>
      </x:c>
      <x:c r="D183" s="61" t="n">
        <x:v>642124</x:v>
      </x:c>
      <x:c r="E183" s="61" t="n">
        <x:v>1</x:v>
      </x:c>
      <x:c r="F183" s="61" t="n">
        <x:v>0</x:v>
      </x:c>
    </x:row>
    <x:row r="184">
      <x:c r="A184" s="43" t="str">
        <x:v>L2025-00056-1</x:v>
      </x:c>
      <x:c r="B184" s="46" t="str">
        <x:v>L2025-00056-1/1-Y.S.W(CAMBODIA) CO.,LTD/1-Y.S.W(CAMBODIA) CO.,LTD/CertificateOfIncorporation_Y_S_W_CAMBODIA_CO_,_LTD_00007766.pdf</x:v>
      </x:c>
      <x:c r="C184" s="43" t="str">
        <x:v>.pdf</x:v>
      </x:c>
      <x:c r="D184" s="61" t="n">
        <x:v>596584</x:v>
      </x:c>
      <x:c r="E184" s="61" t="n">
        <x:v>1</x:v>
      </x:c>
      <x:c r="F184" s="61" t="n">
        <x:v>0</x:v>
      </x:c>
    </x:row>
    <x:row r="185">
      <x:c r="A185" s="43" t="str">
        <x:v>L2025-00056-1</x:v>
      </x:c>
      <x:c r="B185" s="46" t="str">
        <x:v>L2025-00056-1/1-Y.S.W(CAMBODIA) CO.,LTD/1-Y.S.W(CAMBODIA) CO.,LTD/MOC certificate.pdf</x:v>
      </x:c>
      <x:c r="C185" s="43" t="str">
        <x:v>.pdf</x:v>
      </x:c>
      <x:c r="D185" s="61" t="n">
        <x:v>726054</x:v>
      </x:c>
      <x:c r="E185" s="61" t="n">
        <x:v>0</x:v>
      </x:c>
      <x:c r="F185" s="61" t="n">
        <x:v>0</x:v>
      </x:c>
    </x:row>
    <x:row r="186">
      <x:c r="A186" s="43" t="str">
        <x:v>L2025-00056-1</x:v>
      </x:c>
      <x:c r="B186" s="46" t="str">
        <x:v>L2025-00056-1/1-Y.S.W(CAMBODIA) CO.,LTD/1-Y.S.W(CAMBODIA) CO.,LTD/POA-YSW.pdf</x:v>
      </x:c>
      <x:c r="C186" s="43" t="str">
        <x:v>.pdf</x:v>
      </x:c>
      <x:c r="D186" s="61" t="n">
        <x:v>78654</x:v>
      </x:c>
      <x:c r="E186" s="61" t="n">
        <x:v>0</x:v>
      </x:c>
      <x:c r="F186" s="61" t="n">
        <x:v>0</x:v>
      </x:c>
    </x:row>
    <x:row r="187">
      <x:c r="A187" s="43" t="str">
        <x:v>L2025-00056-1</x:v>
      </x:c>
      <x:c r="B187" s="46" t="str">
        <x:v>L2025-00056-1/1-Y.S.W(CAMBODIA) CO.,LTD/1-Y.S.W(CAMBODIA) CO.,LTD/Y.S.W License - Construction.pdf</x:v>
      </x:c>
      <x:c r="C187" s="43" t="str">
        <x:v>.pdf</x:v>
      </x:c>
      <x:c r="D187" s="61" t="n">
        <x:v>952530</x:v>
      </x:c>
      <x:c r="E187" s="61" t="n">
        <x:v>0</x:v>
      </x:c>
      <x:c r="F187" s="61" t="n">
        <x:v>0</x:v>
      </x:c>
    </x:row>
    <x:row r="188">
      <x:c r="A188" s="43" t="str">
        <x:v>L2025-00056-1</x:v>
      </x:c>
      <x:c r="B188" s="46" t="str">
        <x:v>L2025-00056-1/1-Y.S.W(CAMBODIA) CO.,LTD/1-Y.S.W(CAMBODIA) CO.,LTD/YSW_Patent_2024_សំណង់_សាងសង់ផ្លួវ_ស្ពាន_ផ្លូវក្រោមដី_4.pdf</x:v>
      </x:c>
      <x:c r="C188" s="43" t="str">
        <x:v>.pdf</x:v>
      </x:c>
      <x:c r="D188" s="61" t="n">
        <x:v>2059203</x:v>
      </x:c>
      <x:c r="E188" s="61" t="n">
        <x:v>2</x:v>
      </x:c>
      <x:c r="F188" s="61" t="n">
        <x:v>0</x:v>
      </x:c>
    </x:row>
    <x:row r="189">
      <x:c r="A189" s="43" t="str">
        <x:v>L2025-00056-1</x:v>
      </x:c>
      <x:c r="B189" s="46" t="str">
        <x:v>L2025-00056-1/1. 입찰참가 자격서류 제출내역 점검표.pdf</x:v>
      </x:c>
      <x:c r="C189" s="43" t="str">
        <x:v>.pdf</x:v>
      </x:c>
      <x:c r="D189" s="61" t="n">
        <x:v>154898</x:v>
      </x:c>
      <x:c r="E189" s="61" t="n">
        <x:v>1</x:v>
      </x:c>
      <x:c r="F189" s="61" t="n">
        <x:v>0</x:v>
      </x:c>
    </x:row>
    <x:row r="190">
      <x:c r="A190" s="43" t="str">
        <x:v>L2025-00056-1</x:v>
      </x:c>
      <x:c r="B190" s="46" t="str">
        <x:v>L2025-00056-1/2-CACPM.zip</x:v>
      </x:c>
      <x:c r="C190" s="43" t="str">
        <x:v>.zip</x:v>
      </x:c>
      <x:c r="D190" s="61" t="n">
        <x:v>9964004</x:v>
      </x:c>
      <x:c r="E190" s="61" t="n">
        <x:v>0</x:v>
      </x:c>
      <x:c r="F190" s="61" t="n">
        <x:v>0</x:v>
      </x:c>
    </x:row>
    <x:row r="191">
      <x:c r="A191" s="43" t="str">
        <x:v>L2025-00056-1</x:v>
      </x:c>
      <x:c r="B191" s="46" t="str">
        <x:v>L2025-00056-1/2-CACPM/2-CACPM/1.CACPM-L2025-00056-1, KOICA-CAM-2025-05..pdf</x:v>
      </x:c>
      <x:c r="C191" s="43" t="str">
        <x:v>.pdf</x:v>
      </x:c>
      <x:c r="D191" s="61" t="n">
        <x:v>654118</x:v>
      </x:c>
      <x:c r="E191" s="61" t="n">
        <x:v>0</x:v>
      </x:c>
      <x:c r="F191" s="61" t="n">
        <x:v>0</x:v>
      </x:c>
    </x:row>
    <x:row r="192">
      <x:c r="A192" s="43" t="str">
        <x:v>L2025-00056-1</x:v>
      </x:c>
      <x:c r="B192" s="46" t="str">
        <x:v>L2025-00056-1/2-CACPM/2-CACPM/2.CACPM Company Profile.pdf</x:v>
      </x:c>
      <x:c r="C192" s="43" t="str">
        <x:v>.pdf</x:v>
      </x:c>
      <x:c r="D192" s="61" t="n">
        <x:v>9549121</x:v>
      </x:c>
      <x:c r="E192" s="61" t="n">
        <x:v>34</x:v>
      </x:c>
      <x:c r="F192" s="61" t="n">
        <x:v>6</x:v>
      </x:c>
    </x:row>
    <x:row r="193">
      <x:c r="A193" s="43" t="str">
        <x:v>L2025-00056-1</x:v>
      </x:c>
      <x:c r="B193" s="46" t="str">
        <x:v>L2025-00056-1/3-Professional Engineering Plus.zip</x:v>
      </x:c>
      <x:c r="C193" s="43" t="str">
        <x:v>.zip</x:v>
      </x:c>
      <x:c r="D193" s="61" t="n">
        <x:v>4404748</x:v>
      </x:c>
      <x:c r="E193" s="61" t="n">
        <x:v>0</x:v>
      </x:c>
      <x:c r="F193" s="61" t="n">
        <x:v>0</x:v>
      </x:c>
    </x:row>
    <x:row r="194">
      <x:c r="A194" s="43" t="str">
        <x:v>L2025-00056-1</x:v>
      </x:c>
      <x:c r="B194" s="46" t="str">
        <x:v>L2025-00056-1/3-Professional Engineering Plus/3-Professional Engineering Plus/Bid Application for Koica Cambodia Office.pdf</x:v>
      </x:c>
      <x:c r="C194" s="43" t="str">
        <x:v>.pdf</x:v>
      </x:c>
      <x:c r="D194" s="61" t="n">
        <x:v>6334461</x:v>
      </x:c>
      <x:c r="E194" s="61" t="n">
        <x:v>0</x:v>
      </x:c>
      <x:c r="F194" s="61" t="n">
        <x:v>0</x:v>
      </x:c>
    </x:row>
    <x:row r="195">
      <x:c r="A195" s="43" t="str">
        <x:v>L2025-00056-1</x:v>
      </x:c>
      <x:c r="B195" s="46" t="str">
        <x:v>L2025-00056-1/4-PCF.zip</x:v>
      </x:c>
      <x:c r="C195" s="43" t="str">
        <x:v>.zip</x:v>
      </x:c>
      <x:c r="D195" s="61" t="n">
        <x:v>1709598</x:v>
      </x:c>
      <x:c r="E195" s="61" t="n">
        <x:v>0</x:v>
      </x:c>
      <x:c r="F195" s="61" t="n">
        <x:v>0</x:v>
      </x:c>
    </x:row>
    <x:row r="196">
      <x:c r="A196" s="43" t="str">
        <x:v>L2025-00056-1</x:v>
      </x:c>
      <x:c r="B196" s="46" t="str">
        <x:v>L2025-00056-1/4-PCF/4-PCF/ICT_Bid Application Form_L2025-00056-1.pdf</x:v>
      </x:c>
      <x:c r="C196" s="43" t="str">
        <x:v>.pdf</x:v>
      </x:c>
      <x:c r="D196" s="61" t="n">
        <x:v>1734189</x:v>
      </x:c>
      <x:c r="E196" s="61" t="n">
        <x:v>14</x:v>
      </x:c>
      <x:c r="F196" s="61" t="n">
        <x:v>4</x:v>
      </x:c>
    </x:row>
    <x:row r="197">
      <x:c r="A197" s="43" t="str">
        <x:v>L2025-00056-1</x:v>
      </x:c>
      <x:c r="B197" s="46" t="str">
        <x:v>L2025-00056-1/5-Dai Phu Thinh.zip</x:v>
      </x:c>
      <x:c r="C197" s="43" t="str">
        <x:v>.zip</x:v>
      </x:c>
      <x:c r="D197" s="61" t="n">
        <x:v>8300650</x:v>
      </x:c>
      <x:c r="E197" s="61" t="n">
        <x:v>0</x:v>
      </x:c>
      <x:c r="F197" s="61" t="n">
        <x:v>0</x:v>
      </x:c>
    </x:row>
    <x:row r="198">
      <x:c r="A198" s="43" t="str">
        <x:v>L2025-00056-1</x:v>
      </x:c>
      <x:c r="B198" s="46" t="str">
        <x:v>L2025-00056-1/5-Dai Phu Thinh/5-Dai Phu Thinh/Bid Application From 11.08.pdf</x:v>
      </x:c>
      <x:c r="C198" s="43" t="str">
        <x:v>.pdf</x:v>
      </x:c>
      <x:c r="D198" s="61" t="n">
        <x:v>1332558</x:v>
      </x:c>
      <x:c r="E198" s="61" t="n">
        <x:v>0</x:v>
      </x:c>
      <x:c r="F198" s="61" t="n">
        <x:v>0</x:v>
      </x:c>
    </x:row>
    <x:row r="199">
      <x:c r="A199" s="43" t="str">
        <x:v>L2025-00056-1</x:v>
      </x:c>
      <x:c r="B199" s="46" t="str">
        <x:v>L2025-00056-1/5-Dai Phu Thinh/5-Dai Phu Thinh/DAI PHU THINH SUPPORT LICENSE.pdf</x:v>
      </x:c>
      <x:c r="C199" s="43" t="str">
        <x:v>.pdf</x:v>
      </x:c>
      <x:c r="D199" s="61" t="n">
        <x:v>8457124</x:v>
      </x:c>
      <x:c r="E199" s="61" t="n">
        <x:v>2</x:v>
      </x:c>
      <x:c r="F199" s="61" t="n">
        <x:v>0</x:v>
      </x:c>
    </x:row>
    <x:row r="200">
      <x:c r="A200" s="43" t="str">
        <x:v>L2025-00056-1</x:v>
      </x:c>
      <x:c r="B200" s="46" t="str">
        <x:v>L2025-00056-1/6-Dan_s Build.zip</x:v>
      </x:c>
      <x:c r="C200" s="43" t="str">
        <x:v>.zip</x:v>
      </x:c>
      <x:c r="D200" s="61" t="n">
        <x:v>3187841</x:v>
      </x:c>
      <x:c r="E200" s="61" t="n">
        <x:v>0</x:v>
      </x:c>
      <x:c r="F200" s="61" t="n">
        <x:v>0</x:v>
      </x:c>
    </x:row>
    <x:row r="201">
      <x:c r="A201" s="43" t="str">
        <x:v>L2025-00056-1</x:v>
      </x:c>
      <x:c r="B201" s="46" t="str">
        <x:v>L2025-00056-1/6-Dan_s Build/6-Dan_s Build/Bid Application Form.pdf</x:v>
      </x:c>
      <x:c r="C201" s="43" t="str">
        <x:v>.pdf</x:v>
      </x:c>
      <x:c r="D201" s="61" t="n">
        <x:v>722683</x:v>
      </x:c>
      <x:c r="E201" s="61" t="n">
        <x:v>0</x:v>
      </x:c>
      <x:c r="F201" s="61" t="n">
        <x:v>0</x:v>
      </x:c>
    </x:row>
    <x:row r="202">
      <x:c r="A202" s="43" t="str">
        <x:v>L2025-00056-1</x:v>
      </x:c>
      <x:c r="B202" s="46" t="str">
        <x:v>L2025-00056-1/6-Dan_s Build/6-Dan_s Build/Certificate of incorporation.pdf</x:v>
      </x:c>
      <x:c r="C202" s="43" t="str">
        <x:v>.pdf</x:v>
      </x:c>
      <x:c r="D202" s="61" t="n">
        <x:v>125201</x:v>
      </x:c>
      <x:c r="E202" s="61" t="n">
        <x:v>1</x:v>
      </x:c>
      <x:c r="F202" s="61" t="n">
        <x:v>0</x:v>
      </x:c>
    </x:row>
    <x:row r="203">
      <x:c r="A203" s="43" t="str">
        <x:v>L2025-00056-1</x:v>
      </x:c>
      <x:c r="B203" s="46" t="str">
        <x:v>L2025-00056-1/6-Dan_s Build/6-Dan_s Build/Certificate of MLMUPC 2026.pdf</x:v>
      </x:c>
      <x:c r="C203" s="43" t="str">
        <x:v>.pdf</x:v>
      </x:c>
      <x:c r="D203" s="61" t="n">
        <x:v>1734024</x:v>
      </x:c>
      <x:c r="E203" s="61" t="n">
        <x:v>0</x:v>
      </x:c>
      <x:c r="F203" s="61" t="n">
        <x:v>0</x:v>
      </x:c>
    </x:row>
    <x:row r="204">
      <x:c r="A204" s="43" t="str">
        <x:v>L2025-00056-1</x:v>
      </x:c>
      <x:c r="B204" s="46" t="str">
        <x:v>L2025-00056-1/6-Dan_s Build/6-Dan_s Build/Patant DANs 20125.pdf</x:v>
      </x:c>
      <x:c r="C204" s="43" t="str">
        <x:v>.pdf</x:v>
      </x:c>
      <x:c r="D204" s="61" t="n">
        <x:v>935002</x:v>
      </x:c>
      <x:c r="E204" s="61" t="n">
        <x:v>0</x:v>
      </x:c>
      <x:c r="F204" s="61" t="n">
        <x:v>0</x:v>
      </x:c>
    </x:row>
    <x:row r="205">
      <x:c r="A205" s="43" t="str">
        <x:v>L2025-00056-1</x:v>
      </x:c>
      <x:c r="B205" s="46" t="str">
        <x:v>L2025-00056-1/7-Koolen Alpha Co.LTD.zip</x:v>
      </x:c>
      <x:c r="C205" s="43" t="str">
        <x:v>.zip</x:v>
      </x:c>
      <x:c r="D205" s="61" t="n">
        <x:v>17955460</x:v>
      </x:c>
      <x:c r="E205" s="61" t="n">
        <x:v>0</x:v>
      </x:c>
      <x:c r="F205" s="61" t="n">
        <x:v>0</x:v>
      </x:c>
    </x:row>
    <x:row r="206">
      <x:c r="A206" s="43" t="str">
        <x:v>L2025-00056-1</x:v>
      </x:c>
      <x:c r="B206" s="46" t="str">
        <x:v>L2025-00056-1/7-Koolen Alpha Co.LTD/7-Koolen Alpha Co.LTD/Bid Application-KOOLEN ALPHA.pdf</x:v>
      </x:c>
      <x:c r="C206" s="43" t="str">
        <x:v>.pdf</x:v>
      </x:c>
      <x:c r="D206" s="61" t="n">
        <x:v>18364621</x:v>
      </x:c>
      <x:c r="E206" s="61" t="n">
        <x:v>40</x:v>
      </x:c>
      <x:c r="F206" s="61" t="n">
        <x:v>0</x:v>
      </x:c>
    </x:row>
    <x:row r="207">
      <x:c r="A207" s="43" t="str">
        <x:v>L2025-00054-1</x:v>
      </x:c>
      <x:c r="B207" s="46" t="str">
        <x:v>L2025-00054-1/(붙임1) 공고내역_Bid_Document_Digitalization_of_the_Parliament_KG_2025_05 (2).zip</x:v>
      </x:c>
      <x:c r="C207" s="43" t="str">
        <x:v>.zip</x:v>
      </x:c>
      <x:c r="D207" s="61" t="n">
        <x:v>6251612</x:v>
      </x:c>
      <x:c r="E207" s="61" t="n">
        <x:v>0</x:v>
      </x:c>
      <x:c r="F207" s="61" t="n">
        <x:v>0</x:v>
      </x:c>
    </x:row>
    <x:row r="208">
      <x:c r="A208" s="43" t="str">
        <x:v>L2025-00054-1</x:v>
      </x:c>
      <x:c r="B208" s="46" t="str">
        <x:v>L2025-00054-1/(붙임1) 공고내역_Bid_Document_Digitalization_of_the_Parliament_KG_2025_05 (2)/Bid_Document_Digitalization_of_the_Parliament_KG_2025_05/Bid Document (Eng)/250428_JUNIPER_Agreement_for_the_supply_of_goods_or_technical_support.pdf</x:v>
      </x:c>
      <x:c r="C208" s="43" t="str">
        <x:v>.pdf</x:v>
      </x:c>
      <x:c r="D208" s="61" t="n">
        <x:v>453314</x:v>
      </x:c>
      <x:c r="E208" s="61" t="n">
        <x:v>0</x:v>
      </x:c>
      <x:c r="F208" s="61" t="n">
        <x:v>0</x:v>
      </x:c>
    </x:row>
    <x:row r="209">
      <x:c r="A209" s="43" t="str">
        <x:v>L2025-00054-1</x:v>
      </x:c>
      <x:c r="B209" s="46" t="str">
        <x:v>L2025-00054-1/(붙임1) 공고내역_Bid_Document_Digitalization_of_the_Parliament_KG_2025_05 (2)/Bid_Document_Digitalization_of_the_Parliament_KG_2025_05/Bid Document (Eng)/ENG_Section_1 - Instructions to Bidders_ITB_Digitalization_Parliament.doc</x:v>
      </x:c>
      <x:c r="C209" s="43" t="str">
        <x:v>.doc</x:v>
      </x:c>
      <x:c r="D209" s="61" t="n">
        <x:v>257231</x:v>
      </x:c>
      <x:c r="E209" s="61" t="n">
        <x:v>38</x:v>
      </x:c>
      <x:c r="F209" s="61" t="n">
        <x:v>0</x:v>
      </x:c>
    </x:row>
    <x:row r="210">
      <x:c r="A210" s="43" t="str">
        <x:v>L2025-00054-1</x:v>
      </x:c>
      <x:c r="B210" s="46" t="str">
        <x:v>L2025-00054-1/(붙임1) 공고내역_Bid_Document_Digitalization_of_the_Parliament_KG_2025_05 (2)/Bid_Document_Digitalization_of_the_Parliament_KG_2025_05/Bid Document (Eng)/ENG_Section_2 - Bid_Data_Sheet_Digitalization_Parliament.docx</x:v>
      </x:c>
      <x:c r="C210" s="43" t="str">
        <x:v>.docx</x:v>
      </x:c>
      <x:c r="D210" s="61" t="n">
        <x:v>52613</x:v>
      </x:c>
      <x:c r="E210" s="61" t="n">
        <x:v>273</x:v>
      </x:c>
      <x:c r="F210" s="61" t="n">
        <x:v>5</x:v>
      </x:c>
    </x:row>
    <x:row r="211">
      <x:c r="A211" s="43" t="str">
        <x:v>L2025-00054-1</x:v>
      </x:c>
      <x:c r="B211" s="46" t="str">
        <x:v>L2025-00054-1/(붙임1) 공고내역_Bid_Document_Digitalization_of_the_Parliament_KG_2025_05 (2)/Bid_Document_Digitalization_of_the_Parliament_KG_2025_05/Bid Document (Eng)/ENG_Section_3 - Bidding Forms_Digitalization Parliament.doc</x:v>
      </x:c>
      <x:c r="C211" s="43" t="str">
        <x:v>.doc</x:v>
      </x:c>
      <x:c r="D211" s="61" t="n">
        <x:v>259072</x:v>
      </x:c>
      <x:c r="E211" s="61" t="n">
        <x:v>186</x:v>
      </x:c>
      <x:c r="F211" s="61" t="n">
        <x:v>2</x:v>
      </x:c>
    </x:row>
    <x:row r="212">
      <x:c r="A212" s="43" t="str">
        <x:v>L2025-00054-1</x:v>
      </x:c>
      <x:c r="B212" s="46" t="str">
        <x:v>L2025-00054-1/(붙임1) 공고내역_Bid_Document_Digitalization_of_the_Parliament_KG_2025_05 (2)/Bid_Document_Digitalization_of_the_Parliament_KG_2025_05/Bid Document (Eng)/ENG_Section_4_6 - Requirements_Digitalization Parliament.docx</x:v>
      </x:c>
      <x:c r="C212" s="43" t="str">
        <x:v>.docx</x:v>
      </x:c>
      <x:c r="D212" s="61" t="n">
        <x:v>2194409</x:v>
      </x:c>
      <x:c r="E212" s="61" t="n">
        <x:v>814</x:v>
      </x:c>
      <x:c r="F212" s="61" t="n">
        <x:v>1</x:v>
      </x:c>
    </x:row>
    <x:row r="213">
      <x:c r="A213" s="43" t="str">
        <x:v>L2025-00054-1</x:v>
      </x:c>
      <x:c r="B213" s="46" t="str">
        <x:v>L2025-00054-1/(붙임1) 공고내역_Bid_Document_Digitalization_of_the_Parliament_KG_2025_05 (2)/Bid_Document_Digitalization_of_the_Parliament_KG_2025_05/Bid Document (Eng)/ENG_Section_7 - General_Conditions_of_Contract_Digitalization_Parliament.docx</x:v>
      </x:c>
      <x:c r="C213" s="43" t="str">
        <x:v>.docx</x:v>
      </x:c>
      <x:c r="D213" s="61" t="n">
        <x:v>215518</x:v>
      </x:c>
      <x:c r="E213" s="61" t="n">
        <x:v>1543</x:v>
      </x:c>
      <x:c r="F213" s="61" t="n">
        <x:v>2</x:v>
      </x:c>
    </x:row>
    <x:row r="214">
      <x:c r="A214" s="43" t="str">
        <x:v>L2025-00054-1</x:v>
      </x:c>
      <x:c r="B214" s="46" t="str">
        <x:v>L2025-00054-1/(붙임1) 공고내역_Bid_Document_Digitalization_of_the_Parliament_KG_2025_05 (2)/Bid_Document_Digitalization_of_the_Parliament_KG_2025_05/Bid Document (Eng)/ENG_Section_8_Special_Conditions_of_Contract_Digitalization_Parliament.docx</x:v>
      </x:c>
      <x:c r="C214" s="43" t="str">
        <x:v>.docx</x:v>
      </x:c>
      <x:c r="D214" s="61" t="n">
        <x:v>70623</x:v>
      </x:c>
      <x:c r="E214" s="61" t="n">
        <x:v>261</x:v>
      </x:c>
      <x:c r="F214" s="61" t="n">
        <x:v>0</x:v>
      </x:c>
    </x:row>
    <x:row r="215">
      <x:c r="A215" s="43" t="str">
        <x:v>L2025-00054-1</x:v>
      </x:c>
      <x:c r="B215" s="46" t="str">
        <x:v>L2025-00054-1/(붙임1) 공고내역_Bid_Document_Digitalization_of_the_Parliament_KG_2025_05 (2)/Bid_Document_Digitalization_of_the_Parliament_KG_2025_05/Bid Document (Eng)/ENG_Section_9 - Contract_Forms_Digitalization_Parliament.docx</x:v>
      </x:c>
      <x:c r="C215" s="43" t="str">
        <x:v>.docx</x:v>
      </x:c>
      <x:c r="D215" s="61" t="n">
        <x:v>38953</x:v>
      </x:c>
      <x:c r="E215" s="61" t="n">
        <x:v>30</x:v>
      </x:c>
      <x:c r="F215" s="61" t="n">
        <x:v>0</x:v>
      </x:c>
    </x:row>
    <x:row r="216">
      <x:c r="A216" s="43" t="str">
        <x:v>L2025-00054-1</x:v>
      </x:c>
      <x:c r="B216" s="46" t="str">
        <x:v>L2025-00054-1/(붙임1) 공고내역_Bid_Document_Digitalization_of_the_Parliament_KG_2025_05 (2)/Bid_Document_Digitalization_of_the_Parliament_KG_2025_05/Bid document (Rus)/250428_JUNIPER_Agreement_for_the_supply_of_goods_or_technical_support.pdf</x:v>
      </x:c>
      <x:c r="C216" s="43" t="str">
        <x:v>.pdf</x:v>
      </x:c>
      <x:c r="D216" s="61" t="n">
        <x:v>456504</x:v>
      </x:c>
      <x:c r="E216" s="61" t="n">
        <x:v>0</x:v>
      </x:c>
      <x:c r="F216" s="61" t="n">
        <x:v>0</x:v>
      </x:c>
    </x:row>
    <x:row r="217">
      <x:c r="A217" s="43" t="str">
        <x:v>L2025-00054-1</x:v>
      </x:c>
      <x:c r="B217" s="46" t="str">
        <x:v>L2025-00054-1/(붙임1) 공고내역_Bid_Document_Digitalization_of_the_Parliament_KG_2025_05 (2)/Bid_Document_Digitalization_of_the_Parliament_KG_2025_05/Bid document (Rus)/RUS_Section_1_Instructions_to_Bidders_ITB_Digitalization_Parliament.docx</x:v>
      </x:c>
      <x:c r="C217" s="43" t="str">
        <x:v>.docx</x:v>
      </x:c>
      <x:c r="D217" s="61" t="n">
        <x:v>38892</x:v>
      </x:c>
      <x:c r="E217" s="61" t="n">
        <x:v>165</x:v>
      </x:c>
      <x:c r="F217" s="61" t="n">
        <x:v>0</x:v>
      </x:c>
    </x:row>
    <x:row r="218">
      <x:c r="A218" s="43" t="str">
        <x:v>L2025-00054-1</x:v>
      </x:c>
      <x:c r="B218" s="46" t="str">
        <x:v>L2025-00054-1/(붙임1) 공고내역_Bid_Document_Digitalization_of_the_Parliament_KG_2025_05 (2)/Bid_Document_Digitalization_of_the_Parliament_KG_2025_05/Bid document (Rus)/RUS_Section_2 - Bid_Data_Sheet_Digitalization_Parliament.docx</x:v>
      </x:c>
      <x:c r="C218" s="43" t="str">
        <x:v>.docx</x:v>
      </x:c>
      <x:c r="D218" s="61" t="n">
        <x:v>59551</x:v>
      </x:c>
      <x:c r="E218" s="61" t="n">
        <x:v>256</x:v>
      </x:c>
      <x:c r="F218" s="61" t="n">
        <x:v>0</x:v>
      </x:c>
    </x:row>
    <x:row r="219">
      <x:c r="A219" s="43" t="str">
        <x:v>L2025-00054-1</x:v>
      </x:c>
      <x:c r="B219" s="46" t="str">
        <x:v>L2025-00054-1/(붙임1) 공고내역_Bid_Document_Digitalization_of_the_Parliament_KG_2025_05 (2)/Bid_Document_Digitalization_of_the_Parliament_KG_2025_05/Bid document (Rus)/RUS_Section_3_Bidding_Forms_Digitalization_Parliament.doc</x:v>
      </x:c>
      <x:c r="C219" s="43" t="str">
        <x:v>.doc</x:v>
      </x:c>
      <x:c r="D219" s="61" t="n">
        <x:v>322560</x:v>
      </x:c>
      <x:c r="E219" s="61" t="n">
        <x:v>186</x:v>
      </x:c>
      <x:c r="F219" s="61" t="n">
        <x:v>0</x:v>
      </x:c>
    </x:row>
    <x:row r="220">
      <x:c r="A220" s="43" t="str">
        <x:v>L2025-00054-1</x:v>
      </x:c>
      <x:c r="B220" s="46" t="str">
        <x:v>L2025-00054-1/(붙임1) 공고내역_Bid_Document_Digitalization_of_the_Parliament_KG_2025_05 (2)/Bid_Document_Digitalization_of_the_Parliament_KG_2025_05/Bid document (Rus)/RUS_Section_4_6_Requirements_Digitalization_Parliament.docx</x:v>
      </x:c>
      <x:c r="C220" s="43" t="str">
        <x:v>.docx</x:v>
      </x:c>
      <x:c r="D220" s="61" t="n">
        <x:v>2367853</x:v>
      </x:c>
      <x:c r="E220" s="61" t="n">
        <x:v>814</x:v>
      </x:c>
      <x:c r="F220" s="61" t="n">
        <x:v>0</x:v>
      </x:c>
    </x:row>
    <x:row r="221">
      <x:c r="A221" s="43" t="str">
        <x:v>L2025-00054-1</x:v>
      </x:c>
      <x:c r="B221" s="46" t="str">
        <x:v>L2025-00054-1/(붙임1) 공고내역_Bid_Document_Digitalization_of_the_Parliament_KG_2025_05 (2)/Bid_Document_Digitalization_of_the_Parliament_KG_2025_05/Bid document (Rus)/RUS_Section_7_General_Conditions_of_Contract_Digitalization_Parliament.docx</x:v>
      </x:c>
      <x:c r="C221" s="43" t="str">
        <x:v>.docx</x:v>
      </x:c>
      <x:c r="D221" s="61" t="n">
        <x:v>197452</x:v>
      </x:c>
      <x:c r="E221" s="61" t="n">
        <x:v>1542</x:v>
      </x:c>
      <x:c r="F221" s="61" t="n">
        <x:v>0</x:v>
      </x:c>
    </x:row>
    <x:row r="222">
      <x:c r="A222" s="43" t="str">
        <x:v>L2025-00054-1</x:v>
      </x:c>
      <x:c r="B222" s="46" t="str">
        <x:v>L2025-00054-1/(붙임1) 공고내역_Bid_Document_Digitalization_of_the_Parliament_KG_2025_05 (2)/Bid_Document_Digitalization_of_the_Parliament_KG_2025_05/Bid document (Rus)/RUS_Section_8_Special_Conditions_of_Contract_Digitalization_Parliament.docx</x:v>
      </x:c>
      <x:c r="C222" s="43" t="str">
        <x:v>.docx</x:v>
      </x:c>
      <x:c r="D222" s="61" t="n">
        <x:v>75322</x:v>
      </x:c>
      <x:c r="E222" s="61" t="n">
        <x:v>261</x:v>
      </x:c>
      <x:c r="F222" s="61" t="n">
        <x:v>0</x:v>
      </x:c>
    </x:row>
    <x:row r="223">
      <x:c r="A223" s="43" t="str">
        <x:v>L2025-00054-1</x:v>
      </x:c>
      <x:c r="B223" s="46" t="str">
        <x:v>L2025-00054-1/(붙임1) 공고내역_Bid_Document_Digitalization_of_the_Parliament_KG_2025_05 (2)/Bid_Document_Digitalization_of_the_Parliament_KG_2025_05/Bid document (Rus)/RUS_Section_9_Contract_Forms_Digitalization_Parliament.docx</x:v>
      </x:c>
      <x:c r="C223" s="43" t="str">
        <x:v>.docx</x:v>
      </x:c>
      <x:c r="D223" s="61" t="n">
        <x:v>17762</x:v>
      </x:c>
      <x:c r="E223" s="61" t="n">
        <x:v>30</x:v>
      </x:c>
      <x:c r="F223" s="61" t="n">
        <x:v>0</x:v>
      </x:c>
    </x:row>
    <x:row r="224">
      <x:c r="A224" s="43" t="str">
        <x:v>L2025-00053-1</x:v>
      </x:c>
      <x:c r="B224" s="46" t="str">
        <x:v>L2025-00053-1/2-2. Summary of Bidding (요약본)_TZ Zanzibar project(Draft).docx</x:v>
      </x:c>
      <x:c r="C224" s="43" t="str">
        <x:v>.docx</x:v>
      </x:c>
      <x:c r="D224" s="61" t="n">
        <x:v>35381</x:v>
      </x:c>
      <x:c r="E224" s="61" t="n">
        <x:v>84</x:v>
      </x:c>
      <x:c r="F224" s="61" t="n">
        <x:v>1</x:v>
      </x:c>
    </x:row>
    <x:row r="225">
      <x:c r="A225" s="43" t="str">
        <x:v>L2025-00053-1</x:v>
      </x:c>
      <x:c r="B225" s="46" t="str">
        <x:v>L2025-00053-1/3. 현지입찰 제반서류 각1부.zip</x:v>
      </x:c>
      <x:c r="C225" s="43" t="str">
        <x:v>.zip</x:v>
      </x:c>
      <x:c r="D225" s="61" t="n">
        <x:v>13087379</x:v>
      </x:c>
      <x:c r="E225" s="61" t="n">
        <x:v>0</x:v>
      </x:c>
      <x:c r="F225" s="61" t="n">
        <x:v>0</x:v>
      </x:c>
    </x:row>
    <x:row r="226">
      <x:c r="A226" s="43" t="str">
        <x:v>L2025-00053-1</x:v>
      </x:c>
      <x:c r="B226" s="46" t="str">
        <x:v>L2025-00053-1/3. 현지입찰 제반서류 각1부/Section 1 - Instructions to Bidders (ITB).zip</x:v>
      </x:c>
      <x:c r="C226" s="43" t="str">
        <x:v>.zip</x:v>
      </x:c>
      <x:c r="D226" s="61" t="n">
        <x:v>216187</x:v>
      </x:c>
      <x:c r="E226" s="61" t="n">
        <x:v>0</x:v>
      </x:c>
      <x:c r="F226" s="61" t="n">
        <x:v>0</x:v>
      </x:c>
    </x:row>
    <x:row r="227">
      <x:c r="A227" s="43" t="str">
        <x:v>L2025-00053-1</x:v>
      </x:c>
      <x:c r="B227" s="46" t="str">
        <x:v>L2025-00053-1/3. 현지입찰 제반서류 각1부/Section 1-1 - Expression of Interest.docx</x:v>
      </x:c>
      <x:c r="C227" s="43" t="str">
        <x:v>.docx</x:v>
      </x:c>
      <x:c r="D227" s="61" t="n">
        <x:v>18011</x:v>
      </x:c>
      <x:c r="E227" s="61" t="n">
        <x:v>16</x:v>
      </x:c>
      <x:c r="F227" s="61" t="n">
        <x:v>0</x:v>
      </x:c>
    </x:row>
    <x:row r="228">
      <x:c r="A228" s="43" t="str">
        <x:v>L2025-00053-1</x:v>
      </x:c>
      <x:c r="B228" s="46" t="str">
        <x:v>L2025-00053-1/3. 현지입찰 제반서류 각1부/Section 2 - Bid Data Sheet (BDS)_EN_vr3.docx</x:v>
      </x:c>
      <x:c r="C228" s="43" t="str">
        <x:v>.docx</x:v>
      </x:c>
      <x:c r="D228" s="61" t="n">
        <x:v>64672</x:v>
      </x:c>
      <x:c r="E228" s="61" t="n">
        <x:v>254</x:v>
      </x:c>
      <x:c r="F228" s="61" t="n">
        <x:v>1</x:v>
      </x:c>
    </x:row>
    <x:row r="229">
      <x:c r="A229" s="43" t="str">
        <x:v>L2025-00053-1</x:v>
      </x:c>
      <x:c r="B229" s="46" t="str">
        <x:v>L2025-00053-1/3. 현지입찰 제반서류 각1부/Section 2 - Bid Data Sheet (BDS)_KO_vr3.hwpx</x:v>
      </x:c>
      <x:c r="C229" s="43" t="str">
        <x:v>.hwpx</x:v>
      </x:c>
      <x:c r="D229" s="61" t="n">
        <x:v>83265</x:v>
      </x:c>
      <x:c r="E229" s="61" t="n">
        <x:v>0</x:v>
      </x:c>
      <x:c r="F229" s="61" t="n">
        <x:v>0</x:v>
      </x:c>
    </x:row>
    <x:row r="230">
      <x:c r="A230" s="43" t="str">
        <x:v>L2025-00053-1</x:v>
      </x:c>
      <x:c r="B230" s="46" t="str">
        <x:v>L2025-00053-1/3. 현지입찰 제반서류 각1부/Section 3 - Bidding Forms_┼║└┌_╛ε╛≈_ver.1.docx</x:v>
      </x:c>
      <x:c r="C230" s="43" t="str">
        <x:v>.docx</x:v>
      </x:c>
      <x:c r="D230" s="61" t="n">
        <x:v>61965</x:v>
      </x:c>
      <x:c r="E230" s="61" t="n">
        <x:v>296</x:v>
      </x:c>
      <x:c r="F230" s="61" t="n">
        <x:v>0</x:v>
      </x:c>
    </x:row>
    <x:row r="231">
      <x:c r="A231" s="43" t="str">
        <x:v>L2025-00053-1</x:v>
      </x:c>
      <x:c r="B231" s="46" t="str">
        <x:v>L2025-00053-1/3. 현지입찰 제반서류 각1부/Section 4 - Request for Proposal_┼║└┌_╛ε╛≈_ver.2.docx</x:v>
      </x:c>
      <x:c r="C231" s="43" t="str">
        <x:v>.docx</x:v>
      </x:c>
      <x:c r="D231" s="61" t="n">
        <x:v>5428627</x:v>
      </x:c>
      <x:c r="E231" s="61" t="n">
        <x:v>415</x:v>
      </x:c>
      <x:c r="F231" s="61" t="n">
        <x:v>2</x:v>
      </x:c>
    </x:row>
    <x:row r="232">
      <x:c r="A232" s="43" t="str">
        <x:v>L2025-00053-1</x:v>
      </x:c>
      <x:c r="B232" s="46" t="str">
        <x:v>L2025-00053-1/3. 현지입찰 제반서류 각1부/Section 5.1 - Construction Supervision Forms.docx</x:v>
      </x:c>
      <x:c r="C232" s="43" t="str">
        <x:v>.docx</x:v>
      </x:c>
      <x:c r="D232" s="61" t="n">
        <x:v>21655</x:v>
      </x:c>
      <x:c r="E232" s="61" t="n">
        <x:v>110</x:v>
      </x:c>
      <x:c r="F232" s="61" t="n">
        <x:v>0</x:v>
      </x:c>
    </x:row>
    <x:row r="233">
      <x:c r="A233" s="43" t="str">
        <x:v>L2025-00053-1</x:v>
      </x:c>
      <x:c r="B233" s="46" t="str">
        <x:v>L2025-00053-1/3. 현지입찰 제반서류 각1부/Section 5.2 - Requirement by PMC_v3.docx</x:v>
      </x:c>
      <x:c r="C233" s="43" t="str">
        <x:v>.docx</x:v>
      </x:c>
      <x:c r="D233" s="61" t="n">
        <x:v>7088552</x:v>
      </x:c>
      <x:c r="E233" s="61" t="n">
        <x:v>171</x:v>
      </x:c>
      <x:c r="F233" s="61" t="n">
        <x:v>0</x:v>
      </x:c>
    </x:row>
    <x:row r="234">
      <x:c r="A234" s="43" t="str">
        <x:v>L2025-00053-1</x:v>
      </x:c>
      <x:c r="B234" s="46" t="str">
        <x:v>L2025-00053-1/3. 현지입찰 제반서류 각1부/Section 6 - General Conditions of Contract.docx</x:v>
      </x:c>
      <x:c r="C234" s="43" t="str">
        <x:v>.docx</x:v>
      </x:c>
      <x:c r="D234" s="61" t="n">
        <x:v>35387</x:v>
      </x:c>
      <x:c r="E234" s="61" t="n">
        <x:v>181</x:v>
      </x:c>
      <x:c r="F234" s="61" t="n">
        <x:v>0</x:v>
      </x:c>
    </x:row>
    <x:row r="235">
      <x:c r="A235" s="43" t="str">
        <x:v>L2025-00053-1</x:v>
      </x:c>
      <x:c r="B235" s="46" t="str">
        <x:v>L2025-00053-1/3. 현지입찰 제반서류 각1부/Section 7 - Special Conditions of Contract.docx</x:v>
      </x:c>
      <x:c r="C235" s="43" t="str">
        <x:v>.docx</x:v>
      </x:c>
      <x:c r="D235" s="61" t="n">
        <x:v>26126</x:v>
      </x:c>
      <x:c r="E235" s="61" t="n">
        <x:v>42</x:v>
      </x:c>
      <x:c r="F235" s="61" t="n">
        <x:v>0</x:v>
      </x:c>
    </x:row>
    <x:row r="236">
      <x:c r="A236" s="43" t="str">
        <x:v>L2025-00053-1</x:v>
      </x:c>
      <x:c r="B236" s="46" t="str">
        <x:v>L2025-00053-1/3. 현지입찰 제반서류 각1부/Section 8 - Contract Forms.docx</x:v>
      </x:c>
      <x:c r="C236" s="43" t="str">
        <x:v>.docx</x:v>
      </x:c>
      <x:c r="D236" s="61" t="n">
        <x:v>22736</x:v>
      </x:c>
      <x:c r="E236" s="61" t="n">
        <x:v>93</x:v>
      </x:c>
      <x:c r="F236" s="61" t="n">
        <x:v>0</x:v>
      </x:c>
    </x:row>
    <x:row r="237">
      <x:c r="A237" s="43" t="str">
        <x:v>L2025-00053-1</x:v>
      </x:c>
      <x:c r="B237" s="46" t="str">
        <x:v>L2025-00053-1/3. 현지입찰 제반서류 각1부/Section 9 - Pledges.zip</x:v>
      </x:c>
      <x:c r="C237" s="43" t="str">
        <x:v>.zip</x:v>
      </x:c>
      <x:c r="D237" s="61" t="n">
        <x:v>85586</x:v>
      </x:c>
      <x:c r="E237" s="61" t="n">
        <x:v>0</x:v>
      </x:c>
      <x:c r="F237" s="61" t="n">
        <x:v>0</x:v>
      </x:c>
    </x:row>
    <x:row r="238">
      <x:c r="A238" s="43" t="str">
        <x:v>L2025-00052-1</x:v>
      </x:c>
      <x:c r="B238" s="46" t="str">
        <x:v>L2025-00052-1/(붙임 1) Bid Data Sheet(Korean)_KOICA FHBU Construction_정정본.hwp</x:v>
      </x:c>
      <x:c r="C238" s="43" t="str">
        <x:v>.hwp</x:v>
      </x:c>
      <x:c r="D238" s="61" t="n">
        <x:v>69120</x:v>
      </x:c>
      <x:c r="E238" s="61" t="n">
        <x:v>409</x:v>
      </x:c>
      <x:c r="F238" s="61" t="n">
        <x:v>2</x:v>
      </x:c>
    </x:row>
    <x:row r="239">
      <x:c r="A239" s="43" t="str">
        <x:v>L2025-00052-1</x:v>
      </x:c>
      <x:c r="B239" s="46" t="str">
        <x:v>L2025-00052-1/(붙임 2) 영문 입찰 계획 서류_KOICA FHBU Construction_정정본.zip</x:v>
      </x:c>
      <x:c r="C239" s="43" t="str">
        <x:v>.zip</x:v>
      </x:c>
      <x:c r="D239" s="61" t="n">
        <x:v>3273755</x:v>
      </x:c>
      <x:c r="E239" s="61" t="n">
        <x:v>0</x:v>
      </x:c>
      <x:c r="F239" s="61" t="n">
        <x:v>0</x:v>
      </x:c>
    </x:row>
    <x:row r="240">
      <x:c r="A240" s="43" t="str">
        <x:v>L2025-00052-1</x:v>
      </x:c>
      <x:c r="B240" s="46" t="str">
        <x:v>L2025-00052-1/(붙임 2) 영문 입찰 계획 서류_KOICA FHBU Construction_정정본/Section 1 - Instructions to Bidders (ITB)_KOICA FHBU Construction.zip</x:v>
      </x:c>
      <x:c r="C240" s="43" t="str">
        <x:v>.zip</x:v>
      </x:c>
      <x:c r="D240" s="61" t="n">
        <x:v>417188</x:v>
      </x:c>
      <x:c r="E240" s="61" t="n">
        <x:v>0</x:v>
      </x:c>
      <x:c r="F240" s="61" t="n">
        <x:v>0</x:v>
      </x:c>
    </x:row>
    <x:row r="241">
      <x:c r="A241" s="43" t="str">
        <x:v>L2025-00052-1</x:v>
      </x:c>
      <x:c r="B241" s="46" t="str">
        <x:v>L2025-00052-1/(붙임 2) 영문 입찰 계획 서류_KOICA FHBU Construction_정정본/Section 10 - KOICA Bidding Regulations and Guidelines_KOICA FHBU Construction.zip</x:v>
      </x:c>
      <x:c r="C241" s="43" t="str">
        <x:v>.zip</x:v>
      </x:c>
      <x:c r="D241" s="61" t="n">
        <x:v>1621670</x:v>
      </x:c>
      <x:c r="E241" s="61" t="n">
        <x:v>0</x:v>
      </x:c>
      <x:c r="F241" s="61" t="n">
        <x:v>0</x:v>
      </x:c>
    </x:row>
    <x:row r="242">
      <x:c r="A242" s="43" t="str">
        <x:v>L2025-00052-1</x:v>
      </x:c>
      <x:c r="B242" s="46" t="str">
        <x:v>L2025-00052-1/(붙임 2) 영문 입찰 계획 서류_KOICA FHBU Construction_정정본/Section 11 - Bid Document Checklist_FHBU Construction_KOICA FHBU Construction.xlsx</x:v>
      </x:c>
      <x:c r="C242" s="43" t="str">
        <x:v>.xlsx</x:v>
      </x:c>
      <x:c r="D242" s="61" t="n">
        <x:v>63363</x:v>
      </x:c>
      <x:c r="E242" s="61" t="n">
        <x:v>18</x:v>
      </x:c>
      <x:c r="F242" s="61" t="n">
        <x:v>3</x:v>
      </x:c>
    </x:row>
    <x:row r="243">
      <x:c r="A243" s="43" t="str">
        <x:v>L2025-00052-1</x:v>
      </x:c>
      <x:c r="B243" s="46" t="str">
        <x:v>L2025-00052-1/(붙임 2) 영문 입찰 계획 서류_KOICA FHBU Construction_정정본/Section 12 - Power of Attorney for the authority to sign and execute contracts_KOICA FHBU Construction.docx</x:v>
      </x:c>
      <x:c r="C243" s="43" t="str">
        <x:v>.docx</x:v>
      </x:c>
      <x:c r="D243" s="61" t="n">
        <x:v>18759</x:v>
      </x:c>
      <x:c r="E243" s="61" t="n">
        <x:v>15</x:v>
      </x:c>
      <x:c r="F243" s="61" t="n">
        <x:v>0</x:v>
      </x:c>
    </x:row>
    <x:row r="244">
      <x:c r="A244" s="43" t="str">
        <x:v>L2025-00052-1</x:v>
      </x:c>
      <x:c r="B244" s="46" t="str">
        <x:v>L2025-00052-1/(붙임 2) 영문 입찰 계획 서류_KOICA FHBU Construction_정정본/Section 2 - Bid Data Sheet(English)_KOICA FHBU Construction.docx</x:v>
      </x:c>
      <x:c r="C244" s="43" t="str">
        <x:v>.docx</x:v>
      </x:c>
      <x:c r="D244" s="61" t="n">
        <x:v>61827</x:v>
      </x:c>
      <x:c r="E244" s="61" t="n">
        <x:v>210</x:v>
      </x:c>
      <x:c r="F244" s="61" t="n">
        <x:v>3</x:v>
      </x:c>
    </x:row>
    <x:row r="245">
      <x:c r="A245" s="43" t="str">
        <x:v>L2025-00052-1</x:v>
      </x:c>
      <x:c r="B245" s="46" t="str">
        <x:v>L2025-00052-1/(붙임 2) 영문 입찰 계획 서류_KOICA FHBU Construction_정정본/Section 3 - Bidding Forms_KOICA FHBU Construction.docx</x:v>
      </x:c>
      <x:c r="C245" s="43" t="str">
        <x:v>.docx</x:v>
      </x:c>
      <x:c r="D245" s="61" t="n">
        <x:v>47106</x:v>
      </x:c>
      <x:c r="E245" s="61" t="n">
        <x:v>182</x:v>
      </x:c>
      <x:c r="F245" s="61" t="n">
        <x:v>0</x:v>
      </x:c>
    </x:row>
    <x:row r="246">
      <x:c r="A246" s="43" t="str">
        <x:v>L2025-00052-1</x:v>
      </x:c>
      <x:c r="B246" s="46" t="str">
        <x:v>L2025-00052-1/(붙임 2) 영문 입찰 계획 서류_KOICA FHBU Construction_정정본/Section 6 - Scope of Works_KOICA FHBU Construction.docx</x:v>
      </x:c>
      <x:c r="C246" s="43" t="str">
        <x:v>.docx</x:v>
      </x:c>
      <x:c r="D246" s="61" t="n">
        <x:v>46850</x:v>
      </x:c>
      <x:c r="E246" s="61" t="n">
        <x:v>215</x:v>
      </x:c>
      <x:c r="F246" s="61" t="n">
        <x:v>1</x:v>
      </x:c>
    </x:row>
    <x:row r="247">
      <x:c r="A247" s="43" t="str">
        <x:v>L2025-00052-1</x:v>
      </x:c>
      <x:c r="B247" s="46" t="str">
        <x:v>L2025-00052-1/(붙임 2) 영문 입찰 계획 서류_KOICA FHBU Construction_정정본/Section 7 - General Conditions of Contract(Draft)_KOICA FHBU Construction.docx</x:v>
      </x:c>
      <x:c r="C247" s="43" t="str">
        <x:v>.docx</x:v>
      </x:c>
      <x:c r="D247" s="61" t="n">
        <x:v>202912</x:v>
      </x:c>
      <x:c r="E247" s="61" t="n">
        <x:v>1406</x:v>
      </x:c>
      <x:c r="F247" s="61" t="n">
        <x:v>2</x:v>
      </x:c>
    </x:row>
    <x:row r="248">
      <x:c r="A248" s="43" t="str">
        <x:v>L2025-00052-1</x:v>
      </x:c>
      <x:c r="B248" s="46" t="str">
        <x:v>L2025-00052-1/(붙임 2) 영문 입찰 계획 서류_KOICA FHBU Construction_정정본/Section 8 - Special Conditions of Contract(Draft)_KOICA FHBU Construction.docx</x:v>
      </x:c>
      <x:c r="C248" s="43" t="str">
        <x:v>.docx</x:v>
      </x:c>
      <x:c r="D248" s="61" t="n">
        <x:v>60774</x:v>
      </x:c>
      <x:c r="E248" s="61" t="n">
        <x:v>292</x:v>
      </x:c>
      <x:c r="F248" s="61" t="n">
        <x:v>1</x:v>
      </x:c>
    </x:row>
    <x:row r="249">
      <x:c r="A249" s="43" t="str">
        <x:v>L2025-00052-1</x:v>
      </x:c>
      <x:c r="B249" s="46" t="str">
        <x:v>L2025-00052-1/(붙임 2) 영문 입찰 계획 서류_KOICA FHBU Construction_정정본/Section 8-2 KOICA Safety Management Manual_KOICA FHBU Construction.zip</x:v>
      </x:c>
      <x:c r="C249" s="43" t="str">
        <x:v>.zip</x:v>
      </x:c>
      <x:c r="D249" s="61" t="n">
        <x:v>657105</x:v>
      </x:c>
      <x:c r="E249" s="61" t="n">
        <x:v>0</x:v>
      </x:c>
      <x:c r="F249" s="61" t="n">
        <x:v>0</x:v>
      </x:c>
    </x:row>
    <x:row r="250">
      <x:c r="A250" s="43" t="str">
        <x:v>L2025-00052-1</x:v>
      </x:c>
      <x:c r="B250" s="46" t="str">
        <x:v>L2025-00052-1/(붙임 2) 영문 입찰 계획 서류_KOICA FHBU Construction_정정본/Section 9 - Contract Forms_KOICA FHBU Construction.docx</x:v>
      </x:c>
      <x:c r="C250" s="43" t="str">
        <x:v>.docx</x:v>
      </x:c>
      <x:c r="D250" s="61" t="n">
        <x:v>38159</x:v>
      </x:c>
      <x:c r="E250" s="61" t="n">
        <x:v>30</x:v>
      </x:c>
      <x:c r="F250" s="61" t="n">
        <x:v>0</x:v>
      </x:c>
    </x:row>
    <x:row r="251">
      <x:c r="A251" s="43" t="str">
        <x:v>L2025-00052-1</x:v>
      </x:c>
      <x:c r="B251" s="46" t="str">
        <x:v>L2025-00052-1/(붙임 2) 영문 입찰 계획 서류_KOICA FHBU Construction_정정본/Section 9-2 - Pledges_KOICA FHBU Construction.zip</x:v>
      </x:c>
      <x:c r="C251" s="43" t="str">
        <x:v>.zip</x:v>
      </x:c>
      <x:c r="D251" s="61" t="n">
        <x:v>69143</x:v>
      </x:c>
      <x:c r="E251" s="61" t="n">
        <x:v>0</x:v>
      </x:c>
      <x:c r="F251" s="61" t="n">
        <x:v>0</x:v>
      </x:c>
    </x:row>
    <x:row r="252">
      <x:c r="A252" s="43" t="str">
        <x:v>L2025-00051-2</x:v>
      </x:c>
      <x:c r="B252" s="46" t="str">
        <x:v>L2025-00051-2/1. (재입찰)피지 국립재활센터 설립사업 시공 입찰계획서.hwp</x:v>
      </x:c>
      <x:c r="C252" s="43" t="str">
        <x:v>.hwp</x:v>
      </x:c>
      <x:c r="D252" s="61" t="n">
        <x:v>55808</x:v>
      </x:c>
      <x:c r="E252" s="61" t="n">
        <x:v>513</x:v>
      </x:c>
      <x:c r="F252" s="61" t="n">
        <x:v>3</x:v>
      </x:c>
    </x:row>
    <x:row r="253">
      <x:c r="A253" s="43" t="str">
        <x:v>L2025-00051-2</x:v>
      </x:c>
      <x:c r="B253" s="46" t="str">
        <x:v>L2025-00051-2/Section 2 - Bid Data Sheet (BDS_09.2025).hwp</x:v>
      </x:c>
      <x:c r="C253" s="43" t="str">
        <x:v>.hwp</x:v>
      </x:c>
      <x:c r="D253" s="61" t="n">
        <x:v>83968</x:v>
      </x:c>
      <x:c r="E253" s="61" t="n">
        <x:v>439</x:v>
      </x:c>
      <x:c r="F253" s="61" t="n">
        <x:v>3</x:v>
      </x:c>
    </x:row>
    <x:row r="254">
      <x:c r="A254" s="43" t="str">
        <x:v>L2025-00051-2</x:v>
      </x:c>
      <x:c r="B254" s="46" t="str">
        <x:v>L2025-00051-2/Section 3 - Bidding FormsR1.docx</x:v>
      </x:c>
      <x:c r="C254" s="43" t="str">
        <x:v>.docx</x:v>
      </x:c>
      <x:c r="D254" s="61" t="n">
        <x:v>83558</x:v>
      </x:c>
      <x:c r="E254" s="61" t="n">
        <x:v>220</x:v>
      </x:c>
      <x:c r="F254" s="61" t="n">
        <x:v>0</x:v>
      </x:c>
    </x:row>
    <x:row r="255">
      <x:c r="A255" s="43" t="str">
        <x:v>L2025-00051-2</x:v>
      </x:c>
      <x:c r="B255" s="46" t="str">
        <x:v>L2025-00051-2/Section 3-1. Annex 9 Self-Evaluation Table.xlsx</x:v>
      </x:c>
      <x:c r="C255" s="43" t="str">
        <x:v>.xlsx</x:v>
      </x:c>
      <x:c r="D255" s="61" t="n">
        <x:v>15221</x:v>
      </x:c>
      <x:c r="E255" s="61" t="n">
        <x:v>33</x:v>
      </x:c>
      <x:c r="F255" s="61" t="n">
        <x:v>0</x:v>
      </x:c>
    </x:row>
    <x:row r="256">
      <x:c r="A256" s="43" t="str">
        <x:v>L2025-00051-2</x:v>
      </x:c>
      <x:c r="B256" s="46" t="str">
        <x:v>L2025-00051-2/Section 4 - Bill of Quantity.xlsx</x:v>
      </x:c>
      <x:c r="C256" s="43" t="str">
        <x:v>.xlsx</x:v>
      </x:c>
      <x:c r="D256" s="61" t="n">
        <x:v>791666</x:v>
      </x:c>
      <x:c r="E256" s="61" t="n">
        <x:v>2169</x:v>
      </x:c>
      <x:c r="F256" s="61" t="n">
        <x:v>0</x:v>
      </x:c>
    </x:row>
    <x:row r="257">
      <x:c r="A257" s="43" t="str">
        <x:v>L2025-00051-2</x:v>
      </x:c>
      <x:c r="B257" s="46" t="str">
        <x:v>L2025-00051-2/Section 6- Specification Of Work.zip</x:v>
      </x:c>
      <x:c r="C257" s="43" t="str">
        <x:v>.zip</x:v>
      </x:c>
      <x:c r="D257" s="61" t="n">
        <x:v>12780360</x:v>
      </x:c>
      <x:c r="E257" s="61" t="n">
        <x:v>0</x:v>
      </x:c>
      <x:c r="F257" s="61" t="n">
        <x:v>0</x:v>
      </x:c>
    </x:row>
    <x:row r="258">
      <x:c r="A258" s="43" t="str">
        <x:v>L2025-00051-2</x:v>
      </x:c>
      <x:c r="B258" s="46" t="str">
        <x:v>L2025-00051-2/Section 6- Specification Of Work/REHAB SPECIFICATION-ARCHITECTURAL.pdf</x:v>
      </x:c>
      <x:c r="C258" s="43" t="str">
        <x:v>.pdf</x:v>
      </x:c>
      <x:c r="D258" s="61" t="n">
        <x:v>8524601</x:v>
      </x:c>
      <x:c r="E258" s="61" t="n">
        <x:v>187</x:v>
      </x:c>
      <x:c r="F258" s="61" t="n">
        <x:v>18</x:v>
      </x:c>
    </x:row>
    <x:row r="259">
      <x:c r="A259" s="43" t="str">
        <x:v>L2025-00051-2</x:v>
      </x:c>
      <x:c r="B259" s="46" t="str">
        <x:v>L2025-00051-2/Section 6- Specification Of Work/Services Specifications/3921-Specifications-Communication Services-T1-2024.08.22.pdf</x:v>
      </x:c>
      <x:c r="C259" s="43" t="str">
        <x:v>.pdf</x:v>
      </x:c>
      <x:c r="D259" s="61" t="n">
        <x:v>1175896</x:v>
      </x:c>
      <x:c r="E259" s="61" t="n">
        <x:v>48</x:v>
      </x:c>
      <x:c r="F259" s="61" t="n">
        <x:v>1</x:v>
      </x:c>
    </x:row>
    <x:row r="260">
      <x:c r="A260" s="43" t="str">
        <x:v>L2025-00051-2</x:v>
      </x:c>
      <x:c r="B260" s="46" t="str">
        <x:v>L2025-00051-2/Section 6- Specification Of Work/Services Specifications/3921-Specifications-Electrical Services-T1-2024.08.22.pdf</x:v>
      </x:c>
      <x:c r="C260" s="43" t="str">
        <x:v>.pdf</x:v>
      </x:c>
      <x:c r="D260" s="61" t="n">
        <x:v>798602</x:v>
      </x:c>
      <x:c r="E260" s="61" t="n">
        <x:v>34</x:v>
      </x:c>
      <x:c r="F260" s="61" t="n">
        <x:v>3</x:v>
      </x:c>
    </x:row>
    <x:row r="261">
      <x:c r="A261" s="43" t="str">
        <x:v>L2025-00051-2</x:v>
      </x:c>
      <x:c r="B261" s="46" t="str">
        <x:v>L2025-00051-2/Section 6- Specification Of Work/Services Specifications/3921-Specifications-Electronic Services-T1-2024.08.22.pdf</x:v>
      </x:c>
      <x:c r="C261" s="43" t="str">
        <x:v>.pdf</x:v>
      </x:c>
      <x:c r="D261" s="61" t="n">
        <x:v>736421</x:v>
      </x:c>
      <x:c r="E261" s="61" t="n">
        <x:v>24</x:v>
      </x:c>
      <x:c r="F261" s="61" t="n">
        <x:v>2</x:v>
      </x:c>
    </x:row>
    <x:row r="262">
      <x:c r="A262" s="43" t="str">
        <x:v>L2025-00051-2</x:v>
      </x:c>
      <x:c r="B262" s="46" t="str">
        <x:v>L2025-00051-2/Section 6- Specification Of Work/Services Specifications/3921-Specifications-Fire protection Services-T1-2024.08.22.pdf</x:v>
      </x:c>
      <x:c r="C262" s="43" t="str">
        <x:v>.pdf</x:v>
      </x:c>
      <x:c r="D262" s="61" t="n">
        <x:v>791984</x:v>
      </x:c>
      <x:c r="E262" s="61" t="n">
        <x:v>19</x:v>
      </x:c>
      <x:c r="F262" s="61" t="n">
        <x:v>1</x:v>
      </x:c>
    </x:row>
    <x:row r="263">
      <x:c r="A263" s="43" t="str">
        <x:v>L2025-00051-2</x:v>
      </x:c>
      <x:c r="B263" s="46" t="str">
        <x:v>L2025-00051-2/Section 6- Specification Of Work/Services Specifications/3921-Specifications-Hydraulics Services-T1-2024.08.22.pdf</x:v>
      </x:c>
      <x:c r="C263" s="43" t="str">
        <x:v>.pdf</x:v>
      </x:c>
      <x:c r="D263" s="61" t="n">
        <x:v>856981</x:v>
      </x:c>
      <x:c r="E263" s="61" t="n">
        <x:v>24</x:v>
      </x:c>
      <x:c r="F263" s="61" t="n">
        <x:v>1</x:v>
      </x:c>
    </x:row>
    <x:row r="264">
      <x:c r="A264" s="43" t="str">
        <x:v>L2025-00051-2</x:v>
      </x:c>
      <x:c r="B264" s="46" t="str">
        <x:v>L2025-00051-2/Section 6- Specification Of Work/Services Specifications/3921-Specifications-Mechanical Services-T1-2024.08.22.pdf</x:v>
      </x:c>
      <x:c r="C264" s="43" t="str">
        <x:v>.pdf</x:v>
      </x:c>
      <x:c r="D264" s="61" t="n">
        <x:v>839820</x:v>
      </x:c>
      <x:c r="E264" s="61" t="n">
        <x:v>37</x:v>
      </x:c>
      <x:c r="F264" s="61" t="n">
        <x:v>2</x:v>
      </x:c>
    </x:row>
    <x:row r="265">
      <x:c r="A265" s="43" t="str">
        <x:v>L2025-00051-2</x:v>
      </x:c>
      <x:c r="B265" s="46" t="str">
        <x:v>L2025-00051-2/Section 7 - General Conditions of Contract.docx</x:v>
      </x:c>
      <x:c r="C265" s="43" t="str">
        <x:v>.docx</x:v>
      </x:c>
      <x:c r="D265" s="61" t="n">
        <x:v>204633</x:v>
      </x:c>
      <x:c r="E265" s="61" t="n">
        <x:v>1406</x:v>
      </x:c>
      <x:c r="F265" s="61" t="n">
        <x:v>2</x:v>
      </x:c>
    </x:row>
    <x:row r="266">
      <x:c r="A266" s="43" t="str">
        <x:v>L2025-00051-2</x:v>
      </x:c>
      <x:c r="B266" s="46" t="str">
        <x:v>L2025-00051-2/Section 8 - Specail Conditions of ContractR1.docx</x:v>
      </x:c>
      <x:c r="C266" s="43" t="str">
        <x:v>.docx</x:v>
      </x:c>
      <x:c r="D266" s="61" t="n">
        <x:v>44691</x:v>
      </x:c>
      <x:c r="E266" s="61" t="n">
        <x:v>245</x:v>
      </x:c>
      <x:c r="F266" s="61" t="n">
        <x:v>1</x:v>
      </x:c>
    </x:row>
    <x:row r="267">
      <x:c r="A267" s="43" t="str">
        <x:v>L2025-00051-2</x:v>
      </x:c>
      <x:c r="B267" s="46" t="str">
        <x:v>L2025-00051-2/Section 9 - Contract FormsR1.docx</x:v>
      </x:c>
      <x:c r="C267" s="43" t="str">
        <x:v>.docx</x:v>
      </x:c>
      <x:c r="D267" s="61" t="n">
        <x:v>24586</x:v>
      </x:c>
      <x:c r="E267" s="61" t="n">
        <x:v>36</x:v>
      </x:c>
      <x:c r="F267" s="61" t="n">
        <x:v>0</x:v>
      </x:c>
    </x:row>
    <x:row r="268">
      <x:c r="A268" s="43" t="str">
        <x:v>L2025-00051-1</x:v>
      </x:c>
      <x:c r="B268" s="46" t="str">
        <x:v>L2025-00051-1/Section 2 - Bid Data Sheet (BDS).hwp</x:v>
      </x:c>
      <x:c r="C268" s="43" t="str">
        <x:v>.hwp</x:v>
      </x:c>
      <x:c r="D268" s="61" t="n">
        <x:v>166400</x:v>
      </x:c>
      <x:c r="E268" s="61" t="n">
        <x:v>449</x:v>
      </x:c>
      <x:c r="F268" s="61" t="n">
        <x:v>3</x:v>
      </x:c>
    </x:row>
    <x:row r="269">
      <x:c r="A269" s="43" t="str">
        <x:v>L2025-00051-1</x:v>
      </x:c>
      <x:c r="B269" s="46" t="str">
        <x:v>L2025-00051-1/Section 3 - Bidding FormsR1.docx</x:v>
      </x:c>
      <x:c r="C269" s="43" t="str">
        <x:v>.docx</x:v>
      </x:c>
      <x:c r="D269" s="61" t="n">
        <x:v>83558</x:v>
      </x:c>
      <x:c r="E269" s="61" t="n">
        <x:v>220</x:v>
      </x:c>
      <x:c r="F269" s="61" t="n">
        <x:v>0</x:v>
      </x:c>
    </x:row>
    <x:row r="270">
      <x:c r="A270" s="43" t="str">
        <x:v>L2025-00051-1</x:v>
      </x:c>
      <x:c r="B270" s="46" t="str">
        <x:v>L2025-00051-1/Section 4 - Bill of Quantity.xlsx</x:v>
      </x:c>
      <x:c r="C270" s="43" t="str">
        <x:v>.xlsx</x:v>
      </x:c>
      <x:c r="D270" s="61" t="n">
        <x:v>791666</x:v>
      </x:c>
      <x:c r="E270" s="61" t="n">
        <x:v>2169</x:v>
      </x:c>
      <x:c r="F270" s="61" t="n">
        <x:v>0</x:v>
      </x:c>
    </x:row>
    <x:row r="271">
      <x:c r="A271" s="43" t="str">
        <x:v>L2025-00051-1</x:v>
      </x:c>
      <x:c r="B271" s="46" t="str">
        <x:v>L2025-00051-1/Section 6- Specification Of Work.zip</x:v>
      </x:c>
      <x:c r="C271" s="43" t="str">
        <x:v>.zip</x:v>
      </x:c>
      <x:c r="D271" s="61" t="n">
        <x:v>12780360</x:v>
      </x:c>
      <x:c r="E271" s="61" t="n">
        <x:v>0</x:v>
      </x:c>
      <x:c r="F271" s="61" t="n">
        <x:v>0</x:v>
      </x:c>
    </x:row>
    <x:row r="272">
      <x:c r="A272" s="43" t="str">
        <x:v>L2025-00051-1</x:v>
      </x:c>
      <x:c r="B272" s="46" t="str">
        <x:v>L2025-00051-1/Section 6- Specification Of Work/REHAB SPECIFICATION-ARCHITECTURAL.pdf</x:v>
      </x:c>
      <x:c r="C272" s="43" t="str">
        <x:v>.pdf</x:v>
      </x:c>
      <x:c r="D272" s="61" t="n">
        <x:v>8524601</x:v>
      </x:c>
      <x:c r="E272" s="61" t="n">
        <x:v>187</x:v>
      </x:c>
      <x:c r="F272" s="61" t="n">
        <x:v>18</x:v>
      </x:c>
    </x:row>
    <x:row r="273">
      <x:c r="A273" s="43" t="str">
        <x:v>L2025-00051-1</x:v>
      </x:c>
      <x:c r="B273" s="46" t="str">
        <x:v>L2025-00051-1/Section 6- Specification Of Work/Services Specifications/3921-Specifications-Communication Services-T1-2024.08.22.pdf</x:v>
      </x:c>
      <x:c r="C273" s="43" t="str">
        <x:v>.pdf</x:v>
      </x:c>
      <x:c r="D273" s="61" t="n">
        <x:v>1175896</x:v>
      </x:c>
      <x:c r="E273" s="61" t="n">
        <x:v>48</x:v>
      </x:c>
      <x:c r="F273" s="61" t="n">
        <x:v>1</x:v>
      </x:c>
    </x:row>
    <x:row r="274">
      <x:c r="A274" s="43" t="str">
        <x:v>L2025-00051-1</x:v>
      </x:c>
      <x:c r="B274" s="46" t="str">
        <x:v>L2025-00051-1/Section 6- Specification Of Work/Services Specifications/3921-Specifications-Electrical Services-T1-2024.08.22.pdf</x:v>
      </x:c>
      <x:c r="C274" s="43" t="str">
        <x:v>.pdf</x:v>
      </x:c>
      <x:c r="D274" s="61" t="n">
        <x:v>798602</x:v>
      </x:c>
      <x:c r="E274" s="61" t="n">
        <x:v>34</x:v>
      </x:c>
      <x:c r="F274" s="61" t="n">
        <x:v>3</x:v>
      </x:c>
    </x:row>
    <x:row r="275">
      <x:c r="A275" s="43" t="str">
        <x:v>L2025-00051-1</x:v>
      </x:c>
      <x:c r="B275" s="46" t="str">
        <x:v>L2025-00051-1/Section 6- Specification Of Work/Services Specifications/3921-Specifications-Electronic Services-T1-2024.08.22.pdf</x:v>
      </x:c>
      <x:c r="C275" s="43" t="str">
        <x:v>.pdf</x:v>
      </x:c>
      <x:c r="D275" s="61" t="n">
        <x:v>736421</x:v>
      </x:c>
      <x:c r="E275" s="61" t="n">
        <x:v>24</x:v>
      </x:c>
      <x:c r="F275" s="61" t="n">
        <x:v>2</x:v>
      </x:c>
    </x:row>
    <x:row r="276">
      <x:c r="A276" s="43" t="str">
        <x:v>L2025-00051-1</x:v>
      </x:c>
      <x:c r="B276" s="46" t="str">
        <x:v>L2025-00051-1/Section 6- Specification Of Work/Services Specifications/3921-Specifications-Fire protection Services-T1-2024.08.22.pdf</x:v>
      </x:c>
      <x:c r="C276" s="43" t="str">
        <x:v>.pdf</x:v>
      </x:c>
      <x:c r="D276" s="61" t="n">
        <x:v>791984</x:v>
      </x:c>
      <x:c r="E276" s="61" t="n">
        <x:v>19</x:v>
      </x:c>
      <x:c r="F276" s="61" t="n">
        <x:v>1</x:v>
      </x:c>
    </x:row>
    <x:row r="277">
      <x:c r="A277" s="43" t="str">
        <x:v>L2025-00051-1</x:v>
      </x:c>
      <x:c r="B277" s="46" t="str">
        <x:v>L2025-00051-1/Section 6- Specification Of Work/Services Specifications/3921-Specifications-Hydraulics Services-T1-2024.08.22.pdf</x:v>
      </x:c>
      <x:c r="C277" s="43" t="str">
        <x:v>.pdf</x:v>
      </x:c>
      <x:c r="D277" s="61" t="n">
        <x:v>856981</x:v>
      </x:c>
      <x:c r="E277" s="61" t="n">
        <x:v>24</x:v>
      </x:c>
      <x:c r="F277" s="61" t="n">
        <x:v>1</x:v>
      </x:c>
    </x:row>
    <x:row r="278">
      <x:c r="A278" s="43" t="str">
        <x:v>L2025-00051-1</x:v>
      </x:c>
      <x:c r="B278" s="46" t="str">
        <x:v>L2025-00051-1/Section 6- Specification Of Work/Services Specifications/3921-Specifications-Mechanical Services-T1-2024.08.22.pdf</x:v>
      </x:c>
      <x:c r="C278" s="43" t="str">
        <x:v>.pdf</x:v>
      </x:c>
      <x:c r="D278" s="61" t="n">
        <x:v>839820</x:v>
      </x:c>
      <x:c r="E278" s="61" t="n">
        <x:v>37</x:v>
      </x:c>
      <x:c r="F278" s="61" t="n">
        <x:v>2</x:v>
      </x:c>
    </x:row>
    <x:row r="279">
      <x:c r="A279" s="43" t="str">
        <x:v>L2025-00051-1</x:v>
      </x:c>
      <x:c r="B279" s="46" t="str">
        <x:v>L2025-00051-1/Section 7 - General Conditions of Contract.docx</x:v>
      </x:c>
      <x:c r="C279" s="43" t="str">
        <x:v>.docx</x:v>
      </x:c>
      <x:c r="D279" s="61" t="n">
        <x:v>204633</x:v>
      </x:c>
      <x:c r="E279" s="61" t="n">
        <x:v>1406</x:v>
      </x:c>
      <x:c r="F279" s="61" t="n">
        <x:v>2</x:v>
      </x:c>
    </x:row>
    <x:row r="280">
      <x:c r="A280" s="43" t="str">
        <x:v>L2025-00051-1</x:v>
      </x:c>
      <x:c r="B280" s="46" t="str">
        <x:v>L2025-00051-1/Section 8 - Specail Conditions of ContractR1.docx</x:v>
      </x:c>
      <x:c r="C280" s="43" t="str">
        <x:v>.docx</x:v>
      </x:c>
      <x:c r="D280" s="61" t="n">
        <x:v>44691</x:v>
      </x:c>
      <x:c r="E280" s="61" t="n">
        <x:v>245</x:v>
      </x:c>
      <x:c r="F280" s="61" t="n">
        <x:v>1</x:v>
      </x:c>
    </x:row>
    <x:row r="281">
      <x:c r="A281" s="43" t="str">
        <x:v>L2025-00051-1</x:v>
      </x:c>
      <x:c r="B281" s="46" t="str">
        <x:v>L2025-00051-1/Section 9 - Contract FormsR1.docx</x:v>
      </x:c>
      <x:c r="C281" s="43" t="str">
        <x:v>.docx</x:v>
      </x:c>
      <x:c r="D281" s="61" t="n">
        <x:v>24586</x:v>
      </x:c>
      <x:c r="E281" s="61" t="n">
        <x:v>36</x:v>
      </x:c>
      <x:c r="F281" s="61" t="n">
        <x:v>0</x:v>
      </x:c>
    </x:row>
    <x:row r="282">
      <x:c r="A282" s="43" t="str">
        <x:v>L2025-00049-2</x:v>
      </x:c>
      <x:c r="B282" s="46" t="str">
        <x:v>L2025-00049-2/Bid_Announcement_extension_Ukraine_Notification_Purpose_250804.docx</x:v>
      </x:c>
      <x:c r="C282" s="43" t="str">
        <x:v>.docx</x:v>
      </x:c>
      <x:c r="D282" s="61" t="n">
        <x:v>40469</x:v>
      </x:c>
      <x:c r="E282" s="61" t="n">
        <x:v>46</x:v>
      </x:c>
      <x:c r="F282" s="61" t="n">
        <x:v>3</x:v>
      </x:c>
    </x:row>
    <x:row r="283">
      <x:c r="A283" s="43" t="str">
        <x:v>L2025-00049-1</x:v>
      </x:c>
      <x:c r="B283" s="46" t="str">
        <x:v>L2025-00049-1/붙임2. Bid_Announcement_Ukraine_Notification Purpose_250626 ★.docx</x:v>
      </x:c>
      <x:c r="C283" s="43" t="str">
        <x:v>.docx</x:v>
      </x:c>
      <x:c r="D283" s="61" t="n">
        <x:v>37281</x:v>
      </x:c>
      <x:c r="E283" s="61" t="n">
        <x:v>49</x:v>
      </x:c>
      <x:c r="F283" s="61" t="n">
        <x:v>3</x:v>
      </x:c>
    </x:row>
    <x:row r="284">
      <x:c r="A284" s="43" t="str">
        <x:v>L2025-00047-1</x:v>
      </x:c>
      <x:c r="B284" s="46" t="str">
        <x:v>L2025-00047-1/Section 2 - Bid Data Sheet (국문).hwp</x:v>
      </x:c>
      <x:c r="C284" s="43" t="str">
        <x:v>.hwp</x:v>
      </x:c>
      <x:c r="D284" s="61" t="n">
        <x:v>68096</x:v>
      </x:c>
      <x:c r="E284" s="61" t="n">
        <x:v>467</x:v>
      </x:c>
      <x:c r="F284" s="61" t="n">
        <x:v>3</x:v>
      </x:c>
    </x:row>
    <x:row r="285">
      <x:c r="A285" s="43" t="str">
        <x:v>L2025-00047-1</x:v>
      </x:c>
      <x:c r="B285" s="46" t="str">
        <x:v>L2025-00047-1/붙임2. 영문 입찰서류_섬유센터 2차사업 시공 재입찰 (2025.06.20).zip</x:v>
      </x:c>
      <x:c r="C285" s="43" t="str">
        <x:v>.zip</x:v>
      </x:c>
      <x:c r="D285" s="61" t="n">
        <x:v>6117972</x:v>
      </x:c>
      <x:c r="E285" s="61" t="n">
        <x:v>0</x:v>
      </x:c>
      <x:c r="F285" s="61" t="n">
        <x:v>0</x:v>
      </x:c>
    </x:row>
    <x:row r="286">
      <x:c r="A286" s="43" t="str">
        <x:v>L2025-00047-1</x:v>
      </x:c>
      <x:c r="B286" s="46" t="str">
        <x:v>L2025-00047-1/붙임2. 영문 입찰서류_섬유센터 2차사업 시공 재입찰 (2025.06.20)/Section 1 - Instructions to Bidders (ITB) (24.11.15).pdf</x:v>
      </x:c>
      <x:c r="C286" s="43" t="str">
        <x:v>.pdf</x:v>
      </x:c>
      <x:c r="D286" s="61" t="n">
        <x:v>165225</x:v>
      </x:c>
      <x:c r="E286" s="61" t="n">
        <x:v>13</x:v>
      </x:c>
      <x:c r="F286" s="61" t="n">
        <x:v>0</x:v>
      </x:c>
    </x:row>
    <x:row r="287">
      <x:c r="A287" s="43" t="str">
        <x:v>L2025-00047-1</x:v>
      </x:c>
      <x:c r="B287" s="46" t="str">
        <x:v>L2025-00047-1/붙임2. 영문 입찰서류_섬유센터 2차사업 시공 재입찰 (2025.06.20)/Section 10 - Pledges.zip</x:v>
      </x:c>
      <x:c r="C287" s="43" t="str">
        <x:v>.zip</x:v>
      </x:c>
      <x:c r="D287" s="61" t="n">
        <x:v>98959</x:v>
      </x:c>
      <x:c r="E287" s="61" t="n">
        <x:v>0</x:v>
      </x:c>
      <x:c r="F287" s="61" t="n">
        <x:v>0</x:v>
      </x:c>
    </x:row>
    <x:row r="288">
      <x:c r="A288" s="43" t="str">
        <x:v>L2025-00047-1</x:v>
      </x:c>
      <x:c r="B288" s="46" t="str">
        <x:v>L2025-00047-1/붙임2. 영문 입찰서류_섬유센터 2차사업 시공 재입찰 (2025.06.20)/Section 2 - Bid Data Sheet.docx</x:v>
      </x:c>
      <x:c r="C288" s="43" t="str">
        <x:v>.docx</x:v>
      </x:c>
      <x:c r="D288" s="61" t="n">
        <x:v>79810</x:v>
      </x:c>
      <x:c r="E288" s="61" t="n">
        <x:v>222</x:v>
      </x:c>
      <x:c r="F288" s="61" t="n">
        <x:v>6</x:v>
      </x:c>
    </x:row>
    <x:row r="289">
      <x:c r="A289" s="43" t="str">
        <x:v>L2025-00047-1</x:v>
      </x:c>
      <x:c r="B289" s="46" t="str">
        <x:v>L2025-00047-1/붙임2. 영문 입찰서류_섬유센터 2차사업 시공 재입찰 (2025.06.20)/Section 3 - Bidding Forms.docx</x:v>
      </x:c>
      <x:c r="C289" s="43" t="str">
        <x:v>.docx</x:v>
      </x:c>
      <x:c r="D289" s="61" t="n">
        <x:v>40171</x:v>
      </x:c>
      <x:c r="E289" s="61" t="n">
        <x:v>122</x:v>
      </x:c>
      <x:c r="F289" s="61" t="n">
        <x:v>0</x:v>
      </x:c>
    </x:row>
    <x:row r="290">
      <x:c r="A290" s="43" t="str">
        <x:v>L2025-00047-1</x:v>
      </x:c>
      <x:c r="B290" s="46" t="str">
        <x:v>L2025-00047-1/붙임2. 영문 입찰서류_섬유센터 2차사업 시공 재입찰 (2025.06.20)/Section 4 - Bill Of Quantity (Quantity Statement).xls</x:v>
      </x:c>
      <x:c r="C290" s="43" t="str">
        <x:v>.xls</x:v>
      </x:c>
      <x:c r="D290" s="61" t="n">
        <x:v>449024</x:v>
      </x:c>
      <x:c r="E290" s="61" t="n">
        <x:v>1225</x:v>
      </x:c>
      <x:c r="F290" s="61" t="n">
        <x:v>0</x:v>
      </x:c>
    </x:row>
    <x:row r="291">
      <x:c r="A291" s="43" t="str">
        <x:v>L2025-00047-1</x:v>
      </x:c>
      <x:c r="B291" s="46" t="str">
        <x:v>L2025-00047-1/붙임2. 영문 입찰서류_섬유센터 2차사업 시공 재입찰 (2025.06.20)/Section 6-Specification.zip</x:v>
      </x:c>
      <x:c r="C291" s="43" t="str">
        <x:v>.zip</x:v>
      </x:c>
      <x:c r="D291" s="61" t="n">
        <x:v>5083420</x:v>
      </x:c>
      <x:c r="E291" s="61" t="n">
        <x:v>0</x:v>
      </x:c>
      <x:c r="F291" s="61" t="n">
        <x:v>0</x:v>
      </x:c>
    </x:row>
    <x:row r="292">
      <x:c r="A292" s="43" t="str">
        <x:v>L2025-00047-1</x:v>
      </x:c>
      <x:c r="B292" s="46" t="str">
        <x:v>L2025-00047-1/붙임2. 영문 입찰서류_섬유센터 2차사업 시공 재입찰 (2025.06.20)/Section 7 - General Conditions of Cotnract.docx</x:v>
      </x:c>
      <x:c r="C292" s="43" t="str">
        <x:v>.docx</x:v>
      </x:c>
      <x:c r="D292" s="61" t="n">
        <x:v>217910</x:v>
      </x:c>
      <x:c r="E292" s="61" t="n">
        <x:v>1436</x:v>
      </x:c>
      <x:c r="F292" s="61" t="n">
        <x:v>2</x:v>
      </x:c>
    </x:row>
    <x:row r="293">
      <x:c r="A293" s="43" t="str">
        <x:v>L2025-00047-1</x:v>
      </x:c>
      <x:c r="B293" s="46" t="str">
        <x:v>L2025-00047-1/붙임2. 영문 입찰서류_섬유센터 2차사업 시공 재입찰 (2025.06.20)/Section 8 - Special Conditions of Contract.docx</x:v>
      </x:c>
      <x:c r="C293" s="43" t="str">
        <x:v>.docx</x:v>
      </x:c>
      <x:c r="D293" s="61" t="n">
        <x:v>56931</x:v>
      </x:c>
      <x:c r="E293" s="61" t="n">
        <x:v>155</x:v>
      </x:c>
      <x:c r="F293" s="61" t="n">
        <x:v>2</x:v>
      </x:c>
    </x:row>
    <x:row r="294">
      <x:c r="A294" s="43" t="str">
        <x:v>L2025-00047-1</x:v>
      </x:c>
      <x:c r="B294" s="46" t="str">
        <x:v>L2025-00047-1/붙임2. 영문 입찰서류_섬유센터 2차사업 시공 재입찰 (2025.06.20)/Section 8.1 - KOICA Safety Management Manual(ENG).pdf</x:v>
      </x:c>
      <x:c r="C294" s="43" t="str">
        <x:v>.pdf</x:v>
      </x:c>
      <x:c r="D294" s="61" t="n">
        <x:v>378337</x:v>
      </x:c>
      <x:c r="E294" s="61" t="n">
        <x:v>37</x:v>
      </x:c>
      <x:c r="F294" s="61" t="n">
        <x:v>4</x:v>
      </x:c>
    </x:row>
    <x:row r="295">
      <x:c r="A295" s="43" t="str">
        <x:v>L2025-00047-1</x:v>
      </x:c>
      <x:c r="B295" s="46" t="str">
        <x:v>L2025-00047-1/붙임2. 영문 입찰서류_섬유센터 2차사업 시공 재입찰 (2025.06.20)/Section 9 - Contract Forms.docx</x:v>
      </x:c>
      <x:c r="C295" s="43" t="str">
        <x:v>.docx</x:v>
      </x:c>
      <x:c r="D295" s="61" t="n">
        <x:v>38159</x:v>
      </x:c>
      <x:c r="E295" s="61" t="n">
        <x:v>30</x:v>
      </x:c>
      <x:c r="F295" s="61" t="n">
        <x:v>0</x:v>
      </x:c>
    </x:row>
    <x:row r="296">
      <x:c r="A296" s="43" t="str">
        <x:v>L2025-00047-1</x:v>
      </x:c>
      <x:c r="B296" s="46" t="str">
        <x:v>L2025-00047-1/붙임3. KOICA 입찰관련 규정 및 지침.zip</x:v>
      </x:c>
      <x:c r="C296" s="43" t="str">
        <x:v>.zip</x:v>
      </x:c>
      <x:c r="D296" s="61" t="n">
        <x:v>1166560</x:v>
      </x:c>
      <x:c r="E296" s="61" t="n">
        <x:v>0</x:v>
      </x:c>
      <x:c r="F296" s="61" t="n">
        <x:v>0</x:v>
      </x:c>
    </x:row>
    <x:row r="297">
      <x:c r="A297" s="43" t="str">
        <x:v>L2025-00047-1</x:v>
      </x:c>
      <x:c r="B297" s="46" t="str">
        <x:v>L2025-00047-1/붙임3. KOICA 입찰관련 규정 및 지침/KOICA Regulations for International Procurement(▒╣┴ª┴╢┤▐▒╘┴ñ)_20190304.pdf</x:v>
      </x:c>
      <x:c r="C297" s="43" t="str">
        <x:v>.pdf</x:v>
      </x:c>
      <x:c r="D297" s="61" t="n">
        <x:v>375625</x:v>
      </x:c>
      <x:c r="E297" s="61" t="n">
        <x:v>55</x:v>
      </x:c>
      <x:c r="F297" s="61" t="n">
        <x:v>1</x:v>
      </x:c>
    </x:row>
    <x:row r="298">
      <x:c r="A298" s="43" t="str">
        <x:v>L2025-00047-1</x:v>
      </x:c>
      <x:c r="B298" s="46" t="str">
        <x:v>L2025-00047-1/붙임3. KOICA 입찰관련 규정 및 지침/Regulations for Procurement and Contract in Grant Aid Projects(┤δ┐▄╣½╗≤╟∙╖┬╗τ╛≈┐í ░ⁿ╟╤ ┴╢┤▐ ╣╫ ░Φ╛α▒╘┴ñ)_20190520.pdf</x:v>
      </x:c>
      <x:c r="C298" s="43" t="str">
        <x:v>.pdf</x:v>
      </x:c>
      <x:c r="D298" s="61" t="n">
        <x:v>157627</x:v>
      </x:c>
      <x:c r="E298" s="61" t="n">
        <x:v>33</x:v>
      </x:c>
      <x:c r="F298" s="61" t="n">
        <x:v>2</x:v>
      </x:c>
    </x:row>
    <x:row r="299">
      <x:c r="A299" s="43" t="str">
        <x:v>L2025-00047-1</x:v>
      </x:c>
      <x:c r="B299" s="46" t="str">
        <x:v>L2025-00047-1/붙임3. KOICA 입찰관련 규정 및 지침/Standard of Prequalification Criteria(└╘┬√┬ⁿ░í└┌░▌╗τ└ⁿ╜╔╗τ▒Γ┴╪)_20130116.pdf</x:v>
      </x:c>
      <x:c r="C299" s="43" t="str">
        <x:v>.pdf</x:v>
      </x:c>
      <x:c r="D299" s="61" t="n">
        <x:v>473791</x:v>
      </x:c>
      <x:c r="E299" s="61" t="n">
        <x:v>26</x:v>
      </x:c>
      <x:c r="F299" s="61" t="n">
        <x:v>1</x:v>
      </x:c>
    </x:row>
    <x:row r="300">
      <x:c r="A300" s="43" t="str">
        <x:v>L2025-00047-1</x:v>
      </x:c>
      <x:c r="B300" s="46" t="str">
        <x:v>L2025-00047-1/붙임3. KOICA 입찰관련 규정 및 지침/Standards of Qualification Examination for Selection of Constructor(╜├░°╗τ╝▒┴ñ└√░▌╜╔╗τ▒Γ┴╪)_20140403.pdf</x:v>
      </x:c>
      <x:c r="C300" s="43" t="str">
        <x:v>.pdf</x:v>
      </x:c>
      <x:c r="D300" s="61" t="n">
        <x:v>315288</x:v>
      </x:c>
      <x:c r="E300" s="61" t="n">
        <x:v>12</x:v>
      </x:c>
      <x:c r="F300" s="61" t="n">
        <x:v>0</x:v>
      </x:c>
    </x:row>
    <x:row r="301">
      <x:c r="A301" s="43" t="str">
        <x:v>L2025-00045-2</x:v>
      </x:c>
      <x:c r="B301" s="46" t="str">
        <x:v>L2025-00045-2/붙임1. 이라크 난민선도학교 설계및시공감리업체선정 현지입찰추진계획안.hwp</x:v>
      </x:c>
      <x:c r="C301" s="43" t="str">
        <x:v>.hwp</x:v>
      </x:c>
      <x:c r="D301" s="61" t="n">
        <x:v>96256</x:v>
      </x:c>
      <x:c r="E301" s="61" t="n">
        <x:v>673</x:v>
      </x:c>
      <x:c r="F301" s="61" t="n">
        <x:v>2</x:v>
      </x:c>
    </x:row>
    <x:row r="302">
      <x:c r="A302" s="43" t="str">
        <x:v>L2025-00045-2</x:v>
      </x:c>
      <x:c r="B302" s="46" t="str">
        <x:v>L2025-00045-2/붙임2. CM 공문_토펙중동중앙아 제2025-014호 (이라크 쿠르드 지역학교 내 난민통합교육 .pdf</x:v>
      </x:c>
      <x:c r="C302" s="43" t="str">
        <x:v>.pdf</x:v>
      </x:c>
      <x:c r="D302" s="61" t="n">
        <x:v>64450</x:v>
      </x:c>
      <x:c r="E302" s="61" t="n">
        <x:v>1</x:v>
      </x:c>
      <x:c r="F302" s="61" t="n">
        <x:v>0</x:v>
      </x:c>
    </x:row>
    <x:row r="303">
      <x:c r="A303" s="43" t="str">
        <x:v>L2025-00045-2</x:v>
      </x:c>
      <x:c r="B303" s="46" t="str">
        <x:v>L2025-00045-2/붙임3. 영문 입찰서류(양식 등 포함).zip</x:v>
      </x:c>
      <x:c r="C303" s="43" t="str">
        <x:v>.zip</x:v>
      </x:c>
      <x:c r="D303" s="61" t="n">
        <x:v>3158104</x:v>
      </x:c>
      <x:c r="E303" s="61" t="n">
        <x:v>0</x:v>
      </x:c>
      <x:c r="F303" s="61" t="n">
        <x:v>0</x:v>
      </x:c>
    </x:row>
    <x:row r="304">
      <x:c r="A304" s="43" t="str">
        <x:v>L2025-00045-2</x:v>
      </x:c>
      <x:c r="B304" s="46" t="str">
        <x:v>L2025-00045-2/붙임3. 영문 입찰서류(양식 등 포함)/Section 1 - Instructions to Bidders.docx</x:v>
      </x:c>
      <x:c r="C304" s="43" t="str">
        <x:v>.docx</x:v>
      </x:c>
      <x:c r="D304" s="61" t="n">
        <x:v>30151</x:v>
      </x:c>
      <x:c r="E304" s="61" t="n">
        <x:v>159</x:v>
      </x:c>
      <x:c r="F304" s="61" t="n">
        <x:v>0</x:v>
      </x:c>
    </x:row>
    <x:row r="305">
      <x:c r="A305" s="43" t="str">
        <x:v>L2025-00045-2</x:v>
      </x:c>
      <x:c r="B305" s="46" t="str">
        <x:v>L2025-00045-2/붙임3. 영문 입찰서류(양식 등 포함)/Section 2 - Bid Data Sheet (BDS)_v2_250827(└╧┴ñ╝÷┴ñ).docx</x:v>
      </x:c>
      <x:c r="C305" s="43" t="str">
        <x:v>.docx</x:v>
      </x:c>
      <x:c r="D305" s="61" t="n">
        <x:v>103770</x:v>
      </x:c>
      <x:c r="E305" s="61" t="n">
        <x:v>265</x:v>
      </x:c>
      <x:c r="F305" s="61" t="n">
        <x:v>6</x:v>
      </x:c>
    </x:row>
    <x:row r="306">
      <x:c r="A306" s="43" t="str">
        <x:v>L2025-00045-2</x:v>
      </x:c>
      <x:c r="B306" s="46" t="str">
        <x:v>L2025-00045-2/붙임3. 영문 입찰서류(양식 등 포함)/Section 3 - Bidding Forms_v1_250826(║»░µ╛°└╜).docx</x:v>
      </x:c>
      <x:c r="C306" s="43" t="str">
        <x:v>.docx</x:v>
      </x:c>
      <x:c r="D306" s="61" t="n">
        <x:v>66042</x:v>
      </x:c>
      <x:c r="E306" s="61" t="n">
        <x:v>315</x:v>
      </x:c>
      <x:c r="F306" s="61" t="n">
        <x:v>0</x:v>
      </x:c>
    </x:row>
    <x:row r="307">
      <x:c r="A307" s="43" t="str">
        <x:v>L2025-00045-2</x:v>
      </x:c>
      <x:c r="B307" s="46" t="str">
        <x:v>L2025-00045-2/붙임3. 영문 입찰서류(양식 등 포함)/Section 4 - Request for Proposal (RFP)_v1_250826(║»░µ╛°└╜).doc</x:v>
      </x:c>
      <x:c r="C307" s="43" t="str">
        <x:v>.doc</x:v>
      </x:c>
      <x:c r="D307" s="61" t="n">
        <x:v>251904</x:v>
      </x:c>
      <x:c r="E307" s="61" t="n">
        <x:v>261</x:v>
      </x:c>
      <x:c r="F307" s="61" t="n">
        <x:v>1</x:v>
      </x:c>
    </x:row>
    <x:row r="308">
      <x:c r="A308" s="43" t="str">
        <x:v>L2025-00045-2</x:v>
      </x:c>
      <x:c r="B308" s="46" t="str">
        <x:v>L2025-00045-2/붙임3. 영문 입찰서류(양식 등 포함)/Section 4 (Annex 1) Sample of Technical Proposal.doc</x:v>
      </x:c>
      <x:c r="C308" s="43" t="str">
        <x:v>.doc</x:v>
      </x:c>
      <x:c r="D308" s="61" t="n">
        <x:v>184320</x:v>
      </x:c>
      <x:c r="E308" s="61" t="n">
        <x:v>70</x:v>
      </x:c>
      <x:c r="F308" s="61" t="n">
        <x:v>0</x:v>
      </x:c>
    </x:row>
    <x:row r="309">
      <x:c r="A309" s="43" t="str">
        <x:v>L2025-00045-2</x:v>
      </x:c>
      <x:c r="B309" s="46" t="str">
        <x:v>L2025-00045-2/붙임3. 영문 입찰서류(양식 등 포함)/Section 4 (Annex 2) Guidelines for Technical Proposal.docx</x:v>
      </x:c>
      <x:c r="C309" s="43" t="str">
        <x:v>.docx</x:v>
      </x:c>
      <x:c r="D309" s="61" t="n">
        <x:v>15200</x:v>
      </x:c>
      <x:c r="E309" s="61" t="n">
        <x:v>8</x:v>
      </x:c>
      <x:c r="F309" s="61" t="n">
        <x:v>0</x:v>
      </x:c>
    </x:row>
    <x:row r="310">
      <x:c r="A310" s="43" t="str">
        <x:v>L2025-00045-2</x:v>
      </x:c>
      <x:c r="B310" s="46" t="str">
        <x:v>L2025-00045-2/붙임3. 영문 입찰서류(양식 등 포함)/Section 5 - Scope of the Services (ToR)_v1_250826(║»░µ╛°└╜).docx</x:v>
      </x:c>
      <x:c r="C310" s="43" t="str">
        <x:v>.docx</x:v>
      </x:c>
      <x:c r="D310" s="61" t="n">
        <x:v>39886</x:v>
      </x:c>
      <x:c r="E310" s="61" t="n">
        <x:v>169</x:v>
      </x:c>
      <x:c r="F310" s="61" t="n">
        <x:v>0</x:v>
      </x:c>
    </x:row>
    <x:row r="311">
      <x:c r="A311" s="43" t="str">
        <x:v>L2025-00045-2</x:v>
      </x:c>
      <x:c r="B311" s="46" t="str">
        <x:v>L2025-00045-2/붙임3. 영문 입찰서류(양식 등 포함)/Section 6 - Reference Material(Constrution scope and space program)_v1_250826(║»░µ╛°└╜).docx</x:v>
      </x:c>
      <x:c r="C311" s="43" t="str">
        <x:v>.docx</x:v>
      </x:c>
      <x:c r="D311" s="61" t="n">
        <x:v>2777091</x:v>
      </x:c>
      <x:c r="E311" s="61" t="n">
        <x:v>157</x:v>
      </x:c>
      <x:c r="F311" s="61" t="n">
        <x:v>5</x:v>
      </x:c>
    </x:row>
    <x:row r="312">
      <x:c r="A312" s="43" t="str">
        <x:v>L2025-00045-2</x:v>
      </x:c>
      <x:c r="B312" s="46" t="str">
        <x:v>L2025-00045-2/붙임3. 영문 입찰서류(양식 등 포함)/Section 7 - General Conditions of Contract_v1_250826(║»░µ╛°└╜).docx</x:v>
      </x:c>
      <x:c r="C312" s="43" t="str">
        <x:v>.docx</x:v>
      </x:c>
      <x:c r="D312" s="61" t="n">
        <x:v>34877</x:v>
      </x:c>
      <x:c r="E312" s="61" t="n">
        <x:v>179</x:v>
      </x:c>
      <x:c r="F312" s="61" t="n">
        <x:v>0</x:v>
      </x:c>
    </x:row>
    <x:row r="313">
      <x:c r="A313" s="43" t="str">
        <x:v>L2025-00045-2</x:v>
      </x:c>
      <x:c r="B313" s="46" t="str">
        <x:v>L2025-00045-2/붙임3. 영문 입찰서류(양식 등 포함)/Section 8 - Special Conditions of Contract_v1_250826(║»░µ╛°└╜).docx</x:v>
      </x:c>
      <x:c r="C313" s="43" t="str">
        <x:v>.docx</x:v>
      </x:c>
      <x:c r="D313" s="61" t="n">
        <x:v>27986</x:v>
      </x:c>
      <x:c r="E313" s="61" t="n">
        <x:v>70</x:v>
      </x:c>
      <x:c r="F313" s="61" t="n">
        <x:v>0</x:v>
      </x:c>
    </x:row>
    <x:row r="314">
      <x:c r="A314" s="43" t="str">
        <x:v>L2025-00045-2</x:v>
      </x:c>
      <x:c r="B314" s="46" t="str">
        <x:v>L2025-00045-2/붙임3. 영문 입찰서류(양식 등 포함)/Section 9 - Contract Forms_v1_250826(║»░µ╛°└╜).docx</x:v>
      </x:c>
      <x:c r="C314" s="43" t="str">
        <x:v>.docx</x:v>
      </x:c>
      <x:c r="D314" s="61" t="n">
        <x:v>22665</x:v>
      </x:c>
      <x:c r="E314" s="61" t="n">
        <x:v>96</x:v>
      </x:c>
      <x:c r="F314" s="61" t="n">
        <x:v>0</x:v>
      </x:c>
    </x:row>
    <x:row r="315">
      <x:c r="A315" s="43" t="str">
        <x:v>L2025-00045-2</x:v>
      </x:c>
      <x:c r="B315" s="46" t="str">
        <x:v>L2025-00045-2/붙임4. RD 최종서명본(24.8.).pdf</x:v>
      </x:c>
      <x:c r="C315" s="43" t="str">
        <x:v>.pdf</x:v>
      </x:c>
      <x:c r="D315" s="61" t="n">
        <x:v>8801980</x:v>
      </x:c>
      <x:c r="E315" s="61" t="n">
        <x:v>0</x:v>
      </x:c>
      <x:c r="F315" s="61" t="n">
        <x:v>0</x:v>
      </x:c>
    </x:row>
    <x:row r="316">
      <x:c r="A316" s="43" t="str">
        <x:v>L2025-00045-1</x:v>
      </x:c>
      <x:c r="B316" s="46" t="str">
        <x:v>L2025-00045-1/붙임1. 이라크 난민선도학교 설계및시공감리업체선정 현지입찰추진계획안(.hwp</x:v>
      </x:c>
      <x:c r="C316" s="43" t="str">
        <x:v>.hwp</x:v>
      </x:c>
      <x:c r="D316" s="61" t="n">
        <x:v>89600</x:v>
      </x:c>
      <x:c r="E316" s="61" t="n">
        <x:v>688</x:v>
      </x:c>
      <x:c r="F316" s="61" t="n">
        <x:v>2</x:v>
      </x:c>
    </x:row>
    <x:row r="317">
      <x:c r="A317" s="43" t="str">
        <x:v>L2025-00045-1</x:v>
      </x:c>
      <x:c r="B317" s="46" t="str">
        <x:v>L2025-00045-1/붙임2. CM공문(본부검토의견 반영)_TOPEC-해외사업본부-2506-023.pdf</x:v>
      </x:c>
      <x:c r="C317" s="43" t="str">
        <x:v>.pdf</x:v>
      </x:c>
      <x:c r="D317" s="61" t="n">
        <x:v>92053</x:v>
      </x:c>
      <x:c r="E317" s="61" t="n">
        <x:v>1</x:v>
      </x:c>
      <x:c r="F317" s="61" t="n">
        <x:v>0</x:v>
      </x:c>
    </x:row>
    <x:row r="318">
      <x:c r="A318" s="43" t="str">
        <x:v>L2025-00045-1</x:v>
      </x:c>
      <x:c r="B318" s="46" t="str">
        <x:v>L2025-00045-1/붙임3. 입찰서류(영문) 일체.zip</x:v>
      </x:c>
      <x:c r="C318" s="43" t="str">
        <x:v>.zip</x:v>
      </x:c>
      <x:c r="D318" s="61" t="n">
        <x:v>3157118</x:v>
      </x:c>
      <x:c r="E318" s="61" t="n">
        <x:v>0</x:v>
      </x:c>
      <x:c r="F318" s="61" t="n">
        <x:v>0</x:v>
      </x:c>
    </x:row>
    <x:row r="319">
      <x:c r="A319" s="43" t="str">
        <x:v>L2025-00045-1</x:v>
      </x:c>
      <x:c r="B319" s="46" t="str">
        <x:v>L2025-00045-1/붙임3. 입찰서류(영문) 일체/Section 1 - Instructions to Bidders.docx</x:v>
      </x:c>
      <x:c r="C319" s="43" t="str">
        <x:v>.docx</x:v>
      </x:c>
      <x:c r="D319" s="61" t="n">
        <x:v>30502</x:v>
      </x:c>
      <x:c r="E319" s="61" t="n">
        <x:v>159</x:v>
      </x:c>
      <x:c r="F319" s="61" t="n">
        <x:v>0</x:v>
      </x:c>
    </x:row>
    <x:row r="320">
      <x:c r="A320" s="43" t="str">
        <x:v>L2025-00045-1</x:v>
      </x:c>
      <x:c r="B320" s="46" t="str">
        <x:v>L2025-00045-1/붙임3. 입찰서류(영문) 일체/Section 2 - Bid Data Sheet (BDS).docx</x:v>
      </x:c>
      <x:c r="C320" s="43" t="str">
        <x:v>.docx</x:v>
      </x:c>
      <x:c r="D320" s="61" t="n">
        <x:v>102979</x:v>
      </x:c>
      <x:c r="E320" s="61" t="n">
        <x:v>271</x:v>
      </x:c>
      <x:c r="F320" s="61" t="n">
        <x:v>6</x:v>
      </x:c>
    </x:row>
    <x:row r="321">
      <x:c r="A321" s="43" t="str">
        <x:v>L2025-00045-1</x:v>
      </x:c>
      <x:c r="B321" s="46" t="str">
        <x:v>L2025-00045-1/붙임3. 입찰서류(영문) 일체/Section 3 - Bidding Forms.docx</x:v>
      </x:c>
      <x:c r="C321" s="43" t="str">
        <x:v>.docx</x:v>
      </x:c>
      <x:c r="D321" s="61" t="n">
        <x:v>66042</x:v>
      </x:c>
      <x:c r="E321" s="61" t="n">
        <x:v>315</x:v>
      </x:c>
      <x:c r="F321" s="61" t="n">
        <x:v>0</x:v>
      </x:c>
    </x:row>
    <x:row r="322">
      <x:c r="A322" s="43" t="str">
        <x:v>L2025-00045-1</x:v>
      </x:c>
      <x:c r="B322" s="46" t="str">
        <x:v>L2025-00045-1/붙임3. 입찰서류(영문) 일체/Section 4 - Request for Proposal (RFP).doc</x:v>
      </x:c>
      <x:c r="C322" s="43" t="str">
        <x:v>.doc</x:v>
      </x:c>
      <x:c r="D322" s="61" t="n">
        <x:v>251904</x:v>
      </x:c>
      <x:c r="E322" s="61" t="n">
        <x:v>261</x:v>
      </x:c>
      <x:c r="F322" s="61" t="n">
        <x:v>1</x:v>
      </x:c>
    </x:row>
    <x:row r="323">
      <x:c r="A323" s="43" t="str">
        <x:v>L2025-00045-1</x:v>
      </x:c>
      <x:c r="B323" s="46" t="str">
        <x:v>L2025-00045-1/붙임3. 입찰서류(영문) 일체/Section 4 (Annex 1) Sample of Technical Proposal.doc</x:v>
      </x:c>
      <x:c r="C323" s="43" t="str">
        <x:v>.doc</x:v>
      </x:c>
      <x:c r="D323" s="61" t="n">
        <x:v>184320</x:v>
      </x:c>
      <x:c r="E323" s="61" t="n">
        <x:v>70</x:v>
      </x:c>
      <x:c r="F323" s="61" t="n">
        <x:v>0</x:v>
      </x:c>
    </x:row>
    <x:row r="324">
      <x:c r="A324" s="43" t="str">
        <x:v>L2025-00045-1</x:v>
      </x:c>
      <x:c r="B324" s="46" t="str">
        <x:v>L2025-00045-1/붙임3. 입찰서류(영문) 일체/Section 4 (Annex 2) Guidelines for Technical Proposal.docx</x:v>
      </x:c>
      <x:c r="C324" s="43" t="str">
        <x:v>.docx</x:v>
      </x:c>
      <x:c r="D324" s="61" t="n">
        <x:v>15200</x:v>
      </x:c>
      <x:c r="E324" s="61" t="n">
        <x:v>8</x:v>
      </x:c>
      <x:c r="F324" s="61" t="n">
        <x:v>0</x:v>
      </x:c>
    </x:row>
    <x:row r="325">
      <x:c r="A325" s="43" t="str">
        <x:v>L2025-00045-1</x:v>
      </x:c>
      <x:c r="B325" s="46" t="str">
        <x:v>L2025-00045-1/붙임3. 입찰서류(영문) 일체/Section 5 - Scope of the Services.docx</x:v>
      </x:c>
      <x:c r="C325" s="43" t="str">
        <x:v>.docx</x:v>
      </x:c>
      <x:c r="D325" s="61" t="n">
        <x:v>41083</x:v>
      </x:c>
      <x:c r="E325" s="61" t="n">
        <x:v>169</x:v>
      </x:c>
      <x:c r="F325" s="61" t="n">
        <x:v>0</x:v>
      </x:c>
    </x:row>
    <x:row r="326">
      <x:c r="A326" s="43" t="str">
        <x:v>L2025-00045-1</x:v>
      </x:c>
      <x:c r="B326" s="46" t="str">
        <x:v>L2025-00045-1/붙임3. 입찰서류(영문) 일체/Section 6 - Reference Material(Constrution scope and space program).docx</x:v>
      </x:c>
      <x:c r="C326" s="43" t="str">
        <x:v>.docx</x:v>
      </x:c>
      <x:c r="D326" s="61" t="n">
        <x:v>2777091</x:v>
      </x:c>
      <x:c r="E326" s="61" t="n">
        <x:v>157</x:v>
      </x:c>
      <x:c r="F326" s="61" t="n">
        <x:v>5</x:v>
      </x:c>
    </x:row>
    <x:row r="327">
      <x:c r="A327" s="43" t="str">
        <x:v>L2025-00045-1</x:v>
      </x:c>
      <x:c r="B327" s="46" t="str">
        <x:v>L2025-00045-1/붙임3. 입찰서류(영문) 일체/Section 7 - General Conditions of Contract.docx</x:v>
      </x:c>
      <x:c r="C327" s="43" t="str">
        <x:v>.docx</x:v>
      </x:c>
      <x:c r="D327" s="61" t="n">
        <x:v>34877</x:v>
      </x:c>
      <x:c r="E327" s="61" t="n">
        <x:v>179</x:v>
      </x:c>
      <x:c r="F327" s="61" t="n">
        <x:v>0</x:v>
      </x:c>
    </x:row>
    <x:row r="328">
      <x:c r="A328" s="43" t="str">
        <x:v>L2025-00045-1</x:v>
      </x:c>
      <x:c r="B328" s="46" t="str">
        <x:v>L2025-00045-1/붙임3. 입찰서류(영문) 일체/Section 8 - Special Conditions of Contract.docx</x:v>
      </x:c>
      <x:c r="C328" s="43" t="str">
        <x:v>.docx</x:v>
      </x:c>
      <x:c r="D328" s="61" t="n">
        <x:v>27986</x:v>
      </x:c>
      <x:c r="E328" s="61" t="n">
        <x:v>70</x:v>
      </x:c>
      <x:c r="F328" s="61" t="n">
        <x:v>0</x:v>
      </x:c>
    </x:row>
    <x:row r="329">
      <x:c r="A329" s="43" t="str">
        <x:v>L2025-00045-1</x:v>
      </x:c>
      <x:c r="B329" s="46" t="str">
        <x:v>L2025-00045-1/붙임3. 입찰서류(영문) 일체/Section 9 - Contract Forms.docx</x:v>
      </x:c>
      <x:c r="C329" s="43" t="str">
        <x:v>.docx</x:v>
      </x:c>
      <x:c r="D329" s="61" t="n">
        <x:v>22665</x:v>
      </x:c>
      <x:c r="E329" s="61" t="n">
        <x:v>96</x:v>
      </x:c>
      <x:c r="F329" s="61" t="n">
        <x:v>0</x:v>
      </x:c>
    </x:row>
    <x:row r="330">
      <x:c r="A330" s="43" t="str">
        <x:v>L2025-00045-1</x:v>
      </x:c>
      <x:c r="B330" s="46" t="str">
        <x:v>L2025-00045-1/붙임4. 조달실 및 지역실 검토의견서.zip</x:v>
      </x:c>
      <x:c r="C330" s="43" t="str">
        <x:v>.zip</x:v>
      </x:c>
      <x:c r="D330" s="61" t="n">
        <x:v>237966</x:v>
      </x:c>
      <x:c r="E330" s="61" t="n">
        <x:v>0</x:v>
      </x:c>
      <x:c r="F330" s="61" t="n">
        <x:v>0</x:v>
      </x:c>
    </x:row>
    <x:row r="331">
      <x:c r="A331" s="43" t="str">
        <x:v>L2025-00045-1</x:v>
      </x:c>
      <x:c r="B331" s="46" t="str">
        <x:v>L2025-00045-1/붙임4. 조달실 및 지역실 검토의견서/(┴╢┤▐1╞└) └╠╢≤┼⌐ ╛╞╕ú║⌠ ─φ╕ú╡σ │¡╣╬ ┼δ╟╒▒│└░╟╨▒│ ╣╫ ▒│╗τ┐¼╝÷┐° ╝│░Φ ╟÷┴÷└╘┬√░Φ╚╣(╛╚) ░╦┼Σ└╟░▀ ╝█║╬.hwp</x:v>
      </x:c>
      <x:c r="C331" s="43" t="str">
        <x:v>.hwp</x:v>
      </x:c>
      <x:c r="D331" s="61" t="n">
        <x:v>144896</x:v>
      </x:c>
      <x:c r="E331" s="61" t="n">
        <x:v>1</x:v>
      </x:c>
      <x:c r="F331" s="61" t="n">
        <x:v>0</x:v>
      </x:c>
    </x:row>
    <x:row r="332">
      <x:c r="A332" s="43" t="str">
        <x:v>L2025-00045-1</x:v>
      </x:c>
      <x:c r="B332" s="46" t="str">
        <x:v>L2025-00045-1/붙임4. 조달실 및 지역실 검토의견서/└╠╢≤┼⌐ ╛╞╕ú║⌠ ─φ╕ú╡σ │¡╣╬ ┼δ╟╒▒│└░╟╨▒│ ╣╫ ▒│╗τ┐¼╝÷┐° ╝│░Φ ╟÷┴÷└╘┬√░Φ╚╣(╛╚) ░╦┼Σ└╟░▀ ╝█║╬.hwp</x:v>
      </x:c>
      <x:c r="C332" s="43" t="str">
        <x:v>.hwp</x:v>
      </x:c>
      <x:c r="D332" s="61" t="n">
        <x:v>127488</x:v>
      </x:c>
      <x:c r="E332" s="61" t="n">
        <x:v>1</x:v>
      </x:c>
      <x:c r="F332" s="61" t="n">
        <x:v>0</x:v>
      </x:c>
    </x:row>
    <x:row r="333">
      <x:c r="A333" s="43" t="str">
        <x:v>L2025-00045-1</x:v>
      </x:c>
      <x:c r="B333" s="46" t="str">
        <x:v>L2025-00045-1/붙임5. RD 최종서명본(24.8.).pdf</x:v>
      </x:c>
      <x:c r="C333" s="43" t="str">
        <x:v>.pdf</x:v>
      </x:c>
      <x:c r="D333" s="61" t="n">
        <x:v>8801980</x:v>
      </x:c>
      <x:c r="E333" s="61" t="n">
        <x:v>0</x:v>
      </x:c>
      <x:c r="F333" s="61" t="n">
        <x:v>0</x:v>
      </x:c>
    </x:row>
    <x:row r="334">
      <x:c r="A334" s="43" t="str">
        <x:v>L2025-00045-1</x:v>
      </x:c>
      <x:c r="B334" s="46" t="str">
        <x:v>L2025-00045-1/붙임6. 지형도(DWG 및 PDF).zip</x:v>
      </x:c>
      <x:c r="C334" s="43" t="str">
        <x:v>.zip</x:v>
      </x:c>
      <x:c r="D334" s="61" t="n">
        <x:v>13357918</x:v>
      </x:c>
      <x:c r="E334" s="61" t="n">
        <x:v>0</x:v>
      </x:c>
      <x:c r="F334" s="61" t="n">
        <x:v>0</x:v>
      </x:c>
    </x:row>
    <x:row r="335">
      <x:c r="A335" s="43" t="str">
        <x:v>L2025-00045-1</x:v>
      </x:c>
      <x:c r="B335" s="46" t="str">
        <x:v>L2025-00045-1/붙임6. 지형도(DWG 및 PDF)/┴÷╟ⁿ╡╡_GSHTYY 2-Model.pdf</x:v>
      </x:c>
      <x:c r="C335" s="43" t="str">
        <x:v>.pdf</x:v>
      </x:c>
      <x:c r="D335" s="61" t="n">
        <x:v>2061015</x:v>
      </x:c>
      <x:c r="E335" s="61" t="n">
        <x:v>1</x:v>
      </x:c>
      <x:c r="F335" s="61" t="n">
        <x:v>0</x:v>
      </x:c>
    </x:row>
    <x:row r="336">
      <x:c r="A336" s="43" t="str">
        <x:v>L2025-00045-1</x:v>
      </x:c>
      <x:c r="B336" s="46" t="str">
        <x:v>L2025-00045-1/붙임6. 지형도(DWG 및 PDF)/┴÷╟ⁿ╡╡(DWG).dwg</x:v>
      </x:c>
      <x:c r="C336" s="43" t="str">
        <x:v>.dwg</x:v>
      </x:c>
      <x:c r="D336" s="61" t="n">
        <x:v>13794615</x:v>
      </x:c>
      <x:c r="E336" s="61" t="n">
        <x:v>0</x:v>
      </x:c>
      <x:c r="F336" s="61" t="n">
        <x:v>0</x:v>
      </x:c>
    </x:row>
    <x:row r="337">
      <x:c r="A337" s="43" t="str">
        <x:v>L2025-00038-1</x:v>
      </x:c>
      <x:c r="B337" s="46" t="str">
        <x:v>L2025-00038-1/Cover sheet_MVC (Supervision)_fin.docx</x:v>
      </x:c>
      <x:c r="C337" s="43" t="str">
        <x:v>.docx</x:v>
      </x:c>
      <x:c r="D337" s="61" t="n">
        <x:v>34637</x:v>
      </x:c>
      <x:c r="E337" s="61" t="n">
        <x:v>38</x:v>
      </x:c>
      <x:c r="F337" s="61" t="n">
        <x:v>0</x:v>
      </x:c>
    </x:row>
    <x:row r="338">
      <x:c r="A338" s="43" t="str">
        <x:v>L2025-00038-1</x:v>
      </x:c>
      <x:c r="B338" s="46" t="str">
        <x:v>L2025-00038-1/MVC (긴급) 입찰 계획서(국문)_20250526.hwp</x:v>
      </x:c>
      <x:c r="C338" s="43" t="str">
        <x:v>.hwp</x:v>
      </x:c>
      <x:c r="D338" s="61" t="n">
        <x:v>82432</x:v>
      </x:c>
      <x:c r="E338" s="61" t="n">
        <x:v>563</x:v>
      </x:c>
      <x:c r="F338" s="61" t="n">
        <x:v>6</x:v>
      </x:c>
    </x:row>
    <x:row r="339">
      <x:c r="A339" s="43" t="str">
        <x:v>L2025-00038-1</x:v>
      </x:c>
      <x:c r="B339" s="46" t="str">
        <x:v>L2025-00038-1/Section 1 - Instructions to Bidders (ITB)_MVC (Supervision)_fin.docx</x:v>
      </x:c>
      <x:c r="C339" s="43" t="str">
        <x:v>.docx</x:v>
      </x:c>
      <x:c r="D339" s="61" t="n">
        <x:v>40430</x:v>
      </x:c>
      <x:c r="E339" s="61" t="n">
        <x:v>146</x:v>
      </x:c>
      <x:c r="F339" s="61" t="n">
        <x:v>0</x:v>
      </x:c>
    </x:row>
    <x:row r="340">
      <x:c r="A340" s="43" t="str">
        <x:v>L2025-00038-1</x:v>
      </x:c>
      <x:c r="B340" s="46" t="str">
        <x:v>L2025-00038-1/Section 2 - Bid Data Sheet (BDS)_MVC (Supervision)_fin.docx</x:v>
      </x:c>
      <x:c r="C340" s="43" t="str">
        <x:v>.docx</x:v>
      </x:c>
      <x:c r="D340" s="61" t="n">
        <x:v>81657</x:v>
      </x:c>
      <x:c r="E340" s="61" t="n">
        <x:v>281</x:v>
      </x:c>
      <x:c r="F340" s="61" t="n">
        <x:v>10</x:v>
      </x:c>
    </x:row>
    <x:row r="341">
      <x:c r="A341" s="43" t="str">
        <x:v>L2025-00038-1</x:v>
      </x:c>
      <x:c r="B341" s="46" t="str">
        <x:v>L2025-00038-1/Section 3 - Bidding Forms_MVC (Supervision)_fin.docx</x:v>
      </x:c>
      <x:c r="C341" s="43" t="str">
        <x:v>.docx</x:v>
      </x:c>
      <x:c r="D341" s="61" t="n">
        <x:v>62757</x:v>
      </x:c>
      <x:c r="E341" s="61" t="n">
        <x:v>223</x:v>
      </x:c>
      <x:c r="F341" s="61" t="n">
        <x:v>0</x:v>
      </x:c>
    </x:row>
    <x:row r="342">
      <x:c r="A342" s="43" t="str">
        <x:v>L2025-00038-1</x:v>
      </x:c>
      <x:c r="B342" s="46" t="str">
        <x:v>L2025-00038-1/Section 4 - Scope of Works_MVC (Supervision)_fin.docx</x:v>
      </x:c>
      <x:c r="C342" s="43" t="str">
        <x:v>.docx</x:v>
      </x:c>
      <x:c r="D342" s="61" t="n">
        <x:v>105878</x:v>
      </x:c>
      <x:c r="E342" s="61" t="n">
        <x:v>53</x:v>
      </x:c>
      <x:c r="F342" s="61" t="n">
        <x:v>0</x:v>
      </x:c>
    </x:row>
    <x:row r="343">
      <x:c r="A343" s="43" t="str">
        <x:v>L2025-00038-1</x:v>
      </x:c>
      <x:c r="B343" s="46" t="str">
        <x:v>L2025-00038-1/Section 5 - General Conditions of Contract_MVC (Supervision)_fin.docx</x:v>
      </x:c>
      <x:c r="C343" s="43" t="str">
        <x:v>.docx</x:v>
      </x:c>
      <x:c r="D343" s="61" t="n">
        <x:v>40709</x:v>
      </x:c>
      <x:c r="E343" s="61" t="n">
        <x:v>179</x:v>
      </x:c>
      <x:c r="F343" s="61" t="n">
        <x:v>0</x:v>
      </x:c>
    </x:row>
    <x:row r="344">
      <x:c r="A344" s="43" t="str">
        <x:v>L2025-00038-1</x:v>
      </x:c>
      <x:c r="B344" s="46" t="str">
        <x:v>L2025-00038-1/Section 6 - Special Conditions of Contract_MVC (Supervision)_fin.docx</x:v>
      </x:c>
      <x:c r="C344" s="43" t="str">
        <x:v>.docx</x:v>
      </x:c>
      <x:c r="D344" s="61" t="n">
        <x:v>28787</x:v>
      </x:c>
      <x:c r="E344" s="61" t="n">
        <x:v>44</x:v>
      </x:c>
      <x:c r="F344" s="61" t="n">
        <x:v>0</x:v>
      </x:c>
    </x:row>
    <x:row r="345">
      <x:c r="A345" s="43" t="str">
        <x:v>L2025-00038-1</x:v>
      </x:c>
      <x:c r="B345" s="46" t="str">
        <x:v>L2025-00038-1/Section 7 - Contract Forms_MVC (Supervision)_fin.docx</x:v>
      </x:c>
      <x:c r="C345" s="43" t="str">
        <x:v>.docx</x:v>
      </x:c>
      <x:c r="D345" s="61" t="n">
        <x:v>41899</x:v>
      </x:c>
      <x:c r="E345" s="61" t="n">
        <x:v>30</x:v>
      </x:c>
      <x:c r="F345" s="61" t="n">
        <x:v>0</x:v>
      </x:c>
    </x:row>
    <x:row r="346">
      <x:c r="A346" s="43" t="str">
        <x:v>L2025-00036-1</x:v>
      </x:c>
      <x:c r="B346" s="46" t="str">
        <x:v>L2025-00036-1/붙임2. 입찰서류 영문본 일체.zip</x:v>
      </x:c>
      <x:c r="C346" s="43" t="str">
        <x:v>.zip</x:v>
      </x:c>
      <x:c r="D346" s="61" t="n">
        <x:v>5271869</x:v>
      </x:c>
      <x:c r="E346" s="61" t="n">
        <x:v>0</x:v>
      </x:c>
      <x:c r="F346" s="61" t="n">
        <x:v>0</x:v>
      </x:c>
    </x:row>
    <x:row r="347">
      <x:c r="A347" s="43" t="str">
        <x:v>L2025-00036-1</x:v>
      </x:c>
      <x:c r="B347" s="46" t="str">
        <x:v>L2025-00036-1/붙임2. 입찰서류 영문본 일체/Power of Attorney for the authority to sign and execute contracts (계약서 서명권한 위임장).docx</x:v>
      </x:c>
      <x:c r="C347" s="43" t="str">
        <x:v>.docx</x:v>
      </x:c>
      <x:c r="D347" s="61" t="n">
        <x:v>18873</x:v>
      </x:c>
      <x:c r="E347" s="61" t="n">
        <x:v>15</x:v>
      </x:c>
      <x:c r="F347" s="61" t="n">
        <x:v>0</x:v>
      </x:c>
    </x:row>
    <x:row r="348">
      <x:c r="A348" s="43" t="str">
        <x:v>L2025-00036-1</x:v>
      </x:c>
      <x:c r="B348" s="46" t="str">
        <x:v>L2025-00036-1/붙임2. 입찰서류 영문본 일체/Section 0. Summary_of_Bidding.docx</x:v>
      </x:c>
      <x:c r="C348" s="43" t="str">
        <x:v>.docx</x:v>
      </x:c>
      <x:c r="D348" s="61" t="n">
        <x:v>26824</x:v>
      </x:c>
      <x:c r="E348" s="61" t="n">
        <x:v>41</x:v>
      </x:c>
      <x:c r="F348" s="61" t="n">
        <x:v>3</x:v>
      </x:c>
    </x:row>
    <x:row r="349">
      <x:c r="A349" s="43" t="str">
        <x:v>L2025-00036-1</x:v>
      </x:c>
      <x:c r="B349" s="46" t="str">
        <x:v>L2025-00036-1/붙임2. 입찰서류 영문본 일체/Section 1 - Instructions to Bidders (ITB).pdf</x:v>
      </x:c>
      <x:c r="C349" s="43" t="str">
        <x:v>.pdf</x:v>
      </x:c>
      <x:c r="D349" s="61" t="n">
        <x:v>152903</x:v>
      </x:c>
      <x:c r="E349" s="61" t="n">
        <x:v>12</x:v>
      </x:c>
      <x:c r="F349" s="61" t="n">
        <x:v>0</x:v>
      </x:c>
    </x:row>
    <x:row r="350">
      <x:c r="A350" s="43" t="str">
        <x:v>L2025-00036-1</x:v>
      </x:c>
      <x:c r="B350" s="46" t="str">
        <x:v>L2025-00036-1/붙임2. 입찰서류 영문본 일체/Section 2_ Bid_Data_Sheet(BDS).docx</x:v>
      </x:c>
      <x:c r="C350" s="43" t="str">
        <x:v>.docx</x:v>
      </x:c>
      <x:c r="D350" s="61" t="n">
        <x:v>56161</x:v>
      </x:c>
      <x:c r="E350" s="61" t="n">
        <x:v>245</x:v>
      </x:c>
      <x:c r="F350" s="61" t="n">
        <x:v>9</x:v>
      </x:c>
    </x:row>
    <x:row r="351">
      <x:c r="A351" s="43" t="str">
        <x:v>L2025-00036-1</x:v>
      </x:c>
      <x:c r="B351" s="46" t="str">
        <x:v>L2025-00036-1/붙임2. 입찰서류 영문본 일체/Section 3 - Bidding Forms.docx</x:v>
      </x:c>
      <x:c r="C351" s="43" t="str">
        <x:v>.docx</x:v>
      </x:c>
      <x:c r="D351" s="61" t="n">
        <x:v>45262</x:v>
      </x:c>
      <x:c r="E351" s="61" t="n">
        <x:v>286</x:v>
      </x:c>
      <x:c r="F351" s="61" t="n">
        <x:v>0</x:v>
      </x:c>
    </x:row>
    <x:row r="352">
      <x:c r="A352" s="43" t="str">
        <x:v>L2025-00036-1</x:v>
      </x:c>
      <x:c r="B352" s="46" t="str">
        <x:v>L2025-00036-1/붙임2. 입찰서류 영문본 일체/Section 4 - Request for Proposal (RFP).docx</x:v>
      </x:c>
      <x:c r="C352" s="43" t="str">
        <x:v>.docx</x:v>
      </x:c>
      <x:c r="D352" s="61" t="n">
        <x:v>30897</x:v>
      </x:c>
      <x:c r="E352" s="61" t="n">
        <x:v>85</x:v>
      </x:c>
      <x:c r="F352" s="61" t="n">
        <x:v>3</x:v>
      </x:c>
    </x:row>
    <x:row r="353">
      <x:c r="A353" s="43" t="str">
        <x:v>L2025-00036-1</x:v>
      </x:c>
      <x:c r="B353" s="46" t="str">
        <x:v>L2025-00036-1/붙임2. 입찰서류 영문본 일체/Section 5 - Terms of Reference (ToR).doc</x:v>
      </x:c>
      <x:c r="C353" s="43" t="str">
        <x:v>.doc</x:v>
      </x:c>
      <x:c r="D353" s="61" t="n">
        <x:v>528163</x:v>
      </x:c>
      <x:c r="E353" s="61" t="n">
        <x:v>252</x:v>
      </x:c>
      <x:c r="F353" s="61" t="n">
        <x:v>2</x:v>
      </x:c>
    </x:row>
    <x:row r="354">
      <x:c r="A354" s="43" t="str">
        <x:v>L2025-00036-1</x:v>
      </x:c>
      <x:c r="B354" s="46" t="str">
        <x:v>L2025-00036-1/붙임2. 입찰서류 영문본 일체/Section 6 - Related Project Information of RFP.pdf</x:v>
      </x:c>
      <x:c r="C354" s="43" t="str">
        <x:v>.pdf</x:v>
      </x:c>
      <x:c r="D354" s="61" t="n">
        <x:v>5592395</x:v>
      </x:c>
      <x:c r="E354" s="61" t="n">
        <x:v>17</x:v>
      </x:c>
      <x:c r="F354" s="61" t="n">
        <x:v>11</x:v>
      </x:c>
    </x:row>
    <x:row r="355">
      <x:c r="A355" s="43" t="str">
        <x:v>L2025-00036-1</x:v>
      </x:c>
      <x:c r="B355" s="46" t="str">
        <x:v>L2025-00036-1/붙임2. 입찰서류 영문본 일체/Section 7 - General Conditions of Contract.docx</x:v>
      </x:c>
      <x:c r="C355" s="43" t="str">
        <x:v>.docx</x:v>
      </x:c>
      <x:c r="D355" s="61" t="n">
        <x:v>34911</x:v>
      </x:c>
      <x:c r="E355" s="61" t="n">
        <x:v>179</x:v>
      </x:c>
      <x:c r="F355" s="61" t="n">
        <x:v>0</x:v>
      </x:c>
    </x:row>
    <x:row r="356">
      <x:c r="A356" s="43" t="str">
        <x:v>L2025-00036-1</x:v>
      </x:c>
      <x:c r="B356" s="46" t="str">
        <x:v>L2025-00036-1/붙임2. 입찰서류 영문본 일체/Section 8. Special Condition of Contract.docx</x:v>
      </x:c>
      <x:c r="C356" s="43" t="str">
        <x:v>.docx</x:v>
      </x:c>
      <x:c r="D356" s="61" t="n">
        <x:v>24657</x:v>
      </x:c>
      <x:c r="E356" s="61" t="n">
        <x:v>43</x:v>
      </x:c>
      <x:c r="F356" s="61" t="n">
        <x:v>0</x:v>
      </x:c>
    </x:row>
    <x:row r="357">
      <x:c r="A357" s="43" t="str">
        <x:v>L2025-00036-1</x:v>
      </x:c>
      <x:c r="B357" s="46" t="str">
        <x:v>L2025-00036-1/붙임2. 입찰서류 영문본 일체/Section 9 - Contract Forms.docx</x:v>
      </x:c>
      <x:c r="C357" s="43" t="str">
        <x:v>.docx</x:v>
      </x:c>
      <x:c r="D357" s="61" t="n">
        <x:v>22415</x:v>
      </x:c>
      <x:c r="E357" s="61" t="n">
        <x:v>93</x:v>
      </x:c>
      <x:c r="F357" s="61" t="n">
        <x:v>0</x:v>
      </x:c>
    </x:row>
    <x:row r="358">
      <x:c r="A358" s="43" t="str">
        <x:v>L2025-00036-1</x:v>
      </x:c>
      <x:c r="B358" s="46" t="str">
        <x:v>L2025-00036-1/붙임2. 입찰서류 영문본 일체/Section 9-1 - Pledges.zip</x:v>
      </x:c>
      <x:c r="C358" s="43" t="str">
        <x:v>.zip</x:v>
      </x:c>
      <x:c r="D358" s="61" t="n">
        <x:v>68969</x:v>
      </x:c>
      <x:c r="E358" s="61" t="n">
        <x:v>0</x:v>
      </x:c>
      <x:c r="F358" s="61" t="n">
        <x:v>0</x:v>
      </x:c>
    </x:row>
    <x:row r="359">
      <x:c r="A359" s="43" t="str">
        <x:v>L2025-00036-1</x:v>
      </x:c>
      <x:c r="B359" s="46" t="str">
        <x:v>L2025-00036-1/정정공고서류.zip</x:v>
      </x:c>
      <x:c r="C359" s="43" t="str">
        <x:v>.zip</x:v>
      </x:c>
      <x:c r="D359" s="61" t="n">
        <x:v>79739</x:v>
      </x:c>
      <x:c r="E359" s="61" t="n">
        <x:v>0</x:v>
      </x:c>
      <x:c r="F359" s="61" t="n">
        <x:v>0</x:v>
      </x:c>
    </x:row>
    <x:row r="360">
      <x:c r="A360" s="43" t="str">
        <x:v>L2025-00036-1</x:v>
      </x:c>
      <x:c r="B360" s="46" t="str">
        <x:v>L2025-00036-1/정정공고서류/Section 0. Summary_of_Bidding-rev.docx</x:v>
      </x:c>
      <x:c r="C360" s="43" t="str">
        <x:v>.docx</x:v>
      </x:c>
      <x:c r="D360" s="61" t="n">
        <x:v>28940</x:v>
      </x:c>
      <x:c r="E360" s="61" t="n">
        <x:v>41</x:v>
      </x:c>
      <x:c r="F360" s="61" t="n">
        <x:v>3</x:v>
      </x:c>
    </x:row>
    <x:row r="361">
      <x:c r="A361" s="43" t="str">
        <x:v>L2025-00036-1</x:v>
      </x:c>
      <x:c r="B361" s="46" t="str">
        <x:v>L2025-00036-1/정정공고서류/Section 2_ Bid_Data_Sheet(BDS)-rev.docx</x:v>
      </x:c>
      <x:c r="C361" s="43" t="str">
        <x:v>.docx</x:v>
      </x:c>
      <x:c r="D361" s="61" t="n">
        <x:v>57124</x:v>
      </x:c>
      <x:c r="E361" s="61" t="n">
        <x:v>245</x:v>
      </x:c>
      <x:c r="F361" s="61" t="n">
        <x:v>9</x:v>
      </x:c>
    </x:row>
    <x:row r="362">
      <x:c r="A362" s="43" t="str">
        <x:v>L2025-00028-1</x:v>
      </x:c>
      <x:c r="B362" s="46" t="str">
        <x:v>L2025-00028-1/Bid_Document_Digitalization_of_the_Parliament_KG_2025_04_May.zip</x:v>
      </x:c>
      <x:c r="C362" s="43" t="str">
        <x:v>.zip</x:v>
      </x:c>
      <x:c r="D362" s="61" t="n">
        <x:v>5894008</x:v>
      </x:c>
      <x:c r="E362" s="61" t="n">
        <x:v>0</x:v>
      </x:c>
      <x:c r="F362" s="61" t="n">
        <x:v>0</x:v>
      </x:c>
    </x:row>
    <x:row r="363">
      <x:c r="A363" s="43" t="str">
        <x:v>L2025-00028-1</x:v>
      </x:c>
      <x:c r="B363" s="46" t="str">
        <x:v>L2025-00028-1/Bid_Document_Digitalization_of_the_Parliament_KG_2025_04_May/[2RE] (Bid Document) Digitalization of the Parliament_KG-2025-04_May 20,2025/250428_JUNIPER_Agreement_for_the_supply_of_goods_or_technical_support.pdf</x:v>
      </x:c>
      <x:c r="C363" s="43" t="str">
        <x:v>.pdf</x:v>
      </x:c>
      <x:c r="D363" s="61" t="n">
        <x:v>453314</x:v>
      </x:c>
      <x:c r="E363" s="61" t="n">
        <x:v>0</x:v>
      </x:c>
      <x:c r="F363" s="61" t="n">
        <x:v>0</x:v>
      </x:c>
    </x:row>
    <x:row r="364">
      <x:c r="A364" s="43" t="str">
        <x:v>L2025-00028-1</x:v>
      </x:c>
      <x:c r="B364" s="46" t="str">
        <x:v>L2025-00028-1/Bid_Document_Digitalization_of_the_Parliament_KG_2025_04_May/[2RE] (Bid Document) Digitalization of the Parliament_KG-2025-04_May 20,2025/Eng/ENG_Section 1 - Instructions to Bidders_ITB_Digitalization_Parliament.doc</x:v>
      </x:c>
      <x:c r="C364" s="43" t="str">
        <x:v>.doc</x:v>
      </x:c>
      <x:c r="D364" s="61" t="n">
        <x:v>257231</x:v>
      </x:c>
      <x:c r="E364" s="61" t="n">
        <x:v>38</x:v>
      </x:c>
      <x:c r="F364" s="61" t="n">
        <x:v>0</x:v>
      </x:c>
    </x:row>
    <x:row r="365">
      <x:c r="A365" s="43" t="str">
        <x:v>L2025-00028-1</x:v>
      </x:c>
      <x:c r="B365" s="46" t="str">
        <x:v>L2025-00028-1/Bid_Document_Digitalization_of_the_Parliament_KG_2025_04_May/[2RE] (Bid Document) Digitalization of the Parliament_KG-2025-04_May 20,2025/Eng/ENG_Section 2 -Bid_Data_Sheet_Digitalization_Parliament.docx</x:v>
      </x:c>
      <x:c r="C365" s="43" t="str">
        <x:v>.docx</x:v>
      </x:c>
      <x:c r="D365" s="61" t="n">
        <x:v>55013</x:v>
      </x:c>
      <x:c r="E365" s="61" t="n">
        <x:v>237</x:v>
      </x:c>
      <x:c r="F365" s="61" t="n">
        <x:v>5</x:v>
      </x:c>
    </x:row>
    <x:row r="366">
      <x:c r="A366" s="43" t="str">
        <x:v>L2025-00028-1</x:v>
      </x:c>
      <x:c r="B366" s="46" t="str">
        <x:v>L2025-00028-1/Bid_Document_Digitalization_of_the_Parliament_KG_2025_04_May/[2RE] (Bid Document) Digitalization of the Parliament_KG-2025-04_May 20,2025/Eng/ENG_Section 3 - Bidding_Forms_Digitalization_Parliament.doc</x:v>
      </x:c>
      <x:c r="C366" s="43" t="str">
        <x:v>.doc</x:v>
      </x:c>
      <x:c r="D366" s="61" t="n">
        <x:v>249856</x:v>
      </x:c>
      <x:c r="E366" s="61" t="n">
        <x:v>184</x:v>
      </x:c>
      <x:c r="F366" s="61" t="n">
        <x:v>3</x:v>
      </x:c>
    </x:row>
    <x:row r="367">
      <x:c r="A367" s="43" t="str">
        <x:v>L2025-00028-1</x:v>
      </x:c>
      <x:c r="B367" s="46" t="str">
        <x:v>L2025-00028-1/Bid_Document_Digitalization_of_the_Parliament_KG_2025_04_May/[2RE] (Bid Document) Digitalization of the Parliament_KG-2025-04_May 20,2025/Eng/ENG_Section 4-6 - Requirements_Digitalization_Parliament.docx</x:v>
      </x:c>
      <x:c r="C367" s="43" t="str">
        <x:v>.docx</x:v>
      </x:c>
      <x:c r="D367" s="61" t="n">
        <x:v>2380629</x:v>
      </x:c>
      <x:c r="E367" s="61" t="n">
        <x:v>814</x:v>
      </x:c>
      <x:c r="F367" s="61" t="n">
        <x:v>1</x:v>
      </x:c>
    </x:row>
    <x:row r="368">
      <x:c r="A368" s="43" t="str">
        <x:v>L2025-00028-1</x:v>
      </x:c>
      <x:c r="B368" s="46" t="str">
        <x:v>L2025-00028-1/Bid_Document_Digitalization_of_the_Parliament_KG_2025_04_May/[2RE] (Bid Document) Digitalization of the Parliament_KG-2025-04_May 20,2025/Eng/ENG_Section 7 - General_Conditions_of_Contract_Digitalization_Parliament.docx</x:v>
      </x:c>
      <x:c r="C368" s="43" t="str">
        <x:v>.docx</x:v>
      </x:c>
      <x:c r="D368" s="61" t="n">
        <x:v>215518</x:v>
      </x:c>
      <x:c r="E368" s="61" t="n">
        <x:v>1543</x:v>
      </x:c>
      <x:c r="F368" s="61" t="n">
        <x:v>2</x:v>
      </x:c>
    </x:row>
    <x:row r="369">
      <x:c r="A369" s="43" t="str">
        <x:v>L2025-00028-1</x:v>
      </x:c>
      <x:c r="B369" s="46" t="str">
        <x:v>L2025-00028-1/Bid_Document_Digitalization_of_the_Parliament_KG_2025_04_May/[2RE] (Bid Document) Digitalization of the Parliament_KG-2025-04_May 20,2025/Eng/ENG_Section 8 - Special_Conditions_of_Contract_Digitalization_Parliament.docx</x:v>
      </x:c>
      <x:c r="C369" s="43" t="str">
        <x:v>.docx</x:v>
      </x:c>
      <x:c r="D369" s="61" t="n">
        <x:v>67803</x:v>
      </x:c>
      <x:c r="E369" s="61" t="n">
        <x:v>260</x:v>
      </x:c>
      <x:c r="F369" s="61" t="n">
        <x:v>0</x:v>
      </x:c>
    </x:row>
    <x:row r="370">
      <x:c r="A370" s="43" t="str">
        <x:v>L2025-00028-1</x:v>
      </x:c>
      <x:c r="B370" s="46" t="str">
        <x:v>L2025-00028-1/Bid_Document_Digitalization_of_the_Parliament_KG_2025_04_May/[2RE] (Bid Document) Digitalization of the Parliament_KG-2025-04_May 20,2025/Eng/ENG_Section 9 - Contract_Forms_Digitalization_Parliament.docx</x:v>
      </x:c>
      <x:c r="C370" s="43" t="str">
        <x:v>.docx</x:v>
      </x:c>
      <x:c r="D370" s="61" t="n">
        <x:v>38953</x:v>
      </x:c>
      <x:c r="E370" s="61" t="n">
        <x:v>30</x:v>
      </x:c>
      <x:c r="F370" s="61" t="n">
        <x:v>0</x:v>
      </x:c>
    </x:row>
    <x:row r="371">
      <x:c r="A371" s="43" t="str">
        <x:v>L2025-00028-1</x:v>
      </x:c>
      <x:c r="B371" s="46" t="str">
        <x:v>L2025-00028-1/Bid_Document_Digitalization_of_the_Parliament_KG_2025_04_May/[2RE] (Bid Document) Digitalization of the Parliament_KG-2025-04_May 20,2025/Rus/RUS_Section 1_Instructions_to_Bidders_ITB_Digitalization_Parliament.docx</x:v>
      </x:c>
      <x:c r="C371" s="43" t="str">
        <x:v>.docx</x:v>
      </x:c>
      <x:c r="D371" s="61" t="n">
        <x:v>40163</x:v>
      </x:c>
      <x:c r="E371" s="61" t="n">
        <x:v>165</x:v>
      </x:c>
      <x:c r="F371" s="61" t="n">
        <x:v>0</x:v>
      </x:c>
    </x:row>
    <x:row r="372">
      <x:c r="A372" s="43" t="str">
        <x:v>L2025-00028-1</x:v>
      </x:c>
      <x:c r="B372" s="46" t="str">
        <x:v>L2025-00028-1/Bid_Document_Digitalization_of_the_Parliament_KG_2025_04_May/[2RE] (Bid Document) Digitalization of the Parliament_KG-2025-04_May 20,2025/Rus/RUS_Section 2 - Bid Data Sheet_Digitalization_Parliament.docx</x:v>
      </x:c>
      <x:c r="C372" s="43" t="str">
        <x:v>.docx</x:v>
      </x:c>
      <x:c r="D372" s="61" t="n">
        <x:v>50194</x:v>
      </x:c>
      <x:c r="E372" s="61" t="n">
        <x:v>236</x:v>
      </x:c>
      <x:c r="F372" s="61" t="n">
        <x:v>0</x:v>
      </x:c>
    </x:row>
    <x:row r="373">
      <x:c r="A373" s="43" t="str">
        <x:v>L2025-00028-1</x:v>
      </x:c>
      <x:c r="B373" s="46" t="str">
        <x:v>L2025-00028-1/Bid_Document_Digitalization_of_the_Parliament_KG_2025_04_May/[2RE] (Bid Document) Digitalization of the Parliament_KG-2025-04_May 20,2025/Rus/RUS_Section 3 - Bidding Forms_Digitalization_Parliament.doc</x:v>
      </x:c>
      <x:c r="C373" s="43" t="str">
        <x:v>.doc</x:v>
      </x:c>
      <x:c r="D373" s="61" t="n">
        <x:v>303616</x:v>
      </x:c>
      <x:c r="E373" s="61" t="n">
        <x:v>183</x:v>
      </x:c>
      <x:c r="F373" s="61" t="n">
        <x:v>0</x:v>
      </x:c>
    </x:row>
    <x:row r="374">
      <x:c r="A374" s="43" t="str">
        <x:v>L2025-00028-1</x:v>
      </x:c>
      <x:c r="B374" s="46" t="str">
        <x:v>L2025-00028-1/Bid_Document_Digitalization_of_the_Parliament_KG_2025_04_May/[2RE] (Bid Document) Digitalization of the Parliament_KG-2025-04_May 20,2025/Rus/RUS_Section 4-6 - Requirements_Digitalization_Parliament.docx</x:v>
      </x:c>
      <x:c r="C374" s="43" t="str">
        <x:v>.docx</x:v>
      </x:c>
      <x:c r="D374" s="61" t="n">
        <x:v>2367061</x:v>
      </x:c>
      <x:c r="E374" s="61" t="n">
        <x:v>814</x:v>
      </x:c>
      <x:c r="F374" s="61" t="n">
        <x:v>0</x:v>
      </x:c>
    </x:row>
    <x:row r="375">
      <x:c r="A375" s="43" t="str">
        <x:v>L2025-00028-1</x:v>
      </x:c>
      <x:c r="B375" s="46" t="str">
        <x:v>L2025-00028-1/Bid_Document_Digitalization_of_the_Parliament_KG_2025_04_May/[2RE] (Bid Document) Digitalization of the Parliament_KG-2025-04_May 20,2025/Rus/RUS_Section 7_General_Conditions_of_Contract_Digitalization_Parliament.docx</x:v>
      </x:c>
      <x:c r="C375" s="43" t="str">
        <x:v>.docx</x:v>
      </x:c>
      <x:c r="D375" s="61" t="n">
        <x:v>200355</x:v>
      </x:c>
      <x:c r="E375" s="61" t="n">
        <x:v>1542</x:v>
      </x:c>
      <x:c r="F375" s="61" t="n">
        <x:v>0</x:v>
      </x:c>
    </x:row>
    <x:row r="376">
      <x:c r="A376" s="43" t="str">
        <x:v>L2025-00028-1</x:v>
      </x:c>
      <x:c r="B376" s="46" t="str">
        <x:v>L2025-00028-1/Bid_Document_Digitalization_of_the_Parliament_KG_2025_04_May/[2RE] (Bid Document) Digitalization of the Parliament_KG-2025-04_May 20,2025/Rus/RUS_Section 8_Special_Conditions_of_Contract_Digitalization_Parliament.docx</x:v>
      </x:c>
      <x:c r="C376" s="43" t="str">
        <x:v>.docx</x:v>
      </x:c>
      <x:c r="D376" s="61" t="n">
        <x:v>72601</x:v>
      </x:c>
      <x:c r="E376" s="61" t="n">
        <x:v>260</x:v>
      </x:c>
      <x:c r="F376" s="61" t="n">
        <x:v>0</x:v>
      </x:c>
    </x:row>
    <x:row r="377">
      <x:c r="A377" s="43" t="str">
        <x:v>L2025-00028-1</x:v>
      </x:c>
      <x:c r="B377" s="46" t="str">
        <x:v>L2025-00028-1/Bid_Document_Digitalization_of_the_Parliament_KG_2025_04_May/[2RE] (Bid Document) Digitalization of the Parliament_KG-2025-04_May 20,2025/Rus/RUS_Section 9 - Contract Forms_Digitalization_Parliament.docx</x:v>
      </x:c>
      <x:c r="C377" s="43" t="str">
        <x:v>.docx</x:v>
      </x:c>
      <x:c r="D377" s="61" t="n">
        <x:v>18328</x:v>
      </x:c>
      <x:c r="E377" s="61" t="n">
        <x:v>30</x:v>
      </x:c>
      <x:c r="F377" s="61" t="n">
        <x:v>0</x:v>
      </x:c>
    </x:row>
    <x:row r="378">
      <x:c r="A378" s="43" t="str">
        <x:v>L2025-00025-1</x:v>
      </x:c>
      <x:c r="B378" s="46" t="str">
        <x:v>L2025-00025-1/Attach01_(붙임1) 입찰공고문 (BDS)_페루 제3 한페 의료센터 설계입찰_250416.hwp</x:v>
      </x:c>
      <x:c r="C378" s="43" t="str">
        <x:v>.hwp</x:v>
      </x:c>
      <x:c r="D378" s="61" t="n">
        <x:v>126464</x:v>
      </x:c>
      <x:c r="E378" s="61" t="n">
        <x:v>466</x:v>
      </x:c>
      <x:c r="F378" s="61" t="n">
        <x:v>2</x:v>
      </x:c>
    </x:row>
    <x:row r="379">
      <x:c r="A379" s="43" t="str">
        <x:v>L2025-00025-1</x:v>
      </x:c>
      <x:c r="B379" s="46" t="str">
        <x:v>L2025-00025-1/Attach02_(붙임2) 입찰제반서류_공고문.zip</x:v>
      </x:c>
      <x:c r="C379" s="43" t="str">
        <x:v>.zip</x:v>
      </x:c>
      <x:c r="D379" s="61" t="n">
        <x:v>12598620</x:v>
      </x:c>
      <x:c r="E379" s="61" t="n">
        <x:v>0</x:v>
      </x:c>
      <x:c r="F379" s="61" t="n">
        <x:v>0</x:v>
      </x:c>
    </x:row>
    <x:row r="380">
      <x:c r="A380" s="43" t="str">
        <x:v>L2025-00025-1</x:v>
      </x:c>
      <x:c r="B380" s="46" t="str">
        <x:v>L2025-00025-1/Attach02_(붙임2) 입찰제반서류_공고문/Power of Attorney for the authority to sign and execute contracts.docx</x:v>
      </x:c>
      <x:c r="C380" s="43" t="str">
        <x:v>.docx</x:v>
      </x:c>
      <x:c r="D380" s="61" t="n">
        <x:v>17633</x:v>
      </x:c>
      <x:c r="E380" s="61" t="n">
        <x:v>13</x:v>
      </x:c>
      <x:c r="F380" s="61" t="n">
        <x:v>0</x:v>
      </x:c>
    </x:row>
    <x:row r="381">
      <x:c r="A381" s="43" t="str">
        <x:v>L2025-00025-1</x:v>
      </x:c>
      <x:c r="B381" s="46" t="str">
        <x:v>L2025-00025-1/Attach02_(붙임2) 입찰제반서류_공고문/Section 1 - Instructions to Bidders (ITB).hwp</x:v>
      </x:c>
      <x:c r="C381" s="43" t="str">
        <x:v>.hwp</x:v>
      </x:c>
      <x:c r="D381" s="61" t="n">
        <x:v>89088</x:v>
      </x:c>
      <x:c r="E381" s="61" t="n">
        <x:v>160</x:v>
      </x:c>
      <x:c r="F381" s="61" t="n">
        <x:v>0</x:v>
      </x:c>
    </x:row>
    <x:row r="382">
      <x:c r="A382" s="43" t="str">
        <x:v>L2025-00025-1</x:v>
      </x:c>
      <x:c r="B382" s="46" t="str">
        <x:v>L2025-00025-1/Attach02_(붙임2) 입찰제반서류_공고문/Section 1 - Instructions to Bidders (ITB).pdf</x:v>
      </x:c>
      <x:c r="C382" s="43" t="str">
        <x:v>.pdf</x:v>
      </x:c>
      <x:c r="D382" s="61" t="n">
        <x:v>138129</x:v>
      </x:c>
      <x:c r="E382" s="61" t="n">
        <x:v>12</x:v>
      </x:c>
      <x:c r="F382" s="61" t="n">
        <x:v>0</x:v>
      </x:c>
    </x:row>
    <x:row r="383">
      <x:c r="A383" s="43" t="str">
        <x:v>L2025-00025-1</x:v>
      </x:c>
      <x:c r="B383" s="46" t="str">
        <x:v>L2025-00025-1/Attach02_(붙임2) 입찰제반서류_공고문/Section 2 - Bid Data Sheet (BDS)_Peru San Juan Health Center_250416.docx</x:v>
      </x:c>
      <x:c r="C383" s="43" t="str">
        <x:v>.docx</x:v>
      </x:c>
      <x:c r="D383" s="61" t="n">
        <x:v>70822</x:v>
      </x:c>
      <x:c r="E383" s="61" t="n">
        <x:v>236</x:v>
      </x:c>
      <x:c r="F383" s="61" t="n">
        <x:v>2</x:v>
      </x:c>
    </x:row>
    <x:row r="384">
      <x:c r="A384" s="43" t="str">
        <x:v>L2025-00025-1</x:v>
      </x:c>
      <x:c r="B384" s="46" t="str">
        <x:v>L2025-00025-1/Attach02_(붙임2) 입찰제반서류_공고문/Section 3 - Bidding Forms_Peru San Juan Health Center.docx</x:v>
      </x:c>
      <x:c r="C384" s="43" t="str">
        <x:v>.docx</x:v>
      </x:c>
      <x:c r="D384" s="61" t="n">
        <x:v>46144</x:v>
      </x:c>
      <x:c r="E384" s="61" t="n">
        <x:v>205</x:v>
      </x:c>
      <x:c r="F384" s="61" t="n">
        <x:v>0</x:v>
      </x:c>
    </x:row>
    <x:row r="385">
      <x:c r="A385" s="43" t="str">
        <x:v>L2025-00025-1</x:v>
      </x:c>
      <x:c r="B385" s="46" t="str">
        <x:v>L2025-00025-1/Attach02_(붙임2) 입찰제반서류_공고문/Section 4 - Terms of Reference (TOR)_Peru San Juan Health Center_250303.docx</x:v>
      </x:c>
      <x:c r="C385" s="43" t="str">
        <x:v>.docx</x:v>
      </x:c>
      <x:c r="D385" s="61" t="n">
        <x:v>2803671</x:v>
      </x:c>
      <x:c r="E385" s="61" t="n">
        <x:v>243</x:v>
      </x:c>
      <x:c r="F385" s="61" t="n">
        <x:v>3</x:v>
      </x:c>
    </x:row>
    <x:row r="386">
      <x:c r="A386" s="43" t="str">
        <x:v>L2025-00025-1</x:v>
      </x:c>
      <x:c r="B386" s="46" t="str">
        <x:v>L2025-00025-1/Attach02_(붙임2) 입찰제반서류_공고문/Section 4 - Terms of Reference (TOR)_Peru San Juan Health Center_Attachment.zip</x:v>
      </x:c>
      <x:c r="C386" s="43" t="str">
        <x:v>.zip</x:v>
      </x:c>
      <x:c r="D386" s="61" t="n">
        <x:v>9420317</x:v>
      </x:c>
      <x:c r="E386" s="61" t="n">
        <x:v>0</x:v>
      </x:c>
      <x:c r="F386" s="61" t="n">
        <x:v>0</x:v>
      </x:c>
    </x:row>
    <x:row r="387">
      <x:c r="A387" s="43" t="str">
        <x:v>L2025-00025-1</x:v>
      </x:c>
      <x:c r="B387" s="46" t="str">
        <x:v>L2025-00025-1/Attach02_(붙임2) 입찰제반서류_공고문/Section 5 - General Conditions of Contract (GCC)_Peru San Juan Health Center.docx</x:v>
      </x:c>
      <x:c r="C387" s="43" t="str">
        <x:v>.docx</x:v>
      </x:c>
      <x:c r="D387" s="61" t="n">
        <x:v>34263</x:v>
      </x:c>
      <x:c r="E387" s="61" t="n">
        <x:v>179</x:v>
      </x:c>
      <x:c r="F387" s="61" t="n">
        <x:v>0</x:v>
      </x:c>
    </x:row>
    <x:row r="388">
      <x:c r="A388" s="43" t="str">
        <x:v>L2025-00025-1</x:v>
      </x:c>
      <x:c r="B388" s="46" t="str">
        <x:v>L2025-00025-1/Attach02_(붙임2) 입찰제반서류_공고문/Section 6 - Special Conditions of Contract (SCC)_Peru San Juan Health Center.docx</x:v>
      </x:c>
      <x:c r="C388" s="43" t="str">
        <x:v>.docx</x:v>
      </x:c>
      <x:c r="D388" s="61" t="n">
        <x:v>28282</x:v>
      </x:c>
      <x:c r="E388" s="61" t="n">
        <x:v>38</x:v>
      </x:c>
      <x:c r="F388" s="61" t="n">
        <x:v>0</x:v>
      </x:c>
    </x:row>
    <x:row r="389">
      <x:c r="A389" s="43" t="str">
        <x:v>L2025-00025-1</x:v>
      </x:c>
      <x:c r="B389" s="46" t="str">
        <x:v>L2025-00025-1/Attach02_(붙임2) 입찰제반서류_공고문/Section 7 - Contract Forms_Peru San Juan Health Center.docx</x:v>
      </x:c>
      <x:c r="C389" s="43" t="str">
        <x:v>.docx</x:v>
      </x:c>
      <x:c r="D389" s="61" t="n">
        <x:v>22992</x:v>
      </x:c>
      <x:c r="E389" s="61" t="n">
        <x:v>93</x:v>
      </x:c>
      <x:c r="F389" s="61" t="n">
        <x:v>0</x:v>
      </x:c>
    </x:row>
    <x:row r="390">
      <x:c r="A390" s="43" t="str">
        <x:v>L2025-00021-1</x:v>
      </x:c>
      <x:c r="B390" s="46" t="str">
        <x:v>L2025-00021-1/1. (세네갈) 입찰 요약본 (Summary of Bidding) (요약본).docx</x:v>
      </x:c>
      <x:c r="C390" s="43" t="str">
        <x:v>.docx</x:v>
      </x:c>
      <x:c r="D390" s="61" t="n">
        <x:v>22680</x:v>
      </x:c>
      <x:c r="E390" s="61" t="n">
        <x:v>41</x:v>
      </x:c>
      <x:c r="F390" s="61" t="n">
        <x:v>3</x:v>
      </x:c>
    </x:row>
    <x:row r="391">
      <x:c r="A391" s="43" t="str">
        <x:v>L2025-00021-1</x:v>
      </x:c>
      <x:c r="B391" s="46" t="str">
        <x:v>L2025-00021-1/2. (세네갈) 입찰서류 일체.zip</x:v>
      </x:c>
      <x:c r="C391" s="43" t="str">
        <x:v>.zip</x:v>
      </x:c>
      <x:c r="D391" s="61" t="n">
        <x:v>1594413</x:v>
      </x:c>
      <x:c r="E391" s="61" t="n">
        <x:v>0</x:v>
      </x:c>
      <x:c r="F391" s="61" t="n">
        <x:v>0</x:v>
      </x:c>
    </x:row>
    <x:row r="392">
      <x:c r="A392" s="43" t="str">
        <x:v>L2025-00021-1</x:v>
      </x:c>
      <x:c r="B392" s="46" t="str">
        <x:v>L2025-00021-1/2. (세네갈) 입찰서류 일체/2. (세네갈) 입찰서류 일체/Power of Attorney for the authority to sign and execute contracts (계약서 서명권한 위임장).docx</x:v>
      </x:c>
      <x:c r="C392" s="43" t="str">
        <x:v>.docx</x:v>
      </x:c>
      <x:c r="D392" s="61" t="n">
        <x:v>18759</x:v>
      </x:c>
      <x:c r="E392" s="61" t="n">
        <x:v>15</x:v>
      </x:c>
      <x:c r="F392" s="61" t="n">
        <x:v>0</x:v>
      </x:c>
    </x:row>
    <x:row r="393">
      <x:c r="A393" s="43" t="str">
        <x:v>L2025-00021-1</x:v>
      </x:c>
      <x:c r="B393" s="46" t="str">
        <x:v>L2025-00021-1/2. (세네갈) 입찰서류 일체/2. (세네갈) 입찰서류 일체/Section 1 - Instructions to Bidders (ITB) - 수정(241115).zip</x:v>
      </x:c>
      <x:c r="C393" s="43" t="str">
        <x:v>.zip</x:v>
      </x:c>
      <x:c r="D393" s="61" t="n">
        <x:v>346740</x:v>
      </x:c>
      <x:c r="E393" s="61" t="n">
        <x:v>0</x:v>
      </x:c>
      <x:c r="F393" s="61" t="n">
        <x:v>0</x:v>
      </x:c>
    </x:row>
    <x:row r="394">
      <x:c r="A394" s="43" t="str">
        <x:v>L2025-00021-1</x:v>
      </x:c>
      <x:c r="B394" s="46" t="str">
        <x:v>L2025-00021-1/2. (세네갈) 입찰서류 일체/2. (세네갈) 입찰서류 일체/Section 2 - Bid Data Sheet (BDS)_최종수정(250321).docx</x:v>
      </x:c>
      <x:c r="C394" s="43" t="str">
        <x:v>.docx</x:v>
      </x:c>
      <x:c r="D394" s="61" t="n">
        <x:v>991351</x:v>
      </x:c>
      <x:c r="E394" s="61" t="n">
        <x:v>298</x:v>
      </x:c>
      <x:c r="F394" s="61" t="n">
        <x:v>3</x:v>
      </x:c>
    </x:row>
    <x:row r="395">
      <x:c r="A395" s="43" t="str">
        <x:v>L2025-00021-1</x:v>
      </x:c>
      <x:c r="B395" s="46" t="str">
        <x:v>L2025-00021-1/2. (세네갈) 입찰서류 일체/2. (세네갈) 입찰서류 일체/Section 3 - Bidding Forms_수정.docx</x:v>
      </x:c>
      <x:c r="C395" s="43" t="str">
        <x:v>.docx</x:v>
      </x:c>
      <x:c r="D395" s="61" t="n">
        <x:v>60170</x:v>
      </x:c>
      <x:c r="E395" s="61" t="n">
        <x:v>286</x:v>
      </x:c>
      <x:c r="F395" s="61" t="n">
        <x:v>0</x:v>
      </x:c>
    </x:row>
    <x:row r="396">
      <x:c r="A396" s="43" t="str">
        <x:v>L2025-00021-1</x:v>
      </x:c>
      <x:c r="B396" s="46" t="str">
        <x:v>L2025-00021-1/2. (세네갈) 입찰서류 일체/2. (세네갈) 입찰서류 일체/Section 7 - General Conditions of Contract.docx</x:v>
      </x:c>
      <x:c r="C396" s="43" t="str">
        <x:v>.docx</x:v>
      </x:c>
      <x:c r="D396" s="61" t="n">
        <x:v>34911</x:v>
      </x:c>
      <x:c r="E396" s="61" t="n">
        <x:v>179</x:v>
      </x:c>
      <x:c r="F396" s="61" t="n">
        <x:v>0</x:v>
      </x:c>
    </x:row>
    <x:row r="397">
      <x:c r="A397" s="43" t="str">
        <x:v>L2025-00021-1</x:v>
      </x:c>
      <x:c r="B397" s="46" t="str">
        <x:v>L2025-00021-1/2. (세네갈) 입찰서류 일체/2. (세네갈) 입찰서류 일체/Section 8 - Specail Conditions of Contract.docx</x:v>
      </x:c>
      <x:c r="C397" s="43" t="str">
        <x:v>.docx</x:v>
      </x:c>
      <x:c r="D397" s="61" t="n">
        <x:v>25735</x:v>
      </x:c>
      <x:c r="E397" s="61" t="n">
        <x:v>33</x:v>
      </x:c>
      <x:c r="F397" s="61" t="n">
        <x:v>0</x:v>
      </x:c>
    </x:row>
    <x:row r="398">
      <x:c r="A398" s="43" t="str">
        <x:v>L2025-00021-1</x:v>
      </x:c>
      <x:c r="B398" s="46" t="str">
        <x:v>L2025-00021-1/2. (세네갈) 입찰서류 일체/2. (세네갈) 입찰서류 일체/Section 9 - Contract Forms.docx</x:v>
      </x:c>
      <x:c r="C398" s="43" t="str">
        <x:v>.docx</x:v>
      </x:c>
      <x:c r="D398" s="61" t="n">
        <x:v>22992</x:v>
      </x:c>
      <x:c r="E398" s="61" t="n">
        <x:v>93</x:v>
      </x:c>
      <x:c r="F398" s="61" t="n">
        <x:v>0</x:v>
      </x:c>
    </x:row>
    <x:row r="399">
      <x:c r="A399" s="43" t="str">
        <x:v>L2025-00021-1</x:v>
      </x:c>
      <x:c r="B399" s="46" t="str">
        <x:v>L2025-00021-1/2. (세네갈) 입찰서류 일체/2. (세네갈) 입찰서류 일체/Section 9 - Pledges.zip</x:v>
      </x:c>
      <x:c r="C399" s="43" t="str">
        <x:v>.zip</x:v>
      </x:c>
      <x:c r="D399" s="61" t="n">
        <x:v>69143</x:v>
      </x:c>
      <x:c r="E399" s="61" t="n">
        <x:v>0</x:v>
      </x:c>
      <x:c r="F399" s="61" t="n">
        <x:v>0</x:v>
      </x:c>
    </x:row>
    <x:row r="400">
      <x:c r="A400" s="43" t="str">
        <x:v>L2025-00021-1</x:v>
      </x:c>
      <x:c r="B400" s="46" t="str">
        <x:v>L2025-00021-1/2. (세네갈) 입찰서류 일체/2. (세네갈) 입찰서류 일체/Section x - 계약서.hwp</x:v>
      </x:c>
      <x:c r="C400" s="43" t="str">
        <x:v>.hwp</x:v>
      </x:c>
      <x:c r="D400" s="61" t="n">
        <x:v>53248</x:v>
      </x:c>
      <x:c r="E400" s="61" t="n">
        <x:v>228</x:v>
      </x:c>
      <x:c r="F400" s="61" t="n">
        <x:v>0</x:v>
      </x:c>
    </x:row>
    <x:row r="401">
      <x:c r="A401" s="43" t="str">
        <x:v>L2025-00021-1</x:v>
      </x:c>
      <x:c r="B401" s="46" t="str">
        <x:v>L2025-00021-1/3. (세네갈) 입찰계획서 Bid Data Sheet(국문)_미곡2 건축감리.hwp</x:v>
      </x:c>
      <x:c r="C401" s="43" t="str">
        <x:v>.hwp</x:v>
      </x:c>
      <x:c r="D401" s="61" t="n">
        <x:v>5106176</x:v>
      </x:c>
      <x:c r="E401" s="61" t="n">
        <x:v>661</x:v>
      </x:c>
      <x:c r="F401" s="61" t="n">
        <x:v>2</x:v>
      </x:c>
    </x:row>
    <x:row r="402">
      <x:c r="A402" s="43" t="str">
        <x:v>L2025-00019-1</x:v>
      </x:c>
      <x:c r="B402" s="46" t="str">
        <x:v>L2025-00019-1/1. 가나 관개청 입찰자료 승인 요청 서한.pdf</x:v>
      </x:c>
      <x:c r="C402" s="43" t="str">
        <x:v>.pdf</x:v>
      </x:c>
      <x:c r="D402" s="61" t="n">
        <x:v>251855</x:v>
      </x:c>
      <x:c r="E402" s="61" t="n">
        <x:v>1</x:v>
      </x:c>
      <x:c r="F402" s="61" t="n">
        <x:v>0</x:v>
      </x:c>
    </x:row>
    <x:row r="403">
      <x:c r="A403" s="43" t="str">
        <x:v>L2025-00019-1</x:v>
      </x:c>
      <x:c r="B403" s="46" t="str">
        <x:v>L2025-00019-1/2-1. 입찰서류-Aveyime.doc</x:v>
      </x:c>
      <x:c r="C403" s="43" t="str">
        <x:v>.doc</x:v>
      </x:c>
      <x:c r="D403" s="61" t="n">
        <x:v>1540096</x:v>
      </x:c>
      <x:c r="E403" s="61" t="n">
        <x:v>1235</x:v>
      </x:c>
      <x:c r="F403" s="61" t="n">
        <x:v>3</x:v>
      </x:c>
    </x:row>
    <x:row r="404">
      <x:c r="A404" s="43" t="str">
        <x:v>L2025-00019-1</x:v>
      </x:c>
      <x:c r="B404" s="46" t="str">
        <x:v>L2025-00019-1/2. 입찰서류-Ashaiman.doc</x:v>
      </x:c>
      <x:c r="C404" s="43" t="str">
        <x:v>.doc</x:v>
      </x:c>
      <x:c r="D404" s="61" t="n">
        <x:v>1554944</x:v>
      </x:c>
      <x:c r="E404" s="61" t="n">
        <x:v>1234</x:v>
      </x:c>
      <x:c r="F404" s="61" t="n">
        <x:v>3</x:v>
      </x:c>
    </x:row>
    <x:row r="405">
      <x:c r="A405" s="43" t="str">
        <x:v>L2025-00019-1</x:v>
      </x:c>
      <x:c r="B405" s="46" t="str">
        <x:v>L2025-00019-1/3. 입찰 관련 자료.zip</x:v>
      </x:c>
      <x:c r="C405" s="43" t="str">
        <x:v>.zip</x:v>
      </x:c>
      <x:c r="D405" s="61" t="n">
        <x:v>7578023</x:v>
      </x:c>
      <x:c r="E405" s="61" t="n">
        <x:v>0</x:v>
      </x:c>
      <x:c r="F405" s="61" t="n">
        <x:v>0</x:v>
      </x:c>
    </x:row>
    <x:row r="406">
      <x:c r="A406" s="43" t="str">
        <x:v>L2025-00019-1</x:v>
      </x:c>
      <x:c r="B406" s="46" t="str">
        <x:v>L2025-00019-1/3. 입찰 관련 자료/3. 입찰 관련 자료/3-1. 아사이먄 도면 커버.pdf</x:v>
      </x:c>
      <x:c r="C406" s="43" t="str">
        <x:v>.pdf</x:v>
      </x:c>
      <x:c r="D406" s="61" t="n">
        <x:v>293739</x:v>
      </x:c>
      <x:c r="E406" s="61" t="n">
        <x:v>1</x:v>
      </x:c>
      <x:c r="F406" s="61" t="n">
        <x:v>0</x:v>
      </x:c>
    </x:row>
    <x:row r="407">
      <x:c r="A407" s="43" t="str">
        <x:v>L2025-00019-1</x:v>
      </x:c>
      <x:c r="B407" s="46" t="str">
        <x:v>L2025-00019-1/3. 입찰 관련 자료/3. 입찰 관련 자료/3-2. 아사이먄 도면 리스트.pdf</x:v>
      </x:c>
      <x:c r="C407" s="43" t="str">
        <x:v>.pdf</x:v>
      </x:c>
      <x:c r="D407" s="61" t="n">
        <x:v>133256</x:v>
      </x:c>
      <x:c r="E407" s="61" t="n">
        <x:v>2</x:v>
      </x:c>
      <x:c r="F407" s="61" t="n">
        <x:v>0</x:v>
      </x:c>
    </x:row>
    <x:row r="408">
      <x:c r="A408" s="43" t="str">
        <x:v>L2025-00019-1</x:v>
      </x:c>
      <x:c r="B408" s="46" t="str">
        <x:v>L2025-00019-1/3. 입찰 관련 자료/3. 입찰 관련 자료/3-3. 아베이메 도면 커버.pdf</x:v>
      </x:c>
      <x:c r="C408" s="43" t="str">
        <x:v>.pdf</x:v>
      </x:c>
      <x:c r="D408" s="61" t="n">
        <x:v>286214</x:v>
      </x:c>
      <x:c r="E408" s="61" t="n">
        <x:v>1</x:v>
      </x:c>
      <x:c r="F408" s="61" t="n">
        <x:v>0</x:v>
      </x:c>
    </x:row>
    <x:row r="409">
      <x:c r="A409" s="43" t="str">
        <x:v>L2025-00019-1</x:v>
      </x:c>
      <x:c r="B409" s="46" t="str">
        <x:v>L2025-00019-1/3. 입찰 관련 자료/3. 입찰 관련 자료/3-4. 아베이며 도면 리스트.pdf</x:v>
      </x:c>
      <x:c r="C409" s="43" t="str">
        <x:v>.pdf</x:v>
      </x:c>
      <x:c r="D409" s="61" t="n">
        <x:v>123158</x:v>
      </x:c>
      <x:c r="E409" s="61" t="n">
        <x:v>3</x:v>
      </x:c>
      <x:c r="F409" s="61" t="n">
        <x:v>0</x:v>
      </x:c>
    </x:row>
    <x:row r="410">
      <x:c r="A410" s="43" t="str">
        <x:v>L2025-00019-1</x:v>
      </x:c>
      <x:c r="B410" s="46" t="str">
        <x:v>L2025-00019-1/3. 입찰 관련 자료/3. 입찰 관련 자료/4-1. 아사이만 BoQ 양식.xlsx</x:v>
      </x:c>
      <x:c r="C410" s="43" t="str">
        <x:v>.xlsx</x:v>
      </x:c>
      <x:c r="D410" s="61" t="n">
        <x:v>326589</x:v>
      </x:c>
      <x:c r="E410" s="61" t="n">
        <x:v>495</x:v>
      </x:c>
      <x:c r="F410" s="61" t="n">
        <x:v>0</x:v>
      </x:c>
    </x:row>
    <x:row r="411">
      <x:c r="A411" s="43" t="str">
        <x:v>L2025-00019-1</x:v>
      </x:c>
      <x:c r="B411" s="46" t="str">
        <x:v>L2025-00019-1/3. 입찰 관련 자료/3. 입찰 관련 자료/4-2. 아베이면 BoQ 양식.xlsx</x:v>
      </x:c>
      <x:c r="C411" s="43" t="str">
        <x:v>.xlsx</x:v>
      </x:c>
      <x:c r="D411" s="61" t="n">
        <x:v>109453</x:v>
      </x:c>
      <x:c r="E411" s="61" t="n">
        <x:v>322</x:v>
      </x:c>
      <x:c r="F411" s="61" t="n">
        <x:v>4</x:v>
      </x:c>
    </x:row>
    <x:row r="412">
      <x:c r="A412" s="43" t="str">
        <x:v>L2025-00019-1</x:v>
      </x:c>
      <x:c r="B412" s="46" t="str">
        <x:v>L2025-00019-1/3. 입찰 관련 자료/3. 입찰 관련 자료/5-1. 시방서_아샤이만.pdf</x:v>
      </x:c>
      <x:c r="C412" s="43" t="str">
        <x:v>.pdf</x:v>
      </x:c>
      <x:c r="D412" s="61" t="n">
        <x:v>3840863</x:v>
      </x:c>
      <x:c r="E412" s="61" t="n">
        <x:v>354</x:v>
      </x:c>
      <x:c r="F412" s="61" t="n">
        <x:v>17</x:v>
      </x:c>
    </x:row>
    <x:row r="413">
      <x:c r="A413" s="43" t="str">
        <x:v>L2025-00019-1</x:v>
      </x:c>
      <x:c r="B413" s="46" t="str">
        <x:v>L2025-00019-1/3. 입찰 관련 자료/3. 입찰 관련 자료/5-2. 시방서_아배이메.pdf</x:v>
      </x:c>
      <x:c r="C413" s="43" t="str">
        <x:v>.pdf</x:v>
      </x:c>
      <x:c r="D413" s="61" t="n">
        <x:v>3559100</x:v>
      </x:c>
      <x:c r="E413" s="61" t="n">
        <x:v>354</x:v>
      </x:c>
      <x:c r="F413" s="61" t="n">
        <x:v>17</x:v>
      </x:c>
    </x:row>
    <x:row r="414">
      <x:c r="A414" s="43" t="str">
        <x:v>L2025-00019-1</x:v>
      </x:c>
      <x:c r="B414" s="46" t="str">
        <x:v>L2025-00019-1/KOICA 승인 레터.pdf</x:v>
      </x:c>
      <x:c r="C414" s="43" t="str">
        <x:v>.pdf</x:v>
      </x:c>
      <x:c r="D414" s="61" t="n">
        <x:v>281196</x:v>
      </x:c>
      <x:c r="E414" s="61" t="n">
        <x:v>0</x:v>
      </x:c>
      <x:c r="F414" s="61" t="n">
        <x:v>0</x:v>
      </x:c>
    </x:row>
    <x:row r="415">
      <x:c r="A415" s="43" t="str">
        <x:v>L2025-00019-1</x:v>
      </x:c>
      <x:c r="B415" s="46" t="str">
        <x:v>L2025-00019-1/Procurement Process.png</x:v>
      </x:c>
      <x:c r="C415" s="43" t="str">
        <x:v>.png</x:v>
      </x:c>
      <x:c r="D415" s="61" t="n">
        <x:v>46068</x:v>
      </x:c>
      <x:c r="E415" s="61" t="n">
        <x:v>0</x:v>
      </x:c>
      <x:c r="F415" s="61" t="n">
        <x:v>0</x:v>
      </x:c>
    </x:row>
    <x:row r="416">
      <x:c r="A416" s="43" t="str">
        <x:v>L2025-00019-1</x:v>
      </x:c>
      <x:c r="B416" s="46" t="str">
        <x:v>L2025-00019-1/가나 관개지구 개선 및 물 관리 역량강화 사업 수원국 입찰자료 및 공고 승인 과.hwp</x:v>
      </x:c>
      <x:c r="C416" s="43" t="str">
        <x:v>.hwp</x:v>
      </x:c>
      <x:c r="D416" s="61" t="n">
        <x:v>146944</x:v>
      </x:c>
      <x:c r="E416" s="61" t="n">
        <x:v>1</x:v>
      </x:c>
      <x:c r="F416" s="61" t="n">
        <x:v>0</x:v>
      </x:c>
    </x:row>
    <x:row r="417">
      <x:c r="A417" s="43" t="str">
        <x:v>L2025-00018-1</x:v>
      </x:c>
      <x:c r="B417" s="46" t="str">
        <x:v>L2025-00018-1/1-1. 입찰공고문_국문.hwp</x:v>
      </x:c>
      <x:c r="C417" s="43" t="str">
        <x:v>.hwp</x:v>
      </x:c>
      <x:c r="D417" s="61" t="n">
        <x:v>65024</x:v>
      </x:c>
      <x:c r="E417" s="61" t="n">
        <x:v>399</x:v>
      </x:c>
      <x:c r="F417" s="61" t="n">
        <x:v>6</x:v>
      </x:c>
    </x:row>
    <x:row r="418">
      <x:c r="A418" s="43" t="str">
        <x:v>L2025-00018-1</x:v>
      </x:c>
      <x:c r="B418" s="46" t="str">
        <x:v>L2025-00018-1/1-2. Bid Data Sheet _영문.docx</x:v>
      </x:c>
      <x:c r="C418" s="43" t="str">
        <x:v>.docx</x:v>
      </x:c>
      <x:c r="D418" s="61" t="n">
        <x:v>61113</x:v>
      </x:c>
      <x:c r="E418" s="61" t="n">
        <x:v>222</x:v>
      </x:c>
      <x:c r="F418" s="61" t="n">
        <x:v>5</x:v>
      </x:c>
    </x:row>
    <x:row r="419">
      <x:c r="A419" s="43" t="str">
        <x:v>L2025-00018-1</x:v>
      </x:c>
      <x:c r="B419" s="46" t="str">
        <x:v>L2025-00018-1/2. 입찰 제출 필수 서류.docx</x:v>
      </x:c>
      <x:c r="C419" s="43" t="str">
        <x:v>.docx</x:v>
      </x:c>
      <x:c r="D419" s="61" t="n">
        <x:v>18408</x:v>
      </x:c>
      <x:c r="E419" s="61" t="n">
        <x:v>18</x:v>
      </x:c>
      <x:c r="F419" s="61" t="n">
        <x:v>0</x:v>
      </x:c>
    </x:row>
    <x:row r="420">
      <x:c r="A420" s="43" t="str">
        <x:v>L2025-00018-1</x:v>
      </x:c>
      <x:c r="B420" s="46" t="str">
        <x:v>L2025-00018-1/3. 집행한도금액 예산(안).xlsx</x:v>
      </x:c>
      <x:c r="C420" s="43" t="str">
        <x:v>.xlsx</x:v>
      </x:c>
      <x:c r="D420" s="61" t="n">
        <x:v>113435</x:v>
      </x:c>
      <x:c r="E420" s="61" t="n">
        <x:v>581</x:v>
      </x:c>
      <x:c r="F420" s="61" t="n">
        <x:v>7</x:v>
      </x:c>
    </x:row>
    <x:row r="421">
      <x:c r="A421" s="43" t="str">
        <x:v>L2025-00017-2</x:v>
      </x:c>
      <x:c r="B421" s="46" t="str">
        <x:v>L2025-00017-2/[붙임4] 부속서류 일체.pdf</x:v>
      </x:c>
      <x:c r="C421" s="43" t="str">
        <x:v>.pdf</x:v>
      </x:c>
      <x:c r="D421" s="61" t="n">
        <x:v>7586473</x:v>
      </x:c>
      <x:c r="E421" s="61" t="n">
        <x:v>83</x:v>
      </x:c>
      <x:c r="F421" s="61" t="n">
        <x:v>0</x:v>
      </x:c>
    </x:row>
    <x:row r="422">
      <x:c r="A422" s="43" t="str">
        <x:v>L2025-00017-2</x:v>
      </x:c>
      <x:c r="B422" s="46" t="str">
        <x:v>L2025-00017-2/1. BOQ for Zaytun Library_non-priced for 2 stages.xlsx</x:v>
      </x:c>
      <x:c r="C422" s="43" t="str">
        <x:v>.xlsx</x:v>
      </x:c>
      <x:c r="D422" s="61" t="n">
        <x:v>20974</x:v>
      </x:c>
      <x:c r="E422" s="61" t="n">
        <x:v>69</x:v>
      </x:c>
      <x:c r="F422" s="61" t="n">
        <x:v>0</x:v>
      </x:c>
    </x:row>
    <x:row r="423">
      <x:c r="A423" s="43" t="str">
        <x:v>L2025-00017-2</x:v>
      </x:c>
      <x:c r="B423" s="46" t="str">
        <x:v>L2025-00017-2/2. Time Schedule for Renovating Zaytun Library.xlsx</x:v>
      </x:c>
      <x:c r="C423" s="43" t="str">
        <x:v>.xlsx</x:v>
      </x:c>
      <x:c r="D423" s="61" t="n">
        <x:v>35136</x:v>
      </x:c>
      <x:c r="E423" s="61" t="n">
        <x:v>39</x:v>
      </x:c>
      <x:c r="F423" s="61" t="n">
        <x:v>0</x:v>
      </x:c>
    </x:row>
    <x:row r="424">
      <x:c r="A424" s="43" t="str">
        <x:v>L2025-00017-2</x:v>
      </x:c>
      <x:c r="B424" s="46" t="str">
        <x:v>L2025-00017-2/3. Questions to be requested by the bidders.docx</x:v>
      </x:c>
      <x:c r="C424" s="43" t="str">
        <x:v>.docx</x:v>
      </x:c>
      <x:c r="D424" s="61" t="n">
        <x:v>12475</x:v>
      </x:c>
      <x:c r="E424" s="61" t="n">
        <x:v>7</x:v>
      </x:c>
      <x:c r="F424" s="61" t="n">
        <x:v>0</x:v>
      </x:c>
    </x:row>
    <x:row r="425">
      <x:c r="A425" s="43" t="str">
        <x:v>L2025-00017-2</x:v>
      </x:c>
      <x:c r="B425" s="46" t="str">
        <x:v>L2025-00017-2/붙임1. 수원국공문(현안보고).pdf</x:v>
      </x:c>
      <x:c r="C425" s="43" t="str">
        <x:v>.pdf</x:v>
      </x:c>
      <x:c r="D425" s="61" t="n">
        <x:v>325206</x:v>
      </x:c>
      <x:c r="E425" s="61" t="n">
        <x:v>1</x:v>
      </x:c>
      <x:c r="F425" s="61" t="n">
        <x:v>0</x:v>
      </x:c>
    </x:row>
    <x:row r="426">
      <x:c r="A426" s="43" t="str">
        <x:v>L2025-00017-2</x:v>
      </x:c>
      <x:c r="B426" s="46" t="str">
        <x:v>L2025-00017-2/붙임2. 수정 일정표.pdf</x:v>
      </x:c>
      <x:c r="C426" s="43" t="str">
        <x:v>.pdf</x:v>
      </x:c>
      <x:c r="D426" s="61" t="n">
        <x:v>686919</x:v>
      </x:c>
      <x:c r="E426" s="61" t="n">
        <x:v>1</x:v>
      </x:c>
      <x:c r="F426" s="61" t="n">
        <x:v>0</x:v>
      </x:c>
    </x:row>
    <x:row r="427">
      <x:c r="A427" s="43" t="str">
        <x:v>L2025-00017-1</x:v>
      </x:c>
      <x:c r="B427" s="46" t="str">
        <x:v>L2025-00017-1/(이라크 아르빌) 자이툰 도서관 리모델링 공사 입찰계획(안) 수립.hwp</x:v>
      </x:c>
      <x:c r="C427" s="43" t="str">
        <x:v>.hwp</x:v>
      </x:c>
      <x:c r="D427" s="61" t="n">
        <x:v>158720</x:v>
      </x:c>
      <x:c r="E427" s="61" t="n">
        <x:v>1</x:v>
      </x:c>
      <x:c r="F427" s="61" t="n">
        <x:v>0</x:v>
      </x:c>
    </x:row>
    <x:row r="428">
      <x:c r="A428" s="43" t="str">
        <x:v>L2025-00017-1</x:v>
      </x:c>
      <x:c r="B428" s="46" t="str">
        <x:v>L2025-00017-1/[붙임1] 자이툰 도서관 리모델링 공사 입찰계획(안).hwp</x:v>
      </x:c>
      <x:c r="C428" s="43" t="str">
        <x:v>.hwp</x:v>
      </x:c>
      <x:c r="D428" s="61" t="n">
        <x:v>247296</x:v>
      </x:c>
      <x:c r="E428" s="61" t="n">
        <x:v>254</x:v>
      </x:c>
      <x:c r="F428" s="61" t="n">
        <x:v>3</x:v>
      </x:c>
    </x:row>
    <x:row r="429">
      <x:c r="A429" s="43" t="str">
        <x:v>L2025-00017-1</x:v>
      </x:c>
      <x:c r="B429" s="46" t="str">
        <x:v>L2025-00017-1/[붙임2] 입찰협약서(addendum) 서명본.pdf</x:v>
      </x:c>
      <x:c r="C429" s="43" t="str">
        <x:v>.pdf</x:v>
      </x:c>
      <x:c r="D429" s="61" t="n">
        <x:v>4970833</x:v>
      </x:c>
      <x:c r="E429" s="61" t="n">
        <x:v>0</x:v>
      </x:c>
      <x:c r="F429" s="61" t="n">
        <x:v>0</x:v>
      </x:c>
    </x:row>
    <x:row r="430">
      <x:c r="A430" s="43" t="str">
        <x:v>L2025-00017-1</x:v>
      </x:c>
      <x:c r="B430" s="46" t="str">
        <x:v>L2025-00017-1/[붙임3] 수원기관 공문(보완자료 제출, 3.16.).pdf</x:v>
      </x:c>
      <x:c r="C430" s="43" t="str">
        <x:v>.pdf</x:v>
      </x:c>
      <x:c r="D430" s="61" t="n">
        <x:v>810024</x:v>
      </x:c>
      <x:c r="E430" s="61" t="n">
        <x:v>1</x:v>
      </x:c>
      <x:c r="F430" s="61" t="n">
        <x:v>2</x:v>
      </x:c>
    </x:row>
    <x:row r="431">
      <x:c r="A431" s="43" t="str">
        <x:v>L2025-00017-1</x:v>
      </x:c>
      <x:c r="B431" s="46" t="str">
        <x:v>L2025-00017-1/[붙임4] 토펙중동중앙아제2025-002호 (이크라 자이툰 도서관 리노베이션 수원국 조달시스.pdf</x:v>
      </x:c>
      <x:c r="C431" s="43" t="str">
        <x:v>.pdf</x:v>
      </x:c>
      <x:c r="D431" s="61" t="n">
        <x:v>130340</x:v>
      </x:c>
      <x:c r="E431" s="61" t="n">
        <x:v>2</x:v>
      </x:c>
      <x:c r="F431" s="61" t="n">
        <x:v>2</x:v>
      </x:c>
    </x:row>
    <x:row r="432">
      <x:c r="A432" s="43" t="str">
        <x:v>L2025-00017-1</x:v>
      </x:c>
      <x:c r="B432" s="46" t="str">
        <x:v>L2025-00017-1/[붙임5] 부속서류 일체.zip</x:v>
      </x:c>
      <x:c r="C432" s="43" t="str">
        <x:v>.zip</x:v>
      </x:c>
      <x:c r="D432" s="61" t="n">
        <x:v>9142177</x:v>
      </x:c>
      <x:c r="E432" s="61" t="n">
        <x:v>0</x:v>
      </x:c>
      <x:c r="F432" s="61" t="n">
        <x:v>0</x:v>
      </x:c>
    </x:row>
    <x:row r="433">
      <x:c r="A433" s="43" t="str">
        <x:v>L2025-00017-1</x:v>
      </x:c>
      <x:c r="B433" s="46" t="str">
        <x:v>L2025-00017-1/[붙임5] 부속서류 일체/├╖║╬ 1. ╝÷┐°▒╣(MOCY) ╣▀┴╓ ╣╫ ░╟├α┴╢┴≈ ├╝░Φ╡╡.pdf</x:v>
      </x:c>
      <x:c r="C433" s="43" t="str">
        <x:v>.pdf</x:v>
      </x:c>
      <x:c r="D433" s="61" t="n">
        <x:v>94097</x:v>
      </x:c>
      <x:c r="E433" s="61" t="n">
        <x:v>1</x:v>
      </x:c>
      <x:c r="F433" s="61" t="n">
        <x:v>0</x:v>
      </x:c>
    </x:row>
    <x:row r="434">
      <x:c r="A434" s="43" t="str">
        <x:v>L2025-00017-1</x:v>
      </x:c>
      <x:c r="B434" s="46" t="str">
        <x:v>L2025-00017-1/[붙임5] 부속서류 일체/├╖║╬ 2. ╝÷┐°▒╣(MOCY) └╘┬√└²┬≈.pdf</x:v>
      </x:c>
      <x:c r="C434" s="43" t="str">
        <x:v>.pdf</x:v>
      </x:c>
      <x:c r="D434" s="61" t="n">
        <x:v>262329</x:v>
      </x:c>
      <x:c r="E434" s="61" t="n">
        <x:v>3</x:v>
      </x:c>
      <x:c r="F434" s="61" t="n">
        <x:v>0</x:v>
      </x:c>
    </x:row>
    <x:row r="435">
      <x:c r="A435" s="43" t="str">
        <x:v>L2025-00017-1</x:v>
      </x:c>
      <x:c r="B435" s="46" t="str">
        <x:v>L2025-00017-1/[붙임5] 부속서류 일체/├╖║╬ 3. ┐╣╗Ω│╗┐¬╝¡(BOQ, 100╕╕║╥ ┴²╟α╟╤╡╡╛╫).pdf</x:v>
      </x:c>
      <x:c r="C435" s="43" t="str">
        <x:v>.pdf</x:v>
      </x:c>
      <x:c r="D435" s="61" t="n">
        <x:v>252089</x:v>
      </x:c>
      <x:c r="E435" s="61" t="n">
        <x:v>4</x:v>
      </x:c>
      <x:c r="F435" s="61" t="n">
        <x:v>4</x:v>
      </x:c>
    </x:row>
    <x:row r="436">
      <x:c r="A436" s="43" t="str">
        <x:v>L2025-00017-1</x:v>
      </x:c>
      <x:c r="B436" s="46" t="str">
        <x:v>L2025-00017-1/[붙임5] 부속서류 일체/├╖║╬ 4. └╘┬√ ╞≥░í╟Ñ.pdf</x:v>
      </x:c>
      <x:c r="C436" s="43" t="str">
        <x:v>.pdf</x:v>
      </x:c>
      <x:c r="D436" s="61" t="n">
        <x:v>426833</x:v>
      </x:c>
      <x:c r="E436" s="61" t="n">
        <x:v>1</x:v>
      </x:c>
      <x:c r="F436" s="61" t="n">
        <x:v>1</x:v>
      </x:c>
    </x:row>
    <x:row r="437">
      <x:c r="A437" s="43" t="str">
        <x:v>L2025-00017-1</x:v>
      </x:c>
      <x:c r="B437" s="46" t="str">
        <x:v>L2025-00017-1/[붙임5] 부속서류 일체/├╖║╬ 5-1. └ⁿ├╝ └╧┴ñ╟Ñ(├╤░²).pdf</x:v>
      </x:c>
      <x:c r="C437" s="43" t="str">
        <x:v>.pdf</x:v>
      </x:c>
      <x:c r="D437" s="61" t="n">
        <x:v>1183561</x:v>
      </x:c>
      <x:c r="E437" s="61" t="n">
        <x:v>1</x:v>
      </x:c>
      <x:c r="F437" s="61" t="n">
        <x:v>0</x:v>
      </x:c>
    </x:row>
    <x:row r="438">
      <x:c r="A438" s="43" t="str">
        <x:v>L2025-00017-1</x:v>
      </x:c>
      <x:c r="B438" s="46" t="str">
        <x:v>L2025-00017-1/[붙임5] 부속서류 일체/├╖║╬ 5-2. ╝╝║╬ ╜├░°└╧┴ñ╟Ñ(1┬≈│Γ╡╡).pdf</x:v>
      </x:c>
      <x:c r="C438" s="43" t="str">
        <x:v>.pdf</x:v>
      </x:c>
      <x:c r="D438" s="61" t="n">
        <x:v>1843099</x:v>
      </x:c>
      <x:c r="E438" s="61" t="n">
        <x:v>1</x:v>
      </x:c>
      <x:c r="F438" s="61" t="n">
        <x:v>0</x:v>
      </x:c>
    </x:row>
    <x:row r="439">
      <x:c r="A439" s="43" t="str">
        <x:v>L2025-00017-1</x:v>
      </x:c>
      <x:c r="B439" s="46" t="str">
        <x:v>L2025-00017-1/[붙임5] 부속서류 일체/├╖║╬ 5-3. ╝╝║╬ ╜├░°└╧┴ñ╟Ñ(2┬≈│Γ╡╡).pdf</x:v>
      </x:c>
      <x:c r="C439" s="43" t="str">
        <x:v>.pdf</x:v>
      </x:c>
      <x:c r="D439" s="61" t="n">
        <x:v>772990</x:v>
      </x:c>
      <x:c r="E439" s="61" t="n">
        <x:v>1</x:v>
      </x:c>
      <x:c r="F439" s="61" t="n">
        <x:v>1</x:v>
      </x:c>
    </x:row>
    <x:row r="440">
      <x:c r="A440" s="43" t="str">
        <x:v>L2025-00017-1</x:v>
      </x:c>
      <x:c r="B440" s="46" t="str">
        <x:v>L2025-00017-1/[붙임5] 부속서류 일체/├╖║╬ 6. ░·╛≈┴÷╜├╝¡.pdf</x:v>
      </x:c>
      <x:c r="C440" s="43" t="str">
        <x:v>.pdf</x:v>
      </x:c>
      <x:c r="D440" s="61" t="n">
        <x:v>5211470</x:v>
      </x:c>
      <x:c r="E440" s="61" t="n">
        <x:v>65</x:v>
      </x:c>
      <x:c r="F440" s="61" t="n">
        <x:v>0</x:v>
      </x:c>
    </x:row>
    <x:row r="441">
      <x:c r="A441" s="43" t="str">
        <x:v>L2025-00016-2</x:v>
      </x:c>
      <x:c r="B441" s="46" t="str">
        <x:v>L2025-00016-2/KOICA bidding regulation.zip</x:v>
      </x:c>
      <x:c r="C441" s="43" t="str">
        <x:v>.zip</x:v>
      </x:c>
      <x:c r="D441" s="61" t="n">
        <x:v>2017505</x:v>
      </x:c>
      <x:c r="E441" s="61" t="n">
        <x:v>0</x:v>
      </x:c>
      <x:c r="F441" s="61" t="n">
        <x:v>0</x:v>
      </x:c>
    </x:row>
    <x:row r="442">
      <x:c r="A442" s="43" t="str">
        <x:v>L2025-00016-2</x:v>
      </x:c>
      <x:c r="B442" s="46" t="str">
        <x:v>L2025-00016-2/KOICA bidding regulation/Detailed Enforcement Rules of the Regulations for Procurement and Contract in Grant Aid Projects(┤δ┐▄╣½╗≤╟∙╖┬╗τ╛≈┐í ░ⁿ╟╤ ┴╢┤▐ ╣╫ ░Φ╛α▒╘┴ñ ╜├╟α╝╝─ó)_20190503.pdf</x:v>
      </x:c>
      <x:c r="C442" s="43" t="str">
        <x:v>.pdf</x:v>
      </x:c>
      <x:c r="D442" s="61" t="n">
        <x:v>554876</x:v>
      </x:c>
      <x:c r="E442" s="61" t="n">
        <x:v>123</x:v>
      </x:c>
      <x:c r="F442" s="61" t="n">
        <x:v>8</x:v>
      </x:c>
    </x:row>
    <x:row r="443">
      <x:c r="A443" s="43" t="str">
        <x:v>L2025-00016-2</x:v>
      </x:c>
      <x:c r="B443" s="46" t="str">
        <x:v>L2025-00016-2/KOICA bidding regulation/Guidelines for Technical Evaluation(▒Γ╝·╞≥░í┴÷─º)_20210408.pdf</x:v>
      </x:c>
      <x:c r="C443" s="43" t="str">
        <x:v>.pdf</x:v>
      </x:c>
      <x:c r="D443" s="61" t="n">
        <x:v>416852</x:v>
      </x:c>
      <x:c r="E443" s="61" t="n">
        <x:v>65</x:v>
      </x:c>
      <x:c r="F443" s="61" t="n">
        <x:v>9</x:v>
      </x:c>
    </x:row>
    <x:row r="444">
      <x:c r="A444" s="43" t="str">
        <x:v>L2025-00016-2</x:v>
      </x:c>
      <x:c r="B444" s="46" t="str">
        <x:v>L2025-00016-2/KOICA bidding regulation/KOICA Regulations for International Procurement(▒╣┴ª┴╢┤▐▒╘┴ñ)_20190304.pdf</x:v>
      </x:c>
      <x:c r="C444" s="43" t="str">
        <x:v>.pdf</x:v>
      </x:c>
      <x:c r="D444" s="61" t="n">
        <x:v>375625</x:v>
      </x:c>
      <x:c r="E444" s="61" t="n">
        <x:v>55</x:v>
      </x:c>
      <x:c r="F444" s="61" t="n">
        <x:v>1</x:v>
      </x:c>
    </x:row>
    <x:row r="445">
      <x:c r="A445" s="43" t="str">
        <x:v>L2025-00016-2</x:v>
      </x:c>
      <x:c r="B445" s="46" t="str">
        <x:v>L2025-00016-2/KOICA bidding regulation/Regulations for Procurement and Contract in Grant Aid Projects(┤δ┐▄╣½╗≤╟∙╖┬╗τ╛≈┐í ░ⁿ╟╤ ┴╢┤▐ ╣╫ ░Φ╛α▒╘┴ñ)_20190520.pdf</x:v>
      </x:c>
      <x:c r="C445" s="43" t="str">
        <x:v>.pdf</x:v>
      </x:c>
      <x:c r="D445" s="61" t="n">
        <x:v>157627</x:v>
      </x:c>
      <x:c r="E445" s="61" t="n">
        <x:v>33</x:v>
      </x:c>
      <x:c r="F445" s="61" t="n">
        <x:v>2</x:v>
      </x:c>
    </x:row>
    <x:row r="446">
      <x:c r="A446" s="43" t="str">
        <x:v>L2025-00016-2</x:v>
      </x:c>
      <x:c r="B446" s="46" t="str">
        <x:v>L2025-00016-2/KOICA bidding regulation/Standard of Prequalification Criteria(└╘┬√┬ⁿ░í└┌░▌╗τ└ⁿ╜╔╗τ▒Γ┴╪)_20130116.pdf</x:v>
      </x:c>
      <x:c r="C446" s="43" t="str">
        <x:v>.pdf</x:v>
      </x:c>
      <x:c r="D446" s="61" t="n">
        <x:v>473791</x:v>
      </x:c>
      <x:c r="E446" s="61" t="n">
        <x:v>26</x:v>
      </x:c>
      <x:c r="F446" s="61" t="n">
        <x:v>1</x:v>
      </x:c>
    </x:row>
    <x:row r="447">
      <x:c r="A447" s="43" t="str">
        <x:v>L2025-00016-2</x:v>
      </x:c>
      <x:c r="B447" s="46" t="str">
        <x:v>L2025-00016-2/KOICA bidding regulation/Standards of Qualification Examination for Selection of Constructor(╜├░°╗τ╝▒┴ñ└√░▌╜╔╗τ▒Γ┴╪)_20140403.pdf</x:v>
      </x:c>
      <x:c r="C447" s="43" t="str">
        <x:v>.pdf</x:v>
      </x:c>
      <x:c r="D447" s="61" t="n">
        <x:v>315288</x:v>
      </x:c>
      <x:c r="E447" s="61" t="n">
        <x:v>12</x:v>
      </x:c>
      <x:c r="F447" s="61" t="n">
        <x:v>0</x:v>
      </x:c>
    </x:row>
    <x:row r="448">
      <x:c r="A448" s="43" t="str">
        <x:v>L2025-00016-2</x:v>
      </x:c>
      <x:c r="B448" s="46" t="str">
        <x:v>L2025-00016-2/Section 1 - Instructions to Bidders (ITB).zip</x:v>
      </x:c>
      <x:c r="C448" s="43" t="str">
        <x:v>.zip</x:v>
      </x:c>
      <x:c r="D448" s="61" t="n">
        <x:v>284234</x:v>
      </x:c>
      <x:c r="E448" s="61" t="n">
        <x:v>0</x:v>
      </x:c>
      <x:c r="F448" s="61" t="n">
        <x:v>0</x:v>
      </x:c>
    </x:row>
    <x:row r="449">
      <x:c r="A449" s="43" t="str">
        <x:v>L2025-00016-2</x:v>
      </x:c>
      <x:c r="B449" s="46" t="str">
        <x:v>L2025-00016-2/Section 1 - Instructions to Bidders (ITB)/Section 1 - ▒╣┴ª└╘┬√└»└╟╝¡ (ITB).hwp</x:v>
      </x:c>
      <x:c r="C449" s="43" t="str">
        <x:v>.hwp</x:v>
      </x:c>
      <x:c r="D449" s="61" t="n">
        <x:v>164352</x:v>
      </x:c>
      <x:c r="E449" s="61" t="n">
        <x:v>135</x:v>
      </x:c>
      <x:c r="F449" s="61" t="n">
        <x:v>0</x:v>
      </x:c>
    </x:row>
    <x:row r="450">
      <x:c r="A450" s="43" t="str">
        <x:v>L2025-00016-2</x:v>
      </x:c>
      <x:c r="B450" s="46" t="str">
        <x:v>L2025-00016-2/Section 1 - Instructions to Bidders (ITB)/Section 1 - Instructions to Bidders (ITB).hwp</x:v>
      </x:c>
      <x:c r="C450" s="43" t="str">
        <x:v>.hwp</x:v>
      </x:c>
      <x:c r="D450" s="61" t="n">
        <x:v>165376</x:v>
      </x:c>
      <x:c r="E450" s="61" t="n">
        <x:v>165</x:v>
      </x:c>
      <x:c r="F450" s="61" t="n">
        <x:v>0</x:v>
      </x:c>
    </x:row>
    <x:row r="451">
      <x:c r="A451" s="43" t="str">
        <x:v>L2025-00016-2</x:v>
      </x:c>
      <x:c r="B451" s="46" t="str">
        <x:v>L2025-00016-2/Section 2 - Bid Data Sheet (eng).docx</x:v>
      </x:c>
      <x:c r="C451" s="43" t="str">
        <x:v>.docx</x:v>
      </x:c>
      <x:c r="D451" s="61" t="n">
        <x:v>30358</x:v>
      </x:c>
      <x:c r="E451" s="61" t="n">
        <x:v>207</x:v>
      </x:c>
      <x:c r="F451" s="61" t="n">
        <x:v>5</x:v>
      </x:c>
    </x:row>
    <x:row r="452">
      <x:c r="A452" s="43" t="str">
        <x:v>L2025-00016-2</x:v>
      </x:c>
      <x:c r="B452" s="46" t="str">
        <x:v>L2025-00016-2/Section 3 - Bidding Forms.docx</x:v>
      </x:c>
      <x:c r="C452" s="43" t="str">
        <x:v>.docx</x:v>
      </x:c>
      <x:c r="D452" s="61" t="n">
        <x:v>33084</x:v>
      </x:c>
      <x:c r="E452" s="61" t="n">
        <x:v>287</x:v>
      </x:c>
      <x:c r="F452" s="61" t="n">
        <x:v>0</x:v>
      </x:c>
    </x:row>
    <x:row r="453">
      <x:c r="A453" s="43" t="str">
        <x:v>L2025-00016-2</x:v>
      </x:c>
      <x:c r="B453" s="46" t="str">
        <x:v>L2025-00016-2/Section 4 - BOQ_empty.xlsx</x:v>
      </x:c>
      <x:c r="C453" s="43" t="str">
        <x:v>.xlsx</x:v>
      </x:c>
      <x:c r="D453" s="61" t="n">
        <x:v>271278</x:v>
      </x:c>
      <x:c r="E453" s="61" t="n">
        <x:v>1016</x:v>
      </x:c>
      <x:c r="F453" s="61" t="n">
        <x:v>0</x:v>
      </x:c>
    </x:row>
    <x:row r="454">
      <x:c r="A454" s="43" t="str">
        <x:v>L2025-00016-2</x:v>
      </x:c>
      <x:c r="B454" s="46" t="str">
        <x:v>L2025-00016-2/Section 5 - Drawings.pptx</x:v>
      </x:c>
      <x:c r="C454" s="43" t="str">
        <x:v>.pptx</x:v>
      </x:c>
      <x:c r="D454" s="61" t="n">
        <x:v>20091177</x:v>
      </x:c>
      <x:c r="E454" s="61" t="n">
        <x:v>54</x:v>
      </x:c>
      <x:c r="F454" s="61" t="n">
        <x:v>0</x:v>
      </x:c>
    </x:row>
    <x:row r="455">
      <x:c r="A455" s="43" t="str">
        <x:v>L2025-00016-2</x:v>
      </x:c>
      <x:c r="B455" s="46" t="str">
        <x:v>L2025-00016-2/Section 6 - Sepcification.zip</x:v>
      </x:c>
      <x:c r="C455" s="43" t="str">
        <x:v>.zip</x:v>
      </x:c>
      <x:c r="D455" s="61" t="n">
        <x:v>4501707</x:v>
      </x:c>
      <x:c r="E455" s="61" t="n">
        <x:v>0</x:v>
      </x:c>
      <x:c r="F455" s="61" t="n">
        <x:v>0</x:v>
      </x:c>
    </x:row>
    <x:row r="456">
      <x:c r="A456" s="43" t="str">
        <x:v>L2025-00016-2</x:v>
      </x:c>
      <x:c r="B456" s="46" t="str">
        <x:v>L2025-00016-2/Section 6 - Sepcification/Architectural.docx</x:v>
      </x:c>
      <x:c r="C456" s="43" t="str">
        <x:v>.docx</x:v>
      </x:c>
      <x:c r="D456" s="61" t="n">
        <x:v>1105330</x:v>
      </x:c>
      <x:c r="E456" s="61" t="n">
        <x:v>5280</x:v>
      </x:c>
      <x:c r="F456" s="61" t="n">
        <x:v>0</x:v>
      </x:c>
    </x:row>
    <x:row r="457">
      <x:c r="A457" s="43" t="str">
        <x:v>L2025-00016-2</x:v>
      </x:c>
      <x:c r="B457" s="46" t="str">
        <x:v>L2025-00016-2/Section 6 - Sepcification/Electrical, Security and Communication.docx</x:v>
      </x:c>
      <x:c r="C457" s="43" t="str">
        <x:v>.docx</x:v>
      </x:c>
      <x:c r="D457" s="61" t="n">
        <x:v>3045676</x:v>
      </x:c>
      <x:c r="E457" s="61" t="n">
        <x:v>579</x:v>
      </x:c>
      <x:c r="F457" s="61" t="n">
        <x:v>1</x:v>
      </x:c>
    </x:row>
    <x:row r="458">
      <x:c r="A458" s="43" t="str">
        <x:v>L2025-00016-2</x:v>
      </x:c>
      <x:c r="B458" s="46" t="str">
        <x:v>L2025-00016-2/Section 6 - Sepcification/HVAC.docx</x:v>
      </x:c>
      <x:c r="C458" s="43" t="str">
        <x:v>.docx</x:v>
      </x:c>
      <x:c r="D458" s="61" t="n">
        <x:v>68062</x:v>
      </x:c>
      <x:c r="E458" s="61" t="n">
        <x:v>175</x:v>
      </x:c>
      <x:c r="F458" s="61" t="n">
        <x:v>0</x:v>
      </x:c>
    </x:row>
    <x:row r="459">
      <x:c r="A459" s="43" t="str">
        <x:v>L2025-00016-2</x:v>
      </x:c>
      <x:c r="B459" s="46" t="str">
        <x:v>L2025-00016-2/Section 6 - Sepcification/Hydraulic.docx</x:v>
      </x:c>
      <x:c r="C459" s="43" t="str">
        <x:v>.docx</x:v>
      </x:c>
      <x:c r="D459" s="61" t="n">
        <x:v>122772</x:v>
      </x:c>
      <x:c r="E459" s="61" t="n">
        <x:v>774</x:v>
      </x:c>
      <x:c r="F459" s="61" t="n">
        <x:v>0</x:v>
      </x:c>
    </x:row>
    <x:row r="460">
      <x:c r="A460" s="43" t="str">
        <x:v>L2025-00016-2</x:v>
      </x:c>
      <x:c r="B460" s="46" t="str">
        <x:v>L2025-00016-2/Section 6 - Sepcification/Structural.docx</x:v>
      </x:c>
      <x:c r="C460" s="43" t="str">
        <x:v>.docx</x:v>
      </x:c>
      <x:c r="D460" s="61" t="n">
        <x:v>185005</x:v>
      </x:c>
      <x:c r="E460" s="61" t="n">
        <x:v>870</x:v>
      </x:c>
      <x:c r="F460" s="61" t="n">
        <x:v>0</x:v>
      </x:c>
    </x:row>
    <x:row r="461">
      <x:c r="A461" s="43" t="str">
        <x:v>L2025-00016-2</x:v>
      </x:c>
      <x:c r="B461" s="46" t="str">
        <x:v>L2025-00016-2/Section 7 - General Conditions of Contract.docx</x:v>
      </x:c>
      <x:c r="C461" s="43" t="str">
        <x:v>.docx</x:v>
      </x:c>
      <x:c r="D461" s="61" t="n">
        <x:v>202912</x:v>
      </x:c>
      <x:c r="E461" s="61" t="n">
        <x:v>1406</x:v>
      </x:c>
      <x:c r="F461" s="61" t="n">
        <x:v>2</x:v>
      </x:c>
    </x:row>
    <x:row r="462">
      <x:c r="A462" s="43" t="str">
        <x:v>L2025-00016-2</x:v>
      </x:c>
      <x:c r="B462" s="46" t="str">
        <x:v>L2025-00016-2/Section 8 - Special Conditions of Contract.docx</x:v>
      </x:c>
      <x:c r="C462" s="43" t="str">
        <x:v>.docx</x:v>
      </x:c>
      <x:c r="D462" s="61" t="n">
        <x:v>29056</x:v>
      </x:c>
      <x:c r="E462" s="61" t="n">
        <x:v>293</x:v>
      </x:c>
      <x:c r="F462" s="61" t="n">
        <x:v>4</x:v>
      </x:c>
    </x:row>
    <x:row r="463">
      <x:c r="A463" s="43" t="str">
        <x:v>L2025-00016-2</x:v>
      </x:c>
      <x:c r="B463" s="46" t="str">
        <x:v>L2025-00016-2/Section 9 - Contract Forms.docx</x:v>
      </x:c>
      <x:c r="C463" s="43" t="str">
        <x:v>.docx</x:v>
      </x:c>
      <x:c r="D463" s="61" t="n">
        <x:v>38159</x:v>
      </x:c>
      <x:c r="E463" s="61" t="n">
        <x:v>30</x:v>
      </x:c>
      <x:c r="F463" s="61" t="n">
        <x:v>0</x:v>
      </x:c>
    </x:row>
    <x:row r="464">
      <x:c r="A464" s="43" t="str">
        <x:v>L2025-00016-2</x:v>
      </x:c>
      <x:c r="B464" s="46" t="str">
        <x:v>L2025-00016-2/Section 9 - Pledges.zip</x:v>
      </x:c>
      <x:c r="C464" s="43" t="str">
        <x:v>.zip</x:v>
      </x:c>
      <x:c r="D464" s="61" t="n">
        <x:v>69143</x:v>
      </x:c>
      <x:c r="E464" s="61" t="n">
        <x:v>0</x:v>
      </x:c>
      <x:c r="F464" s="61" t="n">
        <x:v>0</x:v>
      </x:c>
    </x:row>
    <x:row r="465">
      <x:c r="A465" s="43" t="str">
        <x:v>L2025-00016-2</x:v>
      </x:c>
      <x:c r="B465" s="46" t="str">
        <x:v>L2025-00016-2/Section 9 - Pledges/Declaration of Anti_Corruption (╣▌║╬╞╨ ╝▒╛≡╝¡).docx</x:v>
      </x:c>
      <x:c r="C465" s="43" t="str">
        <x:v>.docx</x:v>
      </x:c>
      <x:c r="D465" s="61" t="n">
        <x:v>23026</x:v>
      </x:c>
      <x:c r="E465" s="61" t="n">
        <x:v>38</x:v>
      </x:c>
      <x:c r="F465" s="61" t="n">
        <x:v>0</x:v>
      </x:c>
    </x:row>
    <x:row r="466">
      <x:c r="A466" s="43" t="str">
        <x:v>L2025-00016-2</x:v>
      </x:c>
      <x:c r="B466" s="46" t="str">
        <x:v>L2025-00016-2/Section 9 - Pledges/Fair Contract Pledge Letter (░°┴ñ░Φ╛α ╝¡╛α╝¡).docx</x:v>
      </x:c>
      <x:c r="C466" s="43" t="str">
        <x:v>.docx</x:v>
      </x:c>
      <x:c r="D466" s="61" t="n">
        <x:v>18756</x:v>
      </x:c>
      <x:c r="E466" s="61" t="n">
        <x:v>20</x:v>
      </x:c>
      <x:c r="F466" s="61" t="n">
        <x:v>0</x:v>
      </x:c>
    </x:row>
    <x:row r="467">
      <x:c r="A467" s="43" t="str">
        <x:v>L2025-00016-2</x:v>
      </x:c>
      <x:c r="B467" s="46" t="str">
        <x:v>L2025-00016-2/Section 9 - Pledges/Integrity Pledge (├╗╖┼░Φ╛α╝¡).docx</x:v>
      </x:c>
      <x:c r="C467" s="43" t="str">
        <x:v>.docx</x:v>
      </x:c>
      <x:c r="D467" s="61" t="n">
        <x:v>36507</x:v>
      </x:c>
      <x:c r="E467" s="61" t="n">
        <x:v>17</x:v>
      </x:c>
      <x:c r="F467" s="61" t="n">
        <x:v>0</x:v>
      </x:c>
    </x:row>
    <x:row r="468">
      <x:c r="A468" s="43" t="str">
        <x:v>L2025-00016-1</x:v>
      </x:c>
      <x:c r="B468" s="46" t="str">
        <x:v>L2025-00016-1/KOICA 입찰 관련 규정 및 지침.zip</x:v>
      </x:c>
      <x:c r="C468" s="43" t="str">
        <x:v>.zip</x:v>
      </x:c>
      <x:c r="D468" s="61" t="n">
        <x:v>2017505</x:v>
      </x:c>
      <x:c r="E468" s="61" t="n">
        <x:v>0</x:v>
      </x:c>
      <x:c r="F468" s="61" t="n">
        <x:v>0</x:v>
      </x:c>
    </x:row>
    <x:row r="469">
      <x:c r="A469" s="43" t="str">
        <x:v>L2025-00016-1</x:v>
      </x:c>
      <x:c r="B469" s="46" t="str">
        <x:v>L2025-00016-1/KOICA 입찰 관련 규정 및 지침/Detailed Enforcement Rules of the Regulations for Procurement and Contract in Grant Aid Projects(┤δ┐▄╣½╗≤╟∙╖┬╗τ╛≈┐í ░ⁿ╟╤ ┴╢┤▐ ╣╫ ░Φ╛α▒╘┴ñ ╜├╟α╝╝─ó)_20190503.pdf</x:v>
      </x:c>
      <x:c r="C469" s="43" t="str">
        <x:v>.pdf</x:v>
      </x:c>
      <x:c r="D469" s="61" t="n">
        <x:v>554876</x:v>
      </x:c>
      <x:c r="E469" s="61" t="n">
        <x:v>123</x:v>
      </x:c>
      <x:c r="F469" s="61" t="n">
        <x:v>8</x:v>
      </x:c>
    </x:row>
    <x:row r="470">
      <x:c r="A470" s="43" t="str">
        <x:v>L2025-00016-1</x:v>
      </x:c>
      <x:c r="B470" s="46" t="str">
        <x:v>L2025-00016-1/KOICA 입찰 관련 규정 및 지침/Guidelines for Technical Evaluation(▒Γ╝·╞≥░í┴÷─º)_20210408.pdf</x:v>
      </x:c>
      <x:c r="C470" s="43" t="str">
        <x:v>.pdf</x:v>
      </x:c>
      <x:c r="D470" s="61" t="n">
        <x:v>416852</x:v>
      </x:c>
      <x:c r="E470" s="61" t="n">
        <x:v>65</x:v>
      </x:c>
      <x:c r="F470" s="61" t="n">
        <x:v>9</x:v>
      </x:c>
    </x:row>
    <x:row r="471">
      <x:c r="A471" s="43" t="str">
        <x:v>L2025-00016-1</x:v>
      </x:c>
      <x:c r="B471" s="46" t="str">
        <x:v>L2025-00016-1/KOICA 입찰 관련 규정 및 지침/KOICA Regulations for International Procurement(▒╣┴ª┴╢┤▐▒╘┴ñ)_20190304.pdf</x:v>
      </x:c>
      <x:c r="C471" s="43" t="str">
        <x:v>.pdf</x:v>
      </x:c>
      <x:c r="D471" s="61" t="n">
        <x:v>375625</x:v>
      </x:c>
      <x:c r="E471" s="61" t="n">
        <x:v>55</x:v>
      </x:c>
      <x:c r="F471" s="61" t="n">
        <x:v>1</x:v>
      </x:c>
    </x:row>
    <x:row r="472">
      <x:c r="A472" s="43" t="str">
        <x:v>L2025-00016-1</x:v>
      </x:c>
      <x:c r="B472" s="46" t="str">
        <x:v>L2025-00016-1/KOICA 입찰 관련 규정 및 지침/Regulations for Procurement and Contract in Grant Aid Projects(┤δ┐▄╣½╗≤╟∙╖┬╗τ╛≈┐í ░ⁿ╟╤ ┴╢┤▐ ╣╫ ░Φ╛α▒╘┴ñ)_20190520.pdf</x:v>
      </x:c>
      <x:c r="C472" s="43" t="str">
        <x:v>.pdf</x:v>
      </x:c>
      <x:c r="D472" s="61" t="n">
        <x:v>157627</x:v>
      </x:c>
      <x:c r="E472" s="61" t="n">
        <x:v>33</x:v>
      </x:c>
      <x:c r="F472" s="61" t="n">
        <x:v>2</x:v>
      </x:c>
    </x:row>
    <x:row r="473">
      <x:c r="A473" s="43" t="str">
        <x:v>L2025-00016-1</x:v>
      </x:c>
      <x:c r="B473" s="46" t="str">
        <x:v>L2025-00016-1/KOICA 입찰 관련 규정 및 지침/Standard of Prequalification Criteria(└╘┬√┬ⁿ░í└┌░▌╗τ└ⁿ╜╔╗τ▒Γ┴╪)_20130116.pdf</x:v>
      </x:c>
      <x:c r="C473" s="43" t="str">
        <x:v>.pdf</x:v>
      </x:c>
      <x:c r="D473" s="61" t="n">
        <x:v>473791</x:v>
      </x:c>
      <x:c r="E473" s="61" t="n">
        <x:v>26</x:v>
      </x:c>
      <x:c r="F473" s="61" t="n">
        <x:v>1</x:v>
      </x:c>
    </x:row>
    <x:row r="474">
      <x:c r="A474" s="43" t="str">
        <x:v>L2025-00016-1</x:v>
      </x:c>
      <x:c r="B474" s="46" t="str">
        <x:v>L2025-00016-1/KOICA 입찰 관련 규정 및 지침/Standards of Qualification Examination for Selection of Constructor(╜├░°╗τ╝▒┴ñ└√░▌╜╔╗τ▒Γ┴╪)_20140403.pdf</x:v>
      </x:c>
      <x:c r="C474" s="43" t="str">
        <x:v>.pdf</x:v>
      </x:c>
      <x:c r="D474" s="61" t="n">
        <x:v>315288</x:v>
      </x:c>
      <x:c r="E474" s="61" t="n">
        <x:v>12</x:v>
      </x:c>
      <x:c r="F474" s="61" t="n">
        <x:v>0</x:v>
      </x:c>
    </x:row>
    <x:row r="475">
      <x:c r="A475" s="43" t="str">
        <x:v>L2025-00016-1</x:v>
      </x:c>
      <x:c r="B475" s="46" t="str">
        <x:v>L2025-00016-1/Section 2 - Bid Data Sheet (eng).docx</x:v>
      </x:c>
      <x:c r="C475" s="43" t="str">
        <x:v>.docx</x:v>
      </x:c>
      <x:c r="D475" s="61" t="n">
        <x:v>32819</x:v>
      </x:c>
      <x:c r="E475" s="61" t="n">
        <x:v>207</x:v>
      </x:c>
      <x:c r="F475" s="61" t="n">
        <x:v>5</x:v>
      </x:c>
    </x:row>
    <x:row r="476">
      <x:c r="A476" s="43" t="str">
        <x:v>L2025-00016-1</x:v>
      </x:c>
      <x:c r="B476" s="46" t="str">
        <x:v>L2025-00016-1/Section 3 - Bidding Forms.docx</x:v>
      </x:c>
      <x:c r="C476" s="43" t="str">
        <x:v>.docx</x:v>
      </x:c>
      <x:c r="D476" s="61" t="n">
        <x:v>34189</x:v>
      </x:c>
      <x:c r="E476" s="61" t="n">
        <x:v>284</x:v>
      </x:c>
      <x:c r="F476" s="61" t="n">
        <x:v>0</x:v>
      </x:c>
    </x:row>
    <x:row r="477">
      <x:c r="A477" s="43" t="str">
        <x:v>L2025-00016-1</x:v>
      </x:c>
      <x:c r="B477" s="46" t="str">
        <x:v>L2025-00016-1/Section 4 - BOQ_empty.xlsx</x:v>
      </x:c>
      <x:c r="C477" s="43" t="str">
        <x:v>.xlsx</x:v>
      </x:c>
      <x:c r="D477" s="61" t="n">
        <x:v>271278</x:v>
      </x:c>
      <x:c r="E477" s="61" t="n">
        <x:v>1016</x:v>
      </x:c>
      <x:c r="F477" s="61" t="n">
        <x:v>0</x:v>
      </x:c>
    </x:row>
    <x:row r="478">
      <x:c r="A478" s="43" t="str">
        <x:v>L2025-00016-1</x:v>
      </x:c>
      <x:c r="B478" s="46" t="str">
        <x:v>L2025-00016-1/Section 5 - Drawings.pptx</x:v>
      </x:c>
      <x:c r="C478" s="43" t="str">
        <x:v>.pptx</x:v>
      </x:c>
      <x:c r="D478" s="61" t="n">
        <x:v>20091177</x:v>
      </x:c>
      <x:c r="E478" s="61" t="n">
        <x:v>54</x:v>
      </x:c>
      <x:c r="F478" s="61" t="n">
        <x:v>0</x:v>
      </x:c>
    </x:row>
    <x:row r="479">
      <x:c r="A479" s="43" t="str">
        <x:v>L2025-00016-1</x:v>
      </x:c>
      <x:c r="B479" s="46" t="str">
        <x:v>L2025-00016-1/Section 6 - Sepcification.zip</x:v>
      </x:c>
      <x:c r="C479" s="43" t="str">
        <x:v>.zip</x:v>
      </x:c>
      <x:c r="D479" s="61" t="n">
        <x:v>4501707</x:v>
      </x:c>
      <x:c r="E479" s="61" t="n">
        <x:v>0</x:v>
      </x:c>
      <x:c r="F479" s="61" t="n">
        <x:v>0</x:v>
      </x:c>
    </x:row>
    <x:row r="480">
      <x:c r="A480" s="43" t="str">
        <x:v>L2025-00016-1</x:v>
      </x:c>
      <x:c r="B480" s="46" t="str">
        <x:v>L2025-00016-1/Section 6 - Sepcification/Architectural.docx</x:v>
      </x:c>
      <x:c r="C480" s="43" t="str">
        <x:v>.docx</x:v>
      </x:c>
      <x:c r="D480" s="61" t="n">
        <x:v>1105330</x:v>
      </x:c>
      <x:c r="E480" s="61" t="n">
        <x:v>5280</x:v>
      </x:c>
      <x:c r="F480" s="61" t="n">
        <x:v>0</x:v>
      </x:c>
    </x:row>
    <x:row r="481">
      <x:c r="A481" s="43" t="str">
        <x:v>L2025-00016-1</x:v>
      </x:c>
      <x:c r="B481" s="46" t="str">
        <x:v>L2025-00016-1/Section 6 - Sepcification/Electrical, Security and Communication.docx</x:v>
      </x:c>
      <x:c r="C481" s="43" t="str">
        <x:v>.docx</x:v>
      </x:c>
      <x:c r="D481" s="61" t="n">
        <x:v>3045676</x:v>
      </x:c>
      <x:c r="E481" s="61" t="n">
        <x:v>579</x:v>
      </x:c>
      <x:c r="F481" s="61" t="n">
        <x:v>1</x:v>
      </x:c>
    </x:row>
    <x:row r="482">
      <x:c r="A482" s="43" t="str">
        <x:v>L2025-00016-1</x:v>
      </x:c>
      <x:c r="B482" s="46" t="str">
        <x:v>L2025-00016-1/Section 6 - Sepcification/HVAC.docx</x:v>
      </x:c>
      <x:c r="C482" s="43" t="str">
        <x:v>.docx</x:v>
      </x:c>
      <x:c r="D482" s="61" t="n">
        <x:v>68062</x:v>
      </x:c>
      <x:c r="E482" s="61" t="n">
        <x:v>175</x:v>
      </x:c>
      <x:c r="F482" s="61" t="n">
        <x:v>0</x:v>
      </x:c>
    </x:row>
    <x:row r="483">
      <x:c r="A483" s="43" t="str">
        <x:v>L2025-00016-1</x:v>
      </x:c>
      <x:c r="B483" s="46" t="str">
        <x:v>L2025-00016-1/Section 6 - Sepcification/Hydraulic.docx</x:v>
      </x:c>
      <x:c r="C483" s="43" t="str">
        <x:v>.docx</x:v>
      </x:c>
      <x:c r="D483" s="61" t="n">
        <x:v>122772</x:v>
      </x:c>
      <x:c r="E483" s="61" t="n">
        <x:v>774</x:v>
      </x:c>
      <x:c r="F483" s="61" t="n">
        <x:v>0</x:v>
      </x:c>
    </x:row>
    <x:row r="484">
      <x:c r="A484" s="43" t="str">
        <x:v>L2025-00016-1</x:v>
      </x:c>
      <x:c r="B484" s="46" t="str">
        <x:v>L2025-00016-1/Section 6 - Sepcification/Structural.docx</x:v>
      </x:c>
      <x:c r="C484" s="43" t="str">
        <x:v>.docx</x:v>
      </x:c>
      <x:c r="D484" s="61" t="n">
        <x:v>185005</x:v>
      </x:c>
      <x:c r="E484" s="61" t="n">
        <x:v>870</x:v>
      </x:c>
      <x:c r="F484" s="61" t="n">
        <x:v>0</x:v>
      </x:c>
    </x:row>
    <x:row r="485">
      <x:c r="A485" s="43" t="str">
        <x:v>L2025-00016-1</x:v>
      </x:c>
      <x:c r="B485" s="46" t="str">
        <x:v>L2025-00016-1/Section 7 - General Conditions of Contract.docx</x:v>
      </x:c>
      <x:c r="C485" s="43" t="str">
        <x:v>.docx</x:v>
      </x:c>
      <x:c r="D485" s="61" t="n">
        <x:v>202912</x:v>
      </x:c>
      <x:c r="E485" s="61" t="n">
        <x:v>1406</x:v>
      </x:c>
      <x:c r="F485" s="61" t="n">
        <x:v>2</x:v>
      </x:c>
    </x:row>
    <x:row r="486">
      <x:c r="A486" s="43" t="str">
        <x:v>L2025-00016-1</x:v>
      </x:c>
      <x:c r="B486" s="46" t="str">
        <x:v>L2025-00016-1/Section 8 - Special Conditions of Contract.docx</x:v>
      </x:c>
      <x:c r="C486" s="43" t="str">
        <x:v>.docx</x:v>
      </x:c>
      <x:c r="D486" s="61" t="n">
        <x:v>29056</x:v>
      </x:c>
      <x:c r="E486" s="61" t="n">
        <x:v>293</x:v>
      </x:c>
      <x:c r="F486" s="61" t="n">
        <x:v>4</x:v>
      </x:c>
    </x:row>
    <x:row r="487">
      <x:c r="A487" s="43" t="str">
        <x:v>L2025-00016-1</x:v>
      </x:c>
      <x:c r="B487" s="46" t="str">
        <x:v>L2025-00016-1/Section 9 - Contract Forms.docx</x:v>
      </x:c>
      <x:c r="C487" s="43" t="str">
        <x:v>.docx</x:v>
      </x:c>
      <x:c r="D487" s="61" t="n">
        <x:v>38159</x:v>
      </x:c>
      <x:c r="E487" s="61" t="n">
        <x:v>30</x:v>
      </x:c>
      <x:c r="F487" s="61" t="n">
        <x:v>0</x:v>
      </x:c>
    </x:row>
    <x:row r="488">
      <x:c r="A488" s="43" t="str">
        <x:v>L2025-00016-1</x:v>
      </x:c>
      <x:c r="B488" s="46" t="str">
        <x:v>L2025-00016-1/Section 9 - Pledges.zip</x:v>
      </x:c>
      <x:c r="C488" s="43" t="str">
        <x:v>.zip</x:v>
      </x:c>
      <x:c r="D488" s="61" t="n">
        <x:v>69143</x:v>
      </x:c>
      <x:c r="E488" s="61" t="n">
        <x:v>0</x:v>
      </x:c>
      <x:c r="F488" s="61" t="n">
        <x:v>0</x:v>
      </x:c>
    </x:row>
    <x:row r="489">
      <x:c r="A489" s="43" t="str">
        <x:v>L2025-00016-1</x:v>
      </x:c>
      <x:c r="B489" s="46" t="str">
        <x:v>L2025-00016-1/Section 9 - Pledges/Declaration of Anti_Corruption (╣▌║╬╞╨ ╝▒╛≡╝¡).docx</x:v>
      </x:c>
      <x:c r="C489" s="43" t="str">
        <x:v>.docx</x:v>
      </x:c>
      <x:c r="D489" s="61" t="n">
        <x:v>23026</x:v>
      </x:c>
      <x:c r="E489" s="61" t="n">
        <x:v>38</x:v>
      </x:c>
      <x:c r="F489" s="61" t="n">
        <x:v>0</x:v>
      </x:c>
    </x:row>
    <x:row r="490">
      <x:c r="A490" s="43" t="str">
        <x:v>L2025-00016-1</x:v>
      </x:c>
      <x:c r="B490" s="46" t="str">
        <x:v>L2025-00016-1/Section 9 - Pledges/Fair Contract Pledge Letter (░°┴ñ░Φ╛α ╝¡╛α╝¡).docx</x:v>
      </x:c>
      <x:c r="C490" s="43" t="str">
        <x:v>.docx</x:v>
      </x:c>
      <x:c r="D490" s="61" t="n">
        <x:v>18756</x:v>
      </x:c>
      <x:c r="E490" s="61" t="n">
        <x:v>20</x:v>
      </x:c>
      <x:c r="F490" s="61" t="n">
        <x:v>0</x:v>
      </x:c>
    </x:row>
    <x:row r="491">
      <x:c r="A491" s="43" t="str">
        <x:v>L2025-00016-1</x:v>
      </x:c>
      <x:c r="B491" s="46" t="str">
        <x:v>L2025-00016-1/Section 9 - Pledges/Integrity Pledge (├╗╖┼░Φ╛α╝¡).docx</x:v>
      </x:c>
      <x:c r="C491" s="43" t="str">
        <x:v>.docx</x:v>
      </x:c>
      <x:c r="D491" s="61" t="n">
        <x:v>36507</x:v>
      </x:c>
      <x:c r="E491" s="61" t="n">
        <x:v>17</x:v>
      </x:c>
      <x:c r="F491" s="61" t="n">
        <x:v>0</x:v>
      </x:c>
    </x:row>
    <x:row r="492">
      <x:c r="A492" s="43" t="str">
        <x:v>L2025-00014-1</x:v>
      </x:c>
      <x:c r="B492" s="46" t="str">
        <x:v>L2025-00014-1/Bid Invitation_NTU Construction Supervision.jpg</x:v>
      </x:c>
      <x:c r="C492" s="43" t="str">
        <x:v>.jpg</x:v>
      </x:c>
      <x:c r="D492" s="61" t="n">
        <x:v>421245</x:v>
      </x:c>
      <x:c r="E492" s="61" t="n">
        <x:v>0</x:v>
      </x:c>
      <x:c r="F492" s="61" t="n">
        <x:v>0</x:v>
      </x:c>
    </x:row>
    <x:row r="493">
      <x:c r="A493" s="43" t="str">
        <x:v>L2025-00014-1</x:v>
      </x:c>
      <x:c r="B493" s="46" t="str">
        <x:v>L2025-00014-1/Section 1-Instruction for Bidder(ITB).docx</x:v>
      </x:c>
      <x:c r="C493" s="43" t="str">
        <x:v>.docx</x:v>
      </x:c>
      <x:c r="D493" s="61" t="n">
        <x:v>43947</x:v>
      </x:c>
      <x:c r="E493" s="61" t="n">
        <x:v>165</x:v>
      </x:c>
      <x:c r="F493" s="61" t="n">
        <x:v>0</x:v>
      </x:c>
    </x:row>
    <x:row r="494">
      <x:c r="A494" s="43" t="str">
        <x:v>L2025-00014-1</x:v>
      </x:c>
      <x:c r="B494" s="46" t="str">
        <x:v>L2025-00014-1/Section 10-Pledges.zip</x:v>
      </x:c>
      <x:c r="C494" s="43" t="str">
        <x:v>.zip</x:v>
      </x:c>
      <x:c r="D494" s="61" t="n">
        <x:v>98959</x:v>
      </x:c>
      <x:c r="E494" s="61" t="n">
        <x:v>0</x:v>
      </x:c>
      <x:c r="F494" s="61" t="n">
        <x:v>0</x:v>
      </x:c>
    </x:row>
    <x:row r="495">
      <x:c r="A495" s="43" t="str">
        <x:v>L2025-00014-1</x:v>
      </x:c>
      <x:c r="B495" s="46" t="str">
        <x:v>L2025-00014-1/Section 10-Pledges/Section 10 - Pledges/1. Sworn Statement on Company Being a Non-Blacklisted Entity.docx</x:v>
      </x:c>
      <x:c r="C495" s="43" t="str">
        <x:v>.docx</x:v>
      </x:c>
      <x:c r="D495" s="61" t="n">
        <x:v>18245</x:v>
      </x:c>
      <x:c r="E495" s="61" t="n">
        <x:v>13</x:v>
      </x:c>
      <x:c r="F495" s="61" t="n">
        <x:v>0</x:v>
      </x:c>
    </x:row>
    <x:row r="496">
      <x:c r="A496" s="43" t="str">
        <x:v>L2025-00014-1</x:v>
      </x:c>
      <x:c r="B496" s="46" t="str">
        <x:v>L2025-00014-1/Section 10-Pledges/Section 10 - Pledges/2. Declaration of Anti_Corruption.docx</x:v>
      </x:c>
      <x:c r="C496" s="43" t="str">
        <x:v>.docx</x:v>
      </x:c>
      <x:c r="D496" s="61" t="n">
        <x:v>20916</x:v>
      </x:c>
      <x:c r="E496" s="61" t="n">
        <x:v>27</x:v>
      </x:c>
      <x:c r="F496" s="61" t="n">
        <x:v>0</x:v>
      </x:c>
    </x:row>
    <x:row r="497">
      <x:c r="A497" s="43" t="str">
        <x:v>L2025-00014-1</x:v>
      </x:c>
      <x:c r="B497" s="46" t="str">
        <x:v>L2025-00014-1/Section 10-Pledges/Section 10 - Pledges/3. Integrity Pledge.docx</x:v>
      </x:c>
      <x:c r="C497" s="43" t="str">
        <x:v>.docx</x:v>
      </x:c>
      <x:c r="D497" s="61" t="n">
        <x:v>36507</x:v>
      </x:c>
      <x:c r="E497" s="61" t="n">
        <x:v>17</x:v>
      </x:c>
      <x:c r="F497" s="61" t="n">
        <x:v>0</x:v>
      </x:c>
    </x:row>
    <x:row r="498">
      <x:c r="A498" s="43" t="str">
        <x:v>L2025-00014-1</x:v>
      </x:c>
      <x:c r="B498" s="46" t="str">
        <x:v>L2025-00014-1/Section 10-Pledges/Section 10 - Pledges/4. Fair Contract Pledge Letter.docx</x:v>
      </x:c>
      <x:c r="C498" s="43" t="str">
        <x:v>.docx</x:v>
      </x:c>
      <x:c r="D498" s="61" t="n">
        <x:v>18338</x:v>
      </x:c>
      <x:c r="E498" s="61" t="n">
        <x:v>11</x:v>
      </x:c>
      <x:c r="F498" s="61" t="n">
        <x:v>0</x:v>
      </x:c>
    </x:row>
    <x:row r="499">
      <x:c r="A499" s="43" t="str">
        <x:v>L2025-00014-1</x:v>
      </x:c>
      <x:c r="B499" s="46" t="str">
        <x:v>L2025-00014-1/Section 10-Pledges/Section 10 - Pledges/5. Action Pledge to Integrate Human Rights into Business Management.DOC</x:v>
      </x:c>
      <x:c r="C499" s="43" t="str">
        <x:v>.doc</x:v>
      </x:c>
      <x:c r="D499" s="61" t="n">
        <x:v>19967</x:v>
      </x:c>
      <x:c r="E499" s="61" t="n">
        <x:v>15</x:v>
      </x:c>
      <x:c r="F499" s="61" t="n">
        <x:v>0</x:v>
      </x:c>
    </x:row>
    <x:row r="500">
      <x:c r="A500" s="43" t="str">
        <x:v>L2025-00014-1</x:v>
      </x:c>
      <x:c r="B500" s="46" t="str">
        <x:v>L2025-00014-1/Section 2-Bid Data Sheet.docx</x:v>
      </x:c>
      <x:c r="C500" s="43" t="str">
        <x:v>.docx</x:v>
      </x:c>
      <x:c r="D500" s="61" t="n">
        <x:v>70880</x:v>
      </x:c>
      <x:c r="E500" s="61" t="n">
        <x:v>263</x:v>
      </x:c>
      <x:c r="F500" s="61" t="n">
        <x:v>4</x:v>
      </x:c>
    </x:row>
    <x:row r="501">
      <x:c r="A501" s="43" t="str">
        <x:v>L2025-00014-1</x:v>
      </x:c>
      <x:c r="B501" s="46" t="str">
        <x:v>L2025-00014-1/Section 2-입찰공고문(국문)_섬유센터 감리.pdf</x:v>
      </x:c>
      <x:c r="C501" s="43" t="str">
        <x:v>.pdf</x:v>
      </x:c>
      <x:c r="D501" s="61" t="n">
        <x:v>278637</x:v>
      </x:c>
      <x:c r="E501" s="61" t="n">
        <x:v>17</x:v>
      </x:c>
      <x:c r="F501" s="61" t="n">
        <x:v>5</x:v>
      </x:c>
    </x:row>
    <x:row r="502">
      <x:c r="A502" s="43" t="str">
        <x:v>L2025-00014-1</x:v>
      </x:c>
      <x:c r="B502" s="46" t="str">
        <x:v>L2025-00014-1/Section 3-Bidding Forms.docx</x:v>
      </x:c>
      <x:c r="C502" s="43" t="str">
        <x:v>.docx</x:v>
      </x:c>
      <x:c r="D502" s="61" t="n">
        <x:v>62194</x:v>
      </x:c>
      <x:c r="E502" s="61" t="n">
        <x:v>213</x:v>
      </x:c>
      <x:c r="F502" s="61" t="n">
        <x:v>0</x:v>
      </x:c>
    </x:row>
    <x:row r="503">
      <x:c r="A503" s="43" t="str">
        <x:v>L2025-00014-1</x:v>
      </x:c>
      <x:c r="B503" s="46" t="str">
        <x:v>L2025-00014-1/Section 4-Bill Of Quantity.xls</x:v>
      </x:c>
      <x:c r="C503" s="43" t="str">
        <x:v>.xls</x:v>
      </x:c>
      <x:c r="D503" s="61" t="n">
        <x:v>470528</x:v>
      </x:c>
      <x:c r="E503" s="61" t="n">
        <x:v>1226</x:v>
      </x:c>
      <x:c r="F503" s="61" t="n">
        <x:v>0</x:v>
      </x:c>
    </x:row>
    <x:row r="504">
      <x:c r="A504" s="43" t="str">
        <x:v>L2025-00014-1</x:v>
      </x:c>
      <x:c r="B504" s="46" t="str">
        <x:v>L2025-00014-1/Section 5-Terms of Reference for Construction Supervison.doc</x:v>
      </x:c>
      <x:c r="C504" s="43" t="str">
        <x:v>.doc</x:v>
      </x:c>
      <x:c r="D504" s="61" t="n">
        <x:v>206848</x:v>
      </x:c>
      <x:c r="E504" s="61" t="n">
        <x:v>36</x:v>
      </x:c>
      <x:c r="F504" s="61" t="n">
        <x:v>0</x:v>
      </x:c>
    </x:row>
    <x:row r="505">
      <x:c r="A505" s="43" t="str">
        <x:v>L2025-00014-1</x:v>
      </x:c>
      <x:c r="B505" s="46" t="str">
        <x:v>L2025-00014-1/Section 7-General Conditions of Cotnract.docx</x:v>
      </x:c>
      <x:c r="C505" s="43" t="str">
        <x:v>.docx</x:v>
      </x:c>
      <x:c r="D505" s="61" t="n">
        <x:v>211023</x:v>
      </x:c>
      <x:c r="E505" s="61" t="n">
        <x:v>1436</x:v>
      </x:c>
      <x:c r="F505" s="61" t="n">
        <x:v>2</x:v>
      </x:c>
    </x:row>
    <x:row r="506">
      <x:c r="A506" s="43" t="str">
        <x:v>L2025-00014-1</x:v>
      </x:c>
      <x:c r="B506" s="46" t="str">
        <x:v>L2025-00014-1/Section 8-Special Conditions of Contract-게시.docx</x:v>
      </x:c>
      <x:c r="C506" s="43" t="str">
        <x:v>.docx</x:v>
      </x:c>
      <x:c r="D506" s="61" t="n">
        <x:v>31683</x:v>
      </x:c>
      <x:c r="E506" s="61" t="n">
        <x:v>37</x:v>
      </x:c>
      <x:c r="F506" s="61" t="n">
        <x:v>1</x:v>
      </x:c>
    </x:row>
    <x:row r="507">
      <x:c r="A507" s="43" t="str">
        <x:v>L2025-00014-1</x:v>
      </x:c>
      <x:c r="B507" s="46" t="str">
        <x:v>L2025-00014-1/Section 9-Contract Cover Form.docx</x:v>
      </x:c>
      <x:c r="C507" s="43" t="str">
        <x:v>.docx</x:v>
      </x:c>
      <x:c r="D507" s="61" t="n">
        <x:v>35487</x:v>
      </x:c>
      <x:c r="E507" s="61" t="n">
        <x:v>2</x:v>
      </x:c>
      <x:c r="F507" s="61" t="n">
        <x:v>0</x:v>
      </x:c>
    </x:row>
    <x:row r="508">
      <x:c r="A508" s="43" t="str">
        <x:v>L2025-00012-2</x:v>
      </x:c>
      <x:c r="B508" s="46" t="str">
        <x:v>L2025-00012-2/(붙임1-2) 영문입찰계획서_Q-Lab_Chacala_Bid Data Sheet (BDS)_20250502.docx</x:v>
      </x:c>
      <x:c r="C508" s="43" t="str">
        <x:v>.docx</x:v>
      </x:c>
      <x:c r="D508" s="61" t="n">
        <x:v>275433</x:v>
      </x:c>
      <x:c r="E508" s="61" t="n">
        <x:v>191</x:v>
      </x:c>
      <x:c r="F508" s="61" t="n">
        <x:v>6</x:v>
      </x:c>
    </x:row>
    <x:row r="509">
      <x:c r="A509" s="43" t="str">
        <x:v>L2025-00012-2</x:v>
      </x:c>
      <x:c r="B509" s="46" t="str">
        <x:v>L2025-00012-2/(붙임2) 입찰 관련 부속서류.zip</x:v>
      </x:c>
      <x:c r="C509" s="43" t="str">
        <x:v>.zip</x:v>
      </x:c>
      <x:c r="D509" s="61" t="n">
        <x:v>47837224</x:v>
      </x:c>
      <x:c r="E509" s="61" t="n">
        <x:v>0</x:v>
      </x:c>
      <x:c r="F509" s="61" t="n">
        <x:v>0</x:v>
      </x:c>
    </x:row>
    <x:row r="510">
      <x:c r="A510" s="43" t="str">
        <x:v>L2025-00012-2</x:v>
      </x:c>
      <x:c r="B510" s="46" t="str">
        <x:v>L2025-00012-2/(붙임2) 입찰 관련 부속서류/Q-Lab_Chacala_Bidding Doc/Attachment01_Pledges.zip</x:v>
      </x:c>
      <x:c r="C510" s="43" t="str">
        <x:v>.zip</x:v>
      </x:c>
      <x:c r="D510" s="61" t="n">
        <x:v>69219</x:v>
      </x:c>
      <x:c r="E510" s="61" t="n">
        <x:v>0</x:v>
      </x:c>
      <x:c r="F510" s="61" t="n">
        <x:v>0</x:v>
      </x:c>
    </x:row>
    <x:row r="511">
      <x:c r="A511" s="43" t="str">
        <x:v>L2025-00012-2</x:v>
      </x:c>
      <x:c r="B511" s="46" t="str">
        <x:v>L2025-00012-2/(붙임2) 입찰 관련 부속서류/Q-Lab_Chacala_Bidding Doc/Attachment02_KOICA Bidding Regulations and Guidelines.zip</x:v>
      </x:c>
      <x:c r="C511" s="43" t="str">
        <x:v>.zip</x:v>
      </x:c>
      <x:c r="D511" s="61" t="n">
        <x:v>1740841</x:v>
      </x:c>
      <x:c r="E511" s="61" t="n">
        <x:v>0</x:v>
      </x:c>
      <x:c r="F511" s="61" t="n">
        <x:v>0</x:v>
      </x:c>
    </x:row>
    <x:row r="512">
      <x:c r="A512" s="43" t="str">
        <x:v>L2025-00012-2</x:v>
      </x:c>
      <x:c r="B512" s="46" t="str">
        <x:v>L2025-00012-2/(붙임2) 입찰 관련 부속서류/Q-Lab_Chacala_Bidding Doc/Section 1. Q-Lab_Chacala_Instructions to Bidders (ITB).docx</x:v>
      </x:c>
      <x:c r="C512" s="43" t="str">
        <x:v>.docx</x:v>
      </x:c>
      <x:c r="D512" s="61" t="n">
        <x:v>36085</x:v>
      </x:c>
      <x:c r="E512" s="61" t="n">
        <x:v>165</x:v>
      </x:c>
      <x:c r="F512" s="61" t="n">
        <x:v>0</x:v>
      </x:c>
    </x:row>
    <x:row r="513">
      <x:c r="A513" s="43" t="str">
        <x:v>L2025-00012-2</x:v>
      </x:c>
      <x:c r="B513" s="46" t="str">
        <x:v>L2025-00012-2/(붙임2) 입찰 관련 부속서류/Q-Lab_Chacala_Bidding Doc/Section 2._Q-Lab_Chacala_Bid Data Sheet (BDS)_20250502.docx</x:v>
      </x:c>
      <x:c r="C513" s="43" t="str">
        <x:v>.docx</x:v>
      </x:c>
      <x:c r="D513" s="61" t="n">
        <x:v>275433</x:v>
      </x:c>
      <x:c r="E513" s="61" t="n">
        <x:v>191</x:v>
      </x:c>
      <x:c r="F513" s="61" t="n">
        <x:v>6</x:v>
      </x:c>
    </x:row>
    <x:row r="514">
      <x:c r="A514" s="43" t="str">
        <x:v>L2025-00012-2</x:v>
      </x:c>
      <x:c r="B514" s="46" t="str">
        <x:v>L2025-00012-2/(붙임2) 입찰 관련 부속서류/Q-Lab_Chacala_Bidding Doc/Section 3. Q-Lab_Chacala_Bidding Forms.docx</x:v>
      </x:c>
      <x:c r="C514" s="43" t="str">
        <x:v>.docx</x:v>
      </x:c>
      <x:c r="D514" s="61" t="n">
        <x:v>51086</x:v>
      </x:c>
      <x:c r="E514" s="61" t="n">
        <x:v>235</x:v>
      </x:c>
      <x:c r="F514" s="61" t="n">
        <x:v>0</x:v>
      </x:c>
    </x:row>
    <x:row r="515">
      <x:c r="A515" s="43" t="str">
        <x:v>L2025-00012-2</x:v>
      </x:c>
      <x:c r="B515" s="46" t="str">
        <x:v>L2025-00012-2/(붙임2) 입찰 관련 부속서류/Q-Lab_Chacala_Bidding Doc/Section 4. Q-Lab_Chacala_BOQ_blanked.zip</x:v>
      </x:c>
      <x:c r="C515" s="43" t="str">
        <x:v>.zip</x:v>
      </x:c>
      <x:c r="D515" s="61" t="n">
        <x:v>6318089</x:v>
      </x:c>
      <x:c r="E515" s="61" t="n">
        <x:v>0</x:v>
      </x:c>
      <x:c r="F515" s="61" t="n">
        <x:v>0</x:v>
      </x:c>
    </x:row>
    <x:row r="516">
      <x:c r="A516" s="43" t="str">
        <x:v>L2025-00012-2</x:v>
      </x:c>
      <x:c r="B516" s="46" t="str">
        <x:v>L2025-00012-2/(붙임2) 입찰 관련 부속서류/Q-Lab_Chacala_Bidding Doc/Section 5. Q-Lab_Chacala_Q-Lab_DWG.zip</x:v>
      </x:c>
      <x:c r="C516" s="43" t="str">
        <x:v>.zip</x:v>
      </x:c>
      <x:c r="D516" s="61" t="n">
        <x:v>12315238</x:v>
      </x:c>
      <x:c r="E516" s="61" t="n">
        <x:v>0</x:v>
      </x:c>
      <x:c r="F516" s="61" t="n">
        <x:v>0</x:v>
      </x:c>
    </x:row>
    <x:row r="517">
      <x:c r="A517" s="43" t="str">
        <x:v>L2025-00012-2</x:v>
      </x:c>
      <x:c r="B517" s="46" t="str">
        <x:v>L2025-00012-2/(붙임2) 입찰 관련 부속서류/Q-Lab_Chacala_Bidding Doc/Section 6. Q-Lab_Chacala_Q-Lab_Technical Specification.zip</x:v>
      </x:c>
      <x:c r="C517" s="43" t="str">
        <x:v>.zip</x:v>
      </x:c>
      <x:c r="D517" s="61" t="n">
        <x:v>26806734</x:v>
      </x:c>
      <x:c r="E517" s="61" t="n">
        <x:v>0</x:v>
      </x:c>
      <x:c r="F517" s="61" t="n">
        <x:v>0</x:v>
      </x:c>
    </x:row>
    <x:row r="518">
      <x:c r="A518" s="43" t="str">
        <x:v>L2025-00012-2</x:v>
      </x:c>
      <x:c r="B518" s="46" t="str">
        <x:v>L2025-00012-2/(붙임2) 입찰 관련 부속서류/Q-Lab_Chacala_Bidding Doc/Section 7. Q-Lab_Chacala_General Conditions of Contract.docx</x:v>
      </x:c>
      <x:c r="C518" s="43" t="str">
        <x:v>.docx</x:v>
      </x:c>
      <x:c r="D518" s="61" t="n">
        <x:v>205115</x:v>
      </x:c>
      <x:c r="E518" s="61" t="n">
        <x:v>1406</x:v>
      </x:c>
      <x:c r="F518" s="61" t="n">
        <x:v>2</x:v>
      </x:c>
    </x:row>
    <x:row r="519">
      <x:c r="A519" s="43" t="str">
        <x:v>L2025-00012-2</x:v>
      </x:c>
      <x:c r="B519" s="46" t="str">
        <x:v>L2025-00012-2/(붙임2) 입찰 관련 부속서류/Q-Lab_Chacala_Bidding Doc/Section 8. Q-Lab_Chacala_Specail Conditions of Contract.docx</x:v>
      </x:c>
      <x:c r="C519" s="43" t="str">
        <x:v>.docx</x:v>
      </x:c>
      <x:c r="D519" s="61" t="n">
        <x:v>65954</x:v>
      </x:c>
      <x:c r="E519" s="61" t="n">
        <x:v>291</x:v>
      </x:c>
      <x:c r="F519" s="61" t="n">
        <x:v>3</x:v>
      </x:c>
    </x:row>
    <x:row r="520">
      <x:c r="A520" s="43" t="str">
        <x:v>L2025-00012-2</x:v>
      </x:c>
      <x:c r="B520" s="46" t="str">
        <x:v>L2025-00012-2/(붙임2) 입찰 관련 부속서류/Q-Lab_Chacala_Bidding Doc/Section 9. Q-Lab_Chacala_Contract Forms.docx</x:v>
      </x:c>
      <x:c r="C520" s="43" t="str">
        <x:v>.docx</x:v>
      </x:c>
      <x:c r="D520" s="61" t="n">
        <x:v>40342</x:v>
      </x:c>
      <x:c r="E520" s="61" t="n">
        <x:v>30</x:v>
      </x:c>
      <x:c r="F520" s="61" t="n">
        <x:v>0</x:v>
      </x:c>
    </x:row>
    <x:row r="521">
      <x:c r="A521" s="43" t="str">
        <x:v>L2025-00012-1</x:v>
      </x:c>
      <x:c r="B521" s="46" t="str">
        <x:v>L2025-00012-1/(붙임1-2) 영문입찰계획서_Q-Lab_Chacala_Bid Data Sheet (BDS)_20250502.docx</x:v>
      </x:c>
      <x:c r="C521" s="43" t="str">
        <x:v>.docx</x:v>
      </x:c>
      <x:c r="D521" s="61" t="n">
        <x:v>275433</x:v>
      </x:c>
      <x:c r="E521" s="61" t="n">
        <x:v>191</x:v>
      </x:c>
      <x:c r="F521" s="61" t="n">
        <x:v>6</x:v>
      </x:c>
    </x:row>
    <x:row r="522">
      <x:c r="A522" s="43" t="str">
        <x:v>L2025-00012-1</x:v>
      </x:c>
      <x:c r="B522" s="46" t="str">
        <x:v>L2025-00012-1/(붙임2) 입찰 관련 부속서류.zip</x:v>
      </x:c>
      <x:c r="C522" s="43" t="str">
        <x:v>.zip</x:v>
      </x:c>
      <x:c r="D522" s="61" t="n">
        <x:v>47837224</x:v>
      </x:c>
      <x:c r="E522" s="61" t="n">
        <x:v>0</x:v>
      </x:c>
      <x:c r="F522" s="61" t="n">
        <x:v>0</x:v>
      </x:c>
    </x:row>
    <x:row r="523">
      <x:c r="A523" s="43" t="str">
        <x:v>L2025-00012-1</x:v>
      </x:c>
      <x:c r="B523" s="46" t="str">
        <x:v>L2025-00012-1/(붙임2) 입찰 관련 부속서류/Q-Lab_Chacala_Bidding Doc/Attachment01_Pledges.zip</x:v>
      </x:c>
      <x:c r="C523" s="43" t="str">
        <x:v>.zip</x:v>
      </x:c>
      <x:c r="D523" s="61" t="n">
        <x:v>69219</x:v>
      </x:c>
      <x:c r="E523" s="61" t="n">
        <x:v>0</x:v>
      </x:c>
      <x:c r="F523" s="61" t="n">
        <x:v>0</x:v>
      </x:c>
    </x:row>
    <x:row r="524">
      <x:c r="A524" s="43" t="str">
        <x:v>L2025-00012-1</x:v>
      </x:c>
      <x:c r="B524" s="46" t="str">
        <x:v>L2025-00012-1/(붙임2) 입찰 관련 부속서류/Q-Lab_Chacala_Bidding Doc/Attachment02_KOICA Bidding Regulations and Guidelines.zip</x:v>
      </x:c>
      <x:c r="C524" s="43" t="str">
        <x:v>.zip</x:v>
      </x:c>
      <x:c r="D524" s="61" t="n">
        <x:v>1740841</x:v>
      </x:c>
      <x:c r="E524" s="61" t="n">
        <x:v>0</x:v>
      </x:c>
      <x:c r="F524" s="61" t="n">
        <x:v>0</x:v>
      </x:c>
    </x:row>
    <x:row r="525">
      <x:c r="A525" s="43" t="str">
        <x:v>L2025-00012-1</x:v>
      </x:c>
      <x:c r="B525" s="46" t="str">
        <x:v>L2025-00012-1/(붙임2) 입찰 관련 부속서류/Q-Lab_Chacala_Bidding Doc/Section 1. Q-Lab_Chacala_Instructions to Bidders (ITB).docx</x:v>
      </x:c>
      <x:c r="C525" s="43" t="str">
        <x:v>.docx</x:v>
      </x:c>
      <x:c r="D525" s="61" t="n">
        <x:v>36085</x:v>
      </x:c>
      <x:c r="E525" s="61" t="n">
        <x:v>165</x:v>
      </x:c>
      <x:c r="F525" s="61" t="n">
        <x:v>0</x:v>
      </x:c>
    </x:row>
    <x:row r="526">
      <x:c r="A526" s="43" t="str">
        <x:v>L2025-00012-1</x:v>
      </x:c>
      <x:c r="B526" s="46" t="str">
        <x:v>L2025-00012-1/(붙임2) 입찰 관련 부속서류/Q-Lab_Chacala_Bidding Doc/Section 2._Q-Lab_Chacala_Bid Data Sheet (BDS)_20250502.docx</x:v>
      </x:c>
      <x:c r="C526" s="43" t="str">
        <x:v>.docx</x:v>
      </x:c>
      <x:c r="D526" s="61" t="n">
        <x:v>275433</x:v>
      </x:c>
      <x:c r="E526" s="61" t="n">
        <x:v>191</x:v>
      </x:c>
      <x:c r="F526" s="61" t="n">
        <x:v>6</x:v>
      </x:c>
    </x:row>
    <x:row r="527">
      <x:c r="A527" s="43" t="str">
        <x:v>L2025-00012-1</x:v>
      </x:c>
      <x:c r="B527" s="46" t="str">
        <x:v>L2025-00012-1/(붙임2) 입찰 관련 부속서류/Q-Lab_Chacala_Bidding Doc/Section 3. Q-Lab_Chacala_Bidding Forms.docx</x:v>
      </x:c>
      <x:c r="C527" s="43" t="str">
        <x:v>.docx</x:v>
      </x:c>
      <x:c r="D527" s="61" t="n">
        <x:v>51086</x:v>
      </x:c>
      <x:c r="E527" s="61" t="n">
        <x:v>235</x:v>
      </x:c>
      <x:c r="F527" s="61" t="n">
        <x:v>0</x:v>
      </x:c>
    </x:row>
    <x:row r="528">
      <x:c r="A528" s="43" t="str">
        <x:v>L2025-00012-1</x:v>
      </x:c>
      <x:c r="B528" s="46" t="str">
        <x:v>L2025-00012-1/(붙임2) 입찰 관련 부속서류/Q-Lab_Chacala_Bidding Doc/Section 4. Q-Lab_Chacala_BOQ_blanked.zip</x:v>
      </x:c>
      <x:c r="C528" s="43" t="str">
        <x:v>.zip</x:v>
      </x:c>
      <x:c r="D528" s="61" t="n">
        <x:v>6318089</x:v>
      </x:c>
      <x:c r="E528" s="61" t="n">
        <x:v>0</x:v>
      </x:c>
      <x:c r="F528" s="61" t="n">
        <x:v>0</x:v>
      </x:c>
    </x:row>
    <x:row r="529">
      <x:c r="A529" s="43" t="str">
        <x:v>L2025-00012-1</x:v>
      </x:c>
      <x:c r="B529" s="46" t="str">
        <x:v>L2025-00012-1/(붙임2) 입찰 관련 부속서류/Q-Lab_Chacala_Bidding Doc/Section 5. Q-Lab_Chacala_Q-Lab_DWG.zip</x:v>
      </x:c>
      <x:c r="C529" s="43" t="str">
        <x:v>.zip</x:v>
      </x:c>
      <x:c r="D529" s="61" t="n">
        <x:v>12315238</x:v>
      </x:c>
      <x:c r="E529" s="61" t="n">
        <x:v>0</x:v>
      </x:c>
      <x:c r="F529" s="61" t="n">
        <x:v>0</x:v>
      </x:c>
    </x:row>
    <x:row r="530">
      <x:c r="A530" s="43" t="str">
        <x:v>L2025-00012-1</x:v>
      </x:c>
      <x:c r="B530" s="46" t="str">
        <x:v>L2025-00012-1/(붙임2) 입찰 관련 부속서류/Q-Lab_Chacala_Bidding Doc/Section 6. Q-Lab_Chacala_Q-Lab_Technical Specification.zip</x:v>
      </x:c>
      <x:c r="C530" s="43" t="str">
        <x:v>.zip</x:v>
      </x:c>
      <x:c r="D530" s="61" t="n">
        <x:v>26806734</x:v>
      </x:c>
      <x:c r="E530" s="61" t="n">
        <x:v>0</x:v>
      </x:c>
      <x:c r="F530" s="61" t="n">
        <x:v>0</x:v>
      </x:c>
    </x:row>
    <x:row r="531">
      <x:c r="A531" s="43" t="str">
        <x:v>L2025-00012-1</x:v>
      </x:c>
      <x:c r="B531" s="46" t="str">
        <x:v>L2025-00012-1/(붙임2) 입찰 관련 부속서류/Q-Lab_Chacala_Bidding Doc/Section 7. Q-Lab_Chacala_General Conditions of Contract.docx</x:v>
      </x:c>
      <x:c r="C531" s="43" t="str">
        <x:v>.docx</x:v>
      </x:c>
      <x:c r="D531" s="61" t="n">
        <x:v>205115</x:v>
      </x:c>
      <x:c r="E531" s="61" t="n">
        <x:v>1406</x:v>
      </x:c>
      <x:c r="F531" s="61" t="n">
        <x:v>2</x:v>
      </x:c>
    </x:row>
    <x:row r="532">
      <x:c r="A532" s="43" t="str">
        <x:v>L2025-00012-1</x:v>
      </x:c>
      <x:c r="B532" s="46" t="str">
        <x:v>L2025-00012-1/(붙임2) 입찰 관련 부속서류/Q-Lab_Chacala_Bidding Doc/Section 8. Q-Lab_Chacala_Specail Conditions of Contract.docx</x:v>
      </x:c>
      <x:c r="C532" s="43" t="str">
        <x:v>.docx</x:v>
      </x:c>
      <x:c r="D532" s="61" t="n">
        <x:v>65954</x:v>
      </x:c>
      <x:c r="E532" s="61" t="n">
        <x:v>291</x:v>
      </x:c>
      <x:c r="F532" s="61" t="n">
        <x:v>3</x:v>
      </x:c>
    </x:row>
    <x:row r="533">
      <x:c r="A533" s="43" t="str">
        <x:v>L2025-00012-1</x:v>
      </x:c>
      <x:c r="B533" s="46" t="str">
        <x:v>L2025-00012-1/(붙임2) 입찰 관련 부속서류/Q-Lab_Chacala_Bidding Doc/Section 9. Q-Lab_Chacala_Contract Forms.docx</x:v>
      </x:c>
      <x:c r="C533" s="43" t="str">
        <x:v>.docx</x:v>
      </x:c>
      <x:c r="D533" s="61" t="n">
        <x:v>40342</x:v>
      </x:c>
      <x:c r="E533" s="61" t="n">
        <x:v>30</x:v>
      </x:c>
      <x:c r="F533" s="61" t="n">
        <x:v>0</x:v>
      </x:c>
    </x:row>
    <x:row r="534">
      <x:c r="A534" s="43" t="str">
        <x:v>L2025-00011-1</x:v>
      </x:c>
      <x:c r="B534" s="46" t="str">
        <x:v>L2025-00011-1/1. Section 2 - Bid Data Sheet (국문) (수정).hwp</x:v>
      </x:c>
      <x:c r="C534" s="43" t="str">
        <x:v>.hwp</x:v>
      </x:c>
      <x:c r="D534" s="61" t="n">
        <x:v>63488</x:v>
      </x:c>
      <x:c r="E534" s="61" t="n">
        <x:v>428</x:v>
      </x:c>
      <x:c r="F534" s="61" t="n">
        <x:v>3</x:v>
      </x:c>
    </x:row>
    <x:row r="535">
      <x:c r="A535" s="43" t="str">
        <x:v>L2025-00011-1</x:v>
      </x:c>
      <x:c r="B535" s="46" t="str">
        <x:v>L2025-00011-1/2. 영문 입찰서류(수정).zip</x:v>
      </x:c>
      <x:c r="C535" s="43" t="str">
        <x:v>.zip</x:v>
      </x:c>
      <x:c r="D535" s="61" t="n">
        <x:v>868648</x:v>
      </x:c>
      <x:c r="E535" s="61" t="n">
        <x:v>0</x:v>
      </x:c>
      <x:c r="F535" s="61" t="n">
        <x:v>0</x:v>
      </x:c>
    </x:row>
    <x:row r="536">
      <x:c r="A536" s="43" t="str">
        <x:v>L2025-00011-1</x:v>
      </x:c>
      <x:c r="B536" s="46" t="str">
        <x:v>L2025-00011-1/2. 영문 입찰서류(수정)/Section 1- Instruction for Bidder(ITB).docx</x:v>
      </x:c>
      <x:c r="C536" s="43" t="str">
        <x:v>.docx</x:v>
      </x:c>
      <x:c r="D536" s="61" t="n">
        <x:v>42610</x:v>
      </x:c>
      <x:c r="E536" s="61" t="n">
        <x:v>165</x:v>
      </x:c>
      <x:c r="F536" s="61" t="n">
        <x:v>0</x:v>
      </x:c>
    </x:row>
    <x:row r="537">
      <x:c r="A537" s="43" t="str">
        <x:v>L2025-00011-1</x:v>
      </x:c>
      <x:c r="B537" s="46" t="str">
        <x:v>L2025-00011-1/2. 영문 입찰서류(수정)/Section 10 - Pledges.zip</x:v>
      </x:c>
      <x:c r="C537" s="43" t="str">
        <x:v>.zip</x:v>
      </x:c>
      <x:c r="D537" s="61" t="n">
        <x:v>98959</x:v>
      </x:c>
      <x:c r="E537" s="61" t="n">
        <x:v>0</x:v>
      </x:c>
      <x:c r="F537" s="61" t="n">
        <x:v>0</x:v>
      </x:c>
    </x:row>
    <x:row r="538">
      <x:c r="A538" s="43" t="str">
        <x:v>L2025-00011-1</x:v>
      </x:c>
      <x:c r="B538" s="46" t="str">
        <x:v>L2025-00011-1/2. 영문 입찰서류(수정)/Section 2 - Bid Data Sheet.docx</x:v>
      </x:c>
      <x:c r="C538" s="43" t="str">
        <x:v>.docx</x:v>
      </x:c>
      <x:c r="D538" s="61" t="n">
        <x:v>62517</x:v>
      </x:c>
      <x:c r="E538" s="61" t="n">
        <x:v>225</x:v>
      </x:c>
      <x:c r="F538" s="61" t="n">
        <x:v>6</x:v>
      </x:c>
    </x:row>
    <x:row r="539">
      <x:c r="A539" s="43" t="str">
        <x:v>L2025-00011-1</x:v>
      </x:c>
      <x:c r="B539" s="46" t="str">
        <x:v>L2025-00011-1/2. 영문 입찰서류(수정)/Section 3 - Bidding Forms.docx</x:v>
      </x:c>
      <x:c r="C539" s="43" t="str">
        <x:v>.docx</x:v>
      </x:c>
      <x:c r="D539" s="61" t="n">
        <x:v>34599</x:v>
      </x:c>
      <x:c r="E539" s="61" t="n">
        <x:v>122</x:v>
      </x:c>
      <x:c r="F539" s="61" t="n">
        <x:v>0</x:v>
      </x:c>
    </x:row>
    <x:row r="540">
      <x:c r="A540" s="43" t="str">
        <x:v>L2025-00011-1</x:v>
      </x:c>
      <x:c r="B540" s="46" t="str">
        <x:v>L2025-00011-1/2. 영문 입찰서류(수정)/Section 7 - General Conditions of Cotnract.docx</x:v>
      </x:c>
      <x:c r="C540" s="43" t="str">
        <x:v>.docx</x:v>
      </x:c>
      <x:c r="D540" s="61" t="n">
        <x:v>217910</x:v>
      </x:c>
      <x:c r="E540" s="61" t="n">
        <x:v>1436</x:v>
      </x:c>
      <x:c r="F540" s="61" t="n">
        <x:v>2</x:v>
      </x:c>
    </x:row>
    <x:row r="541">
      <x:c r="A541" s="43" t="str">
        <x:v>L2025-00011-1</x:v>
      </x:c>
      <x:c r="B541" s="46" t="str">
        <x:v>L2025-00011-1/2. 영문 입찰서류(수정)/Section 8 - Special Conditions of Contract.docx</x:v>
      </x:c>
      <x:c r="C541" s="43" t="str">
        <x:v>.docx</x:v>
      </x:c>
      <x:c r="D541" s="61" t="n">
        <x:v>56931</x:v>
      </x:c>
      <x:c r="E541" s="61" t="n">
        <x:v>155</x:v>
      </x:c>
      <x:c r="F541" s="61" t="n">
        <x:v>2</x:v>
      </x:c>
    </x:row>
    <x:row r="542">
      <x:c r="A542" s="43" t="str">
        <x:v>L2025-00011-1</x:v>
      </x:c>
      <x:c r="B542" s="46" t="str">
        <x:v>L2025-00011-1/2. 영문 입찰서류(수정)/Section 8.1 - KOICA Safety Management Manual(ENG).pdf</x:v>
      </x:c>
      <x:c r="C542" s="43" t="str">
        <x:v>.pdf</x:v>
      </x:c>
      <x:c r="D542" s="61" t="n">
        <x:v>378337</x:v>
      </x:c>
      <x:c r="E542" s="61" t="n">
        <x:v>37</x:v>
      </x:c>
      <x:c r="F542" s="61" t="n">
        <x:v>4</x:v>
      </x:c>
    </x:row>
    <x:row r="543">
      <x:c r="A543" s="43" t="str">
        <x:v>L2025-00011-1</x:v>
      </x:c>
      <x:c r="B543" s="46" t="str">
        <x:v>L2025-00011-1/2. 영문 입찰서류(수정)/Section 9 - Contract Forms.docx</x:v>
      </x:c>
      <x:c r="C543" s="43" t="str">
        <x:v>.docx</x:v>
      </x:c>
      <x:c r="D543" s="61" t="n">
        <x:v>38159</x:v>
      </x:c>
      <x:c r="E543" s="61" t="n">
        <x:v>30</x:v>
      </x:c>
      <x:c r="F543" s="61" t="n">
        <x:v>0</x:v>
      </x:c>
    </x:row>
    <x:row r="544">
      <x:c r="A544" s="43" t="str">
        <x:v>L2025-00011-1</x:v>
      </x:c>
      <x:c r="B544" s="46" t="str">
        <x:v>L2025-00011-1/3. KOICA 입찰 관련 규정 및 지침(사무소홈페이지 게시).zip</x:v>
      </x:c>
      <x:c r="C544" s="43" t="str">
        <x:v>.zip</x:v>
      </x:c>
      <x:c r="D544" s="61" t="n">
        <x:v>2031661</x:v>
      </x:c>
      <x:c r="E544" s="61" t="n">
        <x:v>0</x:v>
      </x:c>
      <x:c r="F544" s="61" t="n">
        <x:v>0</x:v>
      </x:c>
    </x:row>
    <x:row r="545">
      <x:c r="A545" s="43" t="str">
        <x:v>L2025-00011-1</x:v>
      </x:c>
      <x:c r="B545" s="46" t="str">
        <x:v>L2025-00011-1/3. KOICA 입찰 관련 규정 및 지침(사무소홈페이지 게시)/2. 영문 입찰서류(수정).zip</x:v>
      </x:c>
      <x:c r="C545" s="43" t="str">
        <x:v>.zip</x:v>
      </x:c>
      <x:c r="D545" s="61" t="n">
        <x:v>868648</x:v>
      </x:c>
      <x:c r="E545" s="61" t="n">
        <x:v>0</x:v>
      </x:c>
      <x:c r="F545" s="61" t="n">
        <x:v>0</x:v>
      </x:c>
    </x:row>
    <x:row r="546">
      <x:c r="A546" s="43" t="str">
        <x:v>L2025-00011-1</x:v>
      </x:c>
      <x:c r="B546" s="46" t="str">
        <x:v>L2025-00011-1/3. KOICA 입찰 관련 규정 및 지침(사무소홈페이지 게시)/KOICA Regulations for International Procurement/KOICA Regulations for International Procurement(국제조달규정)_20190304.pdf</x:v>
      </x:c>
      <x:c r="C546" s="43" t="str">
        <x:v>.pdf</x:v>
      </x:c>
      <x:c r="D546" s="61" t="n">
        <x:v>375625</x:v>
      </x:c>
      <x:c r="E546" s="61" t="n">
        <x:v>55</x:v>
      </x:c>
      <x:c r="F546" s="61" t="n">
        <x:v>1</x:v>
      </x:c>
    </x:row>
    <x:row r="547">
      <x:c r="A547" s="43" t="str">
        <x:v>L2025-00011-1</x:v>
      </x:c>
      <x:c r="B547" s="46" t="str">
        <x:v>L2025-00011-1/3. KOICA 입찰 관련 규정 및 지침(사무소홈페이지 게시)/KOICA Regulations for International Procurement/Regulations for Procurement and Contract in Grant Aid Projects(대외무상협력사업에 관한 조달 및 계약규정)_20190520.pdf</x:v>
      </x:c>
      <x:c r="C547" s="43" t="str">
        <x:v>.pdf</x:v>
      </x:c>
      <x:c r="D547" s="61" t="n">
        <x:v>157627</x:v>
      </x:c>
      <x:c r="E547" s="61" t="n">
        <x:v>33</x:v>
      </x:c>
      <x:c r="F547" s="61" t="n">
        <x:v>2</x:v>
      </x:c>
    </x:row>
    <x:row r="548">
      <x:c r="A548" s="43" t="str">
        <x:v>L2025-00011-1</x:v>
      </x:c>
      <x:c r="B548" s="46" t="str">
        <x:v>L2025-00011-1/3. KOICA 입찰 관련 규정 및 지침(사무소홈페이지 게시)/KOICA Regulations for International Procurement/Standard of Prequalification Criteria(입찰참가자격사전심사기준)_20130116.pdf</x:v>
      </x:c>
      <x:c r="C548" s="43" t="str">
        <x:v>.pdf</x:v>
      </x:c>
      <x:c r="D548" s="61" t="n">
        <x:v>473791</x:v>
      </x:c>
      <x:c r="E548" s="61" t="n">
        <x:v>26</x:v>
      </x:c>
      <x:c r="F548" s="61" t="n">
        <x:v>1</x:v>
      </x:c>
    </x:row>
    <x:row r="549">
      <x:c r="A549" s="43" t="str">
        <x:v>L2025-00011-1</x:v>
      </x:c>
      <x:c r="B549" s="46" t="str">
        <x:v>L2025-00011-1/3. KOICA 입찰 관련 규정 및 지침(사무소홈페이지 게시)/KOICA Regulations for International Procurement/Standards of Qualification Examination for Selection of Constructor(시공사선정적격심사기준)_20140403.pdf</x:v>
      </x:c>
      <x:c r="C549" s="43" t="str">
        <x:v>.pdf</x:v>
      </x:c>
      <x:c r="D549" s="61" t="n">
        <x:v>315288</x:v>
      </x:c>
      <x:c r="E549" s="61" t="n">
        <x:v>12</x:v>
      </x:c>
      <x:c r="F549" s="61" t="n">
        <x:v>0</x:v>
      </x:c>
    </x:row>
    <x:row r="550">
      <x:c r="A550" s="43" t="str">
        <x:v>L2025-00010-1</x:v>
      </x:c>
      <x:c r="B550" s="46" t="str">
        <x:v>L2025-00010-1/붙임 1. 입찰 계획서_하이나 리모델링_fin.hwp</x:v>
      </x:c>
      <x:c r="C550" s="43" t="str">
        <x:v>.hwp</x:v>
      </x:c>
      <x:c r="D550" s="61" t="n">
        <x:v>103936</x:v>
      </x:c>
      <x:c r="E550" s="61" t="n">
        <x:v>518</x:v>
      </x:c>
      <x:c r="F550" s="61" t="n">
        <x:v>1</x:v>
      </x:c>
    </x:row>
    <x:row r="551">
      <x:c r="A551" s="43" t="str">
        <x:v>L2025-00010-1</x:v>
      </x:c>
      <x:c r="B551" s="46" t="str">
        <x:v>L2025-00010-1/붙임 2. 입찰서류(영문)_최종.zip</x:v>
      </x:c>
      <x:c r="C551" s="43" t="str">
        <x:v>.zip</x:v>
      </x:c>
      <x:c r="D551" s="61" t="n">
        <x:v>1351853</x:v>
      </x:c>
      <x:c r="E551" s="61" t="n">
        <x:v>0</x:v>
      </x:c>
      <x:c r="F551" s="61" t="n">
        <x:v>0</x:v>
      </x:c>
    </x:row>
    <x:row r="552">
      <x:c r="A552" s="43" t="str">
        <x:v>L2025-00010-1</x:v>
      </x:c>
      <x:c r="B552" s="46" t="str">
        <x:v>L2025-00010-1/붙임 2. 입찰서류(영문)_최종/Cover, Table of Contents HVTC_fin.docx</x:v>
      </x:c>
      <x:c r="C552" s="43" t="str">
        <x:v>.docx</x:v>
      </x:c>
      <x:c r="D552" s="61" t="n">
        <x:v>20958</x:v>
      </x:c>
      <x:c r="E552" s="61" t="n">
        <x:v>18</x:v>
      </x:c>
      <x:c r="F552" s="61" t="n">
        <x:v>0</x:v>
      </x:c>
    </x:row>
    <x:row r="553">
      <x:c r="A553" s="43" t="str">
        <x:v>L2025-00010-1</x:v>
      </x:c>
      <x:c r="B553" s="46" t="str">
        <x:v>L2025-00010-1/붙임 2. 입찰서류(영문)_최종/í┌ Checklist for the Bidders_fin.docx</x:v>
      </x:c>
      <x:c r="C553" s="43" t="str">
        <x:v>.docx</x:v>
      </x:c>
      <x:c r="D553" s="61" t="n">
        <x:v>20397</x:v>
      </x:c>
      <x:c r="E553" s="61" t="n">
        <x:v>18</x:v>
      </x:c>
      <x:c r="F553" s="61" t="n">
        <x:v>0</x:v>
      </x:c>
    </x:row>
    <x:row r="554">
      <x:c r="A554" s="43" t="str">
        <x:v>L2025-00010-1</x:v>
      </x:c>
      <x:c r="B554" s="46" t="str">
        <x:v>L2025-00010-1/붙임 2. 입찰서류(영문)_최종/Section 1 - Instructions to Bidders (ITB) HVCT_fin.docx</x:v>
      </x:c>
      <x:c r="C554" s="43" t="str">
        <x:v>.docx</x:v>
      </x:c>
      <x:c r="D554" s="61" t="n">
        <x:v>35856</x:v>
      </x:c>
      <x:c r="E554" s="61" t="n">
        <x:v>161</x:v>
      </x:c>
      <x:c r="F554" s="61" t="n">
        <x:v>0</x:v>
      </x:c>
    </x:row>
    <x:row r="555">
      <x:c r="A555" s="43" t="str">
        <x:v>L2025-00010-1</x:v>
      </x:c>
      <x:c r="B555" s="46" t="str">
        <x:v>L2025-00010-1/붙임 2. 입찰서류(영문)_최종/Section 2 - Bid Data Sheet (BDS) HVCT_fin.docx</x:v>
      </x:c>
      <x:c r="C555" s="43" t="str">
        <x:v>.docx</x:v>
      </x:c>
      <x:c r="D555" s="61" t="n">
        <x:v>71224</x:v>
      </x:c>
      <x:c r="E555" s="61" t="n">
        <x:v>263</x:v>
      </x:c>
      <x:c r="F555" s="61" t="n">
        <x:v>2</x:v>
      </x:c>
    </x:row>
    <x:row r="556">
      <x:c r="A556" s="43" t="str">
        <x:v>L2025-00010-1</x:v>
      </x:c>
      <x:c r="B556" s="46" t="str">
        <x:v>L2025-00010-1/붙임 2. 입찰서류(영문)_최종/Section 3 - Bidding Forms HVCT_fin.docx</x:v>
      </x:c>
      <x:c r="C556" s="43" t="str">
        <x:v>.docx</x:v>
      </x:c>
      <x:c r="D556" s="61" t="n">
        <x:v>49783</x:v>
      </x:c>
      <x:c r="E556" s="61" t="n">
        <x:v>209</x:v>
      </x:c>
      <x:c r="F556" s="61" t="n">
        <x:v>0</x:v>
      </x:c>
    </x:row>
    <x:row r="557">
      <x:c r="A557" s="43" t="str">
        <x:v>L2025-00010-1</x:v>
      </x:c>
      <x:c r="B557" s="46" t="str">
        <x:v>L2025-00010-1/붙임 2. 입찰서류(영문)_최종/Section 4 - Terms of Reference (TOR) HVTC_fin.docx</x:v>
      </x:c>
      <x:c r="C557" s="43" t="str">
        <x:v>.docx</x:v>
      </x:c>
      <x:c r="D557" s="61" t="n">
        <x:v>1099232</x:v>
      </x:c>
      <x:c r="E557" s="61" t="n">
        <x:v>304</x:v>
      </x:c>
      <x:c r="F557" s="61" t="n">
        <x:v>4</x:v>
      </x:c>
    </x:row>
    <x:row r="558">
      <x:c r="A558" s="43" t="str">
        <x:v>L2025-00010-1</x:v>
      </x:c>
      <x:c r="B558" s="46" t="str">
        <x:v>L2025-00010-1/붙임 2. 입찰서류(영문)_최종/Section 5 - General Conditions of Contract (GCC) HVCT_fin.docx</x:v>
      </x:c>
      <x:c r="C558" s="43" t="str">
        <x:v>.docx</x:v>
      </x:c>
      <x:c r="D558" s="61" t="n">
        <x:v>38265</x:v>
      </x:c>
      <x:c r="E558" s="61" t="n">
        <x:v>180</x:v>
      </x:c>
      <x:c r="F558" s="61" t="n">
        <x:v>0</x:v>
      </x:c>
    </x:row>
    <x:row r="559">
      <x:c r="A559" s="43" t="str">
        <x:v>L2025-00010-1</x:v>
      </x:c>
      <x:c r="B559" s="46" t="str">
        <x:v>L2025-00010-1/붙임 2. 입찰서류(영문)_최종/Section 6 - Special Conditions of Contract (SCC) HVCT_fin.docx</x:v>
      </x:c>
      <x:c r="C559" s="43" t="str">
        <x:v>.docx</x:v>
      </x:c>
      <x:c r="D559" s="61" t="n">
        <x:v>31559</x:v>
      </x:c>
      <x:c r="E559" s="61" t="n">
        <x:v>44</x:v>
      </x:c>
      <x:c r="F559" s="61" t="n">
        <x:v>0</x:v>
      </x:c>
    </x:row>
    <x:row r="560">
      <x:c r="A560" s="43" t="str">
        <x:v>L2025-00010-1</x:v>
      </x:c>
      <x:c r="B560" s="46" t="str">
        <x:v>L2025-00010-1/붙임 2. 입찰서류(영문)_최종/Section 7 - Contract Forms HVCT_fin.docx</x:v>
      </x:c>
      <x:c r="C560" s="43" t="str">
        <x:v>.docx</x:v>
      </x:c>
      <x:c r="D560" s="61" t="n">
        <x:v>23132</x:v>
      </x:c>
      <x:c r="E560" s="61" t="n">
        <x:v>94</x:v>
      </x:c>
      <x:c r="F560" s="61" t="n">
        <x:v>0</x:v>
      </x:c>
    </x:row>
    <x:row r="561">
      <x:c r="A561" s="43" t="str">
        <x:v>L2025-00010-1</x:v>
      </x:c>
      <x:c r="B561" s="46" t="str">
        <x:v>L2025-00010-1/붙임 3. 입찰공고 게시문_fin.docx</x:v>
      </x:c>
      <x:c r="C561" s="43" t="str">
        <x:v>.docx</x:v>
      </x:c>
      <x:c r="D561" s="61" t="n">
        <x:v>29513</x:v>
      </x:c>
      <x:c r="E561" s="61" t="n">
        <x:v>37</x:v>
      </x:c>
      <x:c r="F561" s="61" t="n">
        <x:v>3</x:v>
      </x:c>
    </x:row>
    <x:row r="562">
      <x:c r="A562" s="43" t="str">
        <x:v>L2025-00009-1</x:v>
      </x:c>
      <x:c r="B562" s="46" t="str">
        <x:v>L2025-00009-1/(붙임1) 입찰공고문 (BDS)_페루 제3 한페 의료센터 설계입찰_조달팀 의견 반영_클린ᄇ.hwp</x:v>
      </x:c>
      <x:c r="C562" s="43" t="str">
        <x:v>.hwp</x:v>
      </x:c>
      <x:c r="D562" s="61" t="n">
        <x:v>66048</x:v>
      </x:c>
      <x:c r="E562" s="61" t="n">
        <x:v>466</x:v>
      </x:c>
      <x:c r="F562" s="61" t="n">
        <x:v>2</x:v>
      </x:c>
    </x:row>
    <x:row r="563">
      <x:c r="A563" s="43" t="str">
        <x:v>L2025-00009-1</x:v>
      </x:c>
      <x:c r="B563" s="46" t="str">
        <x:v>L2025-00009-1/(붙임2) 입찰공고문 (BDS)_페루 제3 한페 의료센터 설계입찰_조달팀 의견 반영_사무소 .hwp</x:v>
      </x:c>
      <x:c r="C563" s="43" t="str">
        <x:v>.hwp</x:v>
      </x:c>
      <x:c r="D563" s="61" t="n">
        <x:v>135680</x:v>
      </x:c>
      <x:c r="E563" s="61" t="n">
        <x:v>522</x:v>
      </x:c>
      <x:c r="F563" s="61" t="n">
        <x:v>2</x:v>
      </x:c>
    </x:row>
    <x:row r="564">
      <x:c r="A564" s="43" t="str">
        <x:v>L2025-00009-1</x:v>
      </x:c>
      <x:c r="B564" s="46" t="str">
        <x:v>L2025-00009-1/(붙임3) 입찰제반서류_공고문.zip</x:v>
      </x:c>
      <x:c r="C564" s="43" t="str">
        <x:v>.zip</x:v>
      </x:c>
      <x:c r="D564" s="61" t="n">
        <x:v>12597414</x:v>
      </x:c>
      <x:c r="E564" s="61" t="n">
        <x:v>0</x:v>
      </x:c>
      <x:c r="F564" s="61" t="n">
        <x:v>0</x:v>
      </x:c>
    </x:row>
    <x:row r="565">
      <x:c r="A565" s="43" t="str">
        <x:v>L2025-00009-1</x:v>
      </x:c>
      <x:c r="B565" s="46" t="str">
        <x:v>L2025-00009-1/(붙임3) 입찰제반서류_공고문/Power of Attorney for the authority to sign and execute contracts.docx</x:v>
      </x:c>
      <x:c r="C565" s="43" t="str">
        <x:v>.docx</x:v>
      </x:c>
      <x:c r="D565" s="61" t="n">
        <x:v>17633</x:v>
      </x:c>
      <x:c r="E565" s="61" t="n">
        <x:v>13</x:v>
      </x:c>
      <x:c r="F565" s="61" t="n">
        <x:v>0</x:v>
      </x:c>
    </x:row>
    <x:row r="566">
      <x:c r="A566" s="43" t="str">
        <x:v>L2025-00009-1</x:v>
      </x:c>
      <x:c r="B566" s="46" t="str">
        <x:v>L2025-00009-1/(붙임3) 입찰제반서류_공고문/Section 1 - Instructions to Bidders (ITB).hwp</x:v>
      </x:c>
      <x:c r="C566" s="43" t="str">
        <x:v>.hwp</x:v>
      </x:c>
      <x:c r="D566" s="61" t="n">
        <x:v>89088</x:v>
      </x:c>
      <x:c r="E566" s="61" t="n">
        <x:v>160</x:v>
      </x:c>
      <x:c r="F566" s="61" t="n">
        <x:v>0</x:v>
      </x:c>
    </x:row>
    <x:row r="567">
      <x:c r="A567" s="43" t="str">
        <x:v>L2025-00009-1</x:v>
      </x:c>
      <x:c r="B567" s="46" t="str">
        <x:v>L2025-00009-1/(붙임3) 입찰제반서류_공고문/Section 1 - Instructions to Bidders (ITB).pdf</x:v>
      </x:c>
      <x:c r="C567" s="43" t="str">
        <x:v>.pdf</x:v>
      </x:c>
      <x:c r="D567" s="61" t="n">
        <x:v>138129</x:v>
      </x:c>
      <x:c r="E567" s="61" t="n">
        <x:v>12</x:v>
      </x:c>
      <x:c r="F567" s="61" t="n">
        <x:v>0</x:v>
      </x:c>
    </x:row>
    <x:row r="568">
      <x:c r="A568" s="43" t="str">
        <x:v>L2025-00009-1</x:v>
      </x:c>
      <x:c r="B568" s="46" t="str">
        <x:v>L2025-00009-1/(붙임3) 입찰제반서류_공고문/Section 2 - Bid Data Sheet (BDS)_Peru San Juan Health Center_250303.docx</x:v>
      </x:c>
      <x:c r="C568" s="43" t="str">
        <x:v>.docx</x:v>
      </x:c>
      <x:c r="D568" s="61" t="n">
        <x:v>70693</x:v>
      </x:c>
      <x:c r="E568" s="61" t="n">
        <x:v>237</x:v>
      </x:c>
      <x:c r="F568" s="61" t="n">
        <x:v>2</x:v>
      </x:c>
    </x:row>
    <x:row r="569">
      <x:c r="A569" s="43" t="str">
        <x:v>L2025-00009-1</x:v>
      </x:c>
      <x:c r="B569" s="46" t="str">
        <x:v>L2025-00009-1/(붙임3) 입찰제반서류_공고문/Section 3 - Bidding Forms_Peru San Juan Health Center.docx</x:v>
      </x:c>
      <x:c r="C569" s="43" t="str">
        <x:v>.docx</x:v>
      </x:c>
      <x:c r="D569" s="61" t="n">
        <x:v>44743</x:v>
      </x:c>
      <x:c r="E569" s="61" t="n">
        <x:v>205</x:v>
      </x:c>
      <x:c r="F569" s="61" t="n">
        <x:v>0</x:v>
      </x:c>
    </x:row>
    <x:row r="570">
      <x:c r="A570" s="43" t="str">
        <x:v>L2025-00009-1</x:v>
      </x:c>
      <x:c r="B570" s="46" t="str">
        <x:v>L2025-00009-1/(붙임3) 입찰제반서류_공고문/Section 4 - Terms of Reference (TOR)_Peru San Juan Health Center_250303.docx</x:v>
      </x:c>
      <x:c r="C570" s="43" t="str">
        <x:v>.docx</x:v>
      </x:c>
      <x:c r="D570" s="61" t="n">
        <x:v>2803671</x:v>
      </x:c>
      <x:c r="E570" s="61" t="n">
        <x:v>243</x:v>
      </x:c>
      <x:c r="F570" s="61" t="n">
        <x:v>3</x:v>
      </x:c>
    </x:row>
    <x:row r="571">
      <x:c r="A571" s="43" t="str">
        <x:v>L2025-00009-1</x:v>
      </x:c>
      <x:c r="B571" s="46" t="str">
        <x:v>L2025-00009-1/(붙임3) 입찰제반서류_공고문/Section 4 - Terms of Reference (TOR)_Peru San Juan Health Center_Attachment.zip</x:v>
      </x:c>
      <x:c r="C571" s="43" t="str">
        <x:v>.zip</x:v>
      </x:c>
      <x:c r="D571" s="61" t="n">
        <x:v>9420317</x:v>
      </x:c>
      <x:c r="E571" s="61" t="n">
        <x:v>0</x:v>
      </x:c>
      <x:c r="F571" s="61" t="n">
        <x:v>0</x:v>
      </x:c>
    </x:row>
    <x:row r="572">
      <x:c r="A572" s="43" t="str">
        <x:v>L2025-00009-1</x:v>
      </x:c>
      <x:c r="B572" s="46" t="str">
        <x:v>L2025-00009-1/(붙임3) 입찰제반서류_공고문/Section 5 - General Conditions of Contract (GCC)_Peru San Juan Health Center.docx</x:v>
      </x:c>
      <x:c r="C572" s="43" t="str">
        <x:v>.docx</x:v>
      </x:c>
      <x:c r="D572" s="61" t="n">
        <x:v>34263</x:v>
      </x:c>
      <x:c r="E572" s="61" t="n">
        <x:v>179</x:v>
      </x:c>
      <x:c r="F572" s="61" t="n">
        <x:v>0</x:v>
      </x:c>
    </x:row>
    <x:row r="573">
      <x:c r="A573" s="43" t="str">
        <x:v>L2025-00009-1</x:v>
      </x:c>
      <x:c r="B573" s="46" t="str">
        <x:v>L2025-00009-1/(붙임3) 입찰제반서류_공고문/Section 6 - Special Conditions of Contract (SCC)_Peru San Juan Health Center.docx</x:v>
      </x:c>
      <x:c r="C573" s="43" t="str">
        <x:v>.docx</x:v>
      </x:c>
      <x:c r="D573" s="61" t="n">
        <x:v>28282</x:v>
      </x:c>
      <x:c r="E573" s="61" t="n">
        <x:v>38</x:v>
      </x:c>
      <x:c r="F573" s="61" t="n">
        <x:v>0</x:v>
      </x:c>
    </x:row>
    <x:row r="574">
      <x:c r="A574" s="43" t="str">
        <x:v>L2025-00009-1</x:v>
      </x:c>
      <x:c r="B574" s="46" t="str">
        <x:v>L2025-00009-1/(붙임3) 입찰제반서류_공고문/Section 7 - Contract Forms_Peru San Juan Health Center.docx</x:v>
      </x:c>
      <x:c r="C574" s="43" t="str">
        <x:v>.docx</x:v>
      </x:c>
      <x:c r="D574" s="61" t="n">
        <x:v>22992</x:v>
      </x:c>
      <x:c r="E574" s="61" t="n">
        <x:v>93</x:v>
      </x:c>
      <x:c r="F574" s="61" t="n">
        <x:v>0</x:v>
      </x:c>
    </x:row>
    <x:row r="575">
      <x:c r="A575" s="43" t="str">
        <x:v>L2025-00009-1</x:v>
      </x:c>
      <x:c r="B575" s="46" t="str">
        <x:v>L2025-00009-1/페루 제 3 한페 의료센터 건립사업 사후지원을 위한 리모델링 설계용역 선정 현ᄌ.hwp</x:v>
      </x:c>
      <x:c r="C575" s="43" t="str">
        <x:v>.hwp</x:v>
      </x:c>
      <x:c r="D575" s="61" t="n">
        <x:v>181248</x:v>
      </x:c>
      <x:c r="E575" s="61" t="n">
        <x:v>1</x:v>
      </x:c>
      <x:c r="F575" s="61" t="n">
        <x:v>0</x:v>
      </x:c>
    </x:row>
    <x:row r="576">
      <x:c r="A576" s="43" t="str">
        <x:v>L2025-00008-1</x:v>
      </x:c>
      <x:c r="B576" s="46" t="str">
        <x:v>L2025-00008-1/Tender document full set_Kajiado_0219 rev.zip</x:v>
      </x:c>
      <x:c r="C576" s="43" t="str">
        <x:v>.zip</x:v>
      </x:c>
      <x:c r="D576" s="61" t="n">
        <x:v>600313</x:v>
      </x:c>
      <x:c r="E576" s="61" t="n">
        <x:v>0</x:v>
      </x:c>
      <x:c r="F576" s="61" t="n">
        <x:v>0</x:v>
      </x:c>
    </x:row>
    <x:row r="577">
      <x:c r="A577" s="43" t="str">
        <x:v>L2025-00008-1</x:v>
      </x:c>
      <x:c r="B577" s="46" t="str">
        <x:v>L2025-00008-1/Tender document full set_Kajiado_0219 rev/Power of Attorney for the authority to sign and execute contracts_0219.docx</x:v>
      </x:c>
      <x:c r="C577" s="43" t="str">
        <x:v>.docx</x:v>
      </x:c>
      <x:c r="D577" s="61" t="n">
        <x:v>20189</x:v>
      </x:c>
      <x:c r="E577" s="61" t="n">
        <x:v>15</x:v>
      </x:c>
      <x:c r="F577" s="61" t="n">
        <x:v>0</x:v>
      </x:c>
    </x:row>
    <x:row r="578">
      <x:c r="A578" s="43" t="str">
        <x:v>L2025-00008-1</x:v>
      </x:c>
      <x:c r="B578" s="46" t="str">
        <x:v>L2025-00008-1/Tender document full set_Kajiado_0219 rev/Section 1 - Instructions to Bidders (ITB).pdf</x:v>
      </x:c>
      <x:c r="C578" s="43" t="str">
        <x:v>.pdf</x:v>
      </x:c>
      <x:c r="D578" s="61" t="n">
        <x:v>165225</x:v>
      </x:c>
      <x:c r="E578" s="61" t="n">
        <x:v>13</x:v>
      </x:c>
      <x:c r="F578" s="61" t="n">
        <x:v>0</x:v>
      </x:c>
    </x:row>
    <x:row r="579">
      <x:c r="A579" s="43" t="str">
        <x:v>L2025-00008-1</x:v>
      </x:c>
      <x:c r="B579" s="46" t="str">
        <x:v>L2025-00008-1/Tender document full set_Kajiado_0219 rev/Section 2 - Bid Data Sheet (eng)_0219.docx</x:v>
      </x:c>
      <x:c r="C579" s="43" t="str">
        <x:v>.docx</x:v>
      </x:c>
      <x:c r="D579" s="61" t="n">
        <x:v>51453</x:v>
      </x:c>
      <x:c r="E579" s="61" t="n">
        <x:v>192</x:v>
      </x:c>
      <x:c r="F579" s="61" t="n">
        <x:v>6</x:v>
      </x:c>
    </x:row>
    <x:row r="580">
      <x:c r="A580" s="43" t="str">
        <x:v>L2025-00008-1</x:v>
      </x:c>
      <x:c r="B580" s="46" t="str">
        <x:v>L2025-00008-1/Tender document full set_Kajiado_0219 rev/Section 3 - Bidding Forms.docx</x:v>
      </x:c>
      <x:c r="C580" s="43" t="str">
        <x:v>.docx</x:v>
      </x:c>
      <x:c r="D580" s="61" t="n">
        <x:v>46280</x:v>
      </x:c>
      <x:c r="E580" s="61" t="n">
        <x:v>182</x:v>
      </x:c>
      <x:c r="F580" s="61" t="n">
        <x:v>0</x:v>
      </x:c>
    </x:row>
    <x:row r="581">
      <x:c r="A581" s="43" t="str">
        <x:v>L2025-00008-1</x:v>
      </x:c>
      <x:c r="B581" s="46" t="str">
        <x:v>L2025-00008-1/Tender document full set_Kajiado_0219 rev/Section 7 - General Conditions of Contract.docx</x:v>
      </x:c>
      <x:c r="C581" s="43" t="str">
        <x:v>.docx</x:v>
      </x:c>
      <x:c r="D581" s="61" t="n">
        <x:v>202912</x:v>
      </x:c>
      <x:c r="E581" s="61" t="n">
        <x:v>1406</x:v>
      </x:c>
      <x:c r="F581" s="61" t="n">
        <x:v>2</x:v>
      </x:c>
    </x:row>
    <x:row r="582">
      <x:c r="A582" s="43" t="str">
        <x:v>L2025-00008-1</x:v>
      </x:c>
      <x:c r="B582" s="46" t="str">
        <x:v>L2025-00008-1/Tender document full set_Kajiado_0219 rev/Section 8 - Specail Conditions of Contract.docx</x:v>
      </x:c>
      <x:c r="C582" s="43" t="str">
        <x:v>.docx</x:v>
      </x:c>
      <x:c r="D582" s="61" t="n">
        <x:v>60774</x:v>
      </x:c>
      <x:c r="E582" s="61" t="n">
        <x:v>292</x:v>
      </x:c>
      <x:c r="F582" s="61" t="n">
        <x:v>1</x:v>
      </x:c>
    </x:row>
    <x:row r="583">
      <x:c r="A583" s="43" t="str">
        <x:v>L2025-00008-1</x:v>
      </x:c>
      <x:c r="B583" s="46" t="str">
        <x:v>L2025-00008-1/Tender document full set_Kajiado_0219 rev/Section 9 - Contract Forms.docx</x:v>
      </x:c>
      <x:c r="C583" s="43" t="str">
        <x:v>.docx</x:v>
      </x:c>
      <x:c r="D583" s="61" t="n">
        <x:v>38159</x:v>
      </x:c>
      <x:c r="E583" s="61" t="n">
        <x:v>30</x:v>
      </x:c>
      <x:c r="F583" s="61" t="n">
        <x:v>0</x:v>
      </x:c>
    </x:row>
    <x:row r="584">
      <x:c r="A584" s="43" t="str">
        <x:v>L2025-00008-1</x:v>
      </x:c>
      <x:c r="B584" s="46" t="str">
        <x:v>L2025-00008-1/Tender document full set_Kajiado_0219 rev/Section 9 - Pledges.zip</x:v>
      </x:c>
      <x:c r="C584" s="43" t="str">
        <x:v>.zip</x:v>
      </x:c>
      <x:c r="D584" s="61" t="n">
        <x:v>69143</x:v>
      </x:c>
      <x:c r="E584" s="61" t="n">
        <x:v>0</x:v>
      </x:c>
      <x:c r="F584" s="61" t="n">
        <x:v>0</x:v>
      </x:c>
    </x:row>
    <x:row r="585">
      <x:c r="A585" s="43" t="str">
        <x:v>L2025-00007-2</x:v>
      </x:c>
      <x:c r="B585" s="46" t="str">
        <x:v>L2025-00007-2/붙임 1. 입찰 계획서(국문).hwp</x:v>
      </x:c>
      <x:c r="C585" s="43" t="str">
        <x:v>.hwp</x:v>
      </x:c>
      <x:c r="D585" s="61" t="n">
        <x:v>162304</x:v>
      </x:c>
      <x:c r="E585" s="61" t="n">
        <x:v>563</x:v>
      </x:c>
      <x:c r="F585" s="61" t="n">
        <x:v>6</x:v>
      </x:c>
    </x:row>
    <x:row r="586">
      <x:c r="A586" s="43" t="str">
        <x:v>L2025-00007-2</x:v>
      </x:c>
      <x:c r="B586" s="46" t="str">
        <x:v>L2025-00007-2/붙임 2. 입찰 공고문(영문).zip</x:v>
      </x:c>
      <x:c r="C586" s="43" t="str">
        <x:v>.zip</x:v>
      </x:c>
      <x:c r="D586" s="61" t="n">
        <x:v>419155</x:v>
      </x:c>
      <x:c r="E586" s="61" t="n">
        <x:v>0</x:v>
      </x:c>
      <x:c r="F586" s="61" t="n">
        <x:v>0</x:v>
      </x:c>
    </x:row>
    <x:row r="587">
      <x:c r="A587" s="43" t="str">
        <x:v>L2025-00007-2</x:v>
      </x:c>
      <x:c r="B587" s="46" t="str">
        <x:v>L2025-00007-2/붙임 2. 입찰 공고문(영문)/Cover sheet_MVC (Supervision)_20250404_┼¼╕░.docx</x:v>
      </x:c>
      <x:c r="C587" s="43" t="str">
        <x:v>.docx</x:v>
      </x:c>
      <x:c r="D587" s="61" t="n">
        <x:v>34628</x:v>
      </x:c>
      <x:c r="E587" s="61" t="n">
        <x:v>38</x:v>
      </x:c>
      <x:c r="F587" s="61" t="n">
        <x:v>0</x:v>
      </x:c>
    </x:row>
    <x:row r="588">
      <x:c r="A588" s="43" t="str">
        <x:v>L2025-00007-2</x:v>
      </x:c>
      <x:c r="B588" s="46" t="str">
        <x:v>L2025-00007-2/붙임 2. 입찰 공고문(영문)/í┌ Checklist for the Bidders_8_04_2025.docx</x:v>
      </x:c>
      <x:c r="C588" s="43" t="str">
        <x:v>.docx</x:v>
      </x:c>
      <x:c r="D588" s="61" t="n">
        <x:v>19302</x:v>
      </x:c>
      <x:c r="E588" s="61" t="n">
        <x:v>15</x:v>
      </x:c>
      <x:c r="F588" s="61" t="n">
        <x:v>0</x:v>
      </x:c>
    </x:row>
    <x:row r="589">
      <x:c r="A589" s="43" t="str">
        <x:v>L2025-00007-2</x:v>
      </x:c>
      <x:c r="B589" s="46" t="str">
        <x:v>L2025-00007-2/붙임 2. 입찰 공고문(영문)/Section 1 - Instructions to Bidders (ITB)_MVC (Supervision)_20250404_┼¼╕░.docx</x:v>
      </x:c>
      <x:c r="C589" s="43" t="str">
        <x:v>.docx</x:v>
      </x:c>
      <x:c r="D589" s="61" t="n">
        <x:v>39371</x:v>
      </x:c>
      <x:c r="E589" s="61" t="n">
        <x:v>146</x:v>
      </x:c>
      <x:c r="F589" s="61" t="n">
        <x:v>0</x:v>
      </x:c>
    </x:row>
    <x:row r="590">
      <x:c r="A590" s="43" t="str">
        <x:v>L2025-00007-2</x:v>
      </x:c>
      <x:c r="B590" s="46" t="str">
        <x:v>L2025-00007-2/붙임 2. 입찰 공고문(영문)/Section 2 - Bid Data Sheet (BDS)_MVC (Supervision)_20250404_┼¼╕░.docx</x:v>
      </x:c>
      <x:c r="C590" s="43" t="str">
        <x:v>.docx</x:v>
      </x:c>
      <x:c r="D590" s="61" t="n">
        <x:v>80054</x:v>
      </x:c>
      <x:c r="E590" s="61" t="n">
        <x:v>280</x:v>
      </x:c>
      <x:c r="F590" s="61" t="n">
        <x:v>10</x:v>
      </x:c>
    </x:row>
    <x:row r="591">
      <x:c r="A591" s="43" t="str">
        <x:v>L2025-00007-2</x:v>
      </x:c>
      <x:c r="B591" s="46" t="str">
        <x:v>L2025-00007-2/붙임 2. 입찰 공고문(영문)/Section 3 - Bidding Forms_MVC (Supervision)_20250404_┼¼╕░.docx</x:v>
      </x:c>
      <x:c r="C591" s="43" t="str">
        <x:v>.docx</x:v>
      </x:c>
      <x:c r="D591" s="61" t="n">
        <x:v>61920</x:v>
      </x:c>
      <x:c r="E591" s="61" t="n">
        <x:v>223</x:v>
      </x:c>
      <x:c r="F591" s="61" t="n">
        <x:v>0</x:v>
      </x:c>
    </x:row>
    <x:row r="592">
      <x:c r="A592" s="43" t="str">
        <x:v>L2025-00007-2</x:v>
      </x:c>
      <x:c r="B592" s="46" t="str">
        <x:v>L2025-00007-2/붙임 2. 입찰 공고문(영문)/Section 4 - Scope of Works_MVC (Supervision)_20250404_┼¼╕░.docx</x:v>
      </x:c>
      <x:c r="C592" s="43" t="str">
        <x:v>.docx</x:v>
      </x:c>
      <x:c r="D592" s="61" t="n">
        <x:v>104640</x:v>
      </x:c>
      <x:c r="E592" s="61" t="n">
        <x:v>53</x:v>
      </x:c>
      <x:c r="F592" s="61" t="n">
        <x:v>0</x:v>
      </x:c>
    </x:row>
    <x:row r="593">
      <x:c r="A593" s="43" t="str">
        <x:v>L2025-00007-2</x:v>
      </x:c>
      <x:c r="B593" s="46" t="str">
        <x:v>L2025-00007-2/붙임 2. 입찰 공고문(영문)/Section 5 - General Conditions of Contract_MVC (Supervision)_20250404_┼¼╕░.docx</x:v>
      </x:c>
      <x:c r="C593" s="43" t="str">
        <x:v>.docx</x:v>
      </x:c>
      <x:c r="D593" s="61" t="n">
        <x:v>39726</x:v>
      </x:c>
      <x:c r="E593" s="61" t="n">
        <x:v>179</x:v>
      </x:c>
      <x:c r="F593" s="61" t="n">
        <x:v>0</x:v>
      </x:c>
    </x:row>
    <x:row r="594">
      <x:c r="A594" s="43" t="str">
        <x:v>L2025-00007-2</x:v>
      </x:c>
      <x:c r="B594" s="46" t="str">
        <x:v>L2025-00007-2/붙임 2. 입찰 공고문(영문)/Section 6 - Special Conditions of Contract_MVC (Supervision)_20250404_┼¼╕░.docx</x:v>
      </x:c>
      <x:c r="C594" s="43" t="str">
        <x:v>.docx</x:v>
      </x:c>
      <x:c r="D594" s="61" t="n">
        <x:v>28577</x:v>
      </x:c>
      <x:c r="E594" s="61" t="n">
        <x:v>44</x:v>
      </x:c>
      <x:c r="F594" s="61" t="n">
        <x:v>0</x:v>
      </x:c>
    </x:row>
    <x:row r="595">
      <x:c r="A595" s="43" t="str">
        <x:v>L2025-00007-2</x:v>
      </x:c>
      <x:c r="B595" s="46" t="str">
        <x:v>L2025-00007-2/붙임 2. 입찰 공고문(영문)/Section 7 - Contract Forms_MVC (Supervision)_20250404_┼¼╕░.docx</x:v>
      </x:c>
      <x:c r="C595" s="43" t="str">
        <x:v>.docx</x:v>
      </x:c>
      <x:c r="D595" s="61" t="n">
        <x:v>41866</x:v>
      </x:c>
      <x:c r="E595" s="61" t="n">
        <x:v>30</x:v>
      </x:c>
      <x:c r="F595" s="61" t="n">
        <x:v>0</x:v>
      </x:c>
    </x:row>
    <x:row r="596">
      <x:c r="A596" s="43" t="str">
        <x:v>L2025-00007-1</x:v>
      </x:c>
      <x:c r="B596" s="46" t="str">
        <x:v>L2025-00007-1/★ Checklist for the Bidders_250224.docx</x:v>
      </x:c>
      <x:c r="C596" s="43" t="str">
        <x:v>.docx</x:v>
      </x:c>
      <x:c r="D596" s="61" t="n">
        <x:v>19428</x:v>
      </x:c>
      <x:c r="E596" s="61" t="n">
        <x:v>15</x:v>
      </x:c>
      <x:c r="F596" s="61" t="n">
        <x:v>0</x:v>
      </x:c>
    </x:row>
    <x:row r="597">
      <x:c r="A597" s="43" t="str">
        <x:v>L2025-00007-1</x:v>
      </x:c>
      <x:c r="B597" s="46" t="str">
        <x:v>L2025-00007-1/Cover sheet_MVC (Supervision)_20250224_클린.docx</x:v>
      </x:c>
      <x:c r="C597" s="43" t="str">
        <x:v>.docx</x:v>
      </x:c>
      <x:c r="D597" s="61" t="n">
        <x:v>34573</x:v>
      </x:c>
      <x:c r="E597" s="61" t="n">
        <x:v>38</x:v>
      </x:c>
      <x:c r="F597" s="61" t="n">
        <x:v>0</x:v>
      </x:c>
    </x:row>
    <x:row r="598">
      <x:c r="A598" s="43" t="str">
        <x:v>L2025-00007-1</x:v>
      </x:c>
      <x:c r="B598" s="46" t="str">
        <x:v>L2025-00007-1/Section 1 - Instructions to Bidders (ITB)_MVC (Supervision)_20250224_클린.docx</x:v>
      </x:c>
      <x:c r="C598" s="43" t="str">
        <x:v>.docx</x:v>
      </x:c>
      <x:c r="D598" s="61" t="n">
        <x:v>39371</x:v>
      </x:c>
      <x:c r="E598" s="61" t="n">
        <x:v>146</x:v>
      </x:c>
      <x:c r="F598" s="61" t="n">
        <x:v>0</x:v>
      </x:c>
    </x:row>
    <x:row r="599">
      <x:c r="A599" s="43" t="str">
        <x:v>L2025-00007-1</x:v>
      </x:c>
      <x:c r="B599" s="46" t="str">
        <x:v>L2025-00007-1/Section 2 - Bid Data Sheet (BDS)_MVC (Supervision)_20250224_클린_추가.docx</x:v>
      </x:c>
      <x:c r="C599" s="43" t="str">
        <x:v>.docx</x:v>
      </x:c>
      <x:c r="D599" s="61" t="n">
        <x:v>78614</x:v>
      </x:c>
      <x:c r="E599" s="61" t="n">
        <x:v>281</x:v>
      </x:c>
      <x:c r="F599" s="61" t="n">
        <x:v>10</x:v>
      </x:c>
    </x:row>
    <x:row r="600">
      <x:c r="A600" s="43" t="str">
        <x:v>L2025-00007-1</x:v>
      </x:c>
      <x:c r="B600" s="46" t="str">
        <x:v>L2025-00007-1/Section 3 - Bidding Forms_MVC (Supervision)_20250224_클린.docx</x:v>
      </x:c>
      <x:c r="C600" s="43" t="str">
        <x:v>.docx</x:v>
      </x:c>
      <x:c r="D600" s="61" t="n">
        <x:v>61920</x:v>
      </x:c>
      <x:c r="E600" s="61" t="n">
        <x:v>223</x:v>
      </x:c>
      <x:c r="F600" s="61" t="n">
        <x:v>0</x:v>
      </x:c>
    </x:row>
    <x:row r="601">
      <x:c r="A601" s="43" t="str">
        <x:v>L2025-00007-1</x:v>
      </x:c>
      <x:c r="B601" s="46" t="str">
        <x:v>L2025-00007-1/Section 4 - Scope of Works_MVC (Supervision)_20250224_클린.docx</x:v>
      </x:c>
      <x:c r="C601" s="43" t="str">
        <x:v>.docx</x:v>
      </x:c>
      <x:c r="D601" s="61" t="n">
        <x:v>104640</x:v>
      </x:c>
      <x:c r="E601" s="61" t="n">
        <x:v>53</x:v>
      </x:c>
      <x:c r="F601" s="61" t="n">
        <x:v>0</x:v>
      </x:c>
    </x:row>
    <x:row r="602">
      <x:c r="A602" s="43" t="str">
        <x:v>L2025-00007-1</x:v>
      </x:c>
      <x:c r="B602" s="46" t="str">
        <x:v>L2025-00007-1/Section 5 - General Conditions of Contract_MVC (Supervision)_20250224_클린.docx</x:v>
      </x:c>
      <x:c r="C602" s="43" t="str">
        <x:v>.docx</x:v>
      </x:c>
      <x:c r="D602" s="61" t="n">
        <x:v>39726</x:v>
      </x:c>
      <x:c r="E602" s="61" t="n">
        <x:v>179</x:v>
      </x:c>
      <x:c r="F602" s="61" t="n">
        <x:v>0</x:v>
      </x:c>
    </x:row>
    <x:row r="603">
      <x:c r="A603" s="43" t="str">
        <x:v>L2025-00007-1</x:v>
      </x:c>
      <x:c r="B603" s="46" t="str">
        <x:v>L2025-00007-1/Section 6 - Special Conditions of Contract_MVC (Supervision)_20250224_클린.docx</x:v>
      </x:c>
      <x:c r="C603" s="43" t="str">
        <x:v>.docx</x:v>
      </x:c>
      <x:c r="D603" s="61" t="n">
        <x:v>28577</x:v>
      </x:c>
      <x:c r="E603" s="61" t="n">
        <x:v>44</x:v>
      </x:c>
      <x:c r="F603" s="61" t="n">
        <x:v>0</x:v>
      </x:c>
    </x:row>
    <x:row r="604">
      <x:c r="A604" s="43" t="str">
        <x:v>L2025-00007-1</x:v>
      </x:c>
      <x:c r="B604" s="46" t="str">
        <x:v>L2025-00007-1/Section 7 - Contract Forms_MVC (Supervision)_20250224_클린.docx</x:v>
      </x:c>
      <x:c r="C604" s="43" t="str">
        <x:v>.docx</x:v>
      </x:c>
      <x:c r="D604" s="61" t="n">
        <x:v>41866</x:v>
      </x:c>
      <x:c r="E604" s="61" t="n">
        <x:v>30</x:v>
      </x:c>
      <x:c r="F604" s="61" t="n">
        <x:v>0</x:v>
      </x:c>
    </x:row>
    <x:row r="605">
      <x:c r="A605" s="43" t="str">
        <x:v>L2025-00007-1</x:v>
      </x:c>
      <x:c r="B605" s="46" t="str">
        <x:v>L2025-00007-1/붙임 1. 입찰 계획서(국문).hwp</x:v>
      </x:c>
      <x:c r="C605" s="43" t="str">
        <x:v>.hwp</x:v>
      </x:c>
      <x:c r="D605" s="61" t="n">
        <x:v>84480</x:v>
      </x:c>
      <x:c r="E605" s="61" t="n">
        <x:v>561</x:v>
      </x:c>
      <x:c r="F605" s="61" t="n">
        <x:v>6</x:v>
      </x:c>
    </x:row>
    <x:row r="606">
      <x:c r="A606" s="43" t="str">
        <x:v>L2025-00006-1</x:v>
      </x:c>
      <x:c r="B606" s="46" t="str">
        <x:v>L2025-00006-1/상수도 설계 현지입찰 제반서류.zip</x:v>
      </x:c>
      <x:c r="C606" s="43" t="str">
        <x:v>.zip</x:v>
      </x:c>
      <x:c r="D606" s="61" t="n">
        <x:v>6340013</x:v>
      </x:c>
      <x:c r="E606" s="61" t="n">
        <x:v>0</x:v>
      </x:c>
      <x:c r="F606" s="61" t="n">
        <x:v>0</x:v>
      </x:c>
    </x:row>
    <x:row r="607">
      <x:c r="A607" s="43" t="str">
        <x:v>L2025-00006-1</x:v>
      </x:c>
      <x:c r="B607" s="46" t="str">
        <x:v>L2025-00006-1/상수도 설계 현지입찰 제반서류/(┼║└┌┤╧╛╞ ╗τ╣½╝╥) Section 2 - └╘┬√░°░φ╣« (BDS)_TZ Dodoma(RevC).hwp</x:v>
      </x:c>
      <x:c r="C607" s="43" t="str">
        <x:v>.hwp</x:v>
      </x:c>
      <x:c r="D607" s="61" t="n">
        <x:v>87040</x:v>
      </x:c>
      <x:c r="E607" s="61" t="n">
        <x:v>635</x:v>
      </x:c>
      <x:c r="F607" s="61" t="n">
        <x:v>1</x:v>
      </x:c>
    </x:row>
    <x:row r="608">
      <x:c r="A608" s="43" t="str">
        <x:v>L2025-00006-1</x:v>
      </x:c>
      <x:c r="B608" s="46" t="str">
        <x:v>L2025-00006-1/상수도 설계 현지입찰 제반서류/(┼║└┌┤╧╛╞ ╗τ╣½╝╥)Section 3 - Bidding Forms_TZ Dodoma(Draft).docx</x:v>
      </x:c>
      <x:c r="C608" s="43" t="str">
        <x:v>.docx</x:v>
      </x:c>
      <x:c r="D608" s="61" t="n">
        <x:v>51653</x:v>
      </x:c>
      <x:c r="E608" s="61" t="n">
        <x:v>237</x:v>
      </x:c>
      <x:c r="F608" s="61" t="n">
        <x:v>0</x:v>
      </x:c>
    </x:row>
    <x:row r="609">
      <x:c r="A609" s="43" t="str">
        <x:v>L2025-00006-1</x:v>
      </x:c>
      <x:c r="B609" s="46" t="str">
        <x:v>L2025-00006-1/상수도 설계 현지입찰 제반서류/(┼║└┌┤╧╛╞ ╗τ╣½╝╥)Section 7 - General Conditions of Contract_TZ Dodoma(Draft).docx</x:v>
      </x:c>
      <x:c r="C609" s="43" t="str">
        <x:v>.docx</x:v>
      </x:c>
      <x:c r="D609" s="61" t="n">
        <x:v>37079</x:v>
      </x:c>
      <x:c r="E609" s="61" t="n">
        <x:v>177</x:v>
      </x:c>
      <x:c r="F609" s="61" t="n">
        <x:v>0</x:v>
      </x:c>
    </x:row>
    <x:row r="610">
      <x:c r="A610" s="43" t="str">
        <x:v>L2025-00006-1</x:v>
      </x:c>
      <x:c r="B610" s="46" t="str">
        <x:v>L2025-00006-1/상수도 설계 현지입찰 제반서류/(┼║└┌┤╧╛╞ ╗τ╣½╝╥)Section 8 - Specail Conditions of Contract_TZ Dodoma.docx</x:v>
      </x:c>
      <x:c r="C610" s="43" t="str">
        <x:v>.docx</x:v>
      </x:c>
      <x:c r="D610" s="61" t="n">
        <x:v>2898061</x:v>
      </x:c>
      <x:c r="E610" s="61" t="n">
        <x:v>112</x:v>
      </x:c>
      <x:c r="F610" s="61" t="n">
        <x:v>0</x:v>
      </x:c>
    </x:row>
    <x:row r="611">
      <x:c r="A611" s="43" t="str">
        <x:v>L2025-00006-1</x:v>
      </x:c>
      <x:c r="B611" s="46" t="str">
        <x:v>L2025-00006-1/상수도 설계 현지입찰 제반서류/(┼║└┌┤╧╛╞ ╗τ╣½╝╥)Section 9 - Contract Forms_TZ Dodoma(Draft).docx</x:v>
      </x:c>
      <x:c r="C611" s="43" t="str">
        <x:v>.docx</x:v>
      </x:c>
      <x:c r="D611" s="61" t="n">
        <x:v>25047</x:v>
      </x:c>
      <x:c r="E611" s="61" t="n">
        <x:v>91</x:v>
      </x:c>
      <x:c r="F611" s="61" t="n">
        <x:v>0</x:v>
      </x:c>
    </x:row>
    <x:row r="612">
      <x:c r="A612" s="43" t="str">
        <x:v>L2025-00006-1</x:v>
      </x:c>
      <x:c r="B612" s="46" t="str">
        <x:v>L2025-00006-1/상수도 설계 현지입찰 제반서류/(┼║└┌┤╧╛╞ ╗τ╣½╝╥)Summary of Bidding (┐Σ╛α║╗)_TZ Dodoma(Draft).docx</x:v>
      </x:c>
      <x:c r="C612" s="43" t="str">
        <x:v>.docx</x:v>
      </x:c>
      <x:c r="D612" s="61" t="n">
        <x:v>31550</x:v>
      </x:c>
      <x:c r="E612" s="61" t="n">
        <x:v>49</x:v>
      </x:c>
      <x:c r="F612" s="61" t="n">
        <x:v>6</x:v>
      </x:c>
    </x:row>
    <x:row r="613">
      <x:c r="A613" s="43" t="str">
        <x:v>L2025-00006-1</x:v>
      </x:c>
      <x:c r="B613" s="46" t="str">
        <x:v>L2025-00006-1/상수도 설계 현지입찰 제반서류/Power of Attorney for the authority to sign and execute contracts (░Φ╛α╝¡ ╝¡╕φ▒╟╟╤ └º└╙└σ).docx</x:v>
      </x:c>
      <x:c r="C613" s="43" t="str">
        <x:v>.docx</x:v>
      </x:c>
      <x:c r="D613" s="61" t="n">
        <x:v>18258</x:v>
      </x:c>
      <x:c r="E613" s="61" t="n">
        <x:v>15</x:v>
      </x:c>
      <x:c r="F613" s="61" t="n">
        <x:v>0</x:v>
      </x:c>
    </x:row>
    <x:row r="614">
      <x:c r="A614" s="43" t="str">
        <x:v>L2025-00006-1</x:v>
      </x:c>
      <x:c r="B614" s="46" t="str">
        <x:v>L2025-00006-1/상수도 설계 현지입찰 제반서류/Section 1 - Instructions to Bidders (ITB) - ╝÷┴ñ(240731)_TZ Dodoma(Draft)/Section 1 - ▒╣┴ª└╘┬√└»└╟╝¡ (ITB).hwp</x:v>
      </x:c>
      <x:c r="C614" s="43" t="str">
        <x:v>.hwp</x:v>
      </x:c>
      <x:c r="D614" s="61" t="n">
        <x:v>92672</x:v>
      </x:c>
      <x:c r="E614" s="61" t="n">
        <x:v>129</x:v>
      </x:c>
      <x:c r="F614" s="61" t="n">
        <x:v>0</x:v>
      </x:c>
    </x:row>
    <x:row r="615">
      <x:c r="A615" s="43" t="str">
        <x:v>L2025-00006-1</x:v>
      </x:c>
      <x:c r="B615" s="46" t="str">
        <x:v>L2025-00006-1/상수도 설계 현지입찰 제반서류/Section 1 - Instructions to Bidders (ITB) - ╝÷┴ñ(240731)_TZ Dodoma(Draft)/Section 1 - Instructions to Bidders (ITB)_╝÷┴ñ.hwp</x:v>
      </x:c>
      <x:c r="C615" s="43" t="str">
        <x:v>.hwp</x:v>
      </x:c>
      <x:c r="D615" s="61" t="n">
        <x:v>83456</x:v>
      </x:c>
      <x:c r="E615" s="61" t="n">
        <x:v>159</x:v>
      </x:c>
      <x:c r="F615" s="61" t="n">
        <x:v>0</x:v>
      </x:c>
    </x:row>
    <x:row r="616">
      <x:c r="A616" s="43" t="str">
        <x:v>L2025-00006-1</x:v>
      </x:c>
      <x:c r="B616" s="46" t="str">
        <x:v>L2025-00006-1/상수도 설계 현지입찰 제반서류/Section 1-1. Expression of Interest(Tanzania)_230914_Final.docx</x:v>
      </x:c>
      <x:c r="C616" s="43" t="str">
        <x:v>.docx</x:v>
      </x:c>
      <x:c r="D616" s="61" t="n">
        <x:v>26618</x:v>
      </x:c>
      <x:c r="E616" s="61" t="n">
        <x:v>18</x:v>
      </x:c>
      <x:c r="F616" s="61" t="n">
        <x:v>0</x:v>
      </x:c>
    </x:row>
    <x:row r="617">
      <x:c r="A617" s="43" t="str">
        <x:v>L2025-00006-1</x:v>
      </x:c>
      <x:c r="B617" s="46" t="str">
        <x:v>L2025-00006-1/상수도 설계 현지입찰 제반서류/Section 1-2. Bid Security (Bank Guarantee)(Tanzania)_230914_Final.docx</x:v>
      </x:c>
      <x:c r="C617" s="43" t="str">
        <x:v>.docx</x:v>
      </x:c>
      <x:c r="D617" s="61" t="n">
        <x:v>39745</x:v>
      </x:c>
      <x:c r="E617" s="61" t="n">
        <x:v>17</x:v>
      </x:c>
      <x:c r="F617" s="61" t="n">
        <x:v>0</x:v>
      </x:c>
    </x:row>
    <x:row r="618">
      <x:c r="A618" s="43" t="str">
        <x:v>L2025-00006-1</x:v>
      </x:c>
      <x:c r="B618" s="46" t="str">
        <x:v>L2025-00006-1/상수도 설계 현지입찰 제반서류/Section 4 - RFP_TZ Dodoma(Draft).docx</x:v>
      </x:c>
      <x:c r="C618" s="43" t="str">
        <x:v>.docx</x:v>
      </x:c>
      <x:c r="D618" s="61" t="n">
        <x:v>58572</x:v>
      </x:c>
      <x:c r="E618" s="61" t="n">
        <x:v>151</x:v>
      </x:c>
      <x:c r="F618" s="61" t="n">
        <x:v>0</x:v>
      </x:c>
    </x:row>
    <x:row r="619">
      <x:c r="A619" s="43" t="str">
        <x:v>L2025-00006-1</x:v>
      </x:c>
      <x:c r="B619" s="46" t="str">
        <x:v>L2025-00006-1/상수도 설계 현지입찰 제반서류/Section 5 - Terms of Reference - Incl SoW (Draft).docx</x:v>
      </x:c>
      <x:c r="C619" s="43" t="str">
        <x:v>.docx</x:v>
      </x:c>
      <x:c r="D619" s="61" t="n">
        <x:v>2901312</x:v>
      </x:c>
      <x:c r="E619" s="61" t="n">
        <x:v>87</x:v>
      </x:c>
      <x:c r="F619" s="61" t="n">
        <x:v>3</x:v>
      </x:c>
    </x:row>
    <x:row r="620">
      <x:c r="A620" s="43" t="str">
        <x:v>L2025-00006-1</x:v>
      </x:c>
      <x:c r="B620" s="46" t="str">
        <x:v>L2025-00006-1/상수도 설계 현지입찰 제반서류/Section 6 - Pledges_TZ Dodoma(Draft)/Declaration of Anti_Corruption (╣▌║╬╞╨ ╝▒╛≡╝¡).docx</x:v>
      </x:c>
      <x:c r="C620" s="43" t="str">
        <x:v>.docx</x:v>
      </x:c>
      <x:c r="D620" s="61" t="n">
        <x:v>23026</x:v>
      </x:c>
      <x:c r="E620" s="61" t="n">
        <x:v>38</x:v>
      </x:c>
      <x:c r="F620" s="61" t="n">
        <x:v>0</x:v>
      </x:c>
    </x:row>
    <x:row r="621">
      <x:c r="A621" s="43" t="str">
        <x:v>L2025-00006-1</x:v>
      </x:c>
      <x:c r="B621" s="46" t="str">
        <x:v>L2025-00006-1/상수도 설계 현지입찰 제반서류/Section 6 - Pledges_TZ Dodoma(Draft)/Fair Contract Pledge Letter (░°┴ñ░Φ╛α ╝¡╛α╝¡).docx</x:v>
      </x:c>
      <x:c r="C621" s="43" t="str">
        <x:v>.docx</x:v>
      </x:c>
      <x:c r="D621" s="61" t="n">
        <x:v>18756</x:v>
      </x:c>
      <x:c r="E621" s="61" t="n">
        <x:v>20</x:v>
      </x:c>
      <x:c r="F621" s="61" t="n">
        <x:v>0</x:v>
      </x:c>
    </x:row>
    <x:row r="622">
      <x:c r="A622" s="43" t="str">
        <x:v>L2025-00006-1</x:v>
      </x:c>
      <x:c r="B622" s="46" t="str">
        <x:v>L2025-00006-1/상수도 설계 현지입찰 제반서류/Section 6 - Pledges_TZ Dodoma(Draft)/Integrity Pledge (├╗╖┼░Φ╛α╝¡).docx</x:v>
      </x:c>
      <x:c r="C622" s="43" t="str">
        <x:v>.docx</x:v>
      </x:c>
      <x:c r="D622" s="61" t="n">
        <x:v>36507</x:v>
      </x:c>
      <x:c r="E622" s="61" t="n">
        <x:v>17</x:v>
      </x:c>
      <x:c r="F622" s="61" t="n">
        <x:v>0</x:v>
      </x:c>
    </x:row>
    <x:row r="623">
      <x:c r="A623" s="43" t="str">
        <x:v>L2025-00003-2</x:v>
      </x:c>
      <x:c r="B623" s="46" t="str">
        <x:v>L2025-00003-2/[RE] (Bid Document) Digitalization of the Parliament.zip</x:v>
      </x:c>
      <x:c r="C623" s="43" t="str">
        <x:v>.zip</x:v>
      </x:c>
      <x:c r="D623" s="61" t="n">
        <x:v>5632125</x:v>
      </x:c>
      <x:c r="E623" s="61" t="n">
        <x:v>0</x:v>
      </x:c>
      <x:c r="F623" s="61" t="n">
        <x:v>0</x:v>
      </x:c>
    </x:row>
    <x:row r="624">
      <x:c r="A624" s="43" t="str">
        <x:v>L2025-00003-2</x:v>
      </x:c>
      <x:c r="B624" s="46" t="str">
        <x:v>L2025-00003-2/[RE] (Bid Document) Digitalization of the Parliament/(Bid Document) Digitalization of the Parliament/Eng/ENG_Section 1 - Instructions to Bidders_ITB_Digitalization Parliament.doc</x:v>
      </x:c>
      <x:c r="C624" s="43" t="str">
        <x:v>.doc</x:v>
      </x:c>
      <x:c r="D624" s="61" t="n">
        <x:v>257231</x:v>
      </x:c>
      <x:c r="E624" s="61" t="n">
        <x:v>38</x:v>
      </x:c>
      <x:c r="F624" s="61" t="n">
        <x:v>0</x:v>
      </x:c>
    </x:row>
    <x:row r="625">
      <x:c r="A625" s="43" t="str">
        <x:v>L2025-00003-2</x:v>
      </x:c>
      <x:c r="B625" s="46" t="str">
        <x:v>L2025-00003-2/[RE] (Bid Document) Digitalization of the Parliament/(Bid Document) Digitalization of the Parliament/Eng/ENG_Section 2 - Bid Data Sheet_Digitalization_Parliament.docx</x:v>
      </x:c>
      <x:c r="C625" s="43" t="str">
        <x:v>.docx</x:v>
      </x:c>
      <x:c r="D625" s="61" t="n">
        <x:v>41492</x:v>
      </x:c>
      <x:c r="E625" s="61" t="n">
        <x:v>235</x:v>
      </x:c>
      <x:c r="F625" s="61" t="n">
        <x:v>5</x:v>
      </x:c>
    </x:row>
    <x:row r="626">
      <x:c r="A626" s="43" t="str">
        <x:v>L2025-00003-2</x:v>
      </x:c>
      <x:c r="B626" s="46" t="str">
        <x:v>L2025-00003-2/[RE] (Bid Document) Digitalization of the Parliament/(Bid Document) Digitalization of the Parliament/Eng/ENG_Section 3 - Bidding_Forms_Digitalization_Parliament.doc</x:v>
      </x:c>
      <x:c r="C626" s="43" t="str">
        <x:v>.doc</x:v>
      </x:c>
      <x:c r="D626" s="61" t="n">
        <x:v>224256</x:v>
      </x:c>
      <x:c r="E626" s="61" t="n">
        <x:v>199</x:v>
      </x:c>
      <x:c r="F626" s="61" t="n">
        <x:v>1</x:v>
      </x:c>
    </x:row>
    <x:row r="627">
      <x:c r="A627" s="43" t="str">
        <x:v>L2025-00003-2</x:v>
      </x:c>
      <x:c r="B627" s="46" t="str">
        <x:v>L2025-00003-2/[RE] (Bid Document) Digitalization of the Parliament/(Bid Document) Digitalization of the Parliament/Eng/ENG_Section 4-6 - Requirements_Digitalization_Parliament.docx</x:v>
      </x:c>
      <x:c r="C627" s="43" t="str">
        <x:v>.docx</x:v>
      </x:c>
      <x:c r="D627" s="61" t="n">
        <x:v>2489508</x:v>
      </x:c>
      <x:c r="E627" s="61" t="n">
        <x:v>748</x:v>
      </x:c>
      <x:c r="F627" s="61" t="n">
        <x:v>1</x:v>
      </x:c>
    </x:row>
    <x:row r="628">
      <x:c r="A628" s="43" t="str">
        <x:v>L2025-00003-2</x:v>
      </x:c>
      <x:c r="B628" s="46" t="str">
        <x:v>L2025-00003-2/[RE] (Bid Document) Digitalization of the Parliament/(Bid Document) Digitalization of the Parliament/Eng/ENG_Section 7 - General_Conditions_of_Contract_v1_Digitalization_Parliament.docx</x:v>
      </x:c>
      <x:c r="C628" s="43" t="str">
        <x:v>.docx</x:v>
      </x:c>
      <x:c r="D628" s="61" t="n">
        <x:v>215518</x:v>
      </x:c>
      <x:c r="E628" s="61" t="n">
        <x:v>1543</x:v>
      </x:c>
      <x:c r="F628" s="61" t="n">
        <x:v>2</x:v>
      </x:c>
    </x:row>
    <x:row r="629">
      <x:c r="A629" s="43" t="str">
        <x:v>L2025-00003-2</x:v>
      </x:c>
      <x:c r="B629" s="46" t="str">
        <x:v>L2025-00003-2/[RE] (Bid Document) Digitalization of the Parliament/(Bid Document) Digitalization of the Parliament/Eng/ENG_Section 8 - Special_Conditions_of_Contract_Digitalization_Parliament.docx</x:v>
      </x:c>
      <x:c r="C629" s="43" t="str">
        <x:v>.docx</x:v>
      </x:c>
      <x:c r="D629" s="61" t="n">
        <x:v>67803</x:v>
      </x:c>
      <x:c r="E629" s="61" t="n">
        <x:v>260</x:v>
      </x:c>
      <x:c r="F629" s="61" t="n">
        <x:v>0</x:v>
      </x:c>
    </x:row>
    <x:row r="630">
      <x:c r="A630" s="43" t="str">
        <x:v>L2025-00003-2</x:v>
      </x:c>
      <x:c r="B630" s="46" t="str">
        <x:v>L2025-00003-2/[RE] (Bid Document) Digitalization of the Parliament/(Bid Document) Digitalization of the Parliament/Eng/ENG_Section 9 - Contract_Forms_Digitalization_Parliament_v1.docx</x:v>
      </x:c>
      <x:c r="C630" s="43" t="str">
        <x:v>.docx</x:v>
      </x:c>
      <x:c r="D630" s="61" t="n">
        <x:v>38953</x:v>
      </x:c>
      <x:c r="E630" s="61" t="n">
        <x:v>30</x:v>
      </x:c>
      <x:c r="F630" s="61" t="n">
        <x:v>0</x:v>
      </x:c>
    </x:row>
    <x:row r="631">
      <x:c r="A631" s="43" t="str">
        <x:v>L2025-00003-2</x:v>
      </x:c>
      <x:c r="B631" s="46" t="str">
        <x:v>L2025-00003-2/[RE] (Bid Document) Digitalization of the Parliament/(Bid Document) Digitalization of the Parliament/Rus/RUS_Section 1_Instructions_to_Bidders_ITB_Digitalization_Parliament.docx</x:v>
      </x:c>
      <x:c r="C631" s="43" t="str">
        <x:v>.docx</x:v>
      </x:c>
      <x:c r="D631" s="61" t="n">
        <x:v>40163</x:v>
      </x:c>
      <x:c r="E631" s="61" t="n">
        <x:v>165</x:v>
      </x:c>
      <x:c r="F631" s="61" t="n">
        <x:v>0</x:v>
      </x:c>
    </x:row>
    <x:row r="632">
      <x:c r="A632" s="43" t="str">
        <x:v>L2025-00003-2</x:v>
      </x:c>
      <x:c r="B632" s="46" t="str">
        <x:v>L2025-00003-2/[RE] (Bid Document) Digitalization of the Parliament/(Bid Document) Digitalization of the Parliament/Rus/RUS_Section 2 - Bid Data Sheet_Digitalization_Parliament.docx</x:v>
      </x:c>
      <x:c r="C632" s="43" t="str">
        <x:v>.docx</x:v>
      </x:c>
      <x:c r="D632" s="61" t="n">
        <x:v>43147</x:v>
      </x:c>
      <x:c r="E632" s="61" t="n">
        <x:v>235</x:v>
      </x:c>
      <x:c r="F632" s="61" t="n">
        <x:v>0</x:v>
      </x:c>
    </x:row>
    <x:row r="633">
      <x:c r="A633" s="43" t="str">
        <x:v>L2025-00003-2</x:v>
      </x:c>
      <x:c r="B633" s="46" t="str">
        <x:v>L2025-00003-2/[RE] (Bid Document) Digitalization of the Parliament/(Bid Document) Digitalization of the Parliament/Rus/RUS_Section 3 - Bidding Forms_Digitalization_Parliament.doc</x:v>
      </x:c>
      <x:c r="C633" s="43" t="str">
        <x:v>.doc</x:v>
      </x:c>
      <x:c r="D633" s="61" t="n">
        <x:v>293888</x:v>
      </x:c>
      <x:c r="E633" s="61" t="n">
        <x:v>196</x:v>
      </x:c>
      <x:c r="F633" s="61" t="n">
        <x:v>0</x:v>
      </x:c>
    </x:row>
    <x:row r="634">
      <x:c r="A634" s="43" t="str">
        <x:v>L2025-00003-2</x:v>
      </x:c>
      <x:c r="B634" s="46" t="str">
        <x:v>L2025-00003-2/[RE] (Bid Document) Digitalization of the Parliament/(Bid Document) Digitalization of the Parliament/Rus/RUS_Section 4-6 - Requirements_Digitalization_Parliament.docx</x:v>
      </x:c>
      <x:c r="C634" s="43" t="str">
        <x:v>.docx</x:v>
      </x:c>
      <x:c r="D634" s="61" t="n">
        <x:v>2470431</x:v>
      </x:c>
      <x:c r="E634" s="61" t="n">
        <x:v>748</x:v>
      </x:c>
      <x:c r="F634" s="61" t="n">
        <x:v>0</x:v>
      </x:c>
    </x:row>
    <x:row r="635">
      <x:c r="A635" s="43" t="str">
        <x:v>L2025-00003-2</x:v>
      </x:c>
      <x:c r="B635" s="46" t="str">
        <x:v>L2025-00003-2/[RE] (Bid Document) Digitalization of the Parliament/(Bid Document) Digitalization of the Parliament/Rus/RUS_Section 7_General_Conditions_of_Contract_v1_Digitalization_Parliament.docx</x:v>
      </x:c>
      <x:c r="C635" s="43" t="str">
        <x:v>.docx</x:v>
      </x:c>
      <x:c r="D635" s="61" t="n">
        <x:v>200355</x:v>
      </x:c>
      <x:c r="E635" s="61" t="n">
        <x:v>1542</x:v>
      </x:c>
      <x:c r="F635" s="61" t="n">
        <x:v>0</x:v>
      </x:c>
    </x:row>
    <x:row r="636">
      <x:c r="A636" s="43" t="str">
        <x:v>L2025-00003-2</x:v>
      </x:c>
      <x:c r="B636" s="46" t="str">
        <x:v>L2025-00003-2/[RE] (Bid Document) Digitalization of the Parliament/(Bid Document) Digitalization of the Parliament/Rus/RUS_Section 8_Special_Conditions_of_Contract_Digitalization_Parliament.docx</x:v>
      </x:c>
      <x:c r="C636" s="43" t="str">
        <x:v>.docx</x:v>
      </x:c>
      <x:c r="D636" s="61" t="n">
        <x:v>72601</x:v>
      </x:c>
      <x:c r="E636" s="61" t="n">
        <x:v>260</x:v>
      </x:c>
      <x:c r="F636" s="61" t="n">
        <x:v>0</x:v>
      </x:c>
    </x:row>
    <x:row r="637">
      <x:c r="A637" s="43" t="str">
        <x:v>L2025-00003-2</x:v>
      </x:c>
      <x:c r="B637" s="46" t="str">
        <x:v>L2025-00003-2/[RE] (Bid Document) Digitalization of the Parliament/(Bid Document) Digitalization of the Parliament/Rus/RUS_Section 9 - Contract Forms_Digitalization_Parliament_v1.docx</x:v>
      </x:c>
      <x:c r="C637" s="43" t="str">
        <x:v>.docx</x:v>
      </x:c>
      <x:c r="D637" s="61" t="n">
        <x:v>18328</x:v>
      </x:c>
      <x:c r="E637" s="61" t="n">
        <x:v>30</x:v>
      </x:c>
      <x:c r="F637" s="61" t="n">
        <x:v>0</x:v>
      </x:c>
    </x:row>
    <x:row r="638">
      <x:c r="A638" s="43" t="str">
        <x:v>L2025-00003-1</x:v>
      </x:c>
      <x:c r="B638" s="46" t="str">
        <x:v>L2025-00003-1/Parliament Bidding Document (Eng, Rus).zip</x:v>
      </x:c>
      <x:c r="C638" s="43" t="str">
        <x:v>.zip</x:v>
      </x:c>
      <x:c r="D638" s="61" t="n">
        <x:v>8047682</x:v>
      </x:c>
      <x:c r="E638" s="61" t="n">
        <x:v>0</x:v>
      </x:c>
      <x:c r="F638" s="61" t="n">
        <x:v>0</x:v>
      </x:c>
    </x:row>
    <x:row r="639">
      <x:c r="A639" s="43" t="str">
        <x:v>L2025-00003-1</x:v>
      </x:c>
      <x:c r="B639" s="46" t="str">
        <x:v>L2025-00003-1/Parliament Bidding Document (Eng, Rus)/Eng/ENG_Section 1 - Instructions to Bidders_ITB_Digitalization Parliament.doc</x:v>
      </x:c>
      <x:c r="C639" s="43" t="str">
        <x:v>.doc</x:v>
      </x:c>
      <x:c r="D639" s="61" t="n">
        <x:v>257231</x:v>
      </x:c>
      <x:c r="E639" s="61" t="n">
        <x:v>38</x:v>
      </x:c>
      <x:c r="F639" s="61" t="n">
        <x:v>0</x:v>
      </x:c>
    </x:row>
    <x:row r="640">
      <x:c r="A640" s="43" t="str">
        <x:v>L2025-00003-1</x:v>
      </x:c>
      <x:c r="B640" s="46" t="str">
        <x:v>L2025-00003-1/Parliament Bidding Document (Eng, Rus)/Eng/ENG_Section 2 - Bid Data Sheet_Digitalization_Parliament.docx</x:v>
      </x:c>
      <x:c r="C640" s="43" t="str">
        <x:v>.docx</x:v>
      </x:c>
      <x:c r="D640" s="61" t="n">
        <x:v>48438</x:v>
      </x:c>
      <x:c r="E640" s="61" t="n">
        <x:v>235</x:v>
      </x:c>
      <x:c r="F640" s="61" t="n">
        <x:v>5</x:v>
      </x:c>
    </x:row>
    <x:row r="641">
      <x:c r="A641" s="43" t="str">
        <x:v>L2025-00003-1</x:v>
      </x:c>
      <x:c r="B641" s="46" t="str">
        <x:v>L2025-00003-1/Parliament Bidding Document (Eng, Rus)/Eng/ENG_Section 3 - Bidding_Forms_Digitalization_Parliament.doc</x:v>
      </x:c>
      <x:c r="C641" s="43" t="str">
        <x:v>.doc</x:v>
      </x:c>
      <x:c r="D641" s="61" t="n">
        <x:v>231936</x:v>
      </x:c>
      <x:c r="E641" s="61" t="n">
        <x:v>197</x:v>
      </x:c>
      <x:c r="F641" s="61" t="n">
        <x:v>1</x:v>
      </x:c>
    </x:row>
    <x:row r="642">
      <x:c r="A642" s="43" t="str">
        <x:v>L2025-00003-1</x:v>
      </x:c>
      <x:c r="B642" s="46" t="str">
        <x:v>L2025-00003-1/Parliament Bidding Document (Eng, Rus)/Eng/ENG_Section 4-6 - Requirements_Digitalization_Parliament.docx</x:v>
      </x:c>
      <x:c r="C642" s="43" t="str">
        <x:v>.docx</x:v>
      </x:c>
      <x:c r="D642" s="61" t="n">
        <x:v>2489508</x:v>
      </x:c>
      <x:c r="E642" s="61" t="n">
        <x:v>748</x:v>
      </x:c>
      <x:c r="F642" s="61" t="n">
        <x:v>1</x:v>
      </x:c>
    </x:row>
    <x:row r="643">
      <x:c r="A643" s="43" t="str">
        <x:v>L2025-00003-1</x:v>
      </x:c>
      <x:c r="B643" s="46" t="str">
        <x:v>L2025-00003-1/Parliament Bidding Document (Eng, Rus)/Eng/ENG_Section 7 - General_Conditions_of_Contract_v1_Digitalization_Parliament.docx</x:v>
      </x:c>
      <x:c r="C643" s="43" t="str">
        <x:v>.docx</x:v>
      </x:c>
      <x:c r="D643" s="61" t="n">
        <x:v>215518</x:v>
      </x:c>
      <x:c r="E643" s="61" t="n">
        <x:v>1543</x:v>
      </x:c>
      <x:c r="F643" s="61" t="n">
        <x:v>2</x:v>
      </x:c>
    </x:row>
    <x:row r="644">
      <x:c r="A644" s="43" t="str">
        <x:v>L2025-00003-1</x:v>
      </x:c>
      <x:c r="B644" s="46" t="str">
        <x:v>L2025-00003-1/Parliament Bidding Document (Eng, Rus)/Eng/ENG_Section 8 - Special_Conditions_of_Contract_Digitalization_Parliament.docx</x:v>
      </x:c>
      <x:c r="C644" s="43" t="str">
        <x:v>.docx</x:v>
      </x:c>
      <x:c r="D644" s="61" t="n">
        <x:v>67803</x:v>
      </x:c>
      <x:c r="E644" s="61" t="n">
        <x:v>260</x:v>
      </x:c>
      <x:c r="F644" s="61" t="n">
        <x:v>0</x:v>
      </x:c>
    </x:row>
    <x:row r="645">
      <x:c r="A645" s="43" t="str">
        <x:v>L2025-00003-1</x:v>
      </x:c>
      <x:c r="B645" s="46" t="str">
        <x:v>L2025-00003-1/Parliament Bidding Document (Eng, Rus)/Eng/ENG_Section 9 - Contract_Forms_Digitalization_Parliament_v1.docx</x:v>
      </x:c>
      <x:c r="C645" s="43" t="str">
        <x:v>.docx</x:v>
      </x:c>
      <x:c r="D645" s="61" t="n">
        <x:v>38953</x:v>
      </x:c>
      <x:c r="E645" s="61" t="n">
        <x:v>30</x:v>
      </x:c>
      <x:c r="F645" s="61" t="n">
        <x:v>0</x:v>
      </x:c>
    </x:row>
    <x:row r="646">
      <x:c r="A646" s="43" t="str">
        <x:v>L2025-00003-1</x:v>
      </x:c>
      <x:c r="B646" s="46" t="str">
        <x:v>L2025-00003-1/Parliament Bidding Document (Eng, Rus)/Rus/RUS_Section 2 - Bid Data Sheet_Digitalization_Parliament.docx</x:v>
      </x:c>
      <x:c r="C646" s="43" t="str">
        <x:v>.docx</x:v>
      </x:c>
      <x:c r="D646" s="61" t="n">
        <x:v>57586</x:v>
      </x:c>
      <x:c r="E646" s="61" t="n">
        <x:v>235</x:v>
      </x:c>
      <x:c r="F646" s="61" t="n">
        <x:v>0</x:v>
      </x:c>
    </x:row>
    <x:row r="647">
      <x:c r="A647" s="43" t="str">
        <x:v>L2025-00003-1</x:v>
      </x:c>
      <x:c r="B647" s="46" t="str">
        <x:v>L2025-00003-1/Parliament Bidding Document (Eng, Rus)/Rus/RUS_Section 3 - Bidding Forms_Digitalization_Parliament.doc</x:v>
      </x:c>
      <x:c r="C647" s="43" t="str">
        <x:v>.doc</x:v>
      </x:c>
      <x:c r="D647" s="61" t="n">
        <x:v>291328</x:v>
      </x:c>
      <x:c r="E647" s="61" t="n">
        <x:v>194</x:v>
      </x:c>
      <x:c r="F647" s="61" t="n">
        <x:v>0</x:v>
      </x:c>
    </x:row>
    <x:row r="648">
      <x:c r="A648" s="43" t="str">
        <x:v>L2025-00003-1</x:v>
      </x:c>
      <x:c r="B648" s="46" t="str">
        <x:v>L2025-00003-1/Parliament Bidding Document (Eng, Rus)/Rus/RUS_Section 4-6 - Requirements_Digitalization_Parliament.docx</x:v>
      </x:c>
      <x:c r="C648" s="43" t="str">
        <x:v>.docx</x:v>
      </x:c>
      <x:c r="D648" s="61" t="n">
        <x:v>2470431</x:v>
      </x:c>
      <x:c r="E648" s="61" t="n">
        <x:v>748</x:v>
      </x:c>
      <x:c r="F648" s="61" t="n">
        <x:v>0</x:v>
      </x:c>
    </x:row>
    <x:row r="649">
      <x:c r="A649" s="43" t="str">
        <x:v>L2025-00003-1</x:v>
      </x:c>
      <x:c r="B649" s="46" t="str">
        <x:v>L2025-00003-1/Parliament Bidding Document (Eng, Rus)/Rus/RUS_Section 4-6 - Requirements_rus_Ur_upd.docx</x:v>
      </x:c>
      <x:c r="C649" s="43" t="str">
        <x:v>.docx</x:v>
      </x:c>
      <x:c r="D649" s="61" t="n">
        <x:v>2474694</x:v>
      </x:c>
      <x:c r="E649" s="61" t="n">
        <x:v>748</x:v>
      </x:c>
      <x:c r="F649" s="61" t="n">
        <x:v>0</x:v>
      </x:c>
    </x:row>
    <x:row r="650">
      <x:c r="A650" s="43" t="str">
        <x:v>L2025-00003-1</x:v>
      </x:c>
      <x:c r="B650" s="46" t="str">
        <x:v>L2025-00003-1/Parliament Bidding Document (Eng, Rus)/Rus/RUS_Section 9 - Contract Forms_Digitalization_Parliament_v1.docx</x:v>
      </x:c>
      <x:c r="C650" s="43" t="str">
        <x:v>.docx</x:v>
      </x:c>
      <x:c r="D650" s="61" t="n">
        <x:v>18328</x:v>
      </x:c>
      <x:c r="E650" s="61" t="n">
        <x:v>30</x:v>
      </x:c>
      <x:c r="F650" s="61" t="n">
        <x:v>0</x:v>
      </x:c>
    </x:row>
    <x:row r="651">
      <x:c r="A651" s="43" t="str">
        <x:v>L2025-00003-1</x:v>
      </x:c>
      <x:c r="B651" s="46" t="str">
        <x:v>L2025-00003-1/Parliament Bidding Document (Eng, Rus)/Rus/RUS_Section_1_Instructions_to_Bidders_ITB_Digitalization_Parliament.docx</x:v>
      </x:c>
      <x:c r="C651" s="43" t="str">
        <x:v>.docx</x:v>
      </x:c>
      <x:c r="D651" s="61" t="n">
        <x:v>40163</x:v>
      </x:c>
      <x:c r="E651" s="61" t="n">
        <x:v>165</x:v>
      </x:c>
      <x:c r="F651" s="61" t="n">
        <x:v>0</x:v>
      </x:c>
    </x:row>
    <x:row r="652">
      <x:c r="A652" s="43" t="str">
        <x:v>L2025-00003-1</x:v>
      </x:c>
      <x:c r="B652" s="46" t="str">
        <x:v>L2025-00003-1/Parliament Bidding Document (Eng, Rus)/Rus/RUS_Section_7_General_Conditions_of_Contract_v1_Digitalization_Parliament.docx</x:v>
      </x:c>
      <x:c r="C652" s="43" t="str">
        <x:v>.docx</x:v>
      </x:c>
      <x:c r="D652" s="61" t="n">
        <x:v>200355</x:v>
      </x:c>
      <x:c r="E652" s="61" t="n">
        <x:v>1542</x:v>
      </x:c>
      <x:c r="F652" s="61" t="n">
        <x:v>0</x:v>
      </x:c>
    </x:row>
    <x:row r="653">
      <x:c r="A653" s="43" t="str">
        <x:v>L2025-00003-1</x:v>
      </x:c>
      <x:c r="B653" s="46" t="str">
        <x:v>L2025-00003-1/Parliament Bidding Document (Eng, Rus)/Rus/RUS_Section_8_Special_Conditions_of_Contract_Digitalization_Parliament.docx</x:v>
      </x:c>
      <x:c r="C653" s="43" t="str">
        <x:v>.docx</x:v>
      </x:c>
      <x:c r="D653" s="61" t="n">
        <x:v>72601</x:v>
      </x:c>
      <x:c r="E653" s="61" t="n">
        <x:v>260</x:v>
      </x:c>
      <x:c r="F653" s="61" t="n">
        <x:v>0</x:v>
      </x:c>
    </x:row>
    <x:row r="654">
      <x:c r="A654" s="43" t="str">
        <x:v>L2025-00002-1</x:v>
      </x:c>
      <x:c r="B654" s="46" t="str">
        <x:v>L2025-00002-1/Section 1 - Instructions to Bidders (ITB).pdf</x:v>
      </x:c>
      <x:c r="C654" s="43" t="str">
        <x:v>.pdf</x:v>
      </x:c>
      <x:c r="D654" s="61" t="n">
        <x:v>165225</x:v>
      </x:c>
      <x:c r="E654" s="61" t="n">
        <x:v>13</x:v>
      </x:c>
      <x:c r="F654" s="61" t="n">
        <x:v>0</x:v>
      </x:c>
    </x:row>
    <x:row r="655">
      <x:c r="A655" s="43" t="str">
        <x:v>L2025-00002-1</x:v>
      </x:c>
      <x:c r="B655" s="46" t="str">
        <x:v>L2025-00002-1/Section 10 - Pledges(Additional Form).zip</x:v>
      </x:c>
      <x:c r="C655" s="43" t="str">
        <x:v>.zip</x:v>
      </x:c>
      <x:c r="D655" s="61" t="n">
        <x:v>85586</x:v>
      </x:c>
      <x:c r="E655" s="61" t="n">
        <x:v>0</x:v>
      </x:c>
      <x:c r="F655" s="61" t="n">
        <x:v>0</x:v>
      </x:c>
    </x:row>
    <x:row r="656">
      <x:c r="A656" s="43" t="str">
        <x:v>L2025-00002-1</x:v>
      </x:c>
      <x:c r="B656" s="46" t="str">
        <x:v>L2025-00002-1/Section 10 - Pledges(Additional Form)/Action Pledge to Integrate Human Rights into Business Management of International Development Cooperation Projects (▒╣┴ª░│╣▀╟∙╖┬╗τ╛≈ └╬▒╟░µ┐╡ ╜╟├╡ ╝¡╛α╝¡).docx</x:v>
      </x:c>
      <x:c r="C656" s="43" t="str">
        <x:v>.docx</x:v>
      </x:c>
      <x:c r="D656" s="61" t="n">
        <x:v>19215</x:v>
      </x:c>
      <x:c r="E656" s="61" t="n">
        <x:v>16</x:v>
      </x:c>
      <x:c r="F656" s="61" t="n">
        <x:v>0</x:v>
      </x:c>
    </x:row>
    <x:row r="657">
      <x:c r="A657" s="43" t="str">
        <x:v>L2025-00002-1</x:v>
      </x:c>
      <x:c r="B657" s="46" t="str">
        <x:v>L2025-00002-1/Section 10 - Pledges(Additional Form)/Declaration of Anti_Corruption (╣▌║╬╞╨ ╝▒╛≡╝¡).docx</x:v>
      </x:c>
      <x:c r="C657" s="43" t="str">
        <x:v>.docx</x:v>
      </x:c>
      <x:c r="D657" s="61" t="n">
        <x:v>23026</x:v>
      </x:c>
      <x:c r="E657" s="61" t="n">
        <x:v>38</x:v>
      </x:c>
      <x:c r="F657" s="61" t="n">
        <x:v>0</x:v>
      </x:c>
    </x:row>
    <x:row r="658">
      <x:c r="A658" s="43" t="str">
        <x:v>L2025-00002-1</x:v>
      </x:c>
      <x:c r="B658" s="46" t="str">
        <x:v>L2025-00002-1/Section 10 - Pledges(Additional Form)/Fair Contract Pledge Letter (░°┴ñ░Φ╛α ╝¡╛α╝¡).docx</x:v>
      </x:c>
      <x:c r="C658" s="43" t="str">
        <x:v>.docx</x:v>
      </x:c>
      <x:c r="D658" s="61" t="n">
        <x:v>18756</x:v>
      </x:c>
      <x:c r="E658" s="61" t="n">
        <x:v>20</x:v>
      </x:c>
      <x:c r="F658" s="61" t="n">
        <x:v>0</x:v>
      </x:c>
    </x:row>
    <x:row r="659">
      <x:c r="A659" s="43" t="str">
        <x:v>L2025-00002-1</x:v>
      </x:c>
      <x:c r="B659" s="46" t="str">
        <x:v>L2025-00002-1/Section 10 - Pledges(Additional Form)/Integrity Pledge (├╗╖┼░Φ╛α╝¡).docx</x:v>
      </x:c>
      <x:c r="C659" s="43" t="str">
        <x:v>.docx</x:v>
      </x:c>
      <x:c r="D659" s="61" t="n">
        <x:v>36507</x:v>
      </x:c>
      <x:c r="E659" s="61" t="n">
        <x:v>17</x:v>
      </x:c>
      <x:c r="F659" s="61" t="n">
        <x:v>0</x:v>
      </x:c>
    </x:row>
    <x:row r="660">
      <x:c r="A660" s="43" t="str">
        <x:v>L2025-00002-1</x:v>
      </x:c>
      <x:c r="B660" s="46" t="str">
        <x:v>L2025-00002-1/Section 2 - Bid Data Sheet_Final.docx</x:v>
      </x:c>
      <x:c r="C660" s="43" t="str">
        <x:v>.docx</x:v>
      </x:c>
      <x:c r="D660" s="61" t="n">
        <x:v>67488</x:v>
      </x:c>
      <x:c r="E660" s="61" t="n">
        <x:v>243</x:v>
      </x:c>
      <x:c r="F660" s="61" t="n">
        <x:v>6</x:v>
      </x:c>
    </x:row>
    <x:row r="661">
      <x:c r="A661" s="43" t="str">
        <x:v>L2025-00002-1</x:v>
      </x:c>
      <x:c r="B661" s="46" t="str">
        <x:v>L2025-00002-1/Section 2 - Bid Data Sheet_Final.pdf</x:v>
      </x:c>
      <x:c r="C661" s="43" t="str">
        <x:v>.pdf</x:v>
      </x:c>
      <x:c r="D661" s="61" t="n">
        <x:v>420119</x:v>
      </x:c>
      <x:c r="E661" s="61" t="n">
        <x:v>18</x:v>
      </x:c>
      <x:c r="F661" s="61" t="n">
        <x:v>11</x:v>
      </x:c>
    </x:row>
    <x:row r="662">
      <x:c r="A662" s="43" t="str">
        <x:v>L2025-00002-1</x:v>
      </x:c>
      <x:c r="B662" s="46" t="str">
        <x:v>L2025-00002-1/Section 3 - Bidding Forms_Final.docx</x:v>
      </x:c>
      <x:c r="C662" s="43" t="str">
        <x:v>.docx</x:v>
      </x:c>
      <x:c r="D662" s="61" t="n">
        <x:v>50099</x:v>
      </x:c>
      <x:c r="E662" s="61" t="n">
        <x:v>225</x:v>
      </x:c>
      <x:c r="F662" s="61" t="n">
        <x:v>0</x:v>
      </x:c>
    </x:row>
    <x:row r="663">
      <x:c r="A663" s="43" t="str">
        <x:v>L2025-00002-1</x:v>
      </x:c>
      <x:c r="B663" s="46" t="str">
        <x:v>L2025-00002-1/Section 7 - General Conditions of Contract.docx</x:v>
      </x:c>
      <x:c r="C663" s="43" t="str">
        <x:v>.docx</x:v>
      </x:c>
      <x:c r="D663" s="61" t="n">
        <x:v>203654</x:v>
      </x:c>
      <x:c r="E663" s="61" t="n">
        <x:v>1406</x:v>
      </x:c>
      <x:c r="F663" s="61" t="n">
        <x:v>2</x:v>
      </x:c>
    </x:row>
    <x:row r="664">
      <x:c r="A664" s="43" t="str">
        <x:v>L2025-00002-1</x:v>
      </x:c>
      <x:c r="B664" s="46" t="str">
        <x:v>L2025-00002-1/Section 8 - Special Conditions of Contract.docx</x:v>
      </x:c>
      <x:c r="C664" s="43" t="str">
        <x:v>.docx</x:v>
      </x:c>
      <x:c r="D664" s="61" t="n">
        <x:v>61076</x:v>
      </x:c>
      <x:c r="E664" s="61" t="n">
        <x:v>292</x:v>
      </x:c>
      <x:c r="F664" s="61" t="n">
        <x:v>1</x:v>
      </x:c>
    </x:row>
    <x:row r="665">
      <x:c r="A665" s="43" t="str">
        <x:v>L2025-00002-1</x:v>
      </x:c>
      <x:c r="B665" s="46" t="str">
        <x:v>L2025-00002-1/Section 9 - Contract Forms.docx</x:v>
      </x:c>
      <x:c r="C665" s="43" t="str">
        <x:v>.docx</x:v>
      </x:c>
      <x:c r="D665" s="61" t="n">
        <x:v>38414</x:v>
      </x:c>
      <x:c r="E665" s="61" t="n">
        <x:v>30</x:v>
      </x:c>
      <x:c r="F665" s="61" t="n">
        <x:v>0</x:v>
      </x:c>
    </x:row>
    <x:row r="666">
      <x:c r="A666" s="43" t="str">
        <x:v>L2024-00079-1</x:v>
      </x:c>
      <x:c r="B666" s="46" t="str">
        <x:v>L2024-00079-1/2. 포카라시 녹색일자리 창출사업 시공사 선정 BID DOCUMENTS(영문)_241217.docx</x:v>
      </x:c>
      <x:c r="C666" s="43" t="str">
        <x:v>.docx</x:v>
      </x:c>
      <x:c r="D666" s="61" t="n">
        <x:v>80211</x:v>
      </x:c>
      <x:c r="E666" s="61" t="n">
        <x:v>360</x:v>
      </x:c>
      <x:c r="F666" s="61" t="n">
        <x:v>3</x:v>
      </x:c>
    </x:row>
    <x:row r="667">
      <x:c r="A667" s="43" t="str">
        <x:v>L2024-00078-1</x:v>
      </x:c>
      <x:c r="B667" s="46" t="str">
        <x:v>L2024-00078-1/(241219) 입찰 계획서(국문)_CM, 조달 의견 반영_v05_클린.hwp</x:v>
      </x:c>
      <x:c r="C667" s="43" t="str">
        <x:v>.hwp</x:v>
      </x:c>
      <x:c r="D667" s="61" t="n">
        <x:v>182784</x:v>
      </x:c>
      <x:c r="E667" s="61" t="n">
        <x:v>497</x:v>
      </x:c>
      <x:c r="F667" s="61" t="n">
        <x:v>3</x:v>
      </x:c>
    </x:row>
    <x:row r="668">
      <x:c r="A668" s="43" t="str">
        <x:v>L2024-00078-1</x:v>
      </x:c>
      <x:c r="B668" s="46" t="str">
        <x:v>L2024-00078-1/★ Field Orientation Information.docx</x:v>
      </x:c>
      <x:c r="C668" s="43" t="str">
        <x:v>.docx</x:v>
      </x:c>
      <x:c r="D668" s="61" t="n">
        <x:v>1672659</x:v>
      </x:c>
      <x:c r="E668" s="61" t="n">
        <x:v>16</x:v>
      </x:c>
      <x:c r="F668" s="61" t="n">
        <x:v>4</x:v>
      </x:c>
    </x:row>
    <x:row r="669">
      <x:c r="A669" s="43" t="str">
        <x:v>L2024-00078-1</x:v>
      </x:c>
      <x:c r="B669" s="46" t="str">
        <x:v>L2024-00078-1/0. Attachment_MVC (Construction)_fin.zip</x:v>
      </x:c>
      <x:c r="C669" s="43" t="str">
        <x:v>.zip</x:v>
      </x:c>
      <x:c r="D669" s="61" t="n">
        <x:v>1496624</x:v>
      </x:c>
      <x:c r="E669" s="61" t="n">
        <x:v>0</x:v>
      </x:c>
      <x:c r="F669" s="61" t="n">
        <x:v>0</x:v>
      </x:c>
    </x:row>
    <x:row r="670">
      <x:c r="A670" s="43" t="str">
        <x:v>L2024-00078-1</x:v>
      </x:c>
      <x:c r="B670" s="46" t="str">
        <x:v>L2024-00078-1/0. Attachment_MVC (Construction)_fin/Attachment 1. KOICA Detailed Enforcement Rules of the Regulations for Procurement and Contract in Grant Aid Projects_20190503.pdf</x:v>
      </x:c>
      <x:c r="C670" s="43" t="str">
        <x:v>.pdf</x:v>
      </x:c>
      <x:c r="D670" s="61" t="n">
        <x:v>554876</x:v>
      </x:c>
      <x:c r="E670" s="61" t="n">
        <x:v>123</x:v>
      </x:c>
      <x:c r="F670" s="61" t="n">
        <x:v>8</x:v>
      </x:c>
    </x:row>
    <x:row r="671">
      <x:c r="A671" s="43" t="str">
        <x:v>L2024-00078-1</x:v>
      </x:c>
      <x:c r="B671" s="46" t="str">
        <x:v>L2024-00078-1/0. Attachment_MVC (Construction)_fin/Attachment 2. KOICA Regulations for International Procurement_20190304.pdf</x:v>
      </x:c>
      <x:c r="C671" s="43" t="str">
        <x:v>.pdf</x:v>
      </x:c>
      <x:c r="D671" s="61" t="n">
        <x:v>375625</x:v>
      </x:c>
      <x:c r="E671" s="61" t="n">
        <x:v>55</x:v>
      </x:c>
      <x:c r="F671" s="61" t="n">
        <x:v>1</x:v>
      </x:c>
    </x:row>
    <x:row r="672">
      <x:c r="A672" s="43" t="str">
        <x:v>L2024-00078-1</x:v>
      </x:c>
      <x:c r="B672" s="46" t="str">
        <x:v>L2024-00078-1/0. Attachment_MVC (Construction)_fin/Attachment 3. KOICA Regulations for Procurement and Contract in Grant Aid Projects_20190520.pdf</x:v>
      </x:c>
      <x:c r="C672" s="43" t="str">
        <x:v>.pdf</x:v>
      </x:c>
      <x:c r="D672" s="61" t="n">
        <x:v>157627</x:v>
      </x:c>
      <x:c r="E672" s="61" t="n">
        <x:v>33</x:v>
      </x:c>
      <x:c r="F672" s="61" t="n">
        <x:v>2</x:v>
      </x:c>
    </x:row>
    <x:row r="673">
      <x:c r="A673" s="43" t="str">
        <x:v>L2024-00078-1</x:v>
      </x:c>
      <x:c r="B673" s="46" t="str">
        <x:v>L2024-00078-1/0. Attachment_MVC (Construction)_fin/Attachment 4. KOICA Safety Management Manual(ENG).pdf</x:v>
      </x:c>
      <x:c r="C673" s="43" t="str">
        <x:v>.pdf</x:v>
      </x:c>
      <x:c r="D673" s="61" t="n">
        <x:v>378337</x:v>
      </x:c>
      <x:c r="E673" s="61" t="n">
        <x:v>37</x:v>
      </x:c>
      <x:c r="F673" s="61" t="n">
        <x:v>4</x:v>
      </x:c>
    </x:row>
    <x:row r="674">
      <x:c r="A674" s="43" t="str">
        <x:v>L2024-00078-1</x:v>
      </x:c>
      <x:c r="B674" s="46" t="str">
        <x:v>L2024-00078-1/0. Attachment_MVC (Construction)_fin/Attachment 5. Scope of Works_MVC Construction.pdf</x:v>
      </x:c>
      <x:c r="C674" s="43" t="str">
        <x:v>.pdf</x:v>
      </x:c>
      <x:c r="D674" s="61" t="n">
        <x:v>210488</x:v>
      </x:c>
      <x:c r="E674" s="61" t="n">
        <x:v>9</x:v>
      </x:c>
      <x:c r="F674" s="61" t="n">
        <x:v>2</x:v>
      </x:c>
    </x:row>
    <x:row r="675">
      <x:c r="A675" s="43" t="str">
        <x:v>L2024-00078-1</x:v>
      </x:c>
      <x:c r="B675" s="46" t="str">
        <x:v>L2024-00078-1/0. Cover sheet_MVC Construction_CM_v05_CLEAN.docx</x:v>
      </x:c>
      <x:c r="C675" s="43" t="str">
        <x:v>.docx</x:v>
      </x:c>
      <x:c r="D675" s="61" t="n">
        <x:v>34534</x:v>
      </x:c>
      <x:c r="E675" s="61" t="n">
        <x:v>38</x:v>
      </x:c>
      <x:c r="F675" s="61" t="n">
        <x:v>0</x:v>
      </x:c>
    </x:row>
    <x:row r="676">
      <x:c r="A676" s="43" t="str">
        <x:v>L2024-00078-1</x:v>
      </x:c>
      <x:c r="B676" s="46" t="str">
        <x:v>L2024-00078-1/Section 1 Instructions to Bidder_MVC Construction_v05_CLEAN.docx</x:v>
      </x:c>
      <x:c r="C676" s="43" t="str">
        <x:v>.docx</x:v>
      </x:c>
      <x:c r="D676" s="61" t="n">
        <x:v>36381</x:v>
      </x:c>
      <x:c r="E676" s="61" t="n">
        <x:v>154</x:v>
      </x:c>
      <x:c r="F676" s="61" t="n">
        <x:v>0</x:v>
      </x:c>
    </x:row>
    <x:row r="677">
      <x:c r="A677" s="43" t="str">
        <x:v>L2024-00078-1</x:v>
      </x:c>
      <x:c r="B677" s="46" t="str">
        <x:v>L2024-00078-1/Section 2 Bid data sheet_MVC Construction_v05_CLEAN.docx</x:v>
      </x:c>
      <x:c r="C677" s="43" t="str">
        <x:v>.docx</x:v>
      </x:c>
      <x:c r="D677" s="61" t="n">
        <x:v>1706234</x:v>
      </x:c>
      <x:c r="E677" s="61" t="n">
        <x:v>204</x:v>
      </x:c>
      <x:c r="F677" s="61" t="n">
        <x:v>6</x:v>
      </x:c>
    </x:row>
    <x:row r="678">
      <x:c r="A678" s="43" t="str">
        <x:v>L2024-00078-1</x:v>
      </x:c>
      <x:c r="B678" s="46" t="str">
        <x:v>L2024-00078-1/Section 3 Bidding Forms_MVC Construction_v05_CLEAN.docx</x:v>
      </x:c>
      <x:c r="C678" s="43" t="str">
        <x:v>.docx</x:v>
      </x:c>
      <x:c r="D678" s="61" t="n">
        <x:v>60106</x:v>
      </x:c>
      <x:c r="E678" s="61" t="n">
        <x:v>188</x:v>
      </x:c>
      <x:c r="F678" s="61" t="n">
        <x:v>0</x:v>
      </x:c>
    </x:row>
    <x:row r="679">
      <x:c r="A679" s="43" t="str">
        <x:v>L2024-00078-1</x:v>
      </x:c>
      <x:c r="B679" s="46" t="str">
        <x:v>L2024-00078-1/Section 4_BOQ (BLANK sin PRICE)- MVC PROJECT_fin.xlsx</x:v>
      </x:c>
      <x:c r="C679" s="43" t="str">
        <x:v>.xlsx</x:v>
      </x:c>
      <x:c r="D679" s="61" t="n">
        <x:v>65728</x:v>
      </x:c>
      <x:c r="E679" s="61" t="n">
        <x:v>443</x:v>
      </x:c>
      <x:c r="F679" s="61" t="n">
        <x:v>0</x:v>
      </x:c>
    </x:row>
    <x:row r="680">
      <x:c r="A680" s="43" t="str">
        <x:v>L2024-00078-1</x:v>
      </x:c>
      <x:c r="B680" s="46" t="str">
        <x:v>L2024-00078-1/Section 6_Specification_fin.zip</x:v>
      </x:c>
      <x:c r="C680" s="43" t="str">
        <x:v>.zip</x:v>
      </x:c>
      <x:c r="D680" s="61" t="n">
        <x:v>2700536</x:v>
      </x:c>
      <x:c r="E680" s="61" t="n">
        <x:v>0</x:v>
      </x:c>
      <x:c r="F680" s="61" t="n">
        <x:v>0</x:v>
      </x:c>
    </x:row>
    <x:row r="681">
      <x:c r="A681" s="43" t="str">
        <x:v>L2024-00078-1</x:v>
      </x:c>
      <x:c r="B681" s="46" t="str">
        <x:v>L2024-00078-1/Section 6_Specification_fin/ARCH– LANDSCAPING FULL SPECIFICATIONS.pdf</x:v>
      </x:c>
      <x:c r="C681" s="43" t="str">
        <x:v>.pdf</x:v>
      </x:c>
      <x:c r="D681" s="61" t="n">
        <x:v>1344562</x:v>
      </x:c>
      <x:c r="E681" s="61" t="n">
        <x:v>51</x:v>
      </x:c>
      <x:c r="F681" s="61" t="n">
        <x:v>2</x:v>
      </x:c>
    </x:row>
    <x:row r="682">
      <x:c r="A682" s="43" t="str">
        <x:v>L2024-00078-1</x:v>
      </x:c>
      <x:c r="B682" s="46" t="str">
        <x:v>L2024-00078-1/Section 6_Specification_fin/CIVIL WORKS FULL SPECIFICATIONS.pdf</x:v>
      </x:c>
      <x:c r="C682" s="43" t="str">
        <x:v>.pdf</x:v>
      </x:c>
      <x:c r="D682" s="61" t="n">
        <x:v>679669</x:v>
      </x:c>
      <x:c r="E682" s="61" t="n">
        <x:v>36</x:v>
      </x:c>
      <x:c r="F682" s="61" t="n">
        <x:v>1</x:v>
      </x:c>
    </x:row>
    <x:row r="683">
      <x:c r="A683" s="43" t="str">
        <x:v>L2024-00078-1</x:v>
      </x:c>
      <x:c r="B683" s="46" t="str">
        <x:v>L2024-00078-1/Section 6_Specification_fin/DATA AND COMUNICATION - IT FULL SPECIFICATION .pdf</x:v>
      </x:c>
      <x:c r="C683" s="43" t="str">
        <x:v>.pdf</x:v>
      </x:c>
      <x:c r="D683" s="61" t="n">
        <x:v>118244</x:v>
      </x:c>
      <x:c r="E683" s="61" t="n">
        <x:v>5</x:v>
      </x:c>
      <x:c r="F683" s="61" t="n">
        <x:v>1</x:v>
      </x:c>
    </x:row>
    <x:row r="684">
      <x:c r="A684" s="43" t="str">
        <x:v>L2024-00078-1</x:v>
      </x:c>
      <x:c r="B684" s="46" t="str">
        <x:v>L2024-00078-1/Section 6_Specification_fin/ELECTRICAL FULL SPECIFICATIONS .pdf</x:v>
      </x:c>
      <x:c r="C684" s="43" t="str">
        <x:v>.pdf</x:v>
      </x:c>
      <x:c r="D684" s="61" t="n">
        <x:v>155007</x:v>
      </x:c>
      <x:c r="E684" s="61" t="n">
        <x:v>8</x:v>
      </x:c>
      <x:c r="F684" s="61" t="n">
        <x:v>1</x:v>
      </x:c>
    </x:row>
    <x:row r="685">
      <x:c r="A685" s="43" t="str">
        <x:v>L2024-00078-1</x:v>
      </x:c>
      <x:c r="B685" s="46" t="str">
        <x:v>L2024-00078-1/Section 6_Specification_fin/FIRE ALARM TECHNICAL SPECIFICATION.docx.pdf</x:v>
      </x:c>
      <x:c r="C685" s="43" t="str">
        <x:v>.pdf</x:v>
      </x:c>
      <x:c r="D685" s="61" t="n">
        <x:v>225271</x:v>
      </x:c>
      <x:c r="E685" s="61" t="n">
        <x:v>15</x:v>
      </x:c>
      <x:c r="F685" s="61" t="n">
        <x:v>0</x:v>
      </x:c>
    </x:row>
    <x:row r="686">
      <x:c r="A686" s="43" t="str">
        <x:v>L2024-00078-1</x:v>
      </x:c>
      <x:c r="B686" s="46" t="str">
        <x:v>L2024-00078-1/Section 6_Specification_fin/HVAC Full specifications.pdf</x:v>
      </x:c>
      <x:c r="C686" s="43" t="str">
        <x:v>.pdf</x:v>
      </x:c>
      <x:c r="D686" s="61" t="n">
        <x:v>339925</x:v>
      </x:c>
      <x:c r="E686" s="61" t="n">
        <x:v>9</x:v>
      </x:c>
      <x:c r="F686" s="61" t="n">
        <x:v>0</x:v>
      </x:c>
    </x:row>
    <x:row r="687">
      <x:c r="A687" s="43" t="str">
        <x:v>L2024-00078-1</x:v>
      </x:c>
      <x:c r="B687" s="46" t="str">
        <x:v>L2024-00078-1/Section 6_Specification_fin/HYDROSANITARY FULL SPECIFICATIONS.pdf</x:v>
      </x:c>
      <x:c r="C687" s="43" t="str">
        <x:v>.pdf</x:v>
      </x:c>
      <x:c r="D687" s="61" t="n">
        <x:v>354766</x:v>
      </x:c>
      <x:c r="E687" s="61" t="n">
        <x:v>35</x:v>
      </x:c>
      <x:c r="F687" s="61" t="n">
        <x:v>3</x:v>
      </x:c>
    </x:row>
    <x:row r="688">
      <x:c r="A688" s="43" t="str">
        <x:v>L2024-00078-1</x:v>
      </x:c>
      <x:c r="B688" s="46" t="str">
        <x:v>L2024-00078-1/Section 7 General Conditions_MVC Construction_v05_CLEAN.docx</x:v>
      </x:c>
      <x:c r="C688" s="43" t="str">
        <x:v>.docx</x:v>
      </x:c>
      <x:c r="D688" s="61" t="n">
        <x:v>169302</x:v>
      </x:c>
      <x:c r="E688" s="61" t="n">
        <x:v>1403</x:v>
      </x:c>
      <x:c r="F688" s="61" t="n">
        <x:v>2</x:v>
      </x:c>
    </x:row>
    <x:row r="689">
      <x:c r="A689" s="43" t="str">
        <x:v>L2024-00078-1</x:v>
      </x:c>
      <x:c r="B689" s="46" t="str">
        <x:v>L2024-00078-1/Section 8 Special Conditions_MVC Construction_v05_CLEAN.docx</x:v>
      </x:c>
      <x:c r="C689" s="43" t="str">
        <x:v>.docx</x:v>
      </x:c>
      <x:c r="D689" s="61" t="n">
        <x:v>38591</x:v>
      </x:c>
      <x:c r="E689" s="61" t="n">
        <x:v>25</x:v>
      </x:c>
      <x:c r="F689" s="61" t="n">
        <x:v>1</x:v>
      </x:c>
    </x:row>
    <x:row r="690">
      <x:c r="A690" s="43" t="str">
        <x:v>L2024-00078-1</x:v>
      </x:c>
      <x:c r="B690" s="46" t="str">
        <x:v>L2024-00078-1/Section 9 Contract Forms_MVC Construction_v05_CLEAN.docx</x:v>
      </x:c>
      <x:c r="C690" s="43" t="str">
        <x:v>.docx</x:v>
      </x:c>
      <x:c r="D690" s="61" t="n">
        <x:v>37257</x:v>
      </x:c>
      <x:c r="E690" s="61" t="n">
        <x:v>25</x:v>
      </x:c>
      <x:c r="F690" s="61" t="n">
        <x:v>0</x:v>
      </x:c>
    </x:row>
    <x:row r="691">
      <x:c r="A691" s="43" t="str">
        <x:v>L2024-00076-1</x:v>
      </x:c>
      <x:c r="B691" s="46" t="str">
        <x:v>L2024-00076-1/1. 페루 시험 퇴비화 플랜트 국문입찰공고문.hwp</x:v>
      </x:c>
      <x:c r="C691" s="43" t="str">
        <x:v>.hwp</x:v>
      </x:c>
      <x:c r="D691" s="61" t="n">
        <x:v>65024</x:v>
      </x:c>
      <x:c r="E691" s="61" t="n">
        <x:v>439</x:v>
      </x:c>
      <x:c r="F691" s="61" t="n">
        <x:v>2</x:v>
      </x:c>
    </x:row>
    <x:row r="692">
      <x:c r="A692" s="43" t="str">
        <x:v>L2024-00075-1</x:v>
      </x:c>
      <x:c r="B692" s="46" t="str">
        <x:v>L2024-00075-1/Section 1 - Instructions to Bidders (ITB).pdf</x:v>
      </x:c>
      <x:c r="C692" s="43" t="str">
        <x:v>.pdf</x:v>
      </x:c>
      <x:c r="D692" s="61" t="n">
        <x:v>165281</x:v>
      </x:c>
      <x:c r="E692" s="61" t="n">
        <x:v>13</x:v>
      </x:c>
      <x:c r="F692" s="61" t="n">
        <x:v>0</x:v>
      </x:c>
    </x:row>
    <x:row r="693">
      <x:c r="A693" s="43" t="str">
        <x:v>L2024-00075-1</x:v>
      </x:c>
      <x:c r="B693" s="46" t="str">
        <x:v>L2024-00075-1/Section 2 - Bid Data Sheet (영문)_수정_1118.docx</x:v>
      </x:c>
      <x:c r="C693" s="43" t="str">
        <x:v>.docx</x:v>
      </x:c>
      <x:c r="D693" s="61" t="n">
        <x:v>56241</x:v>
      </x:c>
      <x:c r="E693" s="61" t="n">
        <x:v>213</x:v>
      </x:c>
      <x:c r="F693" s="61" t="n">
        <x:v>5</x:v>
      </x:c>
    </x:row>
    <x:row r="694">
      <x:c r="A694" s="43" t="str">
        <x:v>L2024-00075-1</x:v>
      </x:c>
      <x:c r="B694" s="46" t="str">
        <x:v>L2024-00075-1/Section 2 - Bid Data Sheet_1120.pdf</x:v>
      </x:c>
      <x:c r="C694" s="43" t="str">
        <x:v>.pdf</x:v>
      </x:c>
      <x:c r="D694" s="61" t="n">
        <x:v>775555</x:v>
      </x:c>
      <x:c r="E694" s="61" t="n">
        <x:v>16</x:v>
      </x:c>
      <x:c r="F694" s="61" t="n">
        <x:v>9</x:v>
      </x:c>
    </x:row>
    <x:row r="695">
      <x:c r="A695" s="43" t="str">
        <x:v>L2024-00075-1</x:v>
      </x:c>
      <x:c r="B695" s="46" t="str">
        <x:v>L2024-00075-1/Section 3 - Bidding Forms_수정.docx</x:v>
      </x:c>
      <x:c r="C695" s="43" t="str">
        <x:v>.docx</x:v>
      </x:c>
      <x:c r="D695" s="61" t="n">
        <x:v>43489</x:v>
      </x:c>
      <x:c r="E695" s="61" t="n">
        <x:v>166</x:v>
      </x:c>
      <x:c r="F695" s="61" t="n">
        <x:v>0</x:v>
      </x:c>
    </x:row>
    <x:row r="696">
      <x:c r="A696" s="43" t="str">
        <x:v>L2024-00075-1</x:v>
      </x:c>
      <x:c r="B696" s="46" t="str">
        <x:v>L2024-00075-1/Section 7 - General Conditions of Contract.docx</x:v>
      </x:c>
      <x:c r="C696" s="43" t="str">
        <x:v>.docx</x:v>
      </x:c>
      <x:c r="D696" s="61" t="n">
        <x:v>202912</x:v>
      </x:c>
      <x:c r="E696" s="61" t="n">
        <x:v>1406</x:v>
      </x:c>
      <x:c r="F696" s="61" t="n">
        <x:v>2</x:v>
      </x:c>
    </x:row>
    <x:row r="697">
      <x:c r="A697" s="43" t="str">
        <x:v>L2024-00075-1</x:v>
      </x:c>
      <x:c r="B697" s="46" t="str">
        <x:v>L2024-00075-1/Section 8 - Special Conditions of Contract.docx</x:v>
      </x:c>
      <x:c r="C697" s="43" t="str">
        <x:v>.docx</x:v>
      </x:c>
      <x:c r="D697" s="61" t="n">
        <x:v>60774</x:v>
      </x:c>
      <x:c r="E697" s="61" t="n">
        <x:v>292</x:v>
      </x:c>
      <x:c r="F697" s="61" t="n">
        <x:v>1</x:v>
      </x:c>
    </x:row>
    <x:row r="698">
      <x:c r="A698" s="43" t="str">
        <x:v>L2024-00075-1</x:v>
      </x:c>
      <x:c r="B698" s="46" t="str">
        <x:v>L2024-00075-1/Section 9 - Contract Forms.docx</x:v>
      </x:c>
      <x:c r="C698" s="43" t="str">
        <x:v>.docx</x:v>
      </x:c>
      <x:c r="D698" s="61" t="n">
        <x:v>38159</x:v>
      </x:c>
      <x:c r="E698" s="61" t="n">
        <x:v>30</x:v>
      </x:c>
      <x:c r="F698" s="61" t="n">
        <x:v>0</x:v>
      </x:c>
    </x:row>
    <x:row r="699">
      <x:c r="A699" s="43" t="str">
        <x:v>L2024-00075-1</x:v>
      </x:c>
      <x:c r="B699" s="46" t="str">
        <x:v>L2024-00075-1/Section 9 - Pledges.zip</x:v>
      </x:c>
      <x:c r="C699" s="43" t="str">
        <x:v>.zip</x:v>
      </x:c>
      <x:c r="D699" s="61" t="n">
        <x:v>69143</x:v>
      </x:c>
      <x:c r="E699" s="61" t="n">
        <x:v>0</x:v>
      </x:c>
      <x:c r="F699" s="61" t="n">
        <x:v>0</x:v>
      </x:c>
    </x:row>
    <x:row r="700">
      <x:c r="A700" s="43" t="str">
        <x:v>L2024-00075-1</x:v>
      </x:c>
      <x:c r="B700" s="46" t="str">
        <x:v>L2024-00075-1/Section 9 - Pledges/Declaration of Anti_Corruption (╣▌║╬╞╨ ╝▒╛≡╝¡).docx</x:v>
      </x:c>
      <x:c r="C700" s="43" t="str">
        <x:v>.docx</x:v>
      </x:c>
      <x:c r="D700" s="61" t="n">
        <x:v>23026</x:v>
      </x:c>
      <x:c r="E700" s="61" t="n">
        <x:v>38</x:v>
      </x:c>
      <x:c r="F700" s="61" t="n">
        <x:v>0</x:v>
      </x:c>
    </x:row>
    <x:row r="701">
      <x:c r="A701" s="43" t="str">
        <x:v>L2024-00075-1</x:v>
      </x:c>
      <x:c r="B701" s="46" t="str">
        <x:v>L2024-00075-1/Section 9 - Pledges/Fair Contract Pledge Letter (░°┴ñ░Φ╛α ╝¡╛α╝¡).docx</x:v>
      </x:c>
      <x:c r="C701" s="43" t="str">
        <x:v>.docx</x:v>
      </x:c>
      <x:c r="D701" s="61" t="n">
        <x:v>18756</x:v>
      </x:c>
      <x:c r="E701" s="61" t="n">
        <x:v>20</x:v>
      </x:c>
      <x:c r="F701" s="61" t="n">
        <x:v>0</x:v>
      </x:c>
    </x:row>
    <x:row r="702">
      <x:c r="A702" s="43" t="str">
        <x:v>L2024-00075-1</x:v>
      </x:c>
      <x:c r="B702" s="46" t="str">
        <x:v>L2024-00075-1/Section 9 - Pledges/Integrity Pledge (├╗╖┼░Φ╛α╝¡).docx</x:v>
      </x:c>
      <x:c r="C702" s="43" t="str">
        <x:v>.docx</x:v>
      </x:c>
      <x:c r="D702" s="61" t="n">
        <x:v>36507</x:v>
      </x:c>
      <x:c r="E702" s="61" t="n">
        <x:v>17</x:v>
      </x:c>
      <x:c r="F702" s="61" t="n">
        <x:v>0</x:v>
      </x:c>
    </x:row>
    <x:row r="703">
      <x:c r="A703" s="43" t="str">
        <x:v>L2024-00075-1</x:v>
      </x:c>
      <x:c r="B703" s="46" t="str">
        <x:v>L2024-00075-1/Sectoin 5 - Drawings.pdf</x:v>
      </x:c>
      <x:c r="C703" s="43" t="str">
        <x:v>.pdf</x:v>
      </x:c>
      <x:c r="D703" s="61" t="n">
        <x:v>30439979</x:v>
      </x:c>
      <x:c r="E703" s="61" t="n">
        <x:v>117</x:v>
      </x:c>
      <x:c r="F703" s="61" t="n">
        <x:v>15</x:v>
      </x:c>
    </x:row>
    <x:row r="704">
      <x:c r="A704" s="43" t="str">
        <x:v>L2024-00075-1</x:v>
      </x:c>
      <x:c r="B704" s="46" t="str">
        <x:v>L2024-00075-1/Summary of Bidding (요약본).docx</x:v>
      </x:c>
      <x:c r="C704" s="43" t="str">
        <x:v>.docx</x:v>
      </x:c>
      <x:c r="D704" s="61" t="n">
        <x:v>59754</x:v>
      </x:c>
      <x:c r="E704" s="61" t="n">
        <x:v>40</x:v>
      </x:c>
      <x:c r="F704" s="61" t="n">
        <x:v>3</x:v>
      </x:c>
    </x:row>
    <x:row r="705">
      <x:c r="A705" s="43" t="str">
        <x:v>L2024-00074-1</x:v>
      </x:c>
      <x:c r="B705" s="46" t="str">
        <x:v>L2024-00074-1/2.Bidding Summary 2024_ KOICA.docx</x:v>
      </x:c>
      <x:c r="C705" s="43" t="str">
        <x:v>.docx</x:v>
      </x:c>
      <x:c r="D705" s="61" t="n">
        <x:v>31849</x:v>
      </x:c>
      <x:c r="E705" s="61" t="n">
        <x:v>42</x:v>
      </x:c>
      <x:c r="F705" s="61" t="n">
        <x:v>1</x:v>
      </x:c>
    </x:row>
    <x:row r="706">
      <x:c r="A706" s="43" t="str">
        <x:v>L2024-00074-1</x:v>
      </x:c>
      <x:c r="B706" s="46" t="str">
        <x:v>L2024-00074-1/3.Section 2 - Bid Data Sheet (영문)_1031.docx</x:v>
      </x:c>
      <x:c r="C706" s="43" t="str">
        <x:v>.docx</x:v>
      </x:c>
      <x:c r="D706" s="61" t="n">
        <x:v>54097</x:v>
      </x:c>
      <x:c r="E706" s="61" t="n">
        <x:v>162</x:v>
      </x:c>
      <x:c r="F706" s="61" t="n">
        <x:v>9</x:v>
      </x:c>
    </x:row>
    <x:row r="707">
      <x:c r="A707" s="43" t="str">
        <x:v>L2024-00074-1</x:v>
      </x:c>
      <x:c r="B707" s="46" t="str">
        <x:v>L2024-00074-1/4_1.Summary for the list of items_241104.xlsx</x:v>
      </x:c>
      <x:c r="C707" s="43" t="str">
        <x:v>.xlsx</x:v>
      </x:c>
      <x:c r="D707" s="61" t="n">
        <x:v>22475</x:v>
      </x:c>
      <x:c r="E707" s="61" t="n">
        <x:v>32</x:v>
      </x:c>
      <x:c r="F707" s="61" t="n">
        <x:v>0</x:v>
      </x:c>
    </x:row>
    <x:row r="708">
      <x:c r="A708" s="43" t="str">
        <x:v>L2024-00074-1</x:v>
      </x:c>
      <x:c r="B708" s="46" t="str">
        <x:v>L2024-00074-1/4_2.Technical specifition_241104.hwp</x:v>
      </x:c>
      <x:c r="C708" s="43" t="str">
        <x:v>.hwp</x:v>
      </x:c>
      <x:c r="D708" s="61" t="n">
        <x:v>11594240</x:v>
      </x:c>
      <x:c r="E708" s="61" t="n">
        <x:v>644</x:v>
      </x:c>
      <x:c r="F708" s="61" t="n">
        <x:v>1</x:v>
      </x:c>
    </x:row>
    <x:row r="709">
      <x:c r="A709" s="43" t="str">
        <x:v>L2024-00074-1</x:v>
      </x:c>
      <x:c r="B709" s="46" t="str">
        <x:v>L2024-00074-1/5.Other relevant documents.zip</x:v>
      </x:c>
      <x:c r="C709" s="43" t="str">
        <x:v>.zip</x:v>
      </x:c>
      <x:c r="D709" s="61" t="n">
        <x:v>547072</x:v>
      </x:c>
      <x:c r="E709" s="61" t="n">
        <x:v>0</x:v>
      </x:c>
      <x:c r="F709" s="61" t="n">
        <x:v>0</x:v>
      </x:c>
    </x:row>
    <x:row r="710">
      <x:c r="A710" s="43" t="str">
        <x:v>L2024-00074-1</x:v>
      </x:c>
      <x:c r="B710" s="46" t="str">
        <x:v>L2024-00074-1/5.Other relevant documents/Power of Attorney for the authority to sign and execute contracts (░Φ╛α╝¡ ╝¡╕φ▒╟╟╤ └º└╙└σ).docx</x:v>
      </x:c>
      <x:c r="C710" s="43" t="str">
        <x:v>.docx</x:v>
      </x:c>
      <x:c r="D710" s="61" t="n">
        <x:v>18622</x:v>
      </x:c>
      <x:c r="E710" s="61" t="n">
        <x:v>15</x:v>
      </x:c>
      <x:c r="F710" s="61" t="n">
        <x:v>0</x:v>
      </x:c>
    </x:row>
    <x:row r="711">
      <x:c r="A711" s="43" t="str">
        <x:v>L2024-00074-1</x:v>
      </x:c>
      <x:c r="B711" s="46" t="str">
        <x:v>L2024-00074-1/5.Other relevant documents/Section 1 - Instructions to Bidders (ITB) - ╝÷┴ñ(240731).zip</x:v>
      </x:c>
      <x:c r="C711" s="43" t="str">
        <x:v>.zip</x:v>
      </x:c>
      <x:c r="D711" s="61" t="n">
        <x:v>271274</x:v>
      </x:c>
      <x:c r="E711" s="61" t="n">
        <x:v>0</x:v>
      </x:c>
      <x:c r="F711" s="61" t="n">
        <x:v>0</x:v>
      </x:c>
    </x:row>
    <x:row r="712">
      <x:c r="A712" s="43" t="str">
        <x:v>L2024-00074-1</x:v>
      </x:c>
      <x:c r="B712" s="46" t="str">
        <x:v>L2024-00074-1/5.Other relevant documents/Section 3 - Bidding Forms.docx</x:v>
      </x:c>
      <x:c r="C712" s="43" t="str">
        <x:v>.docx</x:v>
      </x:c>
      <x:c r="D712" s="61" t="n">
        <x:v>42975</x:v>
      </x:c>
      <x:c r="E712" s="61" t="n">
        <x:v>144</x:v>
      </x:c>
      <x:c r="F712" s="61" t="n">
        <x:v>0</x:v>
      </x:c>
    </x:row>
    <x:row r="713">
      <x:c r="A713" s="43" t="str">
        <x:v>L2024-00074-1</x:v>
      </x:c>
      <x:c r="B713" s="46" t="str">
        <x:v>L2024-00074-1/5.Other relevant documents/Section 6 - General Conditions of Contract.docx</x:v>
      </x:c>
      <x:c r="C713" s="43" t="str">
        <x:v>.docx</x:v>
      </x:c>
      <x:c r="D713" s="61" t="n">
        <x:v>36210</x:v>
      </x:c>
      <x:c r="E713" s="61" t="n">
        <x:v>173</x:v>
      </x:c>
      <x:c r="F713" s="61" t="n">
        <x:v>0</x:v>
      </x:c>
    </x:row>
    <x:row r="714">
      <x:c r="A714" s="43" t="str">
        <x:v>L2024-00074-1</x:v>
      </x:c>
      <x:c r="B714" s="46" t="str">
        <x:v>L2024-00074-1/5.Other relevant documents/Section 7 - Specail Conditions of Contract.docx</x:v>
      </x:c>
      <x:c r="C714" s="43" t="str">
        <x:v>.docx</x:v>
      </x:c>
      <x:c r="D714" s="61" t="n">
        <x:v>46951</x:v>
      </x:c>
      <x:c r="E714" s="61" t="n">
        <x:v>196</x:v>
      </x:c>
      <x:c r="F714" s="61" t="n">
        <x:v>0</x:v>
      </x:c>
    </x:row>
    <x:row r="715">
      <x:c r="A715" s="43" t="str">
        <x:v>L2024-00074-1</x:v>
      </x:c>
      <x:c r="B715" s="46" t="str">
        <x:v>L2024-00074-1/5.Other relevant documents/Section 8 - Contract Forms.docx</x:v>
      </x:c>
      <x:c r="C715" s="43" t="str">
        <x:v>.docx</x:v>
      </x:c>
      <x:c r="D715" s="61" t="n">
        <x:v>29744</x:v>
      </x:c>
      <x:c r="E715" s="61" t="n">
        <x:v>94</x:v>
      </x:c>
      <x:c r="F715" s="61" t="n">
        <x:v>0</x:v>
      </x:c>
    </x:row>
    <x:row r="716">
      <x:c r="A716" s="43" t="str">
        <x:v>L2024-00074-1</x:v>
      </x:c>
      <x:c r="B716" s="46" t="str">
        <x:v>L2024-00074-1/5.Other relevant documents/Section 8 - Pledges.zip</x:v>
      </x:c>
      <x:c r="C716" s="43" t="str">
        <x:v>.zip</x:v>
      </x:c>
      <x:c r="D716" s="61" t="n">
        <x:v>69143</x:v>
      </x:c>
      <x:c r="E716" s="61" t="n">
        <x:v>0</x:v>
      </x:c>
      <x:c r="F716" s="61" t="n">
        <x:v>0</x:v>
      </x:c>
    </x:row>
    <x:row r="717">
      <x:c r="A717" s="43" t="str">
        <x:v>L2024-00074-1</x:v>
      </x:c>
      <x:c r="B717" s="46" t="str">
        <x:v>L2024-00074-1/5.Other relevant documents/Section x - ░Φ╛α╝¡.hwp</x:v>
      </x:c>
      <x:c r="C717" s="43" t="str">
        <x:v>.hwp</x:v>
      </x:c>
      <x:c r="D717" s="61" t="n">
        <x:v>59392</x:v>
      </x:c>
      <x:c r="E717" s="61" t="n">
        <x:v>279</x:v>
      </x:c>
      <x:c r="F717" s="61" t="n">
        <x:v>0</x:v>
      </x:c>
    </x:row>
    <x:row r="718">
      <x:c r="A718" s="43" t="str">
        <x:v>L2024-00072-1</x:v>
      </x:c>
      <x:c r="B718" s="46" t="str">
        <x:v>L2024-00072-1/1. 국영문 입찰계획안 우간다 마케레레.zip</x:v>
      </x:c>
      <x:c r="C718" s="43" t="str">
        <x:v>.zip</x:v>
      </x:c>
      <x:c r="D718" s="61" t="n">
        <x:v>107072</x:v>
      </x:c>
      <x:c r="E718" s="61" t="n">
        <x:v>0</x:v>
      </x:c>
      <x:c r="F718" s="61" t="n">
        <x:v>0</x:v>
      </x:c>
    </x:row>
    <x:row r="719">
      <x:c r="A719" s="43" t="str">
        <x:v>L2024-00072-1</x:v>
      </x:c>
      <x:c r="B719" s="46" t="str">
        <x:v>L2024-00072-1/1. 국영문 입찰계획안 우간다 마케레레/Section 2 - (국문) 입찰공고문 (BDS)_20240930 최종.hwp</x:v>
      </x:c>
      <x:c r="C719" s="43" t="str">
        <x:v>.hwp</x:v>
      </x:c>
      <x:c r="D719" s="61" t="n">
        <x:v>69120</x:v>
      </x:c>
      <x:c r="E719" s="61" t="n">
        <x:v>511</x:v>
      </x:c>
      <x:c r="F719" s="61" t="n">
        <x:v>0</x:v>
      </x:c>
    </x:row>
    <x:row r="720">
      <x:c r="A720" s="43" t="str">
        <x:v>L2024-00072-1</x:v>
      </x:c>
      <x:c r="B720" s="46" t="str">
        <x:v>L2024-00072-1/1. 국영문 입찰계획안 우간다 마케레레/Section 2 - Bid Data Sheet (BDS)_20240930_CM검토.docx</x:v>
      </x:c>
      <x:c r="C720" s="43" t="str">
        <x:v>.docx</x:v>
      </x:c>
      <x:c r="D720" s="61" t="n">
        <x:v>52249</x:v>
      </x:c>
      <x:c r="E720" s="61" t="n">
        <x:v>249</x:v>
      </x:c>
      <x:c r="F720" s="61" t="n">
        <x:v>2</x:v>
      </x:c>
    </x:row>
    <x:row r="721">
      <x:c r="A721" s="43" t="str">
        <x:v>L2024-00072-1</x:v>
      </x:c>
      <x:c r="B721" s="46" t="str">
        <x:v>L2024-00072-1/2. 입찰문서 각 1부 우간다 마케레레.zip</x:v>
      </x:c>
      <x:c r="C721" s="43" t="str">
        <x:v>.zip</x:v>
      </x:c>
      <x:c r="D721" s="61" t="n">
        <x:v>1149146</x:v>
      </x:c>
      <x:c r="E721" s="61" t="n">
        <x:v>0</x:v>
      </x:c>
      <x:c r="F721" s="61" t="n">
        <x:v>0</x:v>
      </x:c>
    </x:row>
    <x:row r="722">
      <x:c r="A722" s="43" t="str">
        <x:v>L2024-00072-1</x:v>
      </x:c>
      <x:c r="B722" s="46" t="str">
        <x:v>L2024-00072-1/2. 입찰문서 각 1부 우간다 마케레레/Section 1 - Instructions to Bidders (ITB)_수정.zip</x:v>
      </x:c>
      <x:c r="C722" s="43" t="str">
        <x:v>.zip</x:v>
      </x:c>
      <x:c r="D722" s="61" t="n">
        <x:v>216319</x:v>
      </x:c>
      <x:c r="E722" s="61" t="n">
        <x:v>0</x:v>
      </x:c>
      <x:c r="F722" s="61" t="n">
        <x:v>0</x:v>
      </x:c>
    </x:row>
    <x:row r="723">
      <x:c r="A723" s="43" t="str">
        <x:v>L2024-00072-1</x:v>
      </x:c>
      <x:c r="B723" s="46" t="str">
        <x:v>L2024-00072-1/2. 입찰문서 각 1부 우간다 마케레레/Section 3 - Bidding Forms_수정.docx</x:v>
      </x:c>
      <x:c r="C723" s="43" t="str">
        <x:v>.docx</x:v>
      </x:c>
      <x:c r="D723" s="61" t="n">
        <x:v>60170</x:v>
      </x:c>
      <x:c r="E723" s="61" t="n">
        <x:v>286</x:v>
      </x:c>
      <x:c r="F723" s="61" t="n">
        <x:v>0</x:v>
      </x:c>
    </x:row>
    <x:row r="724">
      <x:c r="A724" s="43" t="str">
        <x:v>L2024-00072-1</x:v>
      </x:c>
      <x:c r="B724" s="46" t="str">
        <x:v>L2024-00072-1/2. 입찰문서 각 1부 우간다 마케레레/Section 4 - Request for Proposal.docx</x:v>
      </x:c>
      <x:c r="C724" s="43" t="str">
        <x:v>.docx</x:v>
      </x:c>
      <x:c r="D724" s="61" t="n">
        <x:v>699094</x:v>
      </x:c>
      <x:c r="E724" s="61" t="n">
        <x:v>399</x:v>
      </x:c>
      <x:c r="F724" s="61" t="n">
        <x:v>4</x:v>
      </x:c>
    </x:row>
    <x:row r="725">
      <x:c r="A725" s="43" t="str">
        <x:v>L2024-00072-1</x:v>
      </x:c>
      <x:c r="B725" s="46" t="str">
        <x:v>L2024-00072-1/2. 입찰문서 각 1부 우간다 마케레레/Section 5 - Reference Documents.zip</x:v>
      </x:c>
      <x:c r="C725" s="43" t="str">
        <x:v>.zip</x:v>
      </x:c>
      <x:c r="D725" s="61" t="n">
        <x:v>18929</x:v>
      </x:c>
      <x:c r="E725" s="61" t="n">
        <x:v>0</x:v>
      </x:c>
      <x:c r="F725" s="61" t="n">
        <x:v>0</x:v>
      </x:c>
    </x:row>
    <x:row r="726">
      <x:c r="A726" s="43" t="str">
        <x:v>L2024-00072-1</x:v>
      </x:c>
      <x:c r="B726" s="46" t="str">
        <x:v>L2024-00072-1/2. 입찰문서 각 1부 우간다 마케레레/Section 6 - General Conditions of Contract.docx</x:v>
      </x:c>
      <x:c r="C726" s="43" t="str">
        <x:v>.docx</x:v>
      </x:c>
      <x:c r="D726" s="61" t="n">
        <x:v>34911</x:v>
      </x:c>
      <x:c r="E726" s="61" t="n">
        <x:v>179</x:v>
      </x:c>
      <x:c r="F726" s="61" t="n">
        <x:v>0</x:v>
      </x:c>
    </x:row>
    <x:row r="727">
      <x:c r="A727" s="43" t="str">
        <x:v>L2024-00072-1</x:v>
      </x:c>
      <x:c r="B727" s="46" t="str">
        <x:v>L2024-00072-1/2. 입찰문서 각 1부 우간다 마케레레/Section 7 - Specail Conditions of Contract.docx</x:v>
      </x:c>
      <x:c r="C727" s="43" t="str">
        <x:v>.docx</x:v>
      </x:c>
      <x:c r="D727" s="61" t="n">
        <x:v>25735</x:v>
      </x:c>
      <x:c r="E727" s="61" t="n">
        <x:v>33</x:v>
      </x:c>
      <x:c r="F727" s="61" t="n">
        <x:v>0</x:v>
      </x:c>
    </x:row>
    <x:row r="728">
      <x:c r="A728" s="43" t="str">
        <x:v>L2024-00072-1</x:v>
      </x:c>
      <x:c r="B728" s="46" t="str">
        <x:v>L2024-00072-1/2. 입찰문서 각 1부 우간다 마케레레/Section 8 - Contract Forms.docx</x:v>
      </x:c>
      <x:c r="C728" s="43" t="str">
        <x:v>.docx</x:v>
      </x:c>
      <x:c r="D728" s="61" t="n">
        <x:v>22992</x:v>
      </x:c>
      <x:c r="E728" s="61" t="n">
        <x:v>93</x:v>
      </x:c>
      <x:c r="F728" s="61" t="n">
        <x:v>0</x:v>
      </x:c>
    </x:row>
    <x:row r="729">
      <x:c r="A729" s="43" t="str">
        <x:v>L2024-00072-1</x:v>
      </x:c>
      <x:c r="B729" s="46" t="str">
        <x:v>L2024-00072-1/2. 입찰문서 각 1부 우간다 마케레레/Section 9 - Pledges.zip</x:v>
      </x:c>
      <x:c r="C729" s="43" t="str">
        <x:v>.zip</x:v>
      </x:c>
      <x:c r="D729" s="61" t="n">
        <x:v>69143</x:v>
      </x:c>
      <x:c r="E729" s="61" t="n">
        <x:v>0</x:v>
      </x:c>
      <x:c r="F729" s="61" t="n">
        <x:v>0</x:v>
      </x:c>
    </x:row>
    <x:row r="730">
      <x:c r="A730" s="43" t="str">
        <x:v>L2024-00072-1</x:v>
      </x:c>
      <x:c r="B730" s="46" t="str">
        <x:v>L2024-00072-1/2. 입찰문서 각 1부 우간다 마케레레/Summary of Bidding (요약본)_수정.docx</x:v>
      </x:c>
      <x:c r="C730" s="43" t="str">
        <x:v>.docx</x:v>
      </x:c>
      <x:c r="D730" s="61" t="n">
        <x:v>34891</x:v>
      </x:c>
      <x:c r="E730" s="61" t="n">
        <x:v>40</x:v>
      </x:c>
      <x:c r="F730" s="61" t="n">
        <x:v>3</x:v>
      </x:c>
    </x:row>
    <x:row r="731">
      <x:c r="A731" s="43" t="str">
        <x:v>L2024-00068-2</x:v>
      </x:c>
      <x:c r="B731" s="46" t="str">
        <x:v>L2024-00068-2/Power of Attorney for the authority to sign and execute contracts (계약서 서명권한 위임장).docx</x:v>
      </x:c>
      <x:c r="C731" s="43" t="str">
        <x:v>.docx</x:v>
      </x:c>
      <x:c r="D731" s="61" t="n">
        <x:v>18759</x:v>
      </x:c>
      <x:c r="E731" s="61" t="n">
        <x:v>15</x:v>
      </x:c>
      <x:c r="F731" s="61" t="n">
        <x:v>0</x:v>
      </x:c>
    </x:row>
    <x:row r="732">
      <x:c r="A732" s="43" t="str">
        <x:v>L2024-00068-2</x:v>
      </x:c>
      <x:c r="B732" s="46" t="str">
        <x:v>L2024-00068-2/Section 1 - Instructions to Bidders (ITB) (240731).zip</x:v>
      </x:c>
      <x:c r="C732" s="43" t="str">
        <x:v>.zip</x:v>
      </x:c>
      <x:c r="D732" s="61" t="n">
        <x:v>417232</x:v>
      </x:c>
      <x:c r="E732" s="61" t="n">
        <x:v>0</x:v>
      </x:c>
      <x:c r="F732" s="61" t="n">
        <x:v>0</x:v>
      </x:c>
    </x:row>
    <x:row r="733">
      <x:c r="A733" s="43" t="str">
        <x:v>L2024-00068-2</x:v>
      </x:c>
      <x:c r="B733" s="46" t="str">
        <x:v>L2024-00068-2/Section 1 - Instructions to Bidders (ITB) (240731)/Section 1 - ▒╣┴ª└╘┬√└»└╟╝¡ (ITB).hwp</x:v>
      </x:c>
      <x:c r="C733" s="43" t="str">
        <x:v>.hwp</x:v>
      </x:c>
      <x:c r="D733" s="61" t="n">
        <x:v>164352</x:v>
      </x:c>
      <x:c r="E733" s="61" t="n">
        <x:v>135</x:v>
      </x:c>
      <x:c r="F733" s="61" t="n">
        <x:v>0</x:v>
      </x:c>
    </x:row>
    <x:row r="734">
      <x:c r="A734" s="43" t="str">
        <x:v>L2024-00068-2</x:v>
      </x:c>
      <x:c r="B734" s="46" t="str">
        <x:v>L2024-00068-2/Section 1 - Instructions to Bidders (ITB) (240731)/Section 1 - Instructions to Bidders (ITB).hwp</x:v>
      </x:c>
      <x:c r="C734" s="43" t="str">
        <x:v>.hwp</x:v>
      </x:c>
      <x:c r="D734" s="61" t="n">
        <x:v>165376</x:v>
      </x:c>
      <x:c r="E734" s="61" t="n">
        <x:v>165</x:v>
      </x:c>
      <x:c r="F734" s="61" t="n">
        <x:v>0</x:v>
      </x:c>
    </x:row>
    <x:row r="735">
      <x:c r="A735" s="43" t="str">
        <x:v>L2024-00068-2</x:v>
      </x:c>
      <x:c r="B735" s="46" t="str">
        <x:v>L2024-00068-2/Section 1 - Instructions to Bidders (ITB) (240731)/Section 1 - Instructions to Bidders (ITB).pdf</x:v>
      </x:c>
      <x:c r="C735" s="43" t="str">
        <x:v>.pdf</x:v>
      </x:c>
      <x:c r="D735" s="61" t="n">
        <x:v>165281</x:v>
      </x:c>
      <x:c r="E735" s="61" t="n">
        <x:v>13</x:v>
      </x:c>
      <x:c r="F735" s="61" t="n">
        <x:v>0</x:v>
      </x:c>
    </x:row>
    <x:row r="736">
      <x:c r="A736" s="43" t="str">
        <x:v>L2024-00068-2</x:v>
      </x:c>
      <x:c r="B736" s="46" t="str">
        <x:v>L2024-00068-2/Section 10 - Pledges.zip</x:v>
      </x:c>
      <x:c r="C736" s="43" t="str">
        <x:v>.zip</x:v>
      </x:c>
      <x:c r="D736" s="61" t="n">
        <x:v>69143</x:v>
      </x:c>
      <x:c r="E736" s="61" t="n">
        <x:v>0</x:v>
      </x:c>
      <x:c r="F736" s="61" t="n">
        <x:v>0</x:v>
      </x:c>
    </x:row>
    <x:row r="737">
      <x:c r="A737" s="43" t="str">
        <x:v>L2024-00068-2</x:v>
      </x:c>
      <x:c r="B737" s="46" t="str">
        <x:v>L2024-00068-2/Section 10 - Pledges/Declaration of Anti_Corruption (╣▌║╬╞╨ ╝▒╛≡╝¡).docx</x:v>
      </x:c>
      <x:c r="C737" s="43" t="str">
        <x:v>.docx</x:v>
      </x:c>
      <x:c r="D737" s="61" t="n">
        <x:v>23026</x:v>
      </x:c>
      <x:c r="E737" s="61" t="n">
        <x:v>38</x:v>
      </x:c>
      <x:c r="F737" s="61" t="n">
        <x:v>0</x:v>
      </x:c>
    </x:row>
    <x:row r="738">
      <x:c r="A738" s="43" t="str">
        <x:v>L2024-00068-2</x:v>
      </x:c>
      <x:c r="B738" s="46" t="str">
        <x:v>L2024-00068-2/Section 10 - Pledges/Fair Contract Pledge Letter (░°┴ñ░Φ╛α ╝¡╛α╝¡).docx</x:v>
      </x:c>
      <x:c r="C738" s="43" t="str">
        <x:v>.docx</x:v>
      </x:c>
      <x:c r="D738" s="61" t="n">
        <x:v>18756</x:v>
      </x:c>
      <x:c r="E738" s="61" t="n">
        <x:v>20</x:v>
      </x:c>
      <x:c r="F738" s="61" t="n">
        <x:v>0</x:v>
      </x:c>
    </x:row>
    <x:row r="739">
      <x:c r="A739" s="43" t="str">
        <x:v>L2024-00068-2</x:v>
      </x:c>
      <x:c r="B739" s="46" t="str">
        <x:v>L2024-00068-2/Section 10 - Pledges/Integrity Pledge (├╗╖┼░Φ╛α╝¡).docx</x:v>
      </x:c>
      <x:c r="C739" s="43" t="str">
        <x:v>.docx</x:v>
      </x:c>
      <x:c r="D739" s="61" t="n">
        <x:v>36507</x:v>
      </x:c>
      <x:c r="E739" s="61" t="n">
        <x:v>17</x:v>
      </x:c>
      <x:c r="F739" s="61" t="n">
        <x:v>0</x:v>
      </x:c>
    </x:row>
    <x:row r="740">
      <x:c r="A740" s="43" t="str">
        <x:v>L2024-00068-2</x:v>
      </x:c>
      <x:c r="B740" s="46" t="str">
        <x:v>L2024-00068-2/Section 11 - Bid Document Checklist_IPNETP Construction.xlsx</x:v>
      </x:c>
      <x:c r="C740" s="43" t="str">
        <x:v>.xlsx</x:v>
      </x:c>
      <x:c r="D740" s="61" t="n">
        <x:v>67399</x:v>
      </x:c>
      <x:c r="E740" s="61" t="n">
        <x:v>23</x:v>
      </x:c>
      <x:c r="F740" s="61" t="n">
        <x:v>4</x:v>
      </x:c>
    </x:row>
    <x:row r="741">
      <x:c r="A741" s="43" t="str">
        <x:v>L2024-00068-2</x:v>
      </x:c>
      <x:c r="B741" s="46" t="str">
        <x:v>L2024-00068-2/Section 2 - Bid Data Sheet (Written in English).docx</x:v>
      </x:c>
      <x:c r="C741" s="43" t="str">
        <x:v>.docx</x:v>
      </x:c>
      <x:c r="D741" s="61" t="n">
        <x:v>53917</x:v>
      </x:c>
      <x:c r="E741" s="61" t="n">
        <x:v>193</x:v>
      </x:c>
      <x:c r="F741" s="61" t="n">
        <x:v>3</x:v>
      </x:c>
    </x:row>
    <x:row r="742">
      <x:c r="A742" s="43" t="str">
        <x:v>L2024-00068-2</x:v>
      </x:c>
      <x:c r="B742" s="46" t="str">
        <x:v>L2024-00068-2/Section 3 - Bidding Forms.docx</x:v>
      </x:c>
      <x:c r="C742" s="43" t="str">
        <x:v>.docx</x:v>
      </x:c>
      <x:c r="D742" s="61" t="n">
        <x:v>49063</x:v>
      </x:c>
      <x:c r="E742" s="61" t="n">
        <x:v>223</x:v>
      </x:c>
      <x:c r="F742" s="61" t="n">
        <x:v>0</x:v>
      </x:c>
    </x:row>
    <x:row r="743">
      <x:c r="A743" s="43" t="str">
        <x:v>L2024-00068-2</x:v>
      </x:c>
      <x:c r="B743" s="46" t="str">
        <x:v>L2024-00068-2/Section 4 - DQE.zip</x:v>
      </x:c>
      <x:c r="C743" s="43" t="str">
        <x:v>.zip</x:v>
      </x:c>
      <x:c r="D743" s="61" t="n">
        <x:v>900873</x:v>
      </x:c>
      <x:c r="E743" s="61" t="n">
        <x:v>0</x:v>
      </x:c>
      <x:c r="F743" s="61" t="n">
        <x:v>0</x:v>
      </x:c>
    </x:row>
    <x:row r="744">
      <x:c r="A744" s="43" t="str">
        <x:v>L2024-00068-2</x:v>
      </x:c>
      <x:c r="B744" s="46" t="str">
        <x:v>L2024-00068-2/Section 4 - DQE/4-1. KOICA dqe confidentiel RECAP.pdf</x:v>
      </x:c>
      <x:c r="C744" s="43" t="str">
        <x:v>.pdf</x:v>
      </x:c>
      <x:c r="D744" s="61" t="n">
        <x:v>488693</x:v>
      </x:c>
      <x:c r="E744" s="61" t="n">
        <x:v>1</x:v>
      </x:c>
      <x:c r="F744" s="61" t="n">
        <x:v>0</x:v>
      </x:c>
    </x:row>
    <x:row r="745">
      <x:c r="A745" s="43" t="str">
        <x:v>L2024-00068-2</x:v>
      </x:c>
      <x:c r="B745" s="46" t="str">
        <x:v>L2024-00068-2/Section 4 - DQE/4-2. KOICA dqe confidentiel GENERALITE.pdf</x:v>
      </x:c>
      <x:c r="C745" s="43" t="str">
        <x:v>.pdf</x:v>
      </x:c>
      <x:c r="D745" s="61" t="n">
        <x:v>62846</x:v>
      </x:c>
      <x:c r="E745" s="61" t="n">
        <x:v>1</x:v>
      </x:c>
      <x:c r="F745" s="61" t="n">
        <x:v>0</x:v>
      </x:c>
    </x:row>
    <x:row r="746">
      <x:c r="A746" s="43" t="str">
        <x:v>L2024-00068-2</x:v>
      </x:c>
      <x:c r="B746" s="46" t="str">
        <x:v>L2024-00068-2/Section 4 - DQE/4-3. KOICA dqe confidentiel BATIMENT E.pdf</x:v>
      </x:c>
      <x:c r="C746" s="43" t="str">
        <x:v>.pdf</x:v>
      </x:c>
      <x:c r="D746" s="61" t="n">
        <x:v>104741</x:v>
      </x:c>
      <x:c r="E746" s="61" t="n">
        <x:v>2</x:v>
      </x:c>
      <x:c r="F746" s="61" t="n">
        <x:v>1</x:v>
      </x:c>
    </x:row>
    <x:row r="747">
      <x:c r="A747" s="43" t="str">
        <x:v>L2024-00068-2</x:v>
      </x:c>
      <x:c r="B747" s="46" t="str">
        <x:v>L2024-00068-2/Section 4 - DQE/4-4. KOICA dqe confidentiel TRAVAUX PRATIQUES.pdf</x:v>
      </x:c>
      <x:c r="C747" s="43" t="str">
        <x:v>.pdf</x:v>
      </x:c>
      <x:c r="D747" s="61" t="n">
        <x:v>117721</x:v>
      </x:c>
      <x:c r="E747" s="61" t="n">
        <x:v>2</x:v>
      </x:c>
      <x:c r="F747" s="61" t="n">
        <x:v>2</x:v>
      </x:c>
    </x:row>
    <x:row r="748">
      <x:c r="A748" s="43" t="str">
        <x:v>L2024-00068-2</x:v>
      </x:c>
      <x:c r="B748" s="46" t="str">
        <x:v>L2024-00068-2/Section 4 - DQE/4-5. KOICA dqe confidentiel AUTOMATISATION.pdf</x:v>
      </x:c>
      <x:c r="C748" s="43" t="str">
        <x:v>.pdf</x:v>
      </x:c>
      <x:c r="D748" s="61" t="n">
        <x:v>94207</x:v>
      </x:c>
      <x:c r="E748" s="61" t="n">
        <x:v>1</x:v>
      </x:c>
      <x:c r="F748" s="61" t="n">
        <x:v>1</x:v>
      </x:c>
    </x:row>
    <x:row r="749">
      <x:c r="A749" s="43" t="str">
        <x:v>L2024-00068-2</x:v>
      </x:c>
      <x:c r="B749" s="46" t="str">
        <x:v>L2024-00068-2/Section 4 - DQE/4-6. KOICA dqe confidentiel MECANIQUE GENERALE.pdf</x:v>
      </x:c>
      <x:c r="C749" s="43" t="str">
        <x:v>.pdf</x:v>
      </x:c>
      <x:c r="D749" s="61" t="n">
        <x:v>128307</x:v>
      </x:c>
      <x:c r="E749" s="61" t="n">
        <x:v>4</x:v>
      </x:c>
      <x:c r="F749" s="61" t="n">
        <x:v>4</x:v>
      </x:c>
    </x:row>
    <x:row r="750">
      <x:c r="A750" s="43" t="str">
        <x:v>L2024-00068-2</x:v>
      </x:c>
      <x:c r="B750" s="46" t="str">
        <x:v>L2024-00068-2/Section 5 - Drawings.zip</x:v>
      </x:c>
      <x:c r="C750" s="43" t="str">
        <x:v>.zip</x:v>
      </x:c>
      <x:c r="D750" s="61" t="n">
        <x:v>26745579</x:v>
      </x:c>
      <x:c r="E750" s="61" t="n">
        <x:v>0</x:v>
      </x:c>
      <x:c r="F750" s="61" t="n">
        <x:v>0</x:v>
      </x:c>
    </x:row>
    <x:row r="751">
      <x:c r="A751" s="43" t="str">
        <x:v>L2024-00068-2</x:v>
      </x:c>
      <x:c r="B751" s="46" t="str">
        <x:v>L2024-00068-2/Section 5 - Drawings/Studies at IPNETP ELETRICITY.zip</x:v>
      </x:c>
      <x:c r="C751" s="43" t="str">
        <x:v>.zip</x:v>
      </x:c>
      <x:c r="D751" s="61" t="n">
        <x:v>16979817</x:v>
      </x:c>
      <x:c r="E751" s="61" t="n">
        <x:v>0</x:v>
      </x:c>
      <x:c r="F751" s="61" t="n">
        <x:v>0</x:v>
      </x:c>
    </x:row>
    <x:row r="752">
      <x:c r="A752" s="43" t="str">
        <x:v>L2024-00068-2</x:v>
      </x:c>
      <x:c r="B752" s="46" t="str">
        <x:v>L2024-00068-2/Section 5 - Drawings/Study plans at IPNETP PLANNING AND PLUMBING.zip</x:v>
      </x:c>
      <x:c r="C752" s="43" t="str">
        <x:v>.zip</x:v>
      </x:c>
      <x:c r="D752" s="61" t="n">
        <x:v>9761942</x:v>
      </x:c>
      <x:c r="E752" s="61" t="n">
        <x:v>0</x:v>
      </x:c>
      <x:c r="F752" s="61" t="n">
        <x:v>0</x:v>
      </x:c>
    </x:row>
    <x:row r="753">
      <x:c r="A753" s="43" t="str">
        <x:v>L2024-00068-2</x:v>
      </x:c>
      <x:c r="B753" s="46" t="str">
        <x:v>L2024-00068-2/Section 6 - Scope of Work.docx</x:v>
      </x:c>
      <x:c r="C753" s="43" t="str">
        <x:v>.docx</x:v>
      </x:c>
      <x:c r="D753" s="61" t="n">
        <x:v>3934153</x:v>
      </x:c>
      <x:c r="E753" s="61" t="n">
        <x:v>546</x:v>
      </x:c>
      <x:c r="F753" s="61" t="n">
        <x:v>19</x:v>
      </x:c>
    </x:row>
    <x:row r="754">
      <x:c r="A754" s="43" t="str">
        <x:v>L2024-00068-2</x:v>
      </x:c>
      <x:c r="B754" s="46" t="str">
        <x:v>L2024-00068-2/Section 7 - General Conditions of Contract.docx</x:v>
      </x:c>
      <x:c r="C754" s="43" t="str">
        <x:v>.docx</x:v>
      </x:c>
      <x:c r="D754" s="61" t="n">
        <x:v>202912</x:v>
      </x:c>
      <x:c r="E754" s="61" t="n">
        <x:v>1406</x:v>
      </x:c>
      <x:c r="F754" s="61" t="n">
        <x:v>2</x:v>
      </x:c>
    </x:row>
    <x:row r="755">
      <x:c r="A755" s="43" t="str">
        <x:v>L2024-00068-2</x:v>
      </x:c>
      <x:c r="B755" s="46" t="str">
        <x:v>L2024-00068-2/Section 8 - Specail Conditions of Contract.docx</x:v>
      </x:c>
      <x:c r="C755" s="43" t="str">
        <x:v>.docx</x:v>
      </x:c>
      <x:c r="D755" s="61" t="n">
        <x:v>60774</x:v>
      </x:c>
      <x:c r="E755" s="61" t="n">
        <x:v>292</x:v>
      </x:c>
      <x:c r="F755" s="61" t="n">
        <x:v>1</x:v>
      </x:c>
    </x:row>
    <x:row r="756">
      <x:c r="A756" s="43" t="str">
        <x:v>L2024-00068-2</x:v>
      </x:c>
      <x:c r="B756" s="46" t="str">
        <x:v>L2024-00068-2/Section 9 - Contract Forms.docx</x:v>
      </x:c>
      <x:c r="C756" s="43" t="str">
        <x:v>.docx</x:v>
      </x:c>
      <x:c r="D756" s="61" t="n">
        <x:v>38159</x:v>
      </x:c>
      <x:c r="E756" s="61" t="n">
        <x:v>30</x:v>
      </x:c>
      <x:c r="F756" s="61" t="n">
        <x:v>0</x:v>
      </x:c>
    </x:row>
    <x:row r="757">
      <x:c r="A757" s="43" t="str">
        <x:v>L2024-00068-1</x:v>
      </x:c>
      <x:c r="B757" s="46" t="str">
        <x:v>L2024-00068-1/(붙임 1) 국문 입찰 계획서류_Bid Data Sheet (국문본)_IPNETP 사업 시공.hwp</x:v>
      </x:c>
      <x:c r="C757" s="43" t="str">
        <x:v>.hwp</x:v>
      </x:c>
      <x:c r="D757" s="61" t="n">
        <x:v>64000</x:v>
      </x:c>
      <x:c r="E757" s="61" t="n">
        <x:v>376</x:v>
      </x:c>
      <x:c r="F757" s="61" t="n">
        <x:v>2</x:v>
      </x:c>
    </x:row>
    <x:row r="758">
      <x:c r="A758" s="43" t="str">
        <x:v>L2024-00068-1</x:v>
      </x:c>
      <x:c r="B758" s="46" t="str">
        <x:v>L2024-00068-1/Power of Attorney for the authority to sign and execute contracts (계약서 서명권한 위임장).docx</x:v>
      </x:c>
      <x:c r="C758" s="43" t="str">
        <x:v>.docx</x:v>
      </x:c>
      <x:c r="D758" s="61" t="n">
        <x:v>18759</x:v>
      </x:c>
      <x:c r="E758" s="61" t="n">
        <x:v>15</x:v>
      </x:c>
      <x:c r="F758" s="61" t="n">
        <x:v>0</x:v>
      </x:c>
    </x:row>
    <x:row r="759">
      <x:c r="A759" s="43" t="str">
        <x:v>L2024-00068-1</x:v>
      </x:c>
      <x:c r="B759" s="46" t="str">
        <x:v>L2024-00068-1/Section 1 - Instructions to Bidders (ITB) (240731).zip</x:v>
      </x:c>
      <x:c r="C759" s="43" t="str">
        <x:v>.zip</x:v>
      </x:c>
      <x:c r="D759" s="61" t="n">
        <x:v>417232</x:v>
      </x:c>
      <x:c r="E759" s="61" t="n">
        <x:v>0</x:v>
      </x:c>
      <x:c r="F759" s="61" t="n">
        <x:v>0</x:v>
      </x:c>
    </x:row>
    <x:row r="760">
      <x:c r="A760" s="43" t="str">
        <x:v>L2024-00068-1</x:v>
      </x:c>
      <x:c r="B760" s="46" t="str">
        <x:v>L2024-00068-1/Section 1 - Instructions to Bidders (ITB) (240731)/Section 1 - ▒╣┴ª└╘┬√└»└╟╝¡ (ITB).hwp</x:v>
      </x:c>
      <x:c r="C760" s="43" t="str">
        <x:v>.hwp</x:v>
      </x:c>
      <x:c r="D760" s="61" t="n">
        <x:v>164352</x:v>
      </x:c>
      <x:c r="E760" s="61" t="n">
        <x:v>135</x:v>
      </x:c>
      <x:c r="F760" s="61" t="n">
        <x:v>0</x:v>
      </x:c>
    </x:row>
    <x:row r="761">
      <x:c r="A761" s="43" t="str">
        <x:v>L2024-00068-1</x:v>
      </x:c>
      <x:c r="B761" s="46" t="str">
        <x:v>L2024-00068-1/Section 1 - Instructions to Bidders (ITB) (240731)/Section 1 - Instructions to Bidders (ITB).hwp</x:v>
      </x:c>
      <x:c r="C761" s="43" t="str">
        <x:v>.hwp</x:v>
      </x:c>
      <x:c r="D761" s="61" t="n">
        <x:v>165376</x:v>
      </x:c>
      <x:c r="E761" s="61" t="n">
        <x:v>165</x:v>
      </x:c>
      <x:c r="F761" s="61" t="n">
        <x:v>0</x:v>
      </x:c>
    </x:row>
    <x:row r="762">
      <x:c r="A762" s="43" t="str">
        <x:v>L2024-00068-1</x:v>
      </x:c>
      <x:c r="B762" s="46" t="str">
        <x:v>L2024-00068-1/Section 1 - Instructions to Bidders (ITB) (240731)/Section 1 - Instructions to Bidders (ITB).pdf</x:v>
      </x:c>
      <x:c r="C762" s="43" t="str">
        <x:v>.pdf</x:v>
      </x:c>
      <x:c r="D762" s="61" t="n">
        <x:v>165281</x:v>
      </x:c>
      <x:c r="E762" s="61" t="n">
        <x:v>13</x:v>
      </x:c>
      <x:c r="F762" s="61" t="n">
        <x:v>0</x:v>
      </x:c>
    </x:row>
    <x:row r="763">
      <x:c r="A763" s="43" t="str">
        <x:v>L2024-00068-1</x:v>
      </x:c>
      <x:c r="B763" s="46" t="str">
        <x:v>L2024-00068-1/Section 10 - Pledges.zip</x:v>
      </x:c>
      <x:c r="C763" s="43" t="str">
        <x:v>.zip</x:v>
      </x:c>
      <x:c r="D763" s="61" t="n">
        <x:v>69143</x:v>
      </x:c>
      <x:c r="E763" s="61" t="n">
        <x:v>0</x:v>
      </x:c>
      <x:c r="F763" s="61" t="n">
        <x:v>0</x:v>
      </x:c>
    </x:row>
    <x:row r="764">
      <x:c r="A764" s="43" t="str">
        <x:v>L2024-00068-1</x:v>
      </x:c>
      <x:c r="B764" s="46" t="str">
        <x:v>L2024-00068-1/Section 10 - Pledges/Declaration of Anti_Corruption (╣▌║╬╞╨ ╝▒╛≡╝¡).docx</x:v>
      </x:c>
      <x:c r="C764" s="43" t="str">
        <x:v>.docx</x:v>
      </x:c>
      <x:c r="D764" s="61" t="n">
        <x:v>23026</x:v>
      </x:c>
      <x:c r="E764" s="61" t="n">
        <x:v>38</x:v>
      </x:c>
      <x:c r="F764" s="61" t="n">
        <x:v>0</x:v>
      </x:c>
    </x:row>
    <x:row r="765">
      <x:c r="A765" s="43" t="str">
        <x:v>L2024-00068-1</x:v>
      </x:c>
      <x:c r="B765" s="46" t="str">
        <x:v>L2024-00068-1/Section 10 - Pledges/Fair Contract Pledge Letter (░°┴ñ░Φ╛α ╝¡╛α╝¡).docx</x:v>
      </x:c>
      <x:c r="C765" s="43" t="str">
        <x:v>.docx</x:v>
      </x:c>
      <x:c r="D765" s="61" t="n">
        <x:v>18756</x:v>
      </x:c>
      <x:c r="E765" s="61" t="n">
        <x:v>20</x:v>
      </x:c>
      <x:c r="F765" s="61" t="n">
        <x:v>0</x:v>
      </x:c>
    </x:row>
    <x:row r="766">
      <x:c r="A766" s="43" t="str">
        <x:v>L2024-00068-1</x:v>
      </x:c>
      <x:c r="B766" s="46" t="str">
        <x:v>L2024-00068-1/Section 10 - Pledges/Integrity Pledge (├╗╖┼░Φ╛α╝¡).docx</x:v>
      </x:c>
      <x:c r="C766" s="43" t="str">
        <x:v>.docx</x:v>
      </x:c>
      <x:c r="D766" s="61" t="n">
        <x:v>36507</x:v>
      </x:c>
      <x:c r="E766" s="61" t="n">
        <x:v>17</x:v>
      </x:c>
      <x:c r="F766" s="61" t="n">
        <x:v>0</x:v>
      </x:c>
    </x:row>
    <x:row r="767">
      <x:c r="A767" s="43" t="str">
        <x:v>L2024-00068-1</x:v>
      </x:c>
      <x:c r="B767" s="46" t="str">
        <x:v>L2024-00068-1/Section 11 - Bid Document Checklist_IPNETP Construction.xlsx</x:v>
      </x:c>
      <x:c r="C767" s="43" t="str">
        <x:v>.xlsx</x:v>
      </x:c>
      <x:c r="D767" s="61" t="n">
        <x:v>66999</x:v>
      </x:c>
      <x:c r="E767" s="61" t="n">
        <x:v>23</x:v>
      </x:c>
      <x:c r="F767" s="61" t="n">
        <x:v>4</x:v>
      </x:c>
    </x:row>
    <x:row r="768">
      <x:c r="A768" s="43" t="str">
        <x:v>L2024-00068-1</x:v>
      </x:c>
      <x:c r="B768" s="46" t="str">
        <x:v>L2024-00068-1/Section 2 - Bid Data Sheet (Written in English).docx</x:v>
      </x:c>
      <x:c r="C768" s="43" t="str">
        <x:v>.docx</x:v>
      </x:c>
      <x:c r="D768" s="61" t="n">
        <x:v>54674</x:v>
      </x:c>
      <x:c r="E768" s="61" t="n">
        <x:v>193</x:v>
      </x:c>
      <x:c r="F768" s="61" t="n">
        <x:v>3</x:v>
      </x:c>
    </x:row>
    <x:row r="769">
      <x:c r="A769" s="43" t="str">
        <x:v>L2024-00068-1</x:v>
      </x:c>
      <x:c r="B769" s="46" t="str">
        <x:v>L2024-00068-1/Section 3 - Bidding Forms.docx</x:v>
      </x:c>
      <x:c r="C769" s="43" t="str">
        <x:v>.docx</x:v>
      </x:c>
      <x:c r="D769" s="61" t="n">
        <x:v>49139</x:v>
      </x:c>
      <x:c r="E769" s="61" t="n">
        <x:v>223</x:v>
      </x:c>
      <x:c r="F769" s="61" t="n">
        <x:v>0</x:v>
      </x:c>
    </x:row>
    <x:row r="770">
      <x:c r="A770" s="43" t="str">
        <x:v>L2024-00068-1</x:v>
      </x:c>
      <x:c r="B770" s="46" t="str">
        <x:v>L2024-00068-1/Section 4 - DQE.zip</x:v>
      </x:c>
      <x:c r="C770" s="43" t="str">
        <x:v>.zip</x:v>
      </x:c>
      <x:c r="D770" s="61" t="n">
        <x:v>900873</x:v>
      </x:c>
      <x:c r="E770" s="61" t="n">
        <x:v>0</x:v>
      </x:c>
      <x:c r="F770" s="61" t="n">
        <x:v>0</x:v>
      </x:c>
    </x:row>
    <x:row r="771">
      <x:c r="A771" s="43" t="str">
        <x:v>L2024-00068-1</x:v>
      </x:c>
      <x:c r="B771" s="46" t="str">
        <x:v>L2024-00068-1/Section 4 - DQE/4-1. KOICA dqe confidentiel RECAP.pdf</x:v>
      </x:c>
      <x:c r="C771" s="43" t="str">
        <x:v>.pdf</x:v>
      </x:c>
      <x:c r="D771" s="61" t="n">
        <x:v>488693</x:v>
      </x:c>
      <x:c r="E771" s="61" t="n">
        <x:v>1</x:v>
      </x:c>
      <x:c r="F771" s="61" t="n">
        <x:v>0</x:v>
      </x:c>
    </x:row>
    <x:row r="772">
      <x:c r="A772" s="43" t="str">
        <x:v>L2024-00068-1</x:v>
      </x:c>
      <x:c r="B772" s="46" t="str">
        <x:v>L2024-00068-1/Section 4 - DQE/4-2. KOICA dqe confidentiel GENERALITE.pdf</x:v>
      </x:c>
      <x:c r="C772" s="43" t="str">
        <x:v>.pdf</x:v>
      </x:c>
      <x:c r="D772" s="61" t="n">
        <x:v>62846</x:v>
      </x:c>
      <x:c r="E772" s="61" t="n">
        <x:v>1</x:v>
      </x:c>
      <x:c r="F772" s="61" t="n">
        <x:v>0</x:v>
      </x:c>
    </x:row>
    <x:row r="773">
      <x:c r="A773" s="43" t="str">
        <x:v>L2024-00068-1</x:v>
      </x:c>
      <x:c r="B773" s="46" t="str">
        <x:v>L2024-00068-1/Section 4 - DQE/4-3. KOICA dqe confidentiel BATIMENT E.pdf</x:v>
      </x:c>
      <x:c r="C773" s="43" t="str">
        <x:v>.pdf</x:v>
      </x:c>
      <x:c r="D773" s="61" t="n">
        <x:v>104741</x:v>
      </x:c>
      <x:c r="E773" s="61" t="n">
        <x:v>2</x:v>
      </x:c>
      <x:c r="F773" s="61" t="n">
        <x:v>1</x:v>
      </x:c>
    </x:row>
    <x:row r="774">
      <x:c r="A774" s="43" t="str">
        <x:v>L2024-00068-1</x:v>
      </x:c>
      <x:c r="B774" s="46" t="str">
        <x:v>L2024-00068-1/Section 4 - DQE/4-4. KOICA dqe confidentiel TRAVAUX PRATIQUES.pdf</x:v>
      </x:c>
      <x:c r="C774" s="43" t="str">
        <x:v>.pdf</x:v>
      </x:c>
      <x:c r="D774" s="61" t="n">
        <x:v>117721</x:v>
      </x:c>
      <x:c r="E774" s="61" t="n">
        <x:v>2</x:v>
      </x:c>
      <x:c r="F774" s="61" t="n">
        <x:v>2</x:v>
      </x:c>
    </x:row>
    <x:row r="775">
      <x:c r="A775" s="43" t="str">
        <x:v>L2024-00068-1</x:v>
      </x:c>
      <x:c r="B775" s="46" t="str">
        <x:v>L2024-00068-1/Section 4 - DQE/4-5. KOICA dqe confidentiel AUTOMATISATION.pdf</x:v>
      </x:c>
      <x:c r="C775" s="43" t="str">
        <x:v>.pdf</x:v>
      </x:c>
      <x:c r="D775" s="61" t="n">
        <x:v>94207</x:v>
      </x:c>
      <x:c r="E775" s="61" t="n">
        <x:v>1</x:v>
      </x:c>
      <x:c r="F775" s="61" t="n">
        <x:v>1</x:v>
      </x:c>
    </x:row>
    <x:row r="776">
      <x:c r="A776" s="43" t="str">
        <x:v>L2024-00068-1</x:v>
      </x:c>
      <x:c r="B776" s="46" t="str">
        <x:v>L2024-00068-1/Section 4 - DQE/4-6. KOICA dqe confidentiel MECANIQUE GENERALE.pdf</x:v>
      </x:c>
      <x:c r="C776" s="43" t="str">
        <x:v>.pdf</x:v>
      </x:c>
      <x:c r="D776" s="61" t="n">
        <x:v>128307</x:v>
      </x:c>
      <x:c r="E776" s="61" t="n">
        <x:v>4</x:v>
      </x:c>
      <x:c r="F776" s="61" t="n">
        <x:v>4</x:v>
      </x:c>
    </x:row>
    <x:row r="777">
      <x:c r="A777" s="43" t="str">
        <x:v>L2024-00068-1</x:v>
      </x:c>
      <x:c r="B777" s="46" t="str">
        <x:v>L2024-00068-1/Section 5 - Drawings.zip</x:v>
      </x:c>
      <x:c r="C777" s="43" t="str">
        <x:v>.zip</x:v>
      </x:c>
      <x:c r="D777" s="61" t="n">
        <x:v>26745579</x:v>
      </x:c>
      <x:c r="E777" s="61" t="n">
        <x:v>0</x:v>
      </x:c>
      <x:c r="F777" s="61" t="n">
        <x:v>0</x:v>
      </x:c>
    </x:row>
    <x:row r="778">
      <x:c r="A778" s="43" t="str">
        <x:v>L2024-00068-1</x:v>
      </x:c>
      <x:c r="B778" s="46" t="str">
        <x:v>L2024-00068-1/Section 5 - Drawings/Studies at IPNETP ELETRICITY.zip</x:v>
      </x:c>
      <x:c r="C778" s="43" t="str">
        <x:v>.zip</x:v>
      </x:c>
      <x:c r="D778" s="61" t="n">
        <x:v>16979817</x:v>
      </x:c>
      <x:c r="E778" s="61" t="n">
        <x:v>0</x:v>
      </x:c>
      <x:c r="F778" s="61" t="n">
        <x:v>0</x:v>
      </x:c>
    </x:row>
    <x:row r="779">
      <x:c r="A779" s="43" t="str">
        <x:v>L2024-00068-1</x:v>
      </x:c>
      <x:c r="B779" s="46" t="str">
        <x:v>L2024-00068-1/Section 5 - Drawings/Study plans at IPNETP PLANNING AND PLUMBING.zip</x:v>
      </x:c>
      <x:c r="C779" s="43" t="str">
        <x:v>.zip</x:v>
      </x:c>
      <x:c r="D779" s="61" t="n">
        <x:v>9761942</x:v>
      </x:c>
      <x:c r="E779" s="61" t="n">
        <x:v>0</x:v>
      </x:c>
      <x:c r="F779" s="61" t="n">
        <x:v>0</x:v>
      </x:c>
    </x:row>
    <x:row r="780">
      <x:c r="A780" s="43" t="str">
        <x:v>L2024-00068-1</x:v>
      </x:c>
      <x:c r="B780" s="46" t="str">
        <x:v>L2024-00068-1/Section 6 - Scope of Work.docx</x:v>
      </x:c>
      <x:c r="C780" s="43" t="str">
        <x:v>.docx</x:v>
      </x:c>
      <x:c r="D780" s="61" t="n">
        <x:v>3934153</x:v>
      </x:c>
      <x:c r="E780" s="61" t="n">
        <x:v>546</x:v>
      </x:c>
      <x:c r="F780" s="61" t="n">
        <x:v>19</x:v>
      </x:c>
    </x:row>
    <x:row r="781">
      <x:c r="A781" s="43" t="str">
        <x:v>L2024-00068-1</x:v>
      </x:c>
      <x:c r="B781" s="46" t="str">
        <x:v>L2024-00068-1/Section 7 - General Conditions of Contract.docx</x:v>
      </x:c>
      <x:c r="C781" s="43" t="str">
        <x:v>.docx</x:v>
      </x:c>
      <x:c r="D781" s="61" t="n">
        <x:v>202912</x:v>
      </x:c>
      <x:c r="E781" s="61" t="n">
        <x:v>1406</x:v>
      </x:c>
      <x:c r="F781" s="61" t="n">
        <x:v>2</x:v>
      </x:c>
    </x:row>
    <x:row r="782">
      <x:c r="A782" s="43" t="str">
        <x:v>L2024-00068-1</x:v>
      </x:c>
      <x:c r="B782" s="46" t="str">
        <x:v>L2024-00068-1/Section 8 - Specail Conditions of Contract.docx</x:v>
      </x:c>
      <x:c r="C782" s="43" t="str">
        <x:v>.docx</x:v>
      </x:c>
      <x:c r="D782" s="61" t="n">
        <x:v>60774</x:v>
      </x:c>
      <x:c r="E782" s="61" t="n">
        <x:v>292</x:v>
      </x:c>
      <x:c r="F782" s="61" t="n">
        <x:v>1</x:v>
      </x:c>
    </x:row>
    <x:row r="783">
      <x:c r="A783" s="43" t="str">
        <x:v>L2024-00068-1</x:v>
      </x:c>
      <x:c r="B783" s="46" t="str">
        <x:v>L2024-00068-1/Section 9 - Contract Forms.docx</x:v>
      </x:c>
      <x:c r="C783" s="43" t="str">
        <x:v>.docx</x:v>
      </x:c>
      <x:c r="D783" s="61" t="n">
        <x:v>38159</x:v>
      </x:c>
      <x:c r="E783" s="61" t="n">
        <x:v>30</x:v>
      </x:c>
      <x:c r="F783" s="61" t="n">
        <x:v>0</x:v>
      </x:c>
    </x:row>
    <x:row r="784">
      <x:c r="A784" s="43" t="str">
        <x:v>L2024-00066-1</x:v>
      </x:c>
      <x:c r="B784" s="46" t="str">
        <x:v>L2024-00066-1/00 Summary of Bidding.docx</x:v>
      </x:c>
      <x:c r="C784" s="43" t="str">
        <x:v>.docx</x:v>
      </x:c>
      <x:c r="D784" s="61" t="n">
        <x:v>30673</x:v>
      </x:c>
      <x:c r="E784" s="61" t="n">
        <x:v>48</x:v>
      </x:c>
      <x:c r="F784" s="61" t="n">
        <x:v>0</x:v>
      </x:c>
    </x:row>
    <x:row r="785">
      <x:c r="A785" s="43" t="str">
        <x:v>L2024-00066-1</x:v>
      </x:c>
      <x:c r="B785" s="46" t="str">
        <x:v>L2024-00066-1/Appendix1. Power of Attorney for the authority to sign and execute contracts (계약서 서명권한 위임장).docx</x:v>
      </x:c>
      <x:c r="C785" s="43" t="str">
        <x:v>.docx</x:v>
      </x:c>
      <x:c r="D785" s="61" t="n">
        <x:v>19766</x:v>
      </x:c>
      <x:c r="E785" s="61" t="n">
        <x:v>15</x:v>
      </x:c>
      <x:c r="F785" s="61" t="n">
        <x:v>0</x:v>
      </x:c>
    </x:row>
    <x:row r="786">
      <x:c r="A786" s="43" t="str">
        <x:v>L2024-00066-1</x:v>
      </x:c>
      <x:c r="B786" s="46" t="str">
        <x:v>L2024-00066-1/Appendix2. Pledges Forms.zip</x:v>
      </x:c>
      <x:c r="C786" s="43" t="str">
        <x:v>.zip</x:v>
      </x:c>
      <x:c r="D786" s="61" t="n">
        <x:v>85586</x:v>
      </x:c>
      <x:c r="E786" s="61" t="n">
        <x:v>0</x:v>
      </x:c>
      <x:c r="F786" s="61" t="n">
        <x:v>0</x:v>
      </x:c>
    </x:row>
    <x:row r="787">
      <x:c r="A787" s="43" t="str">
        <x:v>L2024-00066-1</x:v>
      </x:c>
      <x:c r="B787" s="46" t="str">
        <x:v>L2024-00066-1/Appendix2. Pledges Forms/Action Pledge to Integrate Human Rights into Business Management of International Development Cooperation Projects (▒╣┴ª░│╣▀╟∙╖┬╗τ╛≈ └╬▒╟░µ┐╡ ╜╟├╡ ╝¡╛α╝¡).docx</x:v>
      </x:c>
      <x:c r="C787" s="43" t="str">
        <x:v>.docx</x:v>
      </x:c>
      <x:c r="D787" s="61" t="n">
        <x:v>19215</x:v>
      </x:c>
      <x:c r="E787" s="61" t="n">
        <x:v>16</x:v>
      </x:c>
      <x:c r="F787" s="61" t="n">
        <x:v>0</x:v>
      </x:c>
    </x:row>
    <x:row r="788">
      <x:c r="A788" s="43" t="str">
        <x:v>L2024-00066-1</x:v>
      </x:c>
      <x:c r="B788" s="46" t="str">
        <x:v>L2024-00066-1/Appendix2. Pledges Forms/Declaration of Anti_Corruption (╣▌║╬╞╨ ╝▒╛≡╝¡).docx</x:v>
      </x:c>
      <x:c r="C788" s="43" t="str">
        <x:v>.docx</x:v>
      </x:c>
      <x:c r="D788" s="61" t="n">
        <x:v>23026</x:v>
      </x:c>
      <x:c r="E788" s="61" t="n">
        <x:v>38</x:v>
      </x:c>
      <x:c r="F788" s="61" t="n">
        <x:v>0</x:v>
      </x:c>
    </x:row>
    <x:row r="789">
      <x:c r="A789" s="43" t="str">
        <x:v>L2024-00066-1</x:v>
      </x:c>
      <x:c r="B789" s="46" t="str">
        <x:v>L2024-00066-1/Appendix2. Pledges Forms/Fair Contract Pledge Letter (░°┴ñ░Φ╛α ╝¡╛α╝¡).docx</x:v>
      </x:c>
      <x:c r="C789" s="43" t="str">
        <x:v>.docx</x:v>
      </x:c>
      <x:c r="D789" s="61" t="n">
        <x:v>18756</x:v>
      </x:c>
      <x:c r="E789" s="61" t="n">
        <x:v>20</x:v>
      </x:c>
      <x:c r="F789" s="61" t="n">
        <x:v>0</x:v>
      </x:c>
    </x:row>
    <x:row r="790">
      <x:c r="A790" s="43" t="str">
        <x:v>L2024-00066-1</x:v>
      </x:c>
      <x:c r="B790" s="46" t="str">
        <x:v>L2024-00066-1/Appendix2. Pledges Forms/Integrity Pledge (├╗╖┼░Φ╛α╝¡).docx</x:v>
      </x:c>
      <x:c r="C790" s="43" t="str">
        <x:v>.docx</x:v>
      </x:c>
      <x:c r="D790" s="61" t="n">
        <x:v>36507</x:v>
      </x:c>
      <x:c r="E790" s="61" t="n">
        <x:v>17</x:v>
      </x:c>
      <x:c r="F790" s="61" t="n">
        <x:v>0</x:v>
      </x:c>
    </x:row>
    <x:row r="791">
      <x:c r="A791" s="43" t="str">
        <x:v>L2024-00066-1</x:v>
      </x:c>
      <x:c r="B791" s="46" t="str">
        <x:v>L2024-00066-1/Section 1 - Instructions to Bidders (ITB).hwp</x:v>
      </x:c>
      <x:c r="C791" s="43" t="str">
        <x:v>.hwp</x:v>
      </x:c>
      <x:c r="D791" s="61" t="n">
        <x:v>84992</x:v>
      </x:c>
      <x:c r="E791" s="61" t="n">
        <x:v>161</x:v>
      </x:c>
      <x:c r="F791" s="61" t="n">
        <x:v>0</x:v>
      </x:c>
    </x:row>
    <x:row r="792">
      <x:c r="A792" s="43" t="str">
        <x:v>L2024-00066-1</x:v>
      </x:c>
      <x:c r="B792" s="46" t="str">
        <x:v>L2024-00066-1/Section 2 - Bid Data Sheet (BDS) R1.docx</x:v>
      </x:c>
      <x:c r="C792" s="43" t="str">
        <x:v>.docx</x:v>
      </x:c>
      <x:c r="D792" s="61" t="n">
        <x:v>60932</x:v>
      </x:c>
      <x:c r="E792" s="61" t="n">
        <x:v>233</x:v>
      </x:c>
      <x:c r="F792" s="61" t="n">
        <x:v>7</x:v>
      </x:c>
    </x:row>
    <x:row r="793">
      <x:c r="A793" s="43" t="str">
        <x:v>L2024-00066-1</x:v>
      </x:c>
      <x:c r="B793" s="46" t="str">
        <x:v>L2024-00066-1/Section 3 - Bidding Forms R1.docx</x:v>
      </x:c>
      <x:c r="C793" s="43" t="str">
        <x:v>.docx</x:v>
      </x:c>
      <x:c r="D793" s="61" t="n">
        <x:v>63868</x:v>
      </x:c>
      <x:c r="E793" s="61" t="n">
        <x:v>289</x:v>
      </x:c>
      <x:c r="F793" s="61" t="n">
        <x:v>0</x:v>
      </x:c>
    </x:row>
    <x:row r="794">
      <x:c r="A794" s="43" t="str">
        <x:v>L2024-00066-1</x:v>
      </x:c>
      <x:c r="B794" s="46" t="str">
        <x:v>L2024-00066-1/Section 4 - Request for Proposal (RFP) R1.doc</x:v>
      </x:c>
      <x:c r="C794" s="43" t="str">
        <x:v>.doc</x:v>
      </x:c>
      <x:c r="D794" s="61" t="n">
        <x:v>126976</x:v>
      </x:c>
      <x:c r="E794" s="61" t="n">
        <x:v>18</x:v>
      </x:c>
      <x:c r="F794" s="61" t="n">
        <x:v>3</x:v>
      </x:c>
    </x:row>
    <x:row r="795">
      <x:c r="A795" s="43" t="str">
        <x:v>L2024-00066-1</x:v>
      </x:c>
      <x:c r="B795" s="46" t="str">
        <x:v>L2024-00066-1/Section 5 - Terms of Reference (ToR) R1.doc</x:v>
      </x:c>
      <x:c r="C795" s="43" t="str">
        <x:v>.doc</x:v>
      </x:c>
      <x:c r="D795" s="61" t="n">
        <x:v>1480192</x:v>
      </x:c>
      <x:c r="E795" s="61" t="n">
        <x:v>276</x:v>
      </x:c>
      <x:c r="F795" s="61" t="n">
        <x:v>2</x:v>
      </x:c>
    </x:row>
    <x:row r="796">
      <x:c r="A796" s="43" t="str">
        <x:v>L2024-00066-1</x:v>
      </x:c>
      <x:c r="B796" s="46" t="str">
        <x:v>L2024-00066-1/Section 6 - Space Program Report.pdf</x:v>
      </x:c>
      <x:c r="C796" s="43" t="str">
        <x:v>.pdf</x:v>
      </x:c>
      <x:c r="D796" s="61" t="n">
        <x:v>1946524</x:v>
      </x:c>
      <x:c r="E796" s="61" t="n">
        <x:v>8</x:v>
      </x:c>
      <x:c r="F796" s="61" t="n">
        <x:v>3</x:v>
      </x:c>
    </x:row>
    <x:row r="797">
      <x:c r="A797" s="43" t="str">
        <x:v>L2024-00066-1</x:v>
      </x:c>
      <x:c r="B797" s="46" t="str">
        <x:v>L2024-00066-1/Section 7 - General Conditions of Contract.docx</x:v>
      </x:c>
      <x:c r="C797" s="43" t="str">
        <x:v>.docx</x:v>
      </x:c>
      <x:c r="D797" s="61" t="n">
        <x:v>34911</x:v>
      </x:c>
      <x:c r="E797" s="61" t="n">
        <x:v>179</x:v>
      </x:c>
      <x:c r="F797" s="61" t="n">
        <x:v>0</x:v>
      </x:c>
    </x:row>
    <x:row r="798">
      <x:c r="A798" s="43" t="str">
        <x:v>L2024-00066-1</x:v>
      </x:c>
      <x:c r="B798" s="46" t="str">
        <x:v>L2024-00066-1/Section 8 - Special Conditions of Contract.docx</x:v>
      </x:c>
      <x:c r="C798" s="43" t="str">
        <x:v>.docx</x:v>
      </x:c>
      <x:c r="D798" s="61" t="n">
        <x:v>29518</x:v>
      </x:c>
      <x:c r="E798" s="61" t="n">
        <x:v>44</x:v>
      </x:c>
      <x:c r="F798" s="61" t="n">
        <x:v>0</x:v>
      </x:c>
    </x:row>
    <x:row r="799">
      <x:c r="A799" s="43" t="str">
        <x:v>L2024-00066-1</x:v>
      </x:c>
      <x:c r="B799" s="46" t="str">
        <x:v>L2024-00066-1/Section 9 - Contract Forms.docx</x:v>
      </x:c>
      <x:c r="C799" s="43" t="str">
        <x:v>.docx</x:v>
      </x:c>
      <x:c r="D799" s="61" t="n">
        <x:v>25253</x:v>
      </x:c>
      <x:c r="E799" s="61" t="n">
        <x:v>93</x:v>
      </x:c>
      <x:c r="F799" s="61" t="n">
        <x:v>0</x:v>
      </x:c>
    </x:row>
    <x:row r="800">
      <x:c r="A800" s="43" t="str">
        <x:v>L2024-00062-1</x:v>
      </x:c>
      <x:c r="B800" s="46" t="str">
        <x:v>L2024-00062-1/1. 현지입찰 계획서(세네갈 미곡2차 시공)_최종.hwp</x:v>
      </x:c>
      <x:c r="C800" s="43" t="str">
        <x:v>.hwp</x:v>
      </x:c>
      <x:c r="D800" s="61" t="n">
        <x:v>5017600</x:v>
      </x:c>
      <x:c r="E800" s="61" t="n">
        <x:v>424</x:v>
      </x:c>
      <x:c r="F800" s="61" t="n">
        <x:v>4</x:v>
      </x:c>
    </x:row>
    <x:row r="801">
      <x:c r="A801" s="43" t="str">
        <x:v>L2024-00056-2</x:v>
      </x:c>
      <x:c r="B801" s="46" t="str">
        <x:v>L2024-00056-2/Section 1 - Instructions to Bidders (ITB).pdf</x:v>
      </x:c>
      <x:c r="C801" s="43" t="str">
        <x:v>.pdf</x:v>
      </x:c>
      <x:c r="D801" s="61" t="n">
        <x:v>161633</x:v>
      </x:c>
      <x:c r="E801" s="61" t="n">
        <x:v>12</x:v>
      </x:c>
      <x:c r="F801" s="61" t="n">
        <x:v>0</x:v>
      </x:c>
    </x:row>
    <x:row r="802">
      <x:c r="A802" s="43" t="str">
        <x:v>L2024-00056-2</x:v>
      </x:c>
      <x:c r="B802" s="46" t="str">
        <x:v>L2024-00056-2/Section 10 - Bid Document Checklist.xlsx</x:v>
      </x:c>
      <x:c r="C802" s="43" t="str">
        <x:v>.xlsx</x:v>
      </x:c>
      <x:c r="D802" s="61" t="n">
        <x:v>25005</x:v>
      </x:c>
      <x:c r="E802" s="61" t="n">
        <x:v>24</x:v>
      </x:c>
      <x:c r="F802" s="61" t="n">
        <x:v>3</x:v>
      </x:c>
    </x:row>
    <x:row r="803">
      <x:c r="A803" s="43" t="str">
        <x:v>L2024-00056-2</x:v>
      </x:c>
      <x:c r="B803" s="46" t="str">
        <x:v>L2024-00056-2/Section 2 - Bid Data Sheet (BDS)_Must Read.docx</x:v>
      </x:c>
      <x:c r="C803" s="43" t="str">
        <x:v>.docx</x:v>
      </x:c>
      <x:c r="D803" s="61" t="n">
        <x:v>72992</x:v>
      </x:c>
      <x:c r="E803" s="61" t="n">
        <x:v>256</x:v>
      </x:c>
      <x:c r="F803" s="61" t="n">
        <x:v>2</x:v>
      </x:c>
    </x:row>
    <x:row r="804">
      <x:c r="A804" s="43" t="str">
        <x:v>L2024-00056-2</x:v>
      </x:c>
      <x:c r="B804" s="46" t="str">
        <x:v>L2024-00056-2/Section 3 - Bidding Forms_코트디_ver.1.docx</x:v>
      </x:c>
      <x:c r="C804" s="43" t="str">
        <x:v>.docx</x:v>
      </x:c>
      <x:c r="D804" s="61" t="n">
        <x:v>57087</x:v>
      </x:c>
      <x:c r="E804" s="61" t="n">
        <x:v>268</x:v>
      </x:c>
      <x:c r="F804" s="61" t="n">
        <x:v>0</x:v>
      </x:c>
    </x:row>
    <x:row r="805">
      <x:c r="A805" s="43" t="str">
        <x:v>L2024-00056-2</x:v>
      </x:c>
      <x:c r="B805" s="46" t="str">
        <x:v>L2024-00056-2/Section 4 - Request for Proposal_코트디_ver.1.2_수정.docx</x:v>
      </x:c>
      <x:c r="C805" s="43" t="str">
        <x:v>.docx</x:v>
      </x:c>
      <x:c r="D805" s="61" t="n">
        <x:v>4145780</x:v>
      </x:c>
      <x:c r="E805" s="61" t="n">
        <x:v>392</x:v>
      </x:c>
      <x:c r="F805" s="61" t="n">
        <x:v>10</x:v>
      </x:c>
    </x:row>
    <x:row r="806">
      <x:c r="A806" s="43" t="str">
        <x:v>L2024-00056-2</x:v>
      </x:c>
      <x:c r="B806" s="46" t="str">
        <x:v>L2024-00056-2/Section 5 - Construction Supervision Forms.docx</x:v>
      </x:c>
      <x:c r="C806" s="43" t="str">
        <x:v>.docx</x:v>
      </x:c>
      <x:c r="D806" s="61" t="n">
        <x:v>21655</x:v>
      </x:c>
      <x:c r="E806" s="61" t="n">
        <x:v>110</x:v>
      </x:c>
      <x:c r="F806" s="61" t="n">
        <x:v>0</x:v>
      </x:c>
    </x:row>
    <x:row r="807">
      <x:c r="A807" s="43" t="str">
        <x:v>L2024-00056-2</x:v>
      </x:c>
      <x:c r="B807" s="46" t="str">
        <x:v>L2024-00056-2/Section 5 - Reference Documents.zip</x:v>
      </x:c>
      <x:c r="C807" s="43" t="str">
        <x:v>.zip</x:v>
      </x:c>
      <x:c r="D807" s="61" t="n">
        <x:v>71356</x:v>
      </x:c>
      <x:c r="E807" s="61" t="n">
        <x:v>0</x:v>
      </x:c>
      <x:c r="F807" s="61" t="n">
        <x:v>0</x:v>
      </x:c>
    </x:row>
    <x:row r="808">
      <x:c r="A808" s="43" t="str">
        <x:v>L2024-00056-2</x:v>
      </x:c>
      <x:c r="B808" s="46" t="str">
        <x:v>L2024-00056-2/Section 5 - Reference Documents/Section 5 - BATIMENT PETROCI (Floor plan).png</x:v>
      </x:c>
      <x:c r="C808" s="43" t="str">
        <x:v>.png</x:v>
      </x:c>
      <x:c r="D808" s="61" t="n">
        <x:v>53929</x:v>
      </x:c>
      <x:c r="E808" s="61" t="n">
        <x:v>0</x:v>
      </x:c>
      <x:c r="F808" s="61" t="n">
        <x:v>0</x:v>
      </x:c>
    </x:row>
    <x:row r="809">
      <x:c r="A809" s="43" t="str">
        <x:v>L2024-00056-2</x:v>
      </x:c>
      <x:c r="B809" s="46" t="str">
        <x:v>L2024-00056-2/Section 5 - Reference Documents/Section 5 - Construction Supervision Forms.docx</x:v>
      </x:c>
      <x:c r="C809" s="43" t="str">
        <x:v>.docx</x:v>
      </x:c>
      <x:c r="D809" s="61" t="n">
        <x:v>21655</x:v>
      </x:c>
      <x:c r="E809" s="61" t="n">
        <x:v>110</x:v>
      </x:c>
      <x:c r="F809" s="61" t="n">
        <x:v>0</x:v>
      </x:c>
    </x:row>
    <x:row r="810">
      <x:c r="A810" s="43" t="str">
        <x:v>L2024-00056-2</x:v>
      </x:c>
      <x:c r="B810" s="46" t="str">
        <x:v>L2024-00056-2/Section 6 - General Conditions of Contract.docx</x:v>
      </x:c>
      <x:c r="C810" s="43" t="str">
        <x:v>.docx</x:v>
      </x:c>
      <x:c r="D810" s="61" t="n">
        <x:v>35387</x:v>
      </x:c>
      <x:c r="E810" s="61" t="n">
        <x:v>181</x:v>
      </x:c>
      <x:c r="F810" s="61" t="n">
        <x:v>0</x:v>
      </x:c>
    </x:row>
    <x:row r="811">
      <x:c r="A811" s="43" t="str">
        <x:v>L2024-00056-2</x:v>
      </x:c>
      <x:c r="B811" s="46" t="str">
        <x:v>L2024-00056-2/Section 7 - Special Conditions of Contract.docx</x:v>
      </x:c>
      <x:c r="C811" s="43" t="str">
        <x:v>.docx</x:v>
      </x:c>
      <x:c r="D811" s="61" t="n">
        <x:v>25034</x:v>
      </x:c>
      <x:c r="E811" s="61" t="n">
        <x:v>39</x:v>
      </x:c>
      <x:c r="F811" s="61" t="n">
        <x:v>0</x:v>
      </x:c>
    </x:row>
    <x:row r="812">
      <x:c r="A812" s="43" t="str">
        <x:v>L2024-00056-2</x:v>
      </x:c>
      <x:c r="B812" s="46" t="str">
        <x:v>L2024-00056-2/Section 8 - Contract Forms.docx</x:v>
      </x:c>
      <x:c r="C812" s="43" t="str">
        <x:v>.docx</x:v>
      </x:c>
      <x:c r="D812" s="61" t="n">
        <x:v>22736</x:v>
      </x:c>
      <x:c r="E812" s="61" t="n">
        <x:v>93</x:v>
      </x:c>
      <x:c r="F812" s="61" t="n">
        <x:v>0</x:v>
      </x:c>
    </x:row>
    <x:row r="813">
      <x:c r="A813" s="43" t="str">
        <x:v>L2024-00056-2</x:v>
      </x:c>
      <x:c r="B813" s="46" t="str">
        <x:v>L2024-00056-2/Section 9 - Pledges.docx</x:v>
      </x:c>
      <x:c r="C813" s="43" t="str">
        <x:v>.docx</x:v>
      </x:c>
      <x:c r="D813" s="61" t="n">
        <x:v>31354</x:v>
      </x:c>
      <x:c r="E813" s="61" t="n">
        <x:v>91</x:v>
      </x:c>
      <x:c r="F813" s="61" t="n">
        <x:v>0</x:v>
      </x:c>
    </x:row>
    <x:row r="814">
      <x:c r="A814" s="43" t="str">
        <x:v>L2024-00056-2</x:v>
      </x:c>
      <x:c r="B814" s="46" t="str">
        <x:v>L2024-00056-2/Section 9 - Pledges.zip</x:v>
      </x:c>
      <x:c r="C814" s="43" t="str">
        <x:v>.zip</x:v>
      </x:c>
      <x:c r="D814" s="61" t="n">
        <x:v>85586</x:v>
      </x:c>
      <x:c r="E814" s="61" t="n">
        <x:v>0</x:v>
      </x:c>
      <x:c r="F814" s="61" t="n">
        <x:v>0</x:v>
      </x:c>
    </x:row>
    <x:row r="815">
      <x:c r="A815" s="43" t="str">
        <x:v>L2024-00056-2</x:v>
      </x:c>
      <x:c r="B815" s="46" t="str">
        <x:v>L2024-00056-2/Section 9 - Pledges/Action Pledge to Integrate Human Rights into Business Management of International Development Cooperation Projects (▒╣┴ª░│╣▀╟∙╖┬╗τ╛≈ └╬▒╟░µ┐╡ ╜╟├╡ ╝¡╛α╝¡).docx</x:v>
      </x:c>
      <x:c r="C815" s="43" t="str">
        <x:v>.docx</x:v>
      </x:c>
      <x:c r="D815" s="61" t="n">
        <x:v>19215</x:v>
      </x:c>
      <x:c r="E815" s="61" t="n">
        <x:v>16</x:v>
      </x:c>
      <x:c r="F815" s="61" t="n">
        <x:v>0</x:v>
      </x:c>
    </x:row>
    <x:row r="816">
      <x:c r="A816" s="43" t="str">
        <x:v>L2024-00056-2</x:v>
      </x:c>
      <x:c r="B816" s="46" t="str">
        <x:v>L2024-00056-2/Section 9 - Pledges/Declaration of Anti_Corruption (╣▌║╬╞╨ ╝▒╛≡╝¡).docx</x:v>
      </x:c>
      <x:c r="C816" s="43" t="str">
        <x:v>.docx</x:v>
      </x:c>
      <x:c r="D816" s="61" t="n">
        <x:v>23026</x:v>
      </x:c>
      <x:c r="E816" s="61" t="n">
        <x:v>38</x:v>
      </x:c>
      <x:c r="F816" s="61" t="n">
        <x:v>0</x:v>
      </x:c>
    </x:row>
    <x:row r="817">
      <x:c r="A817" s="43" t="str">
        <x:v>L2024-00056-2</x:v>
      </x:c>
      <x:c r="B817" s="46" t="str">
        <x:v>L2024-00056-2/Section 9 - Pledges/Fair Contract Pledge Letter (░°┴ñ░Φ╛α ╝¡╛α╝¡).docx</x:v>
      </x:c>
      <x:c r="C817" s="43" t="str">
        <x:v>.docx</x:v>
      </x:c>
      <x:c r="D817" s="61" t="n">
        <x:v>18756</x:v>
      </x:c>
      <x:c r="E817" s="61" t="n">
        <x:v>20</x:v>
      </x:c>
      <x:c r="F817" s="61" t="n">
        <x:v>0</x:v>
      </x:c>
    </x:row>
    <x:row r="818">
      <x:c r="A818" s="43" t="str">
        <x:v>L2024-00056-2</x:v>
      </x:c>
      <x:c r="B818" s="46" t="str">
        <x:v>L2024-00056-2/Section 9 - Pledges/Integrity Pledge (├╗╖┼░Φ╛α╝¡).docx</x:v>
      </x:c>
      <x:c r="C818" s="43" t="str">
        <x:v>.docx</x:v>
      </x:c>
      <x:c r="D818" s="61" t="n">
        <x:v>36507</x:v>
      </x:c>
      <x:c r="E818" s="61" t="n">
        <x:v>17</x:v>
      </x:c>
      <x:c r="F818" s="61" t="n">
        <x:v>0</x:v>
      </x:c>
    </x:row>
    <x:row r="819">
      <x:c r="A819" s="43" t="str">
        <x:v>L2024-00056-1</x:v>
      </x:c>
      <x:c r="B819" s="46" t="str">
        <x:v>L2024-00056-1/Section 1 - Instructions to Bidders (ITB).pdf</x:v>
      </x:c>
      <x:c r="C819" s="43" t="str">
        <x:v>.pdf</x:v>
      </x:c>
      <x:c r="D819" s="61" t="n">
        <x:v>161633</x:v>
      </x:c>
      <x:c r="E819" s="61" t="n">
        <x:v>12</x:v>
      </x:c>
      <x:c r="F819" s="61" t="n">
        <x:v>0</x:v>
      </x:c>
    </x:row>
    <x:row r="820">
      <x:c r="A820" s="43" t="str">
        <x:v>L2024-00056-1</x:v>
      </x:c>
      <x:c r="B820" s="46" t="str">
        <x:v>L2024-00056-1/Section 10 - Bid Document Checklist.xlsx</x:v>
      </x:c>
      <x:c r="C820" s="43" t="str">
        <x:v>.xlsx</x:v>
      </x:c>
      <x:c r="D820" s="61" t="n">
        <x:v>24788</x:v>
      </x:c>
      <x:c r="E820" s="61" t="n">
        <x:v>24</x:v>
      </x:c>
      <x:c r="F820" s="61" t="n">
        <x:v>3</x:v>
      </x:c>
    </x:row>
    <x:row r="821">
      <x:c r="A821" s="43" t="str">
        <x:v>L2024-00056-1</x:v>
      </x:c>
      <x:c r="B821" s="46" t="str">
        <x:v>L2024-00056-1/Section 2 - Bid Data Sheet (BDS)_Must Read.docx</x:v>
      </x:c>
      <x:c r="C821" s="43" t="str">
        <x:v>.docx</x:v>
      </x:c>
      <x:c r="D821" s="61" t="n">
        <x:v>72809</x:v>
      </x:c>
      <x:c r="E821" s="61" t="n">
        <x:v>256</x:v>
      </x:c>
      <x:c r="F821" s="61" t="n">
        <x:v>2</x:v>
      </x:c>
    </x:row>
    <x:row r="822">
      <x:c r="A822" s="43" t="str">
        <x:v>L2024-00056-1</x:v>
      </x:c>
      <x:c r="B822" s="46" t="str">
        <x:v>L2024-00056-1/Section 3 - Bidding Forms_코트디_ver.1.docx</x:v>
      </x:c>
      <x:c r="C822" s="43" t="str">
        <x:v>.docx</x:v>
      </x:c>
      <x:c r="D822" s="61" t="n">
        <x:v>57087</x:v>
      </x:c>
      <x:c r="E822" s="61" t="n">
        <x:v>268</x:v>
      </x:c>
      <x:c r="F822" s="61" t="n">
        <x:v>0</x:v>
      </x:c>
    </x:row>
    <x:row r="823">
      <x:c r="A823" s="43" t="str">
        <x:v>L2024-00056-1</x:v>
      </x:c>
      <x:c r="B823" s="46" t="str">
        <x:v>L2024-00056-1/Section 4 - Request for Proposal_코트디_ver.1.2_수정.docx</x:v>
      </x:c>
      <x:c r="C823" s="43" t="str">
        <x:v>.docx</x:v>
      </x:c>
      <x:c r="D823" s="61" t="n">
        <x:v>4145780</x:v>
      </x:c>
      <x:c r="E823" s="61" t="n">
        <x:v>392</x:v>
      </x:c>
      <x:c r="F823" s="61" t="n">
        <x:v>10</x:v>
      </x:c>
    </x:row>
    <x:row r="824">
      <x:c r="A824" s="43" t="str">
        <x:v>L2024-00056-1</x:v>
      </x:c>
      <x:c r="B824" s="46" t="str">
        <x:v>L2024-00056-1/Section 5 - Construction Supervision Forms.docx</x:v>
      </x:c>
      <x:c r="C824" s="43" t="str">
        <x:v>.docx</x:v>
      </x:c>
      <x:c r="D824" s="61" t="n">
        <x:v>21655</x:v>
      </x:c>
      <x:c r="E824" s="61" t="n">
        <x:v>110</x:v>
      </x:c>
      <x:c r="F824" s="61" t="n">
        <x:v>0</x:v>
      </x:c>
    </x:row>
    <x:row r="825">
      <x:c r="A825" s="43" t="str">
        <x:v>L2024-00056-1</x:v>
      </x:c>
      <x:c r="B825" s="46" t="str">
        <x:v>L2024-00056-1/Section 6 - General Conditions of Contract.docx</x:v>
      </x:c>
      <x:c r="C825" s="43" t="str">
        <x:v>.docx</x:v>
      </x:c>
      <x:c r="D825" s="61" t="n">
        <x:v>35387</x:v>
      </x:c>
      <x:c r="E825" s="61" t="n">
        <x:v>181</x:v>
      </x:c>
      <x:c r="F825" s="61" t="n">
        <x:v>0</x:v>
      </x:c>
    </x:row>
    <x:row r="826">
      <x:c r="A826" s="43" t="str">
        <x:v>L2024-00056-1</x:v>
      </x:c>
      <x:c r="B826" s="46" t="str">
        <x:v>L2024-00056-1/Section 7 - Special Conditions of Contract.docx</x:v>
      </x:c>
      <x:c r="C826" s="43" t="str">
        <x:v>.docx</x:v>
      </x:c>
      <x:c r="D826" s="61" t="n">
        <x:v>25034</x:v>
      </x:c>
      <x:c r="E826" s="61" t="n">
        <x:v>39</x:v>
      </x:c>
      <x:c r="F826" s="61" t="n">
        <x:v>0</x:v>
      </x:c>
    </x:row>
    <x:row r="827">
      <x:c r="A827" s="43" t="str">
        <x:v>L2024-00056-1</x:v>
      </x:c>
      <x:c r="B827" s="46" t="str">
        <x:v>L2024-00056-1/Section 8 - Contract Forms.docx</x:v>
      </x:c>
      <x:c r="C827" s="43" t="str">
        <x:v>.docx</x:v>
      </x:c>
      <x:c r="D827" s="61" t="n">
        <x:v>22736</x:v>
      </x:c>
      <x:c r="E827" s="61" t="n">
        <x:v>93</x:v>
      </x:c>
      <x:c r="F827" s="61" t="n">
        <x:v>0</x:v>
      </x:c>
    </x:row>
    <x:row r="828">
      <x:c r="A828" s="43" t="str">
        <x:v>L2024-00056-1</x:v>
      </x:c>
      <x:c r="B828" s="46" t="str">
        <x:v>L2024-00056-1/Section 9 - Pledges.docx</x:v>
      </x:c>
      <x:c r="C828" s="43" t="str">
        <x:v>.docx</x:v>
      </x:c>
      <x:c r="D828" s="61" t="n">
        <x:v>31354</x:v>
      </x:c>
      <x:c r="E828" s="61" t="n">
        <x:v>91</x:v>
      </x:c>
      <x:c r="F828" s="61" t="n">
        <x:v>0</x:v>
      </x:c>
    </x:row>
    <x:row r="829">
      <x:c r="A829" s="43" t="str">
        <x:v>L2024-00055-1</x:v>
      </x:c>
      <x:c r="B829" s="46" t="str">
        <x:v>L2024-00055-1/Section 1 - Instructions to Bidders (ITB).pdf</x:v>
      </x:c>
      <x:c r="C829" s="43" t="str">
        <x:v>.pdf</x:v>
      </x:c>
      <x:c r="D829" s="61" t="n">
        <x:v>123096</x:v>
      </x:c>
      <x:c r="E829" s="61" t="n">
        <x:v>12</x:v>
      </x:c>
      <x:c r="F829" s="61" t="n">
        <x:v>0</x:v>
      </x:c>
    </x:row>
    <x:row r="830">
      <x:c r="A830" s="43" t="str">
        <x:v>L2024-00055-1</x:v>
      </x:c>
      <x:c r="B830" s="46" t="str">
        <x:v>L2024-00055-1/Section 2 - Bid Data Sheet (BDS)_Peru Pilot Compost Plant.docx</x:v>
      </x:c>
      <x:c r="C830" s="43" t="str">
        <x:v>.docx</x:v>
      </x:c>
      <x:c r="D830" s="61" t="n">
        <x:v>64486</x:v>
      </x:c>
      <x:c r="E830" s="61" t="n">
        <x:v>222</x:v>
      </x:c>
      <x:c r="F830" s="61" t="n">
        <x:v>2</x:v>
      </x:c>
    </x:row>
    <x:row r="831">
      <x:c r="A831" s="43" t="str">
        <x:v>L2024-00055-1</x:v>
      </x:c>
      <x:c r="B831" s="46" t="str">
        <x:v>L2024-00055-1/Section 3 - Bidding Forms.docx</x:v>
      </x:c>
      <x:c r="C831" s="43" t="str">
        <x:v>.docx</x:v>
      </x:c>
      <x:c r="D831" s="61" t="n">
        <x:v>49521</x:v>
      </x:c>
      <x:c r="E831" s="61" t="n">
        <x:v>230</x:v>
      </x:c>
      <x:c r="F831" s="61" t="n">
        <x:v>0</x:v>
      </x:c>
    </x:row>
    <x:row r="832">
      <x:c r="A832" s="43" t="str">
        <x:v>L2024-00055-1</x:v>
      </x:c>
      <x:c r="B832" s="46" t="str">
        <x:v>L2024-00055-1/Section 4 - Terms of Reference_Peru Pilot Compost Plant.docx</x:v>
      </x:c>
      <x:c r="C832" s="43" t="str">
        <x:v>.docx</x:v>
      </x:c>
      <x:c r="D832" s="61" t="n">
        <x:v>3543859</x:v>
      </x:c>
      <x:c r="E832" s="61" t="n">
        <x:v>365</x:v>
      </x:c>
      <x:c r="F832" s="61" t="n">
        <x:v>3</x:v>
      </x:c>
    </x:row>
    <x:row r="833">
      <x:c r="A833" s="43" t="str">
        <x:v>L2024-00055-1</x:v>
      </x:c>
      <x:c r="B833" s="46" t="str">
        <x:v>L2024-00055-1/Section 5 - General Conditions of Contract (GCC)_Peru Pilot Compost Plant.docx</x:v>
      </x:c>
      <x:c r="C833" s="43" t="str">
        <x:v>.docx</x:v>
      </x:c>
      <x:c r="D833" s="61" t="n">
        <x:v>34263</x:v>
      </x:c>
      <x:c r="E833" s="61" t="n">
        <x:v>179</x:v>
      </x:c>
      <x:c r="F833" s="61" t="n">
        <x:v>0</x:v>
      </x:c>
    </x:row>
    <x:row r="834">
      <x:c r="A834" s="43" t="str">
        <x:v>L2024-00055-1</x:v>
      </x:c>
      <x:c r="B834" s="46" t="str">
        <x:v>L2024-00055-1/Section 6 - Special Conditions of Contract (SCC)_Peru Pilot Compost Plant.docx</x:v>
      </x:c>
      <x:c r="C834" s="43" t="str">
        <x:v>.docx</x:v>
      </x:c>
      <x:c r="D834" s="61" t="n">
        <x:v>26853</x:v>
      </x:c>
      <x:c r="E834" s="61" t="n">
        <x:v>41</x:v>
      </x:c>
      <x:c r="F834" s="61" t="n">
        <x:v>0</x:v>
      </x:c>
    </x:row>
    <x:row r="835">
      <x:c r="A835" s="43" t="str">
        <x:v>L2024-00055-1</x:v>
      </x:c>
      <x:c r="B835" s="46" t="str">
        <x:v>L2024-00055-1/Section 7 - Contract Forms_Peru Pilot Compost Plant.docx</x:v>
      </x:c>
      <x:c r="C835" s="43" t="str">
        <x:v>.docx</x:v>
      </x:c>
      <x:c r="D835" s="61" t="n">
        <x:v>22992</x:v>
      </x:c>
      <x:c r="E835" s="61" t="n">
        <x:v>93</x:v>
      </x:c>
      <x:c r="F835" s="61" t="n">
        <x:v>0</x:v>
      </x:c>
    </x:row>
    <x:row r="836">
      <x:c r="A836" s="43" t="str">
        <x:v>L2024-00054-2</x:v>
      </x:c>
      <x:c r="B836" s="46" t="str">
        <x:v>L2024-00054-2/2. 영문 입찰서류 각 1부.zip</x:v>
      </x:c>
      <x:c r="C836" s="43" t="str">
        <x:v>.zip</x:v>
      </x:c>
      <x:c r="D836" s="61" t="n">
        <x:v>365868</x:v>
      </x:c>
      <x:c r="E836" s="61" t="n">
        <x:v>0</x:v>
      </x:c>
      <x:c r="F836" s="61" t="n">
        <x:v>0</x:v>
      </x:c>
    </x:row>
    <x:row r="837">
      <x:c r="A837" s="43" t="str">
        <x:v>L2024-00054-2</x:v>
      </x:c>
      <x:c r="B837" s="46" t="str">
        <x:v>L2024-00054-2/2. 영문 입찰서류 각 1부/INGLES/Section 1 - Instructions to Bidders (ITB)_ITCA (Supervision)_(20241108).docx</x:v>
      </x:c>
      <x:c r="C837" s="43" t="str">
        <x:v>.docx</x:v>
      </x:c>
      <x:c r="D837" s="61" t="n">
        <x:v>40586</x:v>
      </x:c>
      <x:c r="E837" s="61" t="n">
        <x:v>165</x:v>
      </x:c>
      <x:c r="F837" s="61" t="n">
        <x:v>0</x:v>
      </x:c>
    </x:row>
    <x:row r="838">
      <x:c r="A838" s="43" t="str">
        <x:v>L2024-00054-2</x:v>
      </x:c>
      <x:c r="B838" s="46" t="str">
        <x:v>L2024-00054-2/2. 영문 입찰서류 각 1부/INGLES/Section 2 - Bid Data Sheet (BDS)_ITCA Supervision_(20241108).docx</x:v>
      </x:c>
      <x:c r="C838" s="43" t="str">
        <x:v>.docx</x:v>
      </x:c>
      <x:c r="D838" s="61" t="n">
        <x:v>77507</x:v>
      </x:c>
      <x:c r="E838" s="61" t="n">
        <x:v>314</x:v>
      </x:c>
      <x:c r="F838" s="61" t="n">
        <x:v>10</x:v>
      </x:c>
    </x:row>
    <x:row r="839">
      <x:c r="A839" s="43" t="str">
        <x:v>L2024-00054-2</x:v>
      </x:c>
      <x:c r="B839" s="46" t="str">
        <x:v>L2024-00054-2/2. 영문 입찰서류 각 1부/INGLES/Section 3 - Bidding Forms_ITCA (Supervision)_(20241108).docx</x:v>
      </x:c>
      <x:c r="C839" s="43" t="str">
        <x:v>.docx</x:v>
      </x:c>
      <x:c r="D839" s="61" t="n">
        <x:v>64127</x:v>
      </x:c>
      <x:c r="E839" s="61" t="n">
        <x:v>238</x:v>
      </x:c>
      <x:c r="F839" s="61" t="n">
        <x:v>0</x:v>
      </x:c>
    </x:row>
    <x:row r="840">
      <x:c r="A840" s="43" t="str">
        <x:v>L2024-00054-2</x:v>
      </x:c>
      <x:c r="B840" s="46" t="str">
        <x:v>L2024-00054-2/2. 영문 입찰서류 각 1부/INGLES/Section 4 - Scope of Works_ITCA (Supervision)_(20241108).docx</x:v>
      </x:c>
      <x:c r="C840" s="43" t="str">
        <x:v>.docx</x:v>
      </x:c>
      <x:c r="D840" s="61" t="n">
        <x:v>104478</x:v>
      </x:c>
      <x:c r="E840" s="61" t="n">
        <x:v>53</x:v>
      </x:c>
      <x:c r="F840" s="61" t="n">
        <x:v>0</x:v>
      </x:c>
    </x:row>
    <x:row r="841">
      <x:c r="A841" s="43" t="str">
        <x:v>L2024-00054-2</x:v>
      </x:c>
      <x:c r="B841" s="46" t="str">
        <x:v>L2024-00054-2/2. 영문 입찰서류 각 1부/INGLES/Section 5 - General Conditions of Contract_ITCA (Supervision)_(20241108).docx</x:v>
      </x:c>
      <x:c r="C841" s="43" t="str">
        <x:v>.docx</x:v>
      </x:c>
      <x:c r="D841" s="61" t="n">
        <x:v>37795</x:v>
      </x:c>
      <x:c r="E841" s="61" t="n">
        <x:v>174</x:v>
      </x:c>
      <x:c r="F841" s="61" t="n">
        <x:v>0</x:v>
      </x:c>
    </x:row>
    <x:row r="842">
      <x:c r="A842" s="43" t="str">
        <x:v>L2024-00054-2</x:v>
      </x:c>
      <x:c r="B842" s="46" t="str">
        <x:v>L2024-00054-2/2. 영문 입찰서류 각 1부/INGLES/Section 6 - Special Conditions of Contract_ITCA (Supervision)_(20241108).docx</x:v>
      </x:c>
      <x:c r="C842" s="43" t="str">
        <x:v>.docx</x:v>
      </x:c>
      <x:c r="D842" s="61" t="n">
        <x:v>24996</x:v>
      </x:c>
      <x:c r="E842" s="61" t="n">
        <x:v>37</x:v>
      </x:c>
      <x:c r="F842" s="61" t="n">
        <x:v>0</x:v>
      </x:c>
    </x:row>
    <x:row r="843">
      <x:c r="A843" s="43" t="str">
        <x:v>L2024-00054-2</x:v>
      </x:c>
      <x:c r="B843" s="46" t="str">
        <x:v>L2024-00054-2/2. 영문 입찰서류 각 1부/INGLES/Section 7 - Contract Forms_ITCA (Supervision)_(20241108).docx</x:v>
      </x:c>
      <x:c r="C843" s="43" t="str">
        <x:v>.docx</x:v>
      </x:c>
      <x:c r="D843" s="61" t="n">
        <x:v>40968</x:v>
      </x:c>
      <x:c r="E843" s="61" t="n">
        <x:v>30</x:v>
      </x:c>
      <x:c r="F843" s="61" t="n">
        <x:v>0</x:v>
      </x:c>
    </x:row>
    <x:row r="844">
      <x:c r="A844" s="43" t="str">
        <x:v>L2024-00054-2</x:v>
      </x:c>
      <x:c r="B844" s="46" t="str">
        <x:v>L2024-00054-2/감리 재입찰 공고문_Anuncio de Licitacion_Final.docx</x:v>
      </x:c>
      <x:c r="C844" s="43" t="str">
        <x:v>.docx</x:v>
      </x:c>
      <x:c r="D844" s="61" t="n">
        <x:v>100898</x:v>
      </x:c>
      <x:c r="E844" s="61" t="n">
        <x:v>45</x:v>
      </x:c>
      <x:c r="F844" s="61" t="n">
        <x:v>0</x:v>
      </x:c>
    </x:row>
    <x:row r="845">
      <x:c r="A845" s="43" t="str">
        <x:v>L2024-00054-1</x:v>
      </x:c>
      <x:c r="B845" s="46" t="str">
        <x:v>L2024-00054-1/Bidding Document_ITCA (Supervision)_(202409).zip</x:v>
      </x:c>
      <x:c r="C845" s="43" t="str">
        <x:v>.zip</x:v>
      </x:c>
      <x:c r="D845" s="61" t="n">
        <x:v>398454</x:v>
      </x:c>
      <x:c r="E845" s="61" t="n">
        <x:v>0</x:v>
      </x:c>
      <x:c r="F845" s="61" t="n">
        <x:v>0</x:v>
      </x:c>
    </x:row>
    <x:row r="846">
      <x:c r="A846" s="43" t="str">
        <x:v>L2024-00054-1</x:v>
      </x:c>
      <x:c r="B846" s="46" t="str">
        <x:v>L2024-00054-1/Bidding Document_ITCA (Supervision)_(202409)/0. Cover sheet_ITCA (Supervision)_(202409).docx</x:v>
      </x:c>
      <x:c r="C846" s="43" t="str">
        <x:v>.docx</x:v>
      </x:c>
      <x:c r="D846" s="61" t="n">
        <x:v>33038</x:v>
      </x:c>
      <x:c r="E846" s="61" t="n">
        <x:v>37</x:v>
      </x:c>
      <x:c r="F846" s="61" t="n">
        <x:v>0</x:v>
      </x:c>
    </x:row>
    <x:row r="847">
      <x:c r="A847" s="43" t="str">
        <x:v>L2024-00054-1</x:v>
      </x:c>
      <x:c r="B847" s="46" t="str">
        <x:v>L2024-00054-1/Bidding Document_ITCA (Supervision)_(202409)/Section 1 - Instructions to Bidders (ITB)_ITCA (Supervision)_(202409).docx</x:v>
      </x:c>
      <x:c r="C847" s="43" t="str">
        <x:v>.docx</x:v>
      </x:c>
      <x:c r="D847" s="61" t="n">
        <x:v>44268</x:v>
      </x:c>
      <x:c r="E847" s="61" t="n">
        <x:v>165</x:v>
      </x:c>
      <x:c r="F847" s="61" t="n">
        <x:v>0</x:v>
      </x:c>
    </x:row>
    <x:row r="848">
      <x:c r="A848" s="43" t="str">
        <x:v>L2024-00054-1</x:v>
      </x:c>
      <x:c r="B848" s="46" t="str">
        <x:v>L2024-00054-1/Bidding Document_ITCA (Supervision)_(202409)/Section 2 - Bid Data Sheet (BDS)_ITCA Supervision_(202409).docx</x:v>
      </x:c>
      <x:c r="C848" s="43" t="str">
        <x:v>.docx</x:v>
      </x:c>
      <x:c r="D848" s="61" t="n">
        <x:v>77031</x:v>
      </x:c>
      <x:c r="E848" s="61" t="n">
        <x:v>314</x:v>
      </x:c>
      <x:c r="F848" s="61" t="n">
        <x:v>10</x:v>
      </x:c>
    </x:row>
    <x:row r="849">
      <x:c r="A849" s="43" t="str">
        <x:v>L2024-00054-1</x:v>
      </x:c>
      <x:c r="B849" s="46" t="str">
        <x:v>L2024-00054-1/Bidding Document_ITCA (Supervision)_(202409)/Section 3 - Bidding Forms_ITCA (Supervision)_(202409).docx</x:v>
      </x:c>
      <x:c r="C849" s="43" t="str">
        <x:v>.docx</x:v>
      </x:c>
      <x:c r="D849" s="61" t="n">
        <x:v>64337</x:v>
      </x:c>
      <x:c r="E849" s="61" t="n">
        <x:v>246</x:v>
      </x:c>
      <x:c r="F849" s="61" t="n">
        <x:v>0</x:v>
      </x:c>
    </x:row>
    <x:row r="850">
      <x:c r="A850" s="43" t="str">
        <x:v>L2024-00054-1</x:v>
      </x:c>
      <x:c r="B850" s="46" t="str">
        <x:v>L2024-00054-1/Bidding Document_ITCA (Supervision)_(202409)/Section 4 - Scope of Works_ITCA (Supervision)_(202409).docx</x:v>
      </x:c>
      <x:c r="C850" s="43" t="str">
        <x:v>.docx</x:v>
      </x:c>
      <x:c r="D850" s="61" t="n">
        <x:v>104478</x:v>
      </x:c>
      <x:c r="E850" s="61" t="n">
        <x:v>53</x:v>
      </x:c>
      <x:c r="F850" s="61" t="n">
        <x:v>0</x:v>
      </x:c>
    </x:row>
    <x:row r="851">
      <x:c r="A851" s="43" t="str">
        <x:v>L2024-00054-1</x:v>
      </x:c>
      <x:c r="B851" s="46" t="str">
        <x:v>L2024-00054-1/Bidding Document_ITCA (Supervision)_(202409)/Section 5 - General Conditions of Contract_ITCA (Supervision)_(202409).docx</x:v>
      </x:c>
      <x:c r="C851" s="43" t="str">
        <x:v>.docx</x:v>
      </x:c>
      <x:c r="D851" s="61" t="n">
        <x:v>37941</x:v>
      </x:c>
      <x:c r="E851" s="61" t="n">
        <x:v>174</x:v>
      </x:c>
      <x:c r="F851" s="61" t="n">
        <x:v>0</x:v>
      </x:c>
    </x:row>
    <x:row r="852">
      <x:c r="A852" s="43" t="str">
        <x:v>L2024-00054-1</x:v>
      </x:c>
      <x:c r="B852" s="46" t="str">
        <x:v>L2024-00054-1/Bidding Document_ITCA (Supervision)_(202409)/Section 6 - Special Conditions of Contract_ITCA (Supervision)_(202409).docx</x:v>
      </x:c>
      <x:c r="C852" s="43" t="str">
        <x:v>.docx</x:v>
      </x:c>
      <x:c r="D852" s="61" t="n">
        <x:v>24996</x:v>
      </x:c>
      <x:c r="E852" s="61" t="n">
        <x:v>37</x:v>
      </x:c>
      <x:c r="F852" s="61" t="n">
        <x:v>0</x:v>
      </x:c>
    </x:row>
    <x:row r="853">
      <x:c r="A853" s="43" t="str">
        <x:v>L2024-00054-1</x:v>
      </x:c>
      <x:c r="B853" s="46" t="str">
        <x:v>L2024-00054-1/Bidding Document_ITCA (Supervision)_(202409)/Section 7 - Contract Forms_ITCA (Supervision)_(202409).docx</x:v>
      </x:c>
      <x:c r="C853" s="43" t="str">
        <x:v>.docx</x:v>
      </x:c>
      <x:c r="D853" s="61" t="n">
        <x:v>40968</x:v>
      </x:c>
      <x:c r="E853" s="61" t="n">
        <x:v>30</x:v>
      </x:c>
      <x:c r="F853" s="61" t="n">
        <x:v>0</x:v>
      </x:c>
    </x:row>
    <x:row r="854">
      <x:c r="A854" s="43" t="str">
        <x:v>L2024-00054-1</x:v>
      </x:c>
      <x:c r="B854" s="46" t="str">
        <x:v>L2024-00054-1/입찰 공고문_감리_20240923.pdf</x:v>
      </x:c>
      <x:c r="C854" s="43" t="str">
        <x:v>.pdf</x:v>
      </x:c>
      <x:c r="D854" s="61" t="n">
        <x:v>160994</x:v>
      </x:c>
      <x:c r="E854" s="61" t="n">
        <x:v>1</x:v>
      </x:c>
      <x:c r="F854" s="61" t="n">
        <x:v>0</x:v>
      </x:c>
    </x:row>
    <x:row r="855">
      <x:c r="A855" s="43" t="str">
        <x:v>L2024-00052-1</x:v>
      </x:c>
      <x:c r="B855" s="46" t="str">
        <x:v>L2024-00052-1/입찰관련서류.zip</x:v>
      </x:c>
      <x:c r="C855" s="43" t="str">
        <x:v>.zip</x:v>
      </x:c>
      <x:c r="D855" s="61" t="n">
        <x:v>5907579</x:v>
      </x:c>
      <x:c r="E855" s="61" t="n">
        <x:v>0</x:v>
      </x:c>
      <x:c r="F855" s="61" t="n">
        <x:v>0</x:v>
      </x:c>
    </x:row>
    <x:row r="856">
      <x:c r="A856" s="43" t="str">
        <x:v>L2024-00052-1</x:v>
      </x:c>
      <x:c r="B856" s="46" t="str">
        <x:v>L2024-00052-1/입찰관련서류/Power of Attorney for the authority to sign and execute contracts (░Φ╛α╝¡ ╝¡╕φ▒╟╟╤ └º└╙└σ).docx</x:v>
      </x:c>
      <x:c r="C856" s="43" t="str">
        <x:v>.docx</x:v>
      </x:c>
      <x:c r="D856" s="61" t="n">
        <x:v>18360</x:v>
      </x:c>
      <x:c r="E856" s="61" t="n">
        <x:v>15</x:v>
      </x:c>
      <x:c r="F856" s="61" t="n">
        <x:v>0</x:v>
      </x:c>
    </x:row>
    <x:row r="857">
      <x:c r="A857" s="43" t="str">
        <x:v>L2024-00052-1</x:v>
      </x:c>
      <x:c r="B857" s="46" t="str">
        <x:v>L2024-00052-1/입찰관련서류/Section 1 - Instructions to Bidders (ITB)_╝÷┴ñ.docx</x:v>
      </x:c>
      <x:c r="C857" s="43" t="str">
        <x:v>.docx</x:v>
      </x:c>
      <x:c r="D857" s="61" t="n">
        <x:v>31609</x:v>
      </x:c>
      <x:c r="E857" s="61" t="n">
        <x:v>160</x:v>
      </x:c>
      <x:c r="F857" s="61" t="n">
        <x:v>0</x:v>
      </x:c>
    </x:row>
    <x:row r="858">
      <x:c r="A858" s="43" t="str">
        <x:v>L2024-00052-1</x:v>
      </x:c>
      <x:c r="B858" s="46" t="str">
        <x:v>L2024-00052-1/입찰관련서류/Section 10 - Pledges.zip</x:v>
      </x:c>
      <x:c r="C858" s="43" t="str">
        <x:v>.zip</x:v>
      </x:c>
      <x:c r="D858" s="61" t="n">
        <x:v>85586</x:v>
      </x:c>
      <x:c r="E858" s="61" t="n">
        <x:v>0</x:v>
      </x:c>
      <x:c r="F858" s="61" t="n">
        <x:v>0</x:v>
      </x:c>
    </x:row>
    <x:row r="859">
      <x:c r="A859" s="43" t="str">
        <x:v>L2024-00052-1</x:v>
      </x:c>
      <x:c r="B859" s="46" t="str">
        <x:v>L2024-00052-1/입찰관련서류/Section 2 - Bid Data Sheet (BDS)_└╘┬√░°░φ┐δ ├╓┴╛.docx</x:v>
      </x:c>
      <x:c r="C859" s="43" t="str">
        <x:v>.docx</x:v>
      </x:c>
      <x:c r="D859" s="61" t="n">
        <x:v>63578</x:v>
      </x:c>
      <x:c r="E859" s="61" t="n">
        <x:v>278</x:v>
      </x:c>
      <x:c r="F859" s="61" t="n">
        <x:v>11</x:v>
      </x:c>
    </x:row>
    <x:row r="860">
      <x:c r="A860" s="43" t="str">
        <x:v>L2024-00052-1</x:v>
      </x:c>
      <x:c r="B860" s="46" t="str">
        <x:v>L2024-00052-1/입찰관련서류/Section 3 - Bidding Forms_╝÷┴ñ_R3.docx</x:v>
      </x:c>
      <x:c r="C860" s="43" t="str">
        <x:v>.docx</x:v>
      </x:c>
      <x:c r="D860" s="61" t="n">
        <x:v>70077</x:v>
      </x:c>
      <x:c r="E860" s="61" t="n">
        <x:v>392</x:v>
      </x:c>
      <x:c r="F860" s="61" t="n">
        <x:v>3</x:v>
      </x:c>
    </x:row>
    <x:row r="861">
      <x:c r="A861" s="43" t="str">
        <x:v>L2024-00052-1</x:v>
      </x:c>
      <x:c r="B861" s="46" t="str">
        <x:v>L2024-00052-1/입찰관련서류/Section 4 - Request for Proposal (RFP)_Design Service_╝│░Φ░·╛≈┴÷╜├╝¡(┐╡╣«)_Final_R2.pdf</x:v>
      </x:c>
      <x:c r="C861" s="43" t="str">
        <x:v>.pdf</x:v>
      </x:c>
      <x:c r="D861" s="61" t="n">
        <x:v>5761639</x:v>
      </x:c>
      <x:c r="E861" s="61" t="n">
        <x:v>29</x:v>
      </x:c>
      <x:c r="F861" s="61" t="n">
        <x:v>4</x:v>
      </x:c>
    </x:row>
    <x:row r="862">
      <x:c r="A862" s="43" t="str">
        <x:v>L2024-00052-1</x:v>
      </x:c>
      <x:c r="B862" s="46" t="str">
        <x:v>L2024-00052-1/입찰관련서류/Section 5 - Guideline of Construction Supervision_╜├░°░¿╕« ╝÷╟α ┴÷─º ╣╫ ┴╓┐Σ ╛τ╜─(┐╡╣«)_Final.docx</x:v>
      </x:c>
      <x:c r="C862" s="43" t="str">
        <x:v>.docx</x:v>
      </x:c>
      <x:c r="D862" s="61" t="n">
        <x:v>23895</x:v>
      </x:c>
      <x:c r="E862" s="61" t="n">
        <x:v>141</x:v>
      </x:c>
      <x:c r="F862" s="61" t="n">
        <x:v>0</x:v>
      </x:c>
    </x:row>
    <x:row r="863">
      <x:c r="A863" s="43" t="str">
        <x:v>L2024-00052-1</x:v>
      </x:c>
      <x:c r="B863" s="46" t="str">
        <x:v>L2024-00052-1/입찰관련서류/Section 6 - Selection method of successful bidder_│½┬√└┌ ╝▒┴ñ╣µ╜─ ╛╚│╗╣«(┐╡╣«)_Final.docx</x:v>
      </x:c>
      <x:c r="C863" s="43" t="str">
        <x:v>.docx</x:v>
      </x:c>
      <x:c r="D863" s="61" t="n">
        <x:v>32574</x:v>
      </x:c>
      <x:c r="E863" s="61" t="n">
        <x:v>57</x:v>
      </x:c>
      <x:c r="F863" s="61" t="n">
        <x:v>0</x:v>
      </x:c>
    </x:row>
    <x:row r="864">
      <x:c r="A864" s="43" t="str">
        <x:v>L2024-00052-1</x:v>
      </x:c>
      <x:c r="B864" s="46" t="str">
        <x:v>L2024-00052-1/입찰관련서류/Section 7 - General Conditions of Contract_R1.docx</x:v>
      </x:c>
      <x:c r="C864" s="43" t="str">
        <x:v>.docx</x:v>
      </x:c>
      <x:c r="D864" s="61" t="n">
        <x:v>38267</x:v>
      </x:c>
      <x:c r="E864" s="61" t="n">
        <x:v>216</x:v>
      </x:c>
      <x:c r="F864" s="61" t="n">
        <x:v>0</x:v>
      </x:c>
    </x:row>
    <x:row r="865">
      <x:c r="A865" s="43" t="str">
        <x:v>L2024-00052-1</x:v>
      </x:c>
      <x:c r="B865" s="46" t="str">
        <x:v>L2024-00052-1/입찰관련서류/Section 8 - Special Conditions of Contract_R3.docx</x:v>
      </x:c>
      <x:c r="C865" s="43" t="str">
        <x:v>.docx</x:v>
      </x:c>
      <x:c r="D865" s="61" t="n">
        <x:v>41944</x:v>
      </x:c>
      <x:c r="E865" s="61" t="n">
        <x:v>133</x:v>
      </x:c>
      <x:c r="F865" s="61" t="n">
        <x:v>2</x:v>
      </x:c>
    </x:row>
    <x:row r="866">
      <x:c r="A866" s="43" t="str">
        <x:v>L2024-00052-1</x:v>
      </x:c>
      <x:c r="B866" s="46" t="str">
        <x:v>L2024-00052-1/입찰관련서류/Section 9 - Contract Forms_░Φ╛α╝¡(┐╡╣«)_Final_R2.docx</x:v>
      </x:c>
      <x:c r="C866" s="43" t="str">
        <x:v>.docx</x:v>
      </x:c>
      <x:c r="D866" s="61" t="n">
        <x:v>25553</x:v>
      </x:c>
      <x:c r="E866" s="61" t="n">
        <x:v>36</x:v>
      </x:c>
      <x:c r="F866" s="61" t="n">
        <x:v>1</x:v>
      </x:c>
    </x:row>
    <x:row r="867">
      <x:c r="A867" s="43" t="str">
        <x:v>L2024-00050-1</x:v>
      </x:c>
      <x:c r="B867" s="46" t="str">
        <x:v>L2024-00050-1/Part 1(입찰절차).zip</x:v>
      </x:c>
      <x:c r="C867" s="43" t="str">
        <x:v>.zip</x:v>
      </x:c>
      <x:c r="D867" s="61" t="n">
        <x:v>242902</x:v>
      </x:c>
      <x:c r="E867" s="61" t="n">
        <x:v>0</x:v>
      </x:c>
      <x:c r="F867" s="61" t="n">
        <x:v>0</x:v>
      </x:c>
    </x:row>
    <x:row r="868">
      <x:c r="A868" s="43" t="str">
        <x:v>L2024-00050-1</x:v>
      </x:c>
      <x:c r="B868" s="46" t="str">
        <x:v>L2024-00050-1/Part 1(입찰절차)/Part 1(└╘┬√└²┬≈)/Section 1 - Instructions to Bidders (ITB).pdf</x:v>
      </x:c>
      <x:c r="C868" s="43" t="str">
        <x:v>.pdf</x:v>
      </x:c>
      <x:c r="D868" s="61" t="n">
        <x:v>146068</x:v>
      </x:c>
      <x:c r="E868" s="61" t="n">
        <x:v>7</x:v>
      </x:c>
      <x:c r="F868" s="61" t="n">
        <x:v>0</x:v>
      </x:c>
    </x:row>
    <x:row r="869">
      <x:c r="A869" s="43" t="str">
        <x:v>L2024-00050-1</x:v>
      </x:c>
      <x:c r="B869" s="46" t="str">
        <x:v>L2024-00050-1/Part 1(입찰절차)/Part 1(└╘┬√└²┬≈)/Section 2 - Bid Data Sheet (┐╡╣«).docx</x:v>
      </x:c>
      <x:c r="C869" s="43" t="str">
        <x:v>.docx</x:v>
      </x:c>
      <x:c r="D869" s="61" t="n">
        <x:v>70374</x:v>
      </x:c>
      <x:c r="E869" s="61" t="n">
        <x:v>226</x:v>
      </x:c>
      <x:c r="F869" s="61" t="n">
        <x:v>5</x:v>
      </x:c>
    </x:row>
    <x:row r="870">
      <x:c r="A870" s="43" t="str">
        <x:v>L2024-00050-1</x:v>
      </x:c>
      <x:c r="B870" s="46" t="str">
        <x:v>L2024-00050-1/Part 1(입찰절차)/Part 1(└╘┬√└²┬≈)/Section 3. Bidding Forms.docx</x:v>
      </x:c>
      <x:c r="C870" s="43" t="str">
        <x:v>.docx</x:v>
      </x:c>
      <x:c r="D870" s="61" t="n">
        <x:v>49964</x:v>
      </x:c>
      <x:c r="E870" s="61" t="n">
        <x:v>247</x:v>
      </x:c>
      <x:c r="F870" s="61" t="n">
        <x:v>0</x:v>
      </x:c>
    </x:row>
    <x:row r="871">
      <x:c r="A871" s="43" t="str">
        <x:v>L2024-00050-1</x:v>
      </x:c>
      <x:c r="B871" s="46" t="str">
        <x:v>L2024-00050-1/Part 3(계약서 및 기타 자료).zip</x:v>
      </x:c>
      <x:c r="C871" s="43" t="str">
        <x:v>.zip</x:v>
      </x:c>
      <x:c r="D871" s="61" t="n">
        <x:v>381939</x:v>
      </x:c>
      <x:c r="E871" s="61" t="n">
        <x:v>0</x:v>
      </x:c>
      <x:c r="F871" s="61" t="n">
        <x:v>0</x:v>
      </x:c>
    </x:row>
    <x:row r="872">
      <x:c r="A872" s="43" t="str">
        <x:v>L2024-00050-1</x:v>
      </x:c>
      <x:c r="B872" s="46" t="str">
        <x:v>L2024-00050-1/Part 3(계약서 및 기타 자료)/Section 10 - Pledges.zip</x:v>
      </x:c>
      <x:c r="C872" s="43" t="str">
        <x:v>.zip</x:v>
      </x:c>
      <x:c r="D872" s="61" t="n">
        <x:v>84955</x:v>
      </x:c>
      <x:c r="E872" s="61" t="n">
        <x:v>0</x:v>
      </x:c>
      <x:c r="F872" s="61" t="n">
        <x:v>0</x:v>
      </x:c>
    </x:row>
    <x:row r="873">
      <x:c r="A873" s="43" t="str">
        <x:v>L2024-00050-1</x:v>
      </x:c>
      <x:c r="B873" s="46" t="str">
        <x:v>L2024-00050-1/Part 3(계약서 및 기타 자료)/Section 7. General Conditions of Contract.docx</x:v>
      </x:c>
      <x:c r="C873" s="43" t="str">
        <x:v>.docx</x:v>
      </x:c>
      <x:c r="D873" s="61" t="n">
        <x:v>208511</x:v>
      </x:c>
      <x:c r="E873" s="61" t="n">
        <x:v>1406</x:v>
      </x:c>
      <x:c r="F873" s="61" t="n">
        <x:v>2</x:v>
      </x:c>
    </x:row>
    <x:row r="874">
      <x:c r="A874" s="43" t="str">
        <x:v>L2024-00050-1</x:v>
      </x:c>
      <x:c r="B874" s="46" t="str">
        <x:v>L2024-00050-1/Part 3(계약서 및 기타 자료)/Section 8. Special Conditions of Contract.docx</x:v>
      </x:c>
      <x:c r="C874" s="43" t="str">
        <x:v>.docx</x:v>
      </x:c>
      <x:c r="D874" s="61" t="n">
        <x:v>62776</x:v>
      </x:c>
      <x:c r="E874" s="61" t="n">
        <x:v>261</x:v>
      </x:c>
      <x:c r="F874" s="61" t="n">
        <x:v>1</x:v>
      </x:c>
    </x:row>
    <x:row r="875">
      <x:c r="A875" s="43" t="str">
        <x:v>L2024-00050-1</x:v>
      </x:c>
      <x:c r="B875" s="46" t="str">
        <x:v>L2024-00050-1/Part 3(계약서 및 기타 자료)/Section 9. Contract Forms.docx</x:v>
      </x:c>
      <x:c r="C875" s="43" t="str">
        <x:v>.docx</x:v>
      </x:c>
      <x:c r="D875" s="61" t="n">
        <x:v>38064</x:v>
      </x:c>
      <x:c r="E875" s="61" t="n">
        <x:v>30</x:v>
      </x:c>
      <x:c r="F875" s="61" t="n">
        <x:v>0</x:v>
      </x:c>
    </x:row>
    <x:row r="876">
      <x:c r="A876" s="43" t="str">
        <x:v>L2024-00050-1</x:v>
      </x:c>
      <x:c r="B876" s="46" t="str">
        <x:v>L2024-00050-1/우간다 조달청 규정.zip</x:v>
      </x:c>
      <x:c r="C876" s="43" t="str">
        <x:v>.zip</x:v>
      </x:c>
      <x:c r="D876" s="61" t="n">
        <x:v>1317450</x:v>
      </x:c>
      <x:c r="E876" s="61" t="n">
        <x:v>0</x:v>
      </x:c>
      <x:c r="F876" s="61" t="n">
        <x:v>0</x:v>
      </x:c>
    </x:row>
    <x:row r="877">
      <x:c r="A877" s="43" t="str">
        <x:v>L2024-00050-1</x:v>
      </x:c>
      <x:c r="B877" s="46" t="str">
        <x:v>L2024-00050-1/우간다 조달청 규정/(PPDA ║╕┴⌡▒╘┴ñ) GUIDELINE-3-OF-2024-ON-BID-AND-PERFORMANCE-SECURITIES.pdf</x:v>
      </x:c>
      <x:c r="C877" s="43" t="str">
        <x:v>.pdf</x:v>
      </x:c>
      <x:c r="D877" s="61" t="n">
        <x:v>1041182</x:v>
      </x:c>
      <x:c r="E877" s="61" t="n">
        <x:v>4</x:v>
      </x:c>
      <x:c r="F877" s="61" t="n">
        <x:v>2</x:v>
      </x:c>
    </x:row>
    <x:row r="878">
      <x:c r="A878" s="43" t="str">
        <x:v>L2024-00050-1</x:v>
      </x:c>
      <x:c r="B878" s="46" t="str">
        <x:v>L2024-00050-1/우간다 조달청 규정/(PPDA ╞»╟²╕╢┴° ░ⁿ╖├▒╘┴ñ) PPDA-Act-2003 (Ammended 2021).pdf</x:v>
      </x:c>
      <x:c r="C878" s="43" t="str">
        <x:v>.pdf</x:v>
      </x:c>
      <x:c r="D878" s="61" t="n">
        <x:v>515969</x:v>
      </x:c>
      <x:c r="E878" s="61" t="n">
        <x:v>101</x:v>
      </x:c>
      <x:c r="F878" s="61" t="n">
        <x:v>0</x:v>
      </x:c>
    </x:row>
    <x:row r="879">
      <x:c r="A879" s="43" t="str">
        <x:v>L2024-00050-1</x:v>
      </x:c>
      <x:c r="B879" s="46" t="str">
        <x:v>L2024-00050-1/입찰계획안(국문)_240912.hwp</x:v>
      </x:c>
      <x:c r="C879" s="43" t="str">
        <x:v>.hwp</x:v>
      </x:c>
      <x:c r="D879" s="61" t="n">
        <x:v>187904</x:v>
      </x:c>
      <x:c r="E879" s="61" t="n">
        <x:v>483</x:v>
      </x:c>
      <x:c r="F879" s="61" t="n">
        <x:v>4</x:v>
      </x:c>
    </x:row>
    <x:row r="880">
      <x:c r="A880" s="43" t="str">
        <x:v>L2024-00050-1</x:v>
      </x:c>
      <x:c r="B880" s="46" t="str">
        <x:v>L2024-00050-1/입찰계획안(영문)_240912.docx</x:v>
      </x:c>
      <x:c r="C880" s="43" t="str">
        <x:v>.docx</x:v>
      </x:c>
      <x:c r="D880" s="61" t="n">
        <x:v>70374</x:v>
      </x:c>
      <x:c r="E880" s="61" t="n">
        <x:v>226</x:v>
      </x:c>
      <x:c r="F880" s="61" t="n">
        <x:v>5</x:v>
      </x:c>
    </x:row>
    <x:row r="881">
      <x:c r="A881" s="43" t="str">
        <x:v>L2024-00049-2</x:v>
      </x:c>
      <x:c r="B881" s="46" t="str">
        <x:v>L2024-00049-2/3. Bidding Document_ITCA (Construction).zip</x:v>
      </x:c>
      <x:c r="C881" s="43" t="str">
        <x:v>.zip</x:v>
      </x:c>
      <x:c r="D881" s="61" t="n">
        <x:v>1055015</x:v>
      </x:c>
      <x:c r="E881" s="61" t="n">
        <x:v>0</x:v>
      </x:c>
      <x:c r="F881" s="61" t="n">
        <x:v>0</x:v>
      </x:c>
    </x:row>
    <x:row r="882">
      <x:c r="A882" s="43" t="str">
        <x:v>L2024-00049-2</x:v>
      </x:c>
      <x:c r="B882" s="46" t="str">
        <x:v>L2024-00049-2/3. Bidding Document_ITCA (Construction)/╝¡╛α╝¡/Action Pledge to Integrate Human Rights into Business Management of International Development Cooperation Projects (▒╣┴ª░│╣▀╟∙╖┬╗τ╛≈ └╬▒╟░µ┐╡ ╜╟├╡ ╝¡╛α╝¡).docx</x:v>
      </x:c>
      <x:c r="C882" s="43" t="str">
        <x:v>.docx</x:v>
      </x:c>
      <x:c r="D882" s="61" t="n">
        <x:v>20200</x:v>
      </x:c>
      <x:c r="E882" s="61" t="n">
        <x:v>16</x:v>
      </x:c>
      <x:c r="F882" s="61" t="n">
        <x:v>0</x:v>
      </x:c>
    </x:row>
    <x:row r="883">
      <x:c r="A883" s="43" t="str">
        <x:v>L2024-00049-2</x:v>
      </x:c>
      <x:c r="B883" s="46" t="str">
        <x:v>L2024-00049-2/3. Bidding Document_ITCA (Construction)/╝¡╛α╝¡/Declaration of Anti_Corruption (╣▌║╬╞╨ ╝▒╛≡╝¡).docx</x:v>
      </x:c>
      <x:c r="C883" s="43" t="str">
        <x:v>.docx</x:v>
      </x:c>
      <x:c r="D883" s="61" t="n">
        <x:v>23769</x:v>
      </x:c>
      <x:c r="E883" s="61" t="n">
        <x:v>38</x:v>
      </x:c>
      <x:c r="F883" s="61" t="n">
        <x:v>0</x:v>
      </x:c>
    </x:row>
    <x:row r="884">
      <x:c r="A884" s="43" t="str">
        <x:v>L2024-00049-2</x:v>
      </x:c>
      <x:c r="B884" s="46" t="str">
        <x:v>L2024-00049-2/3. Bidding Document_ITCA (Construction)/╝¡╛α╝¡/Fair Contract Pledge Letter (░°┴ñ░Φ╛α ╝¡╛α╝¡).docx</x:v>
      </x:c>
      <x:c r="C884" s="43" t="str">
        <x:v>.docx</x:v>
      </x:c>
      <x:c r="D884" s="61" t="n">
        <x:v>19639</x:v>
      </x:c>
      <x:c r="E884" s="61" t="n">
        <x:v>20</x:v>
      </x:c>
      <x:c r="F884" s="61" t="n">
        <x:v>0</x:v>
      </x:c>
    </x:row>
    <x:row r="885">
      <x:c r="A885" s="43" t="str">
        <x:v>L2024-00049-2</x:v>
      </x:c>
      <x:c r="B885" s="46" t="str">
        <x:v>L2024-00049-2/3. Bidding Document_ITCA (Construction)/╝¡╛α╝¡/Integrity Pledge (├╗╖┼░Φ╛α╝¡).docx</x:v>
      </x:c>
      <x:c r="C885" s="43" t="str">
        <x:v>.docx</x:v>
      </x:c>
      <x:c r="D885" s="61" t="n">
        <x:v>38841</x:v>
      </x:c>
      <x:c r="E885" s="61" t="n">
        <x:v>17</x:v>
      </x:c>
      <x:c r="F885" s="61" t="n">
        <x:v>0</x:v>
      </x:c>
    </x:row>
    <x:row r="886">
      <x:c r="A886" s="43" t="str">
        <x:v>L2024-00049-2</x:v>
      </x:c>
      <x:c r="B886" s="46" t="str">
        <x:v>L2024-00049-2/3. Bidding Document_ITCA (Construction)/0. Cover sheet_ITCA Construction.docx</x:v>
      </x:c>
      <x:c r="C886" s="43" t="str">
        <x:v>.docx</x:v>
      </x:c>
      <x:c r="D886" s="61" t="n">
        <x:v>32705</x:v>
      </x:c>
      <x:c r="E886" s="61" t="n">
        <x:v>36</x:v>
      </x:c>
      <x:c r="F886" s="61" t="n">
        <x:v>0</x:v>
      </x:c>
    </x:row>
    <x:row r="887">
      <x:c r="A887" s="43" t="str">
        <x:v>L2024-00049-2</x:v>
      </x:c>
      <x:c r="B887" s="46" t="str">
        <x:v>L2024-00049-2/3. Bidding Document_ITCA (Construction)/Attachment 6. Scope of Works_ITCA  Construction.docx</x:v>
      </x:c>
      <x:c r="C887" s="43" t="str">
        <x:v>.docx</x:v>
      </x:c>
      <x:c r="D887" s="61" t="n">
        <x:v>52884</x:v>
      </x:c>
      <x:c r="E887" s="61" t="n">
        <x:v>223</x:v>
      </x:c>
      <x:c r="F887" s="61" t="n">
        <x:v>2</x:v>
      </x:c>
    </x:row>
    <x:row r="888">
      <x:c r="A888" s="43" t="str">
        <x:v>L2024-00049-2</x:v>
      </x:c>
      <x:c r="B888" s="46" t="str">
        <x:v>L2024-00049-2/3. Bidding Document_ITCA (Construction)/Section 1 Instructions to Bidder_ITCA Construction.docx</x:v>
      </x:c>
      <x:c r="C888" s="43" t="str">
        <x:v>.docx</x:v>
      </x:c>
      <x:c r="D888" s="61" t="n">
        <x:v>37245</x:v>
      </x:c>
      <x:c r="E888" s="61" t="n">
        <x:v>171</x:v>
      </x:c>
      <x:c r="F888" s="61" t="n">
        <x:v>0</x:v>
      </x:c>
    </x:row>
    <x:row r="889">
      <x:c r="A889" s="43" t="str">
        <x:v>L2024-00049-2</x:v>
      </x:c>
      <x:c r="B889" s="46" t="str">
        <x:v>L2024-00049-2/3. Bidding Document_ITCA (Construction)/Section 2 Bid data sheet_ITCA Construction.docx</x:v>
      </x:c>
      <x:c r="C889" s="43" t="str">
        <x:v>.docx</x:v>
      </x:c>
      <x:c r="D889" s="61" t="n">
        <x:v>525484</x:v>
      </x:c>
      <x:c r="E889" s="61" t="n">
        <x:v>232</x:v>
      </x:c>
      <x:c r="F889" s="61" t="n">
        <x:v>10</x:v>
      </x:c>
    </x:row>
    <x:row r="890">
      <x:c r="A890" s="43" t="str">
        <x:v>L2024-00049-2</x:v>
      </x:c>
      <x:c r="B890" s="46" t="str">
        <x:v>L2024-00049-2/3. Bidding Document_ITCA (Construction)/Section 3 Bidding Forms_ITCA Construction.docx</x:v>
      </x:c>
      <x:c r="C890" s="43" t="str">
        <x:v>.docx</x:v>
      </x:c>
      <x:c r="D890" s="61" t="n">
        <x:v>60095</x:v>
      </x:c>
      <x:c r="E890" s="61" t="n">
        <x:v>188</x:v>
      </x:c>
      <x:c r="F890" s="61" t="n">
        <x:v>0</x:v>
      </x:c>
    </x:row>
    <x:row r="891">
      <x:c r="A891" s="43" t="str">
        <x:v>L2024-00049-2</x:v>
      </x:c>
      <x:c r="B891" s="46" t="str">
        <x:v>L2024-00049-2/3. Bidding Document_ITCA (Construction)/Section 4 BOQ_ITCA Construction.docx</x:v>
      </x:c>
      <x:c r="C891" s="43" t="str">
        <x:v>.docx</x:v>
      </x:c>
      <x:c r="D891" s="61" t="n">
        <x:v>29805</x:v>
      </x:c>
      <x:c r="E891" s="61" t="n">
        <x:v>3</x:v>
      </x:c>
      <x:c r="F891" s="61" t="n">
        <x:v>0</x:v>
      </x:c>
    </x:row>
    <x:row r="892">
      <x:c r="A892" s="43" t="str">
        <x:v>L2024-00049-2</x:v>
      </x:c>
      <x:c r="B892" s="46" t="str">
        <x:v>L2024-00049-2/3. Bidding Document_ITCA (Construction)/Section 5 Drawings_ITCA Construction.docx</x:v>
      </x:c>
      <x:c r="C892" s="43" t="str">
        <x:v>.docx</x:v>
      </x:c>
      <x:c r="D892" s="61" t="n">
        <x:v>29554</x:v>
      </x:c>
      <x:c r="E892" s="61" t="n">
        <x:v>1</x:v>
      </x:c>
      <x:c r="F892" s="61" t="n">
        <x:v>0</x:v>
      </x:c>
    </x:row>
    <x:row r="893">
      <x:c r="A893" s="43" t="str">
        <x:v>L2024-00049-2</x:v>
      </x:c>
      <x:c r="B893" s="46" t="str">
        <x:v>L2024-00049-2/3. Bidding Document_ITCA (Construction)/Section 6 Specification_ITCA Construction.docx</x:v>
      </x:c>
      <x:c r="C893" s="43" t="str">
        <x:v>.docx</x:v>
      </x:c>
      <x:c r="D893" s="61" t="n">
        <x:v>28722</x:v>
      </x:c>
      <x:c r="E893" s="61" t="n">
        <x:v>4</x:v>
      </x:c>
      <x:c r="F893" s="61" t="n">
        <x:v>0</x:v>
      </x:c>
    </x:row>
    <x:row r="894">
      <x:c r="A894" s="43" t="str">
        <x:v>L2024-00049-2</x:v>
      </x:c>
      <x:c r="B894" s="46" t="str">
        <x:v>L2024-00049-2/3. Bidding Document_ITCA (Construction)/Section 7 General Conditions_ITCA Construction.docx</x:v>
      </x:c>
      <x:c r="C894" s="43" t="str">
        <x:v>.docx</x:v>
      </x:c>
      <x:c r="D894" s="61" t="n">
        <x:v>172446</x:v>
      </x:c>
      <x:c r="E894" s="61" t="n">
        <x:v>1403</x:v>
      </x:c>
      <x:c r="F894" s="61" t="n">
        <x:v>2</x:v>
      </x:c>
    </x:row>
    <x:row r="895">
      <x:c r="A895" s="43" t="str">
        <x:v>L2024-00049-2</x:v>
      </x:c>
      <x:c r="B895" s="46" t="str">
        <x:v>L2024-00049-2/3. Bidding Document_ITCA (Construction)/Section 8 Special Conditions_ITCA Construction.docx</x:v>
      </x:c>
      <x:c r="C895" s="43" t="str">
        <x:v>.docx</x:v>
      </x:c>
      <x:c r="D895" s="61" t="n">
        <x:v>36069</x:v>
      </x:c>
      <x:c r="E895" s="61" t="n">
        <x:v>21</x:v>
      </x:c>
      <x:c r="F895" s="61" t="n">
        <x:v>0</x:v>
      </x:c>
    </x:row>
    <x:row r="896">
      <x:c r="A896" s="43" t="str">
        <x:v>L2024-00049-2</x:v>
      </x:c>
      <x:c r="B896" s="46" t="str">
        <x:v>L2024-00049-2/입찰공고문_Borrador anuncio de licitacion_최종.docx</x:v>
      </x:c>
      <x:c r="C896" s="43" t="str">
        <x:v>.docx</x:v>
      </x:c>
      <x:c r="D896" s="61" t="n">
        <x:v>100429</x:v>
      </x:c>
      <x:c r="E896" s="61" t="n">
        <x:v>53</x:v>
      </x:c>
      <x:c r="F896" s="61" t="n">
        <x:v>0</x:v>
      </x:c>
    </x:row>
    <x:row r="897">
      <x:c r="A897" s="43" t="str">
        <x:v>L2024-00049-1</x:v>
      </x:c>
      <x:c r="B897" s="46" t="str">
        <x:v>L2024-00049-1/Bidding Document_ITCA(Construction)_Final.zip</x:v>
      </x:c>
      <x:c r="C897" s="43" t="str">
        <x:v>.zip</x:v>
      </x:c>
      <x:c r="D897" s="61" t="n">
        <x:v>910241</x:v>
      </x:c>
      <x:c r="E897" s="61" t="n">
        <x:v>0</x:v>
      </x:c>
      <x:c r="F897" s="61" t="n">
        <x:v>0</x:v>
      </x:c>
    </x:row>
    <x:row r="898">
      <x:c r="A898" s="43" t="str">
        <x:v>L2024-00049-1</x:v>
      </x:c>
      <x:c r="B898" s="46" t="str">
        <x:v>L2024-00049-1/Bidding Document_ITCA(Construction)_Final/0. Cover sheet_ITCA Construction_(202409).docx</x:v>
      </x:c>
      <x:c r="C898" s="43" t="str">
        <x:v>.docx</x:v>
      </x:c>
      <x:c r="D898" s="61" t="n">
        <x:v>32287</x:v>
      </x:c>
      <x:c r="E898" s="61" t="n">
        <x:v>36</x:v>
      </x:c>
      <x:c r="F898" s="61" t="n">
        <x:v>0</x:v>
      </x:c>
    </x:row>
    <x:row r="899">
      <x:c r="A899" s="43" t="str">
        <x:v>L2024-00049-1</x:v>
      </x:c>
      <x:c r="B899" s="46" t="str">
        <x:v>L2024-00049-1/Bidding Document_ITCA(Construction)_Final/Section 1 Instructions to Bidder_ITCA Construction_(202409).docx</x:v>
      </x:c>
      <x:c r="C899" s="43" t="str">
        <x:v>.docx</x:v>
      </x:c>
      <x:c r="D899" s="61" t="n">
        <x:v>37245</x:v>
      </x:c>
      <x:c r="E899" s="61" t="n">
        <x:v>171</x:v>
      </x:c>
      <x:c r="F899" s="61" t="n">
        <x:v>0</x:v>
      </x:c>
    </x:row>
    <x:row r="900">
      <x:c r="A900" s="43" t="str">
        <x:v>L2024-00049-1</x:v>
      </x:c>
      <x:c r="B900" s="46" t="str">
        <x:v>L2024-00049-1/Bidding Document_ITCA(Construction)_Final/Section 2 Bid data sheet_ITCA Construction_(202409).docx</x:v>
      </x:c>
      <x:c r="C900" s="43" t="str">
        <x:v>.docx</x:v>
      </x:c>
      <x:c r="D900" s="61" t="n">
        <x:v>521488</x:v>
      </x:c>
      <x:c r="E900" s="61" t="n">
        <x:v>196</x:v>
      </x:c>
      <x:c r="F900" s="61" t="n">
        <x:v>10</x:v>
      </x:c>
    </x:row>
    <x:row r="901">
      <x:c r="A901" s="43" t="str">
        <x:v>L2024-00049-1</x:v>
      </x:c>
      <x:c r="B901" s="46" t="str">
        <x:v>L2024-00049-1/Bidding Document_ITCA(Construction)_Final/Section 3 Bidding Forms_ITCA Construction_(202409).docx</x:v>
      </x:c>
      <x:c r="C901" s="43" t="str">
        <x:v>.docx</x:v>
      </x:c>
      <x:c r="D901" s="61" t="n">
        <x:v>60095</x:v>
      </x:c>
      <x:c r="E901" s="61" t="n">
        <x:v>188</x:v>
      </x:c>
      <x:c r="F901" s="61" t="n">
        <x:v>0</x:v>
      </x:c>
    </x:row>
    <x:row r="902">
      <x:c r="A902" s="43" t="str">
        <x:v>L2024-00049-1</x:v>
      </x:c>
      <x:c r="B902" s="46" t="str">
        <x:v>L2024-00049-1/Bidding Document_ITCA(Construction)_Final/Section 4 BOQ_ITCA Construction_(202409).docx</x:v>
      </x:c>
      <x:c r="C902" s="43" t="str">
        <x:v>.docx</x:v>
      </x:c>
      <x:c r="D902" s="61" t="n">
        <x:v>29805</x:v>
      </x:c>
      <x:c r="E902" s="61" t="n">
        <x:v>3</x:v>
      </x:c>
      <x:c r="F902" s="61" t="n">
        <x:v>0</x:v>
      </x:c>
    </x:row>
    <x:row r="903">
      <x:c r="A903" s="43" t="str">
        <x:v>L2024-00049-1</x:v>
      </x:c>
      <x:c r="B903" s="46" t="str">
        <x:v>L2024-00049-1/Bidding Document_ITCA(Construction)_Final/Section 5 Drawings_ITCA Construction_(202409).docx</x:v>
      </x:c>
      <x:c r="C903" s="43" t="str">
        <x:v>.docx</x:v>
      </x:c>
      <x:c r="D903" s="61" t="n">
        <x:v>29554</x:v>
      </x:c>
      <x:c r="E903" s="61" t="n">
        <x:v>1</x:v>
      </x:c>
      <x:c r="F903" s="61" t="n">
        <x:v>0</x:v>
      </x:c>
    </x:row>
    <x:row r="904">
      <x:c r="A904" s="43" t="str">
        <x:v>L2024-00049-1</x:v>
      </x:c>
      <x:c r="B904" s="46" t="str">
        <x:v>L2024-00049-1/Bidding Document_ITCA(Construction)_Final/Section 6 Specification_ITCA Construction_(202409).docx</x:v>
      </x:c>
      <x:c r="C904" s="43" t="str">
        <x:v>.docx</x:v>
      </x:c>
      <x:c r="D904" s="61" t="n">
        <x:v>28722</x:v>
      </x:c>
      <x:c r="E904" s="61" t="n">
        <x:v>4</x:v>
      </x:c>
      <x:c r="F904" s="61" t="n">
        <x:v>0</x:v>
      </x:c>
    </x:row>
    <x:row r="905">
      <x:c r="A905" s="43" t="str">
        <x:v>L2024-00049-1</x:v>
      </x:c>
      <x:c r="B905" s="46" t="str">
        <x:v>L2024-00049-1/Bidding Document_ITCA(Construction)_Final/Section 7 General Conditions_ITCA Construction_(202409).docx</x:v>
      </x:c>
      <x:c r="C905" s="43" t="str">
        <x:v>.docx</x:v>
      </x:c>
      <x:c r="D905" s="61" t="n">
        <x:v>172446</x:v>
      </x:c>
      <x:c r="E905" s="61" t="n">
        <x:v>1403</x:v>
      </x:c>
      <x:c r="F905" s="61" t="n">
        <x:v>2</x:v>
      </x:c>
    </x:row>
    <x:row r="906">
      <x:c r="A906" s="43" t="str">
        <x:v>L2024-00049-1</x:v>
      </x:c>
      <x:c r="B906" s="46" t="str">
        <x:v>L2024-00049-1/Bidding Document_ITCA(Construction)_Final/Section 8 Special Conditions_ITCA Construction_(202409).docx</x:v>
      </x:c>
      <x:c r="C906" s="43" t="str">
        <x:v>.docx</x:v>
      </x:c>
      <x:c r="D906" s="61" t="n">
        <x:v>36069</x:v>
      </x:c>
      <x:c r="E906" s="61" t="n">
        <x:v>21</x:v>
      </x:c>
      <x:c r="F906" s="61" t="n">
        <x:v>0</x:v>
      </x:c>
    </x:row>
    <x:row r="907">
      <x:c r="A907" s="43" t="str">
        <x:v>L2024-00049-1</x:v>
      </x:c>
      <x:c r="B907" s="46" t="str">
        <x:v>L2024-00049-1/입찰공고문_서문_20240909.docx</x:v>
      </x:c>
      <x:c r="C907" s="43" t="str">
        <x:v>.docx</x:v>
      </x:c>
      <x:c r="D907" s="61" t="n">
        <x:v>100083</x:v>
      </x:c>
      <x:c r="E907" s="61" t="n">
        <x:v>52</x:v>
      </x:c>
      <x:c r="F907" s="61" t="n">
        <x:v>0</x:v>
      </x:c>
    </x:row>
    <x:row r="908">
      <x:c r="A908" s="43" t="str">
        <x:v>L2024-00048-1</x:v>
      </x:c>
      <x:c r="B908" s="46" t="str">
        <x:v>L2024-00048-1/(붙임 1) (국문) 입찰공고문_코트디부아르 FHBU 설계 및 감리 용역.hwp</x:v>
      </x:c>
      <x:c r="C908" s="43" t="str">
        <x:v>.hwp</x:v>
      </x:c>
      <x:c r="D908" s="61" t="n">
        <x:v>70656</x:v>
      </x:c>
      <x:c r="E908" s="61" t="n">
        <x:v>513</x:v>
      </x:c>
      <x:c r="F908" s="61" t="n">
        <x:v>0</x:v>
      </x:c>
    </x:row>
    <x:row r="909">
      <x:c r="A909" s="43" t="str">
        <x:v>L2024-00048-1</x:v>
      </x:c>
      <x:c r="B909" s="46" t="str">
        <x:v>L2024-00048-1/Section 1 - Instructions to Bidders (ITB).zip</x:v>
      </x:c>
      <x:c r="C909" s="43" t="str">
        <x:v>.zip</x:v>
      </x:c>
      <x:c r="D909" s="61" t="n">
        <x:v>216187</x:v>
      </x:c>
      <x:c r="E909" s="61" t="n">
        <x:v>0</x:v>
      </x:c>
      <x:c r="F909" s="61" t="n">
        <x:v>0</x:v>
      </x:c>
    </x:row>
    <x:row r="910">
      <x:c r="A910" s="43" t="str">
        <x:v>L2024-00048-1</x:v>
      </x:c>
      <x:c r="B910" s="46" t="str">
        <x:v>L2024-00048-1/Section 1 - Instructions to Bidders (ITB)/Section 1 - ▒╣┴ª└╘┬√└»└╟╝¡ (ITB).hwp</x:v>
      </x:c>
      <x:c r="C910" s="43" t="str">
        <x:v>.hwp</x:v>
      </x:c>
      <x:c r="D910" s="61" t="n">
        <x:v>92672</x:v>
      </x:c>
      <x:c r="E910" s="61" t="n">
        <x:v>129</x:v>
      </x:c>
      <x:c r="F910" s="61" t="n">
        <x:v>0</x:v>
      </x:c>
    </x:row>
    <x:row r="911">
      <x:c r="A911" s="43" t="str">
        <x:v>L2024-00048-1</x:v>
      </x:c>
      <x:c r="B911" s="46" t="str">
        <x:v>L2024-00048-1/Section 1 - Instructions to Bidders (ITB)/Section 1 - Instructions to Bidders (ITB).hwp</x:v>
      </x:c>
      <x:c r="C911" s="43" t="str">
        <x:v>.hwp</x:v>
      </x:c>
      <x:c r="D911" s="61" t="n">
        <x:v>168448</x:v>
      </x:c>
      <x:c r="E911" s="61" t="n">
        <x:v>161</x:v>
      </x:c>
      <x:c r="F911" s="61" t="n">
        <x:v>0</x:v>
      </x:c>
    </x:row>
    <x:row r="912">
      <x:c r="A912" s="43" t="str">
        <x:v>L2024-00048-1</x:v>
      </x:c>
      <x:c r="B912" s="46" t="str">
        <x:v>L2024-00048-1/Section 2 - (영문) Bid Data Sheet (BDS)_코트디_ver.1.3.docx</x:v>
      </x:c>
      <x:c r="C912" s="43" t="str">
        <x:v>.docx</x:v>
      </x:c>
      <x:c r="D912" s="61" t="n">
        <x:v>69703</x:v>
      </x:c>
      <x:c r="E912" s="61" t="n">
        <x:v>254</x:v>
      </x:c>
      <x:c r="F912" s="61" t="n">
        <x:v>2</x:v>
      </x:c>
    </x:row>
    <x:row r="913">
      <x:c r="A913" s="43" t="str">
        <x:v>L2024-00048-1</x:v>
      </x:c>
      <x:c r="B913" s="46" t="str">
        <x:v>L2024-00048-1/Section 3 - Bidding Forms_코트디_ver.1.docx</x:v>
      </x:c>
      <x:c r="C913" s="43" t="str">
        <x:v>.docx</x:v>
      </x:c>
      <x:c r="D913" s="61" t="n">
        <x:v>57087</x:v>
      </x:c>
      <x:c r="E913" s="61" t="n">
        <x:v>268</x:v>
      </x:c>
      <x:c r="F913" s="61" t="n">
        <x:v>0</x:v>
      </x:c>
    </x:row>
    <x:row r="914">
      <x:c r="A914" s="43" t="str">
        <x:v>L2024-00048-1</x:v>
      </x:c>
      <x:c r="B914" s="46" t="str">
        <x:v>L2024-00048-1/Section 4 - Request for Proposal_코트디_ver.1.2_수정.docx</x:v>
      </x:c>
      <x:c r="C914" s="43" t="str">
        <x:v>.docx</x:v>
      </x:c>
      <x:c r="D914" s="61" t="n">
        <x:v>4145891</x:v>
      </x:c>
      <x:c r="E914" s="61" t="n">
        <x:v>396</x:v>
      </x:c>
      <x:c r="F914" s="61" t="n">
        <x:v>10</x:v>
      </x:c>
    </x:row>
    <x:row r="915">
      <x:c r="A915" s="43" t="str">
        <x:v>L2024-00048-1</x:v>
      </x:c>
      <x:c r="B915" s="46" t="str">
        <x:v>L2024-00048-1/Section 5 - Reference Documents.zip</x:v>
      </x:c>
      <x:c r="C915" s="43" t="str">
        <x:v>.zip</x:v>
      </x:c>
      <x:c r="D915" s="61" t="n">
        <x:v>71356</x:v>
      </x:c>
      <x:c r="E915" s="61" t="n">
        <x:v>0</x:v>
      </x:c>
      <x:c r="F915" s="61" t="n">
        <x:v>0</x:v>
      </x:c>
    </x:row>
    <x:row r="916">
      <x:c r="A916" s="43" t="str">
        <x:v>L2024-00048-1</x:v>
      </x:c>
      <x:c r="B916" s="46" t="str">
        <x:v>L2024-00048-1/Section 5 - Reference Documents/Section 5 - BATIMENT PETROCI (Floor plan).png</x:v>
      </x:c>
      <x:c r="C916" s="43" t="str">
        <x:v>.png</x:v>
      </x:c>
      <x:c r="D916" s="61" t="n">
        <x:v>53929</x:v>
      </x:c>
      <x:c r="E916" s="61" t="n">
        <x:v>0</x:v>
      </x:c>
      <x:c r="F916" s="61" t="n">
        <x:v>0</x:v>
      </x:c>
    </x:row>
    <x:row r="917">
      <x:c r="A917" s="43" t="str">
        <x:v>L2024-00048-1</x:v>
      </x:c>
      <x:c r="B917" s="46" t="str">
        <x:v>L2024-00048-1/Section 5 - Reference Documents/Section 5 - Construction Supervision Forms.docx</x:v>
      </x:c>
      <x:c r="C917" s="43" t="str">
        <x:v>.docx</x:v>
      </x:c>
      <x:c r="D917" s="61" t="n">
        <x:v>21655</x:v>
      </x:c>
      <x:c r="E917" s="61" t="n">
        <x:v>110</x:v>
      </x:c>
      <x:c r="F917" s="61" t="n">
        <x:v>0</x:v>
      </x:c>
    </x:row>
    <x:row r="918">
      <x:c r="A918" s="43" t="str">
        <x:v>L2024-00048-1</x:v>
      </x:c>
      <x:c r="B918" s="46" t="str">
        <x:v>L2024-00048-1/Section 6 - General Conditions of Contract.docx</x:v>
      </x:c>
      <x:c r="C918" s="43" t="str">
        <x:v>.docx</x:v>
      </x:c>
      <x:c r="D918" s="61" t="n">
        <x:v>35387</x:v>
      </x:c>
      <x:c r="E918" s="61" t="n">
        <x:v>181</x:v>
      </x:c>
      <x:c r="F918" s="61" t="n">
        <x:v>0</x:v>
      </x:c>
    </x:row>
    <x:row r="919">
      <x:c r="A919" s="43" t="str">
        <x:v>L2024-00048-1</x:v>
      </x:c>
      <x:c r="B919" s="46" t="str">
        <x:v>L2024-00048-1/Section 7 - Special Conditions of Contract.docx</x:v>
      </x:c>
      <x:c r="C919" s="43" t="str">
        <x:v>.docx</x:v>
      </x:c>
      <x:c r="D919" s="61" t="n">
        <x:v>25034</x:v>
      </x:c>
      <x:c r="E919" s="61" t="n">
        <x:v>39</x:v>
      </x:c>
      <x:c r="F919" s="61" t="n">
        <x:v>0</x:v>
      </x:c>
    </x:row>
    <x:row r="920">
      <x:c r="A920" s="43" t="str">
        <x:v>L2024-00048-1</x:v>
      </x:c>
      <x:c r="B920" s="46" t="str">
        <x:v>L2024-00048-1/Section 8 - Contract Forms.docx</x:v>
      </x:c>
      <x:c r="C920" s="43" t="str">
        <x:v>.docx</x:v>
      </x:c>
      <x:c r="D920" s="61" t="n">
        <x:v>22736</x:v>
      </x:c>
      <x:c r="E920" s="61" t="n">
        <x:v>93</x:v>
      </x:c>
      <x:c r="F920" s="61" t="n">
        <x:v>0</x:v>
      </x:c>
    </x:row>
    <x:row r="921">
      <x:c r="A921" s="43" t="str">
        <x:v>L2024-00048-1</x:v>
      </x:c>
      <x:c r="B921" s="46" t="str">
        <x:v>L2024-00048-1/Section 9 - Pledges.zip</x:v>
      </x:c>
      <x:c r="C921" s="43" t="str">
        <x:v>.zip</x:v>
      </x:c>
      <x:c r="D921" s="61" t="n">
        <x:v>85586</x:v>
      </x:c>
      <x:c r="E921" s="61" t="n">
        <x:v>0</x:v>
      </x:c>
      <x:c r="F921" s="61" t="n">
        <x:v>0</x:v>
      </x:c>
    </x:row>
    <x:row r="922">
      <x:c r="A922" s="43" t="str">
        <x:v>L2024-00048-1</x:v>
      </x:c>
      <x:c r="B922" s="46" t="str">
        <x:v>L2024-00048-1/Section 9 - Pledges/Action Pledge to Integrate Human Rights into Business Management of International Development Cooperation Projects (▒╣┴ª░│╣▀╟∙╖┬╗τ╛≈ └╬▒╟░µ┐╡ ╜╟├╡ ╝¡╛α╝¡).docx</x:v>
      </x:c>
      <x:c r="C922" s="43" t="str">
        <x:v>.docx</x:v>
      </x:c>
      <x:c r="D922" s="61" t="n">
        <x:v>19215</x:v>
      </x:c>
      <x:c r="E922" s="61" t="n">
        <x:v>16</x:v>
      </x:c>
      <x:c r="F922" s="61" t="n">
        <x:v>0</x:v>
      </x:c>
    </x:row>
    <x:row r="923">
      <x:c r="A923" s="43" t="str">
        <x:v>L2024-00048-1</x:v>
      </x:c>
      <x:c r="B923" s="46" t="str">
        <x:v>L2024-00048-1/Section 9 - Pledges/Declaration of Anti_Corruption (╣▌║╬╞╨ ╝▒╛≡╝¡).docx</x:v>
      </x:c>
      <x:c r="C923" s="43" t="str">
        <x:v>.docx</x:v>
      </x:c>
      <x:c r="D923" s="61" t="n">
        <x:v>23026</x:v>
      </x:c>
      <x:c r="E923" s="61" t="n">
        <x:v>38</x:v>
      </x:c>
      <x:c r="F923" s="61" t="n">
        <x:v>0</x:v>
      </x:c>
    </x:row>
    <x:row r="924">
      <x:c r="A924" s="43" t="str">
        <x:v>L2024-00048-1</x:v>
      </x:c>
      <x:c r="B924" s="46" t="str">
        <x:v>L2024-00048-1/Section 9 - Pledges/Fair Contract Pledge Letter (░°┴ñ░Φ╛α ╝¡╛α╝¡).docx</x:v>
      </x:c>
      <x:c r="C924" s="43" t="str">
        <x:v>.docx</x:v>
      </x:c>
      <x:c r="D924" s="61" t="n">
        <x:v>18756</x:v>
      </x:c>
      <x:c r="E924" s="61" t="n">
        <x:v>20</x:v>
      </x:c>
      <x:c r="F924" s="61" t="n">
        <x:v>0</x:v>
      </x:c>
    </x:row>
    <x:row r="925">
      <x:c r="A925" s="43" t="str">
        <x:v>L2024-00048-1</x:v>
      </x:c>
      <x:c r="B925" s="46" t="str">
        <x:v>L2024-00048-1/Section 9 - Pledges/Integrity Pledge (├╗╖┼░Φ╛α╝¡).docx</x:v>
      </x:c>
      <x:c r="C925" s="43" t="str">
        <x:v>.docx</x:v>
      </x:c>
      <x:c r="D925" s="61" t="n">
        <x:v>36507</x:v>
      </x:c>
      <x:c r="E925" s="61" t="n">
        <x:v>17</x:v>
      </x:c>
      <x:c r="F925" s="61" t="n">
        <x:v>0</x:v>
      </x:c>
    </x:row>
    <x:row r="926">
      <x:c r="A926" s="43" t="str">
        <x:v>L2024-00048-1</x:v>
      </x:c>
      <x:c r="B926" s="46" t="str">
        <x:v>L2024-00048-1/Summary of Bidding(FHBU Design).docx</x:v>
      </x:c>
      <x:c r="C926" s="43" t="str">
        <x:v>.docx</x:v>
      </x:c>
      <x:c r="D926" s="61" t="n">
        <x:v>35957</x:v>
      </x:c>
      <x:c r="E926" s="61" t="n">
        <x:v>12</x:v>
      </x:c>
      <x:c r="F926" s="61" t="n">
        <x:v>0</x:v>
      </x:c>
    </x:row>
    <x:row r="927">
      <x:c r="A927" s="43" t="str">
        <x:v>L2024-00048-1</x:v>
      </x:c>
      <x:c r="B927" s="46" t="str">
        <x:v>L2024-00048-1/입찰 초청장.docx</x:v>
      </x:c>
      <x:c r="C927" s="43" t="str">
        <x:v>.docx</x:v>
      </x:c>
      <x:c r="D927" s="61" t="n">
        <x:v>22352</x:v>
      </x:c>
      <x:c r="E927" s="61" t="n">
        <x:v>29</x:v>
      </x:c>
      <x:c r="F927" s="61" t="n">
        <x:v>2</x:v>
      </x:c>
    </x:row>
    <x:row r="928">
      <x:c r="A928" s="43" t="str">
        <x:v>L2024-00042-1</x:v>
      </x:c>
      <x:c r="B928" s="46" t="str">
        <x:v>L2024-00042-1/Section 1_Instructions to Bidders (ITB).pdf</x:v>
      </x:c>
      <x:c r="C928" s="43" t="str">
        <x:v>.pdf</x:v>
      </x:c>
      <x:c r="D928" s="61" t="n">
        <x:v>164026</x:v>
      </x:c>
      <x:c r="E928" s="61" t="n">
        <x:v>13</x:v>
      </x:c>
      <x:c r="F928" s="61" t="n">
        <x:v>0</x:v>
      </x:c>
    </x:row>
    <x:row r="929">
      <x:c r="A929" s="43" t="str">
        <x:v>L2024-00042-1</x:v>
      </x:c>
      <x:c r="B929" s="46" t="str">
        <x:v>L2024-00042-1/Section 2_Bid Data Sheet.pdf</x:v>
      </x:c>
      <x:c r="C929" s="43" t="str">
        <x:v>.pdf</x:v>
      </x:c>
      <x:c r="D929" s="61" t="n">
        <x:v>843652</x:v>
      </x:c>
      <x:c r="E929" s="61" t="n">
        <x:v>23</x:v>
      </x:c>
      <x:c r="F929" s="61" t="n">
        <x:v>12</x:v>
      </x:c>
    </x:row>
    <x:row r="930">
      <x:c r="A930" s="43" t="str">
        <x:v>L2024-00042-1</x:v>
      </x:c>
      <x:c r="B930" s="46" t="str">
        <x:v>L2024-00042-1/Section 3_Bid Forms.docx</x:v>
      </x:c>
      <x:c r="C930" s="43" t="str">
        <x:v>.docx</x:v>
      </x:c>
      <x:c r="D930" s="61" t="n">
        <x:v>101201</x:v>
      </x:c>
      <x:c r="E930" s="61" t="n">
        <x:v>290</x:v>
      </x:c>
      <x:c r="F930" s="61" t="n">
        <x:v>0</x:v>
      </x:c>
    </x:row>
    <x:row r="931">
      <x:c r="A931" s="43" t="str">
        <x:v>L2024-00042-1</x:v>
      </x:c>
      <x:c r="B931" s="46" t="str">
        <x:v>L2024-00042-1/Section 7_General Conditions of Contract.pdf</x:v>
      </x:c>
      <x:c r="C931" s="43" t="str">
        <x:v>.pdf</x:v>
      </x:c>
      <x:c r="D931" s="61" t="n">
        <x:v>1106035</x:v>
      </x:c>
      <x:c r="E931" s="61" t="n">
        <x:v>68</x:v>
      </x:c>
      <x:c r="F931" s="61" t="n">
        <x:v>3</x:v>
      </x:c>
    </x:row>
    <x:row r="932">
      <x:c r="A932" s="43" t="str">
        <x:v>L2024-00042-1</x:v>
      </x:c>
      <x:c r="B932" s="46" t="str">
        <x:v>L2024-00042-1/Section 8_Special Conditions of Contract.pdf</x:v>
      </x:c>
      <x:c r="C932" s="43" t="str">
        <x:v>.pdf</x:v>
      </x:c>
      <x:c r="D932" s="61" t="n">
        <x:v>462430</x:v>
      </x:c>
      <x:c r="E932" s="61" t="n">
        <x:v>24</x:v>
      </x:c>
      <x:c r="F932" s="61" t="n">
        <x:v>5</x:v>
      </x:c>
    </x:row>
    <x:row r="933">
      <x:c r="A933" s="43" t="str">
        <x:v>L2024-00041-1</x:v>
      </x:c>
      <x:c r="B933" s="46" t="str">
        <x:v>L2024-00041-1/Section 1 - Instructions to Bidders (ITB)_v1_0603.zip</x:v>
      </x:c>
      <x:c r="C933" s="43" t="str">
        <x:v>.zip</x:v>
      </x:c>
      <x:c r="D933" s="61" t="n">
        <x:v>216319</x:v>
      </x:c>
      <x:c r="E933" s="61" t="n">
        <x:v>0</x:v>
      </x:c>
      <x:c r="F933" s="61" t="n">
        <x:v>0</x:v>
      </x:c>
    </x:row>
    <x:row r="934">
      <x:c r="A934" s="43" t="str">
        <x:v>L2024-00041-1</x:v>
      </x:c>
      <x:c r="B934" s="46" t="str">
        <x:v>L2024-00041-1/Section 1 - Instructions to Bidders (ITB)_v1_0603/Section 1 - ▒╣┴ª└╘┬√└»└╟╝¡ (ITB).hwp</x:v>
      </x:c>
      <x:c r="C934" s="43" t="str">
        <x:v>.hwp</x:v>
      </x:c>
      <x:c r="D934" s="61" t="n">
        <x:v>92672</x:v>
      </x:c>
      <x:c r="E934" s="61" t="n">
        <x:v>129</x:v>
      </x:c>
      <x:c r="F934" s="61" t="n">
        <x:v>0</x:v>
      </x:c>
    </x:row>
    <x:row r="935">
      <x:c r="A935" s="43" t="str">
        <x:v>L2024-00041-1</x:v>
      </x:c>
      <x:c r="B935" s="46" t="str">
        <x:v>L2024-00041-1/Section 1 - Instructions to Bidders (ITB)_v1_0603/Section 1 - Instructions to Bidders (ITB)_╝÷┴ñ.hwp</x:v>
      </x:c>
      <x:c r="C935" s="43" t="str">
        <x:v>.hwp</x:v>
      </x:c>
      <x:c r="D935" s="61" t="n">
        <x:v>168448</x:v>
      </x:c>
      <x:c r="E935" s="61" t="n">
        <x:v>161</x:v>
      </x:c>
      <x:c r="F935" s="61" t="n">
        <x:v>0</x:v>
      </x:c>
    </x:row>
    <x:row r="936">
      <x:c r="A936" s="43" t="str">
        <x:v>L2024-00041-1</x:v>
      </x:c>
      <x:c r="B936" s="46" t="str">
        <x:v>L2024-00041-1/Section 2 - Bid Data Sheet (BDS)_v5_0604.docx</x:v>
      </x:c>
      <x:c r="C936" s="43" t="str">
        <x:v>.docx</x:v>
      </x:c>
      <x:c r="D936" s="61" t="n">
        <x:v>92592</x:v>
      </x:c>
      <x:c r="E936" s="61" t="n">
        <x:v>249</x:v>
      </x:c>
      <x:c r="F936" s="61" t="n">
        <x:v>6</x:v>
      </x:c>
    </x:row>
    <x:row r="937">
      <x:c r="A937" s="43" t="str">
        <x:v>L2024-00041-1</x:v>
      </x:c>
      <x:c r="B937" s="46" t="str">
        <x:v>L2024-00041-1/Section 3 - Bidding Forms_v2_0603.docx</x:v>
      </x:c>
      <x:c r="C937" s="43" t="str">
        <x:v>.docx</x:v>
      </x:c>
      <x:c r="D937" s="61" t="n">
        <x:v>60170</x:v>
      </x:c>
      <x:c r="E937" s="61" t="n">
        <x:v>286</x:v>
      </x:c>
      <x:c r="F937" s="61" t="n">
        <x:v>0</x:v>
      </x:c>
    </x:row>
    <x:row r="938">
      <x:c r="A938" s="43" t="str">
        <x:v>L2024-00041-1</x:v>
      </x:c>
      <x:c r="B938" s="46" t="str">
        <x:v>L2024-00041-1/Section 4 - Request for Proposal (RFP)_v2_0603.doc</x:v>
      </x:c>
      <x:c r="C938" s="43" t="str">
        <x:v>.doc</x:v>
      </x:c>
      <x:c r="D938" s="61" t="n">
        <x:v>248832</x:v>
      </x:c>
      <x:c r="E938" s="61" t="n">
        <x:v>252</x:v>
      </x:c>
      <x:c r="F938" s="61" t="n">
        <x:v>1</x:v>
      </x:c>
    </x:row>
    <x:row r="939">
      <x:c r="A939" s="43" t="str">
        <x:v>L2024-00041-1</x:v>
      </x:c>
      <x:c r="B939" s="46" t="str">
        <x:v>L2024-00041-1/Section 5 - Scope of the Services (ToR)_v2_0603.docx</x:v>
      </x:c>
      <x:c r="C939" s="43" t="str">
        <x:v>.docx</x:v>
      </x:c>
      <x:c r="D939" s="61" t="n">
        <x:v>32824</x:v>
      </x:c>
      <x:c r="E939" s="61" t="n">
        <x:v>128</x:v>
      </x:c>
      <x:c r="F939" s="61" t="n">
        <x:v>1</x:v>
      </x:c>
    </x:row>
    <x:row r="940">
      <x:c r="A940" s="43" t="str">
        <x:v>L2024-00041-1</x:v>
      </x:c>
      <x:c r="B940" s="46" t="str">
        <x:v>L2024-00041-1/Section 6 - Reference Material (Construction scope &amp; space program)_v1_0603.pdf</x:v>
      </x:c>
      <x:c r="C940" s="43" t="str">
        <x:v>.pdf</x:v>
      </x:c>
      <x:c r="D940" s="61" t="n">
        <x:v>348018</x:v>
      </x:c>
      <x:c r="E940" s="61" t="n">
        <x:v>0</x:v>
      </x:c>
      <x:c r="F940" s="61" t="n">
        <x:v>0</x:v>
      </x:c>
    </x:row>
    <x:row r="941">
      <x:c r="A941" s="43" t="str">
        <x:v>L2024-00041-1</x:v>
      </x:c>
      <x:c r="B941" s="46" t="str">
        <x:v>L2024-00041-1/Section 7 - General Conditions of Contract_v1_0603.docx</x:v>
      </x:c>
      <x:c r="C941" s="43" t="str">
        <x:v>.docx</x:v>
      </x:c>
      <x:c r="D941" s="61" t="n">
        <x:v>34911</x:v>
      </x:c>
      <x:c r="E941" s="61" t="n">
        <x:v>179</x:v>
      </x:c>
      <x:c r="F941" s="61" t="n">
        <x:v>0</x:v>
      </x:c>
    </x:row>
    <x:row r="942">
      <x:c r="A942" s="43" t="str">
        <x:v>L2024-00041-1</x:v>
      </x:c>
      <x:c r="B942" s="46" t="str">
        <x:v>L2024-00041-1/Section 8 - Special Conditions of Contract_v1_0603.docx</x:v>
      </x:c>
      <x:c r="C942" s="43" t="str">
        <x:v>.docx</x:v>
      </x:c>
      <x:c r="D942" s="61" t="n">
        <x:v>32626</x:v>
      </x:c>
      <x:c r="E942" s="61" t="n">
        <x:v>68</x:v>
      </x:c>
      <x:c r="F942" s="61" t="n">
        <x:v>0</x:v>
      </x:c>
    </x:row>
    <x:row r="943">
      <x:c r="A943" s="43" t="str">
        <x:v>L2024-00041-1</x:v>
      </x:c>
      <x:c r="B943" s="46" t="str">
        <x:v>L2024-00041-1/Section 9 - Contract Forms_v1_0603.docx</x:v>
      </x:c>
      <x:c r="C943" s="43" t="str">
        <x:v>.docx</x:v>
      </x:c>
      <x:c r="D943" s="61" t="n">
        <x:v>22992</x:v>
      </x:c>
      <x:c r="E943" s="61" t="n">
        <x:v>93</x:v>
      </x:c>
      <x:c r="F943" s="61" t="n">
        <x:v>0</x:v>
      </x:c>
    </x:row>
    <x:row r="944">
      <x:c r="A944" s="43" t="str">
        <x:v>L2024-00041-1</x:v>
      </x:c>
      <x:c r="B944" s="46" t="str">
        <x:v>L2024-00041-1/Section 9 - Pledges_v1_0603.zip</x:v>
      </x:c>
      <x:c r="C944" s="43" t="str">
        <x:v>.zip</x:v>
      </x:c>
      <x:c r="D944" s="61" t="n">
        <x:v>85586</x:v>
      </x:c>
      <x:c r="E944" s="61" t="n">
        <x:v>0</x:v>
      </x:c>
      <x:c r="F944" s="61" t="n">
        <x:v>0</x:v>
      </x:c>
    </x:row>
    <x:row r="945">
      <x:c r="A945" s="43" t="str">
        <x:v>L2024-00041-1</x:v>
      </x:c>
      <x:c r="B945" s="46" t="str">
        <x:v>L2024-00041-1/Section 9 - Pledges_v1_0603/Action Pledge to Integrate Human Rights into Business Management of International Development Cooperation Projects (▒╣┴ª░│╣▀╟∙╖┬╗τ╛≈ └╬▒╟░µ┐╡ ╜╟├╡ ╝¡╛α╝¡).docx</x:v>
      </x:c>
      <x:c r="C945" s="43" t="str">
        <x:v>.docx</x:v>
      </x:c>
      <x:c r="D945" s="61" t="n">
        <x:v>19215</x:v>
      </x:c>
      <x:c r="E945" s="61" t="n">
        <x:v>16</x:v>
      </x:c>
      <x:c r="F945" s="61" t="n">
        <x:v>0</x:v>
      </x:c>
    </x:row>
    <x:row r="946">
      <x:c r="A946" s="43" t="str">
        <x:v>L2024-00041-1</x:v>
      </x:c>
      <x:c r="B946" s="46" t="str">
        <x:v>L2024-00041-1/Section 9 - Pledges_v1_0603/Declaration of Anti_Corruption (╣▌║╬╞╨ ╝▒╛≡╝¡).docx</x:v>
      </x:c>
      <x:c r="C946" s="43" t="str">
        <x:v>.docx</x:v>
      </x:c>
      <x:c r="D946" s="61" t="n">
        <x:v>23026</x:v>
      </x:c>
      <x:c r="E946" s="61" t="n">
        <x:v>38</x:v>
      </x:c>
      <x:c r="F946" s="61" t="n">
        <x:v>0</x:v>
      </x:c>
    </x:row>
    <x:row r="947">
      <x:c r="A947" s="43" t="str">
        <x:v>L2024-00041-1</x:v>
      </x:c>
      <x:c r="B947" s="46" t="str">
        <x:v>L2024-00041-1/Section 9 - Pledges_v1_0603/Fair Contract Pledge Letter (░°┴ñ░Φ╛α ╝¡╛α╝¡).docx</x:v>
      </x:c>
      <x:c r="C947" s="43" t="str">
        <x:v>.docx</x:v>
      </x:c>
      <x:c r="D947" s="61" t="n">
        <x:v>18756</x:v>
      </x:c>
      <x:c r="E947" s="61" t="n">
        <x:v>20</x:v>
      </x:c>
      <x:c r="F947" s="61" t="n">
        <x:v>0</x:v>
      </x:c>
    </x:row>
    <x:row r="948">
      <x:c r="A948" s="43" t="str">
        <x:v>L2024-00041-1</x:v>
      </x:c>
      <x:c r="B948" s="46" t="str">
        <x:v>L2024-00041-1/Section 9 - Pledges_v1_0603/Integrity Pledge (├╗╖┼░Φ╛α╝¡).docx</x:v>
      </x:c>
      <x:c r="C948" s="43" t="str">
        <x:v>.docx</x:v>
      </x:c>
      <x:c r="D948" s="61" t="n">
        <x:v>36507</x:v>
      </x:c>
      <x:c r="E948" s="61" t="n">
        <x:v>17</x:v>
      </x:c>
      <x:c r="F948" s="61" t="n">
        <x:v>0</x:v>
      </x:c>
    </x:row>
    <x:row r="949">
      <x:c r="A949" s="43" t="str">
        <x:v>L2024-00041-1</x:v>
      </x:c>
      <x:c r="B949" s="46" t="str">
        <x:v>L2024-00041-1/Summary of Bidding (요약본)_v1_0517.docx</x:v>
      </x:c>
      <x:c r="C949" s="43" t="str">
        <x:v>.docx</x:v>
      </x:c>
      <x:c r="D949" s="61" t="n">
        <x:v>36225</x:v>
      </x:c>
      <x:c r="E949" s="61" t="n">
        <x:v>43</x:v>
      </x:c>
      <x:c r="F949" s="61" t="n">
        <x:v>4</x:v>
      </x:c>
    </x:row>
    <x:row r="950">
      <x:c r="A950" s="43" t="str">
        <x:v>L2024-00041-1</x:v>
      </x:c>
      <x:c r="B950" s="46" t="str">
        <x:v>L2024-00041-1/Summary of Bidding (요약본)_v2_0603.docx</x:v>
      </x:c>
      <x:c r="C950" s="43" t="str">
        <x:v>.docx</x:v>
      </x:c>
      <x:c r="D950" s="61" t="n">
        <x:v>33757</x:v>
      </x:c>
      <x:c r="E950" s="61" t="n">
        <x:v>43</x:v>
      </x:c>
      <x:c r="F950" s="61" t="n">
        <x:v>4</x:v>
      </x:c>
    </x:row>
    <x:row r="951">
      <x:c r="A951" s="43" t="str">
        <x:v>L2024-00041-1</x:v>
      </x:c>
      <x:c r="B951" s="46" t="str">
        <x:v>L2024-00041-1/붙임_키르기스_가축품종개량_설계업체선정_현지입찰추진계획안_BDS_v11_0805.hwp</x:v>
      </x:c>
      <x:c r="C951" s="43" t="str">
        <x:v>.hwp</x:v>
      </x:c>
      <x:c r="D951" s="61" t="n">
        <x:v>87552</x:v>
      </x:c>
      <x:c r="E951" s="61" t="n">
        <x:v>663</x:v>
      </x:c>
      <x:c r="F951" s="61" t="n">
        <x:v>2</x:v>
      </x:c>
    </x:row>
    <x:row r="952">
      <x:c r="A952" s="43" t="str">
        <x:v>L2024-00039-1</x:v>
      </x:c>
      <x:c r="B952" s="46" t="str">
        <x:v>L2024-00039-1/(이라크사무소) 한-이라크 직업훈련원 2차 지원사업 리노베이션 시공업체선정 현지.hwp</x:v>
      </x:c>
      <x:c r="C952" s="43" t="str">
        <x:v>.hwp</x:v>
      </x:c>
      <x:c r="D952" s="61" t="n">
        <x:v>129024</x:v>
      </x:c>
      <x:c r="E952" s="61" t="n">
        <x:v>96</x:v>
      </x:c>
      <x:c r="F952" s="61" t="n">
        <x:v>4</x:v>
      </x:c>
    </x:row>
    <x:row r="953">
      <x:c r="A953" s="43" t="str">
        <x:v>L2024-00039-1</x:v>
      </x:c>
      <x:c r="B953" s="46" t="str">
        <x:v>L2024-00039-1/붙임1. 이라크 한-이라크 직훈원 리노베이션 시공 재공고 입찰계획_20240701.hwp</x:v>
      </x:c>
      <x:c r="C953" s="43" t="str">
        <x:v>.hwp</x:v>
      </x:c>
      <x:c r="D953" s="61" t="n">
        <x:v>252928</x:v>
      </x:c>
      <x:c r="E953" s="61" t="n">
        <x:v>454</x:v>
      </x:c>
      <x:c r="F953" s="61" t="n">
        <x:v>7</x:v>
      </x:c>
    </x:row>
    <x:row r="954">
      <x:c r="A954" s="43" t="str">
        <x:v>L2024-00039-1</x:v>
      </x:c>
      <x:c r="B954" s="46" t="str">
        <x:v>L2024-00039-1/붙임2. 시공예산산출내역서.xlsx</x:v>
      </x:c>
      <x:c r="C954" s="43" t="str">
        <x:v>.xlsx</x:v>
      </x:c>
      <x:c r="D954" s="61" t="n">
        <x:v>183092</x:v>
      </x:c>
      <x:c r="E954" s="61" t="n">
        <x:v>678</x:v>
      </x:c>
      <x:c r="F954" s="61" t="n">
        <x:v>1</x:v>
      </x:c>
    </x:row>
    <x:row r="955">
      <x:c r="A955" s="43" t="str">
        <x:v>L2024-00039-1</x:v>
      </x:c>
      <x:c r="B955" s="46" t="str">
        <x:v>L2024-00039-1/붙임3. Bidding Documents_20240702.zip</x:v>
      </x:c>
      <x:c r="C955" s="43" t="str">
        <x:v>.zip</x:v>
      </x:c>
      <x:c r="D955" s="61" t="n">
        <x:v>781389</x:v>
      </x:c>
      <x:c r="E955" s="61" t="n">
        <x:v>0</x:v>
      </x:c>
      <x:c r="F955" s="61" t="n">
        <x:v>0</x:v>
      </x:c>
    </x:row>
    <x:row r="956">
      <x:c r="A956" s="43" t="str">
        <x:v>L2024-00039-1</x:v>
      </x:c>
      <x:c r="B956" s="46" t="str">
        <x:v>L2024-00039-1/붙임3. Bidding Documents_20240702/Power of Attorney for the authority to sign and execute contracts (계약서 서명권한 위임장)_20240412.docx</x:v>
      </x:c>
      <x:c r="C956" s="43" t="str">
        <x:v>.docx</x:v>
      </x:c>
      <x:c r="D956" s="61" t="n">
        <x:v>18084</x:v>
      </x:c>
      <x:c r="E956" s="61" t="n">
        <x:v>15</x:v>
      </x:c>
      <x:c r="F956" s="61" t="n">
        <x:v>0</x:v>
      </x:c>
    </x:row>
    <x:row r="957">
      <x:c r="A957" s="43" t="str">
        <x:v>L2024-00039-1</x:v>
      </x:c>
      <x:c r="B957" s="46" t="str">
        <x:v>L2024-00039-1/붙임3. Bidding Documents_20240702/Section 1 - Instructions to Bidders (ITB).hwp</x:v>
      </x:c>
      <x:c r="C957" s="43" t="str">
        <x:v>.hwp</x:v>
      </x:c>
      <x:c r="D957" s="61" t="n">
        <x:v>73728</x:v>
      </x:c>
      <x:c r="E957" s="61" t="n">
        <x:v>165</x:v>
      </x:c>
      <x:c r="F957" s="61" t="n">
        <x:v>0</x:v>
      </x:c>
    </x:row>
    <x:row r="958">
      <x:c r="A958" s="43" t="str">
        <x:v>L2024-00039-1</x:v>
      </x:c>
      <x:c r="B958" s="46" t="str">
        <x:v>L2024-00039-1/붙임3. Bidding Documents_20240702/Section 2 - Bid Data Sheet_20240701.docx</x:v>
      </x:c>
      <x:c r="C958" s="43" t="str">
        <x:v>.docx</x:v>
      </x:c>
      <x:c r="D958" s="61" t="n">
        <x:v>54737</x:v>
      </x:c>
      <x:c r="E958" s="61" t="n">
        <x:v>193</x:v>
      </x:c>
      <x:c r="F958" s="61" t="n">
        <x:v>4</x:v>
      </x:c>
    </x:row>
    <x:row r="959">
      <x:c r="A959" s="43" t="str">
        <x:v>L2024-00039-1</x:v>
      </x:c>
      <x:c r="B959" s="46" t="str">
        <x:v>L2024-00039-1/붙임3. Bidding Documents_20240702/Section 3 - Bidding Forms_20240503_수정.docx</x:v>
      </x:c>
      <x:c r="C959" s="43" t="str">
        <x:v>.docx</x:v>
      </x:c>
      <x:c r="D959" s="61" t="n">
        <x:v>55608</x:v>
      </x:c>
      <x:c r="E959" s="61" t="n">
        <x:v>262</x:v>
      </x:c>
      <x:c r="F959" s="61" t="n">
        <x:v>0</x:v>
      </x:c>
    </x:row>
    <x:row r="960">
      <x:c r="A960" s="43" t="str">
        <x:v>L2024-00039-1</x:v>
      </x:c>
      <x:c r="B960" s="46" t="str">
        <x:v>L2024-00039-1/붙임3. Bidding Documents_20240702/Section 4 - BOQ.zip</x:v>
      </x:c>
      <x:c r="C960" s="43" t="str">
        <x:v>.zip</x:v>
      </x:c>
      <x:c r="D960" s="61" t="n">
        <x:v>165738</x:v>
      </x:c>
      <x:c r="E960" s="61" t="n">
        <x:v>0</x:v>
      </x:c>
      <x:c r="F960" s="61" t="n">
        <x:v>0</x:v>
      </x:c>
    </x:row>
    <x:row r="961">
      <x:c r="A961" s="43" t="str">
        <x:v>L2024-00039-1</x:v>
      </x:c>
      <x:c r="B961" s="46" t="str">
        <x:v>L2024-00039-1/붙임3. Bidding Documents_20240702/Section 4_5_6 - Requirements1.docx</x:v>
      </x:c>
      <x:c r="C961" s="43" t="str">
        <x:v>.docx</x:v>
      </x:c>
      <x:c r="D961" s="61" t="n">
        <x:v>35620</x:v>
      </x:c>
      <x:c r="E961" s="61" t="n">
        <x:v>22</x:v>
      </x:c>
      <x:c r="F961" s="61" t="n">
        <x:v>0</x:v>
      </x:c>
    </x:row>
    <x:row r="962">
      <x:c r="A962" s="43" t="str">
        <x:v>L2024-00039-1</x:v>
      </x:c>
      <x:c r="B962" s="46" t="str">
        <x:v>L2024-00039-1/붙임3. Bidding Documents_20240702/Section 7 - General Conditions of Contract.docx</x:v>
      </x:c>
      <x:c r="C962" s="43" t="str">
        <x:v>.docx</x:v>
      </x:c>
      <x:c r="D962" s="61" t="n">
        <x:v>203833</x:v>
      </x:c>
      <x:c r="E962" s="61" t="n">
        <x:v>1404</x:v>
      </x:c>
      <x:c r="F962" s="61" t="n">
        <x:v>2</x:v>
      </x:c>
    </x:row>
    <x:row r="963">
      <x:c r="A963" s="43" t="str">
        <x:v>L2024-00039-1</x:v>
      </x:c>
      <x:c r="B963" s="46" t="str">
        <x:v>L2024-00039-1/붙임3. Bidding Documents_20240702/Section 8 - Special Conditions of Contract_20240503.docx</x:v>
      </x:c>
      <x:c r="C963" s="43" t="str">
        <x:v>.docx</x:v>
      </x:c>
      <x:c r="D963" s="61" t="n">
        <x:v>62554</x:v>
      </x:c>
      <x:c r="E963" s="61" t="n">
        <x:v>291</x:v>
      </x:c>
      <x:c r="F963" s="61" t="n">
        <x:v>4</x:v>
      </x:c>
    </x:row>
    <x:row r="964">
      <x:c r="A964" s="43" t="str">
        <x:v>L2024-00039-1</x:v>
      </x:c>
      <x:c r="B964" s="46" t="str">
        <x:v>L2024-00039-1/붙임3. Bidding Documents_20240702/Section 9 - Action Pledge to Integrate Human Rights into Business Management of International Development Cooperation Projects (국제개발협력사업 인권경영 실천 서약서).docx</x:v>
      </x:c>
      <x:c r="C964" s="43" t="str">
        <x:v>.docx</x:v>
      </x:c>
      <x:c r="D964" s="61" t="n">
        <x:v>18492</x:v>
      </x:c>
      <x:c r="E964" s="61" t="n">
        <x:v>16</x:v>
      </x:c>
      <x:c r="F964" s="61" t="n">
        <x:v>0</x:v>
      </x:c>
    </x:row>
    <x:row r="965">
      <x:c r="A965" s="43" t="str">
        <x:v>L2024-00039-1</x:v>
      </x:c>
      <x:c r="B965" s="46" t="str">
        <x:v>L2024-00039-1/붙임3. Bidding Documents_20240702/Section 9 - Contract Forms_20240503.docx</x:v>
      </x:c>
      <x:c r="C965" s="43" t="str">
        <x:v>.docx</x:v>
      </x:c>
      <x:c r="D965" s="61" t="n">
        <x:v>37970</x:v>
      </x:c>
      <x:c r="E965" s="61" t="n">
        <x:v>30</x:v>
      </x:c>
      <x:c r="F965" s="61" t="n">
        <x:v>0</x:v>
      </x:c>
    </x:row>
    <x:row r="966">
      <x:c r="A966" s="43" t="str">
        <x:v>L2024-00039-1</x:v>
      </x:c>
      <x:c r="B966" s="46" t="str">
        <x:v>L2024-00039-1/붙임3. Bidding Documents_20240702/Section 9 - Declaration of Anti_Corruption (반부패 선언서).docx</x:v>
      </x:c>
      <x:c r="C966" s="43" t="str">
        <x:v>.docx</x:v>
      </x:c>
      <x:c r="D966" s="61" t="n">
        <x:v>22179</x:v>
      </x:c>
      <x:c r="E966" s="61" t="n">
        <x:v>38</x:v>
      </x:c>
      <x:c r="F966" s="61" t="n">
        <x:v>0</x:v>
      </x:c>
    </x:row>
    <x:row r="967">
      <x:c r="A967" s="43" t="str">
        <x:v>L2024-00039-1</x:v>
      </x:c>
      <x:c r="B967" s="46" t="str">
        <x:v>L2024-00039-1/붙임3. Bidding Documents_20240702/Section 9 - Fair Contract Pledge Letter (공정계약 서약서).docx</x:v>
      </x:c>
      <x:c r="C967" s="43" t="str">
        <x:v>.docx</x:v>
      </x:c>
      <x:c r="D967" s="61" t="n">
        <x:v>18003</x:v>
      </x:c>
      <x:c r="E967" s="61" t="n">
        <x:v>20</x:v>
      </x:c>
      <x:c r="F967" s="61" t="n">
        <x:v>0</x:v>
      </x:c>
    </x:row>
    <x:row r="968">
      <x:c r="A968" s="43" t="str">
        <x:v>L2024-00039-1</x:v>
      </x:c>
      <x:c r="B968" s="46" t="str">
        <x:v>L2024-00039-1/붙임3. Bidding Documents_20240702/Section 9- Integrity Pledge (청렴계약서).docx</x:v>
      </x:c>
      <x:c r="C968" s="43" t="str">
        <x:v>.docx</x:v>
      </x:c>
      <x:c r="D968" s="61" t="n">
        <x:v>36507</x:v>
      </x:c>
      <x:c r="E968" s="61" t="n">
        <x:v>17</x:v>
      </x:c>
      <x:c r="F968" s="61" t="n">
        <x:v>0</x:v>
      </x:c>
    </x:row>
    <x:row r="969">
      <x:c r="A969" s="43" t="str">
        <x:v>L2024-00039-1</x:v>
      </x:c>
      <x:c r="B969" s="46" t="str">
        <x:v>L2024-00039-1/붙임3. Bidding Documents_20240702/Summary of Bidding_202405012.docx</x:v>
      </x:c>
      <x:c r="C969" s="43" t="str">
        <x:v>.docx</x:v>
      </x:c>
      <x:c r="D969" s="61" t="n">
        <x:v>30215</x:v>
      </x:c>
      <x:c r="E969" s="61" t="n">
        <x:v>42</x:v>
      </x:c>
      <x:c r="F969" s="61" t="n">
        <x:v>3</x:v>
      </x:c>
    </x:row>
    <x:row r="970">
      <x:c r="A970" s="43" t="str">
        <x:v>L2024-00039-1</x:v>
      </x:c>
      <x:c r="B970" s="46" t="str">
        <x:v>L2024-00039-1/붙임3. 입찰서류 및 계약서류(안)_재공고(20240701).zip</x:v>
      </x:c>
      <x:c r="C970" s="43" t="str">
        <x:v>.zip</x:v>
      </x:c>
      <x:c r="D970" s="61" t="n">
        <x:v>781389</x:v>
      </x:c>
      <x:c r="E970" s="61" t="n">
        <x:v>0</x:v>
      </x:c>
      <x:c r="F970" s="61" t="n">
        <x:v>0</x:v>
      </x:c>
    </x:row>
    <x:row r="971">
      <x:c r="A971" s="43" t="str">
        <x:v>L2024-00039-1</x:v>
      </x:c>
      <x:c r="B971" s="46" t="str">
        <x:v>L2024-00039-1/붙임3. 입찰서류 및 계약서류(안)_재공고(20240701)/Power of Attorney for the authority to sign and execute contracts (계약서 서명권한 위임장)_20240412.docx</x:v>
      </x:c>
      <x:c r="C971" s="43" t="str">
        <x:v>.docx</x:v>
      </x:c>
      <x:c r="D971" s="61" t="n">
        <x:v>18084</x:v>
      </x:c>
      <x:c r="E971" s="61" t="n">
        <x:v>15</x:v>
      </x:c>
      <x:c r="F971" s="61" t="n">
        <x:v>0</x:v>
      </x:c>
    </x:row>
    <x:row r="972">
      <x:c r="A972" s="43" t="str">
        <x:v>L2024-00039-1</x:v>
      </x:c>
      <x:c r="B972" s="46" t="str">
        <x:v>L2024-00039-1/붙임3. 입찰서류 및 계약서류(안)_재공고(20240701)/Section 1 - Instructions to Bidders (ITB).hwp</x:v>
      </x:c>
      <x:c r="C972" s="43" t="str">
        <x:v>.hwp</x:v>
      </x:c>
      <x:c r="D972" s="61" t="n">
        <x:v>73728</x:v>
      </x:c>
      <x:c r="E972" s="61" t="n">
        <x:v>165</x:v>
      </x:c>
      <x:c r="F972" s="61" t="n">
        <x:v>0</x:v>
      </x:c>
    </x:row>
    <x:row r="973">
      <x:c r="A973" s="43" t="str">
        <x:v>L2024-00039-1</x:v>
      </x:c>
      <x:c r="B973" s="46" t="str">
        <x:v>L2024-00039-1/붙임3. 입찰서류 및 계약서류(안)_재공고(20240701)/Section 2 - Bid Data Sheet_20240701.docx</x:v>
      </x:c>
      <x:c r="C973" s="43" t="str">
        <x:v>.docx</x:v>
      </x:c>
      <x:c r="D973" s="61" t="n">
        <x:v>54737</x:v>
      </x:c>
      <x:c r="E973" s="61" t="n">
        <x:v>193</x:v>
      </x:c>
      <x:c r="F973" s="61" t="n">
        <x:v>4</x:v>
      </x:c>
    </x:row>
    <x:row r="974">
      <x:c r="A974" s="43" t="str">
        <x:v>L2024-00039-1</x:v>
      </x:c>
      <x:c r="B974" s="46" t="str">
        <x:v>L2024-00039-1/붙임3. 입찰서류 및 계약서류(안)_재공고(20240701)/Section 3 - Bidding Forms_20240503_수정.docx</x:v>
      </x:c>
      <x:c r="C974" s="43" t="str">
        <x:v>.docx</x:v>
      </x:c>
      <x:c r="D974" s="61" t="n">
        <x:v>55608</x:v>
      </x:c>
      <x:c r="E974" s="61" t="n">
        <x:v>262</x:v>
      </x:c>
      <x:c r="F974" s="61" t="n">
        <x:v>0</x:v>
      </x:c>
    </x:row>
    <x:row r="975">
      <x:c r="A975" s="43" t="str">
        <x:v>L2024-00039-1</x:v>
      </x:c>
      <x:c r="B975" s="46" t="str">
        <x:v>L2024-00039-1/붙임3. 입찰서류 및 계약서류(안)_재공고(20240701)/Section 4 - BOQ.zip</x:v>
      </x:c>
      <x:c r="C975" s="43" t="str">
        <x:v>.zip</x:v>
      </x:c>
      <x:c r="D975" s="61" t="n">
        <x:v>165738</x:v>
      </x:c>
      <x:c r="E975" s="61" t="n">
        <x:v>0</x:v>
      </x:c>
      <x:c r="F975" s="61" t="n">
        <x:v>0</x:v>
      </x:c>
    </x:row>
    <x:row r="976">
      <x:c r="A976" s="43" t="str">
        <x:v>L2024-00039-1</x:v>
      </x:c>
      <x:c r="B976" s="46" t="str">
        <x:v>L2024-00039-1/붙임3. 입찰서류 및 계약서류(안)_재공고(20240701)/Section 4_5_6 - Requirements1.docx</x:v>
      </x:c>
      <x:c r="C976" s="43" t="str">
        <x:v>.docx</x:v>
      </x:c>
      <x:c r="D976" s="61" t="n">
        <x:v>35620</x:v>
      </x:c>
      <x:c r="E976" s="61" t="n">
        <x:v>22</x:v>
      </x:c>
      <x:c r="F976" s="61" t="n">
        <x:v>0</x:v>
      </x:c>
    </x:row>
    <x:row r="977">
      <x:c r="A977" s="43" t="str">
        <x:v>L2024-00039-1</x:v>
      </x:c>
      <x:c r="B977" s="46" t="str">
        <x:v>L2024-00039-1/붙임3. 입찰서류 및 계약서류(안)_재공고(20240701)/Section 7 - General Conditions of Contract.docx</x:v>
      </x:c>
      <x:c r="C977" s="43" t="str">
        <x:v>.docx</x:v>
      </x:c>
      <x:c r="D977" s="61" t="n">
        <x:v>203833</x:v>
      </x:c>
      <x:c r="E977" s="61" t="n">
        <x:v>1404</x:v>
      </x:c>
      <x:c r="F977" s="61" t="n">
        <x:v>2</x:v>
      </x:c>
    </x:row>
    <x:row r="978">
      <x:c r="A978" s="43" t="str">
        <x:v>L2024-00039-1</x:v>
      </x:c>
      <x:c r="B978" s="46" t="str">
        <x:v>L2024-00039-1/붙임3. 입찰서류 및 계약서류(안)_재공고(20240701)/Section 8 - Special Conditions of Contract_20240503.docx</x:v>
      </x:c>
      <x:c r="C978" s="43" t="str">
        <x:v>.docx</x:v>
      </x:c>
      <x:c r="D978" s="61" t="n">
        <x:v>62554</x:v>
      </x:c>
      <x:c r="E978" s="61" t="n">
        <x:v>291</x:v>
      </x:c>
      <x:c r="F978" s="61" t="n">
        <x:v>4</x:v>
      </x:c>
    </x:row>
    <x:row r="979">
      <x:c r="A979" s="43" t="str">
        <x:v>L2024-00039-1</x:v>
      </x:c>
      <x:c r="B979" s="46" t="str">
        <x:v>L2024-00039-1/붙임3. 입찰서류 및 계약서류(안)_재공고(20240701)/Section 9 - Action Pledge to Integrate Human Rights into Business Management of International Development Cooperation Projects (국제개발협력사업 인권경영 실천 서약서).docx</x:v>
      </x:c>
      <x:c r="C979" s="43" t="str">
        <x:v>.docx</x:v>
      </x:c>
      <x:c r="D979" s="61" t="n">
        <x:v>18492</x:v>
      </x:c>
      <x:c r="E979" s="61" t="n">
        <x:v>16</x:v>
      </x:c>
      <x:c r="F979" s="61" t="n">
        <x:v>0</x:v>
      </x:c>
    </x:row>
    <x:row r="980">
      <x:c r="A980" s="43" t="str">
        <x:v>L2024-00039-1</x:v>
      </x:c>
      <x:c r="B980" s="46" t="str">
        <x:v>L2024-00039-1/붙임3. 입찰서류 및 계약서류(안)_재공고(20240701)/Section 9 - Contract Forms_20240503.docx</x:v>
      </x:c>
      <x:c r="C980" s="43" t="str">
        <x:v>.docx</x:v>
      </x:c>
      <x:c r="D980" s="61" t="n">
        <x:v>37970</x:v>
      </x:c>
      <x:c r="E980" s="61" t="n">
        <x:v>30</x:v>
      </x:c>
      <x:c r="F980" s="61" t="n">
        <x:v>0</x:v>
      </x:c>
    </x:row>
    <x:row r="981">
      <x:c r="A981" s="43" t="str">
        <x:v>L2024-00039-1</x:v>
      </x:c>
      <x:c r="B981" s="46" t="str">
        <x:v>L2024-00039-1/붙임3. 입찰서류 및 계약서류(안)_재공고(20240701)/Section 9 - Declaration of Anti_Corruption (반부패 선언서).docx</x:v>
      </x:c>
      <x:c r="C981" s="43" t="str">
        <x:v>.docx</x:v>
      </x:c>
      <x:c r="D981" s="61" t="n">
        <x:v>22179</x:v>
      </x:c>
      <x:c r="E981" s="61" t="n">
        <x:v>38</x:v>
      </x:c>
      <x:c r="F981" s="61" t="n">
        <x:v>0</x:v>
      </x:c>
    </x:row>
    <x:row r="982">
      <x:c r="A982" s="43" t="str">
        <x:v>L2024-00039-1</x:v>
      </x:c>
      <x:c r="B982" s="46" t="str">
        <x:v>L2024-00039-1/붙임3. 입찰서류 및 계약서류(안)_재공고(20240701)/Section 9 - Fair Contract Pledge Letter (공정계약 서약서).docx</x:v>
      </x:c>
      <x:c r="C982" s="43" t="str">
        <x:v>.docx</x:v>
      </x:c>
      <x:c r="D982" s="61" t="n">
        <x:v>18003</x:v>
      </x:c>
      <x:c r="E982" s="61" t="n">
        <x:v>20</x:v>
      </x:c>
      <x:c r="F982" s="61" t="n">
        <x:v>0</x:v>
      </x:c>
    </x:row>
    <x:row r="983">
      <x:c r="A983" s="43" t="str">
        <x:v>L2024-00039-1</x:v>
      </x:c>
      <x:c r="B983" s="46" t="str">
        <x:v>L2024-00039-1/붙임3. 입찰서류 및 계약서류(안)_재공고(20240701)/Section 9- Integrity Pledge (청렴계약서).docx</x:v>
      </x:c>
      <x:c r="C983" s="43" t="str">
        <x:v>.docx</x:v>
      </x:c>
      <x:c r="D983" s="61" t="n">
        <x:v>36507</x:v>
      </x:c>
      <x:c r="E983" s="61" t="n">
        <x:v>17</x:v>
      </x:c>
      <x:c r="F983" s="61" t="n">
        <x:v>0</x:v>
      </x:c>
    </x:row>
    <x:row r="984">
      <x:c r="A984" s="43" t="str">
        <x:v>L2024-00039-1</x:v>
      </x:c>
      <x:c r="B984" s="46" t="str">
        <x:v>L2024-00039-1/붙임3. 입찰서류 및 계약서류(안)_재공고(20240701)/Summary of Bidding_202405012.docx</x:v>
      </x:c>
      <x:c r="C984" s="43" t="str">
        <x:v>.docx</x:v>
      </x:c>
      <x:c r="D984" s="61" t="n">
        <x:v>30215</x:v>
      </x:c>
      <x:c r="E984" s="61" t="n">
        <x:v>42</x:v>
      </x:c>
      <x:c r="F984" s="61" t="n">
        <x:v>3</x:v>
      </x:c>
    </x:row>
    <x:row r="985">
      <x:c r="A985" s="43" t="str">
        <x:v>L2024-00039-1</x:v>
      </x:c>
      <x:c r="B985" s="46" t="str">
        <x:v>L2024-00039-1/붙임3. 조달1팀 검토의견서 및 공문.zip</x:v>
      </x:c>
      <x:c r="C985" s="43" t="str">
        <x:v>.zip</x:v>
      </x:c>
      <x:c r="D985" s="61" t="n">
        <x:v>600813</x:v>
      </x:c>
      <x:c r="E985" s="61" t="n">
        <x:v>0</x:v>
      </x:c>
      <x:c r="F985" s="61" t="n">
        <x:v>0</x:v>
      </x:c>
    </x:row>
    <x:row r="986">
      <x:c r="A986" s="43" t="str">
        <x:v>L2024-00039-1</x:v>
      </x:c>
      <x:c r="B986" s="46" t="str">
        <x:v>L2024-00039-1/붙임3. 조달1팀 검토의견서 및 공문/1. (조달1팀) 한-이라크 직업훈련원 2차 지원사업 리노베이션 공사 시공업체 선정 현지입찰계획(안) 검토의견 송부.hwp</x:v>
      </x:c>
      <x:c r="C986" s="43" t="str">
        <x:v>.hwp</x:v>
      </x:c>
      <x:c r="D986" s="61" t="n">
        <x:v>131584</x:v>
      </x:c>
      <x:c r="E986" s="61" t="n">
        <x:v>1</x:v>
      </x:c>
      <x:c r="F986" s="61" t="n">
        <x:v>0</x:v>
      </x:c>
    </x:row>
    <x:row r="987">
      <x:c r="A987" s="43" t="str">
        <x:v>L2024-00039-1</x:v>
      </x:c>
      <x:c r="B987" s="46" t="str">
        <x:v>L2024-00039-1/붙임3. 조달1팀 검토의견서 및 공문/2. (검토내역) 붙임1. 이라크 한-이라크 직훈원 리노베이션 시공 입찰계획(안)_20240424_최종(코이카 이라크사무소).hwp</x:v>
      </x:c>
      <x:c r="C987" s="43" t="str">
        <x:v>.hwp</x:v>
      </x:c>
      <x:c r="D987" s="61" t="n">
        <x:v>262144</x:v>
      </x:c>
      <x:c r="E987" s="61" t="n">
        <x:v>559</x:v>
      </x:c>
      <x:c r="F987" s="61" t="n">
        <x:v>6</x:v>
      </x:c>
    </x:row>
    <x:row r="988">
      <x:c r="A988" s="43" t="str">
        <x:v>L2024-00039-1</x:v>
      </x:c>
      <x:c r="B988" s="46" t="str">
        <x:v>L2024-00039-1/붙임3. 조달1팀 검토의견서 및 공문/3. (수정내역) 이라크 한-이라크 직훈원 리노베이션 시공 입찰계획(안)_20240505(검토메모)_사무소 작성.hwp</x:v>
      </x:c>
      <x:c r="C988" s="43" t="str">
        <x:v>.hwp</x:v>
      </x:c>
      <x:c r="D988" s="61" t="n">
        <x:v>264192</x:v>
      </x:c>
      <x:c r="E988" s="61" t="n">
        <x:v>576</x:v>
      </x:c>
      <x:c r="F988" s="61" t="n">
        <x:v>6</x:v>
      </x:c>
    </x:row>
    <x:row r="989">
      <x:c r="A989" s="43" t="str">
        <x:v>L2024-00035-1</x:v>
      </x:c>
      <x:c r="B989" s="46" t="str">
        <x:v>L2024-00035-1/Section 1 - Instructions to Bidders (ITB).zip</x:v>
      </x:c>
      <x:c r="C989" s="43" t="str">
        <x:v>.zip</x:v>
      </x:c>
      <x:c r="D989" s="61" t="n">
        <x:v>216187</x:v>
      </x:c>
      <x:c r="E989" s="61" t="n">
        <x:v>0</x:v>
      </x:c>
      <x:c r="F989" s="61" t="n">
        <x:v>0</x:v>
      </x:c>
    </x:row>
    <x:row r="990">
      <x:c r="A990" s="43" t="str">
        <x:v>L2024-00035-1</x:v>
      </x:c>
      <x:c r="B990" s="46" t="str">
        <x:v>L2024-00035-1/Section 1 - Instructions to Bidders (ITB)/Section 1 - ▒╣┴ª└╘┬√└»└╟╝¡ (ITB).hwp</x:v>
      </x:c>
      <x:c r="C990" s="43" t="str">
        <x:v>.hwp</x:v>
      </x:c>
      <x:c r="D990" s="61" t="n">
        <x:v>92672</x:v>
      </x:c>
      <x:c r="E990" s="61" t="n">
        <x:v>129</x:v>
      </x:c>
      <x:c r="F990" s="61" t="n">
        <x:v>0</x:v>
      </x:c>
    </x:row>
    <x:row r="991">
      <x:c r="A991" s="43" t="str">
        <x:v>L2024-00035-1</x:v>
      </x:c>
      <x:c r="B991" s="46" t="str">
        <x:v>L2024-00035-1/Section 1 - Instructions to Bidders (ITB)/Section 1 - Instructions to Bidders (ITB).hwp</x:v>
      </x:c>
      <x:c r="C991" s="43" t="str">
        <x:v>.hwp</x:v>
      </x:c>
      <x:c r="D991" s="61" t="n">
        <x:v>168448</x:v>
      </x:c>
      <x:c r="E991" s="61" t="n">
        <x:v>161</x:v>
      </x:c>
      <x:c r="F991" s="61" t="n">
        <x:v>0</x:v>
      </x:c>
    </x:row>
    <x:row r="992">
      <x:c r="A992" s="43" t="str">
        <x:v>L2024-00035-1</x:v>
      </x:c>
      <x:c r="B992" s="46" t="str">
        <x:v>L2024-00035-1/Section 2 - (국문) 입찰공고문 (BDS)_kenya_0620.hwp</x:v>
      </x:c>
      <x:c r="C992" s="43" t="str">
        <x:v>.hwp</x:v>
      </x:c>
      <x:c r="D992" s="61" t="n">
        <x:v>67584</x:v>
      </x:c>
      <x:c r="E992" s="61" t="n">
        <x:v>499</x:v>
      </x:c>
      <x:c r="F992" s="61" t="n">
        <x:v>0</x:v>
      </x:c>
    </x:row>
    <x:row r="993">
      <x:c r="A993" s="43" t="str">
        <x:v>L2024-00035-1</x:v>
      </x:c>
      <x:c r="B993" s="46" t="str">
        <x:v>L2024-00035-1/Section 2 - (영문) Bid Data Sheet (BDS)_kenya_0620.docx</x:v>
      </x:c>
      <x:c r="C993" s="43" t="str">
        <x:v>.docx</x:v>
      </x:c>
      <x:c r="D993" s="61" t="n">
        <x:v>62230</x:v>
      </x:c>
      <x:c r="E993" s="61" t="n">
        <x:v>241</x:v>
      </x:c>
      <x:c r="F993" s="61" t="n">
        <x:v>1</x:v>
      </x:c>
    </x:row>
    <x:row r="994">
      <x:c r="A994" s="43" t="str">
        <x:v>L2024-00035-1</x:v>
      </x:c>
      <x:c r="B994" s="46" t="str">
        <x:v>L2024-00035-1/Section 3 - Bidding Forms_kenya_0620.docx</x:v>
      </x:c>
      <x:c r="C994" s="43" t="str">
        <x:v>.docx</x:v>
      </x:c>
      <x:c r="D994" s="61" t="n">
        <x:v>56918</x:v>
      </x:c>
      <x:c r="E994" s="61" t="n">
        <x:v>268</x:v>
      </x:c>
      <x:c r="F994" s="61" t="n">
        <x:v>0</x:v>
      </x:c>
    </x:row>
    <x:row r="995">
      <x:c r="A995" s="43" t="str">
        <x:v>L2024-00035-1</x:v>
      </x:c>
      <x:c r="B995" s="46" t="str">
        <x:v>L2024-00035-1/Section 4 - Request for Proposal_kenya_0620.docx</x:v>
      </x:c>
      <x:c r="C995" s="43" t="str">
        <x:v>.docx</x:v>
      </x:c>
      <x:c r="D995" s="61" t="n">
        <x:v>1457299</x:v>
      </x:c>
      <x:c r="E995" s="61" t="n">
        <x:v>415</x:v>
      </x:c>
      <x:c r="F995" s="61" t="n">
        <x:v>28</x:v>
      </x:c>
    </x:row>
    <x:row r="996">
      <x:c r="A996" s="43" t="str">
        <x:v>L2024-00035-1</x:v>
      </x:c>
      <x:c r="B996" s="46" t="str">
        <x:v>L2024-00035-1/Section 5 - Reference Documents.zip</x:v>
      </x:c>
      <x:c r="C996" s="43" t="str">
        <x:v>.zip</x:v>
      </x:c>
      <x:c r="D996" s="61" t="n">
        <x:v>18929</x:v>
      </x:c>
      <x:c r="E996" s="61" t="n">
        <x:v>0</x:v>
      </x:c>
      <x:c r="F996" s="61" t="n">
        <x:v>0</x:v>
      </x:c>
    </x:row>
    <x:row r="997">
      <x:c r="A997" s="43" t="str">
        <x:v>L2024-00035-1</x:v>
      </x:c>
      <x:c r="B997" s="46" t="str">
        <x:v>L2024-00035-1/Section 5 - Reference Documents/Section 5 - Construction Supervision Forms.docx</x:v>
      </x:c>
      <x:c r="C997" s="43" t="str">
        <x:v>.docx</x:v>
      </x:c>
      <x:c r="D997" s="61" t="n">
        <x:v>21655</x:v>
      </x:c>
      <x:c r="E997" s="61" t="n">
        <x:v>110</x:v>
      </x:c>
      <x:c r="F997" s="61" t="n">
        <x:v>0</x:v>
      </x:c>
    </x:row>
    <x:row r="998">
      <x:c r="A998" s="43" t="str">
        <x:v>L2024-00035-1</x:v>
      </x:c>
      <x:c r="B998" s="46" t="str">
        <x:v>L2024-00035-1/Section 6 - General Conditions of Contract.docx</x:v>
      </x:c>
      <x:c r="C998" s="43" t="str">
        <x:v>.docx</x:v>
      </x:c>
      <x:c r="D998" s="61" t="n">
        <x:v>35355</x:v>
      </x:c>
      <x:c r="E998" s="61" t="n">
        <x:v>181</x:v>
      </x:c>
      <x:c r="F998" s="61" t="n">
        <x:v>0</x:v>
      </x:c>
    </x:row>
    <x:row r="999">
      <x:c r="A999" s="43" t="str">
        <x:v>L2024-00035-1</x:v>
      </x:c>
      <x:c r="B999" s="46" t="str">
        <x:v>L2024-00035-1/Section 7 - Special Conditions of Contract.docx</x:v>
      </x:c>
      <x:c r="C999" s="43" t="str">
        <x:v>.docx</x:v>
      </x:c>
      <x:c r="D999" s="61" t="n">
        <x:v>25034</x:v>
      </x:c>
      <x:c r="E999" s="61" t="n">
        <x:v>39</x:v>
      </x:c>
      <x:c r="F999" s="61" t="n">
        <x:v>0</x:v>
      </x:c>
    </x:row>
    <x:row r="1000">
      <x:c r="A1000" s="43" t="str">
        <x:v>L2024-00035-1</x:v>
      </x:c>
      <x:c r="B1000" s="46" t="str">
        <x:v>L2024-00035-1/Section 8 - Contract Forms.docx</x:v>
      </x:c>
      <x:c r="C1000" s="43" t="str">
        <x:v>.docx</x:v>
      </x:c>
      <x:c r="D1000" s="61" t="n">
        <x:v>22736</x:v>
      </x:c>
      <x:c r="E1000" s="61" t="n">
        <x:v>93</x:v>
      </x:c>
      <x:c r="F1000" s="61" t="n">
        <x:v>0</x:v>
      </x:c>
    </x:row>
    <x:row r="1001">
      <x:c r="A1001" s="43" t="str">
        <x:v>L2024-00035-1</x:v>
      </x:c>
      <x:c r="B1001" s="46" t="str">
        <x:v>L2024-00035-1/Section 9 - Pledges.zip</x:v>
      </x:c>
      <x:c r="C1001" s="43" t="str">
        <x:v>.zip</x:v>
      </x:c>
      <x:c r="D1001" s="61" t="n">
        <x:v>85586</x:v>
      </x:c>
      <x:c r="E1001" s="61" t="n">
        <x:v>0</x:v>
      </x:c>
      <x:c r="F1001" s="61" t="n">
        <x:v>0</x:v>
      </x:c>
    </x:row>
    <x:row r="1002">
      <x:c r="A1002" s="43" t="str">
        <x:v>L2024-00035-1</x:v>
      </x:c>
      <x:c r="B1002" s="46" t="str">
        <x:v>L2024-00035-1/Section 9 - Pledges/Action Pledge to Integrate Human Rights into Business Management of International Development Cooperation Projects (▒╣┴ª░│╣▀╟∙╖┬╗τ╛≈ └╬▒╟░µ┐╡ ╜╟├╡ ╝¡╛α╝¡).docx</x:v>
      </x:c>
      <x:c r="C1002" s="43" t="str">
        <x:v>.docx</x:v>
      </x:c>
      <x:c r="D1002" s="61" t="n">
        <x:v>19215</x:v>
      </x:c>
      <x:c r="E1002" s="61" t="n">
        <x:v>16</x:v>
      </x:c>
      <x:c r="F1002" s="61" t="n">
        <x:v>0</x:v>
      </x:c>
    </x:row>
    <x:row r="1003">
      <x:c r="A1003" s="43" t="str">
        <x:v>L2024-00035-1</x:v>
      </x:c>
      <x:c r="B1003" s="46" t="str">
        <x:v>L2024-00035-1/Section 9 - Pledges/Declaration of Anti_Corruption (╣▌║╬╞╨ ╝▒╛≡╝¡).docx</x:v>
      </x:c>
      <x:c r="C1003" s="43" t="str">
        <x:v>.docx</x:v>
      </x:c>
      <x:c r="D1003" s="61" t="n">
        <x:v>23026</x:v>
      </x:c>
      <x:c r="E1003" s="61" t="n">
        <x:v>38</x:v>
      </x:c>
      <x:c r="F1003" s="61" t="n">
        <x:v>0</x:v>
      </x:c>
    </x:row>
    <x:row r="1004">
      <x:c r="A1004" s="43" t="str">
        <x:v>L2024-00035-1</x:v>
      </x:c>
      <x:c r="B1004" s="46" t="str">
        <x:v>L2024-00035-1/Section 9 - Pledges/Fair Contract Pledge Letter (░°┴ñ░Φ╛α ╝¡╛α╝¡).docx</x:v>
      </x:c>
      <x:c r="C1004" s="43" t="str">
        <x:v>.docx</x:v>
      </x:c>
      <x:c r="D1004" s="61" t="n">
        <x:v>18756</x:v>
      </x:c>
      <x:c r="E1004" s="61" t="n">
        <x:v>20</x:v>
      </x:c>
      <x:c r="F1004" s="61" t="n">
        <x:v>0</x:v>
      </x:c>
    </x:row>
    <x:row r="1005">
      <x:c r="A1005" s="43" t="str">
        <x:v>L2024-00035-1</x:v>
      </x:c>
      <x:c r="B1005" s="46" t="str">
        <x:v>L2024-00035-1/Section 9 - Pledges/Integrity Pledge (├╗╖┼░Φ╛α╝¡).docx</x:v>
      </x:c>
      <x:c r="C1005" s="43" t="str">
        <x:v>.docx</x:v>
      </x:c>
      <x:c r="D1005" s="61" t="n">
        <x:v>36507</x:v>
      </x:c>
      <x:c r="E1005" s="61" t="n">
        <x:v>17</x:v>
      </x:c>
      <x:c r="F1005" s="61" t="n">
        <x:v>0</x:v>
      </x:c>
    </x:row>
    <x:row r="1006">
      <x:c r="A1006" s="43" t="str">
        <x:v>L2024-00035-1</x:v>
      </x:c>
      <x:c r="B1006" s="46" t="str">
        <x:v>L2024-00035-1/입찰공고문_홈페이지및SNS.pdf</x:v>
      </x:c>
      <x:c r="C1006" s="43" t="str">
        <x:v>.pdf</x:v>
      </x:c>
      <x:c r="D1006" s="61" t="n">
        <x:v>171138</x:v>
      </x:c>
      <x:c r="E1006" s="61" t="n">
        <x:v>1</x:v>
      </x:c>
      <x:c r="F1006" s="61" t="n">
        <x:v>1</x:v>
      </x:c>
    </x:row>
    <x:row r="1007">
      <x:c r="A1007" s="43" t="str">
        <x:v>L2024-00031-1</x:v>
      </x:c>
      <x:c r="B1007" s="46" t="str">
        <x:v>L2024-00031-1/1-1. 네팔 박타푸르 취약지역의 빈곤층 건강수준 향상을 위한 역량강화 및 의료인프라 개선 사업-현지 시공업체 선정 입찰계획(안).hwp</x:v>
      </x:c>
      <x:c r="C1007" s="43" t="str">
        <x:v>.hwp</x:v>
      </x:c>
      <x:c r="D1007" s="61" t="n">
        <x:v>140800</x:v>
      </x:c>
      <x:c r="E1007" s="61" t="n">
        <x:v>467</x:v>
      </x:c>
      <x:c r="F1007" s="61" t="n">
        <x:v>6</x:v>
      </x:c>
    </x:row>
    <x:row r="1008">
      <x:c r="A1008" s="43" t="str">
        <x:v>L2024-00031-1</x:v>
      </x:c>
      <x:c r="B1008" s="46" t="str">
        <x:v>L2024-00031-1/1-2. BID DOCUMENTS-Project for Universal Health Coverage for the poor in vulnerable area in Bha.docx</x:v>
      </x:c>
      <x:c r="C1008" s="43" t="str">
        <x:v>.docx</x:v>
      </x:c>
      <x:c r="D1008" s="61" t="n">
        <x:v>36953</x:v>
      </x:c>
      <x:c r="E1008" s="61" t="n">
        <x:v>211</x:v>
      </x:c>
      <x:c r="F1008" s="61" t="n">
        <x:v>3</x:v>
      </x:c>
    </x:row>
    <x:row r="1009">
      <x:c r="A1009" s="43" t="str">
        <x:v>L2024-00031-1</x:v>
      </x:c>
      <x:c r="B1009" s="46" t="str">
        <x:v>L2024-00031-1/1-3. Bidding Forms.docx</x:v>
      </x:c>
      <x:c r="C1009" s="43" t="str">
        <x:v>.docx</x:v>
      </x:c>
      <x:c r="D1009" s="61" t="n">
        <x:v>36852</x:v>
      </x:c>
      <x:c r="E1009" s="61" t="n">
        <x:v>323</x:v>
      </x:c>
      <x:c r="F1009" s="61" t="n">
        <x:v>0</x:v>
      </x:c>
    </x:row>
    <x:row r="1010">
      <x:c r="A1010" s="43" t="str">
        <x:v>L2024-00031-1</x:v>
      </x:c>
      <x:c r="B1010" s="46" t="str">
        <x:v>L2024-00031-1/2-1. Beyond Media 견적서.pdf</x:v>
      </x:c>
      <x:c r="C1010" s="43" t="str">
        <x:v>.pdf</x:v>
      </x:c>
      <x:c r="D1010" s="61" t="n">
        <x:v>1695337</x:v>
      </x:c>
      <x:c r="E1010" s="61" t="n">
        <x:v>0</x:v>
      </x:c>
      <x:c r="F1010" s="61" t="n">
        <x:v>0</x:v>
      </x:c>
    </x:row>
    <x:row r="1011">
      <x:c r="A1011" s="43" t="str">
        <x:v>L2024-00031-1</x:v>
      </x:c>
      <x:c r="B1011" s="46" t="str">
        <x:v>L2024-00031-1/2-2. Lalitpur Link Media 견적서.jpg</x:v>
      </x:c>
      <x:c r="C1011" s="43" t="str">
        <x:v>.jpg</x:v>
      </x:c>
      <x:c r="D1011" s="61" t="n">
        <x:v>900118</x:v>
      </x:c>
      <x:c r="E1011" s="61" t="n">
        <x:v>0</x:v>
      </x:c>
      <x:c r="F1011" s="61" t="n">
        <x:v>0</x:v>
      </x:c>
    </x:row>
    <x:row r="1012">
      <x:c r="A1012" s="43" t="str">
        <x:v>L2024-00031-1</x:v>
      </x:c>
      <x:c r="B1012" s="46" t="str">
        <x:v>L2024-00031-1/2-3. Milestone Media Service 견적서.jpg</x:v>
      </x:c>
      <x:c r="C1012" s="43" t="str">
        <x:v>.jpg</x:v>
      </x:c>
      <x:c r="D1012" s="61" t="n">
        <x:v>763751</x:v>
      </x:c>
      <x:c r="E1012" s="61" t="n">
        <x:v>0</x:v>
      </x:c>
      <x:c r="F1012" s="61" t="n">
        <x:v>0</x:v>
      </x:c>
    </x:row>
    <x:row r="1013">
      <x:c r="A1013" s="43" t="str">
        <x:v>L2024-00031-1</x:v>
      </x:c>
      <x:c r="B1013" s="46" t="str">
        <x:v>L2024-00031-1/2-4. 견적서 비교결과표.xlsx</x:v>
      </x:c>
      <x:c r="C1013" s="43" t="str">
        <x:v>.xlsx</x:v>
      </x:c>
      <x:c r="D1013" s="61" t="n">
        <x:v>6363</x:v>
      </x:c>
      <x:c r="E1013" s="61" t="n">
        <x:v>9</x:v>
      </x:c>
      <x:c r="F1013" s="61" t="n">
        <x:v>0</x:v>
      </x:c>
    </x:row>
    <x:row r="1014">
      <x:c r="A1014" s="43" t="str">
        <x:v>L2024-00031-1</x:v>
      </x:c>
      <x:c r="B1014" s="46" t="str">
        <x:v>L2024-00031-1/3-1. 설계감리사측 입찰서류 제출 표지.jpg</x:v>
      </x:c>
      <x:c r="C1014" s="43" t="str">
        <x:v>.jpg</x:v>
      </x:c>
      <x:c r="D1014" s="61" t="n">
        <x:v>112956</x:v>
      </x:c>
      <x:c r="E1014" s="61" t="n">
        <x:v>0</x:v>
      </x:c>
      <x:c r="F1014" s="61" t="n">
        <x:v>0</x:v>
      </x:c>
    </x:row>
    <x:row r="1015">
      <x:c r="A1015" s="43" t="str">
        <x:v>L2024-00031-1</x:v>
      </x:c>
      <x:c r="B1015" s="46" t="str">
        <x:v>L2024-00031-1/3-2. 설계감리사측 기초가격 제시 페이지.jpg</x:v>
      </x:c>
      <x:c r="C1015" s="43" t="str">
        <x:v>.jpg</x:v>
      </x:c>
      <x:c r="D1015" s="61" t="n">
        <x:v>101723</x:v>
      </x:c>
      <x:c r="E1015" s="61" t="n">
        <x:v>0</x:v>
      </x:c>
      <x:c r="F1015" s="61" t="n">
        <x:v>0</x:v>
      </x:c>
    </x:row>
    <x:row r="1016">
      <x:c r="A1016" s="43" t="str">
        <x:v>L2024-00024-1</x:v>
      </x:c>
      <x:c r="B1016" s="46" t="str">
        <x:v>L2024-00024-1/★Section 2 - Bid Data Sheet (BDS).pdf</x:v>
      </x:c>
      <x:c r="C1016" s="43" t="str">
        <x:v>.pdf</x:v>
      </x:c>
      <x:c r="D1016" s="61" t="n">
        <x:v>1074267</x:v>
      </x:c>
      <x:c r="E1016" s="61" t="n">
        <x:v>22</x:v>
      </x:c>
      <x:c r="F1016" s="61" t="n">
        <x:v>13</x:v>
      </x:c>
    </x:row>
    <x:row r="1017">
      <x:c r="A1017" s="43" t="str">
        <x:v>L2024-00024-1</x:v>
      </x:c>
      <x:c r="B1017" s="46" t="str">
        <x:v>L2024-00024-1/Power of Attorney for the authority to sign and execute contracts (계약서 서명권한 위임장).docx</x:v>
      </x:c>
      <x:c r="C1017" s="43" t="str">
        <x:v>.docx</x:v>
      </x:c>
      <x:c r="D1017" s="61" t="n">
        <x:v>18759</x:v>
      </x:c>
      <x:c r="E1017" s="61" t="n">
        <x:v>15</x:v>
      </x:c>
      <x:c r="F1017" s="61" t="n">
        <x:v>0</x:v>
      </x:c>
    </x:row>
    <x:row r="1018">
      <x:c r="A1018" s="43" t="str">
        <x:v>L2024-00024-1</x:v>
      </x:c>
      <x:c r="B1018" s="46" t="str">
        <x:v>L2024-00024-1/related documents.zip</x:v>
      </x:c>
      <x:c r="C1018" s="43" t="str">
        <x:v>.zip</x:v>
      </x:c>
      <x:c r="D1018" s="61" t="n">
        <x:v>151937</x:v>
      </x:c>
      <x:c r="E1018" s="61" t="n">
        <x:v>0</x:v>
      </x:c>
      <x:c r="F1018" s="61" t="n">
        <x:v>0</x:v>
      </x:c>
    </x:row>
    <x:row r="1019">
      <x:c r="A1019" s="43" t="str">
        <x:v>L2024-00024-1</x:v>
      </x:c>
      <x:c r="B1019" s="46" t="str">
        <x:v>L2024-00024-1/related documents/Section 5 - General Conditions of Contract.docx</x:v>
      </x:c>
      <x:c r="C1019" s="43" t="str">
        <x:v>.docx</x:v>
      </x:c>
      <x:c r="D1019" s="61" t="n">
        <x:v>34911</x:v>
      </x:c>
      <x:c r="E1019" s="61" t="n">
        <x:v>179</x:v>
      </x:c>
      <x:c r="F1019" s="61" t="n">
        <x:v>0</x:v>
      </x:c>
    </x:row>
    <x:row r="1020">
      <x:c r="A1020" s="43" t="str">
        <x:v>L2024-00024-1</x:v>
      </x:c>
      <x:c r="B1020" s="46" t="str">
        <x:v>L2024-00024-1/related documents/Section 6 - Special Conditions of Contract.docx</x:v>
      </x:c>
      <x:c r="C1020" s="43" t="str">
        <x:v>.docx</x:v>
      </x:c>
      <x:c r="D1020" s="61" t="n">
        <x:v>33549</x:v>
      </x:c>
      <x:c r="E1020" s="61" t="n">
        <x:v>85</x:v>
      </x:c>
      <x:c r="F1020" s="61" t="n">
        <x:v>1</x:v>
      </x:c>
    </x:row>
    <x:row r="1021">
      <x:c r="A1021" s="43" t="str">
        <x:v>L2024-00024-1</x:v>
      </x:c>
      <x:c r="B1021" s="46" t="str">
        <x:v>L2024-00024-1/related documents/Section 7 - Contract Forms.docx</x:v>
      </x:c>
      <x:c r="C1021" s="43" t="str">
        <x:v>.docx</x:v>
      </x:c>
      <x:c r="D1021" s="61" t="n">
        <x:v>22992</x:v>
      </x:c>
      <x:c r="E1021" s="61" t="n">
        <x:v>93</x:v>
      </x:c>
      <x:c r="F1021" s="61" t="n">
        <x:v>0</x:v>
      </x:c>
    </x:row>
    <x:row r="1022">
      <x:c r="A1022" s="43" t="str">
        <x:v>L2024-00024-1</x:v>
      </x:c>
      <x:c r="B1022" s="46" t="str">
        <x:v>L2024-00024-1/related documents/Section 8 - Pledges.zip</x:v>
      </x:c>
      <x:c r="C1022" s="43" t="str">
        <x:v>.zip</x:v>
      </x:c>
      <x:c r="D1022" s="61" t="n">
        <x:v>69143</x:v>
      </x:c>
      <x:c r="E1022" s="61" t="n">
        <x:v>0</x:v>
      </x:c>
      <x:c r="F1022" s="61" t="n">
        <x:v>0</x:v>
      </x:c>
    </x:row>
    <x:row r="1023">
      <x:c r="A1023" s="43" t="str">
        <x:v>L2024-00024-1</x:v>
      </x:c>
      <x:c r="B1023" s="46" t="str">
        <x:v>L2024-00024-1/Section 1 - Instructions to Bidders (ITB).zip</x:v>
      </x:c>
      <x:c r="C1023" s="43" t="str">
        <x:v>.zip</x:v>
      </x:c>
      <x:c r="D1023" s="61" t="n">
        <x:v>142749</x:v>
      </x:c>
      <x:c r="E1023" s="61" t="n">
        <x:v>0</x:v>
      </x:c>
      <x:c r="F1023" s="61" t="n">
        <x:v>0</x:v>
      </x:c>
    </x:row>
    <x:row r="1024">
      <x:c r="A1024" s="43" t="str">
        <x:v>L2024-00024-1</x:v>
      </x:c>
      <x:c r="B1024" s="46" t="str">
        <x:v>L2024-00024-1/Section 1 - Instructions to Bidders (ITB)/Section 1 - ▒╣┴ª└╘┬√└»└╟╝¡ (ITB).hwp</x:v>
      </x:c>
      <x:c r="C1024" s="43" t="str">
        <x:v>.hwp</x:v>
      </x:c>
      <x:c r="D1024" s="61" t="n">
        <x:v>92672</x:v>
      </x:c>
      <x:c r="E1024" s="61" t="n">
        <x:v>129</x:v>
      </x:c>
      <x:c r="F1024" s="61" t="n">
        <x:v>0</x:v>
      </x:c>
    </x:row>
    <x:row r="1025">
      <x:c r="A1025" s="43" t="str">
        <x:v>L2024-00024-1</x:v>
      </x:c>
      <x:c r="B1025" s="46" t="str">
        <x:v>L2024-00024-1/Section 1 - Instructions to Bidders (ITB)/Section 1 - Instructions to Bidders (ITB)_╝÷┴ñ.hwp</x:v>
      </x:c>
      <x:c r="C1025" s="43" t="str">
        <x:v>.hwp</x:v>
      </x:c>
      <x:c r="D1025" s="61" t="n">
        <x:v>83456</x:v>
      </x:c>
      <x:c r="E1025" s="61" t="n">
        <x:v>161</x:v>
      </x:c>
      <x:c r="F1025" s="61" t="n">
        <x:v>0</x:v>
      </x:c>
    </x:row>
    <x:row r="1026">
      <x:c r="A1026" s="43" t="str">
        <x:v>L2024-00024-1</x:v>
      </x:c>
      <x:c r="B1026" s="46" t="str">
        <x:v>L2024-00024-1/Section 3 - Bidding Forms.docx</x:v>
      </x:c>
      <x:c r="C1026" s="43" t="str">
        <x:v>.docx</x:v>
      </x:c>
      <x:c r="D1026" s="61" t="n">
        <x:v>56101</x:v>
      </x:c>
      <x:c r="E1026" s="61" t="n">
        <x:v>239</x:v>
      </x:c>
      <x:c r="F1026" s="61" t="n">
        <x:v>0</x:v>
      </x:c>
    </x:row>
    <x:row r="1027">
      <x:c r="A1027" s="43" t="str">
        <x:v>L2024-00022-1</x:v>
      </x:c>
      <x:c r="B1027" s="46" t="str">
        <x:v>L2024-00022-1/설계용역 입찰 공고.png</x:v>
      </x:c>
      <x:c r="C1027" s="43" t="str">
        <x:v>.png</x:v>
      </x:c>
      <x:c r="D1027" s="61" t="n">
        <x:v>401345</x:v>
      </x:c>
      <x:c r="E1027" s="61" t="n">
        <x:v>0</x:v>
      </x:c>
      <x:c r="F1027" s="61" t="n">
        <x:v>0</x:v>
      </x:c>
    </x:row>
    <x:row r="1028">
      <x:c r="A1028" s="43" t="str">
        <x:v>L2024-00021-1</x:v>
      </x:c>
      <x:c r="B1028" s="46" t="str">
        <x:v>L2024-00021-1/설계용역 입찰 재공고.png</x:v>
      </x:c>
      <x:c r="C1028" s="43" t="str">
        <x:v>.png</x:v>
      </x:c>
      <x:c r="D1028" s="61" t="n">
        <x:v>633142</x:v>
      </x:c>
      <x:c r="E1028" s="61" t="n">
        <x:v>0</x:v>
      </x:c>
      <x:c r="F1028" s="61" t="n">
        <x:v>0</x:v>
      </x:c>
    </x:row>
    <x:row r="1029">
      <x:c r="A1029" s="43" t="str">
        <x:v>L2024-00021-1</x:v>
      </x:c>
      <x:c r="B1029" s="46" t="str">
        <x:v>L2024-00021-1/첨부2-1#1,2_Contract_2024 2.21.doc</x:v>
      </x:c>
      <x:c r="C1029" s="43" t="str">
        <x:v>.doc</x:v>
      </x:c>
      <x:c r="D1029" s="61" t="n">
        <x:v>108032</x:v>
      </x:c>
      <x:c r="E1029" s="61" t="n">
        <x:v>93</x:v>
      </x:c>
      <x:c r="F1029" s="61" t="n">
        <x:v>2</x:v>
      </x:c>
    </x:row>
    <x:row r="1030">
      <x:c r="A1030" s="43" t="str">
        <x:v>L2024-00021-1</x:v>
      </x:c>
      <x:c r="B1030" s="46" t="str">
        <x:v>L2024-00021-1/첨부2-2#3,4_Contract_2024 2.21.doc</x:v>
      </x:c>
      <x:c r="C1030" s="43" t="str">
        <x:v>.doc</x:v>
      </x:c>
      <x:c r="D1030" s="61" t="n">
        <x:v>108544</x:v>
      </x:c>
      <x:c r="E1030" s="61" t="n">
        <x:v>93</x:v>
      </x:c>
      <x:c r="F1030" s="61" t="n">
        <x:v>2</x:v>
      </x:c>
    </x:row>
    <x:row r="1031">
      <x:c r="A1031" s="43" t="str">
        <x:v>L2024-00018-1</x:v>
      </x:c>
      <x:c r="B1031" s="46" t="str">
        <x:v>L2024-00018-1/붙임1. 파라과이 ICT 혁신센터 감리사 선정 입찰계획서 (국문).hwp</x:v>
      </x:c>
      <x:c r="C1031" s="43" t="str">
        <x:v>.hwp</x:v>
      </x:c>
      <x:c r="D1031" s="61" t="n">
        <x:v>135168</x:v>
      </x:c>
      <x:c r="E1031" s="61" t="n">
        <x:v>625</x:v>
      </x:c>
      <x:c r="F1031" s="61" t="n">
        <x:v>7</x:v>
      </x:c>
    </x:row>
    <x:row r="1032">
      <x:c r="A1032" s="43" t="str">
        <x:v>L2024-00018-1</x:v>
      </x:c>
      <x:c r="B1032" s="46" t="str">
        <x:v>L2024-00018-1/붙임2. 현지 감리업체 선정 입찰 계획서 영문 및 붙임문서.zip</x:v>
      </x:c>
      <x:c r="C1032" s="43" t="str">
        <x:v>.zip</x:v>
      </x:c>
      <x:c r="D1032" s="61" t="n">
        <x:v>1982855</x:v>
      </x:c>
      <x:c r="E1032" s="61" t="n">
        <x:v>0</x:v>
      </x:c>
      <x:c r="F1032" s="61" t="n">
        <x:v>0</x:v>
      </x:c>
    </x:row>
    <x:row r="1033">
      <x:c r="A1033" s="43" t="str">
        <x:v>L2024-00018-1</x:v>
      </x:c>
      <x:c r="B1033" s="46" t="str">
        <x:v>L2024-00018-1/붙임2. 현지 감리업체 선정 입찰 계획서 영문 및 붙임문서/0. Cover sheet_ICT Supervision.docx</x:v>
      </x:c>
      <x:c r="C1033" s="43" t="str">
        <x:v>.docx</x:v>
      </x:c>
      <x:c r="D1033" s="61" t="n">
        <x:v>31576</x:v>
      </x:c>
      <x:c r="E1033" s="61" t="n">
        <x:v>36</x:v>
      </x:c>
      <x:c r="F1033" s="61" t="n">
        <x:v>0</x:v>
      </x:c>
    </x:row>
    <x:row r="1034">
      <x:c r="A1034" s="43" t="str">
        <x:v>L2024-00018-1</x:v>
      </x:c>
      <x:c r="B1034" s="46" t="str">
        <x:v>L2024-00018-1/붙임2. 현지 감리업체 선정 입찰 계획서 영문 및 붙임문서/Attachments/Attachment 1. KOICA Detailed Enforcement Rules of the Regulations for Procurement and Contract in Grant Aid Projects_20190503.pdf</x:v>
      </x:c>
      <x:c r="C1034" s="43" t="str">
        <x:v>.pdf</x:v>
      </x:c>
      <x:c r="D1034" s="61" t="n">
        <x:v>554876</x:v>
      </x:c>
      <x:c r="E1034" s="61" t="n">
        <x:v>123</x:v>
      </x:c>
      <x:c r="F1034" s="61" t="n">
        <x:v>8</x:v>
      </x:c>
    </x:row>
    <x:row r="1035">
      <x:c r="A1035" s="43" t="str">
        <x:v>L2024-00018-1</x:v>
      </x:c>
      <x:c r="B1035" s="46" t="str">
        <x:v>L2024-00018-1/붙임2. 현지 감리업체 선정 입찰 계획서 영문 및 붙임문서/Attachments/Attachment 2. KOICA Regulations for International Procurement_20190304.pdf</x:v>
      </x:c>
      <x:c r="C1035" s="43" t="str">
        <x:v>.pdf</x:v>
      </x:c>
      <x:c r="D1035" s="61" t="n">
        <x:v>375625</x:v>
      </x:c>
      <x:c r="E1035" s="61" t="n">
        <x:v>55</x:v>
      </x:c>
      <x:c r="F1035" s="61" t="n">
        <x:v>1</x:v>
      </x:c>
    </x:row>
    <x:row r="1036">
      <x:c r="A1036" s="43" t="str">
        <x:v>L2024-00018-1</x:v>
      </x:c>
      <x:c r="B1036" s="46" t="str">
        <x:v>L2024-00018-1/붙임2. 현지 감리업체 선정 입찰 계획서 영문 및 붙임문서/Attachments/Attachment 3. KOICA Regulations for Procurement and Contract in Grant Aid Projects_20190520.pdf</x:v>
      </x:c>
      <x:c r="C1036" s="43" t="str">
        <x:v>.pdf</x:v>
      </x:c>
      <x:c r="D1036" s="61" t="n">
        <x:v>157627</x:v>
      </x:c>
      <x:c r="E1036" s="61" t="n">
        <x:v>33</x:v>
      </x:c>
      <x:c r="F1036" s="61" t="n">
        <x:v>2</x:v>
      </x:c>
    </x:row>
    <x:row r="1037">
      <x:c r="A1037" s="43" t="str">
        <x:v>L2024-00018-1</x:v>
      </x:c>
      <x:c r="B1037" s="46" t="str">
        <x:v>L2024-00018-1/붙임2. 현지 감리업체 선정 입찰 계획서 영문 및 붙임문서/Attachments/Attachment 4. KOICA Standards of Qualification Examination for Selection of Constructor_20140403.pdf</x:v>
      </x:c>
      <x:c r="C1037" s="43" t="str">
        <x:v>.pdf</x:v>
      </x:c>
      <x:c r="D1037" s="61" t="n">
        <x:v>315288</x:v>
      </x:c>
      <x:c r="E1037" s="61" t="n">
        <x:v>12</x:v>
      </x:c>
      <x:c r="F1037" s="61" t="n">
        <x:v>0</x:v>
      </x:c>
    </x:row>
    <x:row r="1038">
      <x:c r="A1038" s="43" t="str">
        <x:v>L2024-00018-1</x:v>
      </x:c>
      <x:c r="B1038" s="46" t="str">
        <x:v>L2024-00018-1/붙임2. 현지 감리업체 선정 입찰 계획서 영문 및 붙임문서/Attachments/Attachment 5. KOICA Safety Management Manual(ENG).pdf</x:v>
      </x:c>
      <x:c r="C1038" s="43" t="str">
        <x:v>.pdf</x:v>
      </x:c>
      <x:c r="D1038" s="61" t="n">
        <x:v>378337</x:v>
      </x:c>
      <x:c r="E1038" s="61" t="n">
        <x:v>37</x:v>
      </x:c>
      <x:c r="F1038" s="61" t="n">
        <x:v>4</x:v>
      </x:c>
    </x:row>
    <x:row r="1039">
      <x:c r="A1039" s="43" t="str">
        <x:v>L2024-00018-1</x:v>
      </x:c>
      <x:c r="B1039" s="46" t="str">
        <x:v>L2024-00018-1/붙임2. 현지 감리업체 선정 입찰 계획서 영문 및 붙임문서/Section 1 - Instructions to Bidders (ITB)_ICT Supervision.docx</x:v>
      </x:c>
      <x:c r="C1039" s="43" t="str">
        <x:v>.docx</x:v>
      </x:c>
      <x:c r="D1039" s="61" t="n">
        <x:v>42994</x:v>
      </x:c>
      <x:c r="E1039" s="61" t="n">
        <x:v>164</x:v>
      </x:c>
      <x:c r="F1039" s="61" t="n">
        <x:v>0</x:v>
      </x:c>
    </x:row>
    <x:row r="1040">
      <x:c r="A1040" s="43" t="str">
        <x:v>L2024-00018-1</x:v>
      </x:c>
      <x:c r="B1040" s="46" t="str">
        <x:v>L2024-00018-1/붙임2. 현지 감리업체 선정 입찰 계획서 영문 및 붙임문서/Section 2 - Bid Data Sheet (BDS)_ICT Supervision.docx</x:v>
      </x:c>
      <x:c r="C1040" s="43" t="str">
        <x:v>.docx</x:v>
      </x:c>
      <x:c r="D1040" s="61" t="n">
        <x:v>74011</x:v>
      </x:c>
      <x:c r="E1040" s="61" t="n">
        <x:v>270</x:v>
      </x:c>
      <x:c r="F1040" s="61" t="n">
        <x:v>12</x:v>
      </x:c>
    </x:row>
    <x:row r="1041">
      <x:c r="A1041" s="43" t="str">
        <x:v>L2024-00018-1</x:v>
      </x:c>
      <x:c r="B1041" s="46" t="str">
        <x:v>L2024-00018-1/붙임2. 현지 감리업체 선정 입찰 계획서 영문 및 붙임문서/Section 3 - Bidding Forms_ICT Supervision.docx</x:v>
      </x:c>
      <x:c r="C1041" s="43" t="str">
        <x:v>.docx</x:v>
      </x:c>
      <x:c r="D1041" s="61" t="n">
        <x:v>59389</x:v>
      </x:c>
      <x:c r="E1041" s="61" t="n">
        <x:v>227</x:v>
      </x:c>
      <x:c r="F1041" s="61" t="n">
        <x:v>0</x:v>
      </x:c>
    </x:row>
    <x:row r="1042">
      <x:c r="A1042" s="43" t="str">
        <x:v>L2024-00018-1</x:v>
      </x:c>
      <x:c r="B1042" s="46" t="str">
        <x:v>L2024-00018-1/붙임2. 현지 감리업체 선정 입찰 계획서 영문 및 붙임문서/Section 4 - Scope of Works_ICT Supervision.docx</x:v>
      </x:c>
      <x:c r="C1042" s="43" t="str">
        <x:v>.docx</x:v>
      </x:c>
      <x:c r="D1042" s="61" t="n">
        <x:v>104737</x:v>
      </x:c>
      <x:c r="E1042" s="61" t="n">
        <x:v>53</x:v>
      </x:c>
      <x:c r="F1042" s="61" t="n">
        <x:v>0</x:v>
      </x:c>
    </x:row>
    <x:row r="1043">
      <x:c r="A1043" s="43" t="str">
        <x:v>L2024-00018-1</x:v>
      </x:c>
      <x:c r="B1043" s="46" t="str">
        <x:v>L2024-00018-1/붙임2. 현지 감리업체 선정 입찰 계획서 영문 및 붙임문서/Section 5 - General Conditions of Contract_ICT Supervision.docx</x:v>
      </x:c>
      <x:c r="C1043" s="43" t="str">
        <x:v>.docx</x:v>
      </x:c>
      <x:c r="D1043" s="61" t="n">
        <x:v>37725</x:v>
      </x:c>
      <x:c r="E1043" s="61" t="n">
        <x:v>179</x:v>
      </x:c>
      <x:c r="F1043" s="61" t="n">
        <x:v>0</x:v>
      </x:c>
    </x:row>
    <x:row r="1044">
      <x:c r="A1044" s="43" t="str">
        <x:v>L2024-00018-1</x:v>
      </x:c>
      <x:c r="B1044" s="46" t="str">
        <x:v>L2024-00018-1/붙임2. 현지 감리업체 선정 입찰 계획서 영문 및 붙임문서/Section 6 - Special Conditions of Contract_ICT Supervision.docx</x:v>
      </x:c>
      <x:c r="C1044" s="43" t="str">
        <x:v>.docx</x:v>
      </x:c>
      <x:c r="D1044" s="61" t="n">
        <x:v>24118</x:v>
      </x:c>
      <x:c r="E1044" s="61" t="n">
        <x:v>39</x:v>
      </x:c>
      <x:c r="F1044" s="61" t="n">
        <x:v>0</x:v>
      </x:c>
    </x:row>
    <x:row r="1045">
      <x:c r="A1045" s="43" t="str">
        <x:v>L2024-00018-1</x:v>
      </x:c>
      <x:c r="B1045" s="46" t="str">
        <x:v>L2024-00018-1/붙임2. 현지 감리업체 선정 입찰 계획서 영문 및 붙임문서/Section 7 - Contract Forms_ICT Supervision.docx</x:v>
      </x:c>
      <x:c r="C1045" s="43" t="str">
        <x:v>.docx</x:v>
      </x:c>
      <x:c r="D1045" s="61" t="n">
        <x:v>40158</x:v>
      </x:c>
      <x:c r="E1045" s="61" t="n">
        <x:v>30</x:v>
      </x:c>
      <x:c r="F1045" s="61" t="n">
        <x:v>0</x:v>
      </x:c>
    </x:row>
    <x:row r="1046">
      <x:c r="A1046" s="43" t="str">
        <x:v>L2024-00017-1</x:v>
      </x:c>
      <x:c r="B1046" s="46" t="str">
        <x:v>L2024-00017-1/붙임1. 파라과이 ICT 혁신센터 시공사 선정 입찰계획서(국문).hwp</x:v>
      </x:c>
      <x:c r="C1046" s="43" t="str">
        <x:v>.hwp</x:v>
      </x:c>
      <x:c r="D1046" s="61" t="n">
        <x:v>81408</x:v>
      </x:c>
      <x:c r="E1046" s="61" t="n">
        <x:v>484</x:v>
      </x:c>
      <x:c r="F1046" s="61" t="n">
        <x:v>3</x:v>
      </x:c>
    </x:row>
    <x:row r="1047">
      <x:c r="A1047" s="43" t="str">
        <x:v>L2024-00017-1</x:v>
      </x:c>
      <x:c r="B1047" s="46" t="str">
        <x:v>L2024-00017-1/붙임2. 파라과이 ICT 혁신센터 시공사 선정 입찰계획서(영문) 및 관련 양식.zip</x:v>
      </x:c>
      <x:c r="C1047" s="43" t="str">
        <x:v>.zip</x:v>
      </x:c>
      <x:c r="D1047" s="61" t="n">
        <x:v>7240866</x:v>
      </x:c>
      <x:c r="E1047" s="61" t="n">
        <x:v>0</x:v>
      </x:c>
      <x:c r="F1047" s="61" t="n">
        <x:v>0</x:v>
      </x:c>
    </x:row>
    <x:row r="1048">
      <x:c r="A1048" s="43" t="str">
        <x:v>L2024-00017-1</x:v>
      </x:c>
      <x:c r="B1048" s="46" t="str">
        <x:v>L2024-00017-1/붙임2. 파라과이 ICT 혁신센터 시공사 선정 입찰계획서(영문) 및 관련 양식/0. Cover sheet_ICT Construction.docx</x:v>
      </x:c>
      <x:c r="C1048" s="43" t="str">
        <x:v>.docx</x:v>
      </x:c>
      <x:c r="D1048" s="61" t="n">
        <x:v>31336</x:v>
      </x:c>
      <x:c r="E1048" s="61" t="n">
        <x:v>35</x:v>
      </x:c>
      <x:c r="F1048" s="61" t="n">
        <x:v>0</x:v>
      </x:c>
    </x:row>
    <x:row r="1049">
      <x:c r="A1049" s="43" t="str">
        <x:v>L2024-00017-1</x:v>
      </x:c>
      <x:c r="B1049" s="46" t="str">
        <x:v>L2024-00017-1/붙임2. 파라과이 ICT 혁신센터 시공사 선정 입찰계획서(영문) 및 관련 양식/Attachement 6. Scope of Works_ICT Construction.docx</x:v>
      </x:c>
      <x:c r="C1049" s="43" t="str">
        <x:v>.docx</x:v>
      </x:c>
      <x:c r="D1049" s="61" t="n">
        <x:v>51486</x:v>
      </x:c>
      <x:c r="E1049" s="61" t="n">
        <x:v>217</x:v>
      </x:c>
      <x:c r="F1049" s="61" t="n">
        <x:v>2</x:v>
      </x:c>
    </x:row>
    <x:row r="1050">
      <x:c r="A1050" s="43" t="str">
        <x:v>L2024-00017-1</x:v>
      </x:c>
      <x:c r="B1050" s="46" t="str">
        <x:v>L2024-00017-1/붙임2. 파라과이 ICT 혁신센터 시공사 선정 입찰계획서(영문) 및 관련 양식/Attachments/Attachment 1. KOICA Detailed Enforcement Rules of the Regulations for Procurement and Contract in Grant Aid Projects.pdf</x:v>
      </x:c>
      <x:c r="C1050" s="43" t="str">
        <x:v>.pdf</x:v>
      </x:c>
      <x:c r="D1050" s="61" t="n">
        <x:v>554876</x:v>
      </x:c>
      <x:c r="E1050" s="61" t="n">
        <x:v>123</x:v>
      </x:c>
      <x:c r="F1050" s="61" t="n">
        <x:v>8</x:v>
      </x:c>
    </x:row>
    <x:row r="1051">
      <x:c r="A1051" s="43" t="str">
        <x:v>L2024-00017-1</x:v>
      </x:c>
      <x:c r="B1051" s="46" t="str">
        <x:v>L2024-00017-1/붙임2. 파라과이 ICT 혁신센터 시공사 선정 입찰계획서(영문) 및 관련 양식/Attachments/Attachment 2. KOICA Regulations for International Procurement.pdf</x:v>
      </x:c>
      <x:c r="C1051" s="43" t="str">
        <x:v>.pdf</x:v>
      </x:c>
      <x:c r="D1051" s="61" t="n">
        <x:v>375625</x:v>
      </x:c>
      <x:c r="E1051" s="61" t="n">
        <x:v>55</x:v>
      </x:c>
      <x:c r="F1051" s="61" t="n">
        <x:v>1</x:v>
      </x:c>
    </x:row>
    <x:row r="1052">
      <x:c r="A1052" s="43" t="str">
        <x:v>L2024-00017-1</x:v>
      </x:c>
      <x:c r="B1052" s="46" t="str">
        <x:v>L2024-00017-1/붙임2. 파라과이 ICT 혁신센터 시공사 선정 입찰계획서(영문) 및 관련 양식/Attachments/Attachment 3. KOICA Regulations for Procurement and Contract in Grant Aid Projects.pdf</x:v>
      </x:c>
      <x:c r="C1052" s="43" t="str">
        <x:v>.pdf</x:v>
      </x:c>
      <x:c r="D1052" s="61" t="n">
        <x:v>157627</x:v>
      </x:c>
      <x:c r="E1052" s="61" t="n">
        <x:v>33</x:v>
      </x:c>
      <x:c r="F1052" s="61" t="n">
        <x:v>2</x:v>
      </x:c>
    </x:row>
    <x:row r="1053">
      <x:c r="A1053" s="43" t="str">
        <x:v>L2024-00017-1</x:v>
      </x:c>
      <x:c r="B1053" s="46" t="str">
        <x:v>L2024-00017-1/붙임2. 파라과이 ICT 혁신센터 시공사 선정 입찰계획서(영문) 및 관련 양식/Attachments/Attachment 4. KOICA Standards of Qualification Examination for Selection of Constructor.pdf</x:v>
      </x:c>
      <x:c r="C1053" s="43" t="str">
        <x:v>.pdf</x:v>
      </x:c>
      <x:c r="D1053" s="61" t="n">
        <x:v>315288</x:v>
      </x:c>
      <x:c r="E1053" s="61" t="n">
        <x:v>12</x:v>
      </x:c>
      <x:c r="F1053" s="61" t="n">
        <x:v>0</x:v>
      </x:c>
    </x:row>
    <x:row r="1054">
      <x:c r="A1054" s="43" t="str">
        <x:v>L2024-00017-1</x:v>
      </x:c>
      <x:c r="B1054" s="46" t="str">
        <x:v>L2024-00017-1/붙임2. 파라과이 ICT 혁신센터 시공사 선정 입찰계획서(영문) 및 관련 양식/Attachments/Attachment 5. KOICA Safety Management Manual(ENG).pdf</x:v>
      </x:c>
      <x:c r="C1054" s="43" t="str">
        <x:v>.pdf</x:v>
      </x:c>
      <x:c r="D1054" s="61" t="n">
        <x:v>378337</x:v>
      </x:c>
      <x:c r="E1054" s="61" t="n">
        <x:v>37</x:v>
      </x:c>
      <x:c r="F1054" s="61" t="n">
        <x:v>4</x:v>
      </x:c>
    </x:row>
    <x:row r="1055">
      <x:c r="A1055" s="43" t="str">
        <x:v>L2024-00017-1</x:v>
      </x:c>
      <x:c r="B1055" s="46" t="str">
        <x:v>L2024-00017-1/붙임2. 파라과이 ICT 혁신센터 시공사 선정 입찰계획서(영문) 및 관련 양식/Section 1 Instructions on International Bidding for Construction Work_ICT Construction.docx</x:v>
      </x:c>
      <x:c r="C1055" s="43" t="str">
        <x:v>.docx</x:v>
      </x:c>
      <x:c r="D1055" s="61" t="n">
        <x:v>50119</x:v>
      </x:c>
      <x:c r="E1055" s="61" t="n">
        <x:v>167</x:v>
      </x:c>
      <x:c r="F1055" s="61" t="n">
        <x:v>0</x:v>
      </x:c>
    </x:row>
    <x:row r="1056">
      <x:c r="A1056" s="43" t="str">
        <x:v>L2024-00017-1</x:v>
      </x:c>
      <x:c r="B1056" s="46" t="str">
        <x:v>L2024-00017-1/붙임2. 파라과이 ICT 혁신센터 시공사 선정 입찰계획서(영문) 및 관련 양식/Section 2 Bid data sheet_ICT Construction.docx</x:v>
      </x:c>
      <x:c r="C1056" s="43" t="str">
        <x:v>.docx</x:v>
      </x:c>
      <x:c r="D1056" s="61" t="n">
        <x:v>5173904</x:v>
      </x:c>
      <x:c r="E1056" s="61" t="n">
        <x:v>210</x:v>
      </x:c>
      <x:c r="F1056" s="61" t="n">
        <x:v>6</x:v>
      </x:c>
    </x:row>
    <x:row r="1057">
      <x:c r="A1057" s="43" t="str">
        <x:v>L2024-00017-1</x:v>
      </x:c>
      <x:c r="B1057" s="46" t="str">
        <x:v>L2024-00017-1/붙임2. 파라과이 ICT 혁신센터 시공사 선정 입찰계획서(영문) 및 관련 양식/Section 3 Bidding Forms_ICT Construction.docx</x:v>
      </x:c>
      <x:c r="C1057" s="43" t="str">
        <x:v>.docx</x:v>
      </x:c>
      <x:c r="D1057" s="61" t="n">
        <x:v>57327</x:v>
      </x:c>
      <x:c r="E1057" s="61" t="n">
        <x:v>189</x:v>
      </x:c>
      <x:c r="F1057" s="61" t="n">
        <x:v>0</x:v>
      </x:c>
    </x:row>
    <x:row r="1058">
      <x:c r="A1058" s="43" t="str">
        <x:v>L2024-00017-1</x:v>
      </x:c>
      <x:c r="B1058" s="46" t="str">
        <x:v>L2024-00017-1/붙임2. 파라과이 ICT 혁신센터 시공사 선정 입찰계획서(영문) 및 관련 양식/Section 4 BOQ_ICT Construction.docx</x:v>
      </x:c>
      <x:c r="C1058" s="43" t="str">
        <x:v>.docx</x:v>
      </x:c>
      <x:c r="D1058" s="61" t="n">
        <x:v>27820</x:v>
      </x:c>
      <x:c r="E1058" s="61" t="n">
        <x:v>3</x:v>
      </x:c>
      <x:c r="F1058" s="61" t="n">
        <x:v>0</x:v>
      </x:c>
    </x:row>
    <x:row r="1059">
      <x:c r="A1059" s="43" t="str">
        <x:v>L2024-00017-1</x:v>
      </x:c>
      <x:c r="B1059" s="46" t="str">
        <x:v>L2024-00017-1/붙임2. 파라과이 ICT 혁신센터 시공사 선정 입찰계획서(영문) 및 관련 양식/Section 5 Drawings_ICT Construction.docx</x:v>
      </x:c>
      <x:c r="C1059" s="43" t="str">
        <x:v>.docx</x:v>
      </x:c>
      <x:c r="D1059" s="61" t="n">
        <x:v>27381</x:v>
      </x:c>
      <x:c r="E1059" s="61" t="n">
        <x:v>1</x:v>
      </x:c>
      <x:c r="F1059" s="61" t="n">
        <x:v>0</x:v>
      </x:c>
    </x:row>
    <x:row r="1060">
      <x:c r="A1060" s="43" t="str">
        <x:v>L2024-00017-1</x:v>
      </x:c>
      <x:c r="B1060" s="46" t="str">
        <x:v>L2024-00017-1/붙임2. 파라과이 ICT 혁신센터 시공사 선정 입찰계획서(영문) 및 관련 양식/Section 6 Specification_ICT Construction.docx</x:v>
      </x:c>
      <x:c r="C1060" s="43" t="str">
        <x:v>.docx</x:v>
      </x:c>
      <x:c r="D1060" s="61" t="n">
        <x:v>26927</x:v>
      </x:c>
      <x:c r="E1060" s="61" t="n">
        <x:v>3</x:v>
      </x:c>
      <x:c r="F1060" s="61" t="n">
        <x:v>0</x:v>
      </x:c>
    </x:row>
    <x:row r="1061">
      <x:c r="A1061" s="43" t="str">
        <x:v>L2024-00017-1</x:v>
      </x:c>
      <x:c r="B1061" s="46" t="str">
        <x:v>L2024-00017-1/붙임2. 파라과이 ICT 혁신센터 시공사 선정 입찰계획서(영문) 및 관련 양식/Section 7 General Conditions_ICT Construction.docx</x:v>
      </x:c>
      <x:c r="C1061" s="43" t="str">
        <x:v>.docx</x:v>
      </x:c>
      <x:c r="D1061" s="61" t="n">
        <x:v>167877</x:v>
      </x:c>
      <x:c r="E1061" s="61" t="n">
        <x:v>1403</x:v>
      </x:c>
      <x:c r="F1061" s="61" t="n">
        <x:v>2</x:v>
      </x:c>
    </x:row>
    <x:row r="1062">
      <x:c r="A1062" s="43" t="str">
        <x:v>L2024-00017-1</x:v>
      </x:c>
      <x:c r="B1062" s="46" t="str">
        <x:v>L2024-00017-1/붙임2. 파라과이 ICT 혁신센터 시공사 선정 입찰계획서(영문) 및 관련 양식/Section 8 Special Conditions_ICT Construction.docx</x:v>
      </x:c>
      <x:c r="C1062" s="43" t="str">
        <x:v>.docx</x:v>
      </x:c>
      <x:c r="D1062" s="61" t="n">
        <x:v>33092</x:v>
      </x:c>
      <x:c r="E1062" s="61" t="n">
        <x:v>15</x:v>
      </x:c>
      <x:c r="F1062" s="61" t="n">
        <x:v>1</x:v>
      </x:c>
    </x:row>
    <x:row r="1063">
      <x:c r="A1063" s="43" t="str">
        <x:v>L2024-00017-1</x:v>
      </x:c>
      <x:c r="B1063" s="46" t="str">
        <x:v>L2024-00017-1/붙임2. 파라과이 ICT 혁신센터 시공사 선정 입찰계획서(영문) 및 관련 양식/Section 9 Contract Forms_ICT Construction.docx</x:v>
      </x:c>
      <x:c r="C1063" s="43" t="str">
        <x:v>.docx</x:v>
      </x:c>
      <x:c r="D1063" s="61" t="n">
        <x:v>33682</x:v>
      </x:c>
      <x:c r="E1063" s="61" t="n">
        <x:v>24</x:v>
      </x:c>
      <x:c r="F1063" s="61" t="n">
        <x:v>0</x:v>
      </x:c>
    </x:row>
    <x:row r="1064">
      <x:c r="A1064" s="43" t="str">
        <x:v>L2024-00013-1</x:v>
      </x:c>
      <x:c r="B1064" s="46" t="str">
        <x:v>L2024-00013-1/2-1. Section 2 - Bid Data Sheet.docx</x:v>
      </x:c>
      <x:c r="C1064" s="43" t="str">
        <x:v>.docx</x:v>
      </x:c>
      <x:c r="D1064" s="61" t="n">
        <x:v>1911730</x:v>
      </x:c>
      <x:c r="E1064" s="61" t="n">
        <x:v>292</x:v>
      </x:c>
      <x:c r="F1064" s="61" t="n">
        <x:v>4</x:v>
      </x:c>
    </x:row>
    <x:row r="1065">
      <x:c r="A1065" s="43" t="str">
        <x:v>L2024-00013-1</x:v>
      </x:c>
      <x:c r="B1065" s="46" t="str">
        <x:v>L2024-00013-1/2-2. Invitation for Bids.docx</x:v>
      </x:c>
      <x:c r="C1065" s="43" t="str">
        <x:v>.docx</x:v>
      </x:c>
      <x:c r="D1065" s="61" t="n">
        <x:v>31277</x:v>
      </x:c>
      <x:c r="E1065" s="61" t="n">
        <x:v>46</x:v>
      </x:c>
      <x:c r="F1065" s="61" t="n">
        <x:v>3</x:v>
      </x:c>
    </x:row>
    <x:row r="1066">
      <x:c r="A1066" s="43" t="str">
        <x:v>L2024-00013-1</x:v>
      </x:c>
      <x:c r="B1066" s="46" t="str">
        <x:v>L2024-00013-1/Section 1 - Instructions to Bidders (ITB).docx</x:v>
      </x:c>
      <x:c r="C1066" s="43" t="str">
        <x:v>.docx</x:v>
      </x:c>
      <x:c r="D1066" s="61" t="n">
        <x:v>40293</x:v>
      </x:c>
      <x:c r="E1066" s="61" t="n">
        <x:v>163</x:v>
      </x:c>
      <x:c r="F1066" s="61" t="n">
        <x:v>0</x:v>
      </x:c>
    </x:row>
    <x:row r="1067">
      <x:c r="A1067" s="43" t="str">
        <x:v>L2024-00001-1</x:v>
      </x:c>
      <x:c r="B1067" s="46" t="str">
        <x:v>L2024-00001-1/붙임 1. 국문 입찰공고문(BDS) (최종).hwp</x:v>
      </x:c>
      <x:c r="C1067" s="43" t="str">
        <x:v>.hwp</x:v>
      </x:c>
      <x:c r="D1067" s="61" t="n">
        <x:v>64000</x:v>
      </x:c>
      <x:c r="E1067" s="61" t="n">
        <x:v>486</x:v>
      </x:c>
      <x:c r="F1067" s="61" t="n">
        <x:v>1</x:v>
      </x:c>
    </x:row>
    <x:row r="1068">
      <x:c r="A1068" s="43" t="str">
        <x:v>L2024-00001-1</x:v>
      </x:c>
      <x:c r="B1068" s="46" t="str">
        <x:v>L2024-00001-1/붙임 2. 입찰서류 (최종).zip</x:v>
      </x:c>
      <x:c r="C1068" s="43" t="str">
        <x:v>.zip</x:v>
      </x:c>
      <x:c r="D1068" s="61" t="n">
        <x:v>2915721</x:v>
      </x:c>
      <x:c r="E1068" s="61" t="n">
        <x:v>0</x:v>
      </x:c>
      <x:c r="F1068" s="61" t="n">
        <x:v>0</x:v>
      </x:c>
    </x:row>
    <x:row r="1069">
      <x:c r="A1069" s="43" t="str">
        <x:v>L2024-00001-1</x:v>
      </x:c>
      <x:c r="B1069" s="46" t="str">
        <x:v>L2024-00001-1/붙임 2. 입찰서류 (최종)/Section 1 - ▒╣┴ª└╘┬√└»└╟╝¡ (ITB).hwp</x:v>
      </x:c>
      <x:c r="C1069" s="43" t="str">
        <x:v>.hwp</x:v>
      </x:c>
      <x:c r="D1069" s="61" t="n">
        <x:v>73216</x:v>
      </x:c>
      <x:c r="E1069" s="61" t="n">
        <x:v>131</x:v>
      </x:c>
      <x:c r="F1069" s="61" t="n">
        <x:v>0</x:v>
      </x:c>
    </x:row>
    <x:row r="1070">
      <x:c r="A1070" s="43" t="str">
        <x:v>L2024-00001-1</x:v>
      </x:c>
      <x:c r="B1070" s="46" t="str">
        <x:v>L2024-00001-1/붙임 2. 입찰서류 (최종)/Section 1 - Instructions to Bidders (ITB).docx</x:v>
      </x:c>
      <x:c r="C1070" s="43" t="str">
        <x:v>.docx</x:v>
      </x:c>
      <x:c r="D1070" s="61" t="n">
        <x:v>29629</x:v>
      </x:c>
      <x:c r="E1070" s="61" t="n">
        <x:v>162</x:v>
      </x:c>
      <x:c r="F1070" s="61" t="n">
        <x:v>0</x:v>
      </x:c>
    </x:row>
    <x:row r="1071">
      <x:c r="A1071" s="43" t="str">
        <x:v>L2024-00001-1</x:v>
      </x:c>
      <x:c r="B1071" s="46" t="str">
        <x:v>L2024-00001-1/붙임 2. 입찰서류 (최종)/Section 2 - └╘┬√░°░φ╣«(BDS).hwpx</x:v>
      </x:c>
      <x:c r="C1071" s="43" t="str">
        <x:v>.hwpx</x:v>
      </x:c>
      <x:c r="D1071" s="61" t="n">
        <x:v>72300</x:v>
      </x:c>
      <x:c r="E1071" s="61" t="n">
        <x:v>0</x:v>
      </x:c>
      <x:c r="F1071" s="61" t="n">
        <x:v>0</x:v>
      </x:c>
    </x:row>
    <x:row r="1072">
      <x:c r="A1072" s="43" t="str">
        <x:v>L2024-00001-1</x:v>
      </x:c>
      <x:c r="B1072" s="46" t="str">
        <x:v>L2024-00001-1/붙임 2. 입찰서류 (최종)/Section 2 - Bid Data Sheet (BDS).docx</x:v>
      </x:c>
      <x:c r="C1072" s="43" t="str">
        <x:v>.docx</x:v>
      </x:c>
      <x:c r="D1072" s="61" t="n">
        <x:v>63676</x:v>
      </x:c>
      <x:c r="E1072" s="61" t="n">
        <x:v>217</x:v>
      </x:c>
      <x:c r="F1072" s="61" t="n">
        <x:v>3</x:v>
      </x:c>
    </x:row>
    <x:row r="1073">
      <x:c r="A1073" s="43" t="str">
        <x:v>L2024-00001-1</x:v>
      </x:c>
      <x:c r="B1073" s="46" t="str">
        <x:v>L2024-00001-1/붙임 2. 입찰서류 (최종)/Section 3 - Bidding Forms.docx</x:v>
      </x:c>
      <x:c r="C1073" s="43" t="str">
        <x:v>.docx</x:v>
      </x:c>
      <x:c r="D1073" s="61" t="n">
        <x:v>45996</x:v>
      </x:c>
      <x:c r="E1073" s="61" t="n">
        <x:v>183</x:v>
      </x:c>
      <x:c r="F1073" s="61" t="n">
        <x:v>0</x:v>
      </x:c>
    </x:row>
    <x:row r="1074">
      <x:c r="A1074" s="43" t="str">
        <x:v>L2024-00001-1</x:v>
      </x:c>
      <x:c r="B1074" s="46" t="str">
        <x:v>L2024-00001-1/붙임 2. 입찰서류 (최종)/Section 4 - Request for Propostal.docx</x:v>
      </x:c>
      <x:c r="C1074" s="43" t="str">
        <x:v>.docx</x:v>
      </x:c>
      <x:c r="D1074" s="61" t="n">
        <x:v>356326</x:v>
      </x:c>
      <x:c r="E1074" s="61" t="n">
        <x:v>57</x:v>
      </x:c>
      <x:c r="F1074" s="61" t="n">
        <x:v>4</x:v>
      </x:c>
    </x:row>
    <x:row r="1075">
      <x:c r="A1075" s="43" t="str">
        <x:v>L2024-00001-1</x:v>
      </x:c>
      <x:c r="B1075" s="46" t="str">
        <x:v>L2024-00001-1/붙임 2. 입찰서류 (최종)/Section 5- Terms of Reference for Design-Services.doc</x:v>
      </x:c>
      <x:c r="C1075" s="43" t="str">
        <x:v>.doc</x:v>
      </x:c>
      <x:c r="D1075" s="61" t="n">
        <x:v>162816</x:v>
      </x:c>
      <x:c r="E1075" s="61" t="n">
        <x:v>26</x:v>
      </x:c>
      <x:c r="F1075" s="61" t="n">
        <x:v>3</x:v>
      </x:c>
    </x:row>
    <x:row r="1076">
      <x:c r="A1076" s="43" t="str">
        <x:v>L2024-00001-1</x:v>
      </x:c>
      <x:c r="B1076" s="46" t="str">
        <x:v>L2024-00001-1/붙임 2. 입찰서류 (최종)/Section 6-1 Design Reference with Space Program.docx</x:v>
      </x:c>
      <x:c r="C1076" s="43" t="str">
        <x:v>.docx</x:v>
      </x:c>
      <x:c r="D1076" s="61" t="n">
        <x:v>2210595</x:v>
      </x:c>
      <x:c r="E1076" s="61" t="n">
        <x:v>136</x:v>
      </x:c>
      <x:c r="F1076" s="61" t="n">
        <x:v>0</x:v>
      </x:c>
    </x:row>
    <x:row r="1077">
      <x:c r="A1077" s="43" t="str">
        <x:v>L2024-00001-1</x:v>
      </x:c>
      <x:c r="B1077" s="46" t="str">
        <x:v>L2024-00001-1/붙임 2. 입찰서류 (최종)/Section 6-2 Guidelines for Technical Proposal.docx</x:v>
      </x:c>
      <x:c r="C1077" s="43" t="str">
        <x:v>.docx</x:v>
      </x:c>
      <x:c r="D1077" s="61" t="n">
        <x:v>21741</x:v>
      </x:c>
      <x:c r="E1077" s="61" t="n">
        <x:v>10</x:v>
      </x:c>
      <x:c r="F1077" s="61" t="n">
        <x:v>0</x:v>
      </x:c>
    </x:row>
    <x:row r="1078">
      <x:c r="A1078" s="43" t="str">
        <x:v>L2024-00001-1</x:v>
      </x:c>
      <x:c r="B1078" s="46" t="str">
        <x:v>L2024-00001-1/붙임 2. 입찰서류 (최종)/Section 7 - General Conditions of Contract.docx</x:v>
      </x:c>
      <x:c r="C1078" s="43" t="str">
        <x:v>.docx</x:v>
      </x:c>
      <x:c r="D1078" s="61" t="n">
        <x:v>44192</x:v>
      </x:c>
      <x:c r="E1078" s="61" t="n">
        <x:v>178</x:v>
      </x:c>
      <x:c r="F1078" s="61" t="n">
        <x:v>0</x:v>
      </x:c>
    </x:row>
    <x:row r="1079">
      <x:c r="A1079" s="43" t="str">
        <x:v>L2024-00001-1</x:v>
      </x:c>
      <x:c r="B1079" s="46" t="str">
        <x:v>L2024-00001-1/붙임 2. 입찰서류 (최종)/Section 8 - Special Conditions of Contract.docx</x:v>
      </x:c>
      <x:c r="C1079" s="43" t="str">
        <x:v>.docx</x:v>
      </x:c>
      <x:c r="D1079" s="61" t="n">
        <x:v>30273</x:v>
      </x:c>
      <x:c r="E1079" s="61" t="n">
        <x:v>52</x:v>
      </x:c>
      <x:c r="F1079" s="61" t="n">
        <x:v>1</x:v>
      </x:c>
    </x:row>
    <x:row r="1080">
      <x:c r="A1080" s="43" t="str">
        <x:v>L2024-00001-1</x:v>
      </x:c>
      <x:c r="B1080" s="46" t="str">
        <x:v>L2024-00001-1/붙임 2. 입찰서류 (최종)/Section 9 - Contract Forms.docx</x:v>
      </x:c>
      <x:c r="C1080" s="43" t="str">
        <x:v>.docx</x:v>
      </x:c>
      <x:c r="D1080" s="61" t="n">
        <x:v>20448</x:v>
      </x:c>
      <x:c r="E1080" s="61" t="n">
        <x:v>35</x:v>
      </x:c>
      <x:c r="F1080" s="61" t="n">
        <x:v>0</x:v>
      </x:c>
    </x:row>
    <x:row r="1081">
      <x:c r="A1081" s="43" t="str">
        <x:v>L2023-00077-1</x:v>
      </x:c>
      <x:c r="B1081" s="46" t="str">
        <x:v>L2023-00077-1/붙임0. 현지입찰계획_세네갈국회사업 리모델링입찰.docx</x:v>
      </x:c>
      <x:c r="C1081" s="43" t="str">
        <x:v>.docx</x:v>
      </x:c>
      <x:c r="D1081" s="61" t="n">
        <x:v>64867</x:v>
      </x:c>
      <x:c r="E1081" s="61" t="n">
        <x:v>205</x:v>
      </x:c>
      <x:c r="F1081" s="61" t="n">
        <x:v>2</x:v>
      </x:c>
    </x:row>
    <x:row r="1082">
      <x:c r="A1082" s="43" t="str">
        <x:v>L2023-00077-1</x:v>
      </x:c>
      <x:c r="B1082" s="46" t="str">
        <x:v>L2023-00077-1/붙임1_제안요청서_Request_For_Proposal_for_NA_Project_CM수정.docx</x:v>
      </x:c>
      <x:c r="C1082" s="43" t="str">
        <x:v>.docx</x:v>
      </x:c>
      <x:c r="D1082" s="61" t="n">
        <x:v>52800</x:v>
      </x:c>
      <x:c r="E1082" s="61" t="n">
        <x:v>188</x:v>
      </x:c>
      <x:c r="F1082" s="61" t="n">
        <x:v>2</x:v>
      </x:c>
    </x:row>
    <x:row r="1083">
      <x:c r="A1083" s="43" t="str">
        <x:v>L2023-00077-1</x:v>
      </x:c>
      <x:c r="B1083" s="46" t="str">
        <x:v>L2023-00077-1/붙임1. 제안요청서( Request For Proposal for NA Project).docx</x:v>
      </x:c>
      <x:c r="C1083" s="43" t="str">
        <x:v>.docx</x:v>
      </x:c>
      <x:c r="D1083" s="61" t="n">
        <x:v>55591</x:v>
      </x:c>
      <x:c r="E1083" s="61" t="n">
        <x:v>212</x:v>
      </x:c>
      <x:c r="F1083" s="61" t="n">
        <x:v>2</x:v>
      </x:c>
    </x:row>
    <x:row r="1084">
      <x:c r="A1084" s="43" t="str">
        <x:v>L2023-00077-1</x:v>
      </x:c>
      <x:c r="B1084" s="46" t="str">
        <x:v>L2023-00077-1/붙임2. 기술평가표_최종.docx</x:v>
      </x:c>
      <x:c r="C1084" s="43" t="str">
        <x:v>.docx</x:v>
      </x:c>
      <x:c r="D1084" s="61" t="n">
        <x:v>62700</x:v>
      </x:c>
      <x:c r="E1084" s="61" t="n">
        <x:v>334</x:v>
      </x:c>
      <x:c r="F1084" s="61" t="n">
        <x:v>0</x:v>
      </x:c>
    </x:row>
    <x:row r="1085">
      <x:c r="A1085" s="43" t="str">
        <x:v>L2023-00077-1</x:v>
      </x:c>
      <x:c r="B1085" s="46" t="str">
        <x:v>L2023-00077-1/붙임3_입찰공고문Senegal_National_Assembly_Invitation_for_Bids_최종.docx</x:v>
      </x:c>
      <x:c r="C1085" s="43" t="str">
        <x:v>.docx</x:v>
      </x:c>
      <x:c r="D1085" s="61" t="n">
        <x:v>26232</x:v>
      </x:c>
      <x:c r="E1085" s="61" t="n">
        <x:v>60</x:v>
      </x:c>
      <x:c r="F1085" s="61" t="n">
        <x:v>1</x:v>
      </x:c>
    </x:row>
    <x:row r="1086">
      <x:c r="A1086" s="43" t="str">
        <x:v>L2023-00077-1</x:v>
      </x:c>
      <x:c r="B1086" s="46" t="str">
        <x:v>L2023-00077-1/붙임4. 과업지시서(Instruction for the Work)_1110.docx</x:v>
      </x:c>
      <x:c r="C1086" s="43" t="str">
        <x:v>.docx</x:v>
      </x:c>
      <x:c r="D1086" s="61" t="n">
        <x:v>709079</x:v>
      </x:c>
      <x:c r="E1086" s="61" t="n">
        <x:v>77</x:v>
      </x:c>
      <x:c r="F1086" s="61" t="n">
        <x:v>0</x:v>
      </x:c>
    </x:row>
    <x:row r="1087">
      <x:c r="A1087" s="43" t="str">
        <x:v>L2023-00077-1</x:v>
      </x:c>
      <x:c r="B1087" s="46" t="str">
        <x:v>L2023-00077-1/붙임5-2. 투찰내역서_1110.xlsx</x:v>
      </x:c>
      <x:c r="C1087" s="43" t="str">
        <x:v>.xlsx</x:v>
      </x:c>
      <x:c r="D1087" s="61" t="n">
        <x:v>55458</x:v>
      </x:c>
      <x:c r="E1087" s="61" t="n">
        <x:v>49</x:v>
      </x:c>
      <x:c r="F1087" s="61" t="n">
        <x:v>3</x:v>
      </x:c>
    </x:row>
    <x:row r="1088">
      <x:c r="A1088" s="43" t="str">
        <x:v>L2023-00077-1</x:v>
      </x:c>
      <x:c r="B1088" s="46" t="str">
        <x:v>L2023-00077-1/붙임7. 긴급발주요청공문_세네갈국회.pdf</x:v>
      </x:c>
      <x:c r="C1088" s="43" t="str">
        <x:v>.pdf</x:v>
      </x:c>
      <x:c r="D1088" s="61" t="n">
        <x:v>327956</x:v>
      </x:c>
      <x:c r="E1088" s="61" t="n">
        <x:v>0</x:v>
      </x:c>
      <x:c r="F1088" s="61" t="n">
        <x:v>0</x:v>
      </x:c>
    </x:row>
    <x:row r="1089">
      <x:c r="A1089" s="43" t="str">
        <x:v>L2023-00075-1</x:v>
      </x:c>
      <x:c r="B1089" s="46" t="str">
        <x:v>L2023-00075-1/(231213) RTCC 발주감리 계약서.pdf</x:v>
      </x:c>
      <x:c r="C1089" s="43" t="str">
        <x:v>.pdf</x:v>
      </x:c>
      <x:c r="D1089" s="61" t="n">
        <x:v>974425</x:v>
      </x:c>
      <x:c r="E1089" s="61" t="n">
        <x:v>0</x:v>
      </x:c>
      <x:c r="F1089" s="61" t="n">
        <x:v>0</x:v>
      </x:c>
    </x:row>
    <x:row r="1090">
      <x:c r="A1090" s="43" t="str">
        <x:v>L2023-00075-1</x:v>
      </x:c>
      <x:c r="B1090" s="46" t="str">
        <x:v>L2023-00075-1/RTCC 시공 Terms of Reference for NIFS Construction(2023.12.14).docx</x:v>
      </x:c>
      <x:c r="C1090" s="43" t="str">
        <x:v>.docx</x:v>
      </x:c>
      <x:c r="D1090" s="61" t="n">
        <x:v>54988</x:v>
      </x:c>
      <x:c r="E1090" s="61" t="n">
        <x:v>112</x:v>
      </x:c>
      <x:c r="F1090" s="61" t="n">
        <x:v>4</x:v>
      </x:c>
    </x:row>
    <x:row r="1091">
      <x:c r="A1091" s="43" t="str">
        <x:v>L2023-00075-1</x:v>
      </x:c>
      <x:c r="B1091" s="46" t="str">
        <x:v>L2023-00075-1/첨부1 RTCC 시공 3자계약서 (2023.12.18)_Rev1.docx</x:v>
      </x:c>
      <x:c r="C1091" s="43" t="str">
        <x:v>.docx</x:v>
      </x:c>
      <x:c r="D1091" s="61" t="n">
        <x:v>61141</x:v>
      </x:c>
      <x:c r="E1091" s="61" t="n">
        <x:v>156</x:v>
      </x:c>
      <x:c r="F1091" s="61" t="n">
        <x:v>3</x:v>
      </x:c>
    </x:row>
    <x:row r="1092">
      <x:c r="A1092" s="43" t="str">
        <x:v>L2023-00074-1</x:v>
      </x:c>
      <x:c r="B1092" s="46" t="str">
        <x:v>L2023-00074-1/붙임2. 신문공고 사본.pdf</x:v>
      </x:c>
      <x:c r="C1092" s="43" t="str">
        <x:v>.pdf</x:v>
      </x:c>
      <x:c r="D1092" s="61" t="n">
        <x:v>796411</x:v>
      </x:c>
      <x:c r="E1092" s="61" t="n">
        <x:v>2</x:v>
      </x:c>
      <x:c r="F1092" s="61" t="n">
        <x:v>3</x:v>
      </x:c>
    </x:row>
    <x:row r="1093">
      <x:c r="A1093" s="43" t="str">
        <x:v>L2023-00073-1</x:v>
      </x:c>
      <x:c r="B1093" s="46" t="str">
        <x:v>L2023-00073-1/붙임2. 신문공고 사본.pdf</x:v>
      </x:c>
      <x:c r="C1093" s="43" t="str">
        <x:v>.pdf</x:v>
      </x:c>
      <x:c r="D1093" s="61" t="n">
        <x:v>796411</x:v>
      </x:c>
      <x:c r="E1093" s="61" t="n">
        <x:v>2</x:v>
      </x:c>
      <x:c r="F1093" s="61" t="n">
        <x:v>3</x:v>
      </x:c>
    </x:row>
    <x:row r="1094">
      <x:c r="A1094" s="43" t="str">
        <x:v>L2023-00072-2</x:v>
      </x:c>
      <x:c r="B1094" s="46" t="str">
        <x:v>L2023-00072-2/Section_1_Instructions_to_Bidders_(ITB).docx</x:v>
      </x:c>
      <x:c r="C1094" s="43" t="str">
        <x:v>.docx</x:v>
      </x:c>
      <x:c r="D1094" s="61" t="n">
        <x:v>36982</x:v>
      </x:c>
      <x:c r="E1094" s="61" t="n">
        <x:v>163</x:v>
      </x:c>
      <x:c r="F1094" s="61" t="n">
        <x:v>0</x:v>
      </x:c>
    </x:row>
    <x:row r="1095">
      <x:c r="A1095" s="43" t="str">
        <x:v>L2023-00072-2</x:v>
      </x:c>
      <x:c r="B1095" s="46" t="str">
        <x:v>L2023-00072-2/Section_2_Bid_Data_Sheet_(BDS).docx</x:v>
      </x:c>
      <x:c r="C1095" s="43" t="str">
        <x:v>.docx</x:v>
      </x:c>
      <x:c r="D1095" s="61" t="n">
        <x:v>53592</x:v>
      </x:c>
      <x:c r="E1095" s="61" t="n">
        <x:v>217</x:v>
      </x:c>
      <x:c r="F1095" s="61" t="n">
        <x:v>1</x:v>
      </x:c>
    </x:row>
    <x:row r="1096">
      <x:c r="A1096" s="43" t="str">
        <x:v>L2023-00072-2</x:v>
      </x:c>
      <x:c r="B1096" s="46" t="str">
        <x:v>L2023-00072-2/Section_3_Bidding Forms.docx</x:v>
      </x:c>
      <x:c r="C1096" s="43" t="str">
        <x:v>.docx</x:v>
      </x:c>
      <x:c r="D1096" s="61" t="n">
        <x:v>44815</x:v>
      </x:c>
      <x:c r="E1096" s="61" t="n">
        <x:v>206</x:v>
      </x:c>
      <x:c r="F1096" s="61" t="n">
        <x:v>0</x:v>
      </x:c>
    </x:row>
    <x:row r="1097">
      <x:c r="A1097" s="43" t="str">
        <x:v>L2023-00072-2</x:v>
      </x:c>
      <x:c r="B1097" s="46" t="str">
        <x:v>L2023-00072-2/Section_4_List and price input table.xlsx</x:v>
      </x:c>
      <x:c r="C1097" s="43" t="str">
        <x:v>.xlsx</x:v>
      </x:c>
      <x:c r="D1097" s="61" t="n">
        <x:v>19629</x:v>
      </x:c>
      <x:c r="E1097" s="61" t="n">
        <x:v>87</x:v>
      </x:c>
      <x:c r="F1097" s="61" t="n">
        <x:v>0</x:v>
      </x:c>
    </x:row>
    <x:row r="1098">
      <x:c r="A1098" s="43" t="str">
        <x:v>L2023-00072-2</x:v>
      </x:c>
      <x:c r="B1098" s="46" t="str">
        <x:v>L2023-00072-2/Section_5_6_Equipment list and construction site information.docx</x:v>
      </x:c>
      <x:c r="C1098" s="43" t="str">
        <x:v>.docx</x:v>
      </x:c>
      <x:c r="D1098" s="61" t="n">
        <x:v>4239036</x:v>
      </x:c>
      <x:c r="E1098" s="61" t="n">
        <x:v>111</x:v>
      </x:c>
      <x:c r="F1098" s="61" t="n">
        <x:v>0</x:v>
      </x:c>
    </x:row>
    <x:row r="1099">
      <x:c r="A1099" s="43" t="str">
        <x:v>L2023-00072-2</x:v>
      </x:c>
      <x:c r="B1099" s="46" t="str">
        <x:v>L2023-00072-2/Section_7_General Conditions of Contract.docx</x:v>
      </x:c>
      <x:c r="C1099" s="43" t="str">
        <x:v>.docx</x:v>
      </x:c>
      <x:c r="D1099" s="61" t="n">
        <x:v>56338</x:v>
      </x:c>
      <x:c r="E1099" s="61" t="n">
        <x:v>405</x:v>
      </x:c>
      <x:c r="F1099" s="61" t="n">
        <x:v>0</x:v>
      </x:c>
    </x:row>
    <x:row r="1100">
      <x:c r="A1100" s="43" t="str">
        <x:v>L2023-00072-2</x:v>
      </x:c>
      <x:c r="B1100" s="46" t="str">
        <x:v>L2023-00072-2/Summary of the bidding_Final.docx</x:v>
      </x:c>
      <x:c r="C1100" s="43" t="str">
        <x:v>.docx</x:v>
      </x:c>
      <x:c r="D1100" s="61" t="n">
        <x:v>21904</x:v>
      </x:c>
      <x:c r="E1100" s="61" t="n">
        <x:v>41</x:v>
      </x:c>
      <x:c r="F1100" s="61" t="n">
        <x:v>0</x:v>
      </x:c>
    </x:row>
    <x:row r="1101">
      <x:c r="A1101" s="43" t="str">
        <x:v>L2023-00072-1</x:v>
      </x:c>
      <x:c r="B1101" s="46" t="str">
        <x:v>L2023-00072-1/Section_1_Instructions_to_Bidders_(ITB).docx</x:v>
      </x:c>
      <x:c r="C1101" s="43" t="str">
        <x:v>.docx</x:v>
      </x:c>
      <x:c r="D1101" s="61" t="n">
        <x:v>36982</x:v>
      </x:c>
      <x:c r="E1101" s="61" t="n">
        <x:v>163</x:v>
      </x:c>
      <x:c r="F1101" s="61" t="n">
        <x:v>0</x:v>
      </x:c>
    </x:row>
    <x:row r="1102">
      <x:c r="A1102" s="43" t="str">
        <x:v>L2023-00072-1</x:v>
      </x:c>
      <x:c r="B1102" s="46" t="str">
        <x:v>L2023-00072-1/Section_2_Bid_Data_Sheet_(BDS).docx</x:v>
      </x:c>
      <x:c r="C1102" s="43" t="str">
        <x:v>.docx</x:v>
      </x:c>
      <x:c r="D1102" s="61" t="n">
        <x:v>52836</x:v>
      </x:c>
      <x:c r="E1102" s="61" t="n">
        <x:v>217</x:v>
      </x:c>
      <x:c r="F1102" s="61" t="n">
        <x:v>1</x:v>
      </x:c>
    </x:row>
    <x:row r="1103">
      <x:c r="A1103" s="43" t="str">
        <x:v>L2023-00072-1</x:v>
      </x:c>
      <x:c r="B1103" s="46" t="str">
        <x:v>L2023-00072-1/Section_3_Bidding Forms.docx</x:v>
      </x:c>
      <x:c r="C1103" s="43" t="str">
        <x:v>.docx</x:v>
      </x:c>
      <x:c r="D1103" s="61" t="n">
        <x:v>44815</x:v>
      </x:c>
      <x:c r="E1103" s="61" t="n">
        <x:v>206</x:v>
      </x:c>
      <x:c r="F1103" s="61" t="n">
        <x:v>0</x:v>
      </x:c>
    </x:row>
    <x:row r="1104">
      <x:c r="A1104" s="43" t="str">
        <x:v>L2023-00072-1</x:v>
      </x:c>
      <x:c r="B1104" s="46" t="str">
        <x:v>L2023-00072-1/Section_4_List and price input table.xlsx</x:v>
      </x:c>
      <x:c r="C1104" s="43" t="str">
        <x:v>.xlsx</x:v>
      </x:c>
      <x:c r="D1104" s="61" t="n">
        <x:v>19629</x:v>
      </x:c>
      <x:c r="E1104" s="61" t="n">
        <x:v>87</x:v>
      </x:c>
      <x:c r="F1104" s="61" t="n">
        <x:v>0</x:v>
      </x:c>
    </x:row>
    <x:row r="1105">
      <x:c r="A1105" s="43" t="str">
        <x:v>L2023-00072-1</x:v>
      </x:c>
      <x:c r="B1105" s="46" t="str">
        <x:v>L2023-00072-1/Section_5_6_Equipment list and construction site information.docx</x:v>
      </x:c>
      <x:c r="C1105" s="43" t="str">
        <x:v>.docx</x:v>
      </x:c>
      <x:c r="D1105" s="61" t="n">
        <x:v>4239036</x:v>
      </x:c>
      <x:c r="E1105" s="61" t="n">
        <x:v>111</x:v>
      </x:c>
      <x:c r="F1105" s="61" t="n">
        <x:v>0</x:v>
      </x:c>
    </x:row>
    <x:row r="1106">
      <x:c r="A1106" s="43" t="str">
        <x:v>L2023-00072-1</x:v>
      </x:c>
      <x:c r="B1106" s="46" t="str">
        <x:v>L2023-00072-1/Section_7_General Conditions of Contract.docx</x:v>
      </x:c>
      <x:c r="C1106" s="43" t="str">
        <x:v>.docx</x:v>
      </x:c>
      <x:c r="D1106" s="61" t="n">
        <x:v>56338</x:v>
      </x:c>
      <x:c r="E1106" s="61" t="n">
        <x:v>405</x:v>
      </x:c>
      <x:c r="F1106" s="61" t="n">
        <x:v>0</x:v>
      </x:c>
    </x:row>
    <x:row r="1107">
      <x:c r="A1107" s="43" t="str">
        <x:v>L2023-00072-1</x:v>
      </x:c>
      <x:c r="B1107" s="46" t="str">
        <x:v>L2023-00072-1/Summary of the bidding_Final.docx</x:v>
      </x:c>
      <x:c r="C1107" s="43" t="str">
        <x:v>.docx</x:v>
      </x:c>
      <x:c r="D1107" s="61" t="n">
        <x:v>22004</x:v>
      </x:c>
      <x:c r="E1107" s="61" t="n">
        <x:v>41</x:v>
      </x:c>
      <x:c r="F1107" s="61" t="n">
        <x:v>0</x:v>
      </x:c>
    </x:row>
    <x:row r="1108">
      <x:c r="A1108" s="43" t="str">
        <x:v>L2023-00071-1</x:v>
      </x:c>
      <x:c r="B1108" s="46" t="str">
        <x:v>L2023-00071-1/붙임 2. Bid Announcement_입찰공고문(영문)_Final.docx</x:v>
      </x:c>
      <x:c r="C1108" s="43" t="str">
        <x:v>.docx</x:v>
      </x:c>
      <x:c r="D1108" s="61" t="n">
        <x:v>32735</x:v>
      </x:c>
      <x:c r="E1108" s="61" t="n">
        <x:v>65</x:v>
      </x:c>
      <x:c r="F1108" s="61" t="n">
        <x:v>3</x:v>
      </x:c>
    </x:row>
    <x:row r="1109">
      <x:c r="A1109" s="43" t="str">
        <x:v>L2023-00071-1</x:v>
      </x:c>
      <x:c r="B1109" s="46" t="str">
        <x:v>L2023-00071-1/붙임 3. 기타 입찰서류.zip</x:v>
      </x:c>
      <x:c r="C1109" s="43" t="str">
        <x:v>.zip</x:v>
      </x:c>
      <x:c r="D1109" s="61" t="n">
        <x:v>1053417</x:v>
      </x:c>
      <x:c r="E1109" s="61" t="n">
        <x:v>0</x:v>
      </x:c>
      <x:c r="F1109" s="61" t="n">
        <x:v>0</x:v>
      </x:c>
    </x:row>
    <x:row r="1110">
      <x:c r="A1110" s="43" t="str">
        <x:v>L2023-00071-1</x:v>
      </x:c>
      <x:c r="B1110" s="46" t="str">
        <x:v>L2023-00071-1/붙임 3. 기타 입찰서류/(║┘└╙2) Invitation to Bid_├╩├╗└σ(┐╡╣«)_final.docx</x:v>
      </x:c>
      <x:c r="C1110" s="43" t="str">
        <x:v>.docx</x:v>
      </x:c>
      <x:c r="D1110" s="61" t="n">
        <x:v>43689</x:v>
      </x:c>
      <x:c r="E1110" s="61" t="n">
        <x:v>104</x:v>
      </x:c>
      <x:c r="F1110" s="61" t="n">
        <x:v>3</x:v>
      </x:c>
    </x:row>
    <x:row r="1111">
      <x:c r="A1111" s="43" t="str">
        <x:v>L2023-00071-1</x:v>
      </x:c>
      <x:c r="B1111" s="46" t="str">
        <x:v>L2023-00071-1/붙임 3. 기타 입찰서류/[Section 1] Instructions to Bidders(ITB)_└╘┬√└┌ └»└╟╝¡(┐╡╣«)_Final.docx</x:v>
      </x:c>
      <x:c r="C1111" s="43" t="str">
        <x:v>.docx</x:v>
      </x:c>
      <x:c r="D1111" s="61" t="n">
        <x:v>54999</x:v>
      </x:c>
      <x:c r="E1111" s="61" t="n">
        <x:v>164</x:v>
      </x:c>
      <x:c r="F1111" s="61" t="n">
        <x:v>0</x:v>
      </x:c>
    </x:row>
    <x:row r="1112">
      <x:c r="A1112" s="43" t="str">
        <x:v>L2023-00071-1</x:v>
      </x:c>
      <x:c r="B1112" s="46" t="str">
        <x:v>L2023-00071-1/붙임 3. 기타 입찰서류/[Section 2] Request for Proposal(RFP)_┴ª╛╚┐Σ├╗╝¡(┐╡╣«)_Finalv2.docx</x:v>
      </x:c>
      <x:c r="C1112" s="43" t="str">
        <x:v>.docx</x:v>
      </x:c>
      <x:c r="D1112" s="61" t="n">
        <x:v>64495</x:v>
      </x:c>
      <x:c r="E1112" s="61" t="n">
        <x:v>199</x:v>
      </x:c>
      <x:c r="F1112" s="61" t="n">
        <x:v>5</x:v>
      </x:c>
    </x:row>
    <x:row r="1113">
      <x:c r="A1113" s="43" t="str">
        <x:v>L2023-00071-1</x:v>
      </x:c>
      <x:c r="B1113" s="46" t="str">
        <x:v>L2023-00071-1/붙임 3. 기타 입찰서류/[Section 3] Bidding Forms_└╘┬√╛τ╜─(┐╡╣«)_Final.docx</x:v>
      </x:c>
      <x:c r="C1113" s="43" t="str">
        <x:v>.docx</x:v>
      </x:c>
      <x:c r="D1113" s="61" t="n">
        <x:v>39737</x:v>
      </x:c>
      <x:c r="E1113" s="61" t="n">
        <x:v>289</x:v>
      </x:c>
      <x:c r="F1113" s="61" t="n">
        <x:v>0</x:v>
      </x:c>
    </x:row>
    <x:row r="1114">
      <x:c r="A1114" s="43" t="str">
        <x:v>L2023-00071-1</x:v>
      </x:c>
      <x:c r="B1114" s="46" t="str">
        <x:v>L2023-00071-1/붙임 3. 기타 입찰서류/[Section 4] Design Work Scope_╝│░Φ░·╛≈┴÷╜├╝¡(┐╡╣«)_Final.docx</x:v>
      </x:c>
      <x:c r="C1114" s="43" t="str">
        <x:v>.docx</x:v>
      </x:c>
      <x:c r="D1114" s="61" t="n">
        <x:v>428138</x:v>
      </x:c>
      <x:c r="E1114" s="61" t="n">
        <x:v>60</x:v>
      </x:c>
      <x:c r="F1114" s="61" t="n">
        <x:v>9</x:v>
      </x:c>
    </x:row>
    <x:row r="1115">
      <x:c r="A1115" s="43" t="str">
        <x:v>L2023-00071-1</x:v>
      </x:c>
      <x:c r="B1115" s="46" t="str">
        <x:v>L2023-00071-1/붙임 3. 기타 입찰서류/[Section 5] Guideline of Construction Supervision_╜├░°░¿╕« ╝÷╟α ┴÷─º ╣╫ ┴╓┐Σ ╛τ╜─(┐╡╣«)_Final.docx</x:v>
      </x:c>
      <x:c r="C1115" s="43" t="str">
        <x:v>.docx</x:v>
      </x:c>
      <x:c r="D1115" s="61" t="n">
        <x:v>23895</x:v>
      </x:c>
      <x:c r="E1115" s="61" t="n">
        <x:v>141</x:v>
      </x:c>
      <x:c r="F1115" s="61" t="n">
        <x:v>0</x:v>
      </x:c>
    </x:row>
    <x:row r="1116">
      <x:c r="A1116" s="43" t="str">
        <x:v>L2023-00071-1</x:v>
      </x:c>
      <x:c r="B1116" s="46" t="str">
        <x:v>L2023-00071-1/붙임 3. 기타 입찰서류/[Section 6] Selection method of successful bidder_│½┬√└┌ ╝▒┴ñ╣µ╜─ ╛╚│╗╣«(┐╡╣«)_Final.docx</x:v>
      </x:c>
      <x:c r="C1116" s="43" t="str">
        <x:v>.docx</x:v>
      </x:c>
      <x:c r="D1116" s="61" t="n">
        <x:v>50938</x:v>
      </x:c>
      <x:c r="E1116" s="61" t="n">
        <x:v>58</x:v>
      </x:c>
      <x:c r="F1116" s="61" t="n">
        <x:v>0</x:v>
      </x:c>
    </x:row>
    <x:row r="1117">
      <x:c r="A1117" s="43" t="str">
        <x:v>L2023-00071-1</x:v>
      </x:c>
      <x:c r="B1117" s="46" t="str">
        <x:v>L2023-00071-1/붙임 3. 기타 입찰서류/[Section 7] Contract Agreement_░Φ╛α╝¡(┐╡╣«)_Final.docx</x:v>
      </x:c>
      <x:c r="C1117" s="43" t="str">
        <x:v>.docx</x:v>
      </x:c>
      <x:c r="D1117" s="61" t="n">
        <x:v>172570</x:v>
      </x:c>
      <x:c r="E1117" s="61" t="n">
        <x:v>47</x:v>
      </x:c>
      <x:c r="F1117" s="61" t="n">
        <x:v>3</x:v>
      </x:c>
    </x:row>
    <x:row r="1118">
      <x:c r="A1118" s="43" t="str">
        <x:v>L2023-00071-1</x:v>
      </x:c>
      <x:c r="B1118" s="46" t="str">
        <x:v>L2023-00071-1/붙임 3. 기타 입찰서류/[Section 8] General Conditions of Contract.pdf</x:v>
      </x:c>
      <x:c r="C1118" s="43" t="str">
        <x:v>.pdf</x:v>
      </x:c>
      <x:c r="D1118" s="61" t="n">
        <x:v>146892</x:v>
      </x:c>
      <x:c r="E1118" s="61" t="n">
        <x:v>16</x:v>
      </x:c>
      <x:c r="F1118" s="61" t="n">
        <x:v>0</x:v>
      </x:c>
    </x:row>
    <x:row r="1119">
      <x:c r="A1119" s="43" t="str">
        <x:v>L2023-00071-1</x:v>
      </x:c>
      <x:c r="B1119" s="46" t="str">
        <x:v>L2023-00071-1/붙임 3. 기타 입찰서류/[Section 9] Specail Conditions of Contract.pdf</x:v>
      </x:c>
      <x:c r="C1119" s="43" t="str">
        <x:v>.pdf</x:v>
      </x:c>
      <x:c r="D1119" s="61" t="n">
        <x:v>84613</x:v>
      </x:c>
      <x:c r="E1119" s="61" t="n">
        <x:v>5</x:v>
      </x:c>
      <x:c r="F1119" s="61" t="n">
        <x:v>0</x:v>
      </x:c>
    </x:row>
    <x:row r="1120">
      <x:c r="A1120" s="43" t="str">
        <x:v>L2023-00070-2</x:v>
      </x:c>
      <x:c r="B1120" s="46" t="str">
        <x:v>L2023-00070-2/(볼리비아) 라파스 주 임상병리검사실 체계 강화사업(2022-2026_700만불) 현지 설계입찰 유찰보고 및 재공고 계획(안).hwp</x:v>
      </x:c>
      <x:c r="C1120" s="43" t="str">
        <x:v>.hwp</x:v>
      </x:c>
      <x:c r="D1120" s="61" t="n">
        <x:v>163840</x:v>
      </x:c>
      <x:c r="E1120" s="61" t="n">
        <x:v>1</x:v>
      </x:c>
      <x:c r="F1120" s="61" t="n">
        <x:v>0</x:v>
      </x:c>
    </x:row>
    <x:row r="1121">
      <x:c r="A1121" s="43" t="str">
        <x:v>L2023-00070-2</x:v>
      </x:c>
      <x:c r="B1121" s="46" t="str">
        <x:v>L2023-00070-2/붙임1. 라파스 주 임상병리 검사실 설계 입찰 결과(유찰) 보고.hwp</x:v>
      </x:c>
      <x:c r="C1121" s="43" t="str">
        <x:v>.hwp</x:v>
      </x:c>
      <x:c r="D1121" s="61" t="n">
        <x:v>33280</x:v>
      </x:c>
      <x:c r="E1121" s="61" t="n">
        <x:v>116</x:v>
      </x:c>
      <x:c r="F1121" s="61" t="n">
        <x:v>0</x:v>
      </x:c>
    </x:row>
    <x:row r="1122">
      <x:c r="A1122" s="43" t="str">
        <x:v>L2023-00070-2</x:v>
      </x:c>
      <x:c r="B1122" s="46" t="str">
        <x:v>L2023-00070-2/붙임2. 재공고 입찰계획안_231029.hwp</x:v>
      </x:c>
      <x:c r="C1122" s="43" t="str">
        <x:v>.hwp</x:v>
      </x:c>
      <x:c r="D1122" s="61" t="n">
        <x:v>1275392</x:v>
      </x:c>
      <x:c r="E1122" s="61" t="n">
        <x:v>590</x:v>
      </x:c>
      <x:c r="F1122" s="61" t="n">
        <x:v>11</x:v>
      </x:c>
    </x:row>
    <x:row r="1123">
      <x:c r="A1123" s="43" t="str">
        <x:v>L2023-00070-2</x:v>
      </x:c>
      <x:c r="B1123" s="46" t="str">
        <x:v>L2023-00070-2/붙임3. (입찰서류-영문) LDRL-설계입찰_1029.zip</x:v>
      </x:c>
      <x:c r="C1123" s="43" t="str">
        <x:v>.zip</x:v>
      </x:c>
      <x:c r="D1123" s="61" t="n">
        <x:v>2116652</x:v>
      </x:c>
      <x:c r="E1123" s="61" t="n">
        <x:v>0</x:v>
      </x:c>
      <x:c r="F1123" s="61" t="n">
        <x:v>0</x:v>
      </x:c>
    </x:row>
    <x:row r="1124">
      <x:c r="A1124" s="43" t="str">
        <x:v>L2023-00070-2</x:v>
      </x:c>
      <x:c r="B1124" s="46" t="str">
        <x:v>L2023-00070-2/붙임3. (입찰서류-영문) LDRL-설계입찰_1029/2. (└╘┬√╝¡╖∙-┐╡╣«) LDRL-╝│░Φ└╘┬√_1029/0. Cover, Table of Contents_LDRL_╝÷┴ñ.docx</x:v>
      </x:c>
      <x:c r="C1124" s="43" t="str">
        <x:v>.docx</x:v>
      </x:c>
      <x:c r="D1124" s="61" t="n">
        <x:v>12804</x:v>
      </x:c>
      <x:c r="E1124" s="61" t="n">
        <x:v>37</x:v>
      </x:c>
      <x:c r="F1124" s="61" t="n">
        <x:v>0</x:v>
      </x:c>
    </x:row>
    <x:row r="1125">
      <x:c r="A1125" s="43" t="str">
        <x:v>L2023-00070-2</x:v>
      </x:c>
      <x:c r="B1125" s="46" t="str">
        <x:v>L2023-00070-2/붙임3. (입찰서류-영문) LDRL-설계입찰_1029/2. (└╘┬√╝¡╖∙-┐╡╣«) LDRL-╝│░Φ└╘┬√_1029/1. Instructions to Bidders (ITB)_LDRL_1029.docx</x:v>
      </x:c>
      <x:c r="C1125" s="43" t="str">
        <x:v>.docx</x:v>
      </x:c>
      <x:c r="D1125" s="61" t="n">
        <x:v>35165</x:v>
      </x:c>
      <x:c r="E1125" s="61" t="n">
        <x:v>161</x:v>
      </x:c>
      <x:c r="F1125" s="61" t="n">
        <x:v>0</x:v>
      </x:c>
    </x:row>
    <x:row r="1126">
      <x:c r="A1126" s="43" t="str">
        <x:v>L2023-00070-2</x:v>
      </x:c>
      <x:c r="B1126" s="46" t="str">
        <x:v>L2023-00070-2/붙임3. (입찰서류-영문) LDRL-설계입찰_1029/2. (└╘┬√╝¡╖∙-┐╡╣«) LDRL-╝│░Φ└╘┬√_1029/2. Bid Data Sheet (BDS)_LDRL_╝÷┴ñ_1029.docx</x:v>
      </x:c>
      <x:c r="C1126" s="43" t="str">
        <x:v>.docx</x:v>
      </x:c>
      <x:c r="D1126" s="61" t="n">
        <x:v>66996</x:v>
      </x:c>
      <x:c r="E1126" s="61" t="n">
        <x:v>240</x:v>
      </x:c>
      <x:c r="F1126" s="61" t="n">
        <x:v>9</x:v>
      </x:c>
    </x:row>
    <x:row r="1127">
      <x:c r="A1127" s="43" t="str">
        <x:v>L2023-00070-2</x:v>
      </x:c>
      <x:c r="B1127" s="46" t="str">
        <x:v>L2023-00070-2/붙임3. (입찰서류-영문) LDRL-설계입찰_1029/2. (└╘┬√╝¡╖∙-┐╡╣«) LDRL-╝│░Φ└╘┬√_1029/3. Bidding Forms_LDRL.docx</x:v>
      </x:c>
      <x:c r="C1127" s="43" t="str">
        <x:v>.docx</x:v>
      </x:c>
      <x:c r="D1127" s="61" t="n">
        <x:v>44245</x:v>
      </x:c>
      <x:c r="E1127" s="61" t="n">
        <x:v>219</x:v>
      </x:c>
      <x:c r="F1127" s="61" t="n">
        <x:v>0</x:v>
      </x:c>
    </x:row>
    <x:row r="1128">
      <x:c r="A1128" s="43" t="str">
        <x:v>L2023-00070-2</x:v>
      </x:c>
      <x:c r="B1128" s="46" t="str">
        <x:v>L2023-00070-2/붙임3. (입찰서류-영문) LDRL-설계입찰_1029/2. (└╘┬√╝¡╖∙-┐╡╣«) LDRL-╝│░Φ└╘┬√_1029/4. Terms of Reference (TOR)_LDRL_╝÷┴ñ.docx</x:v>
      </x:c>
      <x:c r="C1128" s="43" t="str">
        <x:v>.docx</x:v>
      </x:c>
      <x:c r="D1128" s="61" t="n">
        <x:v>1842273</x:v>
      </x:c>
      <x:c r="E1128" s="61" t="n">
        <x:v>328</x:v>
      </x:c>
      <x:c r="F1128" s="61" t="n">
        <x:v>6</x:v>
      </x:c>
    </x:row>
    <x:row r="1129">
      <x:c r="A1129" s="43" t="str">
        <x:v>L2023-00070-2</x:v>
      </x:c>
      <x:c r="B1129" s="46" t="str">
        <x:v>L2023-00070-2/붙임3. (입찰서류-영문) LDRL-설계입찰_1029/2. (└╘┬√╝¡╖∙-┐╡╣«) LDRL-╝│░Φ└╘┬√_1029/5. General Conditions of Contract_LDRL.docx</x:v>
      </x:c>
      <x:c r="C1129" s="43" t="str">
        <x:v>.docx</x:v>
      </x:c>
      <x:c r="D1129" s="61" t="n">
        <x:v>27738</x:v>
      </x:c>
      <x:c r="E1129" s="61" t="n">
        <x:v>181</x:v>
      </x:c>
      <x:c r="F1129" s="61" t="n">
        <x:v>0</x:v>
      </x:c>
    </x:row>
    <x:row r="1130">
      <x:c r="A1130" s="43" t="str">
        <x:v>L2023-00070-2</x:v>
      </x:c>
      <x:c r="B1130" s="46" t="str">
        <x:v>L2023-00070-2/붙임3. (입찰서류-영문) LDRL-설계입찰_1029/2. (└╘┬√╝¡╖∙-┐╡╣«) LDRL-╝│░Φ└╘┬√_1029/6. Special Conditions of Contract_LDRL.docx</x:v>
      </x:c>
      <x:c r="C1130" s="43" t="str">
        <x:v>.docx</x:v>
      </x:c>
      <x:c r="D1130" s="61" t="n">
        <x:v>18918</x:v>
      </x:c>
      <x:c r="E1130" s="61" t="n">
        <x:v>31</x:v>
      </x:c>
      <x:c r="F1130" s="61" t="n">
        <x:v>0</x:v>
      </x:c>
    </x:row>
    <x:row r="1131">
      <x:c r="A1131" s="43" t="str">
        <x:v>L2023-00070-2</x:v>
      </x:c>
      <x:c r="B1131" s="46" t="str">
        <x:v>L2023-00070-2/붙임3. (입찰서류-영문) LDRL-설계입찰_1029/2. (└╘┬√╝¡╖∙-┐╡╣«) LDRL-╝│░Φ└╘┬√_1029/7. Contract Forms_LDRL_╝÷┴ñ.docx</x:v>
      </x:c>
      <x:c r="C1131" s="43" t="str">
        <x:v>.docx</x:v>
      </x:c>
      <x:c r="D1131" s="61" t="n">
        <x:v>22968</x:v>
      </x:c>
      <x:c r="E1131" s="61" t="n">
        <x:v>35</x:v>
      </x:c>
      <x:c r="F1131" s="61" t="n">
        <x:v>0</x:v>
      </x:c>
    </x:row>
    <x:row r="1132">
      <x:c r="A1132" s="43" t="str">
        <x:v>L2023-00070-2</x:v>
      </x:c>
      <x:c r="B1132" s="46" t="str">
        <x:v>L2023-00070-2/붙임3. (입찰서류-영문) LDRL-설계입찰_1029/2. (└╘┬√╝¡╖∙-┐╡╣«) LDRL-╝│░Φ└╘┬√_1029/Declaration of Anti_Corruption (╣▌║╬╞╨ ╝▒╛≡╝¡).docx</x:v>
      </x:c>
      <x:c r="C1132" s="43" t="str">
        <x:v>.docx</x:v>
      </x:c>
      <x:c r="D1132" s="61" t="n">
        <x:v>22643</x:v>
      </x:c>
      <x:c r="E1132" s="61" t="n">
        <x:v>39</x:v>
      </x:c>
      <x:c r="F1132" s="61" t="n">
        <x:v>0</x:v>
      </x:c>
    </x:row>
    <x:row r="1133">
      <x:c r="A1133" s="43" t="str">
        <x:v>L2023-00070-2</x:v>
      </x:c>
      <x:c r="B1133" s="46" t="str">
        <x:v>L2023-00070-2/붙임3. (입찰서류-영문) LDRL-설계입찰_1029/2. (└╘┬√╝¡╖∙-┐╡╣«) LDRL-╝│░Φ└╘┬√_1029/Fair Contract Pledge Letter (░°┴ñ░Φ╛α ╝¡╛α╝¡).docx</x:v>
      </x:c>
      <x:c r="C1133" s="43" t="str">
        <x:v>.docx</x:v>
      </x:c>
      <x:c r="D1133" s="61" t="n">
        <x:v>15332</x:v>
      </x:c>
      <x:c r="E1133" s="61" t="n">
        <x:v>20</x:v>
      </x:c>
      <x:c r="F1133" s="61" t="n">
        <x:v>0</x:v>
      </x:c>
    </x:row>
    <x:row r="1134">
      <x:c r="A1134" s="43" t="str">
        <x:v>L2023-00070-2</x:v>
      </x:c>
      <x:c r="B1134" s="46" t="str">
        <x:v>L2023-00070-2/붙임3. (입찰서류-영문) LDRL-설계입찰_1029/2. (└╘┬√╝¡╖∙-┐╡╣«) LDRL-╝│░Φ└╘┬√_1029/Integrity Pledge (├╗╖┼░Φ╛α╝¡).docx</x:v>
      </x:c>
      <x:c r="C1134" s="43" t="str">
        <x:v>.docx</x:v>
      </x:c>
      <x:c r="D1134" s="61" t="n">
        <x:v>36805</x:v>
      </x:c>
      <x:c r="E1134" s="61" t="n">
        <x:v>17</x:v>
      </x:c>
      <x:c r="F1134" s="61" t="n">
        <x:v>0</x:v>
      </x:c>
    </x:row>
    <x:row r="1135">
      <x:c r="A1135" s="43" t="str">
        <x:v>L2023-00070-2</x:v>
      </x:c>
      <x:c r="B1135" s="46" t="str">
        <x:v>L2023-00070-2/붙임4. (관련규정) KOICA Regulations.zip</x:v>
      </x:c>
      <x:c r="C1135" s="43" t="str">
        <x:v>.zip</x:v>
      </x:c>
      <x:c r="D1135" s="61" t="n">
        <x:v>1729598</x:v>
      </x:c>
      <x:c r="E1135" s="61" t="n">
        <x:v>0</x:v>
      </x:c>
      <x:c r="F1135" s="61" t="n">
        <x:v>0</x:v>
      </x:c>
    </x:row>
    <x:row r="1136">
      <x:c r="A1136" s="43" t="str">
        <x:v>L2023-00070-2</x:v>
      </x:c>
      <x:c r="B1136" s="46" t="str">
        <x:v>L2023-00070-2/붙임4. (관련규정) KOICA Regulations/1. Detailed Enforcement Rules of the Regulations for Procurement and Contract in Grant Aid Projects.pdf</x:v>
      </x:c>
      <x:c r="C1136" s="43" t="str">
        <x:v>.pdf</x:v>
      </x:c>
      <x:c r="D1136" s="61" t="n">
        <x:v>554876</x:v>
      </x:c>
      <x:c r="E1136" s="61" t="n">
        <x:v>123</x:v>
      </x:c>
      <x:c r="F1136" s="61" t="n">
        <x:v>8</x:v>
      </x:c>
    </x:row>
    <x:row r="1137">
      <x:c r="A1137" s="43" t="str">
        <x:v>L2023-00070-2</x:v>
      </x:c>
      <x:c r="B1137" s="46" t="str">
        <x:v>L2023-00070-2/붙임4. (관련규정) KOICA Regulations/2. Guidelines for Technical Evaluation.pdf</x:v>
      </x:c>
      <x:c r="C1137" s="43" t="str">
        <x:v>.pdf</x:v>
      </x:c>
      <x:c r="D1137" s="61" t="n">
        <x:v>416852</x:v>
      </x:c>
      <x:c r="E1137" s="61" t="n">
        <x:v>65</x:v>
      </x:c>
      <x:c r="F1137" s="61" t="n">
        <x:v>9</x:v>
      </x:c>
    </x:row>
    <x:row r="1138">
      <x:c r="A1138" s="43" t="str">
        <x:v>L2023-00070-2</x:v>
      </x:c>
      <x:c r="B1138" s="46" t="str">
        <x:v>L2023-00070-2/붙임4. (관련규정) KOICA Regulations/3. KOICA Regulations for International Procurement.pdf</x:v>
      </x:c>
      <x:c r="C1138" s="43" t="str">
        <x:v>.pdf</x:v>
      </x:c>
      <x:c r="D1138" s="61" t="n">
        <x:v>375625</x:v>
      </x:c>
      <x:c r="E1138" s="61" t="n">
        <x:v>55</x:v>
      </x:c>
      <x:c r="F1138" s="61" t="n">
        <x:v>1</x:v>
      </x:c>
    </x:row>
    <x:row r="1139">
      <x:c r="A1139" s="43" t="str">
        <x:v>L2023-00070-2</x:v>
      </x:c>
      <x:c r="B1139" s="46" t="str">
        <x:v>L2023-00070-2/붙임4. (관련규정) KOICA Regulations/4. Regulations for Procurement and Contract in Grant Aid Projects.pdf</x:v>
      </x:c>
      <x:c r="C1139" s="43" t="str">
        <x:v>.pdf</x:v>
      </x:c>
      <x:c r="D1139" s="61" t="n">
        <x:v>157627</x:v>
      </x:c>
      <x:c r="E1139" s="61" t="n">
        <x:v>33</x:v>
      </x:c>
      <x:c r="F1139" s="61" t="n">
        <x:v>2</x:v>
      </x:c>
    </x:row>
    <x:row r="1140">
      <x:c r="A1140" s="43" t="str">
        <x:v>L2023-00070-2</x:v>
      </x:c>
      <x:c r="B1140" s="46" t="str">
        <x:v>L2023-00070-2/붙임4. (관련규정) KOICA Regulations/5. Standard of Prequalification Criteria.pdf</x:v>
      </x:c>
      <x:c r="C1140" s="43" t="str">
        <x:v>.pdf</x:v>
      </x:c>
      <x:c r="D1140" s="61" t="n">
        <x:v>473791</x:v>
      </x:c>
      <x:c r="E1140" s="61" t="n">
        <x:v>26</x:v>
      </x:c>
      <x:c r="F1140" s="61" t="n">
        <x:v>1</x:v>
      </x:c>
    </x:row>
    <x:row r="1141">
      <x:c r="A1141" s="43" t="str">
        <x:v>L2023-00070-1</x:v>
      </x:c>
      <x:c r="B1141" s="46" t="str">
        <x:v>L2023-00070-1/(볼리비아) 라파스 주 임상병리검사실 체계 강화사업(2022-2026_700만불) 현지 설계사 선정 입찰계획(안).hwp</x:v>
      </x:c>
      <x:c r="C1141" s="43" t="str">
        <x:v>.hwp</x:v>
      </x:c>
      <x:c r="D1141" s="61" t="n">
        <x:v>163840</x:v>
      </x:c>
      <x:c r="E1141" s="61" t="n">
        <x:v>1</x:v>
      </x:c>
      <x:c r="F1141" s="61" t="n">
        <x:v>0</x:v>
      </x:c>
    </x:row>
    <x:row r="1142">
      <x:c r="A1142" s="43" t="str">
        <x:v>L2023-00070-1</x:v>
      </x:c>
      <x:c r="B1142" s="46" t="str">
        <x:v>L2023-00070-1/1-1. (본부확인본) (입찰설명서) 라파즈주임상병리검사실 설계용역 입찰설명서.hwp</x:v>
      </x:c>
      <x:c r="C1142" s="43" t="str">
        <x:v>.hwp</x:v>
      </x:c>
      <x:c r="D1142" s="61" t="n">
        <x:v>1297920</x:v>
      </x:c>
      <x:c r="E1142" s="61" t="n">
        <x:v>688</x:v>
      </x:c>
      <x:c r="F1142" s="61" t="n">
        <x:v>11</x:v>
      </x:c>
    </x:row>
    <x:row r="1143">
      <x:c r="A1143" s="43" t="str">
        <x:v>L2023-00070-1</x:v>
      </x:c>
      <x:c r="B1143" s="46" t="str">
        <x:v>L2023-00070-1/1-2. (클린버전) (입찰설명서) 라파즈주임상병리검사실 설계용역 입찰설명서.hwp</x:v>
      </x:c>
      <x:c r="C1143" s="43" t="str">
        <x:v>.hwp</x:v>
      </x:c>
      <x:c r="D1143" s="61" t="n">
        <x:v>1288704</x:v>
      </x:c>
      <x:c r="E1143" s="61" t="n">
        <x:v>598</x:v>
      </x:c>
      <x:c r="F1143" s="61" t="n">
        <x:v>11</x:v>
      </x:c>
    </x:row>
    <x:row r="1144">
      <x:c r="A1144" s="43" t="str">
        <x:v>L2023-00070-1</x:v>
      </x:c>
      <x:c r="B1144" s="46" t="str">
        <x:v>L2023-00070-1/2. (입찰서류-영문) LDRL-설계입찰.zip</x:v>
      </x:c>
      <x:c r="C1144" s="43" t="str">
        <x:v>.zip</x:v>
      </x:c>
      <x:c r="D1144" s="61" t="n">
        <x:v>2100832</x:v>
      </x:c>
      <x:c r="E1144" s="61" t="n">
        <x:v>0</x:v>
      </x:c>
      <x:c r="F1144" s="61" t="n">
        <x:v>0</x:v>
      </x:c>
    </x:row>
    <x:row r="1145">
      <x:c r="A1145" s="43" t="str">
        <x:v>L2023-00070-1</x:v>
      </x:c>
      <x:c r="B1145" s="46" t="str">
        <x:v>L2023-00070-1/2. (입찰서류-영문) LDRL-설계입찰/2. (입찰서류-영문) LDRL-설계입찰/0. Cover, Table of Contents_LDRL_수정.docx</x:v>
      </x:c>
      <x:c r="C1145" s="43" t="str">
        <x:v>.docx</x:v>
      </x:c>
      <x:c r="D1145" s="61" t="n">
        <x:v>19508</x:v>
      </x:c>
      <x:c r="E1145" s="61" t="n">
        <x:v>37</x:v>
      </x:c>
      <x:c r="F1145" s="61" t="n">
        <x:v>0</x:v>
      </x:c>
    </x:row>
    <x:row r="1146">
      <x:c r="A1146" s="43" t="str">
        <x:v>L2023-00070-1</x:v>
      </x:c>
      <x:c r="B1146" s="46" t="str">
        <x:v>L2023-00070-1/2. (입찰서류-영문) LDRL-설계입찰/2. (입찰서류-영문) LDRL-설계입찰/1. Instructions to Bidders (ITB)_LDRL.docx</x:v>
      </x:c>
      <x:c r="C1146" s="43" t="str">
        <x:v>.docx</x:v>
      </x:c>
      <x:c r="D1146" s="61" t="n">
        <x:v>35165</x:v>
      </x:c>
      <x:c r="E1146" s="61" t="n">
        <x:v>161</x:v>
      </x:c>
      <x:c r="F1146" s="61" t="n">
        <x:v>0</x:v>
      </x:c>
    </x:row>
    <x:row r="1147">
      <x:c r="A1147" s="43" t="str">
        <x:v>L2023-00070-1</x:v>
      </x:c>
      <x:c r="B1147" s="46" t="str">
        <x:v>L2023-00070-1/2. (입찰서류-영문) LDRL-설계입찰/2. (입찰서류-영문) LDRL-설계입찰/2. Bid Data Sheet (BDS)_LDRL_수정.docx</x:v>
      </x:c>
      <x:c r="C1147" s="43" t="str">
        <x:v>.docx</x:v>
      </x:c>
      <x:c r="D1147" s="61" t="n">
        <x:v>43167</x:v>
      </x:c>
      <x:c r="E1147" s="61" t="n">
        <x:v>241</x:v>
      </x:c>
      <x:c r="F1147" s="61" t="n">
        <x:v>9</x:v>
      </x:c>
    </x:row>
    <x:row r="1148">
      <x:c r="A1148" s="43" t="str">
        <x:v>L2023-00070-1</x:v>
      </x:c>
      <x:c r="B1148" s="46" t="str">
        <x:v>L2023-00070-1/2. (입찰서류-영문) LDRL-설계입찰/2. (입찰서류-영문) LDRL-설계입찰/3. Bidding Forms_LDRL.docx</x:v>
      </x:c>
      <x:c r="C1148" s="43" t="str">
        <x:v>.docx</x:v>
      </x:c>
      <x:c r="D1148" s="61" t="n">
        <x:v>44245</x:v>
      </x:c>
      <x:c r="E1148" s="61" t="n">
        <x:v>219</x:v>
      </x:c>
      <x:c r="F1148" s="61" t="n">
        <x:v>0</x:v>
      </x:c>
    </x:row>
    <x:row r="1149">
      <x:c r="A1149" s="43" t="str">
        <x:v>L2023-00070-1</x:v>
      </x:c>
      <x:c r="B1149" s="46" t="str">
        <x:v>L2023-00070-1/2. (입찰서류-영문) LDRL-설계입찰/2. (입찰서류-영문) LDRL-설계입찰/4. Terms of Reference (TOR)_LDRL_수정.docx</x:v>
      </x:c>
      <x:c r="C1149" s="43" t="str">
        <x:v>.docx</x:v>
      </x:c>
      <x:c r="D1149" s="61" t="n">
        <x:v>1842273</x:v>
      </x:c>
      <x:c r="E1149" s="61" t="n">
        <x:v>328</x:v>
      </x:c>
      <x:c r="F1149" s="61" t="n">
        <x:v>6</x:v>
      </x:c>
    </x:row>
    <x:row r="1150">
      <x:c r="A1150" s="43" t="str">
        <x:v>L2023-00070-1</x:v>
      </x:c>
      <x:c r="B1150" s="46" t="str">
        <x:v>L2023-00070-1/2. (입찰서류-영문) LDRL-설계입찰/2. (입찰서류-영문) LDRL-설계입찰/5. General Conditions of Contract_LDRL.docx</x:v>
      </x:c>
      <x:c r="C1150" s="43" t="str">
        <x:v>.docx</x:v>
      </x:c>
      <x:c r="D1150" s="61" t="n">
        <x:v>27738</x:v>
      </x:c>
      <x:c r="E1150" s="61" t="n">
        <x:v>181</x:v>
      </x:c>
      <x:c r="F1150" s="61" t="n">
        <x:v>0</x:v>
      </x:c>
    </x:row>
    <x:row r="1151">
      <x:c r="A1151" s="43" t="str">
        <x:v>L2023-00070-1</x:v>
      </x:c>
      <x:c r="B1151" s="46" t="str">
        <x:v>L2023-00070-1/2. (입찰서류-영문) LDRL-설계입찰/2. (입찰서류-영문) LDRL-설계입찰/6. Special Conditions of Contract_LDRL.docx</x:v>
      </x:c>
      <x:c r="C1151" s="43" t="str">
        <x:v>.docx</x:v>
      </x:c>
      <x:c r="D1151" s="61" t="n">
        <x:v>18918</x:v>
      </x:c>
      <x:c r="E1151" s="61" t="n">
        <x:v>31</x:v>
      </x:c>
      <x:c r="F1151" s="61" t="n">
        <x:v>0</x:v>
      </x:c>
    </x:row>
    <x:row r="1152">
      <x:c r="A1152" s="43" t="str">
        <x:v>L2023-00070-1</x:v>
      </x:c>
      <x:c r="B1152" s="46" t="str">
        <x:v>L2023-00070-1/2. (입찰서류-영문) LDRL-설계입찰/2. (입찰서류-영문) LDRL-설계입찰/7. Contract Forms_LDRL_수정.docx</x:v>
      </x:c>
      <x:c r="C1152" s="43" t="str">
        <x:v>.docx</x:v>
      </x:c>
      <x:c r="D1152" s="61" t="n">
        <x:v>22968</x:v>
      </x:c>
      <x:c r="E1152" s="61" t="n">
        <x:v>35</x:v>
      </x:c>
      <x:c r="F1152" s="61" t="n">
        <x:v>0</x:v>
      </x:c>
    </x:row>
    <x:row r="1153">
      <x:c r="A1153" s="43" t="str">
        <x:v>L2023-00070-1</x:v>
      </x:c>
      <x:c r="B1153" s="46" t="str">
        <x:v>L2023-00070-1/2. (입찰서류-영문) LDRL-설계입찰/2. (입찰서류-영문) LDRL-설계입찰/Declaration of Anti_Corruption (반부패 선언서).docx</x:v>
      </x:c>
      <x:c r="C1153" s="43" t="str">
        <x:v>.docx</x:v>
      </x:c>
      <x:c r="D1153" s="61" t="n">
        <x:v>22643</x:v>
      </x:c>
      <x:c r="E1153" s="61" t="n">
        <x:v>39</x:v>
      </x:c>
      <x:c r="F1153" s="61" t="n">
        <x:v>0</x:v>
      </x:c>
    </x:row>
    <x:row r="1154">
      <x:c r="A1154" s="43" t="str">
        <x:v>L2023-00070-1</x:v>
      </x:c>
      <x:c r="B1154" s="46" t="str">
        <x:v>L2023-00070-1/2. (입찰서류-영문) LDRL-설계입찰/2. (입찰서류-영문) LDRL-설계입찰/Fair Contract Pledge Letter (공정계약 서약서).docx</x:v>
      </x:c>
      <x:c r="C1154" s="43" t="str">
        <x:v>.docx</x:v>
      </x:c>
      <x:c r="D1154" s="61" t="n">
        <x:v>15332</x:v>
      </x:c>
      <x:c r="E1154" s="61" t="n">
        <x:v>20</x:v>
      </x:c>
      <x:c r="F1154" s="61" t="n">
        <x:v>0</x:v>
      </x:c>
    </x:row>
    <x:row r="1155">
      <x:c r="A1155" s="43" t="str">
        <x:v>L2023-00070-1</x:v>
      </x:c>
      <x:c r="B1155" s="46" t="str">
        <x:v>L2023-00070-1/2. (입찰서류-영문) LDRL-설계입찰/2. (입찰서류-영문) LDRL-설계입찰/Integrity Pledge (청렴계약서).docx</x:v>
      </x:c>
      <x:c r="C1155" s="43" t="str">
        <x:v>.docx</x:v>
      </x:c>
      <x:c r="D1155" s="61" t="n">
        <x:v>36805</x:v>
      </x:c>
      <x:c r="E1155" s="61" t="n">
        <x:v>17</x:v>
      </x:c>
      <x:c r="F1155" s="61" t="n">
        <x:v>0</x:v>
      </x:c>
    </x:row>
    <x:row r="1156">
      <x:c r="A1156" s="43" t="str">
        <x:v>L2023-00070-1</x:v>
      </x:c>
      <x:c r="B1156" s="46" t="str">
        <x:v>L2023-00070-1/3. (관련규정) KOICA Regulations.zip</x:v>
      </x:c>
      <x:c r="C1156" s="43" t="str">
        <x:v>.zip</x:v>
      </x:c>
      <x:c r="D1156" s="61" t="n">
        <x:v>1729598</x:v>
      </x:c>
      <x:c r="E1156" s="61" t="n">
        <x:v>0</x:v>
      </x:c>
      <x:c r="F1156" s="61" t="n">
        <x:v>0</x:v>
      </x:c>
    </x:row>
    <x:row r="1157">
      <x:c r="A1157" s="43" t="str">
        <x:v>L2023-00070-1</x:v>
      </x:c>
      <x:c r="B1157" s="46" t="str">
        <x:v>L2023-00070-1/3. (관련규정) KOICA Regulations/1. Detailed Enforcement Rules of the Regulations for Procurement and Contract in Grant Aid Projects.pdf</x:v>
      </x:c>
      <x:c r="C1157" s="43" t="str">
        <x:v>.pdf</x:v>
      </x:c>
      <x:c r="D1157" s="61" t="n">
        <x:v>554876</x:v>
      </x:c>
      <x:c r="E1157" s="61" t="n">
        <x:v>123</x:v>
      </x:c>
      <x:c r="F1157" s="61" t="n">
        <x:v>8</x:v>
      </x:c>
    </x:row>
    <x:row r="1158">
      <x:c r="A1158" s="43" t="str">
        <x:v>L2023-00070-1</x:v>
      </x:c>
      <x:c r="B1158" s="46" t="str">
        <x:v>L2023-00070-1/3. (관련규정) KOICA Regulations/2. Guidelines for Technical Evaluation.pdf</x:v>
      </x:c>
      <x:c r="C1158" s="43" t="str">
        <x:v>.pdf</x:v>
      </x:c>
      <x:c r="D1158" s="61" t="n">
        <x:v>416852</x:v>
      </x:c>
      <x:c r="E1158" s="61" t="n">
        <x:v>65</x:v>
      </x:c>
      <x:c r="F1158" s="61" t="n">
        <x:v>9</x:v>
      </x:c>
    </x:row>
    <x:row r="1159">
      <x:c r="A1159" s="43" t="str">
        <x:v>L2023-00070-1</x:v>
      </x:c>
      <x:c r="B1159" s="46" t="str">
        <x:v>L2023-00070-1/3. (관련규정) KOICA Regulations/3. KOICA Regulations for International Procurement.pdf</x:v>
      </x:c>
      <x:c r="C1159" s="43" t="str">
        <x:v>.pdf</x:v>
      </x:c>
      <x:c r="D1159" s="61" t="n">
        <x:v>375625</x:v>
      </x:c>
      <x:c r="E1159" s="61" t="n">
        <x:v>55</x:v>
      </x:c>
      <x:c r="F1159" s="61" t="n">
        <x:v>1</x:v>
      </x:c>
    </x:row>
    <x:row r="1160">
      <x:c r="A1160" s="43" t="str">
        <x:v>L2023-00070-1</x:v>
      </x:c>
      <x:c r="B1160" s="46" t="str">
        <x:v>L2023-00070-1/3. (관련규정) KOICA Regulations/4. Regulations for Procurement and Contract in Grant Aid Projects.pdf</x:v>
      </x:c>
      <x:c r="C1160" s="43" t="str">
        <x:v>.pdf</x:v>
      </x:c>
      <x:c r="D1160" s="61" t="n">
        <x:v>157627</x:v>
      </x:c>
      <x:c r="E1160" s="61" t="n">
        <x:v>33</x:v>
      </x:c>
      <x:c r="F1160" s="61" t="n">
        <x:v>2</x:v>
      </x:c>
    </x:row>
    <x:row r="1161">
      <x:c r="A1161" s="43" t="str">
        <x:v>L2023-00070-1</x:v>
      </x:c>
      <x:c r="B1161" s="46" t="str">
        <x:v>L2023-00070-1/3. (관련규정) KOICA Regulations/5. Standard of Prequalification Criteria.pdf</x:v>
      </x:c>
      <x:c r="C1161" s="43" t="str">
        <x:v>.pdf</x:v>
      </x:c>
      <x:c r="D1161" s="61" t="n">
        <x:v>473791</x:v>
      </x:c>
      <x:c r="E1161" s="61" t="n">
        <x:v>26</x:v>
      </x:c>
      <x:c r="F1161" s="61" t="n">
        <x:v>1</x:v>
      </x:c>
    </x:row>
    <x:row r="1162">
      <x:c r="A1162" s="43" t="str">
        <x:v>L2023-00068-1</x:v>
      </x:c>
      <x:c r="B1162" s="46" t="str">
        <x:v>L2023-00068-1/(Additional Attachments) KOICA Regulations and Guidelines for Procurement.zip</x:v>
      </x:c>
      <x:c r="C1162" s="43" t="str">
        <x:v>.zip</x:v>
      </x:c>
      <x:c r="D1162" s="61" t="n">
        <x:v>2016427</x:v>
      </x:c>
      <x:c r="E1162" s="61" t="n">
        <x:v>0</x:v>
      </x:c>
      <x:c r="F1162" s="61" t="n">
        <x:v>0</x:v>
      </x:c>
    </x:row>
    <x:row r="1163">
      <x:c r="A1163" s="43" t="str">
        <x:v>L2023-00068-1</x:v>
      </x:c>
      <x:c r="B1163" s="46" t="str">
        <x:v>L2023-00068-1/(Additional Attachments) KOICA Regulations and Guidelines for Procurement/Detailed Enforcement Rules of the Regulations for Procurement and Contract in Grant Aid Projects(대외무상협력사업에 관한 조달 및 계약규정 시행세칙)_20190503.pdf</x:v>
      </x:c>
      <x:c r="C1163" s="43" t="str">
        <x:v>.pdf</x:v>
      </x:c>
      <x:c r="D1163" s="61" t="n">
        <x:v>554876</x:v>
      </x:c>
      <x:c r="E1163" s="61" t="n">
        <x:v>123</x:v>
      </x:c>
      <x:c r="F1163" s="61" t="n">
        <x:v>8</x:v>
      </x:c>
    </x:row>
    <x:row r="1164">
      <x:c r="A1164" s="43" t="str">
        <x:v>L2023-00068-1</x:v>
      </x:c>
      <x:c r="B1164" s="46" t="str">
        <x:v>L2023-00068-1/(Additional Attachments) KOICA Regulations and Guidelines for Procurement/Guidelines for Technical Evaluation(기술평가지침)_20210408.pdf</x:v>
      </x:c>
      <x:c r="C1164" s="43" t="str">
        <x:v>.pdf</x:v>
      </x:c>
      <x:c r="D1164" s="61" t="n">
        <x:v>416852</x:v>
      </x:c>
      <x:c r="E1164" s="61" t="n">
        <x:v>65</x:v>
      </x:c>
      <x:c r="F1164" s="61" t="n">
        <x:v>9</x:v>
      </x:c>
    </x:row>
    <x:row r="1165">
      <x:c r="A1165" s="43" t="str">
        <x:v>L2023-00068-1</x:v>
      </x:c>
      <x:c r="B1165" s="46" t="str">
        <x:v>L2023-00068-1/(Additional Attachments) KOICA Regulations and Guidelines for Procurement/KOICA Regulations for International Procurement(국제조달규정)_20190304.pdf</x:v>
      </x:c>
      <x:c r="C1165" s="43" t="str">
        <x:v>.pdf</x:v>
      </x:c>
      <x:c r="D1165" s="61" t="n">
        <x:v>375625</x:v>
      </x:c>
      <x:c r="E1165" s="61" t="n">
        <x:v>55</x:v>
      </x:c>
      <x:c r="F1165" s="61" t="n">
        <x:v>1</x:v>
      </x:c>
    </x:row>
    <x:row r="1166">
      <x:c r="A1166" s="43" t="str">
        <x:v>L2023-00068-1</x:v>
      </x:c>
      <x:c r="B1166" s="46" t="str">
        <x:v>L2023-00068-1/(Additional Attachments) KOICA Regulations and Guidelines for Procurement/Regulations for Procurement and Contract in Grant Aid Projects(대외무상협력사업에 관한 조달 및 계약규정)_20190520.pdf</x:v>
      </x:c>
      <x:c r="C1166" s="43" t="str">
        <x:v>.pdf</x:v>
      </x:c>
      <x:c r="D1166" s="61" t="n">
        <x:v>157627</x:v>
      </x:c>
      <x:c r="E1166" s="61" t="n">
        <x:v>33</x:v>
      </x:c>
      <x:c r="F1166" s="61" t="n">
        <x:v>2</x:v>
      </x:c>
    </x:row>
    <x:row r="1167">
      <x:c r="A1167" s="43" t="str">
        <x:v>L2023-00068-1</x:v>
      </x:c>
      <x:c r="B1167" s="46" t="str">
        <x:v>L2023-00068-1/(Additional Attachments) KOICA Regulations and Guidelines for Procurement/Standard of Prequalification Criteria(입찰참가자격사전심사기준)_20130116.pdf</x:v>
      </x:c>
      <x:c r="C1167" s="43" t="str">
        <x:v>.pdf</x:v>
      </x:c>
      <x:c r="D1167" s="61" t="n">
        <x:v>473791</x:v>
      </x:c>
      <x:c r="E1167" s="61" t="n">
        <x:v>26</x:v>
      </x:c>
      <x:c r="F1167" s="61" t="n">
        <x:v>1</x:v>
      </x:c>
    </x:row>
    <x:row r="1168">
      <x:c r="A1168" s="43" t="str">
        <x:v>L2023-00068-1</x:v>
      </x:c>
      <x:c r="B1168" s="46" t="str">
        <x:v>L2023-00068-1/(Additional Attachments) KOICA Regulations and Guidelines for Procurement/Standards of Qualification Examination for Selection of Constructor(시공사선정적격심사기준)_20140403.pdf</x:v>
      </x:c>
      <x:c r="C1168" s="43" t="str">
        <x:v>.pdf</x:v>
      </x:c>
      <x:c r="D1168" s="61" t="n">
        <x:v>315288</x:v>
      </x:c>
      <x:c r="E1168" s="61" t="n">
        <x:v>12</x:v>
      </x:c>
      <x:c r="F1168" s="61" t="n">
        <x:v>0</x:v>
      </x:c>
    </x:row>
    <x:row r="1169">
      <x:c r="A1169" s="43" t="str">
        <x:v>L2023-00068-1</x:v>
      </x:c>
      <x:c r="B1169" s="46" t="str">
        <x:v>L2023-00068-1/붙임2. Notice of Bid (Draft).doc</x:v>
      </x:c>
      <x:c r="C1169" s="43" t="str">
        <x:v>.doc</x:v>
      </x:c>
      <x:c r="D1169" s="61" t="n">
        <x:v>73728</x:v>
      </x:c>
      <x:c r="E1169" s="61" t="n">
        <x:v>8</x:v>
      </x:c>
      <x:c r="F1169" s="61" t="n">
        <x:v>4</x:v>
      </x:c>
    </x:row>
    <x:row r="1170">
      <x:c r="A1170" s="43" t="str">
        <x:v>L2023-00068-1</x:v>
      </x:c>
      <x:c r="B1170" s="46" t="str">
        <x:v>L2023-00068-1/입찰공고 관련서류 최종본.zip</x:v>
      </x:c>
      <x:c r="C1170" s="43" t="str">
        <x:v>.zip</x:v>
      </x:c>
      <x:c r="D1170" s="61" t="n">
        <x:v>31155736</x:v>
      </x:c>
      <x:c r="E1170" s="61" t="n">
        <x:v>0</x:v>
      </x:c>
      <x:c r="F1170" s="61" t="n">
        <x:v>0</x:v>
      </x:c>
    </x:row>
    <x:row r="1171">
      <x:c r="A1171" s="43" t="str">
        <x:v>L2023-00068-1</x:v>
      </x:c>
      <x:c r="B1171" s="46" t="str">
        <x:v>L2023-00068-1/입찰공고 관련서류 최종본/Section 1 - Instructions to Bidders (ITB).docx</x:v>
      </x:c>
      <x:c r="C1171" s="43" t="str">
        <x:v>.docx</x:v>
      </x:c>
      <x:c r="D1171" s="61" t="n">
        <x:v>32761</x:v>
      </x:c>
      <x:c r="E1171" s="61" t="n">
        <x:v>165</x:v>
      </x:c>
      <x:c r="F1171" s="61" t="n">
        <x:v>0</x:v>
      </x:c>
    </x:row>
    <x:row r="1172">
      <x:c r="A1172" s="43" t="str">
        <x:v>L2023-00068-1</x:v>
      </x:c>
      <x:c r="B1172" s="46" t="str">
        <x:v>L2023-00068-1/입찰공고 관련서류 최종본/Section 2 - Bid Data Sheet (BDS).docx</x:v>
      </x:c>
      <x:c r="C1172" s="43" t="str">
        <x:v>.docx</x:v>
      </x:c>
      <x:c r="D1172" s="61" t="n">
        <x:v>48813</x:v>
      </x:c>
      <x:c r="E1172" s="61" t="n">
        <x:v>206</x:v>
      </x:c>
      <x:c r="F1172" s="61" t="n">
        <x:v>7</x:v>
      </x:c>
    </x:row>
    <x:row r="1173">
      <x:c r="A1173" s="43" t="str">
        <x:v>L2023-00068-1</x:v>
      </x:c>
      <x:c r="B1173" s="46" t="str">
        <x:v>L2023-00068-1/입찰공고 관련서류 최종본/Section 3 - Bidding Forms.docx</x:v>
      </x:c>
      <x:c r="C1173" s="43" t="str">
        <x:v>.docx</x:v>
      </x:c>
      <x:c r="D1173" s="61" t="n">
        <x:v>43667</x:v>
      </x:c>
      <x:c r="E1173" s="61" t="n">
        <x:v>215</x:v>
      </x:c>
      <x:c r="F1173" s="61" t="n">
        <x:v>0</x:v>
      </x:c>
    </x:row>
    <x:row r="1174">
      <x:c r="A1174" s="43" t="str">
        <x:v>L2023-00068-1</x:v>
      </x:c>
      <x:c r="B1174" s="46" t="str">
        <x:v>L2023-00068-1/입찰공고 관련서류 최종본/Section 4 - Bill of Quantity.xlsx</x:v>
      </x:c>
      <x:c r="C1174" s="43" t="str">
        <x:v>.xlsx</x:v>
      </x:c>
      <x:c r="D1174" s="61" t="n">
        <x:v>587287</x:v>
      </x:c>
      <x:c r="E1174" s="61" t="n">
        <x:v>180</x:v>
      </x:c>
      <x:c r="F1174" s="61" t="n">
        <x:v>0</x:v>
      </x:c>
    </x:row>
    <x:row r="1175">
      <x:c r="A1175" s="43" t="str">
        <x:v>L2023-00068-1</x:v>
      </x:c>
      <x:c r="B1175" s="46" t="str">
        <x:v>L2023-00068-1/입찰공고 관련서류 최종본/Section 5 - Drawings.zip</x:v>
      </x:c>
      <x:c r="C1175" s="43" t="str">
        <x:v>.zip</x:v>
      </x:c>
      <x:c r="D1175" s="61" t="n">
        <x:v>25071472</x:v>
      </x:c>
      <x:c r="E1175" s="61" t="n">
        <x:v>0</x:v>
      </x:c>
      <x:c r="F1175" s="61" t="n">
        <x:v>0</x:v>
      </x:c>
    </x:row>
    <x:row r="1176">
      <x:c r="A1176" s="43" t="str">
        <x:v>L2023-00068-1</x:v>
      </x:c>
      <x:c r="B1176" s="46" t="str">
        <x:v>L2023-00068-1/입찰공고 관련서류 최종본/Section 6- Specification.zip</x:v>
      </x:c>
      <x:c r="C1176" s="43" t="str">
        <x:v>.zip</x:v>
      </x:c>
      <x:c r="D1176" s="61" t="n">
        <x:v>4784599</x:v>
      </x:c>
      <x:c r="E1176" s="61" t="n">
        <x:v>0</x:v>
      </x:c>
      <x:c r="F1176" s="61" t="n">
        <x:v>0</x:v>
      </x:c>
    </x:row>
    <x:row r="1177">
      <x:c r="A1177" s="43" t="str">
        <x:v>L2023-00068-1</x:v>
      </x:c>
      <x:c r="B1177" s="46" t="str">
        <x:v>L2023-00068-1/입찰공고 관련서류 최종본/Section 7 - General Conditions of Contract.docx</x:v>
      </x:c>
      <x:c r="C1177" s="43" t="str">
        <x:v>.docx</x:v>
      </x:c>
      <x:c r="D1177" s="61" t="n">
        <x:v>202912</x:v>
      </x:c>
      <x:c r="E1177" s="61" t="n">
        <x:v>1406</x:v>
      </x:c>
      <x:c r="F1177" s="61" t="n">
        <x:v>2</x:v>
      </x:c>
    </x:row>
    <x:row r="1178">
      <x:c r="A1178" s="43" t="str">
        <x:v>L2023-00068-1</x:v>
      </x:c>
      <x:c r="B1178" s="46" t="str">
        <x:v>L2023-00068-1/입찰공고 관련서류 최종본/Section 8 - Special Conditions of Contract R1.docx</x:v>
      </x:c>
      <x:c r="C1178" s="43" t="str">
        <x:v>.docx</x:v>
      </x:c>
      <x:c r="D1178" s="61" t="n">
        <x:v>62653</x:v>
      </x:c>
      <x:c r="E1178" s="61" t="n">
        <x:v>241</x:v>
      </x:c>
      <x:c r="F1178" s="61" t="n">
        <x:v>0</x:v>
      </x:c>
    </x:row>
    <x:row r="1179">
      <x:c r="A1179" s="43" t="str">
        <x:v>L2023-00068-1</x:v>
      </x:c>
      <x:c r="B1179" s="46" t="str">
        <x:v>L2023-00068-1/입찰공고 관련서류 최종본/Section 8- Annex 10. KOICA Safety Management Manual(ENG).pdf</x:v>
      </x:c>
      <x:c r="C1179" s="43" t="str">
        <x:v>.pdf</x:v>
      </x:c>
      <x:c r="D1179" s="61" t="n">
        <x:v>378337</x:v>
      </x:c>
      <x:c r="E1179" s="61" t="n">
        <x:v>37</x:v>
      </x:c>
      <x:c r="F1179" s="61" t="n">
        <x:v>4</x:v>
      </x:c>
    </x:row>
    <x:row r="1180">
      <x:c r="A1180" s="43" t="str">
        <x:v>L2023-00068-1</x:v>
      </x:c>
      <x:c r="B1180" s="46" t="str">
        <x:v>L2023-00068-1/입찰공고 관련서류 최종본/Section 9 - Contract Forms.docx</x:v>
      </x:c>
      <x:c r="C1180" s="43" t="str">
        <x:v>.docx</x:v>
      </x:c>
      <x:c r="D1180" s="61" t="n">
        <x:v>38646</x:v>
      </x:c>
      <x:c r="E1180" s="61" t="n">
        <x:v>30</x:v>
      </x:c>
      <x:c r="F1180" s="61" t="n">
        <x:v>0</x:v>
      </x:c>
    </x:row>
    <x:row r="1181">
      <x:c r="A1181" s="43" t="str">
        <x:v>L2023-00067-1</x:v>
      </x:c>
      <x:c r="B1181" s="46" t="str">
        <x:v>L2023-00067-1/ENG Version.zip</x:v>
      </x:c>
      <x:c r="C1181" s="43" t="str">
        <x:v>.zip</x:v>
      </x:c>
      <x:c r="D1181" s="61" t="n">
        <x:v>13541993</x:v>
      </x:c>
      <x:c r="E1181" s="61" t="n">
        <x:v>0</x:v>
      </x:c>
      <x:c r="F1181" s="61" t="n">
        <x:v>0</x:v>
      </x:c>
    </x:row>
    <x:row r="1182">
      <x:c r="A1182" s="43" t="str">
        <x:v>L2023-00067-1</x:v>
      </x:c>
      <x:c r="B1182" s="46" t="str">
        <x:v>L2023-00067-1/ENG Version/ENG Version/-ENG_Section 2 Bid Data Sheet.docx</x:v>
      </x:c>
      <x:c r="C1182" s="43" t="str">
        <x:v>.docx</x:v>
      </x:c>
      <x:c r="D1182" s="61" t="n">
        <x:v>42946</x:v>
      </x:c>
      <x:c r="E1182" s="61" t="n">
        <x:v>209</x:v>
      </x:c>
      <x:c r="F1182" s="61" t="n">
        <x:v>3</x:v>
      </x:c>
    </x:row>
    <x:row r="1183">
      <x:c r="A1183" s="43" t="str">
        <x:v>L2023-00067-1</x:v>
      </x:c>
      <x:c r="B1183" s="46" t="str">
        <x:v>L2023-00067-1/ENG Version/ENG Version/-ENG_Section 3 - Bidding Forms_Kyrgyz G-Cloud Center.doc</x:v>
      </x:c>
      <x:c r="C1183" s="43" t="str">
        <x:v>.doc</x:v>
      </x:c>
      <x:c r="D1183" s="61" t="n">
        <x:v>195584</x:v>
      </x:c>
      <x:c r="E1183" s="61" t="n">
        <x:v>164</x:v>
      </x:c>
      <x:c r="F1183" s="61" t="n">
        <x:v>1</x:v>
      </x:c>
    </x:row>
    <x:row r="1184">
      <x:c r="A1184" s="43" t="str">
        <x:v>L2023-00067-1</x:v>
      </x:c>
      <x:c r="B1184" s="46" t="str">
        <x:v>L2023-00067-1/ENG Version/ENG Version/-ENG_Section 4_5_6 -Requirements_Kyrgyz G-Cloud Center.docx</x:v>
      </x:c>
      <x:c r="C1184" s="43" t="str">
        <x:v>.docx</x:v>
      </x:c>
      <x:c r="D1184" s="61" t="n">
        <x:v>13213227</x:v>
      </x:c>
      <x:c r="E1184" s="61" t="n">
        <x:v>368</x:v>
      </x:c>
      <x:c r="F1184" s="61" t="n">
        <x:v>0</x:v>
      </x:c>
    </x:row>
    <x:row r="1185">
      <x:c r="A1185" s="43" t="str">
        <x:v>L2023-00067-1</x:v>
      </x:c>
      <x:c r="B1185" s="46" t="str">
        <x:v>L2023-00067-1/ENG Version/ENG Version/ENG_Bid_Document_cover_page_Kyrgyzstan_G_Cloud_Center.doc</x:v>
      </x:c>
      <x:c r="C1185" s="43" t="str">
        <x:v>.doc</x:v>
      </x:c>
      <x:c r="D1185" s="61" t="n">
        <x:v>41984</x:v>
      </x:c>
      <x:c r="E1185" s="61" t="n">
        <x:v>9</x:v>
      </x:c>
      <x:c r="F1185" s="61" t="n">
        <x:v>0</x:v>
      </x:c>
    </x:row>
    <x:row r="1186">
      <x:c r="A1186" s="43" t="str">
        <x:v>L2023-00067-1</x:v>
      </x:c>
      <x:c r="B1186" s="46" t="str">
        <x:v>L2023-00067-1/ENG Version/ENG Version/ENG_Section 1 Instructions_to_Bidders_ITB_Kyrgyzstan_G_Cloud_Center.doc</x:v>
      </x:c>
      <x:c r="C1186" s="43" t="str">
        <x:v>.doc</x:v>
      </x:c>
      <x:c r="D1186" s="61" t="n">
        <x:v>246288</x:v>
      </x:c>
      <x:c r="E1186" s="61" t="n">
        <x:v>38</x:v>
      </x:c>
      <x:c r="F1186" s="61" t="n">
        <x:v>0</x:v>
      </x:c>
    </x:row>
    <x:row r="1187">
      <x:c r="A1187" s="43" t="str">
        <x:v>L2023-00067-1</x:v>
      </x:c>
      <x:c r="B1187" s="46" t="str">
        <x:v>L2023-00067-1/ENG Version/ENG Version/ENG_Section 7 General_Conditions_of_Contract_Kyrgyz_G_Cloud_Center.docx</x:v>
      </x:c>
      <x:c r="C1187" s="43" t="str">
        <x:v>.docx</x:v>
      </x:c>
      <x:c r="D1187" s="61" t="n">
        <x:v>219113</x:v>
      </x:c>
      <x:c r="E1187" s="61" t="n">
        <x:v>1543</x:v>
      </x:c>
      <x:c r="F1187" s="61" t="n">
        <x:v>2</x:v>
      </x:c>
    </x:row>
    <x:row r="1188">
      <x:c r="A1188" s="43" t="str">
        <x:v>L2023-00067-1</x:v>
      </x:c>
      <x:c r="B1188" s="46" t="str">
        <x:v>L2023-00067-1/ENG Version/ENG Version/ENG_Section 8 Special_Conditions_of_Contract_Kyrgyz_G_Cloud_Center.docx</x:v>
      </x:c>
      <x:c r="C1188" s="43" t="str">
        <x:v>.docx</x:v>
      </x:c>
      <x:c r="D1188" s="61" t="n">
        <x:v>72781</x:v>
      </x:c>
      <x:c r="E1188" s="61" t="n">
        <x:v>270</x:v>
      </x:c>
      <x:c r="F1188" s="61" t="n">
        <x:v>1</x:v>
      </x:c>
    </x:row>
    <x:row r="1189">
      <x:c r="A1189" s="43" t="str">
        <x:v>L2023-00067-1</x:v>
      </x:c>
      <x:c r="B1189" s="46" t="str">
        <x:v>L2023-00067-1/ENG Version/ENG Version/ENG_Section 9 Contract_Forms_Kyrgyz_G_Cloud_Center.docx</x:v>
      </x:c>
      <x:c r="C1189" s="43" t="str">
        <x:v>.docx</x:v>
      </x:c>
      <x:c r="D1189" s="61" t="n">
        <x:v>38461</x:v>
      </x:c>
      <x:c r="E1189" s="61" t="n">
        <x:v>30</x:v>
      </x:c>
      <x:c r="F1189" s="61" t="n">
        <x:v>0</x:v>
      </x:c>
    </x:row>
    <x:row r="1190">
      <x:c r="A1190" s="43" t="str">
        <x:v>L2023-00067-1</x:v>
      </x:c>
      <x:c r="B1190" s="46" t="str">
        <x:v>L2023-00067-1/RUS Version.zip</x:v>
      </x:c>
      <x:c r="C1190" s="43" t="str">
        <x:v>.zip</x:v>
      </x:c>
      <x:c r="D1190" s="61" t="n">
        <x:v>13540704</x:v>
      </x:c>
      <x:c r="E1190" s="61" t="n">
        <x:v>0</x:v>
      </x:c>
      <x:c r="F1190" s="61" t="n">
        <x:v>0</x:v>
      </x:c>
    </x:row>
    <x:row r="1191">
      <x:c r="A1191" s="43" t="str">
        <x:v>L2023-00067-1</x:v>
      </x:c>
      <x:c r="B1191" s="46" t="str">
        <x:v>L2023-00067-1/RUS Version/RUS Version/RUS_Bid Document cover page_Kyrgyzstan(G-Cloud center).docx</x:v>
      </x:c>
      <x:c r="C1191" s="43" t="str">
        <x:v>.docx</x:v>
      </x:c>
      <x:c r="D1191" s="61" t="n">
        <x:v>18589</x:v>
      </x:c>
      <x:c r="E1191" s="61" t="n">
        <x:v>2</x:v>
      </x:c>
      <x:c r="F1191" s="61" t="n">
        <x:v>0</x:v>
      </x:c>
    </x:row>
    <x:row r="1192">
      <x:c r="A1192" s="43" t="str">
        <x:v>L2023-00067-1</x:v>
      </x:c>
      <x:c r="B1192" s="46" t="str">
        <x:v>L2023-00067-1/RUS Version/RUS Version/RUS_Section 1 - Instructions to Bidders (ITB).docx</x:v>
      </x:c>
      <x:c r="C1192" s="43" t="str">
        <x:v>.docx</x:v>
      </x:c>
      <x:c r="D1192" s="61" t="n">
        <x:v>40163</x:v>
      </x:c>
      <x:c r="E1192" s="61" t="n">
        <x:v>165</x:v>
      </x:c>
      <x:c r="F1192" s="61" t="n">
        <x:v>0</x:v>
      </x:c>
    </x:row>
    <x:row r="1193">
      <x:c r="A1193" s="43" t="str">
        <x:v>L2023-00067-1</x:v>
      </x:c>
      <x:c r="B1193" s="46" t="str">
        <x:v>L2023-00067-1/RUS Version/RUS Version/RUS_Section 2 Bid Data Sheet.docx</x:v>
      </x:c>
      <x:c r="C1193" s="43" t="str">
        <x:v>.docx</x:v>
      </x:c>
      <x:c r="D1193" s="61" t="n">
        <x:v>54320</x:v>
      </x:c>
      <x:c r="E1193" s="61" t="n">
        <x:v>208</x:v>
      </x:c>
      <x:c r="F1193" s="61" t="n">
        <x:v>0</x:v>
      </x:c>
    </x:row>
    <x:row r="1194">
      <x:c r="A1194" s="43" t="str">
        <x:v>L2023-00067-1</x:v>
      </x:c>
      <x:c r="B1194" s="46" t="str">
        <x:v>L2023-00067-1/RUS Version/RUS Version/RUS_Section 3 - Bidding Forms_Kyrgyz G-Cloud Center.doc</x:v>
      </x:c>
      <x:c r="C1194" s="43" t="str">
        <x:v>.doc</x:v>
      </x:c>
      <x:c r="D1194" s="61" t="n">
        <x:v>248320</x:v>
      </x:c>
      <x:c r="E1194" s="61" t="n">
        <x:v>163</x:v>
      </x:c>
      <x:c r="F1194" s="61" t="n">
        <x:v>0</x:v>
      </x:c>
    </x:row>
    <x:row r="1195">
      <x:c r="A1195" s="43" t="str">
        <x:v>L2023-00067-1</x:v>
      </x:c>
      <x:c r="B1195" s="46" t="str">
        <x:v>L2023-00067-1/RUS Version/RUS Version/RUS_Section 4_5_6 -Requirements_Kyrgyz G-Cloud Center.docx</x:v>
      </x:c>
      <x:c r="C1195" s="43" t="str">
        <x:v>.docx</x:v>
      </x:c>
      <x:c r="D1195" s="61" t="n">
        <x:v>13227009</x:v>
      </x:c>
      <x:c r="E1195" s="61" t="n">
        <x:v>368</x:v>
      </x:c>
      <x:c r="F1195" s="61" t="n">
        <x:v>0</x:v>
      </x:c>
    </x:row>
    <x:row r="1196">
      <x:c r="A1196" s="43" t="str">
        <x:v>L2023-00067-1</x:v>
      </x:c>
      <x:c r="B1196" s="46" t="str">
        <x:v>L2023-00067-1/RUS Version/RUS Version/RUS_Section 7 - General Conditions of Contract_Kyrgyz.docx</x:v>
      </x:c>
      <x:c r="C1196" s="43" t="str">
        <x:v>.docx</x:v>
      </x:c>
      <x:c r="D1196" s="61" t="n">
        <x:v>201734</x:v>
      </x:c>
      <x:c r="E1196" s="61" t="n">
        <x:v>1542</x:v>
      </x:c>
      <x:c r="F1196" s="61" t="n">
        <x:v>0</x:v>
      </x:c>
    </x:row>
    <x:row r="1197">
      <x:c r="A1197" s="43" t="str">
        <x:v>L2023-00067-1</x:v>
      </x:c>
      <x:c r="B1197" s="46" t="str">
        <x:v>L2023-00067-1/RUS Version/RUS Version/RUS_Section 8 - Special Conditions of Contract_Kyrgyz.docx</x:v>
      </x:c>
      <x:c r="C1197" s="43" t="str">
        <x:v>.docx</x:v>
      </x:c>
      <x:c r="D1197" s="61" t="n">
        <x:v>57782</x:v>
      </x:c>
      <x:c r="E1197" s="61" t="n">
        <x:v>267</x:v>
      </x:c>
      <x:c r="F1197" s="61" t="n">
        <x:v>0</x:v>
      </x:c>
    </x:row>
    <x:row r="1198">
      <x:c r="A1198" s="43" t="str">
        <x:v>L2023-00067-1</x:v>
      </x:c>
      <x:c r="B1198" s="46" t="str">
        <x:v>L2023-00067-1/RUS Version/RUS Version/RUS_Section 9 - Contract Forms_Kyrgyz.docx</x:v>
      </x:c>
      <x:c r="C1198" s="43" t="str">
        <x:v>.docx</x:v>
      </x:c>
      <x:c r="D1198" s="61" t="n">
        <x:v>18381</x:v>
      </x:c>
      <x:c r="E1198" s="61" t="n">
        <x:v>30</x:v>
      </x:c>
      <x:c r="F1198" s="61" t="n">
        <x:v>0</x:v>
      </x:c>
    </x:row>
    <x:row r="1199">
      <x:c r="A1199" s="43" t="str">
        <x:v>L2023-00065-1</x:v>
      </x:c>
      <x:c r="B1199" s="46" t="str">
        <x:v>L2023-00065-1/(attached) Pre_school_Education_Complex_Constsruction_Supervision_Contractor.zip</x:v>
      </x:c>
      <x:c r="C1199" s="43" t="str">
        <x:v>.zip</x:v>
      </x:c>
      <x:c r="D1199" s="61" t="n">
        <x:v>369842</x:v>
      </x:c>
      <x:c r="E1199" s="61" t="n">
        <x:v>0</x:v>
      </x:c>
      <x:c r="F1199" s="61" t="n">
        <x:v>0</x:v>
      </x:c>
    </x:row>
    <x:row r="1200">
      <x:c r="A1200" s="43" t="str">
        <x:v>L2023-00065-1</x:v>
      </x:c>
      <x:c r="B1200" s="46" t="str">
        <x:v>L2023-00065-1/(attached) Pre_school_Education_Complex_Constsruction_Supervision_Contractor/Section 1 – ITB (Instruction To the Bidders).rtf</x:v>
      </x:c>
      <x:c r="C1200" s="43" t="str">
        <x:v>.rtf</x:v>
      </x:c>
      <x:c r="D1200" s="61" t="n">
        <x:v>224132</x:v>
      </x:c>
      <x:c r="E1200" s="61" t="n">
        <x:v>0</x:v>
      </x:c>
      <x:c r="F1200" s="61" t="n">
        <x:v>0</x:v>
      </x:c>
    </x:row>
    <x:row r="1201">
      <x:c r="A1201" s="43" t="str">
        <x:v>L2023-00065-1</x:v>
      </x:c>
      <x:c r="B1201" s="46" t="str">
        <x:v>L2023-00065-1/(attached) Pre_school_Education_Complex_Constsruction_Supervision_Contractor/Section 2 - Bid Data Sheet (BDS).docx</x:v>
      </x:c>
      <x:c r="C1201" s="43" t="str">
        <x:v>.docx</x:v>
      </x:c>
      <x:c r="D1201" s="61" t="n">
        <x:v>82932</x:v>
      </x:c>
      <x:c r="E1201" s="61" t="n">
        <x:v>289</x:v>
      </x:c>
      <x:c r="F1201" s="61" t="n">
        <x:v>2</x:v>
      </x:c>
    </x:row>
    <x:row r="1202">
      <x:c r="A1202" s="43" t="str">
        <x:v>L2023-00065-1</x:v>
      </x:c>
      <x:c r="B1202" s="46" t="str">
        <x:v>L2023-00065-1/(attached) Pre_school_Education_Complex_Constsruction_Supervision_Contractor/Section 3 - Bidding Forms.docx</x:v>
      </x:c>
      <x:c r="C1202" s="43" t="str">
        <x:v>.docx</x:v>
      </x:c>
      <x:c r="D1202" s="61" t="n">
        <x:v>69265</x:v>
      </x:c>
      <x:c r="E1202" s="61" t="n">
        <x:v>428</x:v>
      </x:c>
      <x:c r="F1202" s="61" t="n">
        <x:v>0</x:v>
      </x:c>
    </x:row>
    <x:row r="1203">
      <x:c r="A1203" s="43" t="str">
        <x:v>L2023-00065-1</x:v>
      </x:c>
      <x:c r="B1203" s="46" t="str">
        <x:v>L2023-00065-1/(attached) Pre_school_Education_Complex_Constsruction_Supervision_Contractor/Section 4 – The Bill of Quantity.xlsx</x:v>
      </x:c>
      <x:c r="C1203" s="43" t="str">
        <x:v>.xlsx</x:v>
      </x:c>
      <x:c r="D1203" s="61" t="n">
        <x:v>13063</x:v>
      </x:c>
      <x:c r="E1203" s="61" t="n">
        <x:v>19</x:v>
      </x:c>
      <x:c r="F1203" s="61" t="n">
        <x:v>0</x:v>
      </x:c>
    </x:row>
    <x:row r="1204">
      <x:c r="A1204" s="43" t="str">
        <x:v>L2023-00065-1</x:v>
      </x:c>
      <x:c r="B1204" s="46" t="str">
        <x:v>L2023-00065-1/(attached) Pre_school_Education_Complex_Constsruction_Supervision_Contractor/Section 5 - Request For Proposal.docx</x:v>
      </x:c>
      <x:c r="C1204" s="43" t="str">
        <x:v>.docx</x:v>
      </x:c>
      <x:c r="D1204" s="61" t="n">
        <x:v>91125</x:v>
      </x:c>
      <x:c r="E1204" s="61" t="n">
        <x:v>412</x:v>
      </x:c>
      <x:c r="F1204" s="61" t="n">
        <x:v>1</x:v>
      </x:c>
    </x:row>
    <x:row r="1205">
      <x:c r="A1205" s="43" t="str">
        <x:v>L2023-00065-1</x:v>
      </x:c>
      <x:c r="B1205" s="46" t="str">
        <x:v>L2023-00065-1/(attached) Pre_school_Education_Complex_Constsruction_Supervision_Contractor/Section 6 - Scope of Construction Supervision Services.docx</x:v>
      </x:c>
      <x:c r="C1205" s="43" t="str">
        <x:v>.docx</x:v>
      </x:c>
      <x:c r="D1205" s="61" t="n">
        <x:v>31480</x:v>
      </x:c>
      <x:c r="E1205" s="61" t="n">
        <x:v>130</x:v>
      </x:c>
      <x:c r="F1205" s="61" t="n">
        <x:v>1</x:v>
      </x:c>
    </x:row>
    <x:row r="1206">
      <x:c r="A1206" s="43" t="str">
        <x:v>L2023-00065-1</x:v>
      </x:c>
      <x:c r="B1206" s="46" t="str">
        <x:v>L2023-00065-1/(attached) Pre_school_Education_Complex_Constsruction_Supervision_Contractor/Section 7 – GCC (General Conditions of Contract).rtf</x:v>
      </x:c>
      <x:c r="C1206" s="43" t="str">
        <x:v>.rtf</x:v>
      </x:c>
      <x:c r="D1206" s="61" t="n">
        <x:v>195109</x:v>
      </x:c>
      <x:c r="E1206" s="61" t="n">
        <x:v>0</x:v>
      </x:c>
      <x:c r="F1206" s="61" t="n">
        <x:v>0</x:v>
      </x:c>
    </x:row>
    <x:row r="1207">
      <x:c r="A1207" s="43" t="str">
        <x:v>L2023-00065-1</x:v>
      </x:c>
      <x:c r="B1207" s="46" t="str">
        <x:v>L2023-00065-1/(attached) Pre_school_Education_Complex_Constsruction_Supervision_Contractor/Section 8 - Specail Conditions of Contract.docx</x:v>
      </x:c>
      <x:c r="C1207" s="43" t="str">
        <x:v>.docx</x:v>
      </x:c>
      <x:c r="D1207" s="61" t="n">
        <x:v>29228</x:v>
      </x:c>
      <x:c r="E1207" s="61" t="n">
        <x:v>75</x:v>
      </x:c>
      <x:c r="F1207" s="61" t="n">
        <x:v>0</x:v>
      </x:c>
    </x:row>
    <x:row r="1208">
      <x:c r="A1208" s="43" t="str">
        <x:v>L2023-00065-1</x:v>
      </x:c>
      <x:c r="B1208" s="46" t="str">
        <x:v>L2023-00065-1/(attached) Pre_school_Education_Complex_Constsruction_Supervision_Contractor/Section 9 – Contract Form(Cover Sheet).docx</x:v>
      </x:c>
      <x:c r="C1208" s="43" t="str">
        <x:v>.docx</x:v>
      </x:c>
      <x:c r="D1208" s="61" t="n">
        <x:v>24005</x:v>
      </x:c>
      <x:c r="E1208" s="61" t="n">
        <x:v>37</x:v>
      </x:c>
      <x:c r="F1208" s="61" t="n">
        <x:v>1</x:v>
      </x:c>
    </x:row>
    <x:row r="1209">
      <x:c r="A1209" s="43" t="str">
        <x:v>L2023-00065-1</x:v>
      </x:c>
      <x:c r="B1209" s="46" t="str">
        <x:v>L2023-00065-1/BID Announcement (English).docx</x:v>
      </x:c>
      <x:c r="C1209" s="43" t="str">
        <x:v>.docx</x:v>
      </x:c>
      <x:c r="D1209" s="61" t="n">
        <x:v>102142</x:v>
      </x:c>
      <x:c r="E1209" s="61" t="n">
        <x:v>72</x:v>
      </x:c>
      <x:c r="F1209" s="61" t="n">
        <x:v>2</x:v>
      </x:c>
    </x:row>
    <x:row r="1210">
      <x:c r="A1210" s="43" t="str">
        <x:v>L2023-00065-1</x:v>
      </x:c>
      <x:c r="B1210" s="46" t="str">
        <x:v>L2023-00065-1/BID_Announcement_Daily_News_of_Korean_Residents.docx</x:v>
      </x:c>
      <x:c r="C1210" s="43" t="str">
        <x:v>.docx</x:v>
      </x:c>
      <x:c r="D1210" s="61" t="n">
        <x:v>33976</x:v>
      </x:c>
      <x:c r="E1210" s="61" t="n">
        <x:v>25</x:v>
      </x:c>
      <x:c r="F1210" s="61" t="n">
        <x:v>3</x:v>
      </x:c>
    </x:row>
    <x:row r="1211">
      <x:c r="A1211" s="43" t="str">
        <x:v>L2023-00065-1</x:v>
      </x:c>
      <x:c r="B1211" s="46" t="str">
        <x:v>L2023-00065-1/Letter of Interest.docx</x:v>
      </x:c>
      <x:c r="C1211" s="43" t="str">
        <x:v>.docx</x:v>
      </x:c>
      <x:c r="D1211" s="61" t="n">
        <x:v>18338</x:v>
      </x:c>
      <x:c r="E1211" s="61" t="n">
        <x:v>16</x:v>
      </x:c>
      <x:c r="F1211" s="61" t="n">
        <x:v>0</x:v>
      </x:c>
    </x:row>
    <x:row r="1212">
      <x:c r="A1212" s="43" t="str">
        <x:v>L2023-00065-1</x:v>
      </x:c>
      <x:c r="B1212" s="46" t="str">
        <x:v>L2023-00065-1/Pre-Bid Explaination Meeting PPT.pptx</x:v>
      </x:c>
      <x:c r="C1212" s="43" t="str">
        <x:v>.pptx</x:v>
      </x:c>
      <x:c r="D1212" s="61" t="n">
        <x:v>2996234</x:v>
      </x:c>
      <x:c r="E1212" s="61" t="n">
        <x:v>14</x:v>
      </x:c>
      <x:c r="F1212" s="61" t="n">
        <x:v>5</x:v>
      </x:c>
    </x:row>
    <x:row r="1213">
      <x:c r="A1213" s="43" t="str">
        <x:v>L2023-00061-1</x:v>
      </x:c>
      <x:c r="B1213" s="46" t="str">
        <x:v>L2023-00061-1/붙임 1. 입찰 계획서(안).hwp</x:v>
      </x:c>
      <x:c r="C1213" s="43" t="str">
        <x:v>.hwp</x:v>
      </x:c>
      <x:c r="D1213" s="61" t="n">
        <x:v>450048</x:v>
      </x:c>
      <x:c r="E1213" s="61" t="n">
        <x:v>876</x:v>
      </x:c>
      <x:c r="F1213" s="61" t="n">
        <x:v>7</x:v>
      </x:c>
    </x:row>
    <x:row r="1214">
      <x:c r="A1214" s="43" t="str">
        <x:v>L2023-00061-1</x:v>
      </x:c>
      <x:c r="B1214" s="46" t="str">
        <x:v>L2023-00061-1/붙임 2. 입찰 공고문.zip</x:v>
      </x:c>
      <x:c r="C1214" s="43" t="str">
        <x:v>.zip</x:v>
      </x:c>
      <x:c r="D1214" s="61" t="n">
        <x:v>48994</x:v>
      </x:c>
      <x:c r="E1214" s="61" t="n">
        <x:v>0</x:v>
      </x:c>
      <x:c r="F1214" s="61" t="n">
        <x:v>0</x:v>
      </x:c>
    </x:row>
    <x:row r="1215">
      <x:c r="A1215" s="43" t="str">
        <x:v>L2023-00061-1</x:v>
      </x:c>
      <x:c r="B1215" s="46" t="str">
        <x:v>L2023-00061-1/붙임 2. 입찰 공고문/(form) Letter of Interest.docx</x:v>
      </x:c>
      <x:c r="C1215" s="43" t="str">
        <x:v>.docx</x:v>
      </x:c>
      <x:c r="D1215" s="61" t="n">
        <x:v>19965</x:v>
      </x:c>
      <x:c r="E1215" s="61" t="n">
        <x:v>16</x:v>
      </x:c>
      <x:c r="F1215" s="61" t="n">
        <x:v>0</x:v>
      </x:c>
    </x:row>
    <x:row r="1216">
      <x:c r="A1216" s="43" t="str">
        <x:v>L2023-00061-1</x:v>
      </x:c>
      <x:c r="B1216" s="46" t="str">
        <x:v>L2023-00061-1/붙임 2. 입찰 공고문/1. Invitation for Bid_2023.9..docx</x:v>
      </x:c>
      <x:c r="C1216" s="43" t="str">
        <x:v>.docx</x:v>
      </x:c>
      <x:c r="D1216" s="61" t="n">
        <x:v>35113</x:v>
      </x:c>
      <x:c r="E1216" s="61" t="n">
        <x:v>58</x:v>
      </x:c>
      <x:c r="F1216" s="61" t="n">
        <x:v>3</x:v>
      </x:c>
    </x:row>
    <x:row r="1217">
      <x:c r="A1217" s="43" t="str">
        <x:v>L2023-00061-1</x:v>
      </x:c>
      <x:c r="B1217" s="46" t="str">
        <x:v>L2023-00061-1/붙임 3. 입찰 문서.zip</x:v>
      </x:c>
      <x:c r="C1217" s="43" t="str">
        <x:v>.zip</x:v>
      </x:c>
      <x:c r="D1217" s="61" t="n">
        <x:v>9810860</x:v>
      </x:c>
      <x:c r="E1217" s="61" t="n">
        <x:v>0</x:v>
      </x:c>
      <x:c r="F1217" s="61" t="n">
        <x:v>0</x:v>
      </x:c>
    </x:row>
    <x:row r="1218">
      <x:c r="A1218" s="43" t="str">
        <x:v>L2023-00061-1</x:v>
      </x:c>
      <x:c r="B1218" s="46" t="str">
        <x:v>L2023-00061-1/붙임 3. 입찰 문서/Other - KOICA procurement guideline and regulation.zip</x:v>
      </x:c>
      <x:c r="C1218" s="43" t="str">
        <x:v>.zip</x:v>
      </x:c>
      <x:c r="D1218" s="61" t="n">
        <x:v>1336133</x:v>
      </x:c>
      <x:c r="E1218" s="61" t="n">
        <x:v>0</x:v>
      </x:c>
      <x:c r="F1218" s="61" t="n">
        <x:v>0</x:v>
      </x:c>
    </x:row>
    <x:row r="1219">
      <x:c r="A1219" s="43" t="str">
        <x:v>L2023-00061-1</x:v>
      </x:c>
      <x:c r="B1219" s="46" t="str">
        <x:v>L2023-00061-1/붙임 3. 입찰 문서/Section 0 - Bidding Cover.docx</x:v>
      </x:c>
      <x:c r="C1219" s="43" t="str">
        <x:v>.docx</x:v>
      </x:c>
      <x:c r="D1219" s="61" t="n">
        <x:v>16485</x:v>
      </x:c>
      <x:c r="E1219" s="61" t="n">
        <x:v>27</x:v>
      </x:c>
      <x:c r="F1219" s="61" t="n">
        <x:v>0</x:v>
      </x:c>
    </x:row>
    <x:row r="1220">
      <x:c r="A1220" s="43" t="str">
        <x:v>L2023-00061-1</x:v>
      </x:c>
      <x:c r="B1220" s="46" t="str">
        <x:v>L2023-00061-1/붙임 3. 입찰 문서/Section 1 - Instructions to Bidders (ITB)_┐÷╡σ║»╚».docx</x:v>
      </x:c>
      <x:c r="C1220" s="43" t="str">
        <x:v>.docx</x:v>
      </x:c>
      <x:c r="D1220" s="61" t="n">
        <x:v>31329</x:v>
      </x:c>
      <x:c r="E1220" s="61" t="n">
        <x:v>161</x:v>
      </x:c>
      <x:c r="F1220" s="61" t="n">
        <x:v>0</x:v>
      </x:c>
    </x:row>
    <x:row r="1221">
      <x:c r="A1221" s="43" t="str">
        <x:v>L2023-00061-1</x:v>
      </x:c>
      <x:c r="B1221" s="46" t="str">
        <x:v>L2023-00061-1/붙임 3. 입찰 문서/Section 2 - Bidding Data Sheet.docx</x:v>
      </x:c>
      <x:c r="C1221" s="43" t="str">
        <x:v>.docx</x:v>
      </x:c>
      <x:c r="D1221" s="61" t="n">
        <x:v>3174680</x:v>
      </x:c>
      <x:c r="E1221" s="61" t="n">
        <x:v>294</x:v>
      </x:c>
      <x:c r="F1221" s="61" t="n">
        <x:v>3</x:v>
      </x:c>
    </x:row>
    <x:row r="1222">
      <x:c r="A1222" s="43" t="str">
        <x:v>L2023-00061-1</x:v>
      </x:c>
      <x:c r="B1222" s="46" t="str">
        <x:v>L2023-00061-1/붙임 3. 입찰 문서/Section 3 - Bidding Forms.docx</x:v>
      </x:c>
      <x:c r="C1222" s="43" t="str">
        <x:v>.docx</x:v>
      </x:c>
      <x:c r="D1222" s="61" t="n">
        <x:v>48199</x:v>
      </x:c>
      <x:c r="E1222" s="61" t="n">
        <x:v>229</x:v>
      </x:c>
      <x:c r="F1222" s="61" t="n">
        <x:v>0</x:v>
      </x:c>
    </x:row>
    <x:row r="1223">
      <x:c r="A1223" s="43" t="str">
        <x:v>L2023-00061-1</x:v>
      </x:c>
      <x:c r="B1223" s="46" t="str">
        <x:v>L2023-00061-1/붙임 3. 입찰 문서/Section 4 - Request for Proposal.docx</x:v>
      </x:c>
      <x:c r="C1223" s="43" t="str">
        <x:v>.docx</x:v>
      </x:c>
      <x:c r="D1223" s="61" t="n">
        <x:v>3955532</x:v>
      </x:c>
      <x:c r="E1223" s="61" t="n">
        <x:v>387</x:v>
      </x:c>
      <x:c r="F1223" s="61" t="n">
        <x:v>31</x:v>
      </x:c>
    </x:row>
    <x:row r="1224">
      <x:c r="A1224" s="43" t="str">
        <x:v>L2023-00061-1</x:v>
      </x:c>
      <x:c r="B1224" s="46" t="str">
        <x:v>L2023-00061-1/붙임 3. 입찰 문서/Section 5 - Construction Supervision Forms.docx</x:v>
      </x:c>
      <x:c r="C1224" s="43" t="str">
        <x:v>.docx</x:v>
      </x:c>
      <x:c r="D1224" s="61" t="n">
        <x:v>21655</x:v>
      </x:c>
      <x:c r="E1224" s="61" t="n">
        <x:v>110</x:v>
      </x:c>
      <x:c r="F1224" s="61" t="n">
        <x:v>0</x:v>
      </x:c>
    </x:row>
    <x:row r="1225">
      <x:c r="A1225" s="43" t="str">
        <x:v>L2023-00061-1</x:v>
      </x:c>
      <x:c r="B1225" s="46" t="str">
        <x:v>L2023-00061-1/붙임 3. 입찰 문서/Section 5 - Space Program reference.pdf</x:v>
      </x:c>
      <x:c r="C1225" s="43" t="str">
        <x:v>.pdf</x:v>
      </x:c>
      <x:c r="D1225" s="61" t="n">
        <x:v>1147665</x:v>
      </x:c>
      <x:c r="E1225" s="61" t="n">
        <x:v>14</x:v>
      </x:c>
      <x:c r="F1225" s="61" t="n">
        <x:v>6</x:v>
      </x:c>
    </x:row>
    <x:row r="1226">
      <x:c r="A1226" s="43" t="str">
        <x:v>L2023-00061-1</x:v>
      </x:c>
      <x:c r="B1226" s="46" t="str">
        <x:v>L2023-00061-1/붙임 3. 입찰 문서/Section 5 - Spcae Program reference addendum.pdf</x:v>
      </x:c>
      <x:c r="C1226" s="43" t="str">
        <x:v>.pdf</x:v>
      </x:c>
      <x:c r="D1226" s="61" t="n">
        <x:v>192204</x:v>
      </x:c>
      <x:c r="E1226" s="61" t="n">
        <x:v>3</x:v>
      </x:c>
      <x:c r="F1226" s="61" t="n">
        <x:v>0</x:v>
      </x:c>
    </x:row>
    <x:row r="1227">
      <x:c r="A1227" s="43" t="str">
        <x:v>L2023-00061-1</x:v>
      </x:c>
      <x:c r="B1227" s="46" t="str">
        <x:v>L2023-00061-1/붙임 3. 입찰 문서/Section 6 - General Conditions of Contract_┐÷╡σ║»╚».docx</x:v>
      </x:c>
      <x:c r="C1227" s="43" t="str">
        <x:v>.docx</x:v>
      </x:c>
      <x:c r="D1227" s="61" t="n">
        <x:v>29144</x:v>
      </x:c>
      <x:c r="E1227" s="61" t="n">
        <x:v>175</x:v>
      </x:c>
      <x:c r="F1227" s="61" t="n">
        <x:v>0</x:v>
      </x:c>
    </x:row>
    <x:row r="1228">
      <x:c r="A1228" s="43" t="str">
        <x:v>L2023-00061-1</x:v>
      </x:c>
      <x:c r="B1228" s="46" t="str">
        <x:v>L2023-00061-1/붙임 3. 입찰 문서/Section 7 - Special Conditions of Contract_┐÷╡σ║»╚».docx</x:v>
      </x:c>
      <x:c r="C1228" s="43" t="str">
        <x:v>.docx</x:v>
      </x:c>
      <x:c r="D1228" s="61" t="n">
        <x:v>25382</x:v>
      </x:c>
      <x:c r="E1228" s="61" t="n">
        <x:v>41</x:v>
      </x:c>
      <x:c r="F1228" s="61" t="n">
        <x:v>0</x:v>
      </x:c>
    </x:row>
    <x:row r="1229">
      <x:c r="A1229" s="43" t="str">
        <x:v>L2023-00061-1</x:v>
      </x:c>
      <x:c r="B1229" s="46" t="str">
        <x:v>L2023-00061-1/붙임 3. 입찰 문서/Section 8 - Contract for International Consultant Services_┐÷╡σ║»╚».docx</x:v>
      </x:c>
      <x:c r="C1229" s="43" t="str">
        <x:v>.docx</x:v>
      </x:c>
      <x:c r="D1229" s="61" t="n">
        <x:v>15843</x:v>
      </x:c>
      <x:c r="E1229" s="61" t="n">
        <x:v>33</x:v>
      </x:c>
      <x:c r="F1229" s="61" t="n">
        <x:v>0</x:v>
      </x:c>
    </x:row>
    <x:row r="1230">
      <x:c r="A1230" s="43" t="str">
        <x:v>L2023-00061-1</x:v>
      </x:c>
      <x:c r="B1230" s="46" t="str">
        <x:v>L2023-00061-1/붙임 4. 입찰 공고 견적.zip</x:v>
      </x:c>
      <x:c r="C1230" s="43" t="str">
        <x:v>.zip</x:v>
      </x:c>
      <x:c r="D1230" s="61" t="n">
        <x:v>1867235</x:v>
      </x:c>
      <x:c r="E1230" s="61" t="n">
        <x:v>0</x:v>
      </x:c>
      <x:c r="F1230" s="61" t="n">
        <x:v>0</x:v>
      </x:c>
    </x:row>
    <x:row r="1231">
      <x:c r="A1231" s="43" t="str">
        <x:v>L2023-00061-1</x:v>
      </x:c>
      <x:c r="B1231" s="46" t="str">
        <x:v>L2023-00061-1/붙임 4. 입찰 공고 견적/2Merkato.pdf</x:v>
      </x:c>
      <x:c r="C1231" s="43" t="str">
        <x:v>.pdf</x:v>
      </x:c>
      <x:c r="D1231" s="61" t="n">
        <x:v>543672</x:v>
      </x:c>
      <x:c r="E1231" s="61" t="n">
        <x:v>1</x:v>
      </x:c>
      <x:c r="F1231" s="61" t="n">
        <x:v>0</x:v>
      </x:c>
    </x:row>
    <x:row r="1232">
      <x:c r="A1232" s="43" t="str">
        <x:v>L2023-00061-1</x:v>
      </x:c>
      <x:c r="B1232" s="46" t="str">
        <x:v>L2023-00061-1/붙임 4. 입찰 공고 견적/The Reporter.pdf</x:v>
      </x:c>
      <x:c r="C1232" s="43" t="str">
        <x:v>.pdf</x:v>
      </x:c>
      <x:c r="D1232" s="61" t="n">
        <x:v>1405670</x:v>
      </x:c>
      <x:c r="E1232" s="61" t="n">
        <x:v>2</x:v>
      </x:c>
      <x:c r="F1232" s="61" t="n">
        <x:v>2</x:v>
      </x:c>
    </x:row>
    <x:row r="1233">
      <x:c r="A1233" s="43" t="str">
        <x:v>L2023-00061-1</x:v>
      </x:c>
      <x:c r="B1233" s="46" t="str">
        <x:v>L2023-00061-1/붙임 5. 주재국 조달 지침(Federal Procument Directive).pdf</x:v>
      </x:c>
      <x:c r="C1233" s="43" t="str">
        <x:v>.pdf</x:v>
      </x:c>
      <x:c r="D1233" s="61" t="n">
        <x:v>426307</x:v>
      </x:c>
      <x:c r="E1233" s="61" t="n">
        <x:v>132</x:v>
      </x:c>
      <x:c r="F1233" s="61" t="n">
        <x:v>7</x:v>
      </x:c>
    </x:row>
    <x:row r="1234">
      <x:c r="A1234" s="43" t="str">
        <x:v>L2023-00060-1</x:v>
      </x:c>
      <x:c r="B1234" s="46" t="str">
        <x:v>L2023-00060-1/붙임 1. 입찰공고문 및 서류_영문.zip</x:v>
      </x:c>
      <x:c r="C1234" s="43" t="str">
        <x:v>.zip</x:v>
      </x:c>
      <x:c r="D1234" s="61" t="n">
        <x:v>1111290</x:v>
      </x:c>
      <x:c r="E1234" s="61" t="n">
        <x:v>0</x:v>
      </x:c>
      <x:c r="F1234" s="61" t="n">
        <x:v>0</x:v>
      </x:c>
    </x:row>
    <x:row r="1235">
      <x:c r="A1235" s="43" t="str">
        <x:v>L2023-00060-1</x:v>
      </x:c>
      <x:c r="B1235" s="46" t="str">
        <x:v>L2023-00060-1/붙임 1. 입찰공고문 및 서류_영문/Section 1 - Instructions to Bidders (ITB)_eng.doc</x:v>
      </x:c>
      <x:c r="C1235" s="43" t="str">
        <x:v>.doc</x:v>
      </x:c>
      <x:c r="D1235" s="61" t="n">
        <x:v>128000</x:v>
      </x:c>
      <x:c r="E1235" s="61" t="n">
        <x:v>29</x:v>
      </x:c>
      <x:c r="F1235" s="61" t="n">
        <x:v>0</x:v>
      </x:c>
    </x:row>
    <x:row r="1236">
      <x:c r="A1236" s="43" t="str">
        <x:v>L2023-00060-1</x:v>
      </x:c>
      <x:c r="B1236" s="46" t="str">
        <x:v>L2023-00060-1/붙임 1. 입찰공고문 및 서류_영문/Section 2 - Bid data sheet_eng.doc</x:v>
      </x:c>
      <x:c r="C1236" s="43" t="str">
        <x:v>.doc</x:v>
      </x:c>
      <x:c r="D1236" s="61" t="n">
        <x:v>805376</x:v>
      </x:c>
      <x:c r="E1236" s="61" t="n">
        <x:v>70</x:v>
      </x:c>
      <x:c r="F1236" s="61" t="n">
        <x:v>6</x:v>
      </x:c>
    </x:row>
    <x:row r="1237">
      <x:c r="A1237" s="43" t="str">
        <x:v>L2023-00060-1</x:v>
      </x:c>
      <x:c r="B1237" s="46" t="str">
        <x:v>L2023-00060-1/붙임 1. 입찰공고문 및 서류_영문/Section 3 - Bidding Forms_eng.docx</x:v>
      </x:c>
      <x:c r="C1237" s="43" t="str">
        <x:v>.docx</x:v>
      </x:c>
      <x:c r="D1237" s="61" t="n">
        <x:v>66238</x:v>
      </x:c>
      <x:c r="E1237" s="61" t="n">
        <x:v>232</x:v>
      </x:c>
      <x:c r="F1237" s="61" t="n">
        <x:v>0</x:v>
      </x:c>
    </x:row>
    <x:row r="1238">
      <x:c r="A1238" s="43" t="str">
        <x:v>L2023-00060-1</x:v>
      </x:c>
      <x:c r="B1238" s="46" t="str">
        <x:v>L2023-00060-1/붙임 1. 입찰공고문 및 서류_영문/Section 7 - General Conditions of Contract_eng.docx</x:v>
      </x:c>
      <x:c r="C1238" s="43" t="str">
        <x:v>.docx</x:v>
      </x:c>
      <x:c r="D1238" s="61" t="n">
        <x:v>207796</x:v>
      </x:c>
      <x:c r="E1238" s="61" t="n">
        <x:v>1406</x:v>
      </x:c>
      <x:c r="F1238" s="61" t="n">
        <x:v>2</x:v>
      </x:c>
    </x:row>
    <x:row r="1239">
      <x:c r="A1239" s="43" t="str">
        <x:v>L2023-00060-1</x:v>
      </x:c>
      <x:c r="B1239" s="46" t="str">
        <x:v>L2023-00060-1/붙임 1. 입찰공고문 및 서류_영문/Section 8 - Specail Conditions of Contract_eng.docx</x:v>
      </x:c>
      <x:c r="C1239" s="43" t="str">
        <x:v>.docx</x:v>
      </x:c>
      <x:c r="D1239" s="61" t="n">
        <x:v>62644</x:v>
      </x:c>
      <x:c r="E1239" s="61" t="n">
        <x:v>292</x:v>
      </x:c>
      <x:c r="F1239" s="61" t="n">
        <x:v>1</x:v>
      </x:c>
    </x:row>
    <x:row r="1240">
      <x:c r="A1240" s="43" t="str">
        <x:v>L2023-00060-1</x:v>
      </x:c>
      <x:c r="B1240" s="46" t="str">
        <x:v>L2023-00060-1/붙임 1. 입찰공고문 및 서류_영문/Section 9 - Contract Forms_eng.pdf</x:v>
      </x:c>
      <x:c r="C1240" s="43" t="str">
        <x:v>.pdf</x:v>
      </x:c>
      <x:c r="D1240" s="61" t="n">
        <x:v>114703</x:v>
      </x:c>
      <x:c r="E1240" s="61" t="n">
        <x:v>2</x:v>
      </x:c>
      <x:c r="F1240" s="61" t="n">
        <x:v>1</x:v>
      </x:c>
    </x:row>
    <x:row r="1241">
      <x:c r="A1241" s="43" t="str">
        <x:v>L2023-00060-1</x:v>
      </x:c>
      <x:c r="B1241" s="46" t="str">
        <x:v>L2023-00060-1/붙임 2. 입찰공고문 및 서류_서문.zip</x:v>
      </x:c>
      <x:c r="C1241" s="43" t="str">
        <x:v>.zip</x:v>
      </x:c>
      <x:c r="D1241" s="61" t="n">
        <x:v>1183172</x:v>
      </x:c>
      <x:c r="E1241" s="61" t="n">
        <x:v>0</x:v>
      </x:c>
      <x:c r="F1241" s="61" t="n">
        <x:v>0</x:v>
      </x:c>
    </x:row>
    <x:row r="1242">
      <x:c r="A1242" s="43" t="str">
        <x:v>L2023-00060-1</x:v>
      </x:c>
      <x:c r="B1242" s="46" t="str">
        <x:v>L2023-00060-1/붙임 2. 입찰공고문 및 서류_서문/Section 1 - Instructions to Bidders (ITB) espanol.docx</x:v>
      </x:c>
      <x:c r="C1242" s="43" t="str">
        <x:v>.docx</x:v>
      </x:c>
      <x:c r="D1242" s="61" t="n">
        <x:v>50779</x:v>
      </x:c>
      <x:c r="E1242" s="61" t="n">
        <x:v>164</x:v>
      </x:c>
      <x:c r="F1242" s="61" t="n">
        <x:v>0</x:v>
      </x:c>
    </x:row>
    <x:row r="1243">
      <x:c r="A1243" s="43" t="str">
        <x:v>L2023-00060-1</x:v>
      </x:c>
      <x:c r="B1243" s="46" t="str">
        <x:v>L2023-00060-1/붙임 2. 입찰공고문 및 서류_서문/Section 2 - Bid Data Sheet espanol.docx</x:v>
      </x:c>
      <x:c r="C1243" s="43" t="str">
        <x:v>.docx</x:v>
      </x:c>
      <x:c r="D1243" s="61" t="n">
        <x:v>675824</x:v>
      </x:c>
      <x:c r="E1243" s="61" t="n">
        <x:v>237</x:v>
      </x:c>
      <x:c r="F1243" s="61" t="n">
        <x:v>0</x:v>
      </x:c>
    </x:row>
    <x:row r="1244">
      <x:c r="A1244" s="43" t="str">
        <x:v>L2023-00060-1</x:v>
      </x:c>
      <x:c r="B1244" s="46" t="str">
        <x:v>L2023-00060-1/붙임 2. 입찰공고문 및 서류_서문/Section 3 - Bidding Forms espanol.docx</x:v>
      </x:c>
      <x:c r="C1244" s="43" t="str">
        <x:v>.docx</x:v>
      </x:c>
      <x:c r="D1244" s="61" t="n">
        <x:v>69364</x:v>
      </x:c>
      <x:c r="E1244" s="61" t="n">
        <x:v>234</x:v>
      </x:c>
      <x:c r="F1244" s="61" t="n">
        <x:v>0</x:v>
      </x:c>
    </x:row>
    <x:row r="1245">
      <x:c r="A1245" s="43" t="str">
        <x:v>L2023-00060-1</x:v>
      </x:c>
      <x:c r="B1245" s="46" t="str">
        <x:v>L2023-00060-1/붙임 2. 입찰공고문 및 서류_서문/Section 7 - General Conditions of Contract espanol.docx</x:v>
      </x:c>
      <x:c r="C1245" s="43" t="str">
        <x:v>.docx</x:v>
      </x:c>
      <x:c r="D1245" s="61" t="n">
        <x:v>309271</x:v>
      </x:c>
      <x:c r="E1245" s="61" t="n">
        <x:v>1433</x:v>
      </x:c>
      <x:c r="F1245" s="61" t="n">
        <x:v>0</x:v>
      </x:c>
    </x:row>
    <x:row r="1246">
      <x:c r="A1246" s="43" t="str">
        <x:v>L2023-00060-1</x:v>
      </x:c>
      <x:c r="B1246" s="46" t="str">
        <x:v>L2023-00060-1/붙임 2. 입찰공고문 및 서류_서문/Section 8 - Special Conditions of Contract espanol.docx</x:v>
      </x:c>
      <x:c r="C1246" s="43" t="str">
        <x:v>.docx</x:v>
      </x:c>
      <x:c r="D1246" s="61" t="n">
        <x:v>72145</x:v>
      </x:c>
      <x:c r="E1246" s="61" t="n">
        <x:v>281</x:v>
      </x:c>
      <x:c r="F1246" s="61" t="n">
        <x:v>0</x:v>
      </x:c>
    </x:row>
    <x:row r="1247">
      <x:c r="A1247" s="43" t="str">
        <x:v>L2023-00060-1</x:v>
      </x:c>
      <x:c r="B1247" s="46" t="str">
        <x:v>L2023-00060-1/붙임 2. 입찰공고문 및 서류_서문/Section 9 - Contract Forms espanol.docx</x:v>
      </x:c>
      <x:c r="C1247" s="43" t="str">
        <x:v>.docx</x:v>
      </x:c>
      <x:c r="D1247" s="61" t="n">
        <x:v>24607</x:v>
      </x:c>
      <x:c r="E1247" s="61" t="n">
        <x:v>32</x:v>
      </x:c>
      <x:c r="F1247" s="61" t="n">
        <x:v>0</x:v>
      </x:c>
    </x:row>
    <x:row r="1248">
      <x:c r="A1248" s="43" t="str">
        <x:v>L2023-00058-1</x:v>
      </x:c>
      <x:c r="B1248" s="46" t="str">
        <x:v>L2023-00058-1/Section 1 - Instructions to Bidders (ITB).pdf</x:v>
      </x:c>
      <x:c r="C1248" s="43" t="str">
        <x:v>.pdf</x:v>
      </x:c>
      <x:c r="D1248" s="61" t="n">
        <x:v>119325</x:v>
      </x:c>
      <x:c r="E1248" s="61" t="n">
        <x:v>10</x:v>
      </x:c>
      <x:c r="F1248" s="61" t="n">
        <x:v>0</x:v>
      </x:c>
    </x:row>
    <x:row r="1249">
      <x:c r="A1249" s="43" t="str">
        <x:v>L2023-00058-1</x:v>
      </x:c>
      <x:c r="B1249" s="46" t="str">
        <x:v>L2023-00058-1/Section 2 - Bid Data Sheet_reannouncement_final.pdf</x:v>
      </x:c>
      <x:c r="C1249" s="43" t="str">
        <x:v>.pdf</x:v>
      </x:c>
      <x:c r="D1249" s="61" t="n">
        <x:v>531983</x:v>
      </x:c>
      <x:c r="E1249" s="61" t="n">
        <x:v>15</x:v>
      </x:c>
      <x:c r="F1249" s="61" t="n">
        <x:v>7</x:v>
      </x:c>
    </x:row>
    <x:row r="1250">
      <x:c r="A1250" s="43" t="str">
        <x:v>L2023-00058-1</x:v>
      </x:c>
      <x:c r="B1250" s="46" t="str">
        <x:v>L2023-00058-1/Section 3 - Bidding Forms (영문).pdf</x:v>
      </x:c>
      <x:c r="C1250" s="43" t="str">
        <x:v>.pdf</x:v>
      </x:c>
      <x:c r="D1250" s="61" t="n">
        <x:v>430716</x:v>
      </x:c>
      <x:c r="E1250" s="61" t="n">
        <x:v>18</x:v>
      </x:c>
      <x:c r="F1250" s="61" t="n">
        <x:v>0</x:v>
      </x:c>
    </x:row>
    <x:row r="1251">
      <x:c r="A1251" s="43" t="str">
        <x:v>L2023-00058-1</x:v>
      </x:c>
      <x:c r="B1251" s="46" t="str">
        <x:v>L2023-00058-1/Section 7 - General Conditions of Contract.pdf</x:v>
      </x:c>
      <x:c r="C1251" s="43" t="str">
        <x:v>.pdf</x:v>
      </x:c>
      <x:c r="D1251" s="61" t="n">
        <x:v>1063868</x:v>
      </x:c>
      <x:c r="E1251" s="61" t="n">
        <x:v>68</x:v>
      </x:c>
      <x:c r="F1251" s="61" t="n">
        <x:v>3</x:v>
      </x:c>
    </x:row>
    <x:row r="1252">
      <x:c r="A1252" s="43" t="str">
        <x:v>L2023-00058-1</x:v>
      </x:c>
      <x:c r="B1252" s="46" t="str">
        <x:v>L2023-00058-1/Section 8 - Special Conditions of Contract.pdf</x:v>
      </x:c>
      <x:c r="C1252" s="43" t="str">
        <x:v>.pdf</x:v>
      </x:c>
      <x:c r="D1252" s="61" t="n">
        <x:v>287401</x:v>
      </x:c>
      <x:c r="E1252" s="61" t="n">
        <x:v>25</x:v>
      </x:c>
      <x:c r="F1252" s="61" t="n">
        <x:v>1</x:v>
      </x:c>
    </x:row>
    <x:row r="1253">
      <x:c r="A1253" s="43" t="str">
        <x:v>L2023-00058-1</x:v>
      </x:c>
      <x:c r="B1253" s="46" t="str">
        <x:v>L2023-00058-1/Section 9 - Contract Forms.pdf</x:v>
      </x:c>
      <x:c r="C1253" s="43" t="str">
        <x:v>.pdf</x:v>
      </x:c>
      <x:c r="D1253" s="61" t="n">
        <x:v>109960</x:v>
      </x:c>
      <x:c r="E1253" s="61" t="n">
        <x:v>2</x:v>
      </x:c>
      <x:c r="F1253" s="61" t="n">
        <x:v>1</x:v>
      </x:c>
    </x:row>
    <x:row r="1254">
      <x:c r="A1254" s="43" t="str">
        <x:v>L2023-00057-1</x:v>
      </x:c>
      <x:c r="B1254" s="46" t="str">
        <x:v>L2023-00057-1/1. 국문 입찰계획_엘살바도르 국립보건교육센터 감리입찰_v4.hwp</x:v>
      </x:c>
      <x:c r="C1254" s="43" t="str">
        <x:v>.hwp</x:v>
      </x:c>
      <x:c r="D1254" s="61" t="n">
        <x:v>80896</x:v>
      </x:c>
      <x:c r="E1254" s="61" t="n">
        <x:v>528</x:v>
      </x:c>
      <x:c r="F1254" s="61" t="n">
        <x:v>6</x:v>
      </x:c>
    </x:row>
    <x:row r="1255">
      <x:c r="A1255" s="43" t="str">
        <x:v>L2023-00057-1</x:v>
      </x:c>
      <x:c r="B1255" s="46" t="str">
        <x:v>L2023-00057-1/2. Bid documents_eng_v4.zip</x:v>
      </x:c>
      <x:c r="C1255" s="43" t="str">
        <x:v>.zip</x:v>
      </x:c>
      <x:c r="D1255" s="61" t="n">
        <x:v>338765</x:v>
      </x:c>
      <x:c r="E1255" s="61" t="n">
        <x:v>0</x:v>
      </x:c>
      <x:c r="F1255" s="61" t="n">
        <x:v>0</x:v>
      </x:c>
    </x:row>
    <x:row r="1256">
      <x:c r="A1256" s="43" t="str">
        <x:v>L2023-00057-1</x:v>
      </x:c>
      <x:c r="B1256" s="46" t="str">
        <x:v>L2023-00057-1/2. Bid documents_eng_v4/1. Instructions to Bidders (ITB)_v4.docx</x:v>
      </x:c>
      <x:c r="C1256" s="43" t="str">
        <x:v>.docx</x:v>
      </x:c>
      <x:c r="D1256" s="61" t="n">
        <x:v>40507</x:v>
      </x:c>
      <x:c r="E1256" s="61" t="n">
        <x:v>201</x:v>
      </x:c>
      <x:c r="F1256" s="61" t="n">
        <x:v>0</x:v>
      </x:c>
    </x:row>
    <x:row r="1257">
      <x:c r="A1257" s="43" t="str">
        <x:v>L2023-00057-1</x:v>
      </x:c>
      <x:c r="B1257" s="46" t="str">
        <x:v>L2023-00057-1/2. Bid documents_eng_v4/2. Bid Data Sheet (BDS)_v4.docx</x:v>
      </x:c>
      <x:c r="C1257" s="43" t="str">
        <x:v>.docx</x:v>
      </x:c>
      <x:c r="D1257" s="61" t="n">
        <x:v>67870</x:v>
      </x:c>
      <x:c r="E1257" s="61" t="n">
        <x:v>271</x:v>
      </x:c>
      <x:c r="F1257" s="61" t="n">
        <x:v>11</x:v>
      </x:c>
    </x:row>
    <x:row r="1258">
      <x:c r="A1258" s="43" t="str">
        <x:v>L2023-00057-1</x:v>
      </x:c>
      <x:c r="B1258" s="46" t="str">
        <x:v>L2023-00057-1/2. Bid documents_eng_v4/3. Bidding Forms_v3.docx</x:v>
      </x:c>
      <x:c r="C1258" s="43" t="str">
        <x:v>.docx</x:v>
      </x:c>
      <x:c r="D1258" s="61" t="n">
        <x:v>61340</x:v>
      </x:c>
      <x:c r="E1258" s="61" t="n">
        <x:v>107</x:v>
      </x:c>
      <x:c r="F1258" s="61" t="n">
        <x:v>0</x:v>
      </x:c>
    </x:row>
    <x:row r="1259">
      <x:c r="A1259" s="43" t="str">
        <x:v>L2023-00057-1</x:v>
      </x:c>
      <x:c r="B1259" s="46" t="str">
        <x:v>L2023-00057-1/2. Bid documents_eng_v4/4. Scope of Works_v3.docx</x:v>
      </x:c>
      <x:c r="C1259" s="43" t="str">
        <x:v>.docx</x:v>
      </x:c>
      <x:c r="D1259" s="61" t="n">
        <x:v>103954</x:v>
      </x:c>
      <x:c r="E1259" s="61" t="n">
        <x:v>53</x:v>
      </x:c>
      <x:c r="F1259" s="61" t="n">
        <x:v>0</x:v>
      </x:c>
    </x:row>
    <x:row r="1260">
      <x:c r="A1260" s="43" t="str">
        <x:v>L2023-00057-1</x:v>
      </x:c>
      <x:c r="B1260" s="46" t="str">
        <x:v>L2023-00057-1/2. Bid documents_eng_v4/5. General Conditions of Contract.docx</x:v>
      </x:c>
      <x:c r="C1260" s="43" t="str">
        <x:v>.docx</x:v>
      </x:c>
      <x:c r="D1260" s="61" t="n">
        <x:v>29095</x:v>
      </x:c>
      <x:c r="E1260" s="61" t="n">
        <x:v>179</x:v>
      </x:c>
      <x:c r="F1260" s="61" t="n">
        <x:v>0</x:v>
      </x:c>
    </x:row>
    <x:row r="1261">
      <x:c r="A1261" s="43" t="str">
        <x:v>L2023-00057-1</x:v>
      </x:c>
      <x:c r="B1261" s="46" t="str">
        <x:v>L2023-00057-1/2. Bid documents_eng_v4/6. Special Conditions of Contract (Standard Format).docx</x:v>
      </x:c>
      <x:c r="C1261" s="43" t="str">
        <x:v>.docx</x:v>
      </x:c>
      <x:c r="D1261" s="61" t="n">
        <x:v>22589</x:v>
      </x:c>
      <x:c r="E1261" s="61" t="n">
        <x:v>37</x:v>
      </x:c>
      <x:c r="F1261" s="61" t="n">
        <x:v>0</x:v>
      </x:c>
    </x:row>
    <x:row r="1262">
      <x:c r="A1262" s="43" t="str">
        <x:v>L2023-00057-1</x:v>
      </x:c>
      <x:c r="B1262" s="46" t="str">
        <x:v>L2023-00057-1/2. Bid documents_eng_v4/7. Contract Forms (Standard Format).docx</x:v>
      </x:c>
      <x:c r="C1262" s="43" t="str">
        <x:v>.docx</x:v>
      </x:c>
      <x:c r="D1262" s="61" t="n">
        <x:v>39060</x:v>
      </x:c>
      <x:c r="E1262" s="61" t="n">
        <x:v>30</x:v>
      </x:c>
      <x:c r="F1262" s="61" t="n">
        <x:v>0</x:v>
      </x:c>
    </x:row>
    <x:row r="1263">
      <x:c r="A1263" s="43" t="str">
        <x:v>L2023-00057-1</x:v>
      </x:c>
      <x:c r="B1263" s="46" t="str">
        <x:v>L2023-00057-1/3. 입찰공고(안)_서문.doc</x:v>
      </x:c>
      <x:c r="C1263" s="43" t="str">
        <x:v>.doc</x:v>
      </x:c>
      <x:c r="D1263" s="61" t="n">
        <x:v>297472</x:v>
      </x:c>
      <x:c r="E1263" s="61" t="n">
        <x:v>6</x:v>
      </x:c>
      <x:c r="F1263" s="61" t="n">
        <x:v>0</x:v>
      </x:c>
    </x:row>
    <x:row r="1264">
      <x:c r="A1264" s="43" t="str">
        <x:v>L2023-00054-2</x:v>
      </x:c>
      <x:c r="B1264" s="46" t="str">
        <x:v>L2023-00054-2/Bidding Announcement_231103.pdf</x:v>
      </x:c>
      <x:c r="C1264" s="43" t="str">
        <x:v>.pdf</x:v>
      </x:c>
      <x:c r="D1264" s="61" t="n">
        <x:v>167434</x:v>
      </x:c>
      <x:c r="E1264" s="61" t="n">
        <x:v>2</x:v>
      </x:c>
      <x:c r="F1264" s="61" t="n">
        <x:v>5</x:v>
      </x:c>
    </x:row>
    <x:row r="1265">
      <x:c r="A1265" s="43" t="str">
        <x:v>L2023-00054-1</x:v>
      </x:c>
      <x:c r="B1265" s="46" t="str">
        <x:v>L2023-00054-1/Bidding Announcement_230921.pdf</x:v>
      </x:c>
      <x:c r="C1265" s="43" t="str">
        <x:v>.pdf</x:v>
      </x:c>
      <x:c r="D1265" s="61" t="n">
        <x:v>1932992</x:v>
      </x:c>
      <x:c r="E1265" s="61" t="n">
        <x:v>0</x:v>
      </x:c>
      <x:c r="F1265" s="61" t="n">
        <x:v>0</x:v>
      </x:c>
    </x:row>
    <x:row r="1266">
      <x:c r="A1266" s="43" t="str">
        <x:v>L2023-00053-1</x:v>
      </x:c>
      <x:c r="B1266" s="46" t="str">
        <x:v>L2023-00053-1/Urgench VTC Bid Attachment Documents.zip</x:v>
      </x:c>
      <x:c r="C1266" s="43" t="str">
        <x:v>.zip</x:v>
      </x:c>
      <x:c r="D1266" s="61" t="n">
        <x:v>17246765</x:v>
      </x:c>
      <x:c r="E1266" s="61" t="n">
        <x:v>0</x:v>
      </x:c>
      <x:c r="F1266" s="61" t="n">
        <x:v>0</x:v>
      </x:c>
    </x:row>
    <x:row r="1267">
      <x:c r="A1267" s="43" t="str">
        <x:v>L2023-00053-1</x:v>
      </x:c>
      <x:c r="B1267" s="46" t="str">
        <x:v>L2023-00053-1/Urgench VTC Bid Attachment Documents/Urgench VTC Bid Attachment Documents/Bid Document cover page.doc</x:v>
      </x:c>
      <x:c r="C1267" s="43" t="str">
        <x:v>.doc</x:v>
      </x:c>
      <x:c r="D1267" s="61" t="n">
        <x:v>52224</x:v>
      </x:c>
      <x:c r="E1267" s="61" t="n">
        <x:v>10</x:v>
      </x:c>
      <x:c r="F1267" s="61" t="n">
        <x:v>0</x:v>
      </x:c>
    </x:row>
    <x:row r="1268">
      <x:c r="A1268" s="43" t="str">
        <x:v>L2023-00053-1</x:v>
      </x:c>
      <x:c r="B1268" s="46" t="str">
        <x:v>L2023-00053-1/Urgench VTC Bid Attachment Documents/Urgench VTC Bid Attachment Documents/Invitation_for_Bids_Bid_Announcement.docx</x:v>
      </x:c>
      <x:c r="C1268" s="43" t="str">
        <x:v>.docx</x:v>
      </x:c>
      <x:c r="D1268" s="61" t="n">
        <x:v>192127</x:v>
      </x:c>
      <x:c r="E1268" s="61" t="n">
        <x:v>76</x:v>
      </x:c>
      <x:c r="F1268" s="61" t="n">
        <x:v>3</x:v>
      </x:c>
    </x:row>
    <x:row r="1269">
      <x:c r="A1269" s="43" t="str">
        <x:v>L2023-00053-1</x:v>
      </x:c>
      <x:c r="B1269" s="46" t="str">
        <x:v>L2023-00053-1/Urgench VTC Bid Attachment Documents/Urgench VTC Bid Attachment Documents/Section 1 - Instructions to Bidders (ITB)1.rtf</x:v>
      </x:c>
      <x:c r="C1269" s="43" t="str">
        <x:v>.rtf</x:v>
      </x:c>
      <x:c r="D1269" s="61" t="n">
        <x:v>245002</x:v>
      </x:c>
      <x:c r="E1269" s="61" t="n">
        <x:v>0</x:v>
      </x:c>
      <x:c r="F1269" s="61" t="n">
        <x:v>0</x:v>
      </x:c>
    </x:row>
    <x:row r="1270">
      <x:c r="A1270" s="43" t="str">
        <x:v>L2023-00053-1</x:v>
      </x:c>
      <x:c r="B1270" s="46" t="str">
        <x:v>L2023-00053-1/Urgench VTC Bid Attachment Documents/Urgench VTC Bid Attachment Documents/Section 2 - Bid Data Sheet (BDS).rtf</x:v>
      </x:c>
      <x:c r="C1270" s="43" t="str">
        <x:v>.rtf</x:v>
      </x:c>
      <x:c r="D1270" s="61" t="n">
        <x:v>570751</x:v>
      </x:c>
      <x:c r="E1270" s="61" t="n">
        <x:v>0</x:v>
      </x:c>
      <x:c r="F1270" s="61" t="n">
        <x:v>0</x:v>
      </x:c>
    </x:row>
    <x:row r="1271">
      <x:c r="A1271" s="43" t="str">
        <x:v>L2023-00053-1</x:v>
      </x:c>
      <x:c r="B1271" s="46" t="str">
        <x:v>L2023-00053-1/Urgench VTC Bid Attachment Documents/Urgench VTC Bid Attachment Documents/Section 3 - Bidding Forms.doc</x:v>
      </x:c>
      <x:c r="C1271" s="43" t="str">
        <x:v>.doc</x:v>
      </x:c>
      <x:c r="D1271" s="61" t="n">
        <x:v>225792</x:v>
      </x:c>
      <x:c r="E1271" s="61" t="n">
        <x:v>176</x:v>
      </x:c>
      <x:c r="F1271" s="61" t="n">
        <x:v>2</x:v>
      </x:c>
    </x:row>
    <x:row r="1272">
      <x:c r="A1272" s="43" t="str">
        <x:v>L2023-00053-1</x:v>
      </x:c>
      <x:c r="B1272" s="46" t="str">
        <x:v>L2023-00053-1/Urgench VTC Bid Attachment Documents/Urgench VTC Bid Attachment Documents/Section 4_5_6 - Requirements1.docx</x:v>
      </x:c>
      <x:c r="C1272" s="43" t="str">
        <x:v>.docx</x:v>
      </x:c>
      <x:c r="D1272" s="61" t="n">
        <x:v>35598</x:v>
      </x:c>
      <x:c r="E1272" s="61" t="n">
        <x:v>24</x:v>
      </x:c>
      <x:c r="F1272" s="61" t="n">
        <x:v>0</x:v>
      </x:c>
    </x:row>
    <x:row r="1273">
      <x:c r="A1273" s="43" t="str">
        <x:v>L2023-00053-1</x:v>
      </x:c>
      <x:c r="B1273" s="46" t="str">
        <x:v>L2023-00053-1/Urgench VTC Bid Attachment Documents/Urgench VTC Bid Attachment Documents/Section 4.  Bill of Quantities(Not-Priced).zip</x:v>
      </x:c>
      <x:c r="C1273" s="43" t="str">
        <x:v>.zip</x:v>
      </x:c>
      <x:c r="D1273" s="61" t="n">
        <x:v>13052503</x:v>
      </x:c>
      <x:c r="E1273" s="61" t="n">
        <x:v>0</x:v>
      </x:c>
      <x:c r="F1273" s="61" t="n">
        <x:v>0</x:v>
      </x:c>
    </x:row>
    <x:row r="1274">
      <x:c r="A1274" s="43" t="str">
        <x:v>L2023-00053-1</x:v>
      </x:c>
      <x:c r="B1274" s="46" t="str">
        <x:v>L2023-00053-1/Urgench VTC Bid Attachment Documents/Urgench VTC Bid Attachment Documents/Section 6. Specification(SNIF_ GOST_ Bid Explaination ).pptx</x:v>
      </x:c>
      <x:c r="C1274" s="43" t="str">
        <x:v>.pptx</x:v>
      </x:c>
      <x:c r="D1274" s="61" t="n">
        <x:v>3527970</x:v>
      </x:c>
      <x:c r="E1274" s="61" t="n">
        <x:v>13</x:v>
      </x:c>
      <x:c r="F1274" s="61" t="n">
        <x:v>6</x:v>
      </x:c>
    </x:row>
    <x:row r="1275">
      <x:c r="A1275" s="43" t="str">
        <x:v>L2023-00053-1</x:v>
      </x:c>
      <x:c r="B1275" s="46" t="str">
        <x:v>L2023-00053-1/Urgench VTC Bid Attachment Documents/Urgench VTC Bid Attachment Documents/Section 7 - General Conditions of Contract1.docx</x:v>
      </x:c>
      <x:c r="C1275" s="43" t="str">
        <x:v>.docx</x:v>
      </x:c>
      <x:c r="D1275" s="61" t="n">
        <x:v>217233</x:v>
      </x:c>
      <x:c r="E1275" s="61" t="n">
        <x:v>1543</x:v>
      </x:c>
      <x:c r="F1275" s="61" t="n">
        <x:v>2</x:v>
      </x:c>
    </x:row>
    <x:row r="1276">
      <x:c r="A1276" s="43" t="str">
        <x:v>L2023-00053-1</x:v>
      </x:c>
      <x:c r="B1276" s="46" t="str">
        <x:v>L2023-00053-1/Urgench VTC Bid Attachment Documents/Urgench VTC Bid Attachment Documents/Section 8 - Special Conditions of Contract1.docx</x:v>
      </x:c>
      <x:c r="C1276" s="43" t="str">
        <x:v>.docx</x:v>
      </x:c>
      <x:c r="D1276" s="61" t="n">
        <x:v>69496</x:v>
      </x:c>
      <x:c r="E1276" s="61" t="n">
        <x:v>275</x:v>
      </x:c>
      <x:c r="F1276" s="61" t="n">
        <x:v>3</x:v>
      </x:c>
    </x:row>
    <x:row r="1277">
      <x:c r="A1277" s="43" t="str">
        <x:v>L2023-00053-1</x:v>
      </x:c>
      <x:c r="B1277" s="46" t="str">
        <x:v>L2023-00053-1/Urgench VTC Bid Attachment Documents/Urgench VTC Bid Attachment Documents/Section 9 - Contract Forms1.docx</x:v>
      </x:c>
      <x:c r="C1277" s="43" t="str">
        <x:v>.docx</x:v>
      </x:c>
      <x:c r="D1277" s="61" t="n">
        <x:v>38156</x:v>
      </x:c>
      <x:c r="E1277" s="61" t="n">
        <x:v>30</x:v>
      </x:c>
      <x:c r="F1277" s="61" t="n">
        <x:v>0</x:v>
      </x:c>
    </x:row>
    <x:row r="1278">
      <x:c r="A1278" s="43" t="str">
        <x:v>L2023-00053-1</x:v>
      </x:c>
      <x:c r="B1278" s="46" t="str">
        <x:v>L2023-00053-1/Urgench VTC Bid Attachment Documents/Urgench VTC Bid Attachment Documents/Urgench_VTC_Bid Annoncement(The Daily Korean News for Korean Residents).docx</x:v>
      </x:c>
      <x:c r="C1278" s="43" t="str">
        <x:v>.docx</x:v>
      </x:c>
      <x:c r="D1278" s="61" t="n">
        <x:v>34326</x:v>
      </x:c>
      <x:c r="E1278" s="61" t="n">
        <x:v>25</x:v>
      </x:c>
      <x:c r="F1278" s="61" t="n">
        <x:v>3</x:v>
      </x:c>
    </x:row>
    <x:row r="1279">
      <x:c r="A1279" s="43" t="str">
        <x:v>L2023-00051-1</x:v>
      </x:c>
      <x:c r="B1279" s="46" t="str">
        <x:v>L2023-00051-1/몽골 조달청 전자조달시스템 입찰 마감 내역(캡쳐).pdf</x:v>
      </x:c>
      <x:c r="C1279" s="43" t="str">
        <x:v>.pdf</x:v>
      </x:c>
      <x:c r="D1279" s="61" t="n">
        <x:v>76372</x:v>
      </x:c>
      <x:c r="E1279" s="61" t="n">
        <x:v>1</x:v>
      </x:c>
      <x:c r="F1279" s="61" t="n">
        <x:v>0</x:v>
      </x:c>
    </x:row>
    <x:row r="1280">
      <x:c r="A1280" s="43" t="str">
        <x:v>L2023-00051-1</x:v>
      </x:c>
      <x:c r="B1280" s="46" t="str">
        <x:v>L2023-00051-1/몽골 조달청 전자조달시스템 입찰 마감 내역(한국어 번역).hwp</x:v>
      </x:c>
      <x:c r="C1280" s="43" t="str">
        <x:v>.hwp</x:v>
      </x:c>
      <x:c r="D1280" s="61" t="n">
        <x:v>31744</x:v>
      </x:c>
      <x:c r="E1280" s="61" t="n">
        <x:v>39</x:v>
      </x:c>
      <x:c r="F1280" s="61" t="n">
        <x:v>0</x:v>
      </x:c>
    </x:row>
    <x:row r="1281">
      <x:c r="A1281" s="43" t="str">
        <x:v>L2023-00051-1</x:v>
      </x:c>
      <x:c r="B1281" s="46" t="str">
        <x:v>L2023-00051-1/입찰 관련 공문.hwp</x:v>
      </x:c>
      <x:c r="C1281" s="43" t="str">
        <x:v>.hwp</x:v>
      </x:c>
      <x:c r="D1281" s="61" t="n">
        <x:v>157696</x:v>
      </x:c>
      <x:c r="E1281" s="61" t="n">
        <x:v>49</x:v>
      </x:c>
      <x:c r="F1281" s="61" t="n">
        <x:v>0</x:v>
      </x:c>
    </x:row>
    <x:row r="1282">
      <x:c r="A1282" s="43" t="str">
        <x:v>L2023-00050-1</x:v>
      </x:c>
      <x:c r="B1282" s="46" t="str">
        <x:v>L2023-00050-1/현지입찰 결과 통보 문서(번역본).pdf</x:v>
      </x:c>
      <x:c r="C1282" s="43" t="str">
        <x:v>.pdf</x:v>
      </x:c>
      <x:c r="D1282" s="61" t="n">
        <x:v>496542</x:v>
      </x:c>
      <x:c r="E1282" s="61" t="n">
        <x:v>0</x:v>
      </x:c>
      <x:c r="F1282" s="61" t="n">
        <x:v>0</x:v>
      </x:c>
    </x:row>
    <x:row r="1283">
      <x:c r="A1283" s="43" t="str">
        <x:v>L2023-00050-1</x:v>
      </x:c>
      <x:c r="B1283" s="46" t="str">
        <x:v>L2023-00050-1/현지입찰 진행상황 보고 문서(번역본).pdf</x:v>
      </x:c>
      <x:c r="C1283" s="43" t="str">
        <x:v>.pdf</x:v>
      </x:c>
      <x:c r="D1283" s="61" t="n">
        <x:v>1533893</x:v>
      </x:c>
      <x:c r="E1283" s="61" t="n">
        <x:v>0</x:v>
      </x:c>
      <x:c r="F1283" s="61" t="n">
        <x:v>0</x:v>
      </x:c>
    </x:row>
    <x:row r="1284">
      <x:c r="A1284" s="43" t="str">
        <x:v>L2023-00050-1</x:v>
      </x:c>
      <x:c r="B1284" s="46" t="str">
        <x:v>L2023-00050-1/현지입찰 평가위원회 결과 보고서(번역본).pdf</x:v>
      </x:c>
      <x:c r="C1284" s="43" t="str">
        <x:v>.pdf</x:v>
      </x:c>
      <x:c r="D1284" s="61" t="n">
        <x:v>5064292</x:v>
      </x:c>
      <x:c r="E1284" s="61" t="n">
        <x:v>0</x:v>
      </x:c>
      <x:c r="F1284" s="61" t="n">
        <x:v>0</x:v>
      </x:c>
    </x:row>
    <x:row r="1285">
      <x:c r="A1285" s="43" t="str">
        <x:v>L2023-00048-1</x:v>
      </x:c>
      <x:c r="B1285" s="46" t="str">
        <x:v>L2023-00048-1/광물석유청 시공 공지 원본.JPG</x:v>
      </x:c>
      <x:c r="C1285" s="43" t="str">
        <x:v>.jpg</x:v>
      </x:c>
      <x:c r="D1285" s="61" t="n">
        <x:v>162874</x:v>
      </x:c>
      <x:c r="E1285" s="61" t="n">
        <x:v>0</x:v>
      </x:c>
      <x:c r="F1285" s="61" t="n">
        <x:v>0</x:v>
      </x:c>
    </x:row>
    <x:row r="1286">
      <x:c r="A1286" s="43" t="str">
        <x:v>L2023-00048-1</x:v>
      </x:c>
      <x:c r="B1286" s="46" t="str">
        <x:v>L2023-00048-1/광물석유청 시공 관련 공지(번역본).hwp</x:v>
      </x:c>
      <x:c r="C1286" s="43" t="str">
        <x:v>.hwp</x:v>
      </x:c>
      <x:c r="D1286" s="61" t="n">
        <x:v>26112</x:v>
      </x:c>
      <x:c r="E1286" s="61" t="n">
        <x:v>38</x:v>
      </x:c>
      <x:c r="F1286" s="61" t="n">
        <x:v>0</x:v>
      </x:c>
    </x:row>
    <x:row r="1287">
      <x:c r="A1287" s="43" t="str">
        <x:v>L2023-00047-1</x:v>
      </x:c>
      <x:c r="B1287" s="46" t="str">
        <x:v>L2023-00047-1/한몽기술대학 시공 관련 공지(번역본).hwp</x:v>
      </x:c>
      <x:c r="C1287" s="43" t="str">
        <x:v>.hwp</x:v>
      </x:c>
      <x:c r="D1287" s="61" t="n">
        <x:v>26112</x:v>
      </x:c>
      <x:c r="E1287" s="61" t="n">
        <x:v>39</x:v>
      </x:c>
      <x:c r="F1287" s="61" t="n">
        <x:v>0</x:v>
      </x:c>
    </x:row>
    <x:row r="1288">
      <x:c r="A1288" s="43" t="str">
        <x:v>L2023-00047-1</x:v>
      </x:c>
      <x:c r="B1288" s="46" t="str">
        <x:v>L2023-00047-1/한몽기술대학 시공 입찰 공고 원본.JPG</x:v>
      </x:c>
      <x:c r="C1288" s="43" t="str">
        <x:v>.jpg</x:v>
      </x:c>
      <x:c r="D1288" s="61" t="n">
        <x:v>167374</x:v>
      </x:c>
      <x:c r="E1288" s="61" t="n">
        <x:v>0</x:v>
      </x:c>
      <x:c r="F1288" s="61" t="n">
        <x:v>0</x:v>
      </x:c>
    </x:row>
    <x:row r="1289">
      <x:c r="A1289" s="43" t="str">
        <x:v>L2023-00045-1</x:v>
      </x:c>
      <x:c r="B1289" s="46" t="str">
        <x:v>L2023-00045-1/입찰공고문_영문_Final.docx</x:v>
      </x:c>
      <x:c r="C1289" s="43" t="str">
        <x:v>.docx</x:v>
      </x:c>
      <x:c r="D1289" s="61" t="n">
        <x:v>30952</x:v>
      </x:c>
      <x:c r="E1289" s="61" t="n">
        <x:v>44</x:v>
      </x:c>
      <x:c r="F1289" s="61" t="n">
        <x:v>2</x:v>
      </x:c>
    </x:row>
    <x:row r="1290">
      <x:c r="A1290" s="43" t="str">
        <x:v>L2023-00042-1</x:v>
      </x:c>
      <x:c r="B1290" s="46" t="str">
        <x:v>L2023-00042-1/The Daily Star_Bid News.pdf</x:v>
      </x:c>
      <x:c r="C1290" s="43" t="str">
        <x:v>.pdf</x:v>
      </x:c>
      <x:c r="D1290" s="61" t="n">
        <x:v>3820058</x:v>
      </x:c>
      <x:c r="E1290" s="61" t="n">
        <x:v>0</x:v>
      </x:c>
      <x:c r="F1290" s="61" t="n">
        <x:v>0</x:v>
      </x:c>
    </x:row>
    <x:row r="1291">
      <x:c r="A1291" s="43" t="str">
        <x:v>L2023-00040-1</x:v>
      </x:c>
      <x:c r="B1291" s="46" t="str">
        <x:v>L2023-00040-1/입찰공고문(영문).docx</x:v>
      </x:c>
      <x:c r="C1291" s="43" t="str">
        <x:v>.docx</x:v>
      </x:c>
      <x:c r="D1291" s="61" t="n">
        <x:v>20129</x:v>
      </x:c>
      <x:c r="E1291" s="61" t="n">
        <x:v>37</x:v>
      </x:c>
      <x:c r="F1291" s="61" t="n">
        <x:v>0</x:v>
      </x:c>
    </x:row>
    <x:row r="1292">
      <x:c r="A1292" s="43" t="str">
        <x:v>L2023-00040-1</x:v>
      </x:c>
      <x:c r="B1292" s="46" t="str">
        <x:v>L2023-00040-1/입찰설명서(국문).hwp</x:v>
      </x:c>
      <x:c r="C1292" s="43" t="str">
        <x:v>.hwp</x:v>
      </x:c>
      <x:c r="D1292" s="61" t="n">
        <x:v>9687552</x:v>
      </x:c>
      <x:c r="E1292" s="61" t="n">
        <x:v>548</x:v>
      </x:c>
      <x:c r="F1292" s="61" t="n">
        <x:v>3</x:v>
      </x:c>
    </x:row>
    <x:row r="1293">
      <x:c r="A1293" s="43" t="str">
        <x:v>L2023-00040-1</x:v>
      </x:c>
      <x:c r="B1293" s="46" t="str">
        <x:v>L2023-00040-1/입찰안내자료(영문).zip</x:v>
      </x:c>
      <x:c r="C1293" s="43" t="str">
        <x:v>.zip</x:v>
      </x:c>
      <x:c r="D1293" s="61" t="n">
        <x:v>4261364</x:v>
      </x:c>
      <x:c r="E1293" s="61" t="n">
        <x:v>0</x:v>
      </x:c>
      <x:c r="F1293" s="61" t="n">
        <x:v>0</x:v>
      </x:c>
    </x:row>
    <x:row r="1294">
      <x:c r="A1294" s="43" t="str">
        <x:v>L2023-00040-1</x:v>
      </x:c>
      <x:c r="B1294" s="46" t="str">
        <x:v>L2023-00040-1/입찰안내자료(영문)/1. Instructions to Bidders (ITB) - Monte Cristi.docx</x:v>
      </x:c>
      <x:c r="C1294" s="43" t="str">
        <x:v>.docx</x:v>
      </x:c>
      <x:c r="D1294" s="61" t="n">
        <x:v>35006</x:v>
      </x:c>
      <x:c r="E1294" s="61" t="n">
        <x:v>161</x:v>
      </x:c>
      <x:c r="F1294" s="61" t="n">
        <x:v>0</x:v>
      </x:c>
    </x:row>
    <x:row r="1295">
      <x:c r="A1295" s="43" t="str">
        <x:v>L2023-00040-1</x:v>
      </x:c>
      <x:c r="B1295" s="46" t="str">
        <x:v>L2023-00040-1/입찰안내자료(영문)/2. Bid Data Sheet (BDS).docx</x:v>
      </x:c>
      <x:c r="C1295" s="43" t="str">
        <x:v>.docx</x:v>
      </x:c>
      <x:c r="D1295" s="61" t="n">
        <x:v>72455</x:v>
      </x:c>
      <x:c r="E1295" s="61" t="n">
        <x:v>240</x:v>
      </x:c>
      <x:c r="F1295" s="61" t="n">
        <x:v>2</x:v>
      </x:c>
    </x:row>
    <x:row r="1296">
      <x:c r="A1296" s="43" t="str">
        <x:v>L2023-00040-1</x:v>
      </x:c>
      <x:c r="B1296" s="46" t="str">
        <x:v>L2023-00040-1/입찰안내자료(영문)/3. Bidding Forms.docx</x:v>
      </x:c>
      <x:c r="C1296" s="43" t="str">
        <x:v>.docx</x:v>
      </x:c>
      <x:c r="D1296" s="61" t="n">
        <x:v>45160</x:v>
      </x:c>
      <x:c r="E1296" s="61" t="n">
        <x:v>219</x:v>
      </x:c>
      <x:c r="F1296" s="61" t="n">
        <x:v>0</x:v>
      </x:c>
    </x:row>
    <x:row r="1297">
      <x:c r="A1297" s="43" t="str">
        <x:v>L2023-00040-1</x:v>
      </x:c>
      <x:c r="B1297" s="46" t="str">
        <x:v>L2023-00040-1/입찰안내자료(영문)/4. Terms of Reference.docx</x:v>
      </x:c>
      <x:c r="C1297" s="43" t="str">
        <x:v>.docx</x:v>
      </x:c>
      <x:c r="D1297" s="61" t="n">
        <x:v>1428431</x:v>
      </x:c>
      <x:c r="E1297" s="61" t="n">
        <x:v>320</x:v>
      </x:c>
      <x:c r="F1297" s="61" t="n">
        <x:v>3</x:v>
      </x:c>
    </x:row>
    <x:row r="1298">
      <x:c r="A1298" s="43" t="str">
        <x:v>L2023-00040-1</x:v>
      </x:c>
      <x:c r="B1298" s="46" t="str">
        <x:v>L2023-00040-1/입찰안내자료(영문)/5. General Conditions of Contract.docx</x:v>
      </x:c>
      <x:c r="C1298" s="43" t="str">
        <x:v>.docx</x:v>
      </x:c>
      <x:c r="D1298" s="61" t="n">
        <x:v>27793</x:v>
      </x:c>
      <x:c r="E1298" s="61" t="n">
        <x:v>181</x:v>
      </x:c>
      <x:c r="F1298" s="61" t="n">
        <x:v>0</x:v>
      </x:c>
    </x:row>
    <x:row r="1299">
      <x:c r="A1299" s="43" t="str">
        <x:v>L2023-00040-1</x:v>
      </x:c>
      <x:c r="B1299" s="46" t="str">
        <x:v>L2023-00040-1/입찰안내자료(영문)/6. Special Conditions of Contract.docx</x:v>
      </x:c>
      <x:c r="C1299" s="43" t="str">
        <x:v>.docx</x:v>
      </x:c>
      <x:c r="D1299" s="61" t="n">
        <x:v>18931</x:v>
      </x:c>
      <x:c r="E1299" s="61" t="n">
        <x:v>31</x:v>
      </x:c>
      <x:c r="F1299" s="61" t="n">
        <x:v>0</x:v>
      </x:c>
    </x:row>
    <x:row r="1300">
      <x:c r="A1300" s="43" t="str">
        <x:v>L2023-00040-1</x:v>
      </x:c>
      <x:c r="B1300" s="46" t="str">
        <x:v>L2023-00040-1/입찰안내자료(영문)/7. Contract Forms.docx</x:v>
      </x:c>
      <x:c r="C1300" s="43" t="str">
        <x:v>.docx</x:v>
      </x:c>
      <x:c r="D1300" s="61" t="n">
        <x:v>23436</x:v>
      </x:c>
      <x:c r="E1300" s="61" t="n">
        <x:v>35</x:v>
      </x:c>
      <x:c r="F1300" s="61" t="n">
        <x:v>0</x:v>
      </x:c>
    </x:row>
    <x:row r="1301">
      <x:c r="A1301" s="43" t="str">
        <x:v>L2023-00040-1</x:v>
      </x:c>
      <x:c r="B1301" s="46" t="str">
        <x:v>L2023-00040-1/입찰안내자료(영문)/Attachment #1 KOICA Regulations.zip</x:v>
      </x:c>
      <x:c r="C1301" s="43" t="str">
        <x:v>.zip</x:v>
      </x:c>
      <x:c r="D1301" s="61" t="n">
        <x:v>1730418</x:v>
      </x:c>
      <x:c r="E1301" s="61" t="n">
        <x:v>0</x:v>
      </x:c>
      <x:c r="F1301" s="61" t="n">
        <x:v>0</x:v>
      </x:c>
    </x:row>
    <x:row r="1302">
      <x:c r="A1302" s="43" t="str">
        <x:v>L2023-00040-1</x:v>
      </x:c>
      <x:c r="B1302" s="46" t="str">
        <x:v>L2023-00040-1/입찰안내자료(영문)/Attachment #2 Montecristi plano potografico.dwg</x:v>
      </x:c>
      <x:c r="C1302" s="43" t="str">
        <x:v>.dwg</x:v>
      </x:c>
      <x:c r="D1302" s="61" t="n">
        <x:v>1493475</x:v>
      </x:c>
      <x:c r="E1302" s="61" t="n">
        <x:v>0</x:v>
      </x:c>
      <x:c r="F1302" s="61" t="n">
        <x:v>0</x:v>
      </x:c>
    </x:row>
    <x:row r="1303">
      <x:c r="A1303" s="43" t="str">
        <x:v>L2023-00038-1</x:v>
      </x:c>
      <x:c r="B1303" s="46" t="str">
        <x:v>L2023-00038-1/1. 입찰계획서(피지국립재활센터 건립사업 설계 및 감리 용역)-김우영-230713.hwp</x:v>
      </x:c>
      <x:c r="C1303" s="43" t="str">
        <x:v>.hwp</x:v>
      </x:c>
      <x:c r="D1303" s="61" t="n">
        <x:v>120320</x:v>
      </x:c>
      <x:c r="E1303" s="61" t="n">
        <x:v>625</x:v>
      </x:c>
      <x:c r="F1303" s="61" t="n">
        <x:v>4</x:v>
      </x:c>
    </x:row>
    <x:row r="1304">
      <x:c r="A1304" s="43" t="str">
        <x:v>L2023-00038-1</x:v>
      </x:c>
      <x:c r="B1304" s="46" t="str">
        <x:v>L2023-00038-1/2. 현지입찰 첨부문서 묶음.zip</x:v>
      </x:c>
      <x:c r="C1304" s="43" t="str">
        <x:v>.zip</x:v>
      </x:c>
      <x:c r="D1304" s="61" t="n">
        <x:v>1376906</x:v>
      </x:c>
      <x:c r="E1304" s="61" t="n">
        <x:v>0</x:v>
      </x:c>
      <x:c r="F1304" s="61" t="n">
        <x:v>0</x:v>
      </x:c>
    </x:row>
    <x:row r="1305">
      <x:c r="A1305" s="43" t="str">
        <x:v>L2023-00038-1</x:v>
      </x:c>
      <x:c r="B1305" s="46" t="str">
        <x:v>L2023-00038-1/2. 현지입찰 첨부문서 묶음/00_ KOICA_BID Announcement.doc</x:v>
      </x:c>
      <x:c r="C1305" s="43" t="str">
        <x:v>.doc</x:v>
      </x:c>
      <x:c r="D1305" s="61" t="n">
        <x:v>108544</x:v>
      </x:c>
      <x:c r="E1305" s="61" t="n">
        <x:v>15</x:v>
      </x:c>
      <x:c r="F1305" s="61" t="n">
        <x:v>2</x:v>
      </x:c>
    </x:row>
    <x:row r="1306">
      <x:c r="A1306" s="43" t="str">
        <x:v>L2023-00038-1</x:v>
      </x:c>
      <x:c r="B1306" s="46" t="str">
        <x:v>L2023-00038-1/2. 현지입찰 첨부문서 묶음/01_Chapter_1._Contract_of_Consultant_Services.docx</x:v>
      </x:c>
      <x:c r="C1306" s="43" t="str">
        <x:v>.docx</x:v>
      </x:c>
      <x:c r="D1306" s="61" t="n">
        <x:v>24258</x:v>
      </x:c>
      <x:c r="E1306" s="61" t="n">
        <x:v>36</x:v>
      </x:c>
      <x:c r="F1306" s="61" t="n">
        <x:v>0</x:v>
      </x:c>
    </x:row>
    <x:row r="1307">
      <x:c r="A1307" s="43" t="str">
        <x:v>L2023-00038-1</x:v>
      </x:c>
      <x:c r="B1307" s="46" t="str">
        <x:v>L2023-00038-1/2. 현지입찰 첨부문서 묶음/02_Chapter_2._Conditions_of_Contract.rtf</x:v>
      </x:c>
      <x:c r="C1307" s="43" t="str">
        <x:v>.rtf</x:v>
      </x:c>
      <x:c r="D1307" s="61" t="n">
        <x:v>219151</x:v>
      </x:c>
      <x:c r="E1307" s="61" t="n">
        <x:v>0</x:v>
      </x:c>
      <x:c r="F1307" s="61" t="n">
        <x:v>0</x:v>
      </x:c>
    </x:row>
    <x:row r="1308">
      <x:c r="A1308" s="43" t="str">
        <x:v>L2023-00038-1</x:v>
      </x:c>
      <x:c r="B1308" s="46" t="str">
        <x:v>L2023-00038-1/2. 현지입찰 첨부문서 묶음/03_Chapter_3._KOICA Instructions on International Bidding (SERVICES).pdf</x:v>
      </x:c>
      <x:c r="C1308" s="43" t="str">
        <x:v>.pdf</x:v>
      </x:c>
      <x:c r="D1308" s="61" t="n">
        <x:v>165396</x:v>
      </x:c>
      <x:c r="E1308" s="61" t="n">
        <x:v>13</x:v>
      </x:c>
      <x:c r="F1308" s="61" t="n">
        <x:v>0</x:v>
      </x:c>
    </x:row>
    <x:row r="1309">
      <x:c r="A1309" s="43" t="str">
        <x:v>L2023-00038-1</x:v>
      </x:c>
      <x:c r="B1309" s="46" t="str">
        <x:v>L2023-00038-1/2. 현지입찰 첨부문서 묶음/04_Chapter_4._Invitation_to_Bid.docx</x:v>
      </x:c>
      <x:c r="C1309" s="43" t="str">
        <x:v>.docx</x:v>
      </x:c>
      <x:c r="D1309" s="61" t="n">
        <x:v>43289</x:v>
      </x:c>
      <x:c r="E1309" s="61" t="n">
        <x:v>100</x:v>
      </x:c>
      <x:c r="F1309" s="61" t="n">
        <x:v>3</x:v>
      </x:c>
    </x:row>
    <x:row r="1310">
      <x:c r="A1310" s="43" t="str">
        <x:v>L2023-00038-1</x:v>
      </x:c>
      <x:c r="B1310" s="46" t="str">
        <x:v>L2023-00038-1/2. 현지입찰 첨부문서 묶음/Addendum_No.1_Scope_of_the_services.docx</x:v>
      </x:c>
      <x:c r="C1310" s="43" t="str">
        <x:v>.docx</x:v>
      </x:c>
      <x:c r="D1310" s="61" t="n">
        <x:v>316721</x:v>
      </x:c>
      <x:c r="E1310" s="61" t="n">
        <x:v>214</x:v>
      </x:c>
      <x:c r="F1310" s="61" t="n">
        <x:v>4</x:v>
      </x:c>
    </x:row>
    <x:row r="1311">
      <x:c r="A1311" s="43" t="str">
        <x:v>L2023-00038-1</x:v>
      </x:c>
      <x:c r="B1311" s="46" t="str">
        <x:v>L2023-00038-1/2. 현지입찰 첨부문서 묶음/Addendum_No.2_Term_of_Reference_for_Consultant_Services R1.doc</x:v>
      </x:c>
      <x:c r="C1311" s="43" t="str">
        <x:v>.doc</x:v>
      </x:c>
      <x:c r="D1311" s="61" t="n">
        <x:v>188928</x:v>
      </x:c>
      <x:c r="E1311" s="61" t="n">
        <x:v>258</x:v>
      </x:c>
      <x:c r="F1311" s="61" t="n">
        <x:v>0</x:v>
      </x:c>
    </x:row>
    <x:row r="1312">
      <x:c r="A1312" s="43" t="str">
        <x:v>L2023-00038-1</x:v>
      </x:c>
      <x:c r="B1312" s="46" t="str">
        <x:v>L2023-00038-1/2. 현지입찰 첨부문서 묶음/Addendum_No.3_Space program.pdf</x:v>
      </x:c>
      <x:c r="C1312" s="43" t="str">
        <x:v>.pdf</x:v>
      </x:c>
      <x:c r="D1312" s="61" t="n">
        <x:v>622746</x:v>
      </x:c>
      <x:c r="E1312" s="61" t="n">
        <x:v>3</x:v>
      </x:c>
      <x:c r="F1312" s="61" t="n">
        <x:v>3</x:v>
      </x:c>
    </x:row>
    <x:row r="1313">
      <x:c r="A1313" s="43" t="str">
        <x:v>L2023-00038-1</x:v>
      </x:c>
      <x:c r="B1313" s="46" t="str">
        <x:v>L2023-00038-1/2. 현지입찰 첨부문서 묶음/Attachment_1._Form_of_Price Proposal.doc</x:v>
      </x:c>
      <x:c r="C1313" s="43" t="str">
        <x:v>.doc</x:v>
      </x:c>
      <x:c r="D1313" s="61" t="n">
        <x:v>57344</x:v>
      </x:c>
      <x:c r="E1313" s="61" t="n">
        <x:v>24</x:v>
      </x:c>
      <x:c r="F1313" s="61" t="n">
        <x:v>2</x:v>
      </x:c>
    </x:row>
    <x:row r="1314">
      <x:c r="A1314" s="43" t="str">
        <x:v>L2023-00038-1</x:v>
      </x:c>
      <x:c r="B1314" s="46" t="str">
        <x:v>L2023-00038-1/2. 현지입찰 첨부문서 묶음/Attachment_2._Form_of_Technical_Proporsal.doc</x:v>
      </x:c>
      <x:c r="C1314" s="43" t="str">
        <x:v>.doc</x:v>
      </x:c>
      <x:c r="D1314" s="61" t="n">
        <x:v>117248</x:v>
      </x:c>
      <x:c r="E1314" s="61" t="n">
        <x:v>35</x:v>
      </x:c>
      <x:c r="F1314" s="61" t="n">
        <x:v>1</x:v>
      </x:c>
    </x:row>
    <x:row r="1315">
      <x:c r="A1315" s="43" t="str">
        <x:v>L2023-00038-1</x:v>
      </x:c>
      <x:c r="B1315" s="46" t="str">
        <x:v>L2023-00038-1/2. 현지입찰 첨부문서 묶음/Attachment_3._Security_forms.docx</x:v>
      </x:c>
      <x:c r="C1315" s="43" t="str">
        <x:v>.docx</x:v>
      </x:c>
      <x:c r="D1315" s="61" t="n">
        <x:v>32040</x:v>
      </x:c>
      <x:c r="E1315" s="61" t="n">
        <x:v>123</x:v>
      </x:c>
      <x:c r="F1315" s="61" t="n">
        <x:v>0</x:v>
      </x:c>
    </x:row>
    <x:row r="1316">
      <x:c r="A1316" s="43" t="str">
        <x:v>L2023-00038-1</x:v>
      </x:c>
      <x:c r="B1316" s="46" t="str">
        <x:v>L2023-00038-1/2. 현지입찰 첨부문서 묶음/Attachment_4_Bid Evaluation Criteria and Measurement.docx</x:v>
      </x:c>
      <x:c r="C1316" s="43" t="str">
        <x:v>.docx</x:v>
      </x:c>
      <x:c r="D1316" s="61" t="n">
        <x:v>31469</x:v>
      </x:c>
      <x:c r="E1316" s="61" t="n">
        <x:v>18</x:v>
      </x:c>
      <x:c r="F1316" s="61" t="n">
        <x:v>0</x:v>
      </x:c>
    </x:row>
    <x:row r="1317">
      <x:c r="A1317" s="43" t="str">
        <x:v>L2023-00038-1</x:v>
      </x:c>
      <x:c r="B1317" s="46" t="str">
        <x:v>L2023-00038-1/2. 현지입찰 첨부문서 묶음/Attachment_5. ODA_Declaration of Anti_Corruption.docx</x:v>
      </x:c>
      <x:c r="C1317" s="43" t="str">
        <x:v>.docx</x:v>
      </x:c>
      <x:c r="D1317" s="61" t="n">
        <x:v>22679</x:v>
      </x:c>
      <x:c r="E1317" s="61" t="n">
        <x:v>39</x:v>
      </x:c>
      <x:c r="F1317" s="61" t="n">
        <x:v>0</x:v>
      </x:c>
    </x:row>
    <x:row r="1318">
      <x:c r="A1318" s="43" t="str">
        <x:v>L2023-00038-1</x:v>
      </x:c>
      <x:c r="B1318" s="46" t="str">
        <x:v>L2023-00038-1/2. 현지입찰 첨부문서 묶음/Attachment_6. Integrity Pledge Sheet.docx</x:v>
      </x:c>
      <x:c r="C1318" s="43" t="str">
        <x:v>.docx</x:v>
      </x:c>
      <x:c r="D1318" s="61" t="n">
        <x:v>35927</x:v>
      </x:c>
      <x:c r="E1318" s="61" t="n">
        <x:v>17</x:v>
      </x:c>
      <x:c r="F1318" s="61" t="n">
        <x:v>0</x:v>
      </x:c>
    </x:row>
    <x:row r="1319">
      <x:c r="A1319" s="43" t="str">
        <x:v>L2023-00037-1</x:v>
      </x:c>
      <x:c r="B1319" s="46" t="str">
        <x:v>L2023-00037-1/국문 입찰계획_엘살바도르 국립보건교육센터 감리입찰_v3.hwp</x:v>
      </x:c>
      <x:c r="C1319" s="43" t="str">
        <x:v>.hwp</x:v>
      </x:c>
      <x:c r="D1319" s="61" t="n">
        <x:v>80896</x:v>
      </x:c>
      <x:c r="E1319" s="61" t="n">
        <x:v>531</x:v>
      </x:c>
      <x:c r="F1319" s="61" t="n">
        <x:v>6</x:v>
      </x:c>
    </x:row>
    <x:row r="1320">
      <x:c r="A1320" s="43" t="str">
        <x:v>L2023-00037-1</x:v>
      </x:c>
      <x:c r="B1320" s="46" t="str">
        <x:v>L2023-00037-1/영서문 입찰문서 일체_v3.zip</x:v>
      </x:c>
      <x:c r="C1320" s="43" t="str">
        <x:v>.zip</x:v>
      </x:c>
      <x:c r="D1320" s="61" t="n">
        <x:v>3419345</x:v>
      </x:c>
      <x:c r="E1320" s="61" t="n">
        <x:v>0</x:v>
      </x:c>
      <x:c r="F1320" s="61" t="n">
        <x:v>0</x:v>
      </x:c>
    </x:row>
    <x:row r="1321">
      <x:c r="A1321" s="43" t="str">
        <x:v>L2023-00037-1</x:v>
      </x:c>
      <x:c r="B1321" s="46" t="str">
        <x:v>L2023-00037-1/영서문 입찰문서 일체_v3/0. Table of Contents_v2 espanol.pdf</x:v>
      </x:c>
      <x:c r="C1321" s="43" t="str">
        <x:v>.pdf</x:v>
      </x:c>
      <x:c r="D1321" s="61" t="n">
        <x:v>77965</x:v>
      </x:c>
      <x:c r="E1321" s="61" t="n">
        <x:v>2</x:v>
      </x:c>
      <x:c r="F1321" s="61" t="n">
        <x:v>0</x:v>
      </x:c>
    </x:row>
    <x:row r="1322">
      <x:c r="A1322" s="43" t="str">
        <x:v>L2023-00037-1</x:v>
      </x:c>
      <x:c r="B1322" s="46" t="str">
        <x:v>L2023-00037-1/영서문 입찰문서 일체_v3/0. Table of Contents_v2.pdf</x:v>
      </x:c>
      <x:c r="C1322" s="43" t="str">
        <x:v>.pdf</x:v>
      </x:c>
      <x:c r="D1322" s="61" t="n">
        <x:v>57094</x:v>
      </x:c>
      <x:c r="E1322" s="61" t="n">
        <x:v>2</x:v>
      </x:c>
      <x:c r="F1322" s="61" t="n">
        <x:v>0</x:v>
      </x:c>
    </x:row>
    <x:row r="1323">
      <x:c r="A1323" s="43" t="str">
        <x:v>L2023-00037-1</x:v>
      </x:c>
      <x:c r="B1323" s="46" t="str">
        <x:v>L2023-00037-1/영서문 입찰문서 일체_v3/1. Instructions to Bidders (ITB)_v3 espanol.pdf</x:v>
      </x:c>
      <x:c r="C1323" s="43" t="str">
        <x:v>.pdf</x:v>
      </x:c>
      <x:c r="D1323" s="61" t="n">
        <x:v>346257</x:v>
      </x:c>
      <x:c r="E1323" s="61" t="n">
        <x:v>15</x:v>
      </x:c>
      <x:c r="F1323" s="61" t="n">
        <x:v>0</x:v>
      </x:c>
    </x:row>
    <x:row r="1324">
      <x:c r="A1324" s="43" t="str">
        <x:v>L2023-00037-1</x:v>
      </x:c>
      <x:c r="B1324" s="46" t="str">
        <x:v>L2023-00037-1/영서문 입찰문서 일체_v3/1. Instructions to Bidders (ITB)_v3.pdf</x:v>
      </x:c>
      <x:c r="C1324" s="43" t="str">
        <x:v>.pdf</x:v>
      </x:c>
      <x:c r="D1324" s="61" t="n">
        <x:v>223763</x:v>
      </x:c>
      <x:c r="E1324" s="61" t="n">
        <x:v>15</x:v>
      </x:c>
      <x:c r="F1324" s="61" t="n">
        <x:v>0</x:v>
      </x:c>
    </x:row>
    <x:row r="1325">
      <x:c r="A1325" s="43" t="str">
        <x:v>L2023-00037-1</x:v>
      </x:c>
      <x:c r="B1325" s="46" t="str">
        <x:v>L2023-00037-1/영서문 입찰문서 일체_v3/2. Bid Data Sheet (BDS)_v3 espanol.pdf</x:v>
      </x:c>
      <x:c r="C1325" s="43" t="str">
        <x:v>.pdf</x:v>
      </x:c>
      <x:c r="D1325" s="61" t="n">
        <x:v>370314</x:v>
      </x:c>
      <x:c r="E1325" s="61" t="n">
        <x:v>15</x:v>
      </x:c>
      <x:c r="F1325" s="61" t="n">
        <x:v>3</x:v>
      </x:c>
    </x:row>
    <x:row r="1326">
      <x:c r="A1326" s="43" t="str">
        <x:v>L2023-00037-1</x:v>
      </x:c>
      <x:c r="B1326" s="46" t="str">
        <x:v>L2023-00037-1/영서문 입찰문서 일체_v3/2. Bid Data Sheet (BDS)_v3.pdf</x:v>
      </x:c>
      <x:c r="C1326" s="43" t="str">
        <x:v>.pdf</x:v>
      </x:c>
      <x:c r="D1326" s="61" t="n">
        <x:v>390402</x:v>
      </x:c>
      <x:c r="E1326" s="61" t="n">
        <x:v>15</x:v>
      </x:c>
      <x:c r="F1326" s="61" t="n">
        <x:v>8</x:v>
      </x:c>
    </x:row>
    <x:row r="1327">
      <x:c r="A1327" s="43" t="str">
        <x:v>L2023-00037-1</x:v>
      </x:c>
      <x:c r="B1327" s="46" t="str">
        <x:v>L2023-00037-1/영서문 입찰문서 일체_v3/3. Bidding Forms_v3 espanol.docx</x:v>
      </x:c>
      <x:c r="C1327" s="43" t="str">
        <x:v>.docx</x:v>
      </x:c>
      <x:c r="D1327" s="61" t="n">
        <x:v>49660</x:v>
      </x:c>
      <x:c r="E1327" s="61" t="n">
        <x:v>228</x:v>
      </x:c>
      <x:c r="F1327" s="61" t="n">
        <x:v>0</x:v>
      </x:c>
    </x:row>
    <x:row r="1328">
      <x:c r="A1328" s="43" t="str">
        <x:v>L2023-00037-1</x:v>
      </x:c>
      <x:c r="B1328" s="46" t="str">
        <x:v>L2023-00037-1/영서문 입찰문서 일체_v3/3. Bidding Forms_v3 espanol.pdf</x:v>
      </x:c>
      <x:c r="C1328" s="43" t="str">
        <x:v>.pdf</x:v>
      </x:c>
      <x:c r="D1328" s="61" t="n">
        <x:v>406477</x:v>
      </x:c>
      <x:c r="E1328" s="61" t="n">
        <x:v>17</x:v>
      </x:c>
      <x:c r="F1328" s="61" t="n">
        <x:v>0</x:v>
      </x:c>
    </x:row>
    <x:row r="1329">
      <x:c r="A1329" s="43" t="str">
        <x:v>L2023-00037-1</x:v>
      </x:c>
      <x:c r="B1329" s="46" t="str">
        <x:v>L2023-00037-1/영서문 입찰문서 일체_v3/3. Bidding Forms_v3.docx</x:v>
      </x:c>
      <x:c r="C1329" s="43" t="str">
        <x:v>.docx</x:v>
      </x:c>
      <x:c r="D1329" s="61" t="n">
        <x:v>62843</x:v>
      </x:c>
      <x:c r="E1329" s="61" t="n">
        <x:v>107</x:v>
      </x:c>
      <x:c r="F1329" s="61" t="n">
        <x:v>0</x:v>
      </x:c>
    </x:row>
    <x:row r="1330">
      <x:c r="A1330" s="43" t="str">
        <x:v>L2023-00037-1</x:v>
      </x:c>
      <x:c r="B1330" s="46" t="str">
        <x:v>L2023-00037-1/영서문 입찰문서 일체_v3/3. Bidding Forms_v3.pdf</x:v>
      </x:c>
      <x:c r="C1330" s="43" t="str">
        <x:v>.pdf</x:v>
      </x:c>
      <x:c r="D1330" s="61" t="n">
        <x:v>349895</x:v>
      </x:c>
      <x:c r="E1330" s="61" t="n">
        <x:v>17</x:v>
      </x:c>
      <x:c r="F1330" s="61" t="n">
        <x:v>1</x:v>
      </x:c>
    </x:row>
    <x:row r="1331">
      <x:c r="A1331" s="43" t="str">
        <x:v>L2023-00037-1</x:v>
      </x:c>
      <x:c r="B1331" s="46" t="str">
        <x:v>L2023-00037-1/영서문 입찰문서 일체_v3/4. Scope of Works_v3 espanol.pdf</x:v>
      </x:c>
      <x:c r="C1331" s="43" t="str">
        <x:v>.pdf</x:v>
      </x:c>
      <x:c r="D1331" s="61" t="n">
        <x:v>204334</x:v>
      </x:c>
      <x:c r="E1331" s="61" t="n">
        <x:v>9</x:v>
      </x:c>
      <x:c r="F1331" s="61" t="n">
        <x:v>0</x:v>
      </x:c>
    </x:row>
    <x:row r="1332">
      <x:c r="A1332" s="43" t="str">
        <x:v>L2023-00037-1</x:v>
      </x:c>
      <x:c r="B1332" s="46" t="str">
        <x:v>L2023-00037-1/영서문 입찰문서 일체_v3/4. Scope of Works_v3.pdf</x:v>
      </x:c>
      <x:c r="C1332" s="43" t="str">
        <x:v>.pdf</x:v>
      </x:c>
      <x:c r="D1332" s="61" t="n">
        <x:v>217882</x:v>
      </x:c>
      <x:c r="E1332" s="61" t="n">
        <x:v>9</x:v>
      </x:c>
      <x:c r="F1332" s="61" t="n">
        <x:v>0</x:v>
      </x:c>
    </x:row>
    <x:row r="1333">
      <x:c r="A1333" s="43" t="str">
        <x:v>L2023-00037-1</x:v>
      </x:c>
      <x:c r="B1333" s="46" t="str">
        <x:v>L2023-00037-1/영서문 입찰문서 일체_v3/5. General Conditions of Contract espanol.pdf</x:v>
      </x:c>
      <x:c r="C1333" s="43" t="str">
        <x:v>.pdf</x:v>
      </x:c>
      <x:c r="D1333" s="61" t="n">
        <x:v>195391</x:v>
      </x:c>
      <x:c r="E1333" s="61" t="n">
        <x:v>15</x:v>
      </x:c>
      <x:c r="F1333" s="61" t="n">
        <x:v>0</x:v>
      </x:c>
    </x:row>
    <x:row r="1334">
      <x:c r="A1334" s="43" t="str">
        <x:v>L2023-00037-1</x:v>
      </x:c>
      <x:c r="B1334" s="46" t="str">
        <x:v>L2023-00037-1/영서문 입찰문서 일체_v3/5. General Conditions of Contract.pdf</x:v>
      </x:c>
      <x:c r="C1334" s="43" t="str">
        <x:v>.pdf</x:v>
      </x:c>
      <x:c r="D1334" s="61" t="n">
        <x:v>280611</x:v>
      </x:c>
      <x:c r="E1334" s="61" t="n">
        <x:v>15</x:v>
      </x:c>
      <x:c r="F1334" s="61" t="n">
        <x:v>0</x:v>
      </x:c>
    </x:row>
    <x:row r="1335">
      <x:c r="A1335" s="43" t="str">
        <x:v>L2023-00037-1</x:v>
      </x:c>
      <x:c r="B1335" s="46" t="str">
        <x:v>L2023-00037-1/영서문 입찰문서 일체_v3/6. Special Conditions of Contract (Standard Format) espanol.pdf</x:v>
      </x:c>
      <x:c r="C1335" s="43" t="str">
        <x:v>.pdf</x:v>
      </x:c>
      <x:c r="D1335" s="61" t="n">
        <x:v>120303</x:v>
      </x:c>
      <x:c r="E1335" s="61" t="n">
        <x:v>3</x:v>
      </x:c>
      <x:c r="F1335" s="61" t="n">
        <x:v>0</x:v>
      </x:c>
    </x:row>
    <x:row r="1336">
      <x:c r="A1336" s="43" t="str">
        <x:v>L2023-00037-1</x:v>
      </x:c>
      <x:c r="B1336" s="46" t="str">
        <x:v>L2023-00037-1/영서문 입찰문서 일체_v3/6. Special Conditions of Contract (Standard Format).pdf</x:v>
      </x:c>
      <x:c r="C1336" s="43" t="str">
        <x:v>.pdf</x:v>
      </x:c>
      <x:c r="D1336" s="61" t="n">
        <x:v>161989</x:v>
      </x:c>
      <x:c r="E1336" s="61" t="n">
        <x:v>3</x:v>
      </x:c>
      <x:c r="F1336" s="61" t="n">
        <x:v>1</x:v>
      </x:c>
    </x:row>
    <x:row r="1337">
      <x:c r="A1337" s="43" t="str">
        <x:v>L2023-00037-1</x:v>
      </x:c>
      <x:c r="B1337" s="46" t="str">
        <x:v>L2023-00037-1/영서문 입찰문서 일체_v3/7. Contract Forms (Standard Format).pdf</x:v>
      </x:c>
      <x:c r="C1337" s="43" t="str">
        <x:v>.pdf</x:v>
      </x:c>
      <x:c r="D1337" s="61" t="n">
        <x:v>110149</x:v>
      </x:c>
      <x:c r="E1337" s="61" t="n">
        <x:v>2</x:v>
      </x:c>
      <x:c r="F1337" s="61" t="n">
        <x:v>1</x:v>
      </x:c>
    </x:row>
    <x:row r="1338">
      <x:c r="A1338" s="43" t="str">
        <x:v>L2023-00037-1</x:v>
      </x:c>
      <x:c r="B1338" s="46" t="str">
        <x:v>L2023-00037-1/영서문 입찰문서 일체_v3/7. Contract Forms espanol (Standard Format) espanol.pdf</x:v>
      </x:c>
      <x:c r="C1338" s="43" t="str">
        <x:v>.pdf</x:v>
      </x:c>
      <x:c r="D1338" s="61" t="n">
        <x:v>230831</x:v>
      </x:c>
      <x:c r="E1338" s="61" t="n">
        <x:v>2</x:v>
      </x:c>
      <x:c r="F1338" s="61" t="n">
        <x:v>0</x:v>
      </x:c>
    </x:row>
    <x:row r="1339">
      <x:c r="A1339" s="43" t="str">
        <x:v>L2023-00036-1</x:v>
      </x:c>
      <x:c r="B1339" s="46" t="str">
        <x:v>L2023-00036-1/붙임3_입찰관련서류_검토완_0717.zip</x:v>
      </x:c>
      <x:c r="C1339" s="43" t="str">
        <x:v>.zip</x:v>
      </x:c>
      <x:c r="D1339" s="61" t="n">
        <x:v>17241640</x:v>
      </x:c>
      <x:c r="E1339" s="61" t="n">
        <x:v>0</x:v>
      </x:c>
      <x:c r="F1339" s="61" t="n">
        <x:v>0</x:v>
      </x:c>
    </x:row>
    <x:row r="1340">
      <x:c r="A1340" s="43" t="str">
        <x:v>L2023-00036-1</x:v>
      </x:c>
      <x:c r="B1340" s="46" t="str">
        <x:v>L2023-00036-1/붙임3_입찰관련서류_검토완_0717/Bid Document cover page.doc</x:v>
      </x:c>
      <x:c r="C1340" s="43" t="str">
        <x:v>.doc</x:v>
      </x:c>
      <x:c r="D1340" s="61" t="n">
        <x:v>52224</x:v>
      </x:c>
      <x:c r="E1340" s="61" t="n">
        <x:v>10</x:v>
      </x:c>
      <x:c r="F1340" s="61" t="n">
        <x:v>0</x:v>
      </x:c>
    </x:row>
    <x:row r="1341">
      <x:c r="A1341" s="43" t="str">
        <x:v>L2023-00036-1</x:v>
      </x:c>
      <x:c r="B1341" s="46" t="str">
        <x:v>L2023-00036-1/붙임3_입찰관련서류_검토완_0717/Invitation_for_Bids_Bid_Announcement1.docx</x:v>
      </x:c>
      <x:c r="C1341" s="43" t="str">
        <x:v>.docx</x:v>
      </x:c>
      <x:c r="D1341" s="61" t="n">
        <x:v>190534</x:v>
      </x:c>
      <x:c r="E1341" s="61" t="n">
        <x:v>76</x:v>
      </x:c>
      <x:c r="F1341" s="61" t="n">
        <x:v>3</x:v>
      </x:c>
    </x:row>
    <x:row r="1342">
      <x:c r="A1342" s="43" t="str">
        <x:v>L2023-00036-1</x:v>
      </x:c>
      <x:c r="B1342" s="46" t="str">
        <x:v>L2023-00036-1/붙임3_입찰관련서류_검토완_0717/Section 1 - Instructions to Bidders (ITB)1.rtf</x:v>
      </x:c>
      <x:c r="C1342" s="43" t="str">
        <x:v>.rtf</x:v>
      </x:c>
      <x:c r="D1342" s="61" t="n">
        <x:v>245002</x:v>
      </x:c>
      <x:c r="E1342" s="61" t="n">
        <x:v>0</x:v>
      </x:c>
      <x:c r="F1342" s="61" t="n">
        <x:v>0</x:v>
      </x:c>
    </x:row>
    <x:row r="1343">
      <x:c r="A1343" s="43" t="str">
        <x:v>L2023-00036-1</x:v>
      </x:c>
      <x:c r="B1343" s="46" t="str">
        <x:v>L2023-00036-1/붙임3_입찰관련서류_검토완_0717/Section 2 - Bid Data Sheet (BDS).rtf</x:v>
      </x:c>
      <x:c r="C1343" s="43" t="str">
        <x:v>.rtf</x:v>
      </x:c>
      <x:c r="D1343" s="61" t="n">
        <x:v>564273</x:v>
      </x:c>
      <x:c r="E1343" s="61" t="n">
        <x:v>0</x:v>
      </x:c>
      <x:c r="F1343" s="61" t="n">
        <x:v>0</x:v>
      </x:c>
    </x:row>
    <x:row r="1344">
      <x:c r="A1344" s="43" t="str">
        <x:v>L2023-00036-1</x:v>
      </x:c>
      <x:c r="B1344" s="46" t="str">
        <x:v>L2023-00036-1/붙임3_입찰관련서류_검토완_0717/Section 3 - Bidding Forms.doc</x:v>
      </x:c>
      <x:c r="C1344" s="43" t="str">
        <x:v>.doc</x:v>
      </x:c>
      <x:c r="D1344" s="61" t="n">
        <x:v>219648</x:v>
      </x:c>
      <x:c r="E1344" s="61" t="n">
        <x:v>176</x:v>
      </x:c>
      <x:c r="F1344" s="61" t="n">
        <x:v>1</x:v>
      </x:c>
    </x:row>
    <x:row r="1345">
      <x:c r="A1345" s="43" t="str">
        <x:v>L2023-00036-1</x:v>
      </x:c>
      <x:c r="B1345" s="46" t="str">
        <x:v>L2023-00036-1/붙임3_입찰관련서류_검토완_0717/Section 4_5_6 - Requirements1.docx</x:v>
      </x:c>
      <x:c r="C1345" s="43" t="str">
        <x:v>.docx</x:v>
      </x:c>
      <x:c r="D1345" s="61" t="n">
        <x:v>35598</x:v>
      </x:c>
      <x:c r="E1345" s="61" t="n">
        <x:v>24</x:v>
      </x:c>
      <x:c r="F1345" s="61" t="n">
        <x:v>0</x:v>
      </x:c>
    </x:row>
    <x:row r="1346">
      <x:c r="A1346" s="43" t="str">
        <x:v>L2023-00036-1</x:v>
      </x:c>
      <x:c r="B1346" s="46" t="str">
        <x:v>L2023-00036-1/붙임3_입찰관련서류_검토완_0717/Section 4.  Bill of Quantities(Not-Priced).zip</x:v>
      </x:c>
      <x:c r="C1346" s="43" t="str">
        <x:v>.zip</x:v>
      </x:c>
      <x:c r="D1346" s="61" t="n">
        <x:v>13052503</x:v>
      </x:c>
      <x:c r="E1346" s="61" t="n">
        <x:v>0</x:v>
      </x:c>
      <x:c r="F1346" s="61" t="n">
        <x:v>0</x:v>
      </x:c>
    </x:row>
    <x:row r="1347">
      <x:c r="A1347" s="43" t="str">
        <x:v>L2023-00036-1</x:v>
      </x:c>
      <x:c r="B1347" s="46" t="str">
        <x:v>L2023-00036-1/붙임3_입찰관련서류_검토완_0717/Section 6. Specification(SNIF_ GOST_ Bid Explaination ).pptx</x:v>
      </x:c>
      <x:c r="C1347" s="43" t="str">
        <x:v>.pptx</x:v>
      </x:c>
      <x:c r="D1347" s="61" t="n">
        <x:v>3528725</x:v>
      </x:c>
      <x:c r="E1347" s="61" t="n">
        <x:v>13</x:v>
      </x:c>
      <x:c r="F1347" s="61" t="n">
        <x:v>6</x:v>
      </x:c>
    </x:row>
    <x:row r="1348">
      <x:c r="A1348" s="43" t="str">
        <x:v>L2023-00036-1</x:v>
      </x:c>
      <x:c r="B1348" s="46" t="str">
        <x:v>L2023-00036-1/붙임3_입찰관련서류_검토완_0717/Section 7 - General Conditions of Contract1.docx</x:v>
      </x:c>
      <x:c r="C1348" s="43" t="str">
        <x:v>.docx</x:v>
      </x:c>
      <x:c r="D1348" s="61" t="n">
        <x:v>217233</x:v>
      </x:c>
      <x:c r="E1348" s="61" t="n">
        <x:v>1543</x:v>
      </x:c>
      <x:c r="F1348" s="61" t="n">
        <x:v>2</x:v>
      </x:c>
    </x:row>
    <x:row r="1349">
      <x:c r="A1349" s="43" t="str">
        <x:v>L2023-00036-1</x:v>
      </x:c>
      <x:c r="B1349" s="46" t="str">
        <x:v>L2023-00036-1/붙임3_입찰관련서류_검토완_0717/Section 8 - Special Conditions of Contract1.docx</x:v>
      </x:c>
      <x:c r="C1349" s="43" t="str">
        <x:v>.docx</x:v>
      </x:c>
      <x:c r="D1349" s="61" t="n">
        <x:v>69496</x:v>
      </x:c>
      <x:c r="E1349" s="61" t="n">
        <x:v>275</x:v>
      </x:c>
      <x:c r="F1349" s="61" t="n">
        <x:v>3</x:v>
      </x:c>
    </x:row>
    <x:row r="1350">
      <x:c r="A1350" s="43" t="str">
        <x:v>L2023-00036-1</x:v>
      </x:c>
      <x:c r="B1350" s="46" t="str">
        <x:v>L2023-00036-1/붙임3_입찰관련서류_검토완_0717/Section 9 - Contract Forms1.docx</x:v>
      </x:c>
      <x:c r="C1350" s="43" t="str">
        <x:v>.docx</x:v>
      </x:c>
      <x:c r="D1350" s="61" t="n">
        <x:v>38156</x:v>
      </x:c>
      <x:c r="E1350" s="61" t="n">
        <x:v>30</x:v>
      </x:c>
      <x:c r="F1350" s="61" t="n">
        <x:v>0</x:v>
      </x:c>
    </x:row>
    <x:row r="1351">
      <x:c r="A1351" s="43" t="str">
        <x:v>L2023-00036-1</x:v>
      </x:c>
      <x:c r="B1351" s="46" t="str">
        <x:v>L2023-00036-1/붙임3_입찰관련서류_검토완_0717/Urgench_VTC_Bid Annoncement(The Daily Korean News for Korean Residents).docx</x:v>
      </x:c>
      <x:c r="C1351" s="43" t="str">
        <x:v>.docx</x:v>
      </x:c>
      <x:c r="D1351" s="61" t="n">
        <x:v>33056</x:v>
      </x:c>
      <x:c r="E1351" s="61" t="n">
        <x:v>25</x:v>
      </x:c>
      <x:c r="F1351" s="61" t="n">
        <x:v>3</x:v>
      </x:c>
    </x:row>
    <x:row r="1352">
      <x:c r="A1352" s="43" t="str">
        <x:v>L2023-00035-1</x:v>
      </x:c>
      <x:c r="B1352" s="46" t="str">
        <x:v>L2023-00035-1/DOC.zip</x:v>
      </x:c>
      <x:c r="C1352" s="43" t="str">
        <x:v>.zip</x:v>
      </x:c>
      <x:c r="D1352" s="61" t="n">
        <x:v>858990</x:v>
      </x:c>
      <x:c r="E1352" s="61" t="n">
        <x:v>0</x:v>
      </x:c>
      <x:c r="F1352" s="61" t="n">
        <x:v>0</x:v>
      </x:c>
    </x:row>
    <x:row r="1353">
      <x:c r="A1353" s="43" t="str">
        <x:v>L2023-00035-1</x:v>
      </x:c>
      <x:c r="B1353" s="46" t="str">
        <x:v>L2023-00035-1/DOC/OPSC_eng/ENG_Bid Document cover page_Kyrgyzstan_OPSC_22 JUNE_CM reviewed.doc</x:v>
      </x:c>
      <x:c r="C1353" s="43" t="str">
        <x:v>.doc</x:v>
      </x:c>
      <x:c r="D1353" s="61" t="n">
        <x:v>43520</x:v>
      </x:c>
      <x:c r="E1353" s="61" t="n">
        <x:v>9</x:v>
      </x:c>
      <x:c r="F1353" s="61" t="n">
        <x:v>0</x:v>
      </x:c>
    </x:row>
    <x:row r="1354">
      <x:c r="A1354" s="43" t="str">
        <x:v>L2023-00035-1</x:v>
      </x:c>
      <x:c r="B1354" s="46" t="str">
        <x:v>L2023-00035-1/DOC/OPSC_eng/ENG_Section 2 - Bid Data Sheet (BDS)_Kyrgyzstan_OPSC_22 JUNE_CM reviewed.docx</x:v>
      </x:c>
      <x:c r="C1354" s="43" t="str">
        <x:v>.docx</x:v>
      </x:c>
      <x:c r="D1354" s="61" t="n">
        <x:v>46259</x:v>
      </x:c>
      <x:c r="E1354" s="61" t="n">
        <x:v>215</x:v>
      </x:c>
      <x:c r="F1354" s="61" t="n">
        <x:v>6</x:v>
      </x:c>
    </x:row>
    <x:row r="1355">
      <x:c r="A1355" s="43" t="str">
        <x:v>L2023-00035-1</x:v>
      </x:c>
      <x:c r="B1355" s="46" t="str">
        <x:v>L2023-00035-1/DOC/OPSC_eng/ENG_Section 3 - Bidding Forms_Kyrgyz_OPSC_22 JUNE_CM reviewed.doc</x:v>
      </x:c>
      <x:c r="C1355" s="43" t="str">
        <x:v>.doc</x:v>
      </x:c>
      <x:c r="D1355" s="61" t="n">
        <x:v>209920</x:v>
      </x:c>
      <x:c r="E1355" s="61" t="n">
        <x:v>175</x:v>
      </x:c>
      <x:c r="F1355" s="61" t="n">
        <x:v>2</x:v>
      </x:c>
    </x:row>
    <x:row r="1356">
      <x:c r="A1356" s="43" t="str">
        <x:v>L2023-00035-1</x:v>
      </x:c>
      <x:c r="B1356" s="46" t="str">
        <x:v>L2023-00035-1/DOC/OPSC_eng/ENG_Section 4_5_6 - Requirements_Kyrgyz_OPSC_22 JUNE_CM reviewed.docx</x:v>
      </x:c>
      <x:c r="C1356" s="43" t="str">
        <x:v>.docx</x:v>
      </x:c>
      <x:c r="D1356" s="61" t="n">
        <x:v>26379</x:v>
      </x:c>
      <x:c r="E1356" s="61" t="n">
        <x:v>27</x:v>
      </x:c>
      <x:c r="F1356" s="61" t="n">
        <x:v>0</x:v>
      </x:c>
    </x:row>
    <x:row r="1357">
      <x:c r="A1357" s="43" t="str">
        <x:v>L2023-00035-1</x:v>
      </x:c>
      <x:c r="B1357" s="46" t="str">
        <x:v>L2023-00035-1/DOC/OPSC_eng/ENG_Section 7 - General Conditions of Contract_Kyrgyz_OPSC_22 JUNE.docx</x:v>
      </x:c>
      <x:c r="C1357" s="43" t="str">
        <x:v>.docx</x:v>
      </x:c>
      <x:c r="D1357" s="61" t="n">
        <x:v>216722</x:v>
      </x:c>
      <x:c r="E1357" s="61" t="n">
        <x:v>1543</x:v>
      </x:c>
      <x:c r="F1357" s="61" t="n">
        <x:v>2</x:v>
      </x:c>
    </x:row>
    <x:row r="1358">
      <x:c r="A1358" s="43" t="str">
        <x:v>L2023-00035-1</x:v>
      </x:c>
      <x:c r="B1358" s="46" t="str">
        <x:v>L2023-00035-1/DOC/OPSC_eng/ENG_Section 8 - Special Conditions of Contract_Kyrgyz_OPSC_22 JUNE_CM reviewed.docx</x:v>
      </x:c>
      <x:c r="C1358" s="43" t="str">
        <x:v>.docx</x:v>
      </x:c>
      <x:c r="D1358" s="61" t="n">
        <x:v>49216</x:v>
      </x:c>
      <x:c r="E1358" s="61" t="n">
        <x:v>270</x:v>
      </x:c>
      <x:c r="F1358" s="61" t="n">
        <x:v>2</x:v>
      </x:c>
    </x:row>
    <x:row r="1359">
      <x:c r="A1359" s="43" t="str">
        <x:v>L2023-00035-1</x:v>
      </x:c>
      <x:c r="B1359" s="46" t="str">
        <x:v>L2023-00035-1/DOC/OPSC_eng/ENG_Section 9 - Contract Forms_Kyrgyz_OPSC_22 JULY.docx</x:v>
      </x:c>
      <x:c r="C1359" s="43" t="str">
        <x:v>.docx</x:v>
      </x:c>
      <x:c r="D1359" s="61" t="n">
        <x:v>38747</x:v>
      </x:c>
      <x:c r="E1359" s="61" t="n">
        <x:v>30</x:v>
      </x:c>
      <x:c r="F1359" s="61" t="n">
        <x:v>0</x:v>
      </x:c>
    </x:row>
    <x:row r="1360">
      <x:c r="A1360" s="43" t="str">
        <x:v>L2023-00035-1</x:v>
      </x:c>
      <x:c r="B1360" s="46" t="str">
        <x:v>L2023-00035-1/DOC/OPSC_eng/ENG_Section_1_Instructions_to_Bidders_ITB_OPSC_22_JUNE_CM_reviewed.rtf</x:v>
      </x:c>
      <x:c r="C1360" s="43" t="str">
        <x:v>.rtf</x:v>
      </x:c>
      <x:c r="D1360" s="61" t="n">
        <x:v>257520</x:v>
      </x:c>
      <x:c r="E1360" s="61" t="n">
        <x:v>0</x:v>
      </x:c>
      <x:c r="F1360" s="61" t="n">
        <x:v>0</x:v>
      </x:c>
    </x:row>
    <x:row r="1361">
      <x:c r="A1361" s="43" t="str">
        <x:v>L2023-00035-1</x:v>
      </x:c>
      <x:c r="B1361" s="46" t="str">
        <x:v>L2023-00035-1/DOC/OPSC_rus/RUS_Bid Document cover page_Kyrgyzstan_0706.docx</x:v>
      </x:c>
      <x:c r="C1361" s="43" t="str">
        <x:v>.docx</x:v>
      </x:c>
      <x:c r="D1361" s="61" t="n">
        <x:v>18224</x:v>
      </x:c>
      <x:c r="E1361" s="61" t="n">
        <x:v>2</x:v>
      </x:c>
      <x:c r="F1361" s="61" t="n">
        <x:v>0</x:v>
      </x:c>
    </x:row>
    <x:row r="1362">
      <x:c r="A1362" s="43" t="str">
        <x:v>L2023-00035-1</x:v>
      </x:c>
      <x:c r="B1362" s="46" t="str">
        <x:v>L2023-00035-1/DOC/OPSC_rus/RUS_Section 1 - Instructions to Bidders (ITB)_0706.docx</x:v>
      </x:c>
      <x:c r="C1362" s="43" t="str">
        <x:v>.docx</x:v>
      </x:c>
      <x:c r="D1362" s="61" t="n">
        <x:v>39443</x:v>
      </x:c>
      <x:c r="E1362" s="61" t="n">
        <x:v>164</x:v>
      </x:c>
      <x:c r="F1362" s="61" t="n">
        <x:v>0</x:v>
      </x:c>
    </x:row>
    <x:row r="1363">
      <x:c r="A1363" s="43" t="str">
        <x:v>L2023-00035-1</x:v>
      </x:c>
      <x:c r="B1363" s="46" t="str">
        <x:v>L2023-00035-1/DOC/OPSC_rus/RUS_Section 2 - Bid Data Sheet_0706.docx</x:v>
      </x:c>
      <x:c r="C1363" s="43" t="str">
        <x:v>.docx</x:v>
      </x:c>
      <x:c r="D1363" s="61" t="n">
        <x:v>57171</x:v>
      </x:c>
      <x:c r="E1363" s="61" t="n">
        <x:v>213</x:v>
      </x:c>
      <x:c r="F1363" s="61" t="n">
        <x:v>0</x:v>
      </x:c>
    </x:row>
    <x:row r="1364">
      <x:c r="A1364" s="43" t="str">
        <x:v>L2023-00035-1</x:v>
      </x:c>
      <x:c r="B1364" s="46" t="str">
        <x:v>L2023-00035-1/DOC/OPSC_rus/RUS_Section 3 - Bidding Forms(annex1,3,4,5,8)_0706.docx</x:v>
      </x:c>
      <x:c r="C1364" s="43" t="str">
        <x:v>.docx</x:v>
      </x:c>
      <x:c r="D1364" s="61" t="n">
        <x:v>68385</x:v>
      </x:c>
      <x:c r="E1364" s="61" t="n">
        <x:v>309</x:v>
      </x:c>
      <x:c r="F1364" s="61" t="n">
        <x:v>0</x:v>
      </x:c>
    </x:row>
    <x:row r="1365">
      <x:c r="A1365" s="43" t="str">
        <x:v>L2023-00035-1</x:v>
      </x:c>
      <x:c r="B1365" s="46" t="str">
        <x:v>L2023-00035-1/DOC/OPSC_rus/RUS_Section 4 - Requirements (Section 4,5,6)_HDES_0706.docx</x:v>
      </x:c>
      <x:c r="C1365" s="43" t="str">
        <x:v>.docx</x:v>
      </x:c>
      <x:c r="D1365" s="61" t="n">
        <x:v>40393</x:v>
      </x:c>
      <x:c r="E1365" s="61" t="n">
        <x:v>28</x:v>
      </x:c>
      <x:c r="F1365" s="61" t="n">
        <x:v>0</x:v>
      </x:c>
    </x:row>
    <x:row r="1366">
      <x:c r="A1366" s="43" t="str">
        <x:v>L2023-00035-1</x:v>
      </x:c>
      <x:c r="B1366" s="46" t="str">
        <x:v>L2023-00035-1/DOC/OPSC_rus/RUS_Section 7 - General Conditions of Contract_Kyrgyz_0706.docx</x:v>
      </x:c>
      <x:c r="C1366" s="43" t="str">
        <x:v>.docx</x:v>
      </x:c>
      <x:c r="D1366" s="61" t="n">
        <x:v>149975</x:v>
      </x:c>
      <x:c r="E1366" s="61" t="n">
        <x:v>1542</x:v>
      </x:c>
      <x:c r="F1366" s="61" t="n">
        <x:v>0</x:v>
      </x:c>
    </x:row>
    <x:row r="1367">
      <x:c r="A1367" s="43" t="str">
        <x:v>L2023-00035-1</x:v>
      </x:c>
      <x:c r="B1367" s="46" t="str">
        <x:v>L2023-00035-1/DOC/OPSC_rus/RUS_Section 8 - Special Conditions of Contract_Kyrgyz_0706.docx</x:v>
      </x:c>
      <x:c r="C1367" s="43" t="str">
        <x:v>.docx</x:v>
      </x:c>
      <x:c r="D1367" s="61" t="n">
        <x:v>55184</x:v>
      </x:c>
      <x:c r="E1367" s="61" t="n">
        <x:v>270</x:v>
      </x:c>
      <x:c r="F1367" s="61" t="n">
        <x:v>0</x:v>
      </x:c>
    </x:row>
    <x:row r="1368">
      <x:c r="A1368" s="43" t="str">
        <x:v>L2023-00035-1</x:v>
      </x:c>
      <x:c r="B1368" s="46" t="str">
        <x:v>L2023-00035-1/DOC/OPSC_rus/RUS_Section 9 - Contract Forms_Kyrgyz_0706.docx</x:v>
      </x:c>
      <x:c r="C1368" s="43" t="str">
        <x:v>.docx</x:v>
      </x:c>
      <x:c r="D1368" s="61" t="n">
        <x:v>18381</x:v>
      </x:c>
      <x:c r="E1368" s="61" t="n">
        <x:v>30</x:v>
      </x:c>
      <x:c r="F1368" s="61" t="n">
        <x:v>0</x:v>
      </x:c>
    </x:row>
    <x:row r="1369">
      <x:c r="A1369" s="43" t="str">
        <x:v>L2023-00032-1</x:v>
      </x:c>
      <x:c r="B1369" s="46" t="str">
        <x:v>L2023-00032-1/1. 입찰공고문(국영문)_0628 수정.zip</x:v>
      </x:c>
      <x:c r="C1369" s="43" t="str">
        <x:v>.zip</x:v>
      </x:c>
      <x:c r="D1369" s="61" t="n">
        <x:v>160866</x:v>
      </x:c>
      <x:c r="E1369" s="61" t="n">
        <x:v>0</x:v>
      </x:c>
      <x:c r="F1369" s="61" t="n">
        <x:v>0</x:v>
      </x:c>
    </x:row>
    <x:row r="1370">
      <x:c r="A1370" s="43" t="str">
        <x:v>L2023-00032-1</x:v>
      </x:c>
      <x:c r="B1370" s="46" t="str">
        <x:v>L2023-00032-1/1. 입찰공고문(국영문)_0628 수정/Section 2 - └╘┬√░°░φ╣«(▒╣╣«)_╝÷┴ñ.hwp</x:v>
      </x:c>
      <x:c r="C1370" s="43" t="str">
        <x:v>.hwp</x:v>
      </x:c>
      <x:c r="D1370" s="61" t="n">
        <x:v>81408</x:v>
      </x:c>
      <x:c r="E1370" s="61" t="n">
        <x:v>522</x:v>
      </x:c>
      <x:c r="F1370" s="61" t="n">
        <x:v>2</x:v>
      </x:c>
    </x:row>
    <x:row r="1371">
      <x:c r="A1371" s="43" t="str">
        <x:v>L2023-00032-1</x:v>
      </x:c>
      <x:c r="B1371" s="46" t="str">
        <x:v>L2023-00032-1/1. 입찰공고문(국영문)_0628 수정/Section 2 - Bid Data Sheet (BDS)_╝÷┴ñ.docx</x:v>
      </x:c>
      <x:c r="C1371" s="43" t="str">
        <x:v>.docx</x:v>
      </x:c>
      <x:c r="D1371" s="61" t="n">
        <x:v>98260</x:v>
      </x:c>
      <x:c r="E1371" s="61" t="n">
        <x:v>297</x:v>
      </x:c>
      <x:c r="F1371" s="61" t="n">
        <x:v>4</x:v>
      </x:c>
    </x:row>
    <x:row r="1372">
      <x:c r="A1372" s="43" t="str">
        <x:v>L2023-00032-1</x:v>
      </x:c>
      <x:c r="B1372" s="46" t="str">
        <x:v>L2023-00032-1/2. 입찰서류(영문).zip</x:v>
      </x:c>
      <x:c r="C1372" s="43" t="str">
        <x:v>.zip</x:v>
      </x:c>
      <x:c r="D1372" s="61" t="n">
        <x:v>6952369</x:v>
      </x:c>
      <x:c r="E1372" s="61" t="n">
        <x:v>0</x:v>
      </x:c>
      <x:c r="F1372" s="61" t="n">
        <x:v>0</x:v>
      </x:c>
    </x:row>
    <x:row r="1373">
      <x:c r="A1373" s="43" t="str">
        <x:v>L2023-00032-1</x:v>
      </x:c>
      <x:c r="B1373" s="46" t="str">
        <x:v>L2023-00032-1/2. 입찰서류(영문)/Section 0 - Notice of Bid for Construction.docx</x:v>
      </x:c>
      <x:c r="C1373" s="43" t="str">
        <x:v>.docx</x:v>
      </x:c>
      <x:c r="D1373" s="61" t="n">
        <x:v>42658</x:v>
      </x:c>
      <x:c r="E1373" s="61" t="n">
        <x:v>53</x:v>
      </x:c>
      <x:c r="F1373" s="61" t="n">
        <x:v>1</x:v>
      </x:c>
    </x:row>
    <x:row r="1374">
      <x:c r="A1374" s="43" t="str">
        <x:v>L2023-00032-1</x:v>
      </x:c>
      <x:c r="B1374" s="46" t="str">
        <x:v>L2023-00032-1/2. 입찰서류(영문)/Section 1 - Instructions to Bidders (ITB).zip</x:v>
      </x:c>
      <x:c r="C1374" s="43" t="str">
        <x:v>.zip</x:v>
      </x:c>
      <x:c r="D1374" s="61" t="n">
        <x:v>142729</x:v>
      </x:c>
      <x:c r="E1374" s="61" t="n">
        <x:v>0</x:v>
      </x:c>
      <x:c r="F1374" s="61" t="n">
        <x:v>0</x:v>
      </x:c>
    </x:row>
    <x:row r="1375">
      <x:c r="A1375" s="43" t="str">
        <x:v>L2023-00032-1</x:v>
      </x:c>
      <x:c r="B1375" s="46" t="str">
        <x:v>L2023-00032-1/2. 입찰서류(영문)/Section 3 - Bidding Forms.doc</x:v>
      </x:c>
      <x:c r="C1375" s="43" t="str">
        <x:v>.doc</x:v>
      </x:c>
      <x:c r="D1375" s="61" t="n">
        <x:v>158720</x:v>
      </x:c>
      <x:c r="E1375" s="61" t="n">
        <x:v>138</x:v>
      </x:c>
      <x:c r="F1375" s="61" t="n">
        <x:v>0</x:v>
      </x:c>
    </x:row>
    <x:row r="1376">
      <x:c r="A1376" s="43" t="str">
        <x:v>L2023-00032-1</x:v>
      </x:c>
      <x:c r="B1376" s="46" t="str">
        <x:v>L2023-00032-1/2. 입찰서류(영문)/Section 4 - Unpriced Bill of Quantities.xlsx</x:v>
      </x:c>
      <x:c r="C1376" s="43" t="str">
        <x:v>.xlsx</x:v>
      </x:c>
      <x:c r="D1376" s="61" t="n">
        <x:v>97554</x:v>
      </x:c>
      <x:c r="E1376" s="61" t="n">
        <x:v>365</x:v>
      </x:c>
      <x:c r="F1376" s="61" t="n">
        <x:v>0</x:v>
      </x:c>
    </x:row>
    <x:row r="1377">
      <x:c r="A1377" s="43" t="str">
        <x:v>L2023-00032-1</x:v>
      </x:c>
      <x:c r="B1377" s="46" t="str">
        <x:v>L2023-00032-1/2. 입찰서류(영문)/Section 4-5-6 - Requirements.docx</x:v>
      </x:c>
      <x:c r="C1377" s="43" t="str">
        <x:v>.docx</x:v>
      </x:c>
      <x:c r="D1377" s="61" t="n">
        <x:v>35257</x:v>
      </x:c>
      <x:c r="E1377" s="61" t="n">
        <x:v>13</x:v>
      </x:c>
      <x:c r="F1377" s="61" t="n">
        <x:v>0</x:v>
      </x:c>
    </x:row>
    <x:row r="1378">
      <x:c r="A1378" s="43" t="str">
        <x:v>L2023-00032-1</x:v>
      </x:c>
      <x:c r="B1378" s="46" t="str">
        <x:v>L2023-00032-1/2. 입찰서류(영문)/Section 6 - Technical Specifications.docx</x:v>
      </x:c>
      <x:c r="C1378" s="43" t="str">
        <x:v>.docx</x:v>
      </x:c>
      <x:c r="D1378" s="61" t="n">
        <x:v>1966840</x:v>
      </x:c>
      <x:c r="E1378" s="61" t="n">
        <x:v>9213</x:v>
      </x:c>
      <x:c r="F1378" s="61" t="n">
        <x:v>12</x:v>
      </x:c>
    </x:row>
    <x:row r="1379">
      <x:c r="A1379" s="43" t="str">
        <x:v>L2023-00032-1</x:v>
      </x:c>
      <x:c r="B1379" s="46" t="str">
        <x:v>L2023-00032-1/2. 입찰서류(영문)/Section 6 - Technical Specifications.pdf</x:v>
      </x:c>
      <x:c r="C1379" s="43" t="str">
        <x:v>.pdf</x:v>
      </x:c>
      <x:c r="D1379" s="61" t="n">
        <x:v>4580136</x:v>
      </x:c>
      <x:c r="E1379" s="61" t="n">
        <x:v>272</x:v>
      </x:c>
      <x:c r="F1379" s="61" t="n">
        <x:v>59</x:v>
      </x:c>
    </x:row>
    <x:row r="1380">
      <x:c r="A1380" s="43" t="str">
        <x:v>L2023-00032-1</x:v>
      </x:c>
      <x:c r="B1380" s="46" t="str">
        <x:v>L2023-00032-1/2. 입찰서류(영문)/Section 7 - General Conditions of Contract.docx</x:v>
      </x:c>
      <x:c r="C1380" s="43" t="str">
        <x:v>.docx</x:v>
      </x:c>
      <x:c r="D1380" s="61" t="n">
        <x:v>202912</x:v>
      </x:c>
      <x:c r="E1380" s="61" t="n">
        <x:v>1406</x:v>
      </x:c>
      <x:c r="F1380" s="61" t="n">
        <x:v>2</x:v>
      </x:c>
    </x:row>
    <x:row r="1381">
      <x:c r="A1381" s="43" t="str">
        <x:v>L2023-00032-1</x:v>
      </x:c>
      <x:c r="B1381" s="46" t="str">
        <x:v>L2023-00032-1/2. 입찰서류(영문)/Section 8 - Specail Conditions of Contract.docx</x:v>
      </x:c>
      <x:c r="C1381" s="43" t="str">
        <x:v>.docx</x:v>
      </x:c>
      <x:c r="D1381" s="61" t="n">
        <x:v>62942</x:v>
      </x:c>
      <x:c r="E1381" s="61" t="n">
        <x:v>289</x:v>
      </x:c>
      <x:c r="F1381" s="61" t="n">
        <x:v>1</x:v>
      </x:c>
    </x:row>
    <x:row r="1382">
      <x:c r="A1382" s="43" t="str">
        <x:v>L2023-00032-1</x:v>
      </x:c>
      <x:c r="B1382" s="46" t="str">
        <x:v>L2023-00032-1/2. 입찰서류(영문)/Section 9 - Contract Forms.docx</x:v>
      </x:c>
      <x:c r="C1382" s="43" t="str">
        <x:v>.docx</x:v>
      </x:c>
      <x:c r="D1382" s="61" t="n">
        <x:v>38159</x:v>
      </x:c>
      <x:c r="E1382" s="61" t="n">
        <x:v>30</x:v>
      </x:c>
      <x:c r="F1382" s="61" t="n">
        <x:v>0</x:v>
      </x:c>
    </x:row>
    <x:row r="1383">
      <x:c r="A1383" s="43" t="str">
        <x:v>L2023-00030-1</x:v>
      </x:c>
      <x:c r="B1383" s="46" t="str">
        <x:v>L2023-00030-1/1. Invitation for Bids(Design &amp; Construction Supervision Services_Ovalau_KOICA)_v3.docx</x:v>
      </x:c>
      <x:c r="C1383" s="43" t="str">
        <x:v>.docx</x:v>
      </x:c>
      <x:c r="D1383" s="61" t="n">
        <x:v>39421</x:v>
      </x:c>
      <x:c r="E1383" s="61" t="n">
        <x:v>61</x:v>
      </x:c>
      <x:c r="F1383" s="61" t="n">
        <x:v>1</x:v>
      </x:c>
    </x:row>
    <x:row r="1384">
      <x:c r="A1384" s="43" t="str">
        <x:v>L2023-00030-1</x:v>
      </x:c>
      <x:c r="B1384" s="46" t="str">
        <x:v>L2023-00030-1/2. Bid Data Sheet(Design &amp; Construction Supervision Services_Ovalau_KOICA)_v2.docx</x:v>
      </x:c>
      <x:c r="C1384" s="43" t="str">
        <x:v>.docx</x:v>
      </x:c>
      <x:c r="D1384" s="61" t="n">
        <x:v>38488</x:v>
      </x:c>
      <x:c r="E1384" s="61" t="n">
        <x:v>86</x:v>
      </x:c>
      <x:c r="F1384" s="61" t="n">
        <x:v>1</x:v>
      </x:c>
    </x:row>
    <x:row r="1385">
      <x:c r="A1385" s="43" t="str">
        <x:v>L2023-00028-1</x:v>
      </x:c>
      <x:c r="B1385" s="46" t="str">
        <x:v>L2023-00028-1/1. 입찰계획안(국, 영문).zip</x:v>
      </x:c>
      <x:c r="C1385" s="43" t="str">
        <x:v>.zip</x:v>
      </x:c>
      <x:c r="D1385" s="61" t="n">
        <x:v>5172957</x:v>
      </x:c>
      <x:c r="E1385" s="61" t="n">
        <x:v>0</x:v>
      </x:c>
      <x:c r="F1385" s="61" t="n">
        <x:v>0</x:v>
      </x:c>
    </x:row>
    <x:row r="1386">
      <x:c r="A1386" s="43" t="str">
        <x:v>L2023-00028-1</x:v>
      </x:c>
      <x:c r="B1386" s="46" t="str">
        <x:v>L2023-00028-1/1. 입찰계획안(국, 영문)/1-1. Bidding Guideline_KOR_230622.docx</x:v>
      </x:c>
      <x:c r="C1386" s="43" t="str">
        <x:v>.docx</x:v>
      </x:c>
      <x:c r="D1386" s="61" t="n">
        <x:v>2588298</x:v>
      </x:c>
      <x:c r="E1386" s="61" t="n">
        <x:v>246</x:v>
      </x:c>
      <x:c r="F1386" s="61" t="n">
        <x:v>2</x:v>
      </x:c>
    </x:row>
    <x:row r="1387">
      <x:c r="A1387" s="43" t="str">
        <x:v>L2023-00028-1</x:v>
      </x:c>
      <x:c r="B1387" s="46" t="str">
        <x:v>L2023-00028-1/1. 입찰계획안(국, 영문)/1-2. Bidding Guideline_ENG_230622.docx</x:v>
      </x:c>
      <x:c r="C1387" s="43" t="str">
        <x:v>.docx</x:v>
      </x:c>
      <x:c r="D1387" s="61" t="n">
        <x:v>2591895</x:v>
      </x:c>
      <x:c r="E1387" s="61" t="n">
        <x:v>249</x:v>
      </x:c>
      <x:c r="F1387" s="61" t="n">
        <x:v>2</x:v>
      </x:c>
    </x:row>
    <x:row r="1388">
      <x:c r="A1388" s="43" t="str">
        <x:v>L2023-00028-1</x:v>
      </x:c>
      <x:c r="B1388" s="46" t="str">
        <x:v>L2023-00028-1/2. 입찰서류(영문).zip</x:v>
      </x:c>
      <x:c r="C1388" s="43" t="str">
        <x:v>.zip</x:v>
      </x:c>
      <x:c r="D1388" s="61" t="n">
        <x:v>8251178</x:v>
      </x:c>
      <x:c r="E1388" s="61" t="n">
        <x:v>0</x:v>
      </x:c>
      <x:c r="F1388" s="61" t="n">
        <x:v>0</x:v>
      </x:c>
    </x:row>
    <x:row r="1389">
      <x:c r="A1389" s="43" t="str">
        <x:v>L2023-00028-1</x:v>
      </x:c>
      <x:c r="B1389" s="46" t="str">
        <x:v>L2023-00028-1/2. 입찰서류(영문)/1. Bidding Guideline_ENG_230622.docx</x:v>
      </x:c>
      <x:c r="C1389" s="43" t="str">
        <x:v>.docx</x:v>
      </x:c>
      <x:c r="D1389" s="61" t="n">
        <x:v>2591895</x:v>
      </x:c>
      <x:c r="E1389" s="61" t="n">
        <x:v>249</x:v>
      </x:c>
      <x:c r="F1389" s="61" t="n">
        <x:v>2</x:v>
      </x:c>
    </x:row>
    <x:row r="1390">
      <x:c r="A1390" s="43" t="str">
        <x:v>L2023-00028-1</x:v>
      </x:c>
      <x:c r="B1390" s="46" t="str">
        <x:v>L2023-00028-1/2. 입찰서류(영문)/2. Bidding for the Provision of Services.docx</x:v>
      </x:c>
      <x:c r="C1390" s="43" t="str">
        <x:v>.docx</x:v>
      </x:c>
      <x:c r="D1390" s="61" t="n">
        <x:v>35313</x:v>
      </x:c>
      <x:c r="E1390" s="61" t="n">
        <x:v>161</x:v>
      </x:c>
      <x:c r="F1390" s="61" t="n">
        <x:v>0</x:v>
      </x:c>
    </x:row>
    <x:row r="1391">
      <x:c r="A1391" s="43" t="str">
        <x:v>L2023-00028-1</x:v>
      </x:c>
      <x:c r="B1391" s="46" t="str">
        <x:v>L2023-00028-1/2. 입찰서류(영문)/3. Bidding Forms.docx</x:v>
      </x:c>
      <x:c r="C1391" s="43" t="str">
        <x:v>.docx</x:v>
      </x:c>
      <x:c r="D1391" s="61" t="n">
        <x:v>44331</x:v>
      </x:c>
      <x:c r="E1391" s="61" t="n">
        <x:v>208</x:v>
      </x:c>
      <x:c r="F1391" s="61" t="n">
        <x:v>0</x:v>
      </x:c>
    </x:row>
    <x:row r="1392">
      <x:c r="A1392" s="43" t="str">
        <x:v>L2023-00028-1</x:v>
      </x:c>
      <x:c r="B1392" s="46" t="str">
        <x:v>L2023-00028-1/2. 입찰서류(영문)/4. Terms of Reference with CM forms.zip</x:v>
      </x:c>
      <x:c r="C1392" s="43" t="str">
        <x:v>.zip</x:v>
      </x:c>
      <x:c r="D1392" s="61" t="n">
        <x:v>5546052</x:v>
      </x:c>
      <x:c r="E1392" s="61" t="n">
        <x:v>0</x:v>
      </x:c>
      <x:c r="F1392" s="61" t="n">
        <x:v>0</x:v>
      </x:c>
    </x:row>
    <x:row r="1393">
      <x:c r="A1393" s="43" t="str">
        <x:v>L2023-00028-1</x:v>
      </x:c>
      <x:c r="B1393" s="46" t="str">
        <x:v>L2023-00028-1/2. 입찰서류(영문)/5. Standard Forms of Contract.docx</x:v>
      </x:c>
      <x:c r="C1393" s="43" t="str">
        <x:v>.docx</x:v>
      </x:c>
      <x:c r="D1393" s="61" t="n">
        <x:v>47998</x:v>
      </x:c>
      <x:c r="E1393" s="61" t="n">
        <x:v>241</x:v>
      </x:c>
      <x:c r="F1393" s="61" t="n">
        <x:v>0</x:v>
      </x:c>
    </x:row>
    <x:row r="1394">
      <x:c r="A1394" s="43" t="str">
        <x:v>L2023-00027-1</x:v>
      </x:c>
      <x:c r="B1394" s="46" t="str">
        <x:v>L2023-00027-1/1. 입찰계획 (국문)_v2.hwp</x:v>
      </x:c>
      <x:c r="C1394" s="43" t="str">
        <x:v>.hwp</x:v>
      </x:c>
      <x:c r="D1394" s="61" t="n">
        <x:v>68608</x:v>
      </x:c>
      <x:c r="E1394" s="61" t="n">
        <x:v>363</x:v>
      </x:c>
      <x:c r="F1394" s="61" t="n">
        <x:v>4</x:v>
      </x:c>
    </x:row>
    <x:row r="1395">
      <x:c r="A1395" s="43" t="str">
        <x:v>L2023-00027-1</x:v>
      </x:c>
      <x:c r="B1395" s="46" t="str">
        <x:v>L2023-00027-1/입찰서류 일체(영서).zip</x:v>
      </x:c>
      <x:c r="C1395" s="43" t="str">
        <x:v>.zip</x:v>
      </x:c>
      <x:c r="D1395" s="61" t="n">
        <x:v>6094995</x:v>
      </x:c>
      <x:c r="E1395" s="61" t="n">
        <x:v>0</x:v>
      </x:c>
      <x:c r="F1395" s="61" t="n">
        <x:v>0</x:v>
      </x:c>
    </x:row>
    <x:row r="1396">
      <x:c r="A1396" s="43" t="str">
        <x:v>L2023-00027-1</x:v>
      </x:c>
      <x:c r="B1396" s="46" t="str">
        <x:v>L2023-00027-1/입찰서류 일체(영서)/Attachments.rar</x:v>
      </x:c>
      <x:c r="C1396" s="43" t="str">
        <x:v>.rar</x:v>
      </x:c>
      <x:c r="D1396" s="61" t="n">
        <x:v>1688683</x:v>
      </x:c>
      <x:c r="E1396" s="61" t="n">
        <x:v>0</x:v>
      </x:c>
      <x:c r="F1396" s="61" t="n">
        <x:v>0</x:v>
      </x:c>
    </x:row>
    <x:row r="1397">
      <x:c r="A1397" s="43" t="str">
        <x:v>L2023-00027-1</x:v>
      </x:c>
      <x:c r="B1397" s="46" t="str">
        <x:v>L2023-00027-1/입찰서류 일체(영서)/Section 1 - Instructions to Bidders (ITB) espanol.pdf</x:v>
      </x:c>
      <x:c r="C1397" s="43" t="str">
        <x:v>.pdf</x:v>
      </x:c>
      <x:c r="D1397" s="61" t="n">
        <x:v>239487</x:v>
      </x:c>
      <x:c r="E1397" s="61" t="n">
        <x:v>10</x:v>
      </x:c>
      <x:c r="F1397" s="61" t="n">
        <x:v>0</x:v>
      </x:c>
    </x:row>
    <x:row r="1398">
      <x:c r="A1398" s="43" t="str">
        <x:v>L2023-00027-1</x:v>
      </x:c>
      <x:c r="B1398" s="46" t="str">
        <x:v>L2023-00027-1/입찰서류 일체(영서)/Section 1 - Instructions to Bidders (ITB).pdf</x:v>
      </x:c>
      <x:c r="C1398" s="43" t="str">
        <x:v>.pdf</x:v>
      </x:c>
      <x:c r="D1398" s="61" t="n">
        <x:v>119325</x:v>
      </x:c>
      <x:c r="E1398" s="61" t="n">
        <x:v>10</x:v>
      </x:c>
      <x:c r="F1398" s="61" t="n">
        <x:v>0</x:v>
      </x:c>
    </x:row>
    <x:row r="1399">
      <x:c r="A1399" s="43" t="str">
        <x:v>L2023-00027-1</x:v>
      </x:c>
      <x:c r="B1399" s="46" t="str">
        <x:v>L2023-00027-1/입찰서류 일체(영서)/Section 2 - Bid Data Sheet (┐╡╣«) espanol.pdf</x:v>
      </x:c>
      <x:c r="C1399" s="43" t="str">
        <x:v>.pdf</x:v>
      </x:c>
      <x:c r="D1399" s="61" t="n">
        <x:v>523984</x:v>
      </x:c>
      <x:c r="E1399" s="61" t="n">
        <x:v>15</x:v>
      </x:c>
      <x:c r="F1399" s="61" t="n">
        <x:v>0</x:v>
      </x:c>
    </x:row>
    <x:row r="1400">
      <x:c r="A1400" s="43" t="str">
        <x:v>L2023-00027-1</x:v>
      </x:c>
      <x:c r="B1400" s="46" t="str">
        <x:v>L2023-00027-1/입찰서류 일체(영서)/Section 2 - Bid Data Sheet.pdf</x:v>
      </x:c>
      <x:c r="C1400" s="43" t="str">
        <x:v>.pdf</x:v>
      </x:c>
      <x:c r="D1400" s="61" t="n">
        <x:v>519083</x:v>
      </x:c>
      <x:c r="E1400" s="61" t="n">
        <x:v>15</x:v>
      </x:c>
      <x:c r="F1400" s="61" t="n">
        <x:v>7</x:v>
      </x:c>
    </x:row>
    <x:row r="1401">
      <x:c r="A1401" s="43" t="str">
        <x:v>L2023-00027-1</x:v>
      </x:c>
      <x:c r="B1401" s="46" t="str">
        <x:v>L2023-00027-1/입찰서류 일체(영서)/Section 3 - Bidding Forms (┐╡╣«).docx</x:v>
      </x:c>
      <x:c r="C1401" s="43" t="str">
        <x:v>.docx</x:v>
      </x:c>
      <x:c r="D1401" s="61" t="n">
        <x:v>59114</x:v>
      </x:c>
      <x:c r="E1401" s="61" t="n">
        <x:v>189</x:v>
      </x:c>
      <x:c r="F1401" s="61" t="n">
        <x:v>0</x:v>
      </x:c>
    </x:row>
    <x:row r="1402">
      <x:c r="A1402" s="43" t="str">
        <x:v>L2023-00027-1</x:v>
      </x:c>
      <x:c r="B1402" s="46" t="str">
        <x:v>L2023-00027-1/입찰서류 일체(영서)/Section 3 - Bidding Forms (┐╡╣«).pdf</x:v>
      </x:c>
      <x:c r="C1402" s="43" t="str">
        <x:v>.pdf</x:v>
      </x:c>
      <x:c r="D1402" s="61" t="n">
        <x:v>430716</x:v>
      </x:c>
      <x:c r="E1402" s="61" t="n">
        <x:v>18</x:v>
      </x:c>
      <x:c r="F1402" s="61" t="n">
        <x:v>0</x:v>
      </x:c>
    </x:row>
    <x:row r="1403">
      <x:c r="A1403" s="43" t="str">
        <x:v>L2023-00027-1</x:v>
      </x:c>
      <x:c r="B1403" s="46" t="str">
        <x:v>L2023-00027-1/입찰서류 일체(영서)/Section 3 - Bidding Forms espanol.docx</x:v>
      </x:c>
      <x:c r="C1403" s="43" t="str">
        <x:v>.docx</x:v>
      </x:c>
      <x:c r="D1403" s="61" t="n">
        <x:v>47279</x:v>
      </x:c>
      <x:c r="E1403" s="61" t="n">
        <x:v>188</x:v>
      </x:c>
      <x:c r="F1403" s="61" t="n">
        <x:v>0</x:v>
      </x:c>
    </x:row>
    <x:row r="1404">
      <x:c r="A1404" s="43" t="str">
        <x:v>L2023-00027-1</x:v>
      </x:c>
      <x:c r="B1404" s="46" t="str">
        <x:v>L2023-00027-1/입찰서류 일체(영서)/Section 3 - Bidding Forms espanol.pdf</x:v>
      </x:c>
      <x:c r="C1404" s="43" t="str">
        <x:v>.pdf</x:v>
      </x:c>
      <x:c r="D1404" s="61" t="n">
        <x:v>478533</x:v>
      </x:c>
      <x:c r="E1404" s="61" t="n">
        <x:v>18</x:v>
      </x:c>
      <x:c r="F1404" s="61" t="n">
        <x:v>0</x:v>
      </x:c>
    </x:row>
    <x:row r="1405">
      <x:c r="A1405" s="43" t="str">
        <x:v>L2023-00027-1</x:v>
      </x:c>
      <x:c r="B1405" s="46" t="str">
        <x:v>L2023-00027-1/입찰서류 일체(영서)/Section 7 - General Conditions of Contract espanol.pdf</x:v>
      </x:c>
      <x:c r="C1405" s="43" t="str">
        <x:v>.pdf</x:v>
      </x:c>
      <x:c r="D1405" s="61" t="n">
        <x:v>1032547</x:v>
      </x:c>
      <x:c r="E1405" s="61" t="n">
        <x:v>71</x:v>
      </x:c>
      <x:c r="F1405" s="61" t="n">
        <x:v>0</x:v>
      </x:c>
    </x:row>
    <x:row r="1406">
      <x:c r="A1406" s="43" t="str">
        <x:v>L2023-00027-1</x:v>
      </x:c>
      <x:c r="B1406" s="46" t="str">
        <x:v>L2023-00027-1/입찰서류 일체(영서)/Section 7 - General Conditions of Contract.pdf</x:v>
      </x:c>
      <x:c r="C1406" s="43" t="str">
        <x:v>.pdf</x:v>
      </x:c>
      <x:c r="D1406" s="61" t="n">
        <x:v>1063868</x:v>
      </x:c>
      <x:c r="E1406" s="61" t="n">
        <x:v>68</x:v>
      </x:c>
      <x:c r="F1406" s="61" t="n">
        <x:v>3</x:v>
      </x:c>
    </x:row>
    <x:row r="1407">
      <x:c r="A1407" s="43" t="str">
        <x:v>L2023-00027-1</x:v>
      </x:c>
      <x:c r="B1407" s="46" t="str">
        <x:v>L2023-00027-1/입찰서류 일체(영서)/Section 8 - Special Conditions of Contract espanol.pdf</x:v>
      </x:c>
      <x:c r="C1407" s="43" t="str">
        <x:v>.pdf</x:v>
      </x:c>
      <x:c r="D1407" s="61" t="n">
        <x:v>260376</x:v>
      </x:c>
      <x:c r="E1407" s="61" t="n">
        <x:v>25</x:v>
      </x:c>
      <x:c r="F1407" s="61" t="n">
        <x:v>0</x:v>
      </x:c>
    </x:row>
    <x:row r="1408">
      <x:c r="A1408" s="43" t="str">
        <x:v>L2023-00027-1</x:v>
      </x:c>
      <x:c r="B1408" s="46" t="str">
        <x:v>L2023-00027-1/입찰서류 일체(영서)/Section 8 - Special Conditions of Contract.pdf</x:v>
      </x:c>
      <x:c r="C1408" s="43" t="str">
        <x:v>.pdf</x:v>
      </x:c>
      <x:c r="D1408" s="61" t="n">
        <x:v>287401</x:v>
      </x:c>
      <x:c r="E1408" s="61" t="n">
        <x:v>25</x:v>
      </x:c>
      <x:c r="F1408" s="61" t="n">
        <x:v>1</x:v>
      </x:c>
    </x:row>
    <x:row r="1409">
      <x:c r="A1409" s="43" t="str">
        <x:v>L2023-00027-1</x:v>
      </x:c>
      <x:c r="B1409" s="46" t="str">
        <x:v>L2023-00027-1/입찰서류 일체(영서)/Section 9 - Contract Forms espanol.pdf</x:v>
      </x:c>
      <x:c r="C1409" s="43" t="str">
        <x:v>.pdf</x:v>
      </x:c>
      <x:c r="D1409" s="61" t="n">
        <x:v>108740</x:v>
      </x:c>
      <x:c r="E1409" s="61" t="n">
        <x:v>2</x:v>
      </x:c>
      <x:c r="F1409" s="61" t="n">
        <x:v>0</x:v>
      </x:c>
    </x:row>
    <x:row r="1410">
      <x:c r="A1410" s="43" t="str">
        <x:v>L2023-00027-1</x:v>
      </x:c>
      <x:c r="B1410" s="46" t="str">
        <x:v>L2023-00027-1/입찰서류 일체(영서)/Section 9 - Contract Forms.pdf</x:v>
      </x:c>
      <x:c r="C1410" s="43" t="str">
        <x:v>.pdf</x:v>
      </x:c>
      <x:c r="D1410" s="61" t="n">
        <x:v>109960</x:v>
      </x:c>
      <x:c r="E1410" s="61" t="n">
        <x:v>2</x:v>
      </x:c>
      <x:c r="F1410" s="61" t="n">
        <x:v>1</x:v>
      </x:c>
    </x:row>
    <x:row r="1411">
      <x:c r="A1411" s="43" t="str">
        <x:v>L2023-00024-1</x:v>
      </x:c>
      <x:c r="B1411" s="46" t="str">
        <x:v>L2023-00024-1/(붙임2) 입찰공고문_ENG_DOC_30 March.zip</x:v>
      </x:c>
      <x:c r="C1411" s="43" t="str">
        <x:v>.zip</x:v>
      </x:c>
      <x:c r="D1411" s="61" t="n">
        <x:v>464871</x:v>
      </x:c>
      <x:c r="E1411" s="61" t="n">
        <x:v>0</x:v>
      </x:c>
      <x:c r="F1411" s="61" t="n">
        <x:v>0</x:v>
      </x:c>
    </x:row>
    <x:row r="1412">
      <x:c r="A1412" s="43" t="str">
        <x:v>L2023-00024-1</x:v>
      </x:c>
      <x:c r="B1412" s="46" t="str">
        <x:v>L2023-00024-1/(붙임2) 입찰공고문_ENG_DOC_30 March/(║┘└╙2) └╘┬√░°░φ╣«_ENG_DOC_30 March/ENG_Bid Document cover page_Kyrgyzstan_30 March.doc</x:v>
      </x:c>
      <x:c r="C1412" s="43" t="str">
        <x:v>.doc</x:v>
      </x:c>
      <x:c r="D1412" s="61" t="n">
        <x:v>43008</x:v>
      </x:c>
      <x:c r="E1412" s="61" t="n">
        <x:v>9</x:v>
      </x:c>
      <x:c r="F1412" s="61" t="n">
        <x:v>0</x:v>
      </x:c>
    </x:row>
    <x:row r="1413">
      <x:c r="A1413" s="43" t="str">
        <x:v>L2023-00024-1</x:v>
      </x:c>
      <x:c r="B1413" s="46" t="str">
        <x:v>L2023-00024-1/(붙임2) 입찰공고문_ENG_DOC_30 March/(║┘└╙2) └╘┬√░°░φ╣«_ENG_DOC_30 March/ENG_Section 1 - Instructions to Bidders (ITB)_30 March.doc</x:v>
      </x:c>
      <x:c r="C1413" s="43" t="str">
        <x:v>.doc</x:v>
      </x:c>
      <x:c r="D1413" s="61" t="n">
        <x:v>257231</x:v>
      </x:c>
      <x:c r="E1413" s="61" t="n">
        <x:v>38</x:v>
      </x:c>
      <x:c r="F1413" s="61" t="n">
        <x:v>0</x:v>
      </x:c>
    </x:row>
    <x:row r="1414">
      <x:c r="A1414" s="43" t="str">
        <x:v>L2023-00024-1</x:v>
      </x:c>
      <x:c r="B1414" s="46" t="str">
        <x:v>L2023-00024-1/(붙임2) 입찰공고문_ENG_DOC_30 March/(║┘└╙2) └╘┬√░°░φ╣«_ENG_DOC_30 March/ENG_Section 2 - Bid Data Sheet (BDS)_Kyrgyzstan_30 March.rtf</x:v>
      </x:c>
      <x:c r="C1414" s="43" t="str">
        <x:v>.rtf</x:v>
      </x:c>
      <x:c r="D1414" s="61" t="n">
        <x:v>402200</x:v>
      </x:c>
      <x:c r="E1414" s="61" t="n">
        <x:v>0</x:v>
      </x:c>
      <x:c r="F1414" s="61" t="n">
        <x:v>0</x:v>
      </x:c>
    </x:row>
    <x:row r="1415">
      <x:c r="A1415" s="43" t="str">
        <x:v>L2023-00024-1</x:v>
      </x:c>
      <x:c r="B1415" s="46" t="str">
        <x:v>L2023-00024-1/(붙임2) 입찰공고문_ENG_DOC_30 March/(║┘└╙2) └╘┬√░°░φ╣«_ENG_DOC_30 March/ENG_Section 3 - Bidding Forms_Kyrgyz_30 March.doc</x:v>
      </x:c>
      <x:c r="C1415" s="43" t="str">
        <x:v>.doc</x:v>
      </x:c>
      <x:c r="D1415" s="61" t="n">
        <x:v>209920</x:v>
      </x:c>
      <x:c r="E1415" s="61" t="n">
        <x:v>176</x:v>
      </x:c>
      <x:c r="F1415" s="61" t="n">
        <x:v>3</x:v>
      </x:c>
    </x:row>
    <x:row r="1416">
      <x:c r="A1416" s="43" t="str">
        <x:v>L2023-00024-1</x:v>
      </x:c>
      <x:c r="B1416" s="46" t="str">
        <x:v>L2023-00024-1/(붙임2) 입찰공고문_ENG_DOC_30 March/(║┘└╙2) └╘┬√░°░φ╣«_ENG_DOC_30 March/ENG_Section 4_5_6 - Requirements_Kyrgyz_30 March.docx</x:v>
      </x:c>
      <x:c r="C1416" s="43" t="str">
        <x:v>.docx</x:v>
      </x:c>
      <x:c r="D1416" s="61" t="n">
        <x:v>36927</x:v>
      </x:c>
      <x:c r="E1416" s="61" t="n">
        <x:v>24</x:v>
      </x:c>
      <x:c r="F1416" s="61" t="n">
        <x:v>0</x:v>
      </x:c>
    </x:row>
    <x:row r="1417">
      <x:c r="A1417" s="43" t="str">
        <x:v>L2023-00024-1</x:v>
      </x:c>
      <x:c r="B1417" s="46" t="str">
        <x:v>L2023-00024-1/(붙임2) 입찰공고문_ENG_DOC_30 March/(║┘└╙2) └╘┬√░°░φ╣«_ENG_DOC_30 March/ENG_Section 7 - General Conditions of Contract_Kyrgyz_30 March.docx</x:v>
      </x:c>
      <x:c r="C1417" s="43" t="str">
        <x:v>.docx</x:v>
      </x:c>
      <x:c r="D1417" s="61" t="n">
        <x:v>217836</x:v>
      </x:c>
      <x:c r="E1417" s="61" t="n">
        <x:v>1543</x:v>
      </x:c>
      <x:c r="F1417" s="61" t="n">
        <x:v>2</x:v>
      </x:c>
    </x:row>
    <x:row r="1418">
      <x:c r="A1418" s="43" t="str">
        <x:v>L2023-00024-1</x:v>
      </x:c>
      <x:c r="B1418" s="46" t="str">
        <x:v>L2023-00024-1/(붙임2) 입찰공고문_ENG_DOC_30 March/(║┘└╙2) └╘┬√░°░φ╣«_ENG_DOC_30 March/ENG_Section 8 - Special Conditions of Contract_Kyrgyz_30 March.docx</x:v>
      </x:c>
      <x:c r="C1418" s="43" t="str">
        <x:v>.docx</x:v>
      </x:c>
      <x:c r="D1418" s="61" t="n">
        <x:v>68099</x:v>
      </x:c>
      <x:c r="E1418" s="61" t="n">
        <x:v>276</x:v>
      </x:c>
      <x:c r="F1418" s="61" t="n">
        <x:v>1</x:v>
      </x:c>
    </x:row>
    <x:row r="1419">
      <x:c r="A1419" s="43" t="str">
        <x:v>L2023-00024-1</x:v>
      </x:c>
      <x:c r="B1419" s="46" t="str">
        <x:v>L2023-00024-1/(붙임2) 입찰공고문_ENG_DOC_30 March/(║┘└╙2) └╘┬√░°░φ╣«_ENG_DOC_30 March/ENG_Section 9 - Contract Forms_Kyrgyz_30 March.docx</x:v>
      </x:c>
      <x:c r="C1419" s="43" t="str">
        <x:v>.docx</x:v>
      </x:c>
      <x:c r="D1419" s="61" t="n">
        <x:v>38097</x:v>
      </x:c>
      <x:c r="E1419" s="61" t="n">
        <x:v>30</x:v>
      </x:c>
      <x:c r="F1419" s="61" t="n">
        <x:v>0</x:v>
      </x:c>
    </x:row>
    <x:row r="1420">
      <x:c r="A1420" s="43" t="str">
        <x:v>L2023-00022-1</x:v>
      </x:c>
      <x:c r="B1420" s="46" t="str">
        <x:v>L2023-00022-1/1. Section 2,3 (2).zip</x:v>
      </x:c>
      <x:c r="C1420" s="43" t="str">
        <x:v>.zip</x:v>
      </x:c>
      <x:c r="D1420" s="61" t="n">
        <x:v>399285</x:v>
      </x:c>
      <x:c r="E1420" s="61" t="n">
        <x:v>0</x:v>
      </x:c>
      <x:c r="F1420" s="61" t="n">
        <x:v>0</x:v>
      </x:c>
    </x:row>
    <x:row r="1421">
      <x:c r="A1421" s="43" t="str">
        <x:v>L2023-00022-1</x:v>
      </x:c>
      <x:c r="B1421" s="46" t="str">
        <x:v>L2023-00022-1/1. Section 2,3 (2)/Section 2 - Bid Data Sheet (BDS)_230503.pdf</x:v>
      </x:c>
      <x:c r="C1421" s="43" t="str">
        <x:v>.pdf</x:v>
      </x:c>
      <x:c r="D1421" s="61" t="n">
        <x:v>416477</x:v>
      </x:c>
      <x:c r="E1421" s="61" t="n">
        <x:v>22</x:v>
      </x:c>
      <x:c r="F1421" s="61" t="n">
        <x:v>9</x:v>
      </x:c>
    </x:row>
    <x:row r="1422">
      <x:c r="A1422" s="43" t="str">
        <x:v>L2023-00022-1</x:v>
      </x:c>
      <x:c r="B1422" s="46" t="str">
        <x:v>L2023-00022-1/1. Section 2,3 (2)/Section 3 - Bidding Forms_230411_rev..doc</x:v>
      </x:c>
      <x:c r="C1422" s="43" t="str">
        <x:v>.doc</x:v>
      </x:c>
      <x:c r="D1422" s="61" t="n">
        <x:v>179200</x:v>
      </x:c>
      <x:c r="E1422" s="61" t="n">
        <x:v>151</x:v>
      </x:c>
      <x:c r="F1422" s="61" t="n">
        <x:v>0</x:v>
      </x:c>
    </x:row>
    <x:row r="1423">
      <x:c r="A1423" s="43" t="str">
        <x:v>L2023-00022-1</x:v>
      </x:c>
      <x:c r="B1423" s="46" t="str">
        <x:v>L2023-00022-1/2. Section 1,7,8,9 (3).zip</x:v>
      </x:c>
      <x:c r="C1423" s="43" t="str">
        <x:v>.zip</x:v>
      </x:c>
      <x:c r="D1423" s="61" t="n">
        <x:v>492738</x:v>
      </x:c>
      <x:c r="E1423" s="61" t="n">
        <x:v>0</x:v>
      </x:c>
      <x:c r="F1423" s="61" t="n">
        <x:v>0</x:v>
      </x:c>
    </x:row>
    <x:row r="1424">
      <x:c r="A1424" s="43" t="str">
        <x:v>L2023-00022-1</x:v>
      </x:c>
      <x:c r="B1424" s="46" t="str">
        <x:v>L2023-00022-1/2. Section 1,7,8,9 (3)/Section 1 - Instructions to Bidders (ITB)/Section 1 - ▒╣┴ª└╘┬√└»└╟╝¡ (ITB).hwp</x:v>
      </x:c>
      <x:c r="C1424" s="43" t="str">
        <x:v>.hwp</x:v>
      </x:c>
      <x:c r="D1424" s="61" t="n">
        <x:v>83968</x:v>
      </x:c>
      <x:c r="E1424" s="61" t="n">
        <x:v>136</x:v>
      </x:c>
      <x:c r="F1424" s="61" t="n">
        <x:v>0</x:v>
      </x:c>
    </x:row>
    <x:row r="1425">
      <x:c r="A1425" s="43" t="str">
        <x:v>L2023-00022-1</x:v>
      </x:c>
      <x:c r="B1425" s="46" t="str">
        <x:v>L2023-00022-1/2. Section 1,7,8,9 (3)/Section 1 - Instructions to Bidders (ITB)/Section 1 - Instructions to Bidders (ITB).pdf</x:v>
      </x:c>
      <x:c r="C1425" s="43" t="str">
        <x:v>.pdf</x:v>
      </x:c>
      <x:c r="D1425" s="61" t="n">
        <x:v>161366</x:v>
      </x:c>
      <x:c r="E1425" s="61" t="n">
        <x:v>7</x:v>
      </x:c>
      <x:c r="F1425" s="61" t="n">
        <x:v>0</x:v>
      </x:c>
    </x:row>
    <x:row r="1426">
      <x:c r="A1426" s="43" t="str">
        <x:v>L2023-00022-1</x:v>
      </x:c>
      <x:c r="B1426" s="46" t="str">
        <x:v>L2023-00022-1/2. Section 1,7,8,9 (3)/Section 7 - General Conditions of Contract.docx</x:v>
      </x:c>
      <x:c r="C1426" s="43" t="str">
        <x:v>.docx</x:v>
      </x:c>
      <x:c r="D1426" s="61" t="n">
        <x:v>202912</x:v>
      </x:c>
      <x:c r="E1426" s="61" t="n">
        <x:v>1406</x:v>
      </x:c>
      <x:c r="F1426" s="61" t="n">
        <x:v>2</x:v>
      </x:c>
    </x:row>
    <x:row r="1427">
      <x:c r="A1427" s="43" t="str">
        <x:v>L2023-00022-1</x:v>
      </x:c>
      <x:c r="B1427" s="46" t="str">
        <x:v>L2023-00022-1/2. Section 1,7,8,9 (3)/Section 8 - Specail Conditions of Contract.docx</x:v>
      </x:c>
      <x:c r="C1427" s="43" t="str">
        <x:v>.docx</x:v>
      </x:c>
      <x:c r="D1427" s="61" t="n">
        <x:v>60774</x:v>
      </x:c>
      <x:c r="E1427" s="61" t="n">
        <x:v>292</x:v>
      </x:c>
      <x:c r="F1427" s="61" t="n">
        <x:v>1</x:v>
      </x:c>
    </x:row>
    <x:row r="1428">
      <x:c r="A1428" s="43" t="str">
        <x:v>L2023-00022-1</x:v>
      </x:c>
      <x:c r="B1428" s="46" t="str">
        <x:v>L2023-00022-1/2. Section 1,7,8,9 (3)/Section 9 - Contract Forms.docx</x:v>
      </x:c>
      <x:c r="C1428" s="43" t="str">
        <x:v>.docx</x:v>
      </x:c>
      <x:c r="D1428" s="61" t="n">
        <x:v>38159</x:v>
      </x:c>
      <x:c r="E1428" s="61" t="n">
        <x:v>30</x:v>
      </x:c>
      <x:c r="F1428" s="61" t="n">
        <x:v>0</x:v>
      </x:c>
    </x:row>
    <x:row r="1429">
      <x:c r="A1429" s="43" t="str">
        <x:v>L2023-00022-1</x:v>
      </x:c>
      <x:c r="B1429" s="46" t="str">
        <x:v>L2023-00022-1/3. KOICA Safty Mangement Manual (1).zip</x:v>
      </x:c>
      <x:c r="C1429" s="43" t="str">
        <x:v>.zip</x:v>
      </x:c>
      <x:c r="D1429" s="61" t="n">
        <x:v>657115</x:v>
      </x:c>
      <x:c r="E1429" s="61" t="n">
        <x:v>0</x:v>
      </x:c>
      <x:c r="F1429" s="61" t="n">
        <x:v>0</x:v>
      </x:c>
    </x:row>
    <x:row r="1430">
      <x:c r="A1430" s="43" t="str">
        <x:v>L2023-00022-1</x:v>
      </x:c>
      <x:c r="B1430" s="46" t="str">
        <x:v>L2023-00022-1/3. KOICA Safty Mangement Manual (1)/KOICA Safety Management Manual(ENG).pdf</x:v>
      </x:c>
      <x:c r="C1430" s="43" t="str">
        <x:v>.pdf</x:v>
      </x:c>
      <x:c r="D1430" s="61" t="n">
        <x:v>378337</x:v>
      </x:c>
      <x:c r="E1430" s="61" t="n">
        <x:v>37</x:v>
      </x:c>
      <x:c r="F1430" s="61" t="n">
        <x:v>4</x:v>
      </x:c>
    </x:row>
    <x:row r="1431">
      <x:c r="A1431" s="43" t="str">
        <x:v>L2023-00022-1</x:v>
      </x:c>
      <x:c r="B1431" s="46" t="str">
        <x:v>L2023-00022-1/3. KOICA Safty Mangement Manual (1)/KOICA_░╟╝│░°╗τ ╛╚└ⁿ░ⁿ╕«╛≈╣½ ╕┼┤║╛≤(▒╣╣«).pdf</x:v>
      </x:c>
      <x:c r="C1431" s="43" t="str">
        <x:v>.pdf</x:v>
      </x:c>
      <x:c r="D1431" s="61" t="n">
        <x:v>383336</x:v>
      </x:c>
      <x:c r="E1431" s="61" t="n">
        <x:v>39</x:v>
      </x:c>
      <x:c r="F1431" s="61" t="n">
        <x:v>6</x:v>
      </x:c>
    </x:row>
    <x:row r="1432">
      <x:c r="A1432" s="43" t="str">
        <x:v>L2023-00022-1</x:v>
      </x:c>
      <x:c r="B1432" s="46" t="str">
        <x:v>L2023-00022-1/4. KOICA Regulations and Guidelines (2).zip</x:v>
      </x:c>
      <x:c r="C1432" s="43" t="str">
        <x:v>.zip</x:v>
      </x:c>
      <x:c r="D1432" s="61" t="n">
        <x:v>2017505</x:v>
      </x:c>
      <x:c r="E1432" s="61" t="n">
        <x:v>0</x:v>
      </x:c>
      <x:c r="F1432" s="61" t="n">
        <x:v>0</x:v>
      </x:c>
    </x:row>
    <x:row r="1433">
      <x:c r="A1433" s="43" t="str">
        <x:v>L2023-00022-1</x:v>
      </x:c>
      <x:c r="B1433" s="46" t="str">
        <x:v>L2023-00022-1/4. KOICA Regulations and Guidelines (2)/Detailed Enforcement Rules of the Regulations for Procurement and Contract in Grant Aid Projects(┤δ┐▄╣½╗≤╟∙╖┬╗τ╛≈┐í ░ⁿ╟╤ ┴╢┤▐ ╣╫ ░Φ╛α▒╘┴ñ ╜├╟α╝╝─ó)_20190503.pdf</x:v>
      </x:c>
      <x:c r="C1433" s="43" t="str">
        <x:v>.pdf</x:v>
      </x:c>
      <x:c r="D1433" s="61" t="n">
        <x:v>554876</x:v>
      </x:c>
      <x:c r="E1433" s="61" t="n">
        <x:v>123</x:v>
      </x:c>
      <x:c r="F1433" s="61" t="n">
        <x:v>8</x:v>
      </x:c>
    </x:row>
    <x:row r="1434">
      <x:c r="A1434" s="43" t="str">
        <x:v>L2023-00022-1</x:v>
      </x:c>
      <x:c r="B1434" s="46" t="str">
        <x:v>L2023-00022-1/4. KOICA Regulations and Guidelines (2)/Guidelines for Technical Evaluation(▒Γ╝·╞≥░í┴÷─º)_20210408.pdf</x:v>
      </x:c>
      <x:c r="C1434" s="43" t="str">
        <x:v>.pdf</x:v>
      </x:c>
      <x:c r="D1434" s="61" t="n">
        <x:v>416852</x:v>
      </x:c>
      <x:c r="E1434" s="61" t="n">
        <x:v>65</x:v>
      </x:c>
      <x:c r="F1434" s="61" t="n">
        <x:v>9</x:v>
      </x:c>
    </x:row>
    <x:row r="1435">
      <x:c r="A1435" s="43" t="str">
        <x:v>L2023-00022-1</x:v>
      </x:c>
      <x:c r="B1435" s="46" t="str">
        <x:v>L2023-00022-1/4. KOICA Regulations and Guidelines (2)/KOICA Regulations for International Procurement(▒╣┴ª┴╢┤▐▒╘┴ñ)_20190304.pdf</x:v>
      </x:c>
      <x:c r="C1435" s="43" t="str">
        <x:v>.pdf</x:v>
      </x:c>
      <x:c r="D1435" s="61" t="n">
        <x:v>375625</x:v>
      </x:c>
      <x:c r="E1435" s="61" t="n">
        <x:v>55</x:v>
      </x:c>
      <x:c r="F1435" s="61" t="n">
        <x:v>1</x:v>
      </x:c>
    </x:row>
    <x:row r="1436">
      <x:c r="A1436" s="43" t="str">
        <x:v>L2023-00022-1</x:v>
      </x:c>
      <x:c r="B1436" s="46" t="str">
        <x:v>L2023-00022-1/4. KOICA Regulations and Guidelines (2)/Regulations for Procurement and Contract in Grant Aid Projects(┤δ┐▄╣½╗≤╟∙╖┬╗τ╛≈┐í ░ⁿ╟╤ ┴╢┤▐ ╣╫ ░Φ╛α▒╘┴ñ)_20190520.pdf</x:v>
      </x:c>
      <x:c r="C1436" s="43" t="str">
        <x:v>.pdf</x:v>
      </x:c>
      <x:c r="D1436" s="61" t="n">
        <x:v>157627</x:v>
      </x:c>
      <x:c r="E1436" s="61" t="n">
        <x:v>33</x:v>
      </x:c>
      <x:c r="F1436" s="61" t="n">
        <x:v>2</x:v>
      </x:c>
    </x:row>
    <x:row r="1437">
      <x:c r="A1437" s="43" t="str">
        <x:v>L2023-00022-1</x:v>
      </x:c>
      <x:c r="B1437" s="46" t="str">
        <x:v>L2023-00022-1/4. KOICA Regulations and Guidelines (2)/Standard of Prequalification Criteria(└╘┬√┬ⁿ░í└┌░▌╗τ└ⁿ╜╔╗τ▒Γ┴╪)_20130116.pdf</x:v>
      </x:c>
      <x:c r="C1437" s="43" t="str">
        <x:v>.pdf</x:v>
      </x:c>
      <x:c r="D1437" s="61" t="n">
        <x:v>473791</x:v>
      </x:c>
      <x:c r="E1437" s="61" t="n">
        <x:v>26</x:v>
      </x:c>
      <x:c r="F1437" s="61" t="n">
        <x:v>1</x:v>
      </x:c>
    </x:row>
    <x:row r="1438">
      <x:c r="A1438" s="43" t="str">
        <x:v>L2023-00022-1</x:v>
      </x:c>
      <x:c r="B1438" s="46" t="str">
        <x:v>L2023-00022-1/4. KOICA Regulations and Guidelines (2)/Standards of Qualification Examination for Selection of Constructor(╜├░°╗τ╝▒┴ñ└√░▌╜╔╗τ▒Γ┴╪)_20140403.pdf</x:v>
      </x:c>
      <x:c r="C1438" s="43" t="str">
        <x:v>.pdf</x:v>
      </x:c>
      <x:c r="D1438" s="61" t="n">
        <x:v>315288</x:v>
      </x:c>
      <x:c r="E1438" s="61" t="n">
        <x:v>12</x:v>
      </x:c>
      <x:c r="F1438" s="61" t="n">
        <x:v>0</x:v>
      </x:c>
    </x:row>
    <x:row r="1439">
      <x:c r="A1439" s="43" t="str">
        <x:v>L2023-00022-1</x:v>
      </x:c>
      <x:c r="B1439" s="46" t="str">
        <x:v>L2023-00022-1/Notice of Bid for Construction_230503.docx</x:v>
      </x:c>
      <x:c r="C1439" s="43" t="str">
        <x:v>.docx</x:v>
      </x:c>
      <x:c r="D1439" s="61" t="n">
        <x:v>51331</x:v>
      </x:c>
      <x:c r="E1439" s="61" t="n">
        <x:v>93</x:v>
      </x:c>
      <x:c r="F1439" s="61" t="n">
        <x:v>4</x:v>
      </x:c>
    </x:row>
    <x:row r="1440">
      <x:c r="A1440" s="43" t="str">
        <x:v>L2023-00021-1</x:v>
      </x:c>
      <x:c r="B1440" s="46" t="str">
        <x:v>L2023-00021-1/붙임 1. 입찰설명회 참가 명단 및 설계입찰 제출 명단.pdf</x:v>
      </x:c>
      <x:c r="C1440" s="43" t="str">
        <x:v>.pdf</x:v>
      </x:c>
      <x:c r="D1440" s="61" t="n">
        <x:v>506068</x:v>
      </x:c>
      <x:c r="E1440" s="61" t="n">
        <x:v>0</x:v>
      </x:c>
      <x:c r="F1440" s="61" t="n">
        <x:v>0</x:v>
      </x:c>
    </x:row>
    <x:row r="1441">
      <x:c r="A1441" s="43" t="str">
        <x:v>L2023-00021-1</x:v>
      </x:c>
      <x:c r="B1441" s="46" t="str">
        <x:v>L2023-00021-1/붙임 2. 설계 입찰평가서.pdf</x:v>
      </x:c>
      <x:c r="C1441" s="43" t="str">
        <x:v>.pdf</x:v>
      </x:c>
      <x:c r="D1441" s="61" t="n">
        <x:v>929464</x:v>
      </x:c>
      <x:c r="E1441" s="61" t="n">
        <x:v>0</x:v>
      </x:c>
      <x:c r="F1441" s="61" t="n">
        <x:v>0</x:v>
      </x:c>
    </x:row>
    <x:row r="1442">
      <x:c r="A1442" s="43" t="str">
        <x:v>L2023-00021-1</x:v>
      </x:c>
      <x:c r="B1442" s="46" t="str">
        <x:v>L2023-00021-1/붙임1. 멀티미디어 설계용역 평가 결과서 총괄_230322.pdf</x:v>
      </x:c>
      <x:c r="C1442" s="43" t="str">
        <x:v>.pdf</x:v>
      </x:c>
      <x:c r="D1442" s="61" t="n">
        <x:v>1077212</x:v>
      </x:c>
      <x:c r="E1442" s="61" t="n">
        <x:v>2</x:v>
      </x:c>
      <x:c r="F1442" s="61" t="n">
        <x:v>0</x:v>
      </x:c>
    </x:row>
    <x:row r="1443">
      <x:c r="A1443" s="43" t="str">
        <x:v>L2023-00021-1</x:v>
      </x:c>
      <x:c r="B1443" s="46" t="str">
        <x:v>L2023-00021-1/붙임1. 파라과이 멀티미디어 센터 설계용역 입찰설명서(국문본)_최종_230130_기평팀.hwp</x:v>
      </x:c>
      <x:c r="C1443" s="43" t="str">
        <x:v>.hwp</x:v>
      </x:c>
      <x:c r="D1443" s="61" t="n">
        <x:v>2262016</x:v>
      </x:c>
      <x:c r="E1443" s="61" t="n">
        <x:v>587</x:v>
      </x:c>
      <x:c r="F1443" s="61" t="n">
        <x:v>12</x:v>
      </x:c>
    </x:row>
    <x:row r="1444">
      <x:c r="A1444" s="43" t="str">
        <x:v>L2023-00021-1</x:v>
      </x:c>
      <x:c r="B1444" s="46" t="str">
        <x:v>L2023-00021-1/붙임2. 파라과이 멀티미디어 센터 설계용역 입찰설명서(영문본) 1식.zip</x:v>
      </x:c>
      <x:c r="C1444" s="43" t="str">
        <x:v>.zip</x:v>
      </x:c>
      <x:c r="D1444" s="61" t="n">
        <x:v>10677851</x:v>
      </x:c>
      <x:c r="E1444" s="61" t="n">
        <x:v>0</x:v>
      </x:c>
      <x:c r="F1444" s="61" t="n">
        <x:v>0</x:v>
      </x:c>
    </x:row>
    <x:row r="1445">
      <x:c r="A1445" s="43" t="str">
        <x:v>L2023-00021-1</x:v>
      </x:c>
      <x:c r="B1445" s="46" t="str">
        <x:v>L2023-00021-1/붙임2. 파라과이 멀티미디어 센터 설계용역 입찰설명서(영문본) 1식/0. Paraguay MULTI-MEDIA Center_RFP Table of Contents.docx</x:v>
      </x:c>
      <x:c r="C1445" s="43" t="str">
        <x:v>.docx</x:v>
      </x:c>
      <x:c r="D1445" s="61" t="n">
        <x:v>18889</x:v>
      </x:c>
      <x:c r="E1445" s="61" t="n">
        <x:v>36</x:v>
      </x:c>
      <x:c r="F1445" s="61" t="n">
        <x:v>0</x:v>
      </x:c>
    </x:row>
    <x:row r="1446">
      <x:c r="A1446" s="43" t="str">
        <x:v>L2023-00021-1</x:v>
      </x:c>
      <x:c r="B1446" s="46" t="str">
        <x:v>L2023-00021-1/붙임2. 파라과이 멀티미디어 센터 설계용역 입찰설명서(영문본) 1식/1. Paraguay MULTI-MEDIA Center_Bidding Guideline.docx</x:v>
      </x:c>
      <x:c r="C1446" s="43" t="str">
        <x:v>.docx</x:v>
      </x:c>
      <x:c r="D1446" s="61" t="n">
        <x:v>4497725</x:v>
      </x:c>
      <x:c r="E1446" s="61" t="n">
        <x:v>236</x:v>
      </x:c>
      <x:c r="F1446" s="61" t="n">
        <x:v>9</x:v>
      </x:c>
    </x:row>
    <x:row r="1447">
      <x:c r="A1447" s="43" t="str">
        <x:v>L2023-00021-1</x:v>
      </x:c>
      <x:c r="B1447" s="46" t="str">
        <x:v>L2023-00021-1/붙임2. 파라과이 멀티미디어 센터 설계용역 입찰설명서(영문본) 1식/2. Paraguay MULTI-MEDIA Center_Instructions on International Bidding for the Provision of Services.docx</x:v>
      </x:c>
      <x:c r="C1447" s="43" t="str">
        <x:v>.docx</x:v>
      </x:c>
      <x:c r="D1447" s="61" t="n">
        <x:v>38688</x:v>
      </x:c>
      <x:c r="E1447" s="61" t="n">
        <x:v>161</x:v>
      </x:c>
      <x:c r="F1447" s="61" t="n">
        <x:v>0</x:v>
      </x:c>
    </x:row>
    <x:row r="1448">
      <x:c r="A1448" s="43" t="str">
        <x:v>L2023-00021-1</x:v>
      </x:c>
      <x:c r="B1448" s="46" t="str">
        <x:v>L2023-00021-1/붙임2. 파라과이 멀티미디어 센터 설계용역 입찰설명서(영문본) 1식/3. Paraguay MULTI-MEDIA Center_Bidding Forms.docx</x:v>
      </x:c>
      <x:c r="C1448" s="43" t="str">
        <x:v>.docx</x:v>
      </x:c>
      <x:c r="D1448" s="61" t="n">
        <x:v>64018</x:v>
      </x:c>
      <x:c r="E1448" s="61" t="n">
        <x:v>212</x:v>
      </x:c>
      <x:c r="F1448" s="61" t="n">
        <x:v>0</x:v>
      </x:c>
    </x:row>
    <x:row r="1449">
      <x:c r="A1449" s="43" t="str">
        <x:v>L2023-00021-1</x:v>
      </x:c>
      <x:c r="B1449" s="46" t="str">
        <x:v>L2023-00021-1/붙임2. 파라과이 멀티미디어 센터 설계용역 입찰설명서(영문본) 1식/4. Paraguay MULTI-MEDIA Center_Terms of Reference.docx</x:v>
      </x:c>
      <x:c r="C1449" s="43" t="str">
        <x:v>.docx</x:v>
      </x:c>
      <x:c r="D1449" s="61" t="n">
        <x:v>6062068</x:v>
      </x:c>
      <x:c r="E1449" s="61" t="n">
        <x:v>581</x:v>
      </x:c>
      <x:c r="F1449" s="61" t="n">
        <x:v>5</x:v>
      </x:c>
    </x:row>
    <x:row r="1450">
      <x:c r="A1450" s="43" t="str">
        <x:v>L2023-00021-1</x:v>
      </x:c>
      <x:c r="B1450" s="46" t="str">
        <x:v>L2023-00021-1/붙임2. 파라과이 멀티미디어 센터 설계용역 입찰설명서(영문본) 1식/5. Paraguay MULTI-MEDIA Center_Standard Forms of Contract.docx</x:v>
      </x:c>
      <x:c r="C1450" s="43" t="str">
        <x:v>.docx</x:v>
      </x:c>
      <x:c r="D1450" s="61" t="n">
        <x:v>44174</x:v>
      </x:c>
      <x:c r="E1450" s="61" t="n">
        <x:v>243</x:v>
      </x:c>
      <x:c r="F1450" s="61" t="n">
        <x:v>0</x:v>
      </x:c>
    </x:row>
    <x:row r="1451">
      <x:c r="A1451" s="43" t="str">
        <x:v>L2023-00021-1</x:v>
      </x:c>
      <x:c r="B1451" s="46" t="str">
        <x:v>L2023-00021-1/붙임2. 평가표 및 서약서.zip</x:v>
      </x:c>
      <x:c r="C1451" s="43" t="str">
        <x:v>.zip</x:v>
      </x:c>
      <x:c r="D1451" s="61" t="n">
        <x:v>6840606</x:v>
      </x:c>
      <x:c r="E1451" s="61" t="n">
        <x:v>0</x:v>
      </x:c>
      <x:c r="F1451" s="61" t="n">
        <x:v>0</x:v>
      </x:c>
    </x:row>
    <x:row r="1452">
      <x:c r="A1452" s="43" t="str">
        <x:v>L2023-00021-1</x:v>
      </x:c>
      <x:c r="B1452" s="46" t="str">
        <x:v>L2023-00021-1/붙임2. 평가표 및 서약서/2-1. 비상임_MEC_Vicente Martinez_멀티미디어.pdf</x:v>
      </x:c>
      <x:c r="C1452" s="43" t="str">
        <x:v>.pdf</x:v>
      </x:c>
      <x:c r="D1452" s="61" t="n">
        <x:v>3830932</x:v>
      </x:c>
      <x:c r="E1452" s="61" t="n">
        <x:v>0</x:v>
      </x:c>
      <x:c r="F1452" s="61" t="n">
        <x:v>0</x:v>
      </x:c>
    </x:row>
    <x:row r="1453">
      <x:c r="A1453" s="43" t="str">
        <x:v>L2023-00021-1</x:v>
      </x:c>
      <x:c r="B1453" s="46" t="str">
        <x:v>L2023-00021-1/붙임2. 평가표 및 서약서/2-2. 비상임_MEC_Zoilo Benitez_멀티미디어.pdf</x:v>
      </x:c>
      <x:c r="C1453" s="43" t="str">
        <x:v>.pdf</x:v>
      </x:c>
      <x:c r="D1453" s="61" t="n">
        <x:v>3837019</x:v>
      </x:c>
      <x:c r="E1453" s="61" t="n">
        <x:v>0</x:v>
      </x:c>
      <x:c r="F1453" s="61" t="n">
        <x:v>0</x:v>
      </x:c>
    </x:row>
    <x:row r="1454">
      <x:c r="A1454" s="43" t="str">
        <x:v>L2023-00021-1</x:v>
      </x:c>
      <x:c r="B1454" s="46" t="str">
        <x:v>L2023-00021-1/붙임2. 평가표 및 서약서/2-3. 상임_정림_전진근_멀티미디어.pdf</x:v>
      </x:c>
      <x:c r="C1454" s="43" t="str">
        <x:v>.pdf</x:v>
      </x:c>
      <x:c r="D1454" s="61" t="n">
        <x:v>212019</x:v>
      </x:c>
      <x:c r="E1454" s="61" t="n">
        <x:v>0</x:v>
      </x:c>
      <x:c r="F1454" s="61" t="n">
        <x:v>0</x:v>
      </x:c>
    </x:row>
    <x:row r="1455">
      <x:c r="A1455" s="43" t="str">
        <x:v>L2023-00021-1</x:v>
      </x:c>
      <x:c r="B1455" s="46" t="str">
        <x:v>L2023-00021-1/붙임2. 평가표 및 서약서/2-4. 상임_정림_손용석_멀티미디어.pdf</x:v>
      </x:c>
      <x:c r="C1455" s="43" t="str">
        <x:v>.pdf</x:v>
      </x:c>
      <x:c r="D1455" s="61" t="n">
        <x:v>295962</x:v>
      </x:c>
      <x:c r="E1455" s="61" t="n">
        <x:v>6</x:v>
      </x:c>
      <x:c r="F1455" s="61" t="n">
        <x:v>0</x:v>
      </x:c>
    </x:row>
    <x:row r="1456">
      <x:c r="A1456" s="43" t="str">
        <x:v>L2023-00021-1</x:v>
      </x:c>
      <x:c r="B1456" s="46" t="str">
        <x:v>L2023-00021-1/붙임3. 파라과이 멀티미디어센터_설계계약서 초안.zip</x:v>
      </x:c>
      <x:c r="C1456" s="43" t="str">
        <x:v>.zip</x:v>
      </x:c>
      <x:c r="D1456" s="61" t="n">
        <x:v>10568363</x:v>
      </x:c>
      <x:c r="E1456" s="61" t="n">
        <x:v>0</x:v>
      </x:c>
      <x:c r="F1456" s="61" t="n">
        <x:v>0</x:v>
      </x:c>
    </x:row>
    <x:row r="1457">
      <x:c r="A1457" s="43" t="str">
        <x:v>L2023-00021-1</x:v>
      </x:c>
      <x:c r="B1457" s="46" t="str">
        <x:v>L2023-00021-1/붙임3. 파라과이 멀티미디어센터_설계계약서 초안/3-1. Paraguay MULTI-MEDIA Center_Standard Forms of Contract.docx</x:v>
      </x:c>
      <x:c r="C1457" s="43" t="str">
        <x:v>.docx</x:v>
      </x:c>
      <x:c r="D1457" s="61" t="n">
        <x:v>44174</x:v>
      </x:c>
      <x:c r="E1457" s="61" t="n">
        <x:v>243</x:v>
      </x:c>
      <x:c r="F1457" s="61" t="n">
        <x:v>0</x:v>
      </x:c>
    </x:row>
    <x:row r="1458">
      <x:c r="A1458" s="43" t="str">
        <x:v>L2023-00021-1</x:v>
      </x:c>
      <x:c r="B1458" s="46" t="str">
        <x:v>L2023-00021-1/붙임3. 파라과이 멀티미디어센터_설계계약서 초안/3-2. Paraguay MULTI-MEDIA Center_Terms of Reference.docx</x:v>
      </x:c>
      <x:c r="C1458" s="43" t="str">
        <x:v>.docx</x:v>
      </x:c>
      <x:c r="D1458" s="61" t="n">
        <x:v>6062068</x:v>
      </x:c>
      <x:c r="E1458" s="61" t="n">
        <x:v>581</x:v>
      </x:c>
      <x:c r="F1458" s="61" t="n">
        <x:v>5</x:v>
      </x:c>
    </x:row>
    <x:row r="1459">
      <x:c r="A1459" s="43" t="str">
        <x:v>L2023-00021-1</x:v>
      </x:c>
      <x:c r="B1459" s="46" t="str">
        <x:v>L2023-00021-1/붙임3. 파라과이 멀티미디어센터_설계계약서 초안/3-3. Paraguay MULTI-MEDIA Center_Bidding Guideline.docx</x:v>
      </x:c>
      <x:c r="C1459" s="43" t="str">
        <x:v>.docx</x:v>
      </x:c>
      <x:c r="D1459" s="61" t="n">
        <x:v>4497725</x:v>
      </x:c>
      <x:c r="E1459" s="61" t="n">
        <x:v>236</x:v>
      </x:c>
      <x:c r="F1459" s="61" t="n">
        <x:v>9</x:v>
      </x:c>
    </x:row>
    <x:row r="1460">
      <x:c r="A1460" s="43" t="str">
        <x:v>L2023-00021-1</x:v>
      </x:c>
      <x:c r="B1460" s="46" t="str">
        <x:v>L2023-00021-1/붙임5. 멀티미디어-건축 발주계획 등록 화면.JPG</x:v>
      </x:c>
      <x:c r="C1460" s="43" t="str">
        <x:v>.jpg</x:v>
      </x:c>
      <x:c r="D1460" s="61" t="n">
        <x:v>69693</x:v>
      </x:c>
      <x:c r="E1460" s="61" t="n">
        <x:v>0</x:v>
      </x:c>
      <x:c r="F1460" s="61" t="n">
        <x:v>0</x:v>
      </x:c>
    </x:row>
    <x:row r="1461">
      <x:c r="A1461" s="43" t="str">
        <x:v>L2023-00019-1</x:v>
      </x:c>
      <x:c r="B1461" s="46" t="str">
        <x:v>L2023-00019-1/1. Section 2,3 (1).zip</x:v>
      </x:c>
      <x:c r="C1461" s="43" t="str">
        <x:v>.zip</x:v>
      </x:c>
      <x:c r="D1461" s="61" t="n">
        <x:v>729898</x:v>
      </x:c>
      <x:c r="E1461" s="61" t="n">
        <x:v>0</x:v>
      </x:c>
      <x:c r="F1461" s="61" t="n">
        <x:v>0</x:v>
      </x:c>
    </x:row>
    <x:row r="1462">
      <x:c r="A1462" s="43" t="str">
        <x:v>L2023-00019-1</x:v>
      </x:c>
      <x:c r="B1462" s="46" t="str">
        <x:v>L2023-00019-1/1. Section 2,3 (1)/Section 2 - Bid Data Sheet (BDS)_230411_rev..pdf</x:v>
      </x:c>
      <x:c r="C1462" s="43" t="str">
        <x:v>.pdf</x:v>
      </x:c>
      <x:c r="D1462" s="61" t="n">
        <x:v>800178</x:v>
      </x:c>
      <x:c r="E1462" s="61" t="n">
        <x:v>19</x:v>
      </x:c>
      <x:c r="F1462" s="61" t="n">
        <x:v>8</x:v>
      </x:c>
    </x:row>
    <x:row r="1463">
      <x:c r="A1463" s="43" t="str">
        <x:v>L2023-00019-1</x:v>
      </x:c>
      <x:c r="B1463" s="46" t="str">
        <x:v>L2023-00019-1/1. Section 2,3 (1)/Section 3 - Bidding Forms_230411_rev..doc</x:v>
      </x:c>
      <x:c r="C1463" s="43" t="str">
        <x:v>.doc</x:v>
      </x:c>
      <x:c r="D1463" s="61" t="n">
        <x:v>179200</x:v>
      </x:c>
      <x:c r="E1463" s="61" t="n">
        <x:v>151</x:v>
      </x:c>
      <x:c r="F1463" s="61" t="n">
        <x:v>0</x:v>
      </x:c>
    </x:row>
    <x:row r="1464">
      <x:c r="A1464" s="43" t="str">
        <x:v>L2023-00019-1</x:v>
      </x:c>
      <x:c r="B1464" s="46" t="str">
        <x:v>L2023-00019-1/2. Section 1,7,8,9 (2).zip</x:v>
      </x:c>
      <x:c r="C1464" s="43" t="str">
        <x:v>.zip</x:v>
      </x:c>
      <x:c r="D1464" s="61" t="n">
        <x:v>432716</x:v>
      </x:c>
      <x:c r="E1464" s="61" t="n">
        <x:v>0</x:v>
      </x:c>
      <x:c r="F1464" s="61" t="n">
        <x:v>0</x:v>
      </x:c>
    </x:row>
    <x:row r="1465">
      <x:c r="A1465" s="43" t="str">
        <x:v>L2023-00019-1</x:v>
      </x:c>
      <x:c r="B1465" s="46" t="str">
        <x:v>L2023-00019-1/2. Section 1,7,8,9 (2)/Section 1 - Instructions to Bidders (ITB).zip</x:v>
      </x:c>
      <x:c r="C1465" s="43" t="str">
        <x:v>.zip</x:v>
      </x:c>
      <x:c r="D1465" s="61" t="n">
        <x:v>142729</x:v>
      </x:c>
      <x:c r="E1465" s="61" t="n">
        <x:v>0</x:v>
      </x:c>
      <x:c r="F1465" s="61" t="n">
        <x:v>0</x:v>
      </x:c>
    </x:row>
    <x:row r="1466">
      <x:c r="A1466" s="43" t="str">
        <x:v>L2023-00019-1</x:v>
      </x:c>
      <x:c r="B1466" s="46" t="str">
        <x:v>L2023-00019-1/2. Section 1,7,8,9 (2)/Section 7 - General Conditions of Contract.docx</x:v>
      </x:c>
      <x:c r="C1466" s="43" t="str">
        <x:v>.docx</x:v>
      </x:c>
      <x:c r="D1466" s="61" t="n">
        <x:v>202912</x:v>
      </x:c>
      <x:c r="E1466" s="61" t="n">
        <x:v>1406</x:v>
      </x:c>
      <x:c r="F1466" s="61" t="n">
        <x:v>2</x:v>
      </x:c>
    </x:row>
    <x:row r="1467">
      <x:c r="A1467" s="43" t="str">
        <x:v>L2023-00019-1</x:v>
      </x:c>
      <x:c r="B1467" s="46" t="str">
        <x:v>L2023-00019-1/2. Section 1,7,8,9 (2)/Section 8 - Specail Conditions of Contract.docx</x:v>
      </x:c>
      <x:c r="C1467" s="43" t="str">
        <x:v>.docx</x:v>
      </x:c>
      <x:c r="D1467" s="61" t="n">
        <x:v>60774</x:v>
      </x:c>
      <x:c r="E1467" s="61" t="n">
        <x:v>292</x:v>
      </x:c>
      <x:c r="F1467" s="61" t="n">
        <x:v>1</x:v>
      </x:c>
    </x:row>
    <x:row r="1468">
      <x:c r="A1468" s="43" t="str">
        <x:v>L2023-00019-1</x:v>
      </x:c>
      <x:c r="B1468" s="46" t="str">
        <x:v>L2023-00019-1/2. Section 1,7,8,9 (2)/Section 9 - Contract Forms.docx</x:v>
      </x:c>
      <x:c r="C1468" s="43" t="str">
        <x:v>.docx</x:v>
      </x:c>
      <x:c r="D1468" s="61" t="n">
        <x:v>38159</x:v>
      </x:c>
      <x:c r="E1468" s="61" t="n">
        <x:v>30</x:v>
      </x:c>
      <x:c r="F1468" s="61" t="n">
        <x:v>0</x:v>
      </x:c>
    </x:row>
    <x:row r="1469">
      <x:c r="A1469" s="43" t="str">
        <x:v>L2023-00019-1</x:v>
      </x:c>
      <x:c r="B1469" s="46" t="str">
        <x:v>L2023-00019-1/3. KOICA Safty Mangement Manual.zip</x:v>
      </x:c>
      <x:c r="C1469" s="43" t="str">
        <x:v>.zip</x:v>
      </x:c>
      <x:c r="D1469" s="61" t="n">
        <x:v>657115</x:v>
      </x:c>
      <x:c r="E1469" s="61" t="n">
        <x:v>0</x:v>
      </x:c>
      <x:c r="F1469" s="61" t="n">
        <x:v>0</x:v>
      </x:c>
    </x:row>
    <x:row r="1470">
      <x:c r="A1470" s="43" t="str">
        <x:v>L2023-00019-1</x:v>
      </x:c>
      <x:c r="B1470" s="46" t="str">
        <x:v>L2023-00019-1/3. KOICA Safty Mangement Manual/KOICA Safety Management Manual(ENG).pdf</x:v>
      </x:c>
      <x:c r="C1470" s="43" t="str">
        <x:v>.pdf</x:v>
      </x:c>
      <x:c r="D1470" s="61" t="n">
        <x:v>378337</x:v>
      </x:c>
      <x:c r="E1470" s="61" t="n">
        <x:v>37</x:v>
      </x:c>
      <x:c r="F1470" s="61" t="n">
        <x:v>4</x:v>
      </x:c>
    </x:row>
    <x:row r="1471">
      <x:c r="A1471" s="43" t="str">
        <x:v>L2023-00019-1</x:v>
      </x:c>
      <x:c r="B1471" s="46" t="str">
        <x:v>L2023-00019-1/3. KOICA Safty Mangement Manual/KOICA_░╟╝│░°╗τ ╛╚└ⁿ░ⁿ╕«╛≈╣½ ╕┼┤║╛≤(▒╣╣«).pdf</x:v>
      </x:c>
      <x:c r="C1471" s="43" t="str">
        <x:v>.pdf</x:v>
      </x:c>
      <x:c r="D1471" s="61" t="n">
        <x:v>383336</x:v>
      </x:c>
      <x:c r="E1471" s="61" t="n">
        <x:v>39</x:v>
      </x:c>
      <x:c r="F1471" s="61" t="n">
        <x:v>6</x:v>
      </x:c>
    </x:row>
    <x:row r="1472">
      <x:c r="A1472" s="43" t="str">
        <x:v>L2023-00019-1</x:v>
      </x:c>
      <x:c r="B1472" s="46" t="str">
        <x:v>L2023-00019-1/4. KOICA Regulations and Guidelines (1).zip</x:v>
      </x:c>
      <x:c r="C1472" s="43" t="str">
        <x:v>.zip</x:v>
      </x:c>
      <x:c r="D1472" s="61" t="n">
        <x:v>2017505</x:v>
      </x:c>
      <x:c r="E1472" s="61" t="n">
        <x:v>0</x:v>
      </x:c>
      <x:c r="F1472" s="61" t="n">
        <x:v>0</x:v>
      </x:c>
    </x:row>
    <x:row r="1473">
      <x:c r="A1473" s="43" t="str">
        <x:v>L2023-00019-1</x:v>
      </x:c>
      <x:c r="B1473" s="46" t="str">
        <x:v>L2023-00019-1/4. KOICA Regulations and Guidelines (1)/Detailed Enforcement Rules of the Regulations for Procurement and Contract in Grant Aid Projects(┤δ┐▄╣½╗≤╟∙╖┬╗τ╛≈┐í ░ⁿ╟╤ ┴╢┤▐ ╣╫ ░Φ╛α▒╘┴ñ ╜├╟α╝╝─ó)_20190503.pdf</x:v>
      </x:c>
      <x:c r="C1473" s="43" t="str">
        <x:v>.pdf</x:v>
      </x:c>
      <x:c r="D1473" s="61" t="n">
        <x:v>554876</x:v>
      </x:c>
      <x:c r="E1473" s="61" t="n">
        <x:v>123</x:v>
      </x:c>
      <x:c r="F1473" s="61" t="n">
        <x:v>8</x:v>
      </x:c>
    </x:row>
    <x:row r="1474">
      <x:c r="A1474" s="43" t="str">
        <x:v>L2023-00019-1</x:v>
      </x:c>
      <x:c r="B1474" s="46" t="str">
        <x:v>L2023-00019-1/4. KOICA Regulations and Guidelines (1)/Guidelines for Technical Evaluation(▒Γ╝·╞≥░í┴÷─º)_20210408.pdf</x:v>
      </x:c>
      <x:c r="C1474" s="43" t="str">
        <x:v>.pdf</x:v>
      </x:c>
      <x:c r="D1474" s="61" t="n">
        <x:v>416852</x:v>
      </x:c>
      <x:c r="E1474" s="61" t="n">
        <x:v>65</x:v>
      </x:c>
      <x:c r="F1474" s="61" t="n">
        <x:v>9</x:v>
      </x:c>
    </x:row>
    <x:row r="1475">
      <x:c r="A1475" s="43" t="str">
        <x:v>L2023-00019-1</x:v>
      </x:c>
      <x:c r="B1475" s="46" t="str">
        <x:v>L2023-00019-1/4. KOICA Regulations and Guidelines (1)/KOICA Regulations for International Procurement(▒╣┴ª┴╢┤▐▒╘┴ñ)_20190304.pdf</x:v>
      </x:c>
      <x:c r="C1475" s="43" t="str">
        <x:v>.pdf</x:v>
      </x:c>
      <x:c r="D1475" s="61" t="n">
        <x:v>375625</x:v>
      </x:c>
      <x:c r="E1475" s="61" t="n">
        <x:v>55</x:v>
      </x:c>
      <x:c r="F1475" s="61" t="n">
        <x:v>1</x:v>
      </x:c>
    </x:row>
    <x:row r="1476">
      <x:c r="A1476" s="43" t="str">
        <x:v>L2023-00019-1</x:v>
      </x:c>
      <x:c r="B1476" s="46" t="str">
        <x:v>L2023-00019-1/4. KOICA Regulations and Guidelines (1)/Regulations for Procurement and Contract in Grant Aid Projects(┤δ┐▄╣½╗≤╟∙╖┬╗τ╛≈┐í ░ⁿ╟╤ ┴╢┤▐ ╣╫ ░Φ╛α▒╘┴ñ)_20190520.pdf</x:v>
      </x:c>
      <x:c r="C1476" s="43" t="str">
        <x:v>.pdf</x:v>
      </x:c>
      <x:c r="D1476" s="61" t="n">
        <x:v>157627</x:v>
      </x:c>
      <x:c r="E1476" s="61" t="n">
        <x:v>33</x:v>
      </x:c>
      <x:c r="F1476" s="61" t="n">
        <x:v>2</x:v>
      </x:c>
    </x:row>
    <x:row r="1477">
      <x:c r="A1477" s="43" t="str">
        <x:v>L2023-00019-1</x:v>
      </x:c>
      <x:c r="B1477" s="46" t="str">
        <x:v>L2023-00019-1/4. KOICA Regulations and Guidelines (1)/Standard of Prequalification Criteria(└╘┬√┬ⁿ░í└┌░▌╗τ└ⁿ╜╔╗τ▒Γ┴╪)_20130116.pdf</x:v>
      </x:c>
      <x:c r="C1477" s="43" t="str">
        <x:v>.pdf</x:v>
      </x:c>
      <x:c r="D1477" s="61" t="n">
        <x:v>473791</x:v>
      </x:c>
      <x:c r="E1477" s="61" t="n">
        <x:v>26</x:v>
      </x:c>
      <x:c r="F1477" s="61" t="n">
        <x:v>1</x:v>
      </x:c>
    </x:row>
    <x:row r="1478">
      <x:c r="A1478" s="43" t="str">
        <x:v>L2023-00019-1</x:v>
      </x:c>
      <x:c r="B1478" s="46" t="str">
        <x:v>L2023-00019-1/4. KOICA Regulations and Guidelines (1)/Standards of Qualification Examination for Selection of Constructor(╜├░°╗τ╝▒┴ñ└√░▌╜╔╗τ▒Γ┴╪)_20140403.pdf</x:v>
      </x:c>
      <x:c r="C1478" s="43" t="str">
        <x:v>.pdf</x:v>
      </x:c>
      <x:c r="D1478" s="61" t="n">
        <x:v>315288</x:v>
      </x:c>
      <x:c r="E1478" s="61" t="n">
        <x:v>12</x:v>
      </x:c>
      <x:c r="F1478" s="61" t="n">
        <x:v>0</x:v>
      </x:c>
    </x:row>
    <x:row r="1479">
      <x:c r="A1479" s="43" t="str">
        <x:v>L2023-00018-1</x:v>
      </x:c>
      <x:c r="B1479" s="46" t="str">
        <x:v>L2023-00018-1/(붙임1) 취약계층 청소년 사회복귀 지원사업 시공사 선정 입찰계획(안) - v2.5.hwp</x:v>
      </x:c>
      <x:c r="C1479" s="43" t="str">
        <x:v>.hwp</x:v>
      </x:c>
      <x:c r="D1479" s="61" t="n">
        <x:v>61440</x:v>
      </x:c>
      <x:c r="E1479" s="61" t="n">
        <x:v>638</x:v>
      </x:c>
      <x:c r="F1479" s="61" t="n">
        <x:v>1</x:v>
      </x:c>
    </x:row>
    <x:row r="1480">
      <x:c r="A1480" s="43" t="str">
        <x:v>L2023-00018-1</x:v>
      </x:c>
      <x:c r="B1480" s="46" t="str">
        <x:v>L2023-00018-1/(붙임2) 입찰공고문 - Section 2 - Bid Data Sheet (BDS) - v1.6.hwp</x:v>
      </x:c>
      <x:c r="C1480" s="43" t="str">
        <x:v>.hwp</x:v>
      </x:c>
      <x:c r="D1480" s="61" t="n">
        <x:v>80896</x:v>
      </x:c>
      <x:c r="E1480" s="61" t="n">
        <x:v>313</x:v>
      </x:c>
      <x:c r="F1480" s="61" t="n">
        <x:v>5</x:v>
      </x:c>
    </x:row>
    <x:row r="1481">
      <x:c r="A1481" s="43" t="str">
        <x:v>L2023-00015-1</x:v>
      </x:c>
      <x:c r="B1481" s="46" t="str">
        <x:v>L2023-00015-1/붙임 1. (국문) 감리입찰계획(안).hwp</x:v>
      </x:c>
      <x:c r="C1481" s="43" t="str">
        <x:v>.hwp</x:v>
      </x:c>
      <x:c r="D1481" s="61" t="n">
        <x:v>346112</x:v>
      </x:c>
      <x:c r="E1481" s="61" t="n">
        <x:v>475</x:v>
      </x:c>
      <x:c r="F1481" s="61" t="n">
        <x:v>2</x:v>
      </x:c>
    </x:row>
    <x:row r="1482">
      <x:c r="A1482" s="43" t="str">
        <x:v>L2023-00015-1</x:v>
      </x:c>
      <x:c r="B1482" s="46" t="str">
        <x:v>L2023-00015-1/붙임 2. (영문) 감리 입찰 공고(안).docx</x:v>
      </x:c>
      <x:c r="C1482" s="43" t="str">
        <x:v>.docx</x:v>
      </x:c>
      <x:c r="D1482" s="61" t="n">
        <x:v>63754</x:v>
      </x:c>
      <x:c r="E1482" s="61" t="n">
        <x:v>5</x:v>
      </x:c>
      <x:c r="F1482" s="61" t="n">
        <x:v>0</x:v>
      </x:c>
    </x:row>
    <x:row r="1483">
      <x:c r="A1483" s="43" t="str">
        <x:v>L2023-00015-1</x:v>
      </x:c>
      <x:c r="B1483" s="46" t="str">
        <x:v>L2023-00015-1/붙임 3. 입찰 관련 부속서류 일체.Zip</x:v>
      </x:c>
      <x:c r="C1483" s="43" t="str">
        <x:v>.zip</x:v>
      </x:c>
      <x:c r="D1483" s="61" t="n">
        <x:v>535530</x:v>
      </x:c>
      <x:c r="E1483" s="61" t="n">
        <x:v>0</x:v>
      </x:c>
      <x:c r="F1483" s="61" t="n">
        <x:v>0</x:v>
      </x:c>
    </x:row>
    <x:row r="1484">
      <x:c r="A1484" s="43" t="str">
        <x:v>L2023-00015-1</x:v>
      </x:c>
      <x:c r="B1484" s="46" t="str">
        <x:v>L2023-00015-1/붙임 3. 입찰 관련 부속서류 일체/20230317_Section 3 - Bidding Forms.docx</x:v>
      </x:c>
      <x:c r="C1484" s="43" t="str">
        <x:v>.docx</x:v>
      </x:c>
      <x:c r="D1484" s="61" t="n">
        <x:v>62807</x:v>
      </x:c>
      <x:c r="E1484" s="61" t="n">
        <x:v>120</x:v>
      </x:c>
      <x:c r="F1484" s="61" t="n">
        <x:v>0</x:v>
      </x:c>
    </x:row>
    <x:row r="1485">
      <x:c r="A1485" s="43" t="str">
        <x:v>L2023-00015-1</x:v>
      </x:c>
      <x:c r="B1485" s="46" t="str">
        <x:v>L2023-00015-1/붙임 3. 입찰 관련 부속서류 일체/20230317_Section 4 - Scope of Works.docx</x:v>
      </x:c>
      <x:c r="C1485" s="43" t="str">
        <x:v>.docx</x:v>
      </x:c>
      <x:c r="D1485" s="61" t="n">
        <x:v>101731</x:v>
      </x:c>
      <x:c r="E1485" s="61" t="n">
        <x:v>53</x:v>
      </x:c>
      <x:c r="F1485" s="61" t="n">
        <x:v>0</x:v>
      </x:c>
    </x:row>
    <x:row r="1486">
      <x:c r="A1486" s="43" t="str">
        <x:v>L2023-00015-1</x:v>
      </x:c>
      <x:c r="B1486" s="46" t="str">
        <x:v>L2023-00015-1/붙임 3. 입찰 관련 부속서류 일체/20230317_Section 6 - General Conditions of Contract.docx</x:v>
      </x:c>
      <x:c r="C1486" s="43" t="str">
        <x:v>.docx</x:v>
      </x:c>
      <x:c r="D1486" s="61" t="n">
        <x:v>26604</x:v>
      </x:c>
      <x:c r="E1486" s="61" t="n">
        <x:v>179</x:v>
      </x:c>
      <x:c r="F1486" s="61" t="n">
        <x:v>0</x:v>
      </x:c>
    </x:row>
    <x:row r="1487">
      <x:c r="A1487" s="43" t="str">
        <x:v>L2023-00015-1</x:v>
      </x:c>
      <x:c r="B1487" s="46" t="str">
        <x:v>L2023-00015-1/붙임 3. 입찰 관련 부속서류 일체/20230317_Section 7 - Special Conditions of Contract.docx</x:v>
      </x:c>
      <x:c r="C1487" s="43" t="str">
        <x:v>.docx</x:v>
      </x:c>
      <x:c r="D1487" s="61" t="n">
        <x:v>19684</x:v>
      </x:c>
      <x:c r="E1487" s="61" t="n">
        <x:v>28</x:v>
      </x:c>
      <x:c r="F1487" s="61" t="n">
        <x:v>0</x:v>
      </x:c>
    </x:row>
    <x:row r="1488">
      <x:c r="A1488" s="43" t="str">
        <x:v>L2023-00015-1</x:v>
      </x:c>
      <x:c r="B1488" s="46" t="str">
        <x:v>L2023-00015-1/붙임 3. 입찰 관련 부속서류 일체/20230317_Section 8 - Contract Forms.docx</x:v>
      </x:c>
      <x:c r="C1488" s="43" t="str">
        <x:v>.docx</x:v>
      </x:c>
      <x:c r="D1488" s="61" t="n">
        <x:v>39920</x:v>
      </x:c>
      <x:c r="E1488" s="61" t="n">
        <x:v>30</x:v>
      </x:c>
      <x:c r="F1488" s="61" t="n">
        <x:v>0</x:v>
      </x:c>
    </x:row>
    <x:row r="1489">
      <x:c r="A1489" s="43" t="str">
        <x:v>L2023-00015-1</x:v>
      </x:c>
      <x:c r="B1489" s="46" t="str">
        <x:v>L2023-00015-1/붙임 3. 입찰 관련 부속서류 일체/20230320_Section 1 - Instructions to Bidders (ITB).docx</x:v>
      </x:c>
      <x:c r="C1489" s="43" t="str">
        <x:v>.docx</x:v>
      </x:c>
      <x:c r="D1489" s="61" t="n">
        <x:v>37058</x:v>
      </x:c>
      <x:c r="E1489" s="61" t="n">
        <x:v>195</x:v>
      </x:c>
      <x:c r="F1489" s="61" t="n">
        <x:v>0</x:v>
      </x:c>
    </x:row>
    <x:row r="1490">
      <x:c r="A1490" s="43" t="str">
        <x:v>L2023-00015-1</x:v>
      </x:c>
      <x:c r="B1490" s="46" t="str">
        <x:v>L2023-00015-1/붙임 3. 입찰 관련 부속서류 일체/20230320_Section 2 - Bid Data Sheet (BDS).docx</x:v>
      </x:c>
      <x:c r="C1490" s="43" t="str">
        <x:v>.docx</x:v>
      </x:c>
      <x:c r="D1490" s="61" t="n">
        <x:v>270271</x:v>
      </x:c>
      <x:c r="E1490" s="61" t="n">
        <x:v>243</x:v>
      </x:c>
      <x:c r="F1490" s="61" t="n">
        <x:v>3</x:v>
      </x:c>
    </x:row>
    <x:row r="1491">
      <x:c r="A1491" s="43" t="str">
        <x:v>L2023-00012-1</x:v>
      </x:c>
      <x:c r="B1491" s="46" t="str">
        <x:v>L2023-00012-1/붙임 2. (국문) 입찰 계획서.hwp</x:v>
      </x:c>
      <x:c r="C1491" s="43" t="str">
        <x:v>.hwp</x:v>
      </x:c>
      <x:c r="D1491" s="61" t="n">
        <x:v>342016</x:v>
      </x:c>
      <x:c r="E1491" s="61" t="n">
        <x:v>415</x:v>
      </x:c>
      <x:c r="F1491" s="61" t="n">
        <x:v>5</x:v>
      </x:c>
    </x:row>
    <x:row r="1492">
      <x:c r="A1492" s="43" t="str">
        <x:v>L2023-00012-1</x:v>
      </x:c>
      <x:c r="B1492" s="46" t="str">
        <x:v>L2023-00012-1/붙임 2. (영문) 입찰 공고(안).doc</x:v>
      </x:c>
      <x:c r="C1492" s="43" t="str">
        <x:v>.doc</x:v>
      </x:c>
      <x:c r="D1492" s="61" t="n">
        <x:v>134144</x:v>
      </x:c>
      <x:c r="E1492" s="61" t="n">
        <x:v>28</x:v>
      </x:c>
      <x:c r="F1492" s="61" t="n">
        <x:v>1</x:v>
      </x:c>
    </x:row>
    <x:row r="1493">
      <x:c r="A1493" s="43" t="str">
        <x:v>L2023-00012-1</x:v>
      </x:c>
      <x:c r="B1493" s="46" t="str">
        <x:v>L2023-00012-1/붙임 3. 부속서류 일체.Zip</x:v>
      </x:c>
      <x:c r="C1493" s="43" t="str">
        <x:v>.zip</x:v>
      </x:c>
      <x:c r="D1493" s="61" t="n">
        <x:v>620369</x:v>
      </x:c>
      <x:c r="E1493" s="61" t="n">
        <x:v>0</x:v>
      </x:c>
      <x:c r="F1493" s="61" t="n">
        <x:v>0</x:v>
      </x:c>
    </x:row>
    <x:row r="1494">
      <x:c r="A1494" s="43" t="str">
        <x:v>L2023-00012-1</x:v>
      </x:c>
      <x:c r="B1494" s="46" t="str">
        <x:v>L2023-00012-1/붙임 3. 부속서류 일체/Section 1 - Instructions to Bidders (ITB).docx</x:v>
      </x:c>
      <x:c r="C1494" s="43" t="str">
        <x:v>.docx</x:v>
      </x:c>
      <x:c r="D1494" s="61" t="n">
        <x:v>33211</x:v>
      </x:c>
      <x:c r="E1494" s="61" t="n">
        <x:v>204</x:v>
      </x:c>
      <x:c r="F1494" s="61" t="n">
        <x:v>0</x:v>
      </x:c>
    </x:row>
    <x:row r="1495">
      <x:c r="A1495" s="43" t="str">
        <x:v>L2023-00012-1</x:v>
      </x:c>
      <x:c r="B1495" s="46" t="str">
        <x:v>L2023-00012-1/붙임 3. 부속서류 일체/Section 2 - Bid Data Sheet (BDS).docx</x:v>
      </x:c>
      <x:c r="C1495" s="43" t="str">
        <x:v>.docx</x:v>
      </x:c>
      <x:c r="D1495" s="61" t="n">
        <x:v>262437</x:v>
      </x:c>
      <x:c r="E1495" s="61" t="n">
        <x:v>203</x:v>
      </x:c>
      <x:c r="F1495" s="61" t="n">
        <x:v>4</x:v>
      </x:c>
    </x:row>
    <x:row r="1496">
      <x:c r="A1496" s="43" t="str">
        <x:v>L2023-00012-1</x:v>
      </x:c>
      <x:c r="B1496" s="46" t="str">
        <x:v>L2023-00012-1/붙임 3. 부속서류 일체/Section 3 - Bidding Forms.docx</x:v>
      </x:c>
      <x:c r="C1496" s="43" t="str">
        <x:v>.docx</x:v>
      </x:c>
      <x:c r="D1496" s="61" t="n">
        <x:v>41532</x:v>
      </x:c>
      <x:c r="E1496" s="61" t="n">
        <x:v>211</x:v>
      </x:c>
      <x:c r="F1496" s="61" t="n">
        <x:v>0</x:v>
      </x:c>
    </x:row>
    <x:row r="1497">
      <x:c r="A1497" s="43" t="str">
        <x:v>L2023-00012-1</x:v>
      </x:c>
      <x:c r="B1497" s="46" t="str">
        <x:v>L2023-00012-1/붙임 3. 부속서류 일체/Section 7 - General Conditions of Contract.docx</x:v>
      </x:c>
      <x:c r="C1497" s="43" t="str">
        <x:v>.docx</x:v>
      </x:c>
      <x:c r="D1497" s="61" t="n">
        <x:v>203691</x:v>
      </x:c>
      <x:c r="E1497" s="61" t="n">
        <x:v>1406</x:v>
      </x:c>
      <x:c r="F1497" s="61" t="n">
        <x:v>2</x:v>
      </x:c>
    </x:row>
    <x:row r="1498">
      <x:c r="A1498" s="43" t="str">
        <x:v>L2023-00012-1</x:v>
      </x:c>
      <x:c r="B1498" s="46" t="str">
        <x:v>L2023-00012-1/붙임 3. 부속서류 일체/Section 8 - Specail Conditions of Contract.docx</x:v>
      </x:c>
      <x:c r="C1498" s="43" t="str">
        <x:v>.docx</x:v>
      </x:c>
      <x:c r="D1498" s="61" t="n">
        <x:v>62186</x:v>
      </x:c>
      <x:c r="E1498" s="61" t="n">
        <x:v>292</x:v>
      </x:c>
      <x:c r="F1498" s="61" t="n">
        <x:v>1</x:v>
      </x:c>
    </x:row>
    <x:row r="1499">
      <x:c r="A1499" s="43" t="str">
        <x:v>L2023-00012-1</x:v>
      </x:c>
      <x:c r="B1499" s="46" t="str">
        <x:v>L2023-00012-1/붙임 3. 부속서류 일체/Section 9 - Contract Forms.docx</x:v>
      </x:c>
      <x:c r="C1499" s="43" t="str">
        <x:v>.docx</x:v>
      </x:c>
      <x:c r="D1499" s="61" t="n">
        <x:v>37546</x:v>
      </x:c>
      <x:c r="E1499" s="61" t="n">
        <x:v>30</x:v>
      </x:c>
      <x:c r="F1499" s="61" t="n">
        <x:v>0</x:v>
      </x:c>
    </x:row>
    <x:row r="1500">
      <x:c r="A1500" s="43" t="str">
        <x:v>L2023-00012-1</x:v>
      </x:c>
      <x:c r="B1500" s="46" t="str">
        <x:v>L2023-00012-1/붙임 6. 서약서.Zip</x:v>
      </x:c>
      <x:c r="C1500" s="43" t="str">
        <x:v>.zip</x:v>
      </x:c>
      <x:c r="D1500" s="61" t="n">
        <x:v>65638</x:v>
      </x:c>
      <x:c r="E1500" s="61" t="n">
        <x:v>0</x:v>
      </x:c>
      <x:c r="F1500" s="61" t="n">
        <x:v>0</x:v>
      </x:c>
    </x:row>
    <x:row r="1501">
      <x:c r="A1501" s="43" t="str">
        <x:v>L2023-00012-1</x:v>
      </x:c>
      <x:c r="B1501" s="46" t="str">
        <x:v>L2023-00012-1/붙임 6. 서약서/Declaration of Anti_Corruption (반부패 선언서).docx</x:v>
      </x:c>
      <x:c r="C1501" s="43" t="str">
        <x:v>.docx</x:v>
      </x:c>
      <x:c r="D1501" s="61" t="n">
        <x:v>22643</x:v>
      </x:c>
      <x:c r="E1501" s="61" t="n">
        <x:v>39</x:v>
      </x:c>
      <x:c r="F1501" s="61" t="n">
        <x:v>0</x:v>
      </x:c>
    </x:row>
    <x:row r="1502">
      <x:c r="A1502" s="43" t="str">
        <x:v>L2023-00012-1</x:v>
      </x:c>
      <x:c r="B1502" s="46" t="str">
        <x:v>L2023-00012-1/붙임 6. 서약서/Fair Contract Pledge Letter (공정계약 서약서).docx</x:v>
      </x:c>
      <x:c r="C1502" s="43" t="str">
        <x:v>.docx</x:v>
      </x:c>
      <x:c r="D1502" s="61" t="n">
        <x:v>15332</x:v>
      </x:c>
      <x:c r="E1502" s="61" t="n">
        <x:v>20</x:v>
      </x:c>
      <x:c r="F1502" s="61" t="n">
        <x:v>0</x:v>
      </x:c>
    </x:row>
    <x:row r="1503">
      <x:c r="A1503" s="43" t="str">
        <x:v>L2023-00012-1</x:v>
      </x:c>
      <x:c r="B1503" s="46" t="str">
        <x:v>L2023-00012-1/붙임 6. 서약서/Integrity Pledge (청렴계약서).docx</x:v>
      </x:c>
      <x:c r="C1503" s="43" t="str">
        <x:v>.docx</x:v>
      </x:c>
      <x:c r="D1503" s="61" t="n">
        <x:v>36805</x:v>
      </x:c>
      <x:c r="E1503" s="61" t="n">
        <x:v>17</x:v>
      </x:c>
      <x:c r="F1503" s="61" t="n">
        <x:v>0</x:v>
      </x:c>
    </x:row>
    <x:row r="1504">
      <x:c r="A1504" s="43" t="str">
        <x:v>L2023-00011-1</x:v>
      </x:c>
      <x:c r="B1504" s="46" t="str">
        <x:v>L2023-00011-1/Section 2 - Bid Data Sheet (BDS).docx</x:v>
      </x:c>
      <x:c r="C1504" s="43" t="str">
        <x:v>.docx</x:v>
      </x:c>
      <x:c r="D1504" s="61" t="n">
        <x:v>50548</x:v>
      </x:c>
      <x:c r="E1504" s="61" t="n">
        <x:v>236</x:v>
      </x:c>
      <x:c r="F1504" s="61" t="n">
        <x:v>4</x:v>
      </x:c>
    </x:row>
    <x:row r="1505">
      <x:c r="A1505" s="43" t="str">
        <x:v>L2023-00011-1</x:v>
      </x:c>
      <x:c r="B1505" s="46" t="str">
        <x:v>L2023-00011-1/입찰계획안(국문)_230321.hwp</x:v>
      </x:c>
      <x:c r="C1505" s="43" t="str">
        <x:v>.hwp</x:v>
      </x:c>
      <x:c r="D1505" s="61" t="n">
        <x:v>67584</x:v>
      </x:c>
      <x:c r="E1505" s="61" t="n">
        <x:v>472</x:v>
      </x:c>
      <x:c r="F1505" s="61" t="n">
        <x:v>1</x:v>
      </x:c>
    </x:row>
    <x:row r="1506">
      <x:c r="A1506" s="43" t="str">
        <x:v>L2023-00009-1</x:v>
      </x:c>
      <x:c r="B1506" s="46" t="str">
        <x:v>L2023-00009-1/1. 입찰계획안(국영문).zip</x:v>
      </x:c>
      <x:c r="C1506" s="43" t="str">
        <x:v>.zip</x:v>
      </x:c>
      <x:c r="D1506" s="61" t="n">
        <x:v>120997</x:v>
      </x:c>
      <x:c r="E1506" s="61" t="n">
        <x:v>0</x:v>
      </x:c>
      <x:c r="F1506" s="61" t="n">
        <x:v>0</x:v>
      </x:c>
    </x:row>
    <x:row r="1507">
      <x:c r="A1507" s="43" t="str">
        <x:v>L2023-00009-1</x:v>
      </x:c>
      <x:c r="B1507" s="46" t="str">
        <x:v>L2023-00009-1/1. 입찰계획안(국영문)/└╘┬√░Φ╚╣╛╚(┐╡╣«)_0314.docx</x:v>
      </x:c>
      <x:c r="C1507" s="43" t="str">
        <x:v>.docx</x:v>
      </x:c>
      <x:c r="D1507" s="61" t="n">
        <x:v>74721</x:v>
      </x:c>
      <x:c r="E1507" s="61" t="n">
        <x:v>223</x:v>
      </x:c>
      <x:c r="F1507" s="61" t="n">
        <x:v>1</x:v>
      </x:c>
    </x:row>
    <x:row r="1508">
      <x:c r="A1508" s="43" t="str">
        <x:v>L2023-00009-1</x:v>
      </x:c>
      <x:c r="B1508" s="46" t="str">
        <x:v>L2023-00009-1/1. 입찰계획안(국영문)/└╘┬√░Φ╚╣╛╚(▒╣╣«)_0314.hwp</x:v>
      </x:c>
      <x:c r="C1508" s="43" t="str">
        <x:v>.hwp</x:v>
      </x:c>
      <x:c r="D1508" s="61" t="n">
        <x:v>62976</x:v>
      </x:c>
      <x:c r="E1508" s="61" t="n">
        <x:v>448</x:v>
      </x:c>
      <x:c r="F1508" s="61" t="n">
        <x:v>4</x:v>
      </x:c>
    </x:row>
    <x:row r="1509">
      <x:c r="A1509" s="43" t="str">
        <x:v>L2023-00009-1</x:v>
      </x:c>
      <x:c r="B1509" s="46" t="str">
        <x:v>L2023-00009-1/2. 입찰서류(영문).zip</x:v>
      </x:c>
      <x:c r="C1509" s="43" t="str">
        <x:v>.zip</x:v>
      </x:c>
      <x:c r="D1509" s="61" t="n">
        <x:v>20914091</x:v>
      </x:c>
      <x:c r="E1509" s="61" t="n">
        <x:v>0</x:v>
      </x:c>
      <x:c r="F1509" s="61" t="n">
        <x:v>0</x:v>
      </x:c>
    </x:row>
    <x:row r="1510">
      <x:c r="A1510" s="43" t="str">
        <x:v>L2023-00009-1</x:v>
      </x:c>
      <x:c r="B1510" s="46" t="str">
        <x:v>L2023-00009-1/2. 입찰서류(영문)/Part 1(└╘┬√ └²┬≈)/Section 1 - Instructions to Bidders (ITB).pdf</x:v>
      </x:c>
      <x:c r="C1510" s="43" t="str">
        <x:v>.pdf</x:v>
      </x:c>
      <x:c r="D1510" s="61" t="n">
        <x:v>4810802</x:v>
      </x:c>
      <x:c r="E1510" s="61" t="n">
        <x:v>13</x:v>
      </x:c>
      <x:c r="F1510" s="61" t="n">
        <x:v>0</x:v>
      </x:c>
    </x:row>
    <x:row r="1511">
      <x:c r="A1511" s="43" t="str">
        <x:v>L2023-00009-1</x:v>
      </x:c>
      <x:c r="B1511" s="46" t="str">
        <x:v>L2023-00009-1/2. 입찰서류(영문)/Part 1(└╘┬√ └²┬≈)/Section 2 - Bid Data Sheet.docx</x:v>
      </x:c>
      <x:c r="C1511" s="43" t="str">
        <x:v>.docx</x:v>
      </x:c>
      <x:c r="D1511" s="61" t="n">
        <x:v>75557</x:v>
      </x:c>
      <x:c r="E1511" s="61" t="n">
        <x:v>223</x:v>
      </x:c>
      <x:c r="F1511" s="61" t="n">
        <x:v>1</x:v>
      </x:c>
    </x:row>
    <x:row r="1512">
      <x:c r="A1512" s="43" t="str">
        <x:v>L2023-00009-1</x:v>
      </x:c>
      <x:c r="B1512" s="46" t="str">
        <x:v>L2023-00009-1/2. 입찰서류(영문)/Part 1(└╘┬√ └²┬≈)/Section 3 - Bidding Forms.docx</x:v>
      </x:c>
      <x:c r="C1512" s="43" t="str">
        <x:v>.docx</x:v>
      </x:c>
      <x:c r="D1512" s="61" t="n">
        <x:v>47347</x:v>
      </x:c>
      <x:c r="E1512" s="61" t="n">
        <x:v>235</x:v>
      </x:c>
      <x:c r="F1512" s="61" t="n">
        <x:v>0</x:v>
      </x:c>
    </x:row>
    <x:row r="1513">
      <x:c r="A1513" s="43" t="str">
        <x:v>L2023-00009-1</x:v>
      </x:c>
      <x:c r="B1513" s="46" t="str">
        <x:v>L2023-00009-1/2. 입찰서류(영문)/Part 2(░·╛≈┴÷╜├╝¡)/Section 4. Bill of Quantities_unpriced.xlsx</x:v>
      </x:c>
      <x:c r="C1513" s="43" t="str">
        <x:v>.xlsx</x:v>
      </x:c>
      <x:c r="D1513" s="61" t="n">
        <x:v>10826631</x:v>
      </x:c>
      <x:c r="E1513" s="61" t="n">
        <x:v>1017</x:v>
      </x:c>
      <x:c r="F1513" s="61" t="n">
        <x:v>1</x:v>
      </x:c>
    </x:row>
    <x:row r="1514">
      <x:c r="A1514" s="43" t="str">
        <x:v>L2023-00009-1</x:v>
      </x:c>
      <x:c r="B1514" s="46" t="str">
        <x:v>L2023-00009-1/2. 입찰서류(영문)/Part 2(░·╛≈┴÷╜├╝¡)/Section 5. Drawings.pdf</x:v>
      </x:c>
      <x:c r="C1514" s="43" t="str">
        <x:v>.pdf</x:v>
      </x:c>
      <x:c r="D1514" s="61" t="n">
        <x:v>18853951</x:v>
      </x:c>
      <x:c r="E1514" s="61" t="n">
        <x:v>0</x:v>
      </x:c>
      <x:c r="F1514" s="61" t="n">
        <x:v>0</x:v>
      </x:c>
    </x:row>
    <x:row r="1515">
      <x:c r="A1515" s="43" t="str">
        <x:v>L2023-00009-1</x:v>
      </x:c>
      <x:c r="B1515" s="46" t="str">
        <x:v>L2023-00009-1/2. 입찰서류(영문)/Part 2(░·╛≈┴÷╜├╝¡)/Section 6. Specification.pdf</x:v>
      </x:c>
      <x:c r="C1515" s="43" t="str">
        <x:v>.pdf</x:v>
      </x:c>
      <x:c r="D1515" s="61" t="n">
        <x:v>846124</x:v>
      </x:c>
      <x:c r="E1515" s="61" t="n">
        <x:v>130</x:v>
      </x:c>
      <x:c r="F1515" s="61" t="n">
        <x:v>4</x:v>
      </x:c>
    </x:row>
    <x:row r="1516">
      <x:c r="A1516" s="43" t="str">
        <x:v>L2023-00009-1</x:v>
      </x:c>
      <x:c r="B1516" s="46" t="str">
        <x:v>L2023-00009-1/2. 입찰서류(영문)/Part 3(░Φ╛α╝¡ ╣╫ ▒Γ┼╕ └┌╖ß)/Section 7 - General Conditions of Contract.docx</x:v>
      </x:c>
      <x:c r="C1516" s="43" t="str">
        <x:v>.docx</x:v>
      </x:c>
      <x:c r="D1516" s="61" t="n">
        <x:v>208250</x:v>
      </x:c>
      <x:c r="E1516" s="61" t="n">
        <x:v>1406</x:v>
      </x:c>
      <x:c r="F1516" s="61" t="n">
        <x:v>2</x:v>
      </x:c>
    </x:row>
    <x:row r="1517">
      <x:c r="A1517" s="43" t="str">
        <x:v>L2023-00009-1</x:v>
      </x:c>
      <x:c r="B1517" s="46" t="str">
        <x:v>L2023-00009-1/2. 입찰서류(영문)/Part 3(░Φ╛α╝¡ ╣╫ ▒Γ┼╕ └┌╖ß)/Section 8 - Specail Conditions of Contract.docx</x:v>
      </x:c>
      <x:c r="C1517" s="43" t="str">
        <x:v>.docx</x:v>
      </x:c>
      <x:c r="D1517" s="61" t="n">
        <x:v>62495</x:v>
      </x:c>
      <x:c r="E1517" s="61" t="n">
        <x:v>270</x:v>
      </x:c>
      <x:c r="F1517" s="61" t="n">
        <x:v>1</x:v>
      </x:c>
    </x:row>
    <x:row r="1518">
      <x:c r="A1518" s="43" t="str">
        <x:v>L2023-00009-1</x:v>
      </x:c>
      <x:c r="B1518" s="46" t="str">
        <x:v>L2023-00009-1/2. 입찰서류(영문)/Part 3(░Φ╛α╝¡ ╣╫ ▒Γ┼╕ └┌╖ß)/Section 9 - Contract Forms.docx</x:v>
      </x:c>
      <x:c r="C1518" s="43" t="str">
        <x:v>.docx</x:v>
      </x:c>
      <x:c r="D1518" s="61" t="n">
        <x:v>38159</x:v>
      </x:c>
      <x:c r="E1518" s="61" t="n">
        <x:v>30</x:v>
      </x:c>
      <x:c r="F1518" s="61" t="n">
        <x:v>0</x:v>
      </x:c>
    </x:row>
    <x:row r="1519">
      <x:c r="A1519" s="43" t="str">
        <x:v>L2023-00007-1</x:v>
      </x:c>
      <x:c r="B1519" s="46" t="str">
        <x:v>L2023-00007-1/붙임1_우르겐치_시공사선정_입찰공고문_20230228최종수정본.docx</x:v>
      </x:c>
      <x:c r="C1519" s="43" t="str">
        <x:v>.docx</x:v>
      </x:c>
      <x:c r="D1519" s="61" t="n">
        <x:v>32485</x:v>
      </x:c>
      <x:c r="E1519" s="61" t="n">
        <x:v>24</x:v>
      </x:c>
      <x:c r="F1519" s="61" t="n">
        <x:v>2</x:v>
      </x:c>
    </x:row>
    <x:row r="1520">
      <x:c r="A1520" s="43" t="str">
        <x:v>L2023-00007-1</x:v>
      </x:c>
      <x:c r="B1520" s="46" t="str">
        <x:v>L2023-00007-1/붙임2_우르겐치_시공_입찰공고_첨부서류_모음_수정.zip</x:v>
      </x:c>
      <x:c r="C1520" s="43" t="str">
        <x:v>.zip</x:v>
      </x:c>
      <x:c r="D1520" s="61" t="n">
        <x:v>748783</x:v>
      </x:c>
      <x:c r="E1520" s="61" t="n">
        <x:v>0</x:v>
      </x:c>
      <x:c r="F1520" s="61" t="n">
        <x:v>0</x:v>
      </x:c>
    </x:row>
    <x:row r="1521">
      <x:c r="A1521" s="43" t="str">
        <x:v>L2023-00007-1</x:v>
      </x:c>
      <x:c r="B1521" s="46" t="str">
        <x:v>L2023-00007-1/붙임2_우르겐치_시공_입찰공고_첨부서류_모음_수정/Bid Document cover page1.doc</x:v>
      </x:c>
      <x:c r="C1521" s="43" t="str">
        <x:v>.doc</x:v>
      </x:c>
      <x:c r="D1521" s="61" t="n">
        <x:v>52736</x:v>
      </x:c>
      <x:c r="E1521" s="61" t="n">
        <x:v>10</x:v>
      </x:c>
      <x:c r="F1521" s="61" t="n">
        <x:v>0</x:v>
      </x:c>
    </x:row>
    <x:row r="1522">
      <x:c r="A1522" s="43" t="str">
        <x:v>L2023-00007-1</x:v>
      </x:c>
      <x:c r="B1522" s="46" t="str">
        <x:v>L2023-00007-1/붙임2_우르겐치_시공_입찰공고_첨부서류_모음_수정/Invitation_for_Bids_Bid_Announcement1.docx</x:v>
      </x:c>
      <x:c r="C1522" s="43" t="str">
        <x:v>.docx</x:v>
      </x:c>
      <x:c r="D1522" s="61" t="n">
        <x:v>190543</x:v>
      </x:c>
      <x:c r="E1522" s="61" t="n">
        <x:v>81</x:v>
      </x:c>
      <x:c r="F1522" s="61" t="n">
        <x:v>3</x:v>
      </x:c>
    </x:row>
    <x:row r="1523">
      <x:c r="A1523" s="43" t="str">
        <x:v>L2023-00007-1</x:v>
      </x:c>
      <x:c r="B1523" s="46" t="str">
        <x:v>L2023-00007-1/붙임2_우르겐치_시공_입찰공고_첨부서류_모음_수정/Pre_Bid_Meeting_Document_PPT.pptx</x:v>
      </x:c>
      <x:c r="C1523" s="43" t="str">
        <x:v>.pptx</x:v>
      </x:c>
      <x:c r="D1523" s="61" t="n">
        <x:v>109472</x:v>
      </x:c>
      <x:c r="E1523" s="61" t="n">
        <x:v>12</x:v>
      </x:c>
      <x:c r="F1523" s="61" t="n">
        <x:v>6</x:v>
      </x:c>
    </x:row>
    <x:row r="1524">
      <x:c r="A1524" s="43" t="str">
        <x:v>L2023-00007-1</x:v>
      </x:c>
      <x:c r="B1524" s="46" t="str">
        <x:v>L2023-00007-1/붙임2_우르겐치_시공_입찰공고_첨부서류_모음_수정/Section 1 - Instructions to Bidders (ITB)1.rtf</x:v>
      </x:c>
      <x:c r="C1524" s="43" t="str">
        <x:v>.rtf</x:v>
      </x:c>
      <x:c r="D1524" s="61" t="n">
        <x:v>251864</x:v>
      </x:c>
      <x:c r="E1524" s="61" t="n">
        <x:v>0</x:v>
      </x:c>
      <x:c r="F1524" s="61" t="n">
        <x:v>0</x:v>
      </x:c>
    </x:row>
    <x:row r="1525">
      <x:c r="A1525" s="43" t="str">
        <x:v>L2023-00007-1</x:v>
      </x:c>
      <x:c r="B1525" s="46" t="str">
        <x:v>L2023-00007-1/붙임2_우르겐치_시공_입찰공고_첨부서류_모음_수정/Section 2 - Bid Data Sheet (BDS).rtf</x:v>
      </x:c>
      <x:c r="C1525" s="43" t="str">
        <x:v>.rtf</x:v>
      </x:c>
      <x:c r="D1525" s="61" t="n">
        <x:v>531041</x:v>
      </x:c>
      <x:c r="E1525" s="61" t="n">
        <x:v>0</x:v>
      </x:c>
      <x:c r="F1525" s="61" t="n">
        <x:v>0</x:v>
      </x:c>
    </x:row>
    <x:row r="1526">
      <x:c r="A1526" s="43" t="str">
        <x:v>L2023-00007-1</x:v>
      </x:c>
      <x:c r="B1526" s="46" t="str">
        <x:v>L2023-00007-1/붙임2_우르겐치_시공_입찰공고_첨부서류_모음_수정/Section 3 - Bidding Forms.doc</x:v>
      </x:c>
      <x:c r="C1526" s="43" t="str">
        <x:v>.doc</x:v>
      </x:c>
      <x:c r="D1526" s="61" t="n">
        <x:v>223744</x:v>
      </x:c>
      <x:c r="E1526" s="61" t="n">
        <x:v>180</x:v>
      </x:c>
      <x:c r="F1526" s="61" t="n">
        <x:v>2</x:v>
      </x:c>
    </x:row>
    <x:row r="1527">
      <x:c r="A1527" s="43" t="str">
        <x:v>L2023-00007-1</x:v>
      </x:c>
      <x:c r="B1527" s="46" t="str">
        <x:v>L2023-00007-1/붙임2_우르겐치_시공_입찰공고_첨부서류_모음_수정/Section 4_5_6 - Requirements1.docx</x:v>
      </x:c>
      <x:c r="C1527" s="43" t="str">
        <x:v>.docx</x:v>
      </x:c>
      <x:c r="D1527" s="61" t="n">
        <x:v>37440</x:v>
      </x:c>
      <x:c r="E1527" s="61" t="n">
        <x:v>24</x:v>
      </x:c>
      <x:c r="F1527" s="61" t="n">
        <x:v>0</x:v>
      </x:c>
    </x:row>
    <x:row r="1528">
      <x:c r="A1528" s="43" t="str">
        <x:v>L2023-00007-1</x:v>
      </x:c>
      <x:c r="B1528" s="46" t="str">
        <x:v>L2023-00007-1/붙임2_우르겐치_시공_입찰공고_첨부서류_모음_수정/Section 7 - General Conditions of Contract1.docx</x:v>
      </x:c>
      <x:c r="C1528" s="43" t="str">
        <x:v>.docx</x:v>
      </x:c>
      <x:c r="D1528" s="61" t="n">
        <x:v>214851</x:v>
      </x:c>
      <x:c r="E1528" s="61" t="n">
        <x:v>1543</x:v>
      </x:c>
      <x:c r="F1528" s="61" t="n">
        <x:v>2</x:v>
      </x:c>
    </x:row>
    <x:row r="1529">
      <x:c r="A1529" s="43" t="str">
        <x:v>L2023-00007-1</x:v>
      </x:c>
      <x:c r="B1529" s="46" t="str">
        <x:v>L2023-00007-1/붙임2_우르겐치_시공_입찰공고_첨부서류_모음_수정/Section 8 - Special Conditions of Contract1.docx</x:v>
      </x:c>
      <x:c r="C1529" s="43" t="str">
        <x:v>.docx</x:v>
      </x:c>
      <x:c r="D1529" s="61" t="n">
        <x:v>69223</x:v>
      </x:c>
      <x:c r="E1529" s="61" t="n">
        <x:v>275</x:v>
      </x:c>
      <x:c r="F1529" s="61" t="n">
        <x:v>3</x:v>
      </x:c>
    </x:row>
    <x:row r="1530">
      <x:c r="A1530" s="43" t="str">
        <x:v>L2023-00007-1</x:v>
      </x:c>
      <x:c r="B1530" s="46" t="str">
        <x:v>L2023-00007-1/붙임2_우르겐치_시공_입찰공고_첨부서류_모음_수정/Section 9 - Contract Forms1.docx</x:v>
      </x:c>
      <x:c r="C1530" s="43" t="str">
        <x:v>.docx</x:v>
      </x:c>
      <x:c r="D1530" s="61" t="n">
        <x:v>37844</x:v>
      </x:c>
      <x:c r="E1530" s="61" t="n">
        <x:v>30</x:v>
      </x:c>
      <x:c r="F1530" s="61" t="n">
        <x:v>0</x:v>
      </x:c>
    </x:row>
    <x:row r="1531">
      <x:c r="A1531" s="43" t="str">
        <x:v>L2023-00006-1</x:v>
      </x:c>
      <x:c r="B1531" s="46" t="str">
        <x:v>L2023-00006-1/1. Section 2,3.zip</x:v>
      </x:c>
      <x:c r="C1531" s="43" t="str">
        <x:v>.zip</x:v>
      </x:c>
      <x:c r="D1531" s="61" t="n">
        <x:v>590697</x:v>
      </x:c>
      <x:c r="E1531" s="61" t="n">
        <x:v>0</x:v>
      </x:c>
      <x:c r="F1531" s="61" t="n">
        <x:v>0</x:v>
      </x:c>
    </x:row>
    <x:row r="1532">
      <x:c r="A1532" s="43" t="str">
        <x:v>L2023-00006-1</x:v>
      </x:c>
      <x:c r="B1532" s="46" t="str">
        <x:v>L2023-00006-1/1. Section 2,3/Section 2 - Bid Data Sheet (BDS)_230223_eng.pdf</x:v>
      </x:c>
      <x:c r="C1532" s="43" t="str">
        <x:v>.pdf</x:v>
      </x:c>
      <x:c r="D1532" s="61" t="n">
        <x:v>431245</x:v>
      </x:c>
      <x:c r="E1532" s="61" t="n">
        <x:v>19</x:v>
      </x:c>
      <x:c r="F1532" s="61" t="n">
        <x:v>11</x:v>
      </x:c>
    </x:row>
    <x:row r="1533">
      <x:c r="A1533" s="43" t="str">
        <x:v>L2023-00006-1</x:v>
      </x:c>
      <x:c r="B1533" s="46" t="str">
        <x:v>L2023-00006-1/1. Section 2,3/Section 2 - Bid Data Sheet (BDS)_230223_kor.pdf</x:v>
      </x:c>
      <x:c r="C1533" s="43" t="str">
        <x:v>.pdf</x:v>
      </x:c>
      <x:c r="D1533" s="61" t="n">
        <x:v>245554</x:v>
      </x:c>
      <x:c r="E1533" s="61" t="n">
        <x:v>19</x:v>
      </x:c>
      <x:c r="F1533" s="61" t="n">
        <x:v>7</x:v>
      </x:c>
    </x:row>
    <x:row r="1534">
      <x:c r="A1534" s="43" t="str">
        <x:v>L2023-00006-1</x:v>
      </x:c>
      <x:c r="B1534" s="46" t="str">
        <x:v>L2023-00006-1/1. Section 2,3/Section 3 - Bidding Forms_230223.doc</x:v>
      </x:c>
      <x:c r="C1534" s="43" t="str">
        <x:v>.doc</x:v>
      </x:c>
      <x:c r="D1534" s="61" t="n">
        <x:v>169984</x:v>
      </x:c>
      <x:c r="E1534" s="61" t="n">
        <x:v>152</x:v>
      </x:c>
      <x:c r="F1534" s="61" t="n">
        <x:v>0</x:v>
      </x:c>
    </x:row>
    <x:row r="1535">
      <x:c r="A1535" s="43" t="str">
        <x:v>L2023-00006-1</x:v>
      </x:c>
      <x:c r="B1535" s="46" t="str">
        <x:v>L2023-00006-1/2. Section 1,7,8,9.zip</x:v>
      </x:c>
      <x:c r="C1535" s="43" t="str">
        <x:v>.zip</x:v>
      </x:c>
      <x:c r="D1535" s="61" t="n">
        <x:v>492738</x:v>
      </x:c>
      <x:c r="E1535" s="61" t="n">
        <x:v>0</x:v>
      </x:c>
      <x:c r="F1535" s="61" t="n">
        <x:v>0</x:v>
      </x:c>
    </x:row>
    <x:row r="1536">
      <x:c r="A1536" s="43" t="str">
        <x:v>L2023-00006-1</x:v>
      </x:c>
      <x:c r="B1536" s="46" t="str">
        <x:v>L2023-00006-1/2. Section 1,7,8,9/Section 1 - Instructions to Bidders (ITB)/Section 1 - ▒╣┴ª└╘┬√└»└╟╝¡ (ITB).hwp</x:v>
      </x:c>
      <x:c r="C1536" s="43" t="str">
        <x:v>.hwp</x:v>
      </x:c>
      <x:c r="D1536" s="61" t="n">
        <x:v>83968</x:v>
      </x:c>
      <x:c r="E1536" s="61" t="n">
        <x:v>136</x:v>
      </x:c>
      <x:c r="F1536" s="61" t="n">
        <x:v>0</x:v>
      </x:c>
    </x:row>
    <x:row r="1537">
      <x:c r="A1537" s="43" t="str">
        <x:v>L2023-00006-1</x:v>
      </x:c>
      <x:c r="B1537" s="46" t="str">
        <x:v>L2023-00006-1/2. Section 1,7,8,9/Section 1 - Instructions to Bidders (ITB)/Section 1 - Instructions to Bidders (ITB).pdf</x:v>
      </x:c>
      <x:c r="C1537" s="43" t="str">
        <x:v>.pdf</x:v>
      </x:c>
      <x:c r="D1537" s="61" t="n">
        <x:v>161366</x:v>
      </x:c>
      <x:c r="E1537" s="61" t="n">
        <x:v>7</x:v>
      </x:c>
      <x:c r="F1537" s="61" t="n">
        <x:v>0</x:v>
      </x:c>
    </x:row>
    <x:row r="1538">
      <x:c r="A1538" s="43" t="str">
        <x:v>L2023-00006-1</x:v>
      </x:c>
      <x:c r="B1538" s="46" t="str">
        <x:v>L2023-00006-1/2. Section 1,7,8,9/Section 7 - General Conditions of Contract.docx</x:v>
      </x:c>
      <x:c r="C1538" s="43" t="str">
        <x:v>.docx</x:v>
      </x:c>
      <x:c r="D1538" s="61" t="n">
        <x:v>202912</x:v>
      </x:c>
      <x:c r="E1538" s="61" t="n">
        <x:v>1406</x:v>
      </x:c>
      <x:c r="F1538" s="61" t="n">
        <x:v>2</x:v>
      </x:c>
    </x:row>
    <x:row r="1539">
      <x:c r="A1539" s="43" t="str">
        <x:v>L2023-00006-1</x:v>
      </x:c>
      <x:c r="B1539" s="46" t="str">
        <x:v>L2023-00006-1/2. Section 1,7,8,9/Section 8 - Specail Conditions of Contract.docx</x:v>
      </x:c>
      <x:c r="C1539" s="43" t="str">
        <x:v>.docx</x:v>
      </x:c>
      <x:c r="D1539" s="61" t="n">
        <x:v>60774</x:v>
      </x:c>
      <x:c r="E1539" s="61" t="n">
        <x:v>292</x:v>
      </x:c>
      <x:c r="F1539" s="61" t="n">
        <x:v>1</x:v>
      </x:c>
    </x:row>
    <x:row r="1540">
      <x:c r="A1540" s="43" t="str">
        <x:v>L2023-00006-1</x:v>
      </x:c>
      <x:c r="B1540" s="46" t="str">
        <x:v>L2023-00006-1/2. Section 1,7,8,9/Section 9 - Contract Forms.docx</x:v>
      </x:c>
      <x:c r="C1540" s="43" t="str">
        <x:v>.docx</x:v>
      </x:c>
      <x:c r="D1540" s="61" t="n">
        <x:v>38159</x:v>
      </x:c>
      <x:c r="E1540" s="61" t="n">
        <x:v>30</x:v>
      </x:c>
      <x:c r="F1540" s="61" t="n">
        <x:v>0</x:v>
      </x:c>
    </x:row>
    <x:row r="1541">
      <x:c r="A1541" s="43" t="str">
        <x:v>L2023-00006-1</x:v>
      </x:c>
      <x:c r="B1541" s="46" t="str">
        <x:v>L2023-00006-1/3. KOICA Safty Management Manual.zip</x:v>
      </x:c>
      <x:c r="C1541" s="43" t="str">
        <x:v>.zip</x:v>
      </x:c>
      <x:c r="D1541" s="61" t="n">
        <x:v>657115</x:v>
      </x:c>
      <x:c r="E1541" s="61" t="n">
        <x:v>0</x:v>
      </x:c>
      <x:c r="F1541" s="61" t="n">
        <x:v>0</x:v>
      </x:c>
    </x:row>
    <x:row r="1542">
      <x:c r="A1542" s="43" t="str">
        <x:v>L2023-00006-1</x:v>
      </x:c>
      <x:c r="B1542" s="46" t="str">
        <x:v>L2023-00006-1/3. KOICA Safty Management Manual/KOICA Safety Management Manual(ENG).pdf</x:v>
      </x:c>
      <x:c r="C1542" s="43" t="str">
        <x:v>.pdf</x:v>
      </x:c>
      <x:c r="D1542" s="61" t="n">
        <x:v>378337</x:v>
      </x:c>
      <x:c r="E1542" s="61" t="n">
        <x:v>37</x:v>
      </x:c>
      <x:c r="F1542" s="61" t="n">
        <x:v>4</x:v>
      </x:c>
    </x:row>
    <x:row r="1543">
      <x:c r="A1543" s="43" t="str">
        <x:v>L2023-00006-1</x:v>
      </x:c>
      <x:c r="B1543" s="46" t="str">
        <x:v>L2023-00006-1/3. KOICA Safty Management Manual/KOICA_░╟╝│░°╗τ ╛╚└ⁿ░ⁿ╕«╛≈╣½ ╕┼┤║╛≤(▒╣╣«).pdf</x:v>
      </x:c>
      <x:c r="C1543" s="43" t="str">
        <x:v>.pdf</x:v>
      </x:c>
      <x:c r="D1543" s="61" t="n">
        <x:v>383336</x:v>
      </x:c>
      <x:c r="E1543" s="61" t="n">
        <x:v>39</x:v>
      </x:c>
      <x:c r="F1543" s="61" t="n">
        <x:v>6</x:v>
      </x:c>
    </x:row>
    <x:row r="1544">
      <x:c r="A1544" s="43" t="str">
        <x:v>L2023-00006-1</x:v>
      </x:c>
      <x:c r="B1544" s="46" t="str">
        <x:v>L2023-00006-1/4. KOICA Regulations and Guidelines.zip</x:v>
      </x:c>
      <x:c r="C1544" s="43" t="str">
        <x:v>.zip</x:v>
      </x:c>
      <x:c r="D1544" s="61" t="n">
        <x:v>2017505</x:v>
      </x:c>
      <x:c r="E1544" s="61" t="n">
        <x:v>0</x:v>
      </x:c>
      <x:c r="F1544" s="61" t="n">
        <x:v>0</x:v>
      </x:c>
    </x:row>
    <x:row r="1545">
      <x:c r="A1545" s="43" t="str">
        <x:v>L2023-00006-1</x:v>
      </x:c>
      <x:c r="B1545" s="46" t="str">
        <x:v>L2023-00006-1/4. KOICA Regulations and Guidelines/Detailed Enforcement Rules of the Regulations for Procurement and Contract in Grant Aid Projects(┤δ┐▄╣½╗≤╟∙╖┬╗τ╛≈┐í ░ⁿ╟╤ ┴╢┤▐ ╣╫ ░Φ╛α▒╘┴ñ ╜├╟α╝╝─ó)_20190503.pdf</x:v>
      </x:c>
      <x:c r="C1545" s="43" t="str">
        <x:v>.pdf</x:v>
      </x:c>
      <x:c r="D1545" s="61" t="n">
        <x:v>554876</x:v>
      </x:c>
      <x:c r="E1545" s="61" t="n">
        <x:v>123</x:v>
      </x:c>
      <x:c r="F1545" s="61" t="n">
        <x:v>8</x:v>
      </x:c>
    </x:row>
    <x:row r="1546">
      <x:c r="A1546" s="43" t="str">
        <x:v>L2023-00006-1</x:v>
      </x:c>
      <x:c r="B1546" s="46" t="str">
        <x:v>L2023-00006-1/4. KOICA Regulations and Guidelines/Guidelines for Technical Evaluation(▒Γ╝·╞≥░í┴÷─º)_20210408.pdf</x:v>
      </x:c>
      <x:c r="C1546" s="43" t="str">
        <x:v>.pdf</x:v>
      </x:c>
      <x:c r="D1546" s="61" t="n">
        <x:v>416852</x:v>
      </x:c>
      <x:c r="E1546" s="61" t="n">
        <x:v>65</x:v>
      </x:c>
      <x:c r="F1546" s="61" t="n">
        <x:v>9</x:v>
      </x:c>
    </x:row>
    <x:row r="1547">
      <x:c r="A1547" s="43" t="str">
        <x:v>L2023-00006-1</x:v>
      </x:c>
      <x:c r="B1547" s="46" t="str">
        <x:v>L2023-00006-1/4. KOICA Regulations and Guidelines/KOICA Regulations for International Procurement(▒╣┴ª┴╢┤▐▒╘┴ñ)_20190304.pdf</x:v>
      </x:c>
      <x:c r="C1547" s="43" t="str">
        <x:v>.pdf</x:v>
      </x:c>
      <x:c r="D1547" s="61" t="n">
        <x:v>375625</x:v>
      </x:c>
      <x:c r="E1547" s="61" t="n">
        <x:v>55</x:v>
      </x:c>
      <x:c r="F1547" s="61" t="n">
        <x:v>1</x:v>
      </x:c>
    </x:row>
    <x:row r="1548">
      <x:c r="A1548" s="43" t="str">
        <x:v>L2023-00006-1</x:v>
      </x:c>
      <x:c r="B1548" s="46" t="str">
        <x:v>L2023-00006-1/4. KOICA Regulations and Guidelines/Regulations for Procurement and Contract in Grant Aid Projects(┤δ┐▄╣½╗≤╟∙╖┬╗τ╛≈┐í ░ⁿ╟╤ ┴╢┤▐ ╣╫ ░Φ╛α▒╘┴ñ)_20190520.pdf</x:v>
      </x:c>
      <x:c r="C1548" s="43" t="str">
        <x:v>.pdf</x:v>
      </x:c>
      <x:c r="D1548" s="61" t="n">
        <x:v>157627</x:v>
      </x:c>
      <x:c r="E1548" s="61" t="n">
        <x:v>33</x:v>
      </x:c>
      <x:c r="F1548" s="61" t="n">
        <x:v>2</x:v>
      </x:c>
    </x:row>
    <x:row r="1549">
      <x:c r="A1549" s="43" t="str">
        <x:v>L2023-00006-1</x:v>
      </x:c>
      <x:c r="B1549" s="46" t="str">
        <x:v>L2023-00006-1/4. KOICA Regulations and Guidelines/Standard of Prequalification Criteria(└╘┬√┬ⁿ░í└┌░▌╗τ└ⁿ╜╔╗τ▒Γ┴╪)_20130116.pdf</x:v>
      </x:c>
      <x:c r="C1549" s="43" t="str">
        <x:v>.pdf</x:v>
      </x:c>
      <x:c r="D1549" s="61" t="n">
        <x:v>473791</x:v>
      </x:c>
      <x:c r="E1549" s="61" t="n">
        <x:v>26</x:v>
      </x:c>
      <x:c r="F1549" s="61" t="n">
        <x:v>1</x:v>
      </x:c>
    </x:row>
    <x:row r="1550">
      <x:c r="A1550" s="43" t="str">
        <x:v>L2023-00006-1</x:v>
      </x:c>
      <x:c r="B1550" s="46" t="str">
        <x:v>L2023-00006-1/4. KOICA Regulations and Guidelines/Standards of Qualification Examination for Selection of Constructor(╜├░°╗τ╝▒┴ñ└√░▌╜╔╗τ▒Γ┴╪)_20140403.pdf</x:v>
      </x:c>
      <x:c r="C1550" s="43" t="str">
        <x:v>.pdf</x:v>
      </x:c>
      <x:c r="D1550" s="61" t="n">
        <x:v>315288</x:v>
      </x:c>
      <x:c r="E1550" s="61" t="n">
        <x:v>12</x:v>
      </x:c>
      <x:c r="F1550" s="61" t="n">
        <x:v>0</x:v>
      </x:c>
    </x:row>
    <x:row r="1551">
      <x:c r="A1551" s="43" t="str">
        <x:v>L2023-00004-1</x:v>
      </x:c>
      <x:c r="B1551" s="46" t="str">
        <x:v>L2023-00004-1/「에티오피아 양질의 일자리 창출을 위한 ICT 기반의 창업 및 중소기업 육성 지원 ᄉ.hwp</x:v>
      </x:c>
      <x:c r="C1551" s="43" t="str">
        <x:v>.hwp</x:v>
      </x:c>
      <x:c r="D1551" s="61" t="n">
        <x:v>157696</x:v>
      </x:c>
      <x:c r="E1551" s="61" t="n">
        <x:v>1</x:v>
      </x:c>
      <x:c r="F1551" s="61" t="n">
        <x:v>0</x:v>
      </x:c>
    </x:row>
    <x:row r="1552">
      <x:c r="A1552" s="43" t="str">
        <x:v>L2023-00004-1</x:v>
      </x:c>
      <x:c r="B1552" s="46" t="str">
        <x:v>L2023-00004-1/붙임 1. 에티오피아 ICT 센터 입찰 계획.hwp</x:v>
      </x:c>
      <x:c r="C1552" s="43" t="str">
        <x:v>.hwp</x:v>
      </x:c>
      <x:c r="D1552" s="61" t="n">
        <x:v>174592</x:v>
      </x:c>
      <x:c r="E1552" s="61" t="n">
        <x:v>815</x:v>
      </x:c>
      <x:c r="F1552" s="61" t="n">
        <x:v>8</x:v>
      </x:c>
    </x:row>
    <x:row r="1553">
      <x:c r="A1553" s="43" t="str">
        <x:v>L2023-00004-1</x:v>
      </x:c>
      <x:c r="B1553" s="46" t="str">
        <x:v>L2023-00004-1/붙임 2. 입찰 서류.zip</x:v>
      </x:c>
      <x:c r="C1553" s="43" t="str">
        <x:v>.zip</x:v>
      </x:c>
      <x:c r="D1553" s="61" t="n">
        <x:v>7446678</x:v>
      </x:c>
      <x:c r="E1553" s="61" t="n">
        <x:v>0</x:v>
      </x:c>
      <x:c r="F1553" s="61" t="n">
        <x:v>0</x:v>
      </x:c>
    </x:row>
    <x:row r="1554">
      <x:c r="A1554" s="43" t="str">
        <x:v>L2023-00004-1</x:v>
      </x:c>
      <x:c r="B1554" s="46" t="str">
        <x:v>L2023-00004-1/붙임 2. 입찰 서류/01_Part1(└╘┬√ └²┬≈)/Section_01_ITB_Instruction to Bidder(└╘┬√ └»└╟╝¡).docx</x:v>
      </x:c>
      <x:c r="C1554" s="43" t="str">
        <x:v>.docx</x:v>
      </x:c>
      <x:c r="D1554" s="61" t="n">
        <x:v>43696</x:v>
      </x:c>
      <x:c r="E1554" s="61" t="n">
        <x:v>205</x:v>
      </x:c>
      <x:c r="F1554" s="61" t="n">
        <x:v>0</x:v>
      </x:c>
    </x:row>
    <x:row r="1555">
      <x:c r="A1555" s="43" t="str">
        <x:v>L2023-00004-1</x:v>
      </x:c>
      <x:c r="B1555" s="46" t="str">
        <x:v>L2023-00004-1/붙임 2. 입찰 서류/01_Part1(└╘┬√ └²┬≈)/Section_02_EQC_Evaluation and Qualification Criteria(└╘┬√╞≥░í▒Γ┴╪).docx</x:v>
      </x:c>
      <x:c r="C1555" s="43" t="str">
        <x:v>.docx</x:v>
      </x:c>
      <x:c r="D1555" s="61" t="n">
        <x:v>31259</x:v>
      </x:c>
      <x:c r="E1555" s="61" t="n">
        <x:v>54</x:v>
      </x:c>
      <x:c r="F1555" s="61" t="n">
        <x:v>0</x:v>
      </x:c>
    </x:row>
    <x:row r="1556">
      <x:c r="A1556" s="43" t="str">
        <x:v>L2023-00004-1</x:v>
      </x:c>
      <x:c r="B1556" s="46" t="str">
        <x:v>L2023-00004-1/붙임 2. 입찰 서류/01_Part1(└╘┬√ └²┬≈)/Section_03_BDF_Bidding Form.docx</x:v>
      </x:c>
      <x:c r="C1556" s="43" t="str">
        <x:v>.docx</x:v>
      </x:c>
      <x:c r="D1556" s="61" t="n">
        <x:v>358045</x:v>
      </x:c>
      <x:c r="E1556" s="61" t="n">
        <x:v>416</x:v>
      </x:c>
      <x:c r="F1556" s="61" t="n">
        <x:v>1</x:v>
      </x:c>
    </x:row>
    <x:row r="1557">
      <x:c r="A1557" s="43" t="str">
        <x:v>L2023-00004-1</x:v>
      </x:c>
      <x:c r="B1557" s="46" t="str">
        <x:v>L2023-00004-1/붙임 2. 입찰 서류/02_Part2(░·╛≈┴÷╜├╝¡)/Section_4_Employer's Requirement/Section_04_Employer Requirement.docx</x:v>
      </x:c>
      <x:c r="C1557" s="43" t="str">
        <x:v>.docx</x:v>
      </x:c>
      <x:c r="D1557" s="61" t="n">
        <x:v>39430</x:v>
      </x:c>
      <x:c r="E1557" s="61" t="n">
        <x:v>213</x:v>
      </x:c>
      <x:c r="F1557" s="61" t="n">
        <x:v>1</x:v>
      </x:c>
    </x:row>
    <x:row r="1558">
      <x:c r="A1558" s="43" t="str">
        <x:v>L2023-00004-1</x:v>
      </x:c>
      <x:c r="B1558" s="46" t="str">
        <x:v>L2023-00004-1/붙임 2. 입찰 서류/02_Part2(░·╛≈┴÷╜├╝¡)/Section_5_Scope of works/Section_05_The scope of works.doc</x:v>
      </x:c>
      <x:c r="C1558" s="43" t="str">
        <x:v>.doc</x:v>
      </x:c>
      <x:c r="D1558" s="61" t="n">
        <x:v>229888</x:v>
      </x:c>
      <x:c r="E1558" s="61" t="n">
        <x:v>5</x:v>
      </x:c>
      <x:c r="F1558" s="61" t="n">
        <x:v>0</x:v>
      </x:c>
    </x:row>
    <x:row r="1559">
      <x:c r="A1559" s="43" t="str">
        <x:v>L2023-00004-1</x:v>
      </x:c>
      <x:c r="B1559" s="46" t="str">
        <x:v>L2023-00004-1/붙임 2. 입찰 서류/02_Part2(░·╛≈┴÷╜├╝¡)/Section_6_Techinial Specification/Section_06_Technical Specification.docx</x:v>
      </x:c>
      <x:c r="C1559" s="43" t="str">
        <x:v>.docx</x:v>
      </x:c>
      <x:c r="D1559" s="61" t="n">
        <x:v>22156</x:v>
      </x:c>
      <x:c r="E1559" s="61" t="n">
        <x:v>8</x:v>
      </x:c>
      <x:c r="F1559" s="61" t="n">
        <x:v>0</x:v>
      </x:c>
    </x:row>
    <x:row r="1560">
      <x:c r="A1560" s="43" t="str">
        <x:v>L2023-00004-1</x:v>
      </x:c>
      <x:c r="B1560" s="46" t="str">
        <x:v>L2023-00004-1/붙임 2. 입찰 서류/02_Part2(░·╛≈┴÷╜├╝¡)/Section_6_Techinial Specification/Section_6_Techinial Specification.zip</x:v>
      </x:c>
      <x:c r="C1560" s="43" t="str">
        <x:v>.zip</x:v>
      </x:c>
      <x:c r="D1560" s="61" t="n">
        <x:v>363704</x:v>
      </x:c>
      <x:c r="E1560" s="61" t="n">
        <x:v>0</x:v>
      </x:c>
      <x:c r="F1560" s="61" t="n">
        <x:v>0</x:v>
      </x:c>
    </x:row>
    <x:row r="1561">
      <x:c r="A1561" s="43" t="str">
        <x:v>L2023-00004-1</x:v>
      </x:c>
      <x:c r="B1561" s="46" t="str">
        <x:v>L2023-00004-1/붙임 2. 입찰 서류/02_Part2(░·╛≈┴÷╜├╝¡)/Section_8_BOQ_unpriced/ICT PROJECT ESTIMATION_empty.xlsx</x:v>
      </x:c>
      <x:c r="C1561" s="43" t="str">
        <x:v>.xlsx</x:v>
      </x:c>
      <x:c r="D1561" s="61" t="n">
        <x:v>302269</x:v>
      </x:c>
      <x:c r="E1561" s="61" t="n">
        <x:v>513</x:v>
      </x:c>
      <x:c r="F1561" s="61" t="n">
        <x:v>6</x:v>
      </x:c>
    </x:row>
    <x:row r="1562">
      <x:c r="A1562" s="43" t="str">
        <x:v>L2023-00004-1</x:v>
      </x:c>
      <x:c r="B1562" s="46" t="str">
        <x:v>L2023-00004-1/붙임 2. 입찰 서류/02_Part2(░·╛≈┴÷╜├╝¡)/Section_8_BOQ_unpriced/Section_08_BOQ_unpriced.docx</x:v>
      </x:c>
      <x:c r="C1562" s="43" t="str">
        <x:v>.docx</x:v>
      </x:c>
      <x:c r="D1562" s="61" t="n">
        <x:v>22122</x:v>
      </x:c>
      <x:c r="E1562" s="61" t="n">
        <x:v>4</x:v>
      </x:c>
      <x:c r="F1562" s="61" t="n">
        <x:v>0</x:v>
      </x:c>
    </x:row>
    <x:row r="1563">
      <x:c r="A1563" s="43" t="str">
        <x:v>L2023-00004-1</x:v>
      </x:c>
      <x:c r="B1563" s="46" t="str">
        <x:v>L2023-00004-1/붙임 2. 입찰 서류/03_Part3(░Φ╛α╝¡ ╣╫ ▒Γ┼╕ └┌╖ß)/Section_09_Contract Agreement/Section_09_Contract Agreement.docx</x:v>
      </x:c>
      <x:c r="C1563" s="43" t="str">
        <x:v>.docx</x:v>
      </x:c>
      <x:c r="D1563" s="61" t="n">
        <x:v>37182</x:v>
      </x:c>
      <x:c r="E1563" s="61" t="n">
        <x:v>30</x:v>
      </x:c>
      <x:c r="F1563" s="61" t="n">
        <x:v>0</x:v>
      </x:c>
    </x:row>
    <x:row r="1564">
      <x:c r="A1564" s="43" t="str">
        <x:v>L2023-00004-1</x:v>
      </x:c>
      <x:c r="B1564" s="46" t="str">
        <x:v>L2023-00004-1/붙임 2. 입찰 서류/03_Part3(░Φ╛α╝¡ ╣╫ ▒Γ┼╕ └┌╖ß)/Section_10_GCC/Section_10_GCC.docx</x:v>
      </x:c>
      <x:c r="C1564" s="43" t="str">
        <x:v>.docx</x:v>
      </x:c>
      <x:c r="D1564" s="61" t="n">
        <x:v>203248</x:v>
      </x:c>
      <x:c r="E1564" s="61" t="n">
        <x:v>1406</x:v>
      </x:c>
      <x:c r="F1564" s="61" t="n">
        <x:v>2</x:v>
      </x:c>
    </x:row>
    <x:row r="1565">
      <x:c r="A1565" s="43" t="str">
        <x:v>L2023-00004-1</x:v>
      </x:c>
      <x:c r="B1565" s="46" t="str">
        <x:v>L2023-00004-1/붙임 2. 입찰 서류/03_Part3(░Φ╛α╝¡ ╣╫ ▒Γ┼╕ └┌╖ß)/Section_11_SCC/Section_11_SCC.docx</x:v>
      </x:c>
      <x:c r="C1565" s="43" t="str">
        <x:v>.docx</x:v>
      </x:c>
      <x:c r="D1565" s="61" t="n">
        <x:v>48560</x:v>
      </x:c>
      <x:c r="E1565" s="61" t="n">
        <x:v>93</x:v>
      </x:c>
      <x:c r="F1565" s="61" t="n">
        <x:v>0</x:v>
      </x:c>
    </x:row>
    <x:row r="1566">
      <x:c r="A1566" s="43" t="str">
        <x:v>L2023-00004-1</x:v>
      </x:c>
      <x:c r="B1566" s="46" t="str">
        <x:v>L2023-00004-1/붙임 2. 입찰 서류/03_Part3(░Φ╛α╝¡ ╣╫ ▒Γ┼╕ └┌╖ß)/Section_12_Other Form/Reference1_KOICA Safety Management Manual.docx</x:v>
      </x:c>
      <x:c r="C1566" s="43" t="str">
        <x:v>.docx</x:v>
      </x:c>
      <x:c r="D1566" s="61" t="n">
        <x:v>300389</x:v>
      </x:c>
      <x:c r="E1566" s="61" t="n">
        <x:v>422</x:v>
      </x:c>
      <x:c r="F1566" s="61" t="n">
        <x:v>2</x:v>
      </x:c>
    </x:row>
    <x:row r="1567">
      <x:c r="A1567" s="43" t="str">
        <x:v>L2023-00004-1</x:v>
      </x:c>
      <x:c r="B1567" s="46" t="str">
        <x:v>L2023-00004-1/붙임 2. 입찰 서류/03_Part3(░Φ╛α╝¡ ╣╫ ▒Γ┼╕ └┌╖ß)/Section_12_Other Form/Reference2_KOICA signage.pdf</x:v>
      </x:c>
      <x:c r="C1567" s="43" t="str">
        <x:v>.pdf</x:v>
      </x:c>
      <x:c r="D1567" s="61" t="n">
        <x:v>5219074</x:v>
      </x:c>
      <x:c r="E1567" s="61" t="n">
        <x:v>0</x:v>
      </x:c>
      <x:c r="F1567" s="61" t="n">
        <x:v>0</x:v>
      </x:c>
    </x:row>
    <x:row r="1568">
      <x:c r="A1568" s="43" t="str">
        <x:v>L2023-00004-1</x:v>
      </x:c>
      <x:c r="B1568" s="46" t="str">
        <x:v>L2023-00004-1/붙임 2. 입찰 서류/03_Part3(░Φ╛α╝¡ ╣╫ ▒Γ┼╕ └┌╖ß)/Section_12_Other Form/Reference3_Design Review.xlsx</x:v>
      </x:c>
      <x:c r="C1568" s="43" t="str">
        <x:v>.xlsx</x:v>
      </x:c>
      <x:c r="D1568" s="61" t="n">
        <x:v>486902</x:v>
      </x:c>
      <x:c r="E1568" s="61" t="n">
        <x:v>12</x:v>
      </x:c>
      <x:c r="F1568" s="61" t="n">
        <x:v>0</x:v>
      </x:c>
    </x:row>
    <x:row r="1569">
      <x:c r="A1569" s="43" t="str">
        <x:v>L2023-00004-1</x:v>
      </x:c>
      <x:c r="B1569" s="46" t="str">
        <x:v>L2023-00004-1/붙임 2. 입찰 서류/03_Part3(░Φ╛α╝¡ ╣╫ ▒Γ┼╕ └┌╖ß)/Section_12_Other Form/Reference4_Site Handover.docx</x:v>
      </x:c>
      <x:c r="C1569" s="43" t="str">
        <x:v>.docx</x:v>
      </x:c>
      <x:c r="D1569" s="61" t="n">
        <x:v>40440</x:v>
      </x:c>
      <x:c r="E1569" s="61" t="n">
        <x:v>23</x:v>
      </x:c>
      <x:c r="F1569" s="61" t="n">
        <x:v>0</x:v>
      </x:c>
    </x:row>
    <x:row r="1570">
      <x:c r="A1570" s="43" t="str">
        <x:v>L2023-00004-1</x:v>
      </x:c>
      <x:c r="B1570" s="46" t="str">
        <x:v>L2023-00004-1/붙임 2. 입찰 서류/03_Part3(░Φ╛α╝¡ ╣╫ ▒Γ┼╕ └┌╖ß)/Section_12_Other Form/Section_12_Other Form.docx</x:v>
      </x:c>
      <x:c r="C1570" s="43" t="str">
        <x:v>.docx</x:v>
      </x:c>
      <x:c r="D1570" s="61" t="n">
        <x:v>48816</x:v>
      </x:c>
      <x:c r="E1570" s="61" t="n">
        <x:v>196</x:v>
      </x:c>
      <x:c r="F1570" s="61" t="n">
        <x:v>1</x:v>
      </x:c>
    </x:row>
    <x:row r="1571">
      <x:c r="A1571" s="43" t="str">
        <x:v>L2023-00004-1</x:v>
      </x:c>
      <x:c r="B1571" s="46" t="str">
        <x:v>L2023-00004-1/붙임 2. 입찰 서류/Section_00_Cover of Tender Docs(└╘┬√ └┌╖ß ─┐╣÷).docx</x:v>
      </x:c>
      <x:c r="C1571" s="43" t="str">
        <x:v>.docx</x:v>
      </x:c>
      <x:c r="D1571" s="61" t="n">
        <x:v>15153</x:v>
      </x:c>
      <x:c r="E1571" s="61" t="n">
        <x:v>27</x:v>
      </x:c>
      <x:c r="F1571" s="61" t="n">
        <x:v>0</x:v>
      </x:c>
    </x:row>
    <x:row r="1572">
      <x:c r="A1572" s="43" t="str">
        <x:v>L2023-00004-1</x:v>
      </x:c>
      <x:c r="B1572" s="46" t="str">
        <x:v>L2023-00004-1/붙임 3. 입찰 공고문.zip</x:v>
      </x:c>
      <x:c r="C1572" s="43" t="str">
        <x:v>.zip</x:v>
      </x:c>
      <x:c r="D1572" s="61" t="n">
        <x:v>28643</x:v>
      </x:c>
      <x:c r="E1572" s="61" t="n">
        <x:v>0</x:v>
      </x:c>
      <x:c r="F1572" s="61" t="n">
        <x:v>0</x:v>
      </x:c>
    </x:row>
    <x:row r="1573">
      <x:c r="A1573" s="43" t="str">
        <x:v>L2023-00004-1</x:v>
      </x:c>
      <x:c r="B1573" s="46" t="str">
        <x:v>L2023-00004-1/붙임 3. 입찰 공고문/Invitation for Bid_for ad.docx</x:v>
      </x:c>
      <x:c r="C1573" s="43" t="str">
        <x:v>.docx</x:v>
      </x:c>
      <x:c r="D1573" s="61" t="n">
        <x:v>32022</x:v>
      </x:c>
      <x:c r="E1573" s="61" t="n">
        <x:v>51</x:v>
      </x:c>
      <x:c r="F1573" s="61" t="n">
        <x:v>1</x:v>
      </x:c>
    </x:row>
    <x:row r="1574">
      <x:c r="A1574" s="43" t="str">
        <x:v>L2023-00004-1</x:v>
      </x:c>
      <x:c r="B1574" s="46" t="str">
        <x:v>L2023-00004-1/붙임 4. 입찰 공고 견적서.zip</x:v>
      </x:c>
      <x:c r="C1574" s="43" t="str">
        <x:v>.zip</x:v>
      </x:c>
      <x:c r="D1574" s="61" t="n">
        <x:v>2089989</x:v>
      </x:c>
      <x:c r="E1574" s="61" t="n">
        <x:v>0</x:v>
      </x:c>
      <x:c r="F1574" s="61" t="n">
        <x:v>0</x:v>
      </x:c>
    </x:row>
    <x:row r="1575">
      <x:c r="A1575" s="43" t="str">
        <x:v>L2023-00004-1</x:v>
      </x:c>
      <x:c r="B1575" s="46" t="str">
        <x:v>L2023-00004-1/붙임 4. 입찰 공고 견적서/╚»└▓ ▒Γ┴╪ 2023.02.01..xls</x:v>
      </x:c>
      <x:c r="C1575" s="43" t="str">
        <x:v>.xls</x:v>
      </x:c>
      <x:c r="D1575" s="61" t="n">
        <x:v>39936</x:v>
      </x:c>
      <x:c r="E1575" s="61" t="n">
        <x:v>7</x:v>
      </x:c>
      <x:c r="F1575" s="61" t="n">
        <x:v>0</x:v>
      </x:c>
    </x:row>
    <x:row r="1576">
      <x:c r="A1576" s="43" t="str">
        <x:v>L2023-00004-1</x:v>
      </x:c>
      <x:c r="B1576" s="46" t="str">
        <x:v>L2023-00004-1/붙임 4. 입찰 공고 견적서/1. 2merkato.com ░▀└√╝¡.pdf</x:v>
      </x:c>
      <x:c r="C1576" s="43" t="str">
        <x:v>.pdf</x:v>
      </x:c>
      <x:c r="D1576" s="61" t="n">
        <x:v>543672</x:v>
      </x:c>
      <x:c r="E1576" s="61" t="n">
        <x:v>1</x:v>
      </x:c>
      <x:c r="F1576" s="61" t="n">
        <x:v>0</x:v>
      </x:c>
    </x:row>
    <x:row r="1577">
      <x:c r="A1577" s="43" t="str">
        <x:v>L2023-00004-1</x:v>
      </x:c>
      <x:c r="B1577" s="46" t="str">
        <x:v>L2023-00004-1/붙임 4. 입찰 공고 견적서/2. Ethiopian Herald.pdf</x:v>
      </x:c>
      <x:c r="C1577" s="43" t="str">
        <x:v>.pdf</x:v>
      </x:c>
      <x:c r="D1577" s="61" t="n">
        <x:v>243264</x:v>
      </x:c>
      <x:c r="E1577" s="61" t="n">
        <x:v>6</x:v>
      </x:c>
      <x:c r="F1577" s="61" t="n">
        <x:v>1</x:v>
      </x:c>
    </x:row>
    <x:row r="1578">
      <x:c r="A1578" s="43" t="str">
        <x:v>L2023-00004-1</x:v>
      </x:c>
      <x:c r="B1578" s="46" t="str">
        <x:v>L2023-00004-1/붙임 4. 입찰 공고 견적서/3. Reporter ░▀└√╝¡.pdf</x:v>
      </x:c>
      <x:c r="C1578" s="43" t="str">
        <x:v>.pdf</x:v>
      </x:c>
      <x:c r="D1578" s="61" t="n">
        <x:v>1385279</x:v>
      </x:c>
      <x:c r="E1578" s="61" t="n">
        <x:v>2</x:v>
      </x:c>
      <x:c r="F1578" s="61" t="n">
        <x:v>2</x:v>
      </x:c>
    </x:row>
    <x:row r="1579">
      <x:c r="A1579" s="43" t="str">
        <x:v>L2023-00004-1</x:v>
      </x:c>
      <x:c r="B1579" s="46" t="str">
        <x:v>L2023-00004-1/붙임 5. 유찰 결과 보고 내부결재.zip</x:v>
      </x:c>
      <x:c r="C1579" s="43" t="str">
        <x:v>.zip</x:v>
      </x:c>
      <x:c r="D1579" s="61" t="n">
        <x:v>1430025</x:v>
      </x:c>
      <x:c r="E1579" s="61" t="n">
        <x:v>0</x:v>
      </x:c>
      <x:c r="F1579" s="61" t="n">
        <x:v>0</x:v>
      </x:c>
    </x:row>
    <x:row r="1580">
      <x:c r="A1580" s="43" t="str">
        <x:v>L2023-00004-1</x:v>
      </x:c>
      <x:c r="B1580" s="46" t="str">
        <x:v>L2023-00004-1/붙임 5. 유찰 결과 보고 내부결재/║┘└╙ 1. (CM ░╦┼Σ) └»┬√ ░ß░· ╣╫ ▒Γ┴╪ ┐╧╚¡ ░╦┼Σ └╟░▀.zip</x:v>
      </x:c>
      <x:c r="C1580" s="43" t="str">
        <x:v>.zip</x:v>
      </x:c>
      <x:c r="D1580" s="61" t="n">
        <x:v>356048</x:v>
      </x:c>
      <x:c r="E1580" s="61" t="n">
        <x:v>0</x:v>
      </x:c>
      <x:c r="F1580" s="61" t="n">
        <x:v>0</x:v>
      </x:c>
    </x:row>
    <x:row r="1581">
      <x:c r="A1581" s="43" t="str">
        <x:v>L2023-00004-1</x:v>
      </x:c>
      <x:c r="B1581" s="46" t="str">
        <x:v>L2023-00004-1/붙임 5. 유찰 결과 보고 내부결재/║┘└╙ 2. └╘┬√ ┬ⁿ░í└┌ ╕±╖╧.pdf</x:v>
      </x:c>
      <x:c r="C1581" s="43" t="str">
        <x:v>.pdf</x:v>
      </x:c>
      <x:c r="D1581" s="61" t="n">
        <x:v>242434</x:v>
      </x:c>
      <x:c r="E1581" s="61" t="n">
        <x:v>0</x:v>
      </x:c>
      <x:c r="F1581" s="61" t="n">
        <x:v>0</x:v>
      </x:c>
    </x:row>
    <x:row r="1582">
      <x:c r="A1582" s="43" t="str">
        <x:v>L2023-00004-1</x:v>
      </x:c>
      <x:c r="B1582" s="46" t="str">
        <x:v>L2023-00004-1/붙임 5. 유찰 결과 보고 내부결재/║┘└╙ 3. └╘┬√ ░ß░· ╚╕└╟╖╧.pdf</x:v>
      </x:c>
      <x:c r="C1582" s="43" t="str">
        <x:v>.pdf</x:v>
      </x:c>
      <x:c r="D1582" s="61" t="n">
        <x:v>713764</x:v>
      </x:c>
      <x:c r="E1582" s="61" t="n">
        <x:v>0</x:v>
      </x:c>
      <x:c r="F1582" s="61" t="n">
        <x:v>0</x:v>
      </x:c>
    </x:row>
    <x:row r="1583">
      <x:c r="A1583" s="43" t="str">
        <x:v>L2023-00004-1</x:v>
      </x:c>
      <x:c r="B1583" s="46" t="str">
        <x:v>L2023-00004-1/붙임 5. 유찰 결과 보고 내부결재/í╕┐í╞╝┐└╟╟╛╞ ╛τ┴·└╟ └╧└┌╕« ├ó├Γ└╗ └º╟╤ ICT▒Γ╣▌└╟ ├ó╛≈ ╣╫ ┴▀╝╥▒Γ╛≈ └░╝║ ┴÷┐° ╗τ╛≈í╣ ╕«╕≡╡¿╕╡ ░°╗τ └»┬√ ░ß░· ╣╫ ╟Γ╚─ ├▀┴° ░Φ╚╣ ║╕░φ.hwp</x:v>
      </x:c>
      <x:c r="C1583" s="43" t="str">
        <x:v>.hwp</x:v>
      </x:c>
      <x:c r="D1583" s="61" t="n">
        <x:v>142336</x:v>
      </x:c>
      <x:c r="E1583" s="61" t="n">
        <x:v>1</x:v>
      </x:c>
      <x:c r="F1583" s="61" t="n">
        <x:v>0</x:v>
      </x:c>
    </x:row>
    <x:row r="1584">
      <x:c r="A1584" s="43" t="str">
        <x:v>L2023-00003-1</x:v>
      </x:c>
      <x:c r="B1584" s="46" t="str">
        <x:v>L2023-00003-1/Bid Document(ESMV II)_separately attached.zip</x:v>
      </x:c>
      <x:c r="C1584" s="43" t="str">
        <x:v>.zip</x:v>
      </x:c>
      <x:c r="D1584" s="61" t="n">
        <x:v>20363383</x:v>
      </x:c>
      <x:c r="E1584" s="61" t="n">
        <x:v>0</x:v>
      </x:c>
      <x:c r="F1584" s="61" t="n">
        <x:v>0</x:v>
      </x:c>
    </x:row>
    <x:row r="1585">
      <x:c r="A1585" s="43" t="str">
        <x:v>L2023-00003-1</x:v>
      </x:c>
      <x:c r="B1585" s="46" t="str">
        <x:v>L2023-00003-1/Bid Document(ESMV II)_separately attached/Bid Document(ESMV II)_separately attached/Part 1 Bidding Procedures/Section 1. Instructions to Bidders (ITB).pdf</x:v>
      </x:c>
      <x:c r="C1585" s="43" t="str">
        <x:v>.pdf</x:v>
      </x:c>
      <x:c r="D1585" s="61" t="n">
        <x:v>4810802</x:v>
      </x:c>
      <x:c r="E1585" s="61" t="n">
        <x:v>13</x:v>
      </x:c>
      <x:c r="F1585" s="61" t="n">
        <x:v>0</x:v>
      </x:c>
    </x:row>
    <x:row r="1586">
      <x:c r="A1586" s="43" t="str">
        <x:v>L2023-00003-1</x:v>
      </x:c>
      <x:c r="B1586" s="46" t="str">
        <x:v>L2023-00003-1/Bid Document(ESMV II)_separately attached/Bid Document(ESMV II)_separately attached/Part 1 Bidding Procedures/Section 3. Bidding Forms.docx</x:v>
      </x:c>
      <x:c r="C1586" s="43" t="str">
        <x:v>.docx</x:v>
      </x:c>
      <x:c r="D1586" s="61" t="n">
        <x:v>45566</x:v>
      </x:c>
      <x:c r="E1586" s="61" t="n">
        <x:v>233</x:v>
      </x:c>
      <x:c r="F1586" s="61" t="n">
        <x:v>0</x:v>
      </x:c>
    </x:row>
    <x:row r="1587">
      <x:c r="A1587" s="43" t="str">
        <x:v>L2023-00003-1</x:v>
      </x:c>
      <x:c r="B1587" s="46" t="str">
        <x:v>L2023-00003-1/Bid Document(ESMV II)_separately attached/Bid Document(ESMV II)_separately attached/Part 2 Requirements/Section 4. Bill of Quantities_unpriced.xlsx</x:v>
      </x:c>
      <x:c r="C1587" s="43" t="str">
        <x:v>.xlsx</x:v>
      </x:c>
      <x:c r="D1587" s="61" t="n">
        <x:v>698643</x:v>
      </x:c>
      <x:c r="E1587" s="61" t="n">
        <x:v>1017</x:v>
      </x:c>
      <x:c r="F1587" s="61" t="n">
        <x:v>1</x:v>
      </x:c>
    </x:row>
    <x:row r="1588">
      <x:c r="A1588" s="43" t="str">
        <x:v>L2023-00003-1</x:v>
      </x:c>
      <x:c r="B1588" s="46" t="str">
        <x:v>L2023-00003-1/Bid Document(ESMV II)_separately attached/Bid Document(ESMV II)_separately attached/Part 2 Requirements/Section 5. Drawings.pdf</x:v>
      </x:c>
      <x:c r="C1588" s="43" t="str">
        <x:v>.pdf</x:v>
      </x:c>
      <x:c r="D1588" s="61" t="n">
        <x:v>18853951</x:v>
      </x:c>
      <x:c r="E1588" s="61" t="n">
        <x:v>0</x:v>
      </x:c>
      <x:c r="F1588" s="61" t="n">
        <x:v>0</x:v>
      </x:c>
    </x:row>
    <x:row r="1589">
      <x:c r="A1589" s="43" t="str">
        <x:v>L2023-00003-1</x:v>
      </x:c>
      <x:c r="B1589" s="46" t="str">
        <x:v>L2023-00003-1/Bid Document(ESMV II)_separately attached/Bid Document(ESMV II)_separately attached/Part 2 Requirements/Section 6. Specification.pdf</x:v>
      </x:c>
      <x:c r="C1589" s="43" t="str">
        <x:v>.pdf</x:v>
      </x:c>
      <x:c r="D1589" s="61" t="n">
        <x:v>846124</x:v>
      </x:c>
      <x:c r="E1589" s="61" t="n">
        <x:v>130</x:v>
      </x:c>
      <x:c r="F1589" s="61" t="n">
        <x:v>4</x:v>
      </x:c>
    </x:row>
    <x:row r="1590">
      <x:c r="A1590" s="43" t="str">
        <x:v>L2023-00003-1</x:v>
      </x:c>
      <x:c r="B1590" s="46" t="str">
        <x:v>L2023-00003-1/Bid Document(ESMV II)_separately attached/Bid Document(ESMV II)_separately attached/Part 3 Conditions of Contract and Contract Forms/Section 7. General Conditions of Contract.docx</x:v>
      </x:c>
      <x:c r="C1590" s="43" t="str">
        <x:v>.docx</x:v>
      </x:c>
      <x:c r="D1590" s="61" t="n">
        <x:v>208250</x:v>
      </x:c>
      <x:c r="E1590" s="61" t="n">
        <x:v>1406</x:v>
      </x:c>
      <x:c r="F1590" s="61" t="n">
        <x:v>2</x:v>
      </x:c>
    </x:row>
    <x:row r="1591">
      <x:c r="A1591" s="43" t="str">
        <x:v>L2023-00003-1</x:v>
      </x:c>
      <x:c r="B1591" s="46" t="str">
        <x:v>L2023-00003-1/Bid Document(ESMV II)_separately attached/Bid Document(ESMV II)_separately attached/Part 3 Conditions of Contract and Contract Forms/Section 8. Special Conditions of Contract.docx</x:v>
      </x:c>
      <x:c r="C1591" s="43" t="str">
        <x:v>.docx</x:v>
      </x:c>
      <x:c r="D1591" s="61" t="n">
        <x:v>62495</x:v>
      </x:c>
      <x:c r="E1591" s="61" t="n">
        <x:v>270</x:v>
      </x:c>
      <x:c r="F1591" s="61" t="n">
        <x:v>1</x:v>
      </x:c>
    </x:row>
    <x:row r="1592">
      <x:c r="A1592" s="43" t="str">
        <x:v>L2023-00003-1</x:v>
      </x:c>
      <x:c r="B1592" s="46" t="str">
        <x:v>L2023-00003-1/Bid Document(ESMV II)_separately attached/Bid Document(ESMV II)_separately attached/Part 3 Conditions of Contract and Contract Forms/Section 9. Contract Forms.docx</x:v>
      </x:c>
      <x:c r="C1592" s="43" t="str">
        <x:v>.docx</x:v>
      </x:c>
      <x:c r="D1592" s="61" t="n">
        <x:v>38159</x:v>
      </x:c>
      <x:c r="E1592" s="61" t="n">
        <x:v>30</x:v>
      </x:c>
      <x:c r="F1592" s="61" t="n">
        <x:v>0</x:v>
      </x:c>
    </x:row>
    <x:row r="1593">
      <x:c r="A1593" s="43" t="str">
        <x:v>L2023-00003-1</x:v>
      </x:c>
      <x:c r="B1593" s="46" t="str">
        <x:v>L2023-00003-1/Bid Document(ESMV II)_separately attached/Bid Document(ESMV II).docx</x:v>
      </x:c>
      <x:c r="C1593" s="43" t="str">
        <x:v>.docx</x:v>
      </x:c>
      <x:c r="D1593" s="61" t="n">
        <x:v>75922</x:v>
      </x:c>
      <x:c r="E1593" s="61" t="n">
        <x:v>223</x:v>
      </x:c>
      <x:c r="F1593" s="61" t="n">
        <x:v>1</x:v>
      </x:c>
    </x:row>
    <x:row r="1594">
      <x:c r="A1594" s="43" t="str">
        <x:v>L2022-00068-1</x:v>
      </x:c>
      <x:c r="B1594" s="46" t="str">
        <x:v>L2022-00068-1/「에티오피아 양질의 일자리 창출을 위한 ICT기반의 창업 및 중소기업 육성 지원 사.hwp</x:v>
      </x:c>
      <x:c r="C1594" s="43" t="str">
        <x:v>.hwp</x:v>
      </x:c>
      <x:c r="D1594" s="61" t="n">
        <x:v>162304</x:v>
      </x:c>
      <x:c r="E1594" s="61" t="n">
        <x:v>1</x:v>
      </x:c>
      <x:c r="F1594" s="61" t="n">
        <x:v>0</x:v>
      </x:c>
    </x:row>
    <x:row r="1595">
      <x:c r="A1595" s="43" t="str">
        <x:v>L2022-00068-1</x:v>
      </x:c>
      <x:c r="B1595" s="46" t="str">
        <x:v>L2022-00068-1/붙임 1. 입찰 계획서.hwp</x:v>
      </x:c>
      <x:c r="C1595" s="43" t="str">
        <x:v>.hwp</x:v>
      </x:c>
      <x:c r="D1595" s="61" t="n">
        <x:v>175104</x:v>
      </x:c>
      <x:c r="E1595" s="61" t="n">
        <x:v>817</x:v>
      </x:c>
      <x:c r="F1595" s="61" t="n">
        <x:v>8</x:v>
      </x:c>
    </x:row>
    <x:row r="1596">
      <x:c r="A1596" s="43" t="str">
        <x:v>L2022-00068-1</x:v>
      </x:c>
      <x:c r="B1596" s="46" t="str">
        <x:v>L2022-00068-1/붙임 2. 입찰 관련 서류.zip</x:v>
      </x:c>
      <x:c r="C1596" s="43" t="str">
        <x:v>.zip</x:v>
      </x:c>
      <x:c r="D1596" s="61" t="n">
        <x:v>9471788</x:v>
      </x:c>
      <x:c r="E1596" s="61" t="n">
        <x:v>0</x:v>
      </x:c>
      <x:c r="F1596" s="61" t="n">
        <x:v>0</x:v>
      </x:c>
    </x:row>
    <x:row r="1597">
      <x:c r="A1597" s="43" t="str">
        <x:v>L2022-00068-1</x:v>
      </x:c>
      <x:c r="B1597" s="46" t="str">
        <x:v>L2022-00068-1/붙임 2. 입찰 관련 서류/01_Part1(└╘┬√ └²┬≈)/Section_01_ITB_Instruction to Bidder(└╘┬√ └»└╟╝¡).docx</x:v>
      </x:c>
      <x:c r="C1597" s="43" t="str">
        <x:v>.docx</x:v>
      </x:c>
      <x:c r="D1597" s="61" t="n">
        <x:v>43696</x:v>
      </x:c>
      <x:c r="E1597" s="61" t="n">
        <x:v>205</x:v>
      </x:c>
      <x:c r="F1597" s="61" t="n">
        <x:v>0</x:v>
      </x:c>
    </x:row>
    <x:row r="1598">
      <x:c r="A1598" s="43" t="str">
        <x:v>L2022-00068-1</x:v>
      </x:c>
      <x:c r="B1598" s="46" t="str">
        <x:v>L2022-00068-1/붙임 2. 입찰 관련 서류/01_Part1(└╘┬√ └²┬≈)/Section_02_EQC_Evaluation and Qualification Criteria(└╘┬√╞≥░í▒Γ┴╪).docx</x:v>
      </x:c>
      <x:c r="C1598" s="43" t="str">
        <x:v>.docx</x:v>
      </x:c>
      <x:c r="D1598" s="61" t="n">
        <x:v>31228</x:v>
      </x:c>
      <x:c r="E1598" s="61" t="n">
        <x:v>54</x:v>
      </x:c>
      <x:c r="F1598" s="61" t="n">
        <x:v>0</x:v>
      </x:c>
    </x:row>
    <x:row r="1599">
      <x:c r="A1599" s="43" t="str">
        <x:v>L2022-00068-1</x:v>
      </x:c>
      <x:c r="B1599" s="46" t="str">
        <x:v>L2022-00068-1/붙임 2. 입찰 관련 서류/01_Part1(└╘┬√ └²┬≈)/Section_03_BDF_Bidding Form.docx</x:v>
      </x:c>
      <x:c r="C1599" s="43" t="str">
        <x:v>.docx</x:v>
      </x:c>
      <x:c r="D1599" s="61" t="n">
        <x:v>358117</x:v>
      </x:c>
      <x:c r="E1599" s="61" t="n">
        <x:v>415</x:v>
      </x:c>
      <x:c r="F1599" s="61" t="n">
        <x:v>1</x:v>
      </x:c>
    </x:row>
    <x:row r="1600">
      <x:c r="A1600" s="43" t="str">
        <x:v>L2022-00068-1</x:v>
      </x:c>
      <x:c r="B1600" s="46" t="str">
        <x:v>L2022-00068-1/붙임 2. 입찰 관련 서류/02_Part2(░·╛≈┴÷╜├╝¡)/Section_4_Employer's Requirement/Section_04_Employer Requirement.docx</x:v>
      </x:c>
      <x:c r="C1600" s="43" t="str">
        <x:v>.docx</x:v>
      </x:c>
      <x:c r="D1600" s="61" t="n">
        <x:v>39430</x:v>
      </x:c>
      <x:c r="E1600" s="61" t="n">
        <x:v>213</x:v>
      </x:c>
      <x:c r="F1600" s="61" t="n">
        <x:v>1</x:v>
      </x:c>
    </x:row>
    <x:row r="1601">
      <x:c r="A1601" s="43" t="str">
        <x:v>L2022-00068-1</x:v>
      </x:c>
      <x:c r="B1601" s="46" t="str">
        <x:v>L2022-00068-1/붙임 2. 입찰 관련 서류/02_Part2(░·╛≈┴÷╜├╝¡)/Section_5_Scope of works/Section_05_The scope of works.doc</x:v>
      </x:c>
      <x:c r="C1601" s="43" t="str">
        <x:v>.doc</x:v>
      </x:c>
      <x:c r="D1601" s="61" t="n">
        <x:v>229888</x:v>
      </x:c>
      <x:c r="E1601" s="61" t="n">
        <x:v>5</x:v>
      </x:c>
      <x:c r="F1601" s="61" t="n">
        <x:v>0</x:v>
      </x:c>
    </x:row>
    <x:row r="1602">
      <x:c r="A1602" s="43" t="str">
        <x:v>L2022-00068-1</x:v>
      </x:c>
      <x:c r="B1602" s="46" t="str">
        <x:v>L2022-00068-1/붙임 2. 입찰 관련 서류/02_Part2(░·╛≈┴÷╜├╝¡)/Section_6_Techinial Specification/Section_06_Technical Specification.docx</x:v>
      </x:c>
      <x:c r="C1602" s="43" t="str">
        <x:v>.docx</x:v>
      </x:c>
      <x:c r="D1602" s="61" t="n">
        <x:v>22156</x:v>
      </x:c>
      <x:c r="E1602" s="61" t="n">
        <x:v>8</x:v>
      </x:c>
      <x:c r="F1602" s="61" t="n">
        <x:v>0</x:v>
      </x:c>
    </x:row>
    <x:row r="1603">
      <x:c r="A1603" s="43" t="str">
        <x:v>L2022-00068-1</x:v>
      </x:c>
      <x:c r="B1603" s="46" t="str">
        <x:v>L2022-00068-1/붙임 2. 입찰 관련 서류/02_Part2(░·╛≈┴÷╜├╝¡)/Section_6_Techinial Specification/Section_6_Techinial Specification.zip</x:v>
      </x:c>
      <x:c r="C1603" s="43" t="str">
        <x:v>.zip</x:v>
      </x:c>
      <x:c r="D1603" s="61" t="n">
        <x:v>363704</x:v>
      </x:c>
      <x:c r="E1603" s="61" t="n">
        <x:v>0</x:v>
      </x:c>
      <x:c r="F1603" s="61" t="n">
        <x:v>0</x:v>
      </x:c>
    </x:row>
    <x:row r="1604">
      <x:c r="A1604" s="43" t="str">
        <x:v>L2022-00068-1</x:v>
      </x:c>
      <x:c r="B1604" s="46" t="str">
        <x:v>L2022-00068-1/붙임 2. 입찰 관련 서류/02_Part2(░·╛≈┴÷╜├╝¡)/Section_7_DWG/Section_07_DWG.docx</x:v>
      </x:c>
      <x:c r="C1604" s="43" t="str">
        <x:v>.docx</x:v>
      </x:c>
      <x:c r="D1604" s="61" t="n">
        <x:v>21946</x:v>
      </x:c>
      <x:c r="E1604" s="61" t="n">
        <x:v>3</x:v>
      </x:c>
      <x:c r="F1604" s="61" t="n">
        <x:v>0</x:v>
      </x:c>
    </x:row>
    <x:row r="1605">
      <x:c r="A1605" s="43" t="str">
        <x:v>L2022-00068-1</x:v>
      </x:c>
      <x:c r="B1605" s="46" t="str">
        <x:v>L2022-00068-1/붙임 2. 입찰 관련 서류/02_Part2(░·╛≈┴÷╜├╝¡)/Section_8_BOQ_unpriced/ICT PROJECT ESTIMATION_empty.xlsx</x:v>
      </x:c>
      <x:c r="C1605" s="43" t="str">
        <x:v>.xlsx</x:v>
      </x:c>
      <x:c r="D1605" s="61" t="n">
        <x:v>302269</x:v>
      </x:c>
      <x:c r="E1605" s="61" t="n">
        <x:v>513</x:v>
      </x:c>
      <x:c r="F1605" s="61" t="n">
        <x:v>6</x:v>
      </x:c>
    </x:row>
    <x:row r="1606">
      <x:c r="A1606" s="43" t="str">
        <x:v>L2022-00068-1</x:v>
      </x:c>
      <x:c r="B1606" s="46" t="str">
        <x:v>L2022-00068-1/붙임 2. 입찰 관련 서류/02_Part2(░·╛≈┴÷╜├╝¡)/Section_8_BOQ_unpriced/Section_08_BOQ_unpriced.docx</x:v>
      </x:c>
      <x:c r="C1606" s="43" t="str">
        <x:v>.docx</x:v>
      </x:c>
      <x:c r="D1606" s="61" t="n">
        <x:v>22122</x:v>
      </x:c>
      <x:c r="E1606" s="61" t="n">
        <x:v>4</x:v>
      </x:c>
      <x:c r="F1606" s="61" t="n">
        <x:v>0</x:v>
      </x:c>
    </x:row>
    <x:row r="1607">
      <x:c r="A1607" s="43" t="str">
        <x:v>L2022-00068-1</x:v>
      </x:c>
      <x:c r="B1607" s="46" t="str">
        <x:v>L2022-00068-1/붙임 2. 입찰 관련 서류/03_Part3(░Φ╛α╝¡ ╣╫ ▒Γ┼╕ └┌╖ß)/Section_09_Contract Agreement/Section_09_Contract Agreement.docx</x:v>
      </x:c>
      <x:c r="C1607" s="43" t="str">
        <x:v>.docx</x:v>
      </x:c>
      <x:c r="D1607" s="61" t="n">
        <x:v>37182</x:v>
      </x:c>
      <x:c r="E1607" s="61" t="n">
        <x:v>30</x:v>
      </x:c>
      <x:c r="F1607" s="61" t="n">
        <x:v>0</x:v>
      </x:c>
    </x:row>
    <x:row r="1608">
      <x:c r="A1608" s="43" t="str">
        <x:v>L2022-00068-1</x:v>
      </x:c>
      <x:c r="B1608" s="46" t="str">
        <x:v>L2022-00068-1/붙임 2. 입찰 관련 서류/03_Part3(░Φ╛α╝¡ ╣╫ ▒Γ┼╕ └┌╖ß)/Section_10_GCC/Section_10_GCC.docx</x:v>
      </x:c>
      <x:c r="C1608" s="43" t="str">
        <x:v>.docx</x:v>
      </x:c>
      <x:c r="D1608" s="61" t="n">
        <x:v>203248</x:v>
      </x:c>
      <x:c r="E1608" s="61" t="n">
        <x:v>1406</x:v>
      </x:c>
      <x:c r="F1608" s="61" t="n">
        <x:v>2</x:v>
      </x:c>
    </x:row>
    <x:row r="1609">
      <x:c r="A1609" s="43" t="str">
        <x:v>L2022-00068-1</x:v>
      </x:c>
      <x:c r="B1609" s="46" t="str">
        <x:v>L2022-00068-1/붙임 2. 입찰 관련 서류/03_Part3(░Φ╛α╝¡ ╣╫ ▒Γ┼╕ └┌╖ß)/Section_11_SCC/Section_11_SCC.docx</x:v>
      </x:c>
      <x:c r="C1609" s="43" t="str">
        <x:v>.docx</x:v>
      </x:c>
      <x:c r="D1609" s="61" t="n">
        <x:v>48560</x:v>
      </x:c>
      <x:c r="E1609" s="61" t="n">
        <x:v>93</x:v>
      </x:c>
      <x:c r="F1609" s="61" t="n">
        <x:v>0</x:v>
      </x:c>
    </x:row>
    <x:row r="1610">
      <x:c r="A1610" s="43" t="str">
        <x:v>L2022-00068-1</x:v>
      </x:c>
      <x:c r="B1610" s="46" t="str">
        <x:v>L2022-00068-1/붙임 2. 입찰 관련 서류/03_Part3(░Φ╛α╝¡ ╣╫ ▒Γ┼╕ └┌╖ß)/Section_12_Other Form/Reference1_KOICA Safety Management Manual.docx</x:v>
      </x:c>
      <x:c r="C1610" s="43" t="str">
        <x:v>.docx</x:v>
      </x:c>
      <x:c r="D1610" s="61" t="n">
        <x:v>300389</x:v>
      </x:c>
      <x:c r="E1610" s="61" t="n">
        <x:v>422</x:v>
      </x:c>
      <x:c r="F1610" s="61" t="n">
        <x:v>2</x:v>
      </x:c>
    </x:row>
    <x:row r="1611">
      <x:c r="A1611" s="43" t="str">
        <x:v>L2022-00068-1</x:v>
      </x:c>
      <x:c r="B1611" s="46" t="str">
        <x:v>L2022-00068-1/붙임 2. 입찰 관련 서류/03_Part3(░Φ╛α╝¡ ╣╫ ▒Γ┼╕ └┌╖ß)/Section_12_Other Form/Reference2_KOICA signage.pdf</x:v>
      </x:c>
      <x:c r="C1611" s="43" t="str">
        <x:v>.pdf</x:v>
      </x:c>
      <x:c r="D1611" s="61" t="n">
        <x:v>5219074</x:v>
      </x:c>
      <x:c r="E1611" s="61" t="n">
        <x:v>0</x:v>
      </x:c>
      <x:c r="F1611" s="61" t="n">
        <x:v>0</x:v>
      </x:c>
    </x:row>
    <x:row r="1612">
      <x:c r="A1612" s="43" t="str">
        <x:v>L2022-00068-1</x:v>
      </x:c>
      <x:c r="B1612" s="46" t="str">
        <x:v>L2022-00068-1/붙임 2. 입찰 관련 서류/03_Part3(░Φ╛α╝¡ ╣╫ ▒Γ┼╕ └┌╖ß)/Section_12_Other Form/Reference3_Design Review.xlsx</x:v>
      </x:c>
      <x:c r="C1612" s="43" t="str">
        <x:v>.xlsx</x:v>
      </x:c>
      <x:c r="D1612" s="61" t="n">
        <x:v>486902</x:v>
      </x:c>
      <x:c r="E1612" s="61" t="n">
        <x:v>12</x:v>
      </x:c>
      <x:c r="F1612" s="61" t="n">
        <x:v>0</x:v>
      </x:c>
    </x:row>
    <x:row r="1613">
      <x:c r="A1613" s="43" t="str">
        <x:v>L2022-00068-1</x:v>
      </x:c>
      <x:c r="B1613" s="46" t="str">
        <x:v>L2022-00068-1/붙임 2. 입찰 관련 서류/03_Part3(░Φ╛α╝¡ ╣╫ ▒Γ┼╕ └┌╖ß)/Section_12_Other Form/Reference4_Site Handover.docx</x:v>
      </x:c>
      <x:c r="C1613" s="43" t="str">
        <x:v>.docx</x:v>
      </x:c>
      <x:c r="D1613" s="61" t="n">
        <x:v>40440</x:v>
      </x:c>
      <x:c r="E1613" s="61" t="n">
        <x:v>23</x:v>
      </x:c>
      <x:c r="F1613" s="61" t="n">
        <x:v>0</x:v>
      </x:c>
    </x:row>
    <x:row r="1614">
      <x:c r="A1614" s="43" t="str">
        <x:v>L2022-00068-1</x:v>
      </x:c>
      <x:c r="B1614" s="46" t="str">
        <x:v>L2022-00068-1/붙임 2. 입찰 관련 서류/03_Part3(░Φ╛α╝¡ ╣╫ ▒Γ┼╕ └┌╖ß)/Section_12_Other Form/Reference5_KOICA procurement guideline and regulation.zip</x:v>
      </x:c>
      <x:c r="C1614" s="43" t="str">
        <x:v>.zip</x:v>
      </x:c>
      <x:c r="D1614" s="61" t="n">
        <x:v>2017505</x:v>
      </x:c>
      <x:c r="E1614" s="61" t="n">
        <x:v>0</x:v>
      </x:c>
      <x:c r="F1614" s="61" t="n">
        <x:v>0</x:v>
      </x:c>
    </x:row>
    <x:row r="1615">
      <x:c r="A1615" s="43" t="str">
        <x:v>L2022-00068-1</x:v>
      </x:c>
      <x:c r="B1615" s="46" t="str">
        <x:v>L2022-00068-1/붙임 2. 입찰 관련 서류/03_Part3(░Φ╛α╝¡ ╣╫ ▒Γ┼╕ └┌╖ß)/Section_12_Other Form/Section_12_Other Form.docx</x:v>
      </x:c>
      <x:c r="C1615" s="43" t="str">
        <x:v>.docx</x:v>
      </x:c>
      <x:c r="D1615" s="61" t="n">
        <x:v>48816</x:v>
      </x:c>
      <x:c r="E1615" s="61" t="n">
        <x:v>196</x:v>
      </x:c>
      <x:c r="F1615" s="61" t="n">
        <x:v>1</x:v>
      </x:c>
    </x:row>
    <x:row r="1616">
      <x:c r="A1616" s="43" t="str">
        <x:v>L2022-00068-1</x:v>
      </x:c>
      <x:c r="B1616" s="46" t="str">
        <x:v>L2022-00068-1/붙임 2. 입찰 관련 서류/Section_00_Cover of Tender Docs(└╘┬√ └┌╖ß ─┐╣÷).docx</x:v>
      </x:c>
      <x:c r="C1616" s="43" t="str">
        <x:v>.docx</x:v>
      </x:c>
      <x:c r="D1616" s="61" t="n">
        <x:v>15135</x:v>
      </x:c>
      <x:c r="E1616" s="61" t="n">
        <x:v>27</x:v>
      </x:c>
      <x:c r="F1616" s="61" t="n">
        <x:v>0</x:v>
      </x:c>
    </x:row>
    <x:row r="1617">
      <x:c r="A1617" s="43" t="str">
        <x:v>L2022-00068-1</x:v>
      </x:c>
      <x:c r="B1617" s="46" t="str">
        <x:v>L2022-00068-1/붙임 3. 입찰 공고문(Invitation for Bid).zip</x:v>
      </x:c>
      <x:c r="C1617" s="43" t="str">
        <x:v>.zip</x:v>
      </x:c>
      <x:c r="D1617" s="61" t="n">
        <x:v>28930</x:v>
      </x:c>
      <x:c r="E1617" s="61" t="n">
        <x:v>0</x:v>
      </x:c>
      <x:c r="F1617" s="61" t="n">
        <x:v>0</x:v>
      </x:c>
    </x:row>
    <x:row r="1618">
      <x:c r="A1618" s="43" t="str">
        <x:v>L2022-00068-1</x:v>
      </x:c>
      <x:c r="B1618" s="46" t="str">
        <x:v>L2022-00068-1/붙임 3. 입찰 공고문(Invitation for Bid)/Invitation for Bid_for ad_2022.11.25.docx</x:v>
      </x:c>
      <x:c r="C1618" s="43" t="str">
        <x:v>.docx</x:v>
      </x:c>
      <x:c r="D1618" s="61" t="n">
        <x:v>32258</x:v>
      </x:c>
      <x:c r="E1618" s="61" t="n">
        <x:v>51</x:v>
      </x:c>
      <x:c r="F1618" s="61" t="n">
        <x:v>1</x:v>
      </x:c>
    </x:row>
    <x:row r="1619">
      <x:c r="A1619" s="43" t="str">
        <x:v>L2022-00066-1</x:v>
      </x:c>
      <x:c r="B1619" s="46" t="str">
        <x:v>L2022-00066-1/한몽기술대학 용역 서비스 관련 재공지(번역본).hwp</x:v>
      </x:c>
      <x:c r="C1619" s="43" t="str">
        <x:v>.hwp</x:v>
      </x:c>
      <x:c r="D1619" s="61" t="n">
        <x:v>26112</x:v>
      </x:c>
      <x:c r="E1619" s="61" t="n">
        <x:v>15</x:v>
      </x:c>
      <x:c r="F1619" s="61" t="n">
        <x:v>0</x:v>
      </x:c>
    </x:row>
    <x:row r="1620">
      <x:c r="A1620" s="43" t="str">
        <x:v>L2022-00066-1</x:v>
      </x:c>
      <x:c r="B1620" s="46" t="str">
        <x:v>L2022-00066-1/한몽기술대학 용역 서비스 관련 재공지(원본).pdf</x:v>
      </x:c>
      <x:c r="C1620" s="43" t="str">
        <x:v>.pdf</x:v>
      </x:c>
      <x:c r="D1620" s="61" t="n">
        <x:v>114221</x:v>
      </x:c>
      <x:c r="E1620" s="61" t="n">
        <x:v>2</x:v>
      </x:c>
      <x:c r="F1620" s="61" t="n">
        <x:v>0</x:v>
      </x:c>
    </x:row>
    <x:row r="1621">
      <x:c r="A1621" s="43" t="str">
        <x:v>L2022-00065-2</x:v>
      </x:c>
      <x:c r="B1621" s="46" t="str">
        <x:v>L2022-00065-2/한몽기술대 공고 캡처본.JPG</x:v>
      </x:c>
      <x:c r="C1621" s="43" t="str">
        <x:v>.jpg</x:v>
      </x:c>
      <x:c r="D1621" s="61" t="n">
        <x:v>163177</x:v>
      </x:c>
      <x:c r="E1621" s="61" t="n">
        <x:v>0</x:v>
      </x:c>
      <x:c r="F1621" s="61" t="n">
        <x:v>0</x:v>
      </x:c>
    </x:row>
    <x:row r="1622">
      <x:c r="A1622" s="43" t="str">
        <x:v>L2022-00065-1</x:v>
      </x:c>
      <x:c r="B1622" s="46" t="str">
        <x:v>L2022-00065-1/한몽기술대학교 용역 서비스 관련 공지 원본_0706.pdf</x:v>
      </x:c>
      <x:c r="C1622" s="43" t="str">
        <x:v>.pdf</x:v>
      </x:c>
      <x:c r="D1622" s="61" t="n">
        <x:v>114256</x:v>
      </x:c>
      <x:c r="E1622" s="61" t="n">
        <x:v>2</x:v>
      </x:c>
      <x:c r="F1622" s="61" t="n">
        <x:v>0</x:v>
      </x:c>
    </x:row>
    <x:row r="1623">
      <x:c r="A1623" s="43" t="str">
        <x:v>L2022-00065-1</x:v>
      </x:c>
      <x:c r="B1623" s="46" t="str">
        <x:v>L2022-00065-1/한몽기술대학교 용역 서비스 관련 공지(번역본)_0706.hwp</x:v>
      </x:c>
      <x:c r="C1623" s="43" t="str">
        <x:v>.hwp</x:v>
      </x:c>
      <x:c r="D1623" s="61" t="n">
        <x:v>14336</x:v>
      </x:c>
      <x:c r="E1623" s="61" t="n">
        <x:v>15</x:v>
      </x:c>
      <x:c r="F1623" s="61" t="n">
        <x:v>0</x:v>
      </x:c>
    </x:row>
    <x:row r="1624">
      <x:c r="A1624" s="43" t="str">
        <x:v>L2022-00064-1</x:v>
      </x:c>
      <x:c r="B1624" s="46" t="str">
        <x:v>L2022-00064-1/광물석유청 용역 서비스 관련 재공지(번역본).hwp</x:v>
      </x:c>
      <x:c r="C1624" s="43" t="str">
        <x:v>.hwp</x:v>
      </x:c>
      <x:c r="D1624" s="61" t="n">
        <x:v>14336</x:v>
      </x:c>
      <x:c r="E1624" s="61" t="n">
        <x:v>16</x:v>
      </x:c>
      <x:c r="F1624" s="61" t="n">
        <x:v>0</x:v>
      </x:c>
    </x:row>
    <x:row r="1625">
      <x:c r="A1625" s="43" t="str">
        <x:v>L2022-00064-1</x:v>
      </x:c>
      <x:c r="B1625" s="46" t="str">
        <x:v>L2022-00064-1/광물석유청 용역 서비스 관련 재공지(원본).pdf</x:v>
      </x:c>
      <x:c r="C1625" s="43" t="str">
        <x:v>.pdf</x:v>
      </x:c>
      <x:c r="D1625" s="61" t="n">
        <x:v>142803</x:v>
      </x:c>
      <x:c r="E1625" s="61" t="n">
        <x:v>2</x:v>
      </x:c>
      <x:c r="F1625" s="61" t="n">
        <x:v>0</x:v>
      </x:c>
    </x:row>
    <x:row r="1626">
      <x:c r="A1626" s="43" t="str">
        <x:v>L2022-00063-2</x:v>
      </x:c>
      <x:c r="B1626" s="46" t="str">
        <x:v>L2022-00063-2/광물석유청 공고 캡처본 (2).JPG</x:v>
      </x:c>
      <x:c r="C1626" s="43" t="str">
        <x:v>.jpg</x:v>
      </x:c>
      <x:c r="D1626" s="61" t="n">
        <x:v>152362</x:v>
      </x:c>
      <x:c r="E1626" s="61" t="n">
        <x:v>0</x:v>
      </x:c>
      <x:c r="F1626" s="61" t="n">
        <x:v>0</x:v>
      </x:c>
    </x:row>
    <x:row r="1627">
      <x:c r="A1627" s="43" t="str">
        <x:v>L2022-00063-1</x:v>
      </x:c>
      <x:c r="B1627" s="46" t="str">
        <x:v>L2022-00063-1/광물석유청 용역 서비스 관련 공지 원본_0720.pdf</x:v>
      </x:c>
      <x:c r="C1627" s="43" t="str">
        <x:v>.pdf</x:v>
      </x:c>
      <x:c r="D1627" s="61" t="n">
        <x:v>105709</x:v>
      </x:c>
      <x:c r="E1627" s="61" t="n">
        <x:v>2</x:v>
      </x:c>
      <x:c r="F1627" s="61" t="n">
        <x:v>0</x:v>
      </x:c>
    </x:row>
    <x:row r="1628">
      <x:c r="A1628" s="43" t="str">
        <x:v>L2022-00063-1</x:v>
      </x:c>
      <x:c r="B1628" s="46" t="str">
        <x:v>L2022-00063-1/광물석유청 용역 서비스 관련 공지(번역본)_0720.hwp</x:v>
      </x:c>
      <x:c r="C1628" s="43" t="str">
        <x:v>.hwp</x:v>
      </x:c>
      <x:c r="D1628" s="61" t="n">
        <x:v>14336</x:v>
      </x:c>
      <x:c r="E1628" s="61" t="n">
        <x:v>15</x:v>
      </x:c>
      <x:c r="F1628" s="61" t="n">
        <x:v>0</x:v>
      </x:c>
    </x:row>
    <x:row r="1629">
      <x:c r="A1629" s="43" t="str">
        <x:v>L2022-00060-1</x:v>
      </x:c>
      <x:c r="B1629" s="46" t="str">
        <x:v>L2022-00060-1/(붙임1) 입찰공고문(영문).docx</x:v>
      </x:c>
      <x:c r="C1629" s="43" t="str">
        <x:v>.docx</x:v>
      </x:c>
      <x:c r="D1629" s="61" t="n">
        <x:v>18874</x:v>
      </x:c>
      <x:c r="E1629" s="61" t="n">
        <x:v>28</x:v>
      </x:c>
      <x:c r="F1629" s="61" t="n">
        <x:v>0</x:v>
      </x:c>
    </x:row>
    <x:row r="1630">
      <x:c r="A1630" s="43" t="str">
        <x:v>L2022-00060-1</x:v>
      </x:c>
      <x:c r="B1630" s="46" t="str">
        <x:v>L2022-00060-1/(붙임2) 입찰안내서(영문).zip</x:v>
      </x:c>
      <x:c r="C1630" s="43" t="str">
        <x:v>.zip</x:v>
      </x:c>
      <x:c r="D1630" s="61" t="n">
        <x:v>521268</x:v>
      </x:c>
      <x:c r="E1630" s="61" t="n">
        <x:v>0</x:v>
      </x:c>
      <x:c r="F1630" s="61" t="n">
        <x:v>0</x:v>
      </x:c>
    </x:row>
    <x:row r="1631">
      <x:c r="A1631" s="43" t="str">
        <x:v>L2022-00060-1</x:v>
      </x:c>
      <x:c r="B1631" s="46" t="str">
        <x:v>L2022-00060-1/(붙임2) 입찰안내서(영문)/01. Dominican Rep Guideline.docx</x:v>
      </x:c>
      <x:c r="C1631" s="43" t="str">
        <x:v>.docx</x:v>
      </x:c>
      <x:c r="D1631" s="61" t="n">
        <x:v>304094</x:v>
      </x:c>
      <x:c r="E1631" s="61" t="n">
        <x:v>244</x:v>
      </x:c>
      <x:c r="F1631" s="61" t="n">
        <x:v>3</x:v>
      </x:c>
    </x:row>
    <x:row r="1632">
      <x:c r="A1632" s="43" t="str">
        <x:v>L2022-00060-1</x:v>
      </x:c>
      <x:c r="B1632" s="46" t="str">
        <x:v>L2022-00060-1/(붙임2) 입찰안내서(영문)/02. Dominican Rep Instructions on International Bidding for the Provision of Services.docx</x:v>
      </x:c>
      <x:c r="C1632" s="43" t="str">
        <x:v>.docx</x:v>
      </x:c>
      <x:c r="D1632" s="61" t="n">
        <x:v>35313</x:v>
      </x:c>
      <x:c r="E1632" s="61" t="n">
        <x:v>161</x:v>
      </x:c>
      <x:c r="F1632" s="61" t="n">
        <x:v>0</x:v>
      </x:c>
    </x:row>
    <x:row r="1633">
      <x:c r="A1633" s="43" t="str">
        <x:v>L2022-00060-1</x:v>
      </x:c>
      <x:c r="B1633" s="46" t="str">
        <x:v>L2022-00060-1/(붙임2) 입찰안내서(영문)/03. Dominican Rep Bidding Forms.docx</x:v>
      </x:c>
      <x:c r="C1633" s="43" t="str">
        <x:v>.docx</x:v>
      </x:c>
      <x:c r="D1633" s="61" t="n">
        <x:v>62309</x:v>
      </x:c>
      <x:c r="E1633" s="61" t="n">
        <x:v>119</x:v>
      </x:c>
      <x:c r="F1633" s="61" t="n">
        <x:v>0</x:v>
      </x:c>
    </x:row>
    <x:row r="1634">
      <x:c r="A1634" s="43" t="str">
        <x:v>L2022-00060-1</x:v>
      </x:c>
      <x:c r="B1634" s="46" t="str">
        <x:v>L2022-00060-1/(붙임2) 입찰안내서(영문)/04. Dominican Rep Scope of Works.docx</x:v>
      </x:c>
      <x:c r="C1634" s="43" t="str">
        <x:v>.docx</x:v>
      </x:c>
      <x:c r="D1634" s="61" t="n">
        <x:v>101731</x:v>
      </x:c>
      <x:c r="E1634" s="61" t="n">
        <x:v>53</x:v>
      </x:c>
      <x:c r="F1634" s="61" t="n">
        <x:v>0</x:v>
      </x:c>
    </x:row>
    <x:row r="1635">
      <x:c r="A1635" s="43" t="str">
        <x:v>L2022-00060-1</x:v>
      </x:c>
      <x:c r="B1635" s="46" t="str">
        <x:v>L2022-00060-1/(붙임2) 입찰안내서(영문)/05. Dominican Rep Standard Forms of Contract.docx</x:v>
      </x:c>
      <x:c r="C1635" s="43" t="str">
        <x:v>.docx</x:v>
      </x:c>
      <x:c r="D1635" s="61" t="n">
        <x:v>51921</x:v>
      </x:c>
      <x:c r="E1635" s="61" t="n">
        <x:v>308</x:v>
      </x:c>
      <x:c r="F1635" s="61" t="n">
        <x:v>0</x:v>
      </x:c>
    </x:row>
    <x:row r="1636">
      <x:c r="A1636" s="43" t="str">
        <x:v>L2022-00060-1</x:v>
      </x:c>
      <x:c r="B1636" s="46" t="str">
        <x:v>L2022-00060-1/(붙임4) 감리 입찰계획서(국문).hwp</x:v>
      </x:c>
      <x:c r="C1636" s="43" t="str">
        <x:v>.hwp</x:v>
      </x:c>
      <x:c r="D1636" s="61" t="n">
        <x:v>95744</x:v>
      </x:c>
      <x:c r="E1636" s="61" t="n">
        <x:v>494</x:v>
      </x:c>
      <x:c r="F1636" s="61" t="n">
        <x:v>3</x:v>
      </x:c>
    </x:row>
    <x:row r="1637">
      <x:c r="A1637" s="43" t="str">
        <x:v>L2022-00059-1</x:v>
      </x:c>
      <x:c r="B1637" s="46" t="str">
        <x:v>L2022-00059-1/입찰공고문(영문).docx</x:v>
      </x:c>
      <x:c r="C1637" s="43" t="str">
        <x:v>.docx</x:v>
      </x:c>
      <x:c r="D1637" s="61" t="n">
        <x:v>17788</x:v>
      </x:c>
      <x:c r="E1637" s="61" t="n">
        <x:v>23</x:v>
      </x:c>
      <x:c r="F1637" s="61" t="n">
        <x:v>0</x:v>
      </x:c>
    </x:row>
    <x:row r="1638">
      <x:c r="A1638" s="43" t="str">
        <x:v>L2022-00059-1</x:v>
      </x:c>
      <x:c r="B1638" s="46" t="str">
        <x:v>L2022-00059-1/입찰설명서(국문).hwp</x:v>
      </x:c>
      <x:c r="C1638" s="43" t="str">
        <x:v>.hwp</x:v>
      </x:c>
      <x:c r="D1638" s="61" t="n">
        <x:v>9704448</x:v>
      </x:c>
      <x:c r="E1638" s="61" t="n">
        <x:v>538</x:v>
      </x:c>
      <x:c r="F1638" s="61" t="n">
        <x:v>5</x:v>
      </x:c>
    </x:row>
    <x:row r="1639">
      <x:c r="A1639" s="43" t="str">
        <x:v>L2022-00059-1</x:v>
      </x:c>
      <x:c r="B1639" s="46" t="str">
        <x:v>L2022-00059-1/입찰안내자료(영문).zip</x:v>
      </x:c>
      <x:c r="C1639" s="43" t="str">
        <x:v>.zip</x:v>
      </x:c>
      <x:c r="D1639" s="61" t="n">
        <x:v>7421266</x:v>
      </x:c>
      <x:c r="E1639" s="61" t="n">
        <x:v>0</x:v>
      </x:c>
      <x:c r="F1639" s="61" t="n">
        <x:v>0</x:v>
      </x:c>
    </x:row>
    <x:row r="1640">
      <x:c r="A1640" s="43" t="str">
        <x:v>L2022-00059-1</x:v>
      </x:c>
      <x:c r="B1640" s="46" t="str">
        <x:v>L2022-00059-1/입찰안내자료(영문)/1. Dominican Rep Haina n Monte Cristi CCPP Bidding  Guideline.docx</x:v>
      </x:c>
      <x:c r="C1640" s="43" t="str">
        <x:v>.docx</x:v>
      </x:c>
      <x:c r="D1640" s="61" t="n">
        <x:v>1771271</x:v>
      </x:c>
      <x:c r="E1640" s="61" t="n">
        <x:v>243</x:v>
      </x:c>
      <x:c r="F1640" s="61" t="n">
        <x:v>3</x:v>
      </x:c>
    </x:row>
    <x:row r="1641">
      <x:c r="A1641" s="43" t="str">
        <x:v>L2022-00059-1</x:v>
      </x:c>
      <x:c r="B1641" s="46" t="str">
        <x:v>L2022-00059-1/입찰안내자료(영문)/2. Dominican Rep Haina n Monte Cristi CCPP Instructions on Intl Bidding for the Provision of Services.docx</x:v>
      </x:c>
      <x:c r="C1641" s="43" t="str">
        <x:v>.docx</x:v>
      </x:c>
      <x:c r="D1641" s="61" t="n">
        <x:v>35313</x:v>
      </x:c>
      <x:c r="E1641" s="61" t="n">
        <x:v>161</x:v>
      </x:c>
      <x:c r="F1641" s="61" t="n">
        <x:v>0</x:v>
      </x:c>
    </x:row>
    <x:row r="1642">
      <x:c r="A1642" s="43" t="str">
        <x:v>L2022-00059-1</x:v>
      </x:c>
      <x:c r="B1642" s="46" t="str">
        <x:v>L2022-00059-1/입찰안내자료(영문)/3. Dominican Rep Haina n Monte Cristi CCPP Bidding Forms.docx</x:v>
      </x:c>
      <x:c r="C1642" s="43" t="str">
        <x:v>.docx</x:v>
      </x:c>
      <x:c r="D1642" s="61" t="n">
        <x:v>62454</x:v>
      </x:c>
      <x:c r="E1642" s="61" t="n">
        <x:v>193</x:v>
      </x:c>
      <x:c r="F1642" s="61" t="n">
        <x:v>0</x:v>
      </x:c>
    </x:row>
    <x:row r="1643">
      <x:c r="A1643" s="43" t="str">
        <x:v>L2022-00059-1</x:v>
      </x:c>
      <x:c r="B1643" s="46" t="str">
        <x:v>L2022-00059-1/입찰안내자료(영문)/4. Dominican Rep Haina n Monte Cristi CCPP Terms of Reference.docx</x:v>
      </x:c>
      <x:c r="C1643" s="43" t="str">
        <x:v>.docx</x:v>
      </x:c>
      <x:c r="D1643" s="61" t="n">
        <x:v>4222506</x:v>
      </x:c>
      <x:c r="E1643" s="61" t="n">
        <x:v>347</x:v>
      </x:c>
      <x:c r="F1643" s="61" t="n">
        <x:v>3</x:v>
      </x:c>
    </x:row>
    <x:row r="1644">
      <x:c r="A1644" s="43" t="str">
        <x:v>L2022-00059-1</x:v>
      </x:c>
      <x:c r="B1644" s="46" t="str">
        <x:v>L2022-00059-1/입찰안내자료(영문)/5. Dominican Rep Haina n Monte Cristi CCPP Standard Forms  of Contract.docx</x:v>
      </x:c>
      <x:c r="C1644" s="43" t="str">
        <x:v>.docx</x:v>
      </x:c>
      <x:c r="D1644" s="61" t="n">
        <x:v>63290</x:v>
      </x:c>
      <x:c r="E1644" s="61" t="n">
        <x:v>309</x:v>
      </x:c>
      <x:c r="F1644" s="61" t="n">
        <x:v>0</x:v>
      </x:c>
    </x:row>
    <x:row r="1645">
      <x:c r="A1645" s="43" t="str">
        <x:v>L2022-00059-1</x:v>
      </x:c>
      <x:c r="B1645" s="46" t="str">
        <x:v>L2022-00059-1/입찰안내자료(영문)/6. Site.zip</x:v>
      </x:c>
      <x:c r="C1645" s="43" t="str">
        <x:v>.zip</x:v>
      </x:c>
      <x:c r="D1645" s="61" t="n">
        <x:v>1410824</x:v>
      </x:c>
      <x:c r="E1645" s="61" t="n">
        <x:v>0</x:v>
      </x:c>
      <x:c r="F1645" s="61" t="n">
        <x:v>0</x:v>
      </x:c>
    </x:row>
    <x:row r="1646">
      <x:c r="A1646" s="43" t="str">
        <x:v>L2022-00056-1</x:v>
      </x:c>
      <x:c r="B1646" s="46" t="str">
        <x:v>L2022-00056-1/Request for Proposal.docx</x:v>
      </x:c>
      <x:c r="C1646" s="43" t="str">
        <x:v>.docx</x:v>
      </x:c>
      <x:c r="D1646" s="61" t="n">
        <x:v>35965</x:v>
      </x:c>
      <x:c r="E1646" s="61" t="n">
        <x:v>27</x:v>
      </x:c>
      <x:c r="F1646" s="61" t="n">
        <x:v>0</x:v>
      </x:c>
    </x:row>
    <x:row r="1647">
      <x:c r="A1647" s="43" t="str">
        <x:v>L2022-00056-1</x:v>
      </x:c>
      <x:c r="B1647" s="46" t="str">
        <x:v>L2022-00056-1/과테말라 웨웨떼낭고 모자병원 보수공사 공사입찰계획서-2022.09.19..hwp</x:v>
      </x:c>
      <x:c r="C1647" s="43" t="str">
        <x:v>.hwp</x:v>
      </x:c>
      <x:c r="D1647" s="61" t="n">
        <x:v>67072</x:v>
      </x:c>
      <x:c r="E1647" s="61" t="n">
        <x:v>346</x:v>
      </x:c>
      <x:c r="F1647" s="61" t="n">
        <x:v>3</x:v>
      </x:c>
    </x:row>
    <x:row r="1648">
      <x:c r="A1648" s="43" t="str">
        <x:v>L2022-00055-1</x:v>
      </x:c>
      <x:c r="B1648" s="46" t="str">
        <x:v>L2022-00055-1/(붙임1) 키르기즈 약초건조장 신축공사 현지 입찰 계획서(안) 국문_v4_0914_추가수정.hwp</x:v>
      </x:c>
      <x:c r="C1648" s="43" t="str">
        <x:v>.hwp</x:v>
      </x:c>
      <x:c r="D1648" s="61" t="n">
        <x:v>156160</x:v>
      </x:c>
      <x:c r="E1648" s="61" t="n">
        <x:v>729</x:v>
      </x:c>
      <x:c r="F1648" s="61" t="n">
        <x:v>3</x:v>
      </x:c>
    </x:row>
    <x:row r="1649">
      <x:c r="A1649" s="43" t="str">
        <x:v>L2022-00055-1</x:v>
      </x:c>
      <x:c r="B1649" s="46" t="str">
        <x:v>L2022-00055-1/[ENG]_Bidding_DOCs_HDES.zip</x:v>
      </x:c>
      <x:c r="C1649" s="43" t="str">
        <x:v>.zip</x:v>
      </x:c>
      <x:c r="D1649" s="61" t="n">
        <x:v>262928</x:v>
      </x:c>
      <x:c r="E1649" s="61" t="n">
        <x:v>0</x:v>
      </x:c>
      <x:c r="F1649" s="61" t="n">
        <x:v>0</x:v>
      </x:c>
    </x:row>
    <x:row r="1650">
      <x:c r="A1650" s="43" t="str">
        <x:v>L2022-00055-1</x:v>
      </x:c>
      <x:c r="B1650" s="46" t="str">
        <x:v>L2022-00055-1/[ENG]_Bidding_DOCs_HDES/[ENG] (attachement) Pledge, Declaration/[ENG]_21092022_Declaration of Anti_Corruption_HDES.docx</x:v>
      </x:c>
      <x:c r="C1650" s="43" t="str">
        <x:v>.docx</x:v>
      </x:c>
      <x:c r="D1650" s="61" t="n">
        <x:v>24140</x:v>
      </x:c>
      <x:c r="E1650" s="61" t="n">
        <x:v>39</x:v>
      </x:c>
      <x:c r="F1650" s="61" t="n">
        <x:v>0</x:v>
      </x:c>
    </x:row>
    <x:row r="1651">
      <x:c r="A1651" s="43" t="str">
        <x:v>L2022-00055-1</x:v>
      </x:c>
      <x:c r="B1651" s="46" t="str">
        <x:v>L2022-00055-1/[ENG]_Bidding_DOCs_HDES/[ENG] (attachement) Pledge, Declaration/[ENG]_21092022_Fair Contract Pledge Letter_HDES.docx</x:v>
      </x:c>
      <x:c r="C1651" s="43" t="str">
        <x:v>.docx</x:v>
      </x:c>
      <x:c r="D1651" s="61" t="n">
        <x:v>18491</x:v>
      </x:c>
      <x:c r="E1651" s="61" t="n">
        <x:v>28</x:v>
      </x:c>
      <x:c r="F1651" s="61" t="n">
        <x:v>0</x:v>
      </x:c>
    </x:row>
    <x:row r="1652">
      <x:c r="A1652" s="43" t="str">
        <x:v>L2022-00055-1</x:v>
      </x:c>
      <x:c r="B1652" s="46" t="str">
        <x:v>L2022-00055-1/[ENG]_Bidding_DOCs_HDES/[ENG] (attachement) Pledge, Declaration/[ENG]_21092022_Integrity Pledge_HDES.docx</x:v>
      </x:c>
      <x:c r="C1652" s="43" t="str">
        <x:v>.docx</x:v>
      </x:c>
      <x:c r="D1652" s="61" t="n">
        <x:v>36805</x:v>
      </x:c>
      <x:c r="E1652" s="61" t="n">
        <x:v>17</x:v>
      </x:c>
      <x:c r="F1652" s="61" t="n">
        <x:v>0</x:v>
      </x:c>
    </x:row>
    <x:row r="1653">
      <x:c r="A1653" s="43" t="str">
        <x:v>L2022-00055-1</x:v>
      </x:c>
      <x:c r="B1653" s="46" t="str">
        <x:v>L2022-00055-1/[ENG]_Bidding_DOCs_HDES/[ENG]_21092022_bidding notice_HDES.docx</x:v>
      </x:c>
      <x:c r="C1653" s="43" t="str">
        <x:v>.docx</x:v>
      </x:c>
      <x:c r="D1653" s="61" t="n">
        <x:v>54477</x:v>
      </x:c>
      <x:c r="E1653" s="61" t="n">
        <x:v>83</x:v>
      </x:c>
      <x:c r="F1653" s="61" t="n">
        <x:v>5</x:v>
      </x:c>
    </x:row>
    <x:row r="1654">
      <x:c r="A1654" s="43" t="str">
        <x:v>L2022-00055-1</x:v>
      </x:c>
      <x:c r="B1654" s="46" t="str">
        <x:v>L2022-00055-1/[ENG]_Bidding_DOCs_HDES/[ENG]_21092022_Cover of Bid Documents_HDES.docx</x:v>
      </x:c>
      <x:c r="C1654" s="43" t="str">
        <x:v>.docx</x:v>
      </x:c>
      <x:c r="D1654" s="61" t="n">
        <x:v>18874</x:v>
      </x:c>
      <x:c r="E1654" s="61" t="n">
        <x:v>34</x:v>
      </x:c>
      <x:c r="F1654" s="61" t="n">
        <x:v>0</x:v>
      </x:c>
    </x:row>
    <x:row r="1655">
      <x:c r="A1655" s="43" t="str">
        <x:v>L2022-00055-1</x:v>
      </x:c>
      <x:c r="B1655" s="46" t="str">
        <x:v>L2022-00055-1/[ENG]_Bidding_DOCs_HDES/[ENG]_21092022_Part I. Bidding Procedures (Section1,2,3)_HDES.docx</x:v>
      </x:c>
      <x:c r="C1655" s="43" t="str">
        <x:v>.docx</x:v>
      </x:c>
      <x:c r="D1655" s="61" t="n">
        <x:v>82374</x:v>
      </x:c>
      <x:c r="E1655" s="61" t="n">
        <x:v>393</x:v>
      </x:c>
      <x:c r="F1655" s="61" t="n">
        <x:v>1</x:v>
      </x:c>
    </x:row>
    <x:row r="1656">
      <x:c r="A1656" s="43" t="str">
        <x:v>L2022-00055-1</x:v>
      </x:c>
      <x:c r="B1656" s="46" t="str">
        <x:v>L2022-00055-1/[ENG]_Bidding_DOCs_HDES/[ENG]_21092022_Part II. Requirements (Section 4,5,6,7,8)_HDES.docx</x:v>
      </x:c>
      <x:c r="C1656" s="43" t="str">
        <x:v>.docx</x:v>
      </x:c>
      <x:c r="D1656" s="61" t="n">
        <x:v>52727</x:v>
      </x:c>
      <x:c r="E1656" s="61" t="n">
        <x:v>184</x:v>
      </x:c>
      <x:c r="F1656" s="61" t="n">
        <x:v>1</x:v>
      </x:c>
    </x:row>
    <x:row r="1657">
      <x:c r="A1657" s="43" t="str">
        <x:v>L2022-00055-1</x:v>
      </x:c>
      <x:c r="B1657" s="46" t="str">
        <x:v>L2022-00055-1/[RUS]_Bidding_DOCs_HDES.zip</x:v>
      </x:c>
      <x:c r="C1657" s="43" t="str">
        <x:v>.zip</x:v>
      </x:c>
      <x:c r="D1657" s="61" t="n">
        <x:v>293415</x:v>
      </x:c>
      <x:c r="E1657" s="61" t="n">
        <x:v>0</x:v>
      </x:c>
      <x:c r="F1657" s="61" t="n">
        <x:v>0</x:v>
      </x:c>
    </x:row>
    <x:row r="1658">
      <x:c r="A1658" s="43" t="str">
        <x:v>L2022-00055-1</x:v>
      </x:c>
      <x:c r="B1658" s="46" t="str">
        <x:v>L2022-00055-1/[RUS]_Bidding_DOCs_HDES/[RUS] (attachement) Pledge, Declaration/[RUS]_21092022_Declaration of Anti_Corruption_HDES.docx</x:v>
      </x:c>
      <x:c r="C1658" s="43" t="str">
        <x:v>.docx</x:v>
      </x:c>
      <x:c r="D1658" s="61" t="n">
        <x:v>26068</x:v>
      </x:c>
      <x:c r="E1658" s="61" t="n">
        <x:v>39</x:v>
      </x:c>
      <x:c r="F1658" s="61" t="n">
        <x:v>0</x:v>
      </x:c>
    </x:row>
    <x:row r="1659">
      <x:c r="A1659" s="43" t="str">
        <x:v>L2022-00055-1</x:v>
      </x:c>
      <x:c r="B1659" s="46" t="str">
        <x:v>L2022-00055-1/[RUS]_Bidding_DOCs_HDES/[RUS] (attachement) Pledge, Declaration/[RUS]_21092022_Fair Contract Pledge Letter_HDES.docx</x:v>
      </x:c>
      <x:c r="C1659" s="43" t="str">
        <x:v>.docx</x:v>
      </x:c>
      <x:c r="D1659" s="61" t="n">
        <x:v>16903</x:v>
      </x:c>
      <x:c r="E1659" s="61" t="n">
        <x:v>20</x:v>
      </x:c>
      <x:c r="F1659" s="61" t="n">
        <x:v>0</x:v>
      </x:c>
    </x:row>
    <x:row r="1660">
      <x:c r="A1660" s="43" t="str">
        <x:v>L2022-00055-1</x:v>
      </x:c>
      <x:c r="B1660" s="46" t="str">
        <x:v>L2022-00055-1/[RUS]_Bidding_DOCs_HDES/[RUS] (attachement) Pledge, Declaration/[RUS]_21092022_Integrity Pledge_HDES.docx</x:v>
      </x:c>
      <x:c r="C1660" s="43" t="str">
        <x:v>.docx</x:v>
      </x:c>
      <x:c r="D1660" s="61" t="n">
        <x:v>38458</x:v>
      </x:c>
      <x:c r="E1660" s="61" t="n">
        <x:v>17</x:v>
      </x:c>
      <x:c r="F1660" s="61" t="n">
        <x:v>0</x:v>
      </x:c>
    </x:row>
    <x:row r="1661">
      <x:c r="A1661" s="43" t="str">
        <x:v>L2022-00055-1</x:v>
      </x:c>
      <x:c r="B1661" s="46" t="str">
        <x:v>L2022-00055-1/[RUS]_Bidding_DOCs_HDES/[RUS]_21092022_bidding notice_HDES.docx</x:v>
      </x:c>
      <x:c r="C1661" s="43" t="str">
        <x:v>.docx</x:v>
      </x:c>
      <x:c r="D1661" s="61" t="n">
        <x:v>56527</x:v>
      </x:c>
      <x:c r="E1661" s="61" t="n">
        <x:v>82</x:v>
      </x:c>
      <x:c r="F1661" s="61" t="n">
        <x:v>0</x:v>
      </x:c>
    </x:row>
    <x:row r="1662">
      <x:c r="A1662" s="43" t="str">
        <x:v>L2022-00055-1</x:v>
      </x:c>
      <x:c r="B1662" s="46" t="str">
        <x:v>L2022-00055-1/[RUS]_Bidding_DOCs_HDES/[RUS]_21092022_Cover of Bid Documents_HDES.docx</x:v>
      </x:c>
      <x:c r="C1662" s="43" t="str">
        <x:v>.docx</x:v>
      </x:c>
      <x:c r="D1662" s="61" t="n">
        <x:v>19805</x:v>
      </x:c>
      <x:c r="E1662" s="61" t="n">
        <x:v>34</x:v>
      </x:c>
      <x:c r="F1662" s="61" t="n">
        <x:v>0</x:v>
      </x:c>
    </x:row>
    <x:row r="1663">
      <x:c r="A1663" s="43" t="str">
        <x:v>L2022-00055-1</x:v>
      </x:c>
      <x:c r="B1663" s="46" t="str">
        <x:v>L2022-00055-1/[RUS]_Bidding_DOCs_HDES/[RUS]_21092022_Part I. Bidding Procedures (Section1,2,3)_HDES.docx</x:v>
      </x:c>
      <x:c r="C1663" s="43" t="str">
        <x:v>.docx</x:v>
      </x:c>
      <x:c r="D1663" s="61" t="n">
        <x:v>101988</x:v>
      </x:c>
      <x:c r="E1663" s="61" t="n">
        <x:v>393</x:v>
      </x:c>
      <x:c r="F1663" s="61" t="n">
        <x:v>0</x:v>
      </x:c>
    </x:row>
    <x:row r="1664">
      <x:c r="A1664" s="43" t="str">
        <x:v>L2022-00055-1</x:v>
      </x:c>
      <x:c r="B1664" s="46" t="str">
        <x:v>L2022-00055-1/[RUS]_Bidding_DOCs_HDES/[RUS]_21092022_Part II. Requirements (Section 4,5,6,7,8)_HDES.docx</x:v>
      </x:c>
      <x:c r="C1664" s="43" t="str">
        <x:v>.docx</x:v>
      </x:c>
      <x:c r="D1664" s="61" t="n">
        <x:v>58328</x:v>
      </x:c>
      <x:c r="E1664" s="61" t="n">
        <x:v>184</x:v>
      </x:c>
      <x:c r="F1664" s="61" t="n">
        <x:v>0</x:v>
      </x:c>
    </x:row>
    <x:row r="1665">
      <x:c r="A1665" s="43" t="str">
        <x:v>L2022-00046-1</x:v>
      </x:c>
      <x:c r="B1665" s="46" t="str">
        <x:v>L2022-00046-1/(붙임1) 입찰공고문(영문).docx</x:v>
      </x:c>
      <x:c r="C1665" s="43" t="str">
        <x:v>.docx</x:v>
      </x:c>
      <x:c r="D1665" s="61" t="n">
        <x:v>34697</x:v>
      </x:c>
      <x:c r="E1665" s="61" t="n">
        <x:v>28</x:v>
      </x:c>
      <x:c r="F1665" s="61" t="n">
        <x:v>0</x:v>
      </x:c>
    </x:row>
    <x:row r="1666">
      <x:c r="A1666" s="43" t="str">
        <x:v>L2022-00046-1</x:v>
      </x:c>
      <x:c r="B1666" s="46" t="str">
        <x:v>L2022-00046-1/(붙임2) 입찰안내서(영문)_최종.zip</x:v>
      </x:c>
      <x:c r="C1666" s="43" t="str">
        <x:v>.zip</x:v>
      </x:c>
      <x:c r="D1666" s="61" t="n">
        <x:v>575013</x:v>
      </x:c>
      <x:c r="E1666" s="61" t="n">
        <x:v>0</x:v>
      </x:c>
      <x:c r="F1666" s="61" t="n">
        <x:v>0</x:v>
      </x:c>
    </x:row>
    <x:row r="1667">
      <x:c r="A1667" s="43" t="str">
        <x:v>L2022-00046-1</x:v>
      </x:c>
      <x:c r="B1667" s="46" t="str">
        <x:v>L2022-00046-1/(붙임2) 입찰안내서(영문)_최종/Section I_Bidding Guideline for Procurement of Contractor.docx</x:v>
      </x:c>
      <x:c r="C1667" s="43" t="str">
        <x:v>.docx</x:v>
      </x:c>
      <x:c r="D1667" s="61" t="n">
        <x:v>311360</x:v>
      </x:c>
      <x:c r="E1667" s="61" t="n">
        <x:v>223</x:v>
      </x:c>
      <x:c r="F1667" s="61" t="n">
        <x:v>13</x:v>
      </x:c>
    </x:row>
    <x:row r="1668">
      <x:c r="A1668" s="43" t="str">
        <x:v>L2022-00046-1</x:v>
      </x:c>
      <x:c r="B1668" s="46" t="str">
        <x:v>L2022-00046-1/(붙임2) 입찰안내서(영문)_최종/Section II_Instructions on International Bidding for Construction Work.docx</x:v>
      </x:c>
      <x:c r="C1668" s="43" t="str">
        <x:v>.docx</x:v>
      </x:c>
      <x:c r="D1668" s="61" t="n">
        <x:v>50119</x:v>
      </x:c>
      <x:c r="E1668" s="61" t="n">
        <x:v>167</x:v>
      </x:c>
      <x:c r="F1668" s="61" t="n">
        <x:v>0</x:v>
      </x:c>
    </x:row>
    <x:row r="1669">
      <x:c r="A1669" s="43" t="str">
        <x:v>L2022-00046-1</x:v>
      </x:c>
      <x:c r="B1669" s="46" t="str">
        <x:v>L2022-00046-1/(붙임2) 입찰안내서(영문)_최종/Section III_Bidding Forms.docx</x:v>
      </x:c>
      <x:c r="C1669" s="43" t="str">
        <x:v>.docx</x:v>
      </x:c>
      <x:c r="D1669" s="61" t="n">
        <x:v>58631</x:v>
      </x:c>
      <x:c r="E1669" s="61" t="n">
        <x:v>237</x:v>
      </x:c>
      <x:c r="F1669" s="61" t="n">
        <x:v>0</x:v>
      </x:c>
    </x:row>
    <x:row r="1670">
      <x:c r="A1670" s="43" t="str">
        <x:v>L2022-00046-1</x:v>
      </x:c>
      <x:c r="B1670" s="46" t="str">
        <x:v>L2022-00046-1/(붙임2) 입찰안내서(영문)_최종/Section IV_Scope of Works.docx</x:v>
      </x:c>
      <x:c r="C1670" s="43" t="str">
        <x:v>.docx</x:v>
      </x:c>
      <x:c r="D1670" s="61" t="n">
        <x:v>41670</x:v>
      </x:c>
      <x:c r="E1670" s="61" t="n">
        <x:v>204</x:v>
      </x:c>
      <x:c r="F1670" s="61" t="n">
        <x:v>2</x:v>
      </x:c>
    </x:row>
    <x:row r="1671">
      <x:c r="A1671" s="43" t="str">
        <x:v>L2022-00046-1</x:v>
      </x:c>
      <x:c r="B1671" s="46" t="str">
        <x:v>L2022-00046-1/(붙임2) 입찰안내서(영문)_최종/Section V_Standard Forms of Contract.docx</x:v>
      </x:c>
      <x:c r="C1671" s="43" t="str">
        <x:v>.docx</x:v>
      </x:c>
      <x:c r="D1671" s="61" t="n">
        <x:v>148528</x:v>
      </x:c>
      <x:c r="E1671" s="61" t="n">
        <x:v>1715</x:v>
      </x:c>
      <x:c r="F1671" s="61" t="n">
        <x:v>4</x:v>
      </x:c>
    </x:row>
    <x:row r="1672">
      <x:c r="A1672" s="43" t="str">
        <x:v>L2022-00046-1</x:v>
      </x:c>
      <x:c r="B1672" s="46" t="str">
        <x:v>L2022-00046-1/(붙임4) 도미니카공화국 성보건센터 시공 입찰계획서.hwp</x:v>
      </x:c>
      <x:c r="C1672" s="43" t="str">
        <x:v>.hwp</x:v>
      </x:c>
      <x:c r="D1672" s="61" t="n">
        <x:v>158208</x:v>
      </x:c>
      <x:c r="E1672" s="61" t="n">
        <x:v>451</x:v>
      </x:c>
      <x:c r="F1672" s="61" t="n">
        <x:v>5</x:v>
      </x:c>
    </x:row>
    <x:row r="1673">
      <x:c r="A1673" s="43" t="str">
        <x:v>L2022-00043-1</x:v>
      </x:c>
      <x:c r="B1673" s="46" t="str">
        <x:v>L2022-00043-1/붙임. 사이버안전을 위한 디지털 수사 역량 확산 사업 사이버 경찰센터 시공 입.doc</x:v>
      </x:c>
      <x:c r="C1673" s="43" t="str">
        <x:v>.doc</x:v>
      </x:c>
      <x:c r="D1673" s="61" t="n">
        <x:v>90624</x:v>
      </x:c>
      <x:c r="E1673" s="61" t="n">
        <x:v>6</x:v>
      </x:c>
      <x:c r="F1673" s="61" t="n">
        <x:v>4</x:v>
      </x:c>
    </x:row>
    <x:row r="1674">
      <x:c r="A1674" s="43" t="str">
        <x:v>L2022-00042-1</x:v>
      </x:c>
      <x:c r="B1674" s="46" t="str">
        <x:v>L2022-00042-1/1.1 잔여공사 입찰계획서_QIRDP_220817_v2.docx</x:v>
      </x:c>
      <x:c r="C1674" s="43" t="str">
        <x:v>.docx</x:v>
      </x:c>
      <x:c r="D1674" s="61" t="n">
        <x:v>116655</x:v>
      </x:c>
      <x:c r="E1674" s="61" t="n">
        <x:v>327</x:v>
      </x:c>
      <x:c r="F1674" s="61" t="n">
        <x:v>6</x:v>
      </x:c>
    </x:row>
    <x:row r="1675">
      <x:c r="A1675" s="43" t="str">
        <x:v>L2022-00040-1</x:v>
      </x:c>
      <x:c r="B1675" s="46" t="str">
        <x:v>L2022-00040-1/(붙임1) 입찰공고문(영문).docx</x:v>
      </x:c>
      <x:c r="C1675" s="43" t="str">
        <x:v>.docx</x:v>
      </x:c>
      <x:c r="D1675" s="61" t="n">
        <x:v>18626</x:v>
      </x:c>
      <x:c r="E1675" s="61" t="n">
        <x:v>28</x:v>
      </x:c>
      <x:c r="F1675" s="61" t="n">
        <x:v>0</x:v>
      </x:c>
    </x:row>
    <x:row r="1676">
      <x:c r="A1676" s="43" t="str">
        <x:v>L2022-00040-1</x:v>
      </x:c>
      <x:c r="B1676" s="46" t="str">
        <x:v>L2022-00040-1/(붙임2) 입찰안내서(영문).zip</x:v>
      </x:c>
      <x:c r="C1676" s="43" t="str">
        <x:v>.zip</x:v>
      </x:c>
      <x:c r="D1676" s="61" t="n">
        <x:v>511821</x:v>
      </x:c>
      <x:c r="E1676" s="61" t="n">
        <x:v>0</x:v>
      </x:c>
      <x:c r="F1676" s="61" t="n">
        <x:v>0</x:v>
      </x:c>
    </x:row>
    <x:row r="1677">
      <x:c r="A1677" s="43" t="str">
        <x:v>L2022-00040-1</x:v>
      </x:c>
      <x:c r="B1677" s="46" t="str">
        <x:v>L2022-00040-1/(붙임2) 입찰안내서(영문)/1. Dominican Rep Guideline.docx</x:v>
      </x:c>
      <x:c r="C1677" s="43" t="str">
        <x:v>.docx</x:v>
      </x:c>
      <x:c r="D1677" s="61" t="n">
        <x:v>303773</x:v>
      </x:c>
      <x:c r="E1677" s="61" t="n">
        <x:v>244</x:v>
      </x:c>
      <x:c r="F1677" s="61" t="n">
        <x:v>3</x:v>
      </x:c>
    </x:row>
    <x:row r="1678">
      <x:c r="A1678" s="43" t="str">
        <x:v>L2022-00040-1</x:v>
      </x:c>
      <x:c r="B1678" s="46" t="str">
        <x:v>L2022-00040-1/(붙임2) 입찰안내서(영문)/2. Dominican Rep Instructions on International Bidding for the Provision of Services.docx</x:v>
      </x:c>
      <x:c r="C1678" s="43" t="str">
        <x:v>.docx</x:v>
      </x:c>
      <x:c r="D1678" s="61" t="n">
        <x:v>35313</x:v>
      </x:c>
      <x:c r="E1678" s="61" t="n">
        <x:v>161</x:v>
      </x:c>
      <x:c r="F1678" s="61" t="n">
        <x:v>0</x:v>
      </x:c>
    </x:row>
    <x:row r="1679">
      <x:c r="A1679" s="43" t="str">
        <x:v>L2022-00040-1</x:v>
      </x:c>
      <x:c r="B1679" s="46" t="str">
        <x:v>L2022-00040-1/(붙임2) 입찰안내서(영문)/3. Dominican Rep Bidding Forms.docx</x:v>
      </x:c>
      <x:c r="C1679" s="43" t="str">
        <x:v>.docx</x:v>
      </x:c>
      <x:c r="D1679" s="61" t="n">
        <x:v>62123</x:v>
      </x:c>
      <x:c r="E1679" s="61" t="n">
        <x:v>119</x:v>
      </x:c>
      <x:c r="F1679" s="61" t="n">
        <x:v>0</x:v>
      </x:c>
    </x:row>
    <x:row r="1680">
      <x:c r="A1680" s="43" t="str">
        <x:v>L2022-00040-1</x:v>
      </x:c>
      <x:c r="B1680" s="46" t="str">
        <x:v>L2022-00040-1/(붙임2) 입찰안내서(영문)/4. Dominican Rep Scope of Works.docx</x:v>
      </x:c>
      <x:c r="C1680" s="43" t="str">
        <x:v>.docx</x:v>
      </x:c>
      <x:c r="D1680" s="61" t="n">
        <x:v>101731</x:v>
      </x:c>
      <x:c r="E1680" s="61" t="n">
        <x:v>53</x:v>
      </x:c>
      <x:c r="F1680" s="61" t="n">
        <x:v>0</x:v>
      </x:c>
    </x:row>
    <x:row r="1681">
      <x:c r="A1681" s="43" t="str">
        <x:v>L2022-00040-1</x:v>
      </x:c>
      <x:c r="B1681" s="46" t="str">
        <x:v>L2022-00040-1/(붙임2) 입찰안내서(영문)/5. Dominican Rep Standard Forms of Contract.docx</x:v>
      </x:c>
      <x:c r="C1681" s="43" t="str">
        <x:v>.docx</x:v>
      </x:c>
      <x:c r="D1681" s="61" t="n">
        <x:v>42972</x:v>
      </x:c>
      <x:c r="E1681" s="61" t="n">
        <x:v>241</x:v>
      </x:c>
      <x:c r="F1681" s="61" t="n">
        <x:v>0</x:v>
      </x:c>
    </x:row>
    <x:row r="1682">
      <x:c r="A1682" s="43" t="str">
        <x:v>L2022-00040-1</x:v>
      </x:c>
      <x:c r="B1682" s="46" t="str">
        <x:v>L2022-00040-1/(붙임3) 설계 및 규정참고자료(영문).zip</x:v>
      </x:c>
      <x:c r="C1682" s="43" t="str">
        <x:v>.zip</x:v>
      </x:c>
      <x:c r="D1682" s="61" t="n">
        <x:v>10517011</x:v>
      </x:c>
      <x:c r="E1682" s="61" t="n">
        <x:v>0</x:v>
      </x:c>
      <x:c r="F1682" s="61" t="n">
        <x:v>0</x:v>
      </x:c>
    </x:row>
    <x:row r="1683">
      <x:c r="A1683" s="43" t="str">
        <x:v>L2022-00040-1</x:v>
      </x:c>
      <x:c r="B1683" s="46" t="str">
        <x:v>L2022-00040-1/(붙임3) 설계 및 규정참고자료(영문)/Attachment (Design Documents) 2. FULL SPECIFICATIONS.zip</x:v>
      </x:c>
      <x:c r="C1683" s="43" t="str">
        <x:v>.zip</x:v>
      </x:c>
      <x:c r="D1683" s="61" t="n">
        <x:v>7722076</x:v>
      </x:c>
      <x:c r="E1683" s="61" t="n">
        <x:v>0</x:v>
      </x:c>
      <x:c r="F1683" s="61" t="n">
        <x:v>0</x:v>
      </x:c>
    </x:row>
    <x:row r="1684">
      <x:c r="A1684" s="43" t="str">
        <x:v>L2022-00040-1</x:v>
      </x:c>
      <x:c r="B1684" s="46" t="str">
        <x:v>L2022-00040-1/(붙임3) 설계 및 규정참고자료(영문)/Attachment (Design Documents) 3. BOQ (blanked).zip</x:v>
      </x:c>
      <x:c r="C1684" s="43" t="str">
        <x:v>.zip</x:v>
      </x:c>
      <x:c r="D1684" s="61" t="n">
        <x:v>478458</x:v>
      </x:c>
      <x:c r="E1684" s="61" t="n">
        <x:v>0</x:v>
      </x:c>
      <x:c r="F1684" s="61" t="n">
        <x:v>0</x:v>
      </x:c>
    </x:row>
    <x:row r="1685">
      <x:c r="A1685" s="43" t="str">
        <x:v>L2022-00040-1</x:v>
      </x:c>
      <x:c r="B1685" s="46" t="str">
        <x:v>L2022-00040-1/(붙임3) 설계 및 규정참고자료(영문)/Attachment (Related Regulations).zip</x:v>
      </x:c>
      <x:c r="C1685" s="43" t="str">
        <x:v>.zip</x:v>
      </x:c>
      <x:c r="D1685" s="61" t="n">
        <x:v>2355210</x:v>
      </x:c>
      <x:c r="E1685" s="61" t="n">
        <x:v>0</x:v>
      </x:c>
      <x:c r="F1685" s="61" t="n">
        <x:v>0</x:v>
      </x:c>
    </x:row>
    <x:row r="1686">
      <x:c r="A1686" s="43" t="str">
        <x:v>L2022-00040-1</x:v>
      </x:c>
      <x:c r="B1686" s="46" t="str">
        <x:v>L2022-00040-1/(붙임4) 감리 입찰계획서(국문).hwp</x:v>
      </x:c>
      <x:c r="C1686" s="43" t="str">
        <x:v>.hwp</x:v>
      </x:c>
      <x:c r="D1686" s="61" t="n">
        <x:v>158208</x:v>
      </x:c>
      <x:c r="E1686" s="61" t="n">
        <x:v>495</x:v>
      </x:c>
      <x:c r="F1686" s="61" t="n">
        <x:v>3</x:v>
      </x:c>
    </x:row>
    <x:row r="1687">
      <x:c r="A1687" s="43" t="str">
        <x:v>L2022-00038-1</x:v>
      </x:c>
      <x:c r="B1687" s="46" t="str">
        <x:v>L2022-00038-1/붙임 2. 표제사업 일반기자재 공급업체 현지입찰계획(안) 일반_최최종.hwp</x:v>
      </x:c>
      <x:c r="C1687" s="43" t="str">
        <x:v>.hwp</x:v>
      </x:c>
      <x:c r="D1687" s="61" t="n">
        <x:v>78336</x:v>
      </x:c>
      <x:c r="E1687" s="61" t="n">
        <x:v>333</x:v>
      </x:c>
      <x:c r="F1687" s="61" t="n">
        <x:v>1</x:v>
      </x:c>
    </x:row>
    <x:row r="1688">
      <x:c r="A1688" s="43" t="str">
        <x:v>L2022-00038-1</x:v>
      </x:c>
      <x:c r="B1688" s="46" t="str">
        <x:v>L2022-00038-1/붙임 3. 표제사업 일반기자재 입찰 영문 안내서.docx</x:v>
      </x:c>
      <x:c r="C1688" s="43" t="str">
        <x:v>.docx</x:v>
      </x:c>
      <x:c r="D1688" s="61" t="n">
        <x:v>70707</x:v>
      </x:c>
      <x:c r="E1688" s="61" t="n">
        <x:v>188</x:v>
      </x:c>
      <x:c r="F1688" s="61" t="n">
        <x:v>0</x:v>
      </x:c>
    </x:row>
    <x:row r="1689">
      <x:c r="A1689" s="43" t="str">
        <x:v>L2022-00038-1</x:v>
      </x:c>
      <x:c r="B1689" s="46" t="str">
        <x:v>L2022-00038-1/붙임 5. 표제사업 일반기자재 현지입찰 공고문(안).docx</x:v>
      </x:c>
      <x:c r="C1689" s="43" t="str">
        <x:v>.docx</x:v>
      </x:c>
      <x:c r="D1689" s="61" t="n">
        <x:v>131600</x:v>
      </x:c>
      <x:c r="E1689" s="61" t="n">
        <x:v>50</x:v>
      </x:c>
      <x:c r="F1689" s="61" t="n">
        <x:v>1</x:v>
      </x:c>
    </x:row>
    <x:row r="1690">
      <x:c r="A1690" s="43" t="str">
        <x:v>L2022-00038-1</x:v>
      </x:c>
      <x:c r="B1690" s="46" t="str">
        <x:v>L2022-00038-1/붙임 6. 표제사업 일반기자재 입찰 세부사양서 및 투찰양식.zip</x:v>
      </x:c>
      <x:c r="C1690" s="43" t="str">
        <x:v>.zip</x:v>
      </x:c>
      <x:c r="D1690" s="61" t="n">
        <x:v>130371</x:v>
      </x:c>
      <x:c r="E1690" s="61" t="n">
        <x:v>0</x:v>
      </x:c>
      <x:c r="F1690" s="61" t="n">
        <x:v>0</x:v>
      </x:c>
    </x:row>
    <x:row r="1691">
      <x:c r="A1691" s="43" t="str">
        <x:v>L2022-00038-1</x:v>
      </x:c>
      <x:c r="B1691" s="46" t="str">
        <x:v>L2022-00038-1/붙임 6. 표제사업 일반기자재 입찰 세부사양서 및 투찰양식/║┘└╙ 6. ╟Ñ┴ª╗τ╛≈ └╧╣▌▒Γ└┌└τ └╘┬√ ╝╝║╬╗τ╛τ╝¡ ╣╫ ┼⌡┬√╛τ╜─/6-1. (FORM 6) Equipment specification and Price proposal_General Equipment.xlsx</x:v>
      </x:c>
      <x:c r="C1691" s="43" t="str">
        <x:v>.xlsx</x:v>
      </x:c>
      <x:c r="D1691" s="61" t="n">
        <x:v>23178</x:v>
      </x:c>
      <x:c r="E1691" s="61" t="n">
        <x:v>72</x:v>
      </x:c>
      <x:c r="F1691" s="61" t="n">
        <x:v>0</x:v>
      </x:c>
    </x:row>
    <x:row r="1692">
      <x:c r="A1692" s="43" t="str">
        <x:v>L2022-00038-1</x:v>
      </x:c>
      <x:c r="B1692" s="46" t="str">
        <x:v>L2022-00038-1/붙임 6. 표제사업 일반기자재 입찰 세부사양서 및 투찰양식/║┘└╙ 6. ╟Ñ┴ª╗τ╛≈ └╧╣▌▒Γ└┌└τ └╘┬√ ╝╝║╬╗τ╛τ╝¡ ╣╫ ┼⌡┬√╛τ╜─/6-2. └╘┬√╛τ╜─/3-1. Bid Data Sheet_ENG.docx</x:v>
      </x:c>
      <x:c r="C1692" s="43" t="str">
        <x:v>.docx</x:v>
      </x:c>
      <x:c r="D1692" s="61" t="n">
        <x:v>20167</x:v>
      </x:c>
      <x:c r="E1692" s="61" t="n">
        <x:v>28</x:v>
      </x:c>
      <x:c r="F1692" s="61" t="n">
        <x:v>0</x:v>
      </x:c>
    </x:row>
    <x:row r="1693">
      <x:c r="A1693" s="43" t="str">
        <x:v>L2022-00038-1</x:v>
      </x:c>
      <x:c r="B1693" s="46" t="str">
        <x:v>L2022-00038-1/붙임 6. 표제사업 일반기자재 입찰 세부사양서 및 투찰양식/║┘└╙ 6. ╟Ñ┴ª╗τ╛≈ └╧╣▌▒Γ└┌└τ └╘┬√ ╝╝║╬╗τ╛τ╝¡ ╣╫ ┼⌡┬√╛τ╜─/6-2. └╘┬√╛τ╜─/3-2. Bid Evaluation Criteria.docx</x:v>
      </x:c>
      <x:c r="C1693" s="43" t="str">
        <x:v>.docx</x:v>
      </x:c>
      <x:c r="D1693" s="61" t="n">
        <x:v>21550</x:v>
      </x:c>
      <x:c r="E1693" s="61" t="n">
        <x:v>26</x:v>
      </x:c>
      <x:c r="F1693" s="61" t="n">
        <x:v>0</x:v>
      </x:c>
    </x:row>
    <x:row r="1694">
      <x:c r="A1694" s="43" t="str">
        <x:v>L2022-00038-1</x:v>
      </x:c>
      <x:c r="B1694" s="46" t="str">
        <x:v>L2022-00038-1/붙임 6. 표제사업 일반기자재 입찰 세부사양서 및 투찰양식/║┘└╙ 6. ╟Ñ┴ª╗τ╛≈ └╧╣▌▒Γ└┌└τ └╘┬√ ╝╝║╬╗τ╛τ╝¡ ╣╫ ┼⌡┬√╛τ╜─/6-2. └╘┬√╛τ╜─/3-3. Bid Forms 1-10. for General Equipment.docx</x:v>
      </x:c>
      <x:c r="C1694" s="43" t="str">
        <x:v>.docx</x:v>
      </x:c>
      <x:c r="D1694" s="61" t="n">
        <x:v>43690</x:v>
      </x:c>
      <x:c r="E1694" s="61" t="n">
        <x:v>115</x:v>
      </x:c>
      <x:c r="F1694" s="61" t="n">
        <x:v>0</x:v>
      </x:c>
    </x:row>
    <x:row r="1695">
      <x:c r="A1695" s="43" t="str">
        <x:v>L2022-00038-1</x:v>
      </x:c>
      <x:c r="B1695" s="46" t="str">
        <x:v>L2022-00038-1/붙임 6. 표제사업 일반기자재 입찰 세부사양서 및 투찰양식/║┘└╙ 6. ╟Ñ┴ª╗τ╛≈ └╧╣▌▒Γ└┌└τ └╘┬√ ╝╝║╬╗τ╛τ╝¡ ╣╫ ┼⌡┬√╛τ╜─/6-2. └╘┬√╛τ╜─/3-4. Form 11. Declaration of Anti_Corruption (╣▌║╬╞╨ ╝▒╛≡╝¡).docx</x:v>
      </x:c>
      <x:c r="C1695" s="43" t="str">
        <x:v>.docx</x:v>
      </x:c>
      <x:c r="D1695" s="61" t="n">
        <x:v>22689</x:v>
      </x:c>
      <x:c r="E1695" s="61" t="n">
        <x:v>39</x:v>
      </x:c>
      <x:c r="F1695" s="61" t="n">
        <x:v>0</x:v>
      </x:c>
    </x:row>
    <x:row r="1696">
      <x:c r="A1696" s="43" t="str">
        <x:v>L2022-00038-1</x:v>
      </x:c>
      <x:c r="B1696" s="46" t="str">
        <x:v>L2022-00038-1/붙임 6. 표제사업 일반기자재 입찰 세부사양서 및 투찰양식/║┘└╙ 6. ╟Ñ┴ª╗τ╛≈ └╧╣▌▒Γ└┌└τ └╘┬√ ╝╝║╬╗τ╛τ╝¡ ╣╫ ┼⌡┬√╛τ╜─/6-2. └╘┬√╛τ╜─/3-5. Form 12. Fair Contract Pledge Letter.docx</x:v>
      </x:c>
      <x:c r="C1696" s="43" t="str">
        <x:v>.docx</x:v>
      </x:c>
      <x:c r="D1696" s="61" t="n">
        <x:v>13841</x:v>
      </x:c>
      <x:c r="E1696" s="61" t="n">
        <x:v>11</x:v>
      </x:c>
      <x:c r="F1696" s="61" t="n">
        <x:v>0</x:v>
      </x:c>
    </x:row>
    <x:row r="1697">
      <x:c r="A1697" s="43" t="str">
        <x:v>L2022-00037-1</x:v>
      </x:c>
      <x:c r="B1697" s="46" t="str">
        <x:v>L2022-00037-1/입찰공고문(최종).docx</x:v>
      </x:c>
      <x:c r="C1697" s="43" t="str">
        <x:v>.docx</x:v>
      </x:c>
      <x:c r="D1697" s="61" t="n">
        <x:v>48078</x:v>
      </x:c>
      <x:c r="E1697" s="61" t="n">
        <x:v>69</x:v>
      </x:c>
      <x:c r="F1697" s="61" t="n">
        <x:v>2</x:v>
      </x:c>
    </x:row>
    <x:row r="1698">
      <x:c r="A1698" s="43" t="str">
        <x:v>L2022-00034-1</x:v>
      </x:c>
      <x:c r="B1698" s="46" t="str">
        <x:v>L2022-00034-1/1. 영양교육센터 시공업체 선정 국문 입찰계획안.hwp</x:v>
      </x:c>
      <x:c r="C1698" s="43" t="str">
        <x:v>.hwp</x:v>
      </x:c>
      <x:c r="D1698" s="61" t="n">
        <x:v>156672</x:v>
      </x:c>
      <x:c r="E1698" s="61" t="n">
        <x:v>540</x:v>
      </x:c>
      <x:c r="F1698" s="61" t="n">
        <x:v>5</x:v>
      </x:c>
    </x:row>
    <x:row r="1699">
      <x:c r="A1699" s="43" t="str">
        <x:v>L2022-00034-1</x:v>
      </x:c>
      <x:c r="B1699" s="46" t="str">
        <x:v>L2022-00034-1/2. 영양교육센터 설립사업 입찰관련 서류.zip</x:v>
      </x:c>
      <x:c r="C1699" s="43" t="str">
        <x:v>.zip</x:v>
      </x:c>
      <x:c r="D1699" s="61" t="n">
        <x:v>88329373</x:v>
      </x:c>
      <x:c r="E1699" s="61" t="n">
        <x:v>0</x:v>
      </x:c>
      <x:c r="F1699" s="61" t="n">
        <x:v>0</x:v>
      </x:c>
    </x:row>
    <x:row r="1700">
      <x:c r="A1700" s="43" t="str">
        <x:v>L2022-00034-1</x:v>
      </x:c>
      <x:c r="B1700" s="46" t="str">
        <x:v>L2022-00034-1/2. 영양교육센터 설립사업 입찰관련 서류/Attachment 1-1. Affidavit of Non-Litigation.docx</x:v>
      </x:c>
      <x:c r="C1700" s="43" t="str">
        <x:v>.docx</x:v>
      </x:c>
      <x:c r="D1700" s="61" t="n">
        <x:v>17341</x:v>
      </x:c>
      <x:c r="E1700" s="61" t="n">
        <x:v>11</x:v>
      </x:c>
      <x:c r="F1700" s="61" t="n">
        <x:v>0</x:v>
      </x:c>
    </x:row>
    <x:row r="1701">
      <x:c r="A1701" s="43" t="str">
        <x:v>L2022-00034-1</x:v>
      </x:c>
      <x:c r="B1701" s="46" t="str">
        <x:v>L2022-00034-1/2. 영양교육센터 설립사업 입찰관련 서류/Attachment 1-2. Checklist of PQ Documents.xlsx</x:v>
      </x:c>
      <x:c r="C1701" s="43" t="str">
        <x:v>.xlsx</x:v>
      </x:c>
      <x:c r="D1701" s="61" t="n">
        <x:v>13688</x:v>
      </x:c>
      <x:c r="E1701" s="61" t="n">
        <x:v>14</x:v>
      </x:c>
      <x:c r="F1701" s="61" t="n">
        <x:v>0</x:v>
      </x:c>
    </x:row>
    <x:row r="1702">
      <x:c r="A1702" s="43" t="str">
        <x:v>L2022-00034-1</x:v>
      </x:c>
      <x:c r="B1702" s="46" t="str">
        <x:v>L2022-00034-1/2. 영양교육센터 설립사업 입찰관련 서류/Attachment 1. Pre-Qualification Application Form.docx</x:v>
      </x:c>
      <x:c r="C1702" s="43" t="str">
        <x:v>.docx</x:v>
      </x:c>
      <x:c r="D1702" s="61" t="n">
        <x:v>36885</x:v>
      </x:c>
      <x:c r="E1702" s="61" t="n">
        <x:v>39</x:v>
      </x:c>
      <x:c r="F1702" s="61" t="n">
        <x:v>0</x:v>
      </x:c>
    </x:row>
    <x:row r="1703">
      <x:c r="A1703" s="43" t="str">
        <x:v>L2022-00034-1</x:v>
      </x:c>
      <x:c r="B1703" s="46" t="str">
        <x:v>L2022-00034-1/2. 영양교육센터 설립사업 입찰관련 서류/Attachment 2. Letter of Undertaking.docx</x:v>
      </x:c>
      <x:c r="C1703" s="43" t="str">
        <x:v>.docx</x:v>
      </x:c>
      <x:c r="D1703" s="61" t="n">
        <x:v>25388</x:v>
      </x:c>
      <x:c r="E1703" s="61" t="n">
        <x:v>11</x:v>
      </x:c>
      <x:c r="F1703" s="61" t="n">
        <x:v>0</x:v>
      </x:c>
    </x:row>
    <x:row r="1704">
      <x:c r="A1704" s="43" t="str">
        <x:v>L2022-00034-1</x:v>
      </x:c>
      <x:c r="B1704" s="46" t="str">
        <x:v>L2022-00034-1/2. 영양교육센터 설립사업 입찰관련 서류/Attachment 3. Form of Bid.docx</x:v>
      </x:c>
      <x:c r="C1704" s="43" t="str">
        <x:v>.docx</x:v>
      </x:c>
      <x:c r="D1704" s="61" t="n">
        <x:v>22374</x:v>
      </x:c>
      <x:c r="E1704" s="61" t="n">
        <x:v>19</x:v>
      </x:c>
      <x:c r="F1704" s="61" t="n">
        <x:v>0</x:v>
      </x:c>
    </x:row>
    <x:row r="1705">
      <x:c r="A1705" s="43" t="str">
        <x:v>L2022-00034-1</x:v>
      </x:c>
      <x:c r="B1705" s="46" t="str">
        <x:v>L2022-00034-1/2. 영양교육센터 설립사업 입찰관련 서류/Attachment 4. Form of Capability Evaluation.docx</x:v>
      </x:c>
      <x:c r="C1705" s="43" t="str">
        <x:v>.docx</x:v>
      </x:c>
      <x:c r="D1705" s="61" t="n">
        <x:v>31662</x:v>
      </x:c>
      <x:c r="E1705" s="61" t="n">
        <x:v>50</x:v>
      </x:c>
      <x:c r="F1705" s="61" t="n">
        <x:v>0</x:v>
      </x:c>
    </x:row>
    <x:row r="1706">
      <x:c r="A1706" s="43" t="str">
        <x:v>L2022-00034-1</x:v>
      </x:c>
      <x:c r="B1706" s="46" t="str">
        <x:v>L2022-00034-1/2. 영양교육센터 설립사업 입찰관련 서류/Attachment 5. Security Forms.docx</x:v>
      </x:c>
      <x:c r="C1706" s="43" t="str">
        <x:v>.docx</x:v>
      </x:c>
      <x:c r="D1706" s="61" t="n">
        <x:v>31978</x:v>
      </x:c>
      <x:c r="E1706" s="61" t="n">
        <x:v>90</x:v>
      </x:c>
      <x:c r="F1706" s="61" t="n">
        <x:v>0</x:v>
      </x:c>
    </x:row>
    <x:row r="1707">
      <x:c r="A1707" s="43" t="str">
        <x:v>L2022-00034-1</x:v>
      </x:c>
      <x:c r="B1707" s="46" t="str">
        <x:v>L2022-00034-1/2. 영양교육센터 설립사업 입찰관련 서류/Attachment 6. Checklist of Bid Documents.xlsx</x:v>
      </x:c>
      <x:c r="C1707" s="43" t="str">
        <x:v>.xlsx</x:v>
      </x:c>
      <x:c r="D1707" s="61" t="n">
        <x:v>14447</x:v>
      </x:c>
      <x:c r="E1707" s="61" t="n">
        <x:v>15</x:v>
      </x:c>
      <x:c r="F1707" s="61" t="n">
        <x:v>0</x:v>
      </x:c>
    </x:row>
    <x:row r="1708">
      <x:c r="A1708" s="43" t="str">
        <x:v>L2022-00034-1</x:v>
      </x:c>
      <x:c r="B1708" s="46" t="str">
        <x:v>L2022-00034-1/2. 영양교육센터 설립사업 입찰관련 서류/Chapter 1. Invitation for Pre-Qualification.docx</x:v>
      </x:c>
      <x:c r="C1708" s="43" t="str">
        <x:v>.docx</x:v>
      </x:c>
      <x:c r="D1708" s="61" t="n">
        <x:v>29395</x:v>
      </x:c>
      <x:c r="E1708" s="61" t="n">
        <x:v>63</x:v>
      </x:c>
      <x:c r="F1708" s="61" t="n">
        <x:v>4</x:v>
      </x:c>
    </x:row>
    <x:row r="1709">
      <x:c r="A1709" s="43" t="str">
        <x:v>L2022-00034-1</x:v>
      </x:c>
      <x:c r="B1709" s="46" t="str">
        <x:v>L2022-00034-1/2. 영양교육센터 설립사업 입찰관련 서류/Chapter 10. Integrity Pledge.docx</x:v>
      </x:c>
      <x:c r="C1709" s="43" t="str">
        <x:v>.docx</x:v>
      </x:c>
      <x:c r="D1709" s="61" t="n">
        <x:v>35509</x:v>
      </x:c>
      <x:c r="E1709" s="61" t="n">
        <x:v>16</x:v>
      </x:c>
      <x:c r="F1709" s="61" t="n">
        <x:v>0</x:v>
      </x:c>
    </x:row>
    <x:row r="1710">
      <x:c r="A1710" s="43" t="str">
        <x:v>L2022-00034-1</x:v>
      </x:c>
      <x:c r="B1710" s="46" t="str">
        <x:v>L2022-00034-1/2. 영양교육센터 설립사업 입찰관련 서류/Chapter 11. KOICA bidding Regulation.zip</x:v>
      </x:c>
      <x:c r="C1710" s="43" t="str">
        <x:v>.zip</x:v>
      </x:c>
      <x:c r="D1710" s="61" t="n">
        <x:v>2017505</x:v>
      </x:c>
      <x:c r="E1710" s="61" t="n">
        <x:v>0</x:v>
      </x:c>
      <x:c r="F1710" s="61" t="n">
        <x:v>0</x:v>
      </x:c>
    </x:row>
    <x:row r="1711">
      <x:c r="A1711" s="43" t="str">
        <x:v>L2022-00034-1</x:v>
      </x:c>
      <x:c r="B1711" s="46" t="str">
        <x:v>L2022-00034-1/2. 영양교육센터 설립사업 입찰관련 서류/Chapter 12. Affidavit of Non-sanction on the bidding and the contract.docx</x:v>
      </x:c>
      <x:c r="C1711" s="43" t="str">
        <x:v>.docx</x:v>
      </x:c>
      <x:c r="D1711" s="61" t="n">
        <x:v>18570</x:v>
      </x:c>
      <x:c r="E1711" s="61" t="n">
        <x:v>12</x:v>
      </x:c>
      <x:c r="F1711" s="61" t="n">
        <x:v>0</x:v>
      </x:c>
    </x:row>
    <x:row r="1712">
      <x:c r="A1712" s="43" t="str">
        <x:v>L2022-00034-1</x:v>
      </x:c>
      <x:c r="B1712" s="46" t="str">
        <x:v>L2022-00034-1/2. 영양교육센터 설립사업 입찰관련 서류/Chapter 2. BID BOQs.xlsx</x:v>
      </x:c>
      <x:c r="C1712" s="43" t="str">
        <x:v>.xlsx</x:v>
      </x:c>
      <x:c r="D1712" s="61" t="n">
        <x:v>144458</x:v>
      </x:c>
      <x:c r="E1712" s="61" t="n">
        <x:v>1380</x:v>
      </x:c>
      <x:c r="F1712" s="61" t="n">
        <x:v>2</x:v>
      </x:c>
    </x:row>
    <x:row r="1713">
      <x:c r="A1713" s="43" t="str">
        <x:v>L2022-00034-1</x:v>
      </x:c>
      <x:c r="B1713" s="46" t="str">
        <x:v>L2022-00034-1/2. 영양교육센터 설립사업 입찰관련 서류/Chapter 3. Instructions on International Bidding.docx</x:v>
      </x:c>
      <x:c r="C1713" s="43" t="str">
        <x:v>.docx</x:v>
      </x:c>
      <x:c r="D1713" s="61" t="n">
        <x:v>47442</x:v>
      </x:c>
      <x:c r="E1713" s="61" t="n">
        <x:v>203</x:v>
      </x:c>
      <x:c r="F1713" s="61" t="n">
        <x:v>0</x:v>
      </x:c>
    </x:row>
    <x:row r="1714">
      <x:c r="A1714" s="43" t="str">
        <x:v>L2022-00034-1</x:v>
      </x:c>
      <x:c r="B1714" s="46" t="str">
        <x:v>L2022-00034-1/2. 영양교육센터 설립사업 입찰관련 서류/Chapter 4. Contract Form.docx</x:v>
      </x:c>
      <x:c r="C1714" s="43" t="str">
        <x:v>.docx</x:v>
      </x:c>
      <x:c r="D1714" s="61" t="n">
        <x:v>21904</x:v>
      </x:c>
      <x:c r="E1714" s="61" t="n">
        <x:v>31</x:v>
      </x:c>
      <x:c r="F1714" s="61" t="n">
        <x:v>0</x:v>
      </x:c>
    </x:row>
    <x:row r="1715">
      <x:c r="A1715" s="43" t="str">
        <x:v>L2022-00034-1</x:v>
      </x:c>
      <x:c r="B1715" s="46" t="str">
        <x:v>L2022-00034-1/2. 영양교육센터 설립사업 입찰관련 서류/Chapter 5. Conditions of Contract (GCC, SCC).docx</x:v>
      </x:c>
      <x:c r="C1715" s="43" t="str">
        <x:v>.docx</x:v>
      </x:c>
      <x:c r="D1715" s="61" t="n">
        <x:v>237526</x:v>
      </x:c>
      <x:c r="E1715" s="61" t="n">
        <x:v>1723</x:v>
      </x:c>
      <x:c r="F1715" s="61" t="n">
        <x:v>3</x:v>
      </x:c>
    </x:row>
    <x:row r="1716">
      <x:c r="A1716" s="43" t="str">
        <x:v>L2022-00034-1</x:v>
      </x:c>
      <x:c r="B1716" s="46" t="str">
        <x:v>L2022-00034-1/2. 영양교육센터 설립사업 입찰관련 서류/Chapter 6-1. Drawings.zip</x:v>
      </x:c>
      <x:c r="C1716" s="43" t="str">
        <x:v>.zip</x:v>
      </x:c>
      <x:c r="D1716" s="61" t="n">
        <x:v>81906711</x:v>
      </x:c>
      <x:c r="E1716" s="61" t="n">
        <x:v>0</x:v>
      </x:c>
      <x:c r="F1716" s="61" t="n">
        <x:v>0</x:v>
      </x:c>
    </x:row>
    <x:row r="1717">
      <x:c r="A1717" s="43" t="str">
        <x:v>L2022-00034-1</x:v>
      </x:c>
      <x:c r="B1717" s="46" t="str">
        <x:v>L2022-00034-1/2. 영양교육센터 설립사업 입찰관련 서류/Chapter 6-2. Specifications.zip</x:v>
      </x:c>
      <x:c r="C1717" s="43" t="str">
        <x:v>.zip</x:v>
      </x:c>
      <x:c r="D1717" s="61" t="n">
        <x:v>3033054</x:v>
      </x:c>
      <x:c r="E1717" s="61" t="n">
        <x:v>0</x:v>
      </x:c>
      <x:c r="F1717" s="61" t="n">
        <x:v>0</x:v>
      </x:c>
    </x:row>
    <x:row r="1718">
      <x:c r="A1718" s="43" t="str">
        <x:v>L2022-00034-1</x:v>
      </x:c>
      <x:c r="B1718" s="46" t="str">
        <x:v>L2022-00034-1/2. 영양교육센터 설립사업 입찰관련 서류/Chapter 7. Action Pledge to Integrate Human Rights into Business Management.docx</x:v>
      </x:c>
      <x:c r="C1718" s="43" t="str">
        <x:v>.docx</x:v>
      </x:c>
      <x:c r="D1718" s="61" t="n">
        <x:v>15783</x:v>
      </x:c>
      <x:c r="E1718" s="61" t="n">
        <x:v>15</x:v>
      </x:c>
      <x:c r="F1718" s="61" t="n">
        <x:v>0</x:v>
      </x:c>
    </x:row>
    <x:row r="1719">
      <x:c r="A1719" s="43" t="str">
        <x:v>L2022-00034-1</x:v>
      </x:c>
      <x:c r="B1719" s="46" t="str">
        <x:v>L2022-00034-1/2. 영양교육센터 설립사업 입찰관련 서류/Chapter 8. Safety Management Manual(ENG).pdf</x:v>
      </x:c>
      <x:c r="C1719" s="43" t="str">
        <x:v>.pdf</x:v>
      </x:c>
      <x:c r="D1719" s="61" t="n">
        <x:v>378337</x:v>
      </x:c>
      <x:c r="E1719" s="61" t="n">
        <x:v>37</x:v>
      </x:c>
      <x:c r="F1719" s="61" t="n">
        <x:v>4</x:v>
      </x:c>
    </x:row>
    <x:row r="1720">
      <x:c r="A1720" s="43" t="str">
        <x:v>L2022-00034-1</x:v>
      </x:c>
      <x:c r="B1720" s="46" t="str">
        <x:v>L2022-00034-1/2. 영양교육센터 설립사업 입찰관련 서류/Chapter 9. Declaration of Anti_Corruption.docx</x:v>
      </x:c>
      <x:c r="C1720" s="43" t="str">
        <x:v>.docx</x:v>
      </x:c>
      <x:c r="D1720" s="61" t="n">
        <x:v>22643</x:v>
      </x:c>
      <x:c r="E1720" s="61" t="n">
        <x:v>39</x:v>
      </x:c>
      <x:c r="F1720" s="61" t="n">
        <x:v>0</x:v>
      </x:c>
    </x:row>
    <x:row r="1721">
      <x:c r="A1721" s="43" t="str">
        <x:v>L2022-00034-1</x:v>
      </x:c>
      <x:c r="B1721" s="46" t="str">
        <x:v>L2022-00034-1/2. 영양교육센터 설립사업 입찰관련 서류/영문 RFP (Request for Proposal).docx</x:v>
      </x:c>
      <x:c r="C1721" s="43" t="str">
        <x:v>.docx</x:v>
      </x:c>
      <x:c r="D1721" s="61" t="n">
        <x:v>375145</x:v>
      </x:c>
      <x:c r="E1721" s="61" t="n">
        <x:v>33</x:v>
      </x:c>
      <x:c r="F1721" s="61" t="n">
        <x:v>2</x:v>
      </x:c>
    </x:row>
    <x:row r="1722">
      <x:c r="A1722" s="43" t="str">
        <x:v>L2022-00034-1</x:v>
      </x:c>
      <x:c r="B1722" s="46" t="str">
        <x:v>L2022-00034-1/3. 뉴스 및 홈페이지 공고문.jpeg</x:v>
      </x:c>
      <x:c r="C1722" s="43" t="str">
        <x:v>.jpeg</x:v>
      </x:c>
      <x:c r="D1722" s="61" t="n">
        <x:v>473058</x:v>
      </x:c>
      <x:c r="E1722" s="61" t="n">
        <x:v>0</x:v>
      </x:c>
      <x:c r="F1722" s="61" t="n">
        <x:v>0</x:v>
      </x:c>
    </x:row>
    <x:row r="1723">
      <x:c r="A1723" s="43" t="str">
        <x:v>L2022-00033-1</x:v>
      </x:c>
      <x:c r="B1723" s="46" t="str">
        <x:v>L2022-00033-1/입찰공고문.pdf</x:v>
      </x:c>
      <x:c r="C1723" s="43" t="str">
        <x:v>.pdf</x:v>
      </x:c>
      <x:c r="D1723" s="61" t="n">
        <x:v>3745563</x:v>
      </x:c>
      <x:c r="E1723" s="61" t="n">
        <x:v>0</x:v>
      </x:c>
      <x:c r="F1723" s="61" t="n">
        <x:v>0</x:v>
      </x:c>
    </x:row>
    <x:row r="1724">
      <x:c r="A1724" s="43" t="str">
        <x:v>L2022-00032-1</x:v>
      </x:c>
      <x:c r="B1724" s="46" t="str">
        <x:v>L2022-00032-1/(붙임1) 입찰공고문(영문).docx</x:v>
      </x:c>
      <x:c r="C1724" s="43" t="str">
        <x:v>.docx</x:v>
      </x:c>
      <x:c r="D1724" s="61" t="n">
        <x:v>35509</x:v>
      </x:c>
      <x:c r="E1724" s="61" t="n">
        <x:v>28</x:v>
      </x:c>
      <x:c r="F1724" s="61" t="n">
        <x:v>0</x:v>
      </x:c>
    </x:row>
    <x:row r="1725">
      <x:c r="A1725" s="43" t="str">
        <x:v>L2022-00032-1</x:v>
      </x:c>
      <x:c r="B1725" s="46" t="str">
        <x:v>L2022-00032-1/(붙임2) 입찰안내서(영문)_최종.zip</x:v>
      </x:c>
      <x:c r="C1725" s="43" t="str">
        <x:v>.zip</x:v>
      </x:c>
      <x:c r="D1725" s="61" t="n">
        <x:v>575596</x:v>
      </x:c>
      <x:c r="E1725" s="61" t="n">
        <x:v>0</x:v>
      </x:c>
      <x:c r="F1725" s="61" t="n">
        <x:v>0</x:v>
      </x:c>
    </x:row>
    <x:row r="1726">
      <x:c r="A1726" s="43" t="str">
        <x:v>L2022-00032-1</x:v>
      </x:c>
      <x:c r="B1726" s="46" t="str">
        <x:v>L2022-00032-1/(붙임2) 입찰안내서(영문)_최종/Section I_Bidding Guideline for Procurement of Contractor.docx</x:v>
      </x:c>
      <x:c r="C1726" s="43" t="str">
        <x:v>.docx</x:v>
      </x:c>
      <x:c r="D1726" s="61" t="n">
        <x:v>311333</x:v>
      </x:c>
      <x:c r="E1726" s="61" t="n">
        <x:v>222</x:v>
      </x:c>
      <x:c r="F1726" s="61" t="n">
        <x:v>13</x:v>
      </x:c>
    </x:row>
    <x:row r="1727">
      <x:c r="A1727" s="43" t="str">
        <x:v>L2022-00032-1</x:v>
      </x:c>
      <x:c r="B1727" s="46" t="str">
        <x:v>L2022-00032-1/(붙임2) 입찰안내서(영문)_최종/Section II_Instructions on International Bidding for Construction Work.docx</x:v>
      </x:c>
      <x:c r="C1727" s="43" t="str">
        <x:v>.docx</x:v>
      </x:c>
      <x:c r="D1727" s="61" t="n">
        <x:v>50119</x:v>
      </x:c>
      <x:c r="E1727" s="61" t="n">
        <x:v>167</x:v>
      </x:c>
      <x:c r="F1727" s="61" t="n">
        <x:v>0</x:v>
      </x:c>
    </x:row>
    <x:row r="1728">
      <x:c r="A1728" s="43" t="str">
        <x:v>L2022-00032-1</x:v>
      </x:c>
      <x:c r="B1728" s="46" t="str">
        <x:v>L2022-00032-1/(붙임2) 입찰안내서(영문)_최종/Section III_Bidding Forms.docx</x:v>
      </x:c>
      <x:c r="C1728" s="43" t="str">
        <x:v>.docx</x:v>
      </x:c>
      <x:c r="D1728" s="61" t="n">
        <x:v>58631</x:v>
      </x:c>
      <x:c r="E1728" s="61" t="n">
        <x:v>237</x:v>
      </x:c>
      <x:c r="F1728" s="61" t="n">
        <x:v>0</x:v>
      </x:c>
    </x:row>
    <x:row r="1729">
      <x:c r="A1729" s="43" t="str">
        <x:v>L2022-00032-1</x:v>
      </x:c>
      <x:c r="B1729" s="46" t="str">
        <x:v>L2022-00032-1/(붙임2) 입찰안내서(영문)_최종/Section IV_Scope of Works.docx</x:v>
      </x:c>
      <x:c r="C1729" s="43" t="str">
        <x:v>.docx</x:v>
      </x:c>
      <x:c r="D1729" s="61" t="n">
        <x:v>41670</x:v>
      </x:c>
      <x:c r="E1729" s="61" t="n">
        <x:v>204</x:v>
      </x:c>
      <x:c r="F1729" s="61" t="n">
        <x:v>2</x:v>
      </x:c>
    </x:row>
    <x:row r="1730">
      <x:c r="A1730" s="43" t="str">
        <x:v>L2022-00032-1</x:v>
      </x:c>
      <x:c r="B1730" s="46" t="str">
        <x:v>L2022-00032-1/(붙임2) 입찰안내서(영문)_최종/Section V_Standard Forms of Contract.docx</x:v>
      </x:c>
      <x:c r="C1730" s="43" t="str">
        <x:v>.docx</x:v>
      </x:c>
      <x:c r="D1730" s="61" t="n">
        <x:v>148528</x:v>
      </x:c>
      <x:c r="E1730" s="61" t="n">
        <x:v>1715</x:v>
      </x:c>
      <x:c r="F1730" s="61" t="n">
        <x:v>4</x:v>
      </x:c>
    </x:row>
    <x:row r="1731">
      <x:c r="A1731" s="43" t="str">
        <x:v>L2022-00032-1</x:v>
      </x:c>
      <x:c r="B1731" s="46" t="str">
        <x:v>L2022-00032-1/(붙임3) 설계 및 규정참고자료(영문).zip</x:v>
      </x:c>
      <x:c r="C1731" s="43" t="str">
        <x:v>.zip</x:v>
      </x:c>
      <x:c r="D1731" s="61" t="n">
        <x:v>10517011</x:v>
      </x:c>
      <x:c r="E1731" s="61" t="n">
        <x:v>0</x:v>
      </x:c>
      <x:c r="F1731" s="61" t="n">
        <x:v>0</x:v>
      </x:c>
    </x:row>
    <x:row r="1732">
      <x:c r="A1732" s="43" t="str">
        <x:v>L2022-00032-1</x:v>
      </x:c>
      <x:c r="B1732" s="46" t="str">
        <x:v>L2022-00032-1/(붙임3) 설계 및 규정참고자료(영문)/Attachment (Design Documents) 2. FULL SPECIFICATIONS.zip</x:v>
      </x:c>
      <x:c r="C1732" s="43" t="str">
        <x:v>.zip</x:v>
      </x:c>
      <x:c r="D1732" s="61" t="n">
        <x:v>7722076</x:v>
      </x:c>
      <x:c r="E1732" s="61" t="n">
        <x:v>0</x:v>
      </x:c>
      <x:c r="F1732" s="61" t="n">
        <x:v>0</x:v>
      </x:c>
    </x:row>
    <x:row r="1733">
      <x:c r="A1733" s="43" t="str">
        <x:v>L2022-00032-1</x:v>
      </x:c>
      <x:c r="B1733" s="46" t="str">
        <x:v>L2022-00032-1/(붙임3) 설계 및 규정참고자료(영문)/Attachment (Design Documents) 3. BOQ (blanked).zip</x:v>
      </x:c>
      <x:c r="C1733" s="43" t="str">
        <x:v>.zip</x:v>
      </x:c>
      <x:c r="D1733" s="61" t="n">
        <x:v>478458</x:v>
      </x:c>
      <x:c r="E1733" s="61" t="n">
        <x:v>0</x:v>
      </x:c>
      <x:c r="F1733" s="61" t="n">
        <x:v>0</x:v>
      </x:c>
    </x:row>
    <x:row r="1734">
      <x:c r="A1734" s="43" t="str">
        <x:v>L2022-00032-1</x:v>
      </x:c>
      <x:c r="B1734" s="46" t="str">
        <x:v>L2022-00032-1/(붙임3) 설계 및 규정참고자료(영문)/Attachment (Related Regulations).zip</x:v>
      </x:c>
      <x:c r="C1734" s="43" t="str">
        <x:v>.zip</x:v>
      </x:c>
      <x:c r="D1734" s="61" t="n">
        <x:v>2355210</x:v>
      </x:c>
      <x:c r="E1734" s="61" t="n">
        <x:v>0</x:v>
      </x:c>
      <x:c r="F1734" s="61" t="n">
        <x:v>0</x:v>
      </x:c>
    </x:row>
    <x:row r="1735">
      <x:c r="A1735" s="43" t="str">
        <x:v>L2022-00032-1</x:v>
      </x:c>
      <x:c r="B1735" s="46" t="str">
        <x:v>L2022-00032-1/(붙임4) 도미니카공화국 성보건센터 시공 입찰계획서.hwp</x:v>
      </x:c>
      <x:c r="C1735" s="43" t="str">
        <x:v>.hwp</x:v>
      </x:c>
      <x:c r="D1735" s="61" t="n">
        <x:v>158208</x:v>
      </x:c>
      <x:c r="E1735" s="61" t="n">
        <x:v>450</x:v>
      </x:c>
      <x:c r="F1735" s="61" t="n">
        <x:v>5</x:v>
      </x:c>
    </x:row>
    <x:row r="1736">
      <x:c r="A1736" s="43" t="str">
        <x:v>L2022-00031-1</x:v>
      </x:c>
      <x:c r="B1736" s="46" t="str">
        <x:v>L2022-00031-1/붙임 1. 설계업체 선정 국제입찰 추진계획서 (220628).hwp</x:v>
      </x:c>
      <x:c r="C1736" s="43" t="str">
        <x:v>.hwp</x:v>
      </x:c>
      <x:c r="D1736" s="61" t="n">
        <x:v>1628160</x:v>
      </x:c>
      <x:c r="E1736" s="61" t="n">
        <x:v>609</x:v>
      </x:c>
      <x:c r="F1736" s="61" t="n">
        <x:v>3</x:v>
      </x:c>
    </x:row>
    <x:row r="1737">
      <x:c r="A1737" s="43" t="str">
        <x:v>L2022-00031-1</x:v>
      </x:c>
      <x:c r="B1737" s="46" t="str">
        <x:v>L2022-00031-1/붙임 2 입찰 관련 문서 (220628).zip</x:v>
      </x:c>
      <x:c r="C1737" s="43" t="str">
        <x:v>.zip</x:v>
      </x:c>
      <x:c r="D1737" s="61" t="n">
        <x:v>20130865</x:v>
      </x:c>
      <x:c r="E1737" s="61" t="n">
        <x:v>0</x:v>
      </x:c>
      <x:c r="F1737" s="61" t="n">
        <x:v>0</x:v>
      </x:c>
    </x:row>
    <x:row r="1738">
      <x:c r="A1738" s="43" t="str">
        <x:v>L2022-00031-1</x:v>
      </x:c>
      <x:c r="B1738" s="46" t="str">
        <x:v>L2022-00031-1/붙임 2 입찰 관련 문서 (220628)/00. └╘┬√░°░φ╣«_Newspaper.docx</x:v>
      </x:c>
      <x:c r="C1738" s="43" t="str">
        <x:v>.docx</x:v>
      </x:c>
      <x:c r="D1738" s="61" t="n">
        <x:v>45478</x:v>
      </x:c>
      <x:c r="E1738" s="61" t="n">
        <x:v>1</x:v>
      </x:c>
      <x:c r="F1738" s="61" t="n">
        <x:v>1</x:v>
      </x:c>
    </x:row>
    <x:row r="1739">
      <x:c r="A1739" s="43" t="str">
        <x:v>L2022-00031-1</x:v>
      </x:c>
      <x:c r="B1739" s="46" t="str">
        <x:v>L2022-00031-1/붙임 2 입찰 관련 문서 (220628)/01. Invitation for bids.docx</x:v>
      </x:c>
      <x:c r="C1739" s="43" t="str">
        <x:v>.docx</x:v>
      </x:c>
      <x:c r="D1739" s="61" t="n">
        <x:v>58707</x:v>
      </x:c>
      <x:c r="E1739" s="61" t="n">
        <x:v>69</x:v>
      </x:c>
      <x:c r="F1739" s="61" t="n">
        <x:v>3</x:v>
      </x:c>
    </x:row>
    <x:row r="1740">
      <x:c r="A1740" s="43" t="str">
        <x:v>L2022-00031-1</x:v>
      </x:c>
      <x:c r="B1740" s="46" t="str">
        <x:v>L2022-00031-1/붙임 2 입찰 관련 문서 (220628)/02. Informaiton to Consultant(ITC) and Data Sheet.docx</x:v>
      </x:c>
      <x:c r="C1740" s="43" t="str">
        <x:v>.docx</x:v>
      </x:c>
      <x:c r="D1740" s="61" t="n">
        <x:v>94128</x:v>
      </x:c>
      <x:c r="E1740" s="61" t="n">
        <x:v>137</x:v>
      </x:c>
      <x:c r="F1740" s="61" t="n">
        <x:v>2</x:v>
      </x:c>
    </x:row>
    <x:row r="1741">
      <x:c r="A1741" s="43" t="str">
        <x:v>L2022-00031-1</x:v>
      </x:c>
      <x:c r="B1741" s="46" t="str">
        <x:v>L2022-00031-1/붙임 2 입찰 관련 문서 (220628)/03. INSTRUCTIONS ON INTERNATIONAL BIDDING FOR THE PROVISION OF SERVICES(▒╣┴ª┐δ┐¬└╘┬√└»└╟╝¡).docx</x:v>
      </x:c>
      <x:c r="C1741" s="43" t="str">
        <x:v>.docx</x:v>
      </x:c>
      <x:c r="D1741" s="61" t="n">
        <x:v>33622</x:v>
      </x:c>
      <x:c r="E1741" s="61" t="n">
        <x:v>160</x:v>
      </x:c>
      <x:c r="F1741" s="61" t="n">
        <x:v>0</x:v>
      </x:c>
    </x:row>
    <x:row r="1742">
      <x:c r="A1742" s="43" t="str">
        <x:v>L2022-00031-1</x:v>
      </x:c>
      <x:c r="B1742" s="46" t="str">
        <x:v>L2022-00031-1/붙임 2 입찰 관련 문서 (220628)/04. Expression of Interest(EOI).docx</x:v>
      </x:c>
      <x:c r="C1742" s="43" t="str">
        <x:v>.docx</x:v>
      </x:c>
      <x:c r="D1742" s="61" t="n">
        <x:v>19873</x:v>
      </x:c>
      <x:c r="E1742" s="61" t="n">
        <x:v>30</x:v>
      </x:c>
      <x:c r="F1742" s="61" t="n">
        <x:v>0</x:v>
      </x:c>
    </x:row>
    <x:row r="1743">
      <x:c r="A1743" s="43" t="str">
        <x:v>L2022-00031-1</x:v>
      </x:c>
      <x:c r="B1743" s="46" t="str">
        <x:v>L2022-00031-1/붙임 2 입찰 관련 문서 (220628)/05. Form of Financial proposal.docx</x:v>
      </x:c>
      <x:c r="C1743" s="43" t="str">
        <x:v>.docx</x:v>
      </x:c>
      <x:c r="D1743" s="61" t="n">
        <x:v>50434</x:v>
      </x:c>
      <x:c r="E1743" s="61" t="n">
        <x:v>29</x:v>
      </x:c>
      <x:c r="F1743" s="61" t="n">
        <x:v>0</x:v>
      </x:c>
    </x:row>
    <x:row r="1744">
      <x:c r="A1744" s="43" t="str">
        <x:v>L2022-00031-1</x:v>
      </x:c>
      <x:c r="B1744" s="46" t="str">
        <x:v>L2022-00031-1/붙임 2 입찰 관련 문서 (220628)/06. Form of Technical Proposal.docx</x:v>
      </x:c>
      <x:c r="C1744" s="43" t="str">
        <x:v>.docx</x:v>
      </x:c>
      <x:c r="D1744" s="61" t="n">
        <x:v>78438</x:v>
      </x:c>
      <x:c r="E1744" s="61" t="n">
        <x:v>216</x:v>
      </x:c>
      <x:c r="F1744" s="61" t="n">
        <x:v>0</x:v>
      </x:c>
    </x:row>
    <x:row r="1745">
      <x:c r="A1745" s="43" t="str">
        <x:v>L2022-00031-1</x:v>
      </x:c>
      <x:c r="B1745" s="46" t="str">
        <x:v>L2022-00031-1/붙임 2 입찰 관련 문서 (220628)/07. Contract form.docx</x:v>
      </x:c>
      <x:c r="C1745" s="43" t="str">
        <x:v>.docx</x:v>
      </x:c>
      <x:c r="D1745" s="61" t="n">
        <x:v>48470</x:v>
      </x:c>
      <x:c r="E1745" s="61" t="n">
        <x:v>42</x:v>
      </x:c>
      <x:c r="F1745" s="61" t="n">
        <x:v>0</x:v>
      </x:c>
    </x:row>
    <x:row r="1746">
      <x:c r="A1746" s="43" t="str">
        <x:v>L2022-00031-1</x:v>
      </x:c>
      <x:c r="B1746" s="46" t="str">
        <x:v>L2022-00031-1/붙임 2 입찰 관련 문서 (220628)/08. Conditions of Contract(General and Special Conditions of Contract).docx</x:v>
      </x:c>
      <x:c r="C1746" s="43" t="str">
        <x:v>.docx</x:v>
      </x:c>
      <x:c r="D1746" s="61" t="n">
        <x:v>67621</x:v>
      </x:c>
      <x:c r="E1746" s="61" t="n">
        <x:v>213</x:v>
      </x:c>
      <x:c r="F1746" s="61" t="n">
        <x:v>0</x:v>
      </x:c>
    </x:row>
    <x:row r="1747">
      <x:c r="A1747" s="43" t="str">
        <x:v>L2022-00031-1</x:v>
      </x:c>
      <x:c r="B1747" s="46" t="str">
        <x:v>L2022-00031-1/붙임 2 입찰 관련 문서 (220628)/09. Security forms.docx</x:v>
      </x:c>
      <x:c r="C1747" s="43" t="str">
        <x:v>.docx</x:v>
      </x:c>
      <x:c r="D1747" s="61" t="n">
        <x:v>30049</x:v>
      </x:c>
      <x:c r="E1747" s="61" t="n">
        <x:v>91</x:v>
      </x:c>
      <x:c r="F1747" s="61" t="n">
        <x:v>0</x:v>
      </x:c>
    </x:row>
    <x:row r="1748">
      <x:c r="A1748" s="43" t="str">
        <x:v>L2022-00031-1</x:v>
      </x:c>
      <x:c r="B1748" s="46" t="str">
        <x:v>L2022-00031-1/붙임 2 입찰 관련 문서 (220628)/10. Form of  Declaration of Anti_Corruption in ODA Business Participation(╣▌║╬╞╨╝▒╛≡╝¡).docx</x:v>
      </x:c>
      <x:c r="C1748" s="43" t="str">
        <x:v>.docx</x:v>
      </x:c>
      <x:c r="D1748" s="61" t="n">
        <x:v>19414</x:v>
      </x:c>
      <x:c r="E1748" s="61" t="n">
        <x:v>28</x:v>
      </x:c>
      <x:c r="F1748" s="61" t="n">
        <x:v>0</x:v>
      </x:c>
    </x:row>
    <x:row r="1749">
      <x:c r="A1749" s="43" t="str">
        <x:v>L2022-00031-1</x:v>
      </x:c>
      <x:c r="B1749" s="46" t="str">
        <x:v>L2022-00031-1/붙임 2 입찰 관련 문서 (220628)/11. Letter of Oath (╝¡╛α╝¡).docx</x:v>
      </x:c>
      <x:c r="C1749" s="43" t="str">
        <x:v>.docx</x:v>
      </x:c>
      <x:c r="D1749" s="61" t="n">
        <x:v>17731</x:v>
      </x:c>
      <x:c r="E1749" s="61" t="n">
        <x:v>12</x:v>
      </x:c>
      <x:c r="F1749" s="61" t="n">
        <x:v>0</x:v>
      </x:c>
    </x:row>
    <x:row r="1750">
      <x:c r="A1750" s="43" t="str">
        <x:v>L2022-00031-1</x:v>
      </x:c>
      <x:c r="B1750" s="46" t="str">
        <x:v>L2022-00031-1/붙임 2 입찰 관련 문서 (220628)/12. Integrity Pledge (├╗╖┼░Φ╛α╝¡).docx</x:v>
      </x:c>
      <x:c r="C1750" s="43" t="str">
        <x:v>.docx</x:v>
      </x:c>
      <x:c r="D1750" s="61" t="n">
        <x:v>35813</x:v>
      </x:c>
      <x:c r="E1750" s="61" t="n">
        <x:v>16</x:v>
      </x:c>
      <x:c r="F1750" s="61" t="n">
        <x:v>0</x:v>
      </x:c>
    </x:row>
    <x:row r="1751">
      <x:c r="A1751" s="43" t="str">
        <x:v>L2022-00031-1</x:v>
      </x:c>
      <x:c r="B1751" s="46" t="str">
        <x:v>L2022-00031-1/붙임 2 입찰 관련 문서 (220628)/13. KOICA Bidding Regulations.zip</x:v>
      </x:c>
      <x:c r="C1751" s="43" t="str">
        <x:v>.zip</x:v>
      </x:c>
      <x:c r="D1751" s="61" t="n">
        <x:v>1732028</x:v>
      </x:c>
      <x:c r="E1751" s="61" t="n">
        <x:v>0</x:v>
      </x:c>
      <x:c r="F1751" s="61" t="n">
        <x:v>0</x:v>
      </x:c>
    </x:row>
    <x:row r="1752">
      <x:c r="A1752" s="43" t="str">
        <x:v>L2022-00031-1</x:v>
      </x:c>
      <x:c r="B1752" s="46" t="str">
        <x:v>L2022-00031-1/붙임 2 입찰 관련 문서 (220628)/Addendum No.1 Terms of reference.docx</x:v>
      </x:c>
      <x:c r="C1752" s="43" t="str">
        <x:v>.docx</x:v>
      </x:c>
      <x:c r="D1752" s="61" t="n">
        <x:v>17849637</x:v>
      </x:c>
      <x:c r="E1752" s="61" t="n">
        <x:v>191</x:v>
      </x:c>
      <x:c r="F1752" s="61" t="n">
        <x:v>0</x:v>
      </x:c>
    </x:row>
    <x:row r="1753">
      <x:c r="A1753" s="43" t="str">
        <x:v>L2022-00031-1</x:v>
      </x:c>
      <x:c r="B1753" s="46" t="str">
        <x:v>L2022-00031-1/붙임 2 입찰 관련 문서 (220628)/Addendum No.2 Guidelines for Technical Proposal.docx</x:v>
      </x:c>
      <x:c r="C1753" s="43" t="str">
        <x:v>.docx</x:v>
      </x:c>
      <x:c r="D1753" s="61" t="n">
        <x:v>19644</x:v>
      </x:c>
      <x:c r="E1753" s="61" t="n">
        <x:v>10</x:v>
      </x:c>
      <x:c r="F1753" s="61" t="n">
        <x:v>0</x:v>
      </x:c>
    </x:row>
    <x:row r="1754">
      <x:c r="A1754" s="43" t="str">
        <x:v>L2022-00031-1</x:v>
      </x:c>
      <x:c r="B1754" s="46" t="str">
        <x:v>L2022-00031-1/입찰공고문(영문).jpeg</x:v>
      </x:c>
      <x:c r="C1754" s="43" t="str">
        <x:v>.jpeg</x:v>
      </x:c>
      <x:c r="D1754" s="61" t="n">
        <x:v>301417</x:v>
      </x:c>
      <x:c r="E1754" s="61" t="n">
        <x:v>0</x:v>
      </x:c>
      <x:c r="F1754" s="61" t="n">
        <x:v>0</x:v>
      </x:c>
    </x:row>
    <x:row r="1755">
      <x:c r="A1755" s="43" t="str">
        <x:v>L2022-00029-1</x:v>
      </x:c>
      <x:c r="B1755" s="46" t="str">
        <x:v>L2022-00029-1/1. 국문입찰계획서 (네팔사무소 조정안)_0531.hwp</x:v>
      </x:c>
      <x:c r="C1755" s="43" t="str">
        <x:v>.hwp</x:v>
      </x:c>
      <x:c r="D1755" s="61" t="n">
        <x:v>267264</x:v>
      </x:c>
      <x:c r="E1755" s="61" t="n">
        <x:v>699</x:v>
      </x:c>
      <x:c r="F1755" s="61" t="n">
        <x:v>3</x:v>
      </x:c>
    </x:row>
    <x:row r="1756">
      <x:c r="A1756" s="43" t="str">
        <x:v>L2022-00029-1</x:v>
      </x:c>
      <x:c r="B1756" s="46" t="str">
        <x:v>L2022-00029-1/2. 영문입찰계획서(네팔사무소 조정안)_0531.docx</x:v>
      </x:c>
      <x:c r="C1756" s="43" t="str">
        <x:v>.docx</x:v>
      </x:c>
      <x:c r="D1756" s="61" t="n">
        <x:v>322118</x:v>
      </x:c>
      <x:c r="E1756" s="61" t="n">
        <x:v>384</x:v>
      </x:c>
      <x:c r="F1756" s="61" t="n">
        <x:v>4</x:v>
      </x:c>
    </x:row>
    <x:row r="1757">
      <x:c r="A1757" s="43" t="str">
        <x:v>L2022-00029-1</x:v>
      </x:c>
      <x:c r="B1757" s="46" t="str">
        <x:v>L2022-00029-1/Himalayan Times.pdf</x:v>
      </x:c>
      <x:c r="C1757" s="43" t="str">
        <x:v>.pdf</x:v>
      </x:c>
      <x:c r="D1757" s="61" t="n">
        <x:v>279581</x:v>
      </x:c>
      <x:c r="E1757" s="61" t="n">
        <x:v>1</x:v>
      </x:c>
      <x:c r="F1757" s="61" t="n">
        <x:v>0</x:v>
      </x:c>
    </x:row>
    <x:row r="1758">
      <x:c r="A1758" s="43" t="str">
        <x:v>L2022-00029-1</x:v>
      </x:c>
      <x:c r="B1758" s="46" t="str">
        <x:v>L2022-00029-1/Rising Nepal.pdf</x:v>
      </x:c>
      <x:c r="C1758" s="43" t="str">
        <x:v>.pdf</x:v>
      </x:c>
      <x:c r="D1758" s="61" t="n">
        <x:v>646452</x:v>
      </x:c>
      <x:c r="E1758" s="61" t="n">
        <x:v>1</x:v>
      </x:c>
      <x:c r="F1758" s="61" t="n">
        <x:v>2</x:v>
      </x:c>
    </x:row>
    <x:row r="1759">
      <x:c r="A1759" s="43" t="str">
        <x:v>L2022-00027-1</x:v>
      </x:c>
      <x:c r="B1759" s="46" t="str">
        <x:v>L2022-00027-1/1. 입찰계획안(국문)_키토혁신센터 설계_220601.hwp</x:v>
      </x:c>
      <x:c r="C1759" s="43" t="str">
        <x:v>.hwp</x:v>
      </x:c>
      <x:c r="D1759" s="61" t="n">
        <x:v>16566784</x:v>
      </x:c>
      <x:c r="E1759" s="61" t="n">
        <x:v>509</x:v>
      </x:c>
      <x:c r="F1759" s="61" t="n">
        <x:v>3</x:v>
      </x:c>
    </x:row>
    <x:row r="1760">
      <x:c r="A1760" s="43" t="str">
        <x:v>L2022-00027-1</x:v>
      </x:c>
      <x:c r="B1760" s="46" t="str">
        <x:v>L2022-00027-1/2. 입찰서류(영문)_키토혁신센터 설계_220531.zip</x:v>
      </x:c>
      <x:c r="C1760" s="43" t="str">
        <x:v>.zip</x:v>
      </x:c>
      <x:c r="D1760" s="61" t="n">
        <x:v>16807128</x:v>
      </x:c>
      <x:c r="E1760" s="61" t="n">
        <x:v>0</x:v>
      </x:c>
      <x:c r="F1760" s="61" t="n">
        <x:v>0</x:v>
      </x:c>
    </x:row>
    <x:row r="1761">
      <x:c r="A1761" s="43" t="str">
        <x:v>L2022-00027-1</x:v>
      </x:c>
      <x:c r="B1761" s="46" t="str">
        <x:v>L2022-00027-1/2. 입찰서류(영문)_키토혁신센터 설계_220531/0. Ecuador RFP Table of Contents 20220531.docx</x:v>
      </x:c>
      <x:c r="C1761" s="43" t="str">
        <x:v>.docx</x:v>
      </x:c>
      <x:c r="D1761" s="61" t="n">
        <x:v>14855</x:v>
      </x:c>
      <x:c r="E1761" s="61" t="n">
        <x:v>23</x:v>
      </x:c>
      <x:c r="F1761" s="61" t="n">
        <x:v>0</x:v>
      </x:c>
    </x:row>
    <x:row r="1762">
      <x:c r="A1762" s="43" t="str">
        <x:v>L2022-00027-1</x:v>
      </x:c>
      <x:c r="B1762" s="46" t="str">
        <x:v>L2022-00027-1/2. 입찰서류(영문)_키토혁신센터 설계_220531/1. Ecuador Bidding Guideline 20220531.docx</x:v>
      </x:c>
      <x:c r="C1762" s="43" t="str">
        <x:v>.docx</x:v>
      </x:c>
      <x:c r="D1762" s="61" t="n">
        <x:v>10779023</x:v>
      </x:c>
      <x:c r="E1762" s="61" t="n">
        <x:v>237</x:v>
      </x:c>
      <x:c r="F1762" s="61" t="n">
        <x:v>5</x:v>
      </x:c>
    </x:row>
    <x:row r="1763">
      <x:c r="A1763" s="43" t="str">
        <x:v>L2022-00027-1</x:v>
      </x:c>
      <x:c r="B1763" s="46" t="str">
        <x:v>L2022-00027-1/2. 입찰서류(영문)_키토혁신센터 설계_220531/2. Ecuador Instructions on International Bidding 20220531.pdf</x:v>
      </x:c>
      <x:c r="C1763" s="43" t="str">
        <x:v>.pdf</x:v>
      </x:c>
      <x:c r="D1763" s="61" t="n">
        <x:v>165396</x:v>
      </x:c>
      <x:c r="E1763" s="61" t="n">
        <x:v>13</x:v>
      </x:c>
      <x:c r="F1763" s="61" t="n">
        <x:v>0</x:v>
      </x:c>
    </x:row>
    <x:row r="1764">
      <x:c r="A1764" s="43" t="str">
        <x:v>L2022-00027-1</x:v>
      </x:c>
      <x:c r="B1764" s="46" t="str">
        <x:v>L2022-00027-1/2. 입찰서류(영문)_키토혁신센터 설계_220531/3. Ecuador Bidding Forms 20220531.docx</x:v>
      </x:c>
      <x:c r="C1764" s="43" t="str">
        <x:v>.docx</x:v>
      </x:c>
      <x:c r="D1764" s="61" t="n">
        <x:v>62529</x:v>
      </x:c>
      <x:c r="E1764" s="61" t="n">
        <x:v>212</x:v>
      </x:c>
      <x:c r="F1764" s="61" t="n">
        <x:v>0</x:v>
      </x:c>
    </x:row>
    <x:row r="1765">
      <x:c r="A1765" s="43" t="str">
        <x:v>L2022-00027-1</x:v>
      </x:c>
      <x:c r="B1765" s="46" t="str">
        <x:v>L2022-00027-1/2. 입찰서류(영문)_키토혁신센터 설계_220531/4. Ecuador Terms of Reference 20220601.docx</x:v>
      </x:c>
      <x:c r="C1765" s="43" t="str">
        <x:v>.docx</x:v>
      </x:c>
      <x:c r="D1765" s="61" t="n">
        <x:v>5851219</x:v>
      </x:c>
      <x:c r="E1765" s="61" t="n">
        <x:v>315</x:v>
      </x:c>
      <x:c r="F1765" s="61" t="n">
        <x:v>3</x:v>
      </x:c>
    </x:row>
    <x:row r="1766">
      <x:c r="A1766" s="43" t="str">
        <x:v>L2022-00027-1</x:v>
      </x:c>
      <x:c r="B1766" s="46" t="str">
        <x:v>L2022-00027-1/2. 입찰서류(영문)_키토혁신센터 설계_220531/5. Ecuador Standard Forms of Contract 20220531.docx</x:v>
      </x:c>
      <x:c r="C1766" s="43" t="str">
        <x:v>.docx</x:v>
      </x:c>
      <x:c r="D1766" s="61" t="n">
        <x:v>41950</x:v>
      </x:c>
      <x:c r="E1766" s="61" t="n">
        <x:v>243</x:v>
      </x:c>
      <x:c r="F1766" s="61" t="n">
        <x:v>0</x:v>
      </x:c>
    </x:row>
    <x:row r="1767">
      <x:c r="A1767" s="43" t="str">
        <x:v>L2022-00025-1</x:v>
      </x:c>
      <x:c r="B1767" s="46" t="str">
        <x:v>L2022-00025-1/(붙임1-8) 영문입찰6-미티아나 및 음피지 건축자재 공급.doc</x:v>
      </x:c>
      <x:c r="C1767" s="43" t="str">
        <x:v>.doc</x:v>
      </x:c>
      <x:c r="D1767" s="61" t="n">
        <x:v>791552</x:v>
      </x:c>
      <x:c r="E1767" s="61" t="n">
        <x:v>304</x:v>
      </x:c>
      <x:c r="F1767" s="61" t="n">
        <x:v>3</x:v>
      </x:c>
    </x:row>
    <x:row r="1768">
      <x:c r="A1768" s="43" t="str">
        <x:v>L2022-00025-1</x:v>
      </x:c>
      <x:c r="B1768" s="46" t="str">
        <x:v>L2022-00025-1/Bid Advert (New Vision)_입찰 공고문.pdf</x:v>
      </x:c>
      <x:c r="C1768" s="43" t="str">
        <x:v>.pdf</x:v>
      </x:c>
      <x:c r="D1768" s="61" t="n">
        <x:v>903987</x:v>
      </x:c>
      <x:c r="E1768" s="61" t="n">
        <x:v>1</x:v>
      </x:c>
      <x:c r="F1768" s="61" t="n">
        <x:v>0</x:v>
      </x:c>
    </x:row>
    <x:row r="1769">
      <x:c r="A1769" s="43" t="str">
        <x:v>L2022-00019-1</x:v>
      </x:c>
      <x:c r="B1769" s="46" t="str">
        <x:v>L2022-00019-1/01. RMNCH &amp; EVAW의 시공업체 선정 입찰계획(220523).hwp</x:v>
      </x:c>
      <x:c r="C1769" s="43" t="str">
        <x:v>.hwp</x:v>
      </x:c>
      <x:c r="D1769" s="61" t="n">
        <x:v>68608</x:v>
      </x:c>
      <x:c r="E1769" s="61" t="n">
        <x:v>658</x:v>
      </x:c>
      <x:c r="F1769" s="61" t="n">
        <x:v>2</x:v>
      </x:c>
    </x:row>
    <x:row r="1770">
      <x:c r="A1770" s="43" t="str">
        <x:v>L2022-00019-1</x:v>
      </x:c>
      <x:c r="B1770" s="46" t="str">
        <x:v>L2022-00019-1/02. Notice of Tender For New Construction Project(As of May 20 2022).docx</x:v>
      </x:c>
      <x:c r="C1770" s="43" t="str">
        <x:v>.docx</x:v>
      </x:c>
      <x:c r="D1770" s="61" t="n">
        <x:v>29053</x:v>
      </x:c>
      <x:c r="E1770" s="61" t="n">
        <x:v>69</x:v>
      </x:c>
      <x:c r="F1770" s="61" t="n">
        <x:v>3</x:v>
      </x:c>
    </x:row>
    <x:row r="1771">
      <x:c r="A1771" s="43" t="str">
        <x:v>L2022-00019-1</x:v>
      </x:c>
      <x:c r="B1771" s="46" t="str">
        <x:v>L2022-00019-1/03. RFP for RMNCH Project &amp; EVAW Project-Final of Final(As of May 20 2022).docx</x:v>
      </x:c>
      <x:c r="C1771" s="43" t="str">
        <x:v>.docx</x:v>
      </x:c>
      <x:c r="D1771" s="61" t="n">
        <x:v>6768250</x:v>
      </x:c>
      <x:c r="E1771" s="61" t="n">
        <x:v>154</x:v>
      </x:c>
      <x:c r="F1771" s="61" t="n">
        <x:v>1</x:v>
      </x:c>
    </x:row>
    <x:row r="1772">
      <x:c r="A1772" s="43" t="str">
        <x:v>L2022-00019-1</x:v>
      </x:c>
      <x:c r="B1772" s="46" t="str">
        <x:v>L2022-00019-1/04. Appendix-3 . Contract Agreement, GCC&amp; SCC-Final of Final(As of May 20 2022).docx</x:v>
      </x:c>
      <x:c r="C1772" s="43" t="str">
        <x:v>.docx</x:v>
      </x:c>
      <x:c r="D1772" s="61" t="n">
        <x:v>260592</x:v>
      </x:c>
      <x:c r="E1772" s="61" t="n">
        <x:v>1810</x:v>
      </x:c>
      <x:c r="F1772" s="61" t="n">
        <x:v>2</x:v>
      </x:c>
    </x:row>
    <x:row r="1773">
      <x:c r="A1773" s="43" t="str">
        <x:v>L2022-00019-1</x:v>
      </x:c>
      <x:c r="B1773" s="46" t="str">
        <x:v>L2022-00019-1/05. Bidding Documents (220523).docx</x:v>
      </x:c>
      <x:c r="C1773" s="43" t="str">
        <x:v>.docx</x:v>
      </x:c>
      <x:c r="D1773" s="61" t="n">
        <x:v>142774</x:v>
      </x:c>
      <x:c r="E1773" s="61" t="n">
        <x:v>685</x:v>
      </x:c>
      <x:c r="F1773" s="61" t="n">
        <x:v>9</x:v>
      </x:c>
    </x:row>
    <x:row r="1774">
      <x:c r="A1774" s="43" t="str">
        <x:v>L2022-00015-1</x:v>
      </x:c>
      <x:c r="B1774" s="46" t="str">
        <x:v>L2022-00015-1/01 필리핀 농기계 현대화 사업 센터 신축 ITB Rev02_20220513_edited.doc</x:v>
      </x:c>
      <x:c r="C1774" s="43" t="str">
        <x:v>.doc</x:v>
      </x:c>
      <x:c r="D1774" s="61" t="n">
        <x:v>116736</x:v>
      </x:c>
      <x:c r="E1774" s="61" t="n">
        <x:v>6</x:v>
      </x:c>
      <x:c r="F1774" s="61" t="n">
        <x:v>5</x:v>
      </x:c>
    </x:row>
    <x:row r="1775">
      <x:c r="A1775" s="43" t="str">
        <x:v>L2022-00009-1</x:v>
      </x:c>
      <x:c r="B1775" s="46" t="str">
        <x:v>L2022-00009-1/Bid Announcement_KOICA-UPLB Project.docx</x:v>
      </x:c>
      <x:c r="C1775" s="43" t="str">
        <x:v>.docx</x:v>
      </x:c>
      <x:c r="D1775" s="61" t="n">
        <x:v>25094</x:v>
      </x:c>
      <x:c r="E1775" s="61" t="n">
        <x:v>51</x:v>
      </x:c>
      <x:c r="F1775" s="61" t="n">
        <x:v>3</x:v>
      </x:c>
    </x:row>
    <x:row r="1776">
      <x:c r="A1776" s="43" t="str">
        <x:v>L2022-00007-2</x:v>
      </x:c>
      <x:c r="B1776" s="46" t="str">
        <x:v>L2022-00007-2/(붙임1) 220525인도네시아 경찰청사이버범죄수사 교육센타 시공사 선정 입찰계획(안) - 재공고.hwp</x:v>
      </x:c>
      <x:c r="C1776" s="43" t="str">
        <x:v>.hwp</x:v>
      </x:c>
      <x:c r="D1776" s="61" t="n">
        <x:v>64512</x:v>
      </x:c>
      <x:c r="E1776" s="61" t="n">
        <x:v>635</x:v>
      </x:c>
      <x:c r="F1776" s="61" t="n">
        <x:v>1</x:v>
      </x:c>
    </x:row>
    <x:row r="1777">
      <x:c r="A1777" s="43" t="str">
        <x:v>L2022-00007-2</x:v>
      </x:c>
      <x:c r="B1777" s="46" t="str">
        <x:v>L2022-00007-2/(붙임2) Bidding Announcement for Police Cybercrime Investigation Education Center - 30 May 2022 - v1.2.docx</x:v>
      </x:c>
      <x:c r="C1777" s="43" t="str">
        <x:v>.docx</x:v>
      </x:c>
      <x:c r="D1777" s="61" t="n">
        <x:v>46629</x:v>
      </x:c>
      <x:c r="E1777" s="61" t="n">
        <x:v>66</x:v>
      </x:c>
      <x:c r="F1777" s="61" t="n">
        <x:v>1</x:v>
      </x:c>
    </x:row>
    <x:row r="1778">
      <x:c r="A1778" s="43" t="str">
        <x:v>L2022-00007-1</x:v>
      </x:c>
      <x:c r="B1778" s="46" t="str">
        <x:v>L2022-00007-1/(Form) Letter of Interest.docx</x:v>
      </x:c>
      <x:c r="C1778" s="43" t="str">
        <x:v>.docx</x:v>
      </x:c>
      <x:c r="D1778" s="61" t="n">
        <x:v>22345</x:v>
      </x:c>
      <x:c r="E1778" s="61" t="n">
        <x:v>16</x:v>
      </x:c>
      <x:c r="F1778" s="61" t="n">
        <x:v>0</x:v>
      </x:c>
    </x:row>
    <x:row r="1779">
      <x:c r="A1779" s="43" t="str">
        <x:v>L2022-00007-1</x:v>
      </x:c>
      <x:c r="B1779" s="46" t="str">
        <x:v>L2022-00007-1/Final - Bidding Announcement for Police Cybercrime Investigation Education Center - 5 April 2022.docx</x:v>
      </x:c>
      <x:c r="C1779" s="43" t="str">
        <x:v>.docx</x:v>
      </x:c>
      <x:c r="D1779" s="61" t="n">
        <x:v>44950</x:v>
      </x:c>
      <x:c r="E1779" s="61" t="n">
        <x:v>66</x:v>
      </x:c>
      <x:c r="F1779" s="61" t="n">
        <x:v>1</x:v>
      </x:c>
    </x:row>
    <x:row r="1780">
      <x:c r="A1780" s="43" t="str">
        <x:v>L2022-00006-1</x:v>
      </x:c>
      <x:c r="B1780" s="46" t="str">
        <x:v>L2022-00006-1/붙임 1. 네팔경찰 역량강화를 위한 사이버안전국 설립사업 -국문본(조달실 반영분).hwp</x:v>
      </x:c>
      <x:c r="C1780" s="43" t="str">
        <x:v>.hwp</x:v>
      </x:c>
      <x:c r="D1780" s="61" t="n">
        <x:v>1754624</x:v>
      </x:c>
      <x:c r="E1780" s="61" t="n">
        <x:v>1218</x:v>
      </x:c>
      <x:c r="F1780" s="61" t="n">
        <x:v>6</x:v>
      </x:c>
    </x:row>
    <x:row r="1781">
      <x:c r="A1781" s="43" t="str">
        <x:v>L2022-00006-1</x:v>
      </x:c>
      <x:c r="B1781" s="46" t="str">
        <x:v>L2022-00006-1/붙임 2. 입찰공고.docx</x:v>
      </x:c>
      <x:c r="C1781" s="43" t="str">
        <x:v>.docx</x:v>
      </x:c>
      <x:c r="D1781" s="61" t="n">
        <x:v>43577</x:v>
      </x:c>
      <x:c r="E1781" s="61" t="n">
        <x:v>98</x:v>
      </x:c>
      <x:c r="F1781" s="61" t="n">
        <x:v>5</x:v>
      </x:c>
    </x:row>
    <x:row r="1782">
      <x:c r="A1782" s="43" t="str">
        <x:v>L2022-00006-1</x:v>
      </x:c>
      <x:c r="B1782" s="46" t="str">
        <x:v>L2022-00006-1/붙임 3. 입찰계획안 -영문본.docx</x:v>
      </x:c>
      <x:c r="C1782" s="43" t="str">
        <x:v>.docx</x:v>
      </x:c>
      <x:c r="D1782" s="61" t="n">
        <x:v>1633049</x:v>
      </x:c>
      <x:c r="E1782" s="61" t="n">
        <x:v>497</x:v>
      </x:c>
      <x:c r="F1782" s="61" t="n">
        <x:v>9</x:v>
      </x:c>
    </x:row>
    <x:row r="1783">
      <x:c r="A1783" s="43" t="str">
        <x:v>L2022-00003-1</x:v>
      </x:c>
      <x:c r="B1783" s="46" t="str">
        <x:v>L2022-00003-1/KOICA URGENCH BID DOCUMENTS-FINAL(FINAL).zip</x:v>
      </x:c>
      <x:c r="C1783" s="43" t="str">
        <x:v>.zip</x:v>
      </x:c>
      <x:c r="D1783" s="61" t="n">
        <x:v>42485685</x:v>
      </x:c>
      <x:c r="E1783" s="61" t="n">
        <x:v>0</x:v>
      </x:c>
      <x:c r="F1783" s="61" t="n">
        <x:v>0</x:v>
      </x:c>
    </x:row>
    <x:row r="1784">
      <x:c r="A1784" s="43" t="str">
        <x:v>L2022-00003-1</x:v>
      </x:c>
      <x:c r="B1784" s="46" t="str">
        <x:v>L2022-00003-1/KOICA URGENCH BID DOCUMENTS-FINAL(FINAL)/Attachment 1. KOICA_BID Announcement.docx</x:v>
      </x:c>
      <x:c r="C1784" s="43" t="str">
        <x:v>.docx</x:v>
      </x:c>
      <x:c r="D1784" s="61" t="n">
        <x:v>28458</x:v>
      </x:c>
      <x:c r="E1784" s="61" t="n">
        <x:v>63</x:v>
      </x:c>
      <x:c r="F1784" s="61" t="n">
        <x:v>3</x:v>
      </x:c>
    </x:row>
    <x:row r="1785">
      <x:c r="A1785" s="43" t="str">
        <x:v>L2022-00003-1</x:v>
      </x:c>
      <x:c r="B1785" s="46" t="str">
        <x:v>L2022-00003-1/KOICA URGENCH BID DOCUMENTS-FINAL(FINAL)/Attachment 2. Scope of Services.docx</x:v>
      </x:c>
      <x:c r="C1785" s="43" t="str">
        <x:v>.docx</x:v>
      </x:c>
      <x:c r="D1785" s="61" t="n">
        <x:v>16833359</x:v>
      </x:c>
      <x:c r="E1785" s="61" t="n">
        <x:v>293</x:v>
      </x:c>
      <x:c r="F1785" s="61" t="n">
        <x:v>1</x:v>
      </x:c>
    </x:row>
    <x:row r="1786">
      <x:c r="A1786" s="43" t="str">
        <x:v>L2022-00003-1</x:v>
      </x:c>
      <x:c r="B1786" s="46" t="str">
        <x:v>L2022-00003-1/KOICA URGENCH BID DOCUMENTS-FINAL(FINAL)/Attachment 3. Guideline of Supervision Services.docx</x:v>
      </x:c>
      <x:c r="C1786" s="43" t="str">
        <x:v>.docx</x:v>
      </x:c>
      <x:c r="D1786" s="61" t="n">
        <x:v>23763</x:v>
      </x:c>
      <x:c r="E1786" s="61" t="n">
        <x:v>137</x:v>
      </x:c>
      <x:c r="F1786" s="61" t="n">
        <x:v>0</x:v>
      </x:c>
    </x:row>
    <x:row r="1787">
      <x:c r="A1787" s="43" t="str">
        <x:v>L2022-00003-1</x:v>
      </x:c>
      <x:c r="B1787" s="46" t="str">
        <x:v>L2022-00003-1/KOICA URGENCH BID DOCUMENTS-FINAL(FINAL)/Attachment 4. RFP.doc</x:v>
      </x:c>
      <x:c r="C1787" s="43" t="str">
        <x:v>.doc</x:v>
      </x:c>
      <x:c r="D1787" s="61" t="n">
        <x:v>246784</x:v>
      </x:c>
      <x:c r="E1787" s="61" t="n">
        <x:v>289</x:v>
      </x:c>
      <x:c r="F1787" s="61" t="n">
        <x:v>1</x:v>
      </x:c>
    </x:row>
    <x:row r="1788">
      <x:c r="A1788" s="43" t="str">
        <x:v>L2022-00003-1</x:v>
      </x:c>
      <x:c r="B1788" s="46" t="str">
        <x:v>L2022-00003-1/KOICA URGENCH BID DOCUMENTS-FINAL(FINAL)/Attachment 5. Instructions on International Bidding.rtf</x:v>
      </x:c>
      <x:c r="C1788" s="43" t="str">
        <x:v>.rtf</x:v>
      </x:c>
      <x:c r="D1788" s="61" t="n">
        <x:v>223346</x:v>
      </x:c>
      <x:c r="E1788" s="61" t="n">
        <x:v>0</x:v>
      </x:c>
      <x:c r="F1788" s="61" t="n">
        <x:v>0</x:v>
      </x:c>
    </x:row>
    <x:row r="1789">
      <x:c r="A1789" s="43" t="str">
        <x:v>L2022-00003-1</x:v>
      </x:c>
      <x:c r="B1789" s="46" t="str">
        <x:v>L2022-00003-1/KOICA URGENCH BID DOCUMENTS-FINAL(FINAL)/Attachment 6. Selection of Successful Bidder.docx</x:v>
      </x:c>
      <x:c r="C1789" s="43" t="str">
        <x:v>.docx</x:v>
      </x:c>
      <x:c r="D1789" s="61" t="n">
        <x:v>51533</x:v>
      </x:c>
      <x:c r="E1789" s="61" t="n">
        <x:v>58</x:v>
      </x:c>
      <x:c r="F1789" s="61" t="n">
        <x:v>0</x:v>
      </x:c>
    </x:row>
    <x:row r="1790">
      <x:c r="A1790" s="43" t="str">
        <x:v>L2022-00003-1</x:v>
      </x:c>
      <x:c r="B1790" s="46" t="str">
        <x:v>L2022-00003-1/KOICA URGENCH BID DOCUMENTS-FINAL(FINAL)/Attachment 7. Conditions of Contract(GCC SCC).rtf</x:v>
      </x:c>
      <x:c r="C1790" s="43" t="str">
        <x:v>.rtf</x:v>
      </x:c>
      <x:c r="D1790" s="61" t="n">
        <x:v>223497</x:v>
      </x:c>
      <x:c r="E1790" s="61" t="n">
        <x:v>0</x:v>
      </x:c>
      <x:c r="F1790" s="61" t="n">
        <x:v>0</x:v>
      </x:c>
    </x:row>
    <x:row r="1791">
      <x:c r="A1791" s="43" t="str">
        <x:v>L2022-00003-1</x:v>
      </x:c>
      <x:c r="B1791" s="46" t="str">
        <x:v>L2022-00003-1/KOICA URGENCH BID DOCUMENTS-FINAL(FINAL)/Attachment 8. Technical Evaluation Guideline.docx</x:v>
      </x:c>
      <x:c r="C1791" s="43" t="str">
        <x:v>.docx</x:v>
      </x:c>
      <x:c r="D1791" s="61" t="n">
        <x:v>30614</x:v>
      </x:c>
      <x:c r="E1791" s="61" t="n">
        <x:v>73</x:v>
      </x:c>
      <x:c r="F1791" s="61" t="n">
        <x:v>0</x:v>
      </x:c>
    </x:row>
    <x:row r="1792">
      <x:c r="A1792" s="43" t="str">
        <x:v>L2022-00003-1</x:v>
      </x:c>
      <x:c r="B1792" s="46" t="str">
        <x:v>L2022-00003-1/KOICA URGENCH BID DOCUMENTS-FINAL(FINAL)/Attachment 9. Technical Proposal  Reference Data.pdf</x:v>
      </x:c>
      <x:c r="C1792" s="43" t="str">
        <x:v>.pdf</x:v>
      </x:c>
      <x:c r="D1792" s="61" t="n">
        <x:v>27134005</x:v>
      </x:c>
      <x:c r="E1792" s="61" t="n">
        <x:v>33</x:v>
      </x:c>
      <x:c r="F1792" s="61" t="n">
        <x:v>3</x:v>
      </x:c>
    </x:row>
    <x:row r="1793">
      <x:c r="A1793" s="43" t="str">
        <x:v>L2022-00003-1</x:v>
      </x:c>
      <x:c r="B1793" s="46" t="str">
        <x:v>L2022-00003-1/KOICA URGENCH BID DOCUMENTS-FINAL(FINAL)/Form 1. Letter of Interest.docx</x:v>
      </x:c>
      <x:c r="C1793" s="43" t="str">
        <x:v>.docx</x:v>
      </x:c>
      <x:c r="D1793" s="61" t="n">
        <x:v>16446</x:v>
      </x:c>
      <x:c r="E1793" s="61" t="n">
        <x:v>16</x:v>
      </x:c>
      <x:c r="F1793" s="61" t="n">
        <x:v>0</x:v>
      </x:c>
    </x:row>
    <x:row r="1794">
      <x:c r="A1794" s="43" t="str">
        <x:v>L2022-00003-1</x:v>
      </x:c>
      <x:c r="B1794" s="46" t="str">
        <x:v>L2022-00003-1/KOICA URGENCH BID DOCUMENTS-FINAL(FINAL)/Form 10. Bid Data Sheet_.docx</x:v>
      </x:c>
      <x:c r="C1794" s="43" t="str">
        <x:v>.docx</x:v>
      </x:c>
      <x:c r="D1794" s="61" t="n">
        <x:v>31040</x:v>
      </x:c>
      <x:c r="E1794" s="61" t="n">
        <x:v>23</x:v>
      </x:c>
      <x:c r="F1794" s="61" t="n">
        <x:v>0</x:v>
      </x:c>
    </x:row>
    <x:row r="1795">
      <x:c r="A1795" s="43" t="str">
        <x:v>L2022-00003-1</x:v>
      </x:c>
      <x:c r="B1795" s="46" t="str">
        <x:v>L2022-00003-1/KOICA URGENCH BID DOCUMENTS-FINAL(FINAL)/Form 11._Summary of Price Proposal for Design and Supervision.doc</x:v>
      </x:c>
      <x:c r="C1795" s="43" t="str">
        <x:v>.doc</x:v>
      </x:c>
      <x:c r="D1795" s="61" t="n">
        <x:v>98816</x:v>
      </x:c>
      <x:c r="E1795" s="61" t="n">
        <x:v>1</x:v>
      </x:c>
      <x:c r="F1795" s="61" t="n">
        <x:v>0</x:v>
      </x:c>
    </x:row>
    <x:row r="1796">
      <x:c r="A1796" s="43" t="str">
        <x:v>L2022-00003-1</x:v>
      </x:c>
      <x:c r="B1796" s="46" t="str">
        <x:v>L2022-00003-1/KOICA URGENCH BID DOCUMENTS-FINAL(FINAL)/Form 12. Integrity Pledge Sheet.docx</x:v>
      </x:c>
      <x:c r="C1796" s="43" t="str">
        <x:v>.docx</x:v>
      </x:c>
      <x:c r="D1796" s="61" t="n">
        <x:v>35943</x:v>
      </x:c>
      <x:c r="E1796" s="61" t="n">
        <x:v>17</x:v>
      </x:c>
      <x:c r="F1796" s="61" t="n">
        <x:v>0</x:v>
      </x:c>
    </x:row>
    <x:row r="1797">
      <x:c r="A1797" s="43" t="str">
        <x:v>L2022-00003-1</x:v>
      </x:c>
      <x:c r="B1797" s="46" t="str">
        <x:v>L2022-00003-1/KOICA URGENCH BID DOCUMENTS-FINAL(FINAL)/Form 2. Certified Copy Confirmation.docx</x:v>
      </x:c>
      <x:c r="C1797" s="43" t="str">
        <x:v>.docx</x:v>
      </x:c>
      <x:c r="D1797" s="61" t="n">
        <x:v>13078</x:v>
      </x:c>
      <x:c r="E1797" s="61" t="n">
        <x:v>10</x:v>
      </x:c>
      <x:c r="F1797" s="61" t="n">
        <x:v>0</x:v>
      </x:c>
    </x:row>
    <x:row r="1798">
      <x:c r="A1798" s="43" t="str">
        <x:v>L2022-00003-1</x:v>
      </x:c>
      <x:c r="B1798" s="46" t="str">
        <x:v>L2022-00003-1/KOICA URGENCH BID DOCUMENTS-FINAL(FINAL)/Form 3. Evaluation Table for Technical Proposal.docx</x:v>
      </x:c>
      <x:c r="C1798" s="43" t="str">
        <x:v>.docx</x:v>
      </x:c>
      <x:c r="D1798" s="61" t="n">
        <x:v>17246</x:v>
      </x:c>
      <x:c r="E1798" s="61" t="n">
        <x:v>25</x:v>
      </x:c>
      <x:c r="F1798" s="61" t="n">
        <x:v>0</x:v>
      </x:c>
    </x:row>
    <x:row r="1799">
      <x:c r="A1799" s="43" t="str">
        <x:v>L2022-00003-1</x:v>
      </x:c>
      <x:c r="B1799" s="46" t="str">
        <x:v>L2022-00003-1/KOICA URGENCH BID DOCUMENTS-FINAL(FINAL)/Form 4.. Contract Agreement for Design and Construction Supervision).docx</x:v>
      </x:c>
      <x:c r="C1799" s="43" t="str">
        <x:v>.docx</x:v>
      </x:c>
      <x:c r="D1799" s="61" t="n">
        <x:v>22838</x:v>
      </x:c>
      <x:c r="E1799" s="61" t="n">
        <x:v>41</x:v>
      </x:c>
      <x:c r="F1799" s="61" t="n">
        <x:v>1</x:v>
      </x:c>
    </x:row>
    <x:row r="1800">
      <x:c r="A1800" s="43" t="str">
        <x:v>L2022-00003-1</x:v>
      </x:c>
      <x:c r="B1800" s="46" t="str">
        <x:v>L2022-00003-1/KOICA URGENCH BID DOCUMENTS-FINAL(FINAL)/Form 5. Form of Technical Proposal.doc</x:v>
      </x:c>
      <x:c r="C1800" s="43" t="str">
        <x:v>.doc</x:v>
      </x:c>
      <x:c r="D1800" s="61" t="n">
        <x:v>188928</x:v>
      </x:c>
      <x:c r="E1800" s="61" t="n">
        <x:v>33</x:v>
      </x:c>
      <x:c r="F1800" s="61" t="n">
        <x:v>3</x:v>
      </x:c>
    </x:row>
    <x:row r="1801">
      <x:c r="A1801" s="43" t="str">
        <x:v>L2022-00003-1</x:v>
      </x:c>
      <x:c r="B1801" s="46" t="str">
        <x:v>L2022-00003-1/KOICA URGENCH BID DOCUMENTS-FINAL(FINAL)/Form 6. Form of Price Proposal.doc</x:v>
      </x:c>
      <x:c r="C1801" s="43" t="str">
        <x:v>.doc</x:v>
      </x:c>
      <x:c r="D1801" s="61" t="n">
        <x:v>57856</x:v>
      </x:c>
      <x:c r="E1801" s="61" t="n">
        <x:v>17</x:v>
      </x:c>
      <x:c r="F1801" s="61" t="n">
        <x:v>3</x:v>
      </x:c>
    </x:row>
    <x:row r="1802">
      <x:c r="A1802" s="43" t="str">
        <x:v>L2022-00003-1</x:v>
      </x:c>
      <x:c r="B1802" s="46" t="str">
        <x:v>L2022-00003-1/KOICA URGENCH BID DOCUMENTS-FINAL(FINAL)/Form 7. Form of Security(Bid_Performance_Maintenance).docx</x:v>
      </x:c>
      <x:c r="C1802" s="43" t="str">
        <x:v>.docx</x:v>
      </x:c>
      <x:c r="D1802" s="61" t="n">
        <x:v>26527</x:v>
      </x:c>
      <x:c r="E1802" s="61" t="n">
        <x:v>100</x:v>
      </x:c>
      <x:c r="F1802" s="61" t="n">
        <x:v>0</x:v>
      </x:c>
    </x:row>
    <x:row r="1803">
      <x:c r="A1803" s="43" t="str">
        <x:v>L2022-00003-1</x:v>
      </x:c>
      <x:c r="B1803" s="46" t="str">
        <x:v>L2022-00003-1/KOICA URGENCH BID DOCUMENTS-FINAL(FINAL)/Form 8. ODA_Declaration of Anti_Corruption.docx</x:v>
      </x:c>
      <x:c r="C1803" s="43" t="str">
        <x:v>.docx</x:v>
      </x:c>
      <x:c r="D1803" s="61" t="n">
        <x:v>22687</x:v>
      </x:c>
      <x:c r="E1803" s="61" t="n">
        <x:v>39</x:v>
      </x:c>
      <x:c r="F1803" s="61" t="n">
        <x:v>0</x:v>
      </x:c>
    </x:row>
    <x:row r="1804">
      <x:c r="A1804" s="43" t="str">
        <x:v>L2022-00003-1</x:v>
      </x:c>
      <x:c r="B1804" s="46" t="str">
        <x:v>L2022-00003-1/KOICA URGENCH BID DOCUMENTS-FINAL(FINAL)/Form 9. Contract Data.docx</x:v>
      </x:c>
      <x:c r="C1804" s="43" t="str">
        <x:v>.docx</x:v>
      </x:c>
      <x:c r="D1804" s="61" t="n">
        <x:v>25667</x:v>
      </x:c>
      <x:c r="E1804" s="61" t="n">
        <x:v>37</x:v>
      </x:c>
      <x:c r="F1804" s="61" t="n">
        <x:v>0</x:v>
      </x:c>
    </x:row>
    <x:row r="1805">
      <x:c r="A1805" s="43" t="str">
        <x:v>L2022-00003-1</x:v>
      </x:c>
      <x:c r="B1805" s="46" t="str">
        <x:v>L2022-00003-1/코이카사무소_우르겐치직훈원 입찰공고문(홈페이지게시).pdf</x:v>
      </x:c>
      <x:c r="C1805" s="43" t="str">
        <x:v>.pdf</x:v>
      </x:c>
      <x:c r="D1805" s="61" t="n">
        <x:v>175280</x:v>
      </x:c>
      <x:c r="E1805" s="61" t="n">
        <x:v>1</x:v>
      </x:c>
      <x:c r="F1805" s="61" t="n">
        <x:v>4</x:v>
      </x:c>
    </x:row>
    <x:row r="1806">
      <x:c r="A1806" s="43" t="str">
        <x:v>L2022-00002-1</x:v>
      </x:c>
      <x:c r="B1806" s="46" t="str">
        <x:v>L2022-00002-1/0 Bidding Guideline for supervision service.docx</x:v>
      </x:c>
      <x:c r="C1806" s="43" t="str">
        <x:v>.docx</x:v>
      </x:c>
      <x:c r="D1806" s="61" t="n">
        <x:v>147470</x:v>
      </x:c>
      <x:c r="E1806" s="61" t="n">
        <x:v>296</x:v>
      </x:c>
      <x:c r="F1806" s="61" t="n">
        <x:v>14</x:v>
      </x:c>
    </x:row>
    <x:row r="1807">
      <x:c r="A1807" s="43" t="str">
        <x:v>L2022-00002-1</x:v>
      </x:c>
      <x:c r="B1807" s="46" t="str">
        <x:v>L2022-00002-1/1.0 Section I. Invitation for Bids.docx</x:v>
      </x:c>
      <x:c r="C1807" s="43" t="str">
        <x:v>.docx</x:v>
      </x:c>
      <x:c r="D1807" s="61" t="n">
        <x:v>54471</x:v>
      </x:c>
      <x:c r="E1807" s="61" t="n">
        <x:v>100</x:v>
      </x:c>
      <x:c r="F1807" s="61" t="n">
        <x:v>2</x:v>
      </x:c>
    </x:row>
    <x:row r="1808">
      <x:c r="A1808" s="43" t="str">
        <x:v>L2022-00002-1</x:v>
      </x:c>
      <x:c r="B1808" s="46" t="str">
        <x:v>L2022-00002-1/2.0 Section II. Instructions to Bidders and Bid Data Sheet.docx</x:v>
      </x:c>
      <x:c r="C1808" s="43" t="str">
        <x:v>.docx</x:v>
      </x:c>
      <x:c r="D1808" s="61" t="n">
        <x:v>76150</x:v>
      </x:c>
      <x:c r="E1808" s="61" t="n">
        <x:v>198</x:v>
      </x:c>
      <x:c r="F1808" s="61" t="n">
        <x:v>0</x:v>
      </x:c>
    </x:row>
    <x:row r="1809">
      <x:c r="A1809" s="43" t="str">
        <x:v>L2022-00002-1</x:v>
      </x:c>
      <x:c r="B1809" s="46" t="str">
        <x:v>L2022-00002-1/3.0 Section III. Bidding Forms.docx</x:v>
      </x:c>
      <x:c r="C1809" s="43" t="str">
        <x:v>.docx</x:v>
      </x:c>
      <x:c r="D1809" s="61" t="n">
        <x:v>61471</x:v>
      </x:c>
      <x:c r="E1809" s="61" t="n">
        <x:v>130</x:v>
      </x:c>
      <x:c r="F1809" s="61" t="n">
        <x:v>0</x:v>
      </x:c>
    </x:row>
    <x:row r="1810">
      <x:c r="A1810" s="43" t="str">
        <x:v>L2022-00002-1</x:v>
      </x:c>
      <x:c r="B1810" s="46" t="str">
        <x:v>L2022-00002-1/4.0 Section IV. Scope of Works.docx</x:v>
      </x:c>
      <x:c r="C1810" s="43" t="str">
        <x:v>.docx</x:v>
      </x:c>
      <x:c r="D1810" s="61" t="n">
        <x:v>106140</x:v>
      </x:c>
      <x:c r="E1810" s="61" t="n">
        <x:v>53</x:v>
      </x:c>
      <x:c r="F1810" s="61" t="n">
        <x:v>0</x:v>
      </x:c>
    </x:row>
    <x:row r="1811">
      <x:c r="A1811" s="43" t="str">
        <x:v>L2022-00001-1</x:v>
      </x:c>
      <x:c r="B1811" s="46" t="str">
        <x:v>L2022-00001-1/Section_01_IIB_Instructions on International Bidding.pdf</x:v>
      </x:c>
      <x:c r="C1811" s="43" t="str">
        <x:v>.pdf</x:v>
      </x:c>
      <x:c r="D1811" s="61" t="n">
        <x:v>167350</x:v>
      </x:c>
      <x:c r="E1811" s="61" t="n">
        <x:v>13</x:v>
      </x:c>
      <x:c r="F1811" s="61" t="n">
        <x:v>0</x:v>
      </x:c>
    </x:row>
    <x:row r="1812">
      <x:c r="A1812" s="43" t="str">
        <x:v>L2022-00001-1</x:v>
      </x:c>
      <x:c r="B1812" s="46" t="str">
        <x:v>L2022-00001-1/Section_02_EQC_Evaluation and Qualification Criteria.docx</x:v>
      </x:c>
      <x:c r="C1812" s="43" t="str">
        <x:v>.docx</x:v>
      </x:c>
      <x:c r="D1812" s="61" t="n">
        <x:v>38286</x:v>
      </x:c>
      <x:c r="E1812" s="61" t="n">
        <x:v>77</x:v>
      </x:c>
      <x:c r="F1812" s="61" t="n">
        <x:v>0</x:v>
      </x:c>
    </x:row>
    <x:row r="1813">
      <x:c r="A1813" s="43" t="str">
        <x:v>L2022-00001-1</x:v>
      </x:c>
      <x:c r="B1813" s="46" t="str">
        <x:v>L2022-00001-1/Section_03_BDF_Bidding Form.docx</x:v>
      </x:c>
      <x:c r="C1813" s="43" t="str">
        <x:v>.docx</x:v>
      </x:c>
      <x:c r="D1813" s="61" t="n">
        <x:v>77863</x:v>
      </x:c>
      <x:c r="E1813" s="61" t="n">
        <x:v>397</x:v>
      </x:c>
      <x:c r="F1813" s="61" t="n">
        <x:v>0</x:v>
      </x:c>
    </x:row>
    <x:row r="1814">
      <x:c r="A1814" s="43" t="str">
        <x:v>L2022-00001-1</x:v>
      </x:c>
      <x:c r="B1814" s="46" t="str">
        <x:v>L2022-00001-1/Section_04_Employer Requirement.docx</x:v>
      </x:c>
      <x:c r="C1814" s="43" t="str">
        <x:v>.docx</x:v>
      </x:c>
      <x:c r="D1814" s="61" t="n">
        <x:v>44497</x:v>
      </x:c>
      <x:c r="E1814" s="61" t="n">
        <x:v>214</x:v>
      </x:c>
      <x:c r="F1814" s="61" t="n">
        <x:v>1</x:v>
      </x:c>
    </x:row>
    <x:row r="1815">
      <x:c r="A1815" s="43" t="str">
        <x:v>L2022-00001-1</x:v>
      </x:c>
      <x:c r="B1815" s="46" t="str">
        <x:v>L2022-00001-1/Section_05_The scope of works.docx</x:v>
      </x:c>
      <x:c r="C1815" s="43" t="str">
        <x:v>.docx</x:v>
      </x:c>
      <x:c r="D1815" s="61" t="n">
        <x:v>52551</x:v>
      </x:c>
      <x:c r="E1815" s="61" t="n">
        <x:v>196</x:v>
      </x:c>
      <x:c r="F1815" s="61" t="n">
        <x:v>0</x:v>
      </x:c>
    </x:row>
    <x:row r="1816">
      <x:c r="A1816" s="43" t="str">
        <x:v>L2022-00001-1</x:v>
      </x:c>
      <x:c r="B1816" s="46" t="str">
        <x:v>L2022-00001-1/Section_06_Technical Specification.docx</x:v>
      </x:c>
      <x:c r="C1816" s="43" t="str">
        <x:v>.docx</x:v>
      </x:c>
      <x:c r="D1816" s="61" t="n">
        <x:v>21961</x:v>
      </x:c>
      <x:c r="E1816" s="61" t="n">
        <x:v>3</x:v>
      </x:c>
      <x:c r="F1816" s="61" t="n">
        <x:v>0</x:v>
      </x:c>
    </x:row>
    <x:row r="1817">
      <x:c r="A1817" s="43" t="str">
        <x:v>L2022-00001-1</x:v>
      </x:c>
      <x:c r="B1817" s="46" t="str">
        <x:v>L2022-00001-1/Section_07_DWG.docx</x:v>
      </x:c>
      <x:c r="C1817" s="43" t="str">
        <x:v>.docx</x:v>
      </x:c>
      <x:c r="D1817" s="61" t="n">
        <x:v>21946</x:v>
      </x:c>
      <x:c r="E1817" s="61" t="n">
        <x:v>3</x:v>
      </x:c>
      <x:c r="F1817" s="61" t="n">
        <x:v>0</x:v>
      </x:c>
    </x:row>
    <x:row r="1818">
      <x:c r="A1818" s="43" t="str">
        <x:v>L2022-00001-1</x:v>
      </x:c>
      <x:c r="B1818" s="46" t="str">
        <x:v>L2022-00001-1/Section_08_BOQ_unpriced.docx</x:v>
      </x:c>
      <x:c r="C1818" s="43" t="str">
        <x:v>.docx</x:v>
      </x:c>
      <x:c r="D1818" s="61" t="n">
        <x:v>22122</x:v>
      </x:c>
      <x:c r="E1818" s="61" t="n">
        <x:v>4</x:v>
      </x:c>
      <x:c r="F1818" s="61" t="n">
        <x:v>0</x:v>
      </x:c>
    </x:row>
    <x:row r="1819">
      <x:c r="A1819" s="43" t="str">
        <x:v>L2022-00001-1</x:v>
      </x:c>
      <x:c r="B1819" s="46" t="str">
        <x:v>L2022-00001-1/Section_09_Contract Agreement.docx</x:v>
      </x:c>
      <x:c r="C1819" s="43" t="str">
        <x:v>.docx</x:v>
      </x:c>
      <x:c r="D1819" s="61" t="n">
        <x:v>37385</x:v>
      </x:c>
      <x:c r="E1819" s="61" t="n">
        <x:v>30</x:v>
      </x:c>
      <x:c r="F1819" s="61" t="n">
        <x:v>0</x:v>
      </x:c>
    </x:row>
    <x:row r="1820">
      <x:c r="A1820" s="43" t="str">
        <x:v>L2022-00001-1</x:v>
      </x:c>
      <x:c r="B1820" s="46" t="str">
        <x:v>L2022-00001-1/모잠비크 직훈사업 시공업체 선정 입찰계획.hwp</x:v>
      </x:c>
      <x:c r="C1820" s="43" t="str">
        <x:v>.hwp</x:v>
      </x:c>
      <x:c r="D1820" s="61" t="n">
        <x:v>129024</x:v>
      </x:c>
      <x:c r="E1820" s="61" t="n">
        <x:v>830</x:v>
      </x:c>
      <x:c r="F1820" s="61" t="n">
        <x:v>10</x:v>
      </x:c>
    </x:row>
    <x:row r="1821">
      <x:c r="A1821" s="43" t="str">
        <x:v>L2021-00045-1</x:v>
      </x:c>
      <x:c r="B1821" s="46" t="str">
        <x:v>L2021-00045-1/0 Bidding Guideline for Construction_ATC.docx</x:v>
      </x:c>
      <x:c r="C1821" s="43" t="str">
        <x:v>.docx</x:v>
      </x:c>
      <x:c r="D1821" s="61" t="n">
        <x:v>134779</x:v>
      </x:c>
      <x:c r="E1821" s="61" t="n">
        <x:v>247</x:v>
      </x:c>
      <x:c r="F1821" s="61" t="n">
        <x:v>11</x:v>
      </x:c>
    </x:row>
    <x:row r="1822">
      <x:c r="A1822" s="43" t="str">
        <x:v>L2021-00045-1</x:v>
      </x:c>
      <x:c r="B1822" s="46" t="str">
        <x:v>L2021-00045-1/1.0 Section I. Invitation for Bids_ATC.docx</x:v>
      </x:c>
      <x:c r="C1822" s="43" t="str">
        <x:v>.docx</x:v>
      </x:c>
      <x:c r="D1822" s="61" t="n">
        <x:v>52596</x:v>
      </x:c>
      <x:c r="E1822" s="61" t="n">
        <x:v>93</x:v>
      </x:c>
      <x:c r="F1822" s="61" t="n">
        <x:v>2</x:v>
      </x:c>
    </x:row>
    <x:row r="1823">
      <x:c r="A1823" s="43" t="str">
        <x:v>L2021-00045-1</x:v>
      </x:c>
      <x:c r="B1823" s="46" t="str">
        <x:v>L2021-00045-1/2.0 Section II. Instructions to Bidders and Bid Data Sheet_ATC.docx</x:v>
      </x:c>
      <x:c r="C1823" s="43" t="str">
        <x:v>.docx</x:v>
      </x:c>
      <x:c r="D1823" s="61" t="n">
        <x:v>73459</x:v>
      </x:c>
      <x:c r="E1823" s="61" t="n">
        <x:v>198</x:v>
      </x:c>
      <x:c r="F1823" s="61" t="n">
        <x:v>0</x:v>
      </x:c>
    </x:row>
    <x:row r="1824">
      <x:c r="A1824" s="43" t="str">
        <x:v>L2021-00045-1</x:v>
      </x:c>
      <x:c r="B1824" s="46" t="str">
        <x:v>L2021-00045-1/3.0 Section III. Bidding Forms_ATC.docx</x:v>
      </x:c>
      <x:c r="C1824" s="43" t="str">
        <x:v>.docx</x:v>
      </x:c>
      <x:c r="D1824" s="61" t="n">
        <x:v>57052</x:v>
      </x:c>
      <x:c r="E1824" s="61" t="n">
        <x:v>114</x:v>
      </x:c>
      <x:c r="F1824" s="61" t="n">
        <x:v>1</x:v>
      </x:c>
    </x:row>
    <x:row r="1825">
      <x:c r="A1825" s="43" t="str">
        <x:v>L2021-00045-1</x:v>
      </x:c>
      <x:c r="B1825" s="46" t="str">
        <x:v>L2021-00045-1/4.0 Section IV. Scope of Works_ATC.docx</x:v>
      </x:c>
      <x:c r="C1825" s="43" t="str">
        <x:v>.docx</x:v>
      </x:c>
      <x:c r="D1825" s="61" t="n">
        <x:v>43206</x:v>
      </x:c>
      <x:c r="E1825" s="61" t="n">
        <x:v>202</x:v>
      </x:c>
      <x:c r="F1825" s="61" t="n">
        <x:v>2</x:v>
      </x:c>
    </x:row>
    <x:row r="1826">
      <x:c r="A1826" s="43" t="str">
        <x:v>L2021-00045-1</x:v>
      </x:c>
      <x:c r="B1826" s="46" t="str">
        <x:v>L2021-00045-1/5.0. Section V. Conditions of Contract_ATC.docx</x:v>
      </x:c>
      <x:c r="C1826" s="43" t="str">
        <x:v>.docx</x:v>
      </x:c>
      <x:c r="D1826" s="61" t="n">
        <x:v>62607</x:v>
      </x:c>
      <x:c r="E1826" s="61" t="n">
        <x:v>468</x:v>
      </x:c>
      <x:c r="F1826" s="61" t="n">
        <x:v>0</x:v>
      </x:c>
    </x:row>
    <x:row r="1827">
      <x:c r="A1827" s="43" t="str">
        <x:v>L2021-00045-1</x:v>
      </x:c>
      <x:c r="B1827" s="46" t="str">
        <x:v>L2021-00045-1/붙임5. 입찰계획안.hwp</x:v>
      </x:c>
      <x:c r="C1827" s="43" t="str">
        <x:v>.hwp</x:v>
      </x:c>
      <x:c r="D1827" s="61" t="n">
        <x:v>49152</x:v>
      </x:c>
      <x:c r="E1827" s="61" t="n">
        <x:v>424</x:v>
      </x:c>
      <x:c r="F1827" s="61" t="n">
        <x:v>8</x:v>
      </x:c>
    </x:row>
    <x:row r="1828">
      <x:c r="A1828" s="43" t="str">
        <x:v>L2021-00042-1</x:v>
      </x:c>
      <x:c r="B1828" s="46" t="str">
        <x:v>L2021-00042-1/0.0 입찰공고문(영문).docx</x:v>
      </x:c>
      <x:c r="C1828" s="43" t="str">
        <x:v>.docx</x:v>
      </x:c>
      <x:c r="D1828" s="61" t="n">
        <x:v>53751</x:v>
      </x:c>
      <x:c r="E1828" s="61" t="n">
        <x:v>98</x:v>
      </x:c>
      <x:c r="F1828" s="61" t="n">
        <x:v>2</x:v>
      </x:c>
    </x:row>
    <x:row r="1829">
      <x:c r="A1829" s="43" t="str">
        <x:v>L2021-00042-1</x:v>
      </x:c>
      <x:c r="B1829" s="46" t="str">
        <x:v>L2021-00042-1/1.0 입찰안내서(영문).docx</x:v>
      </x:c>
      <x:c r="C1829" s="43" t="str">
        <x:v>.docx</x:v>
      </x:c>
      <x:c r="D1829" s="61" t="n">
        <x:v>144514</x:v>
      </x:c>
      <x:c r="E1829" s="61" t="n">
        <x:v>294</x:v>
      </x:c>
      <x:c r="F1829" s="61" t="n">
        <x:v>14</x:v>
      </x:c>
    </x:row>
    <x:row r="1830">
      <x:c r="A1830" s="43" t="str">
        <x:v>L2021-00042-1</x:v>
      </x:c>
      <x:c r="B1830" s="46" t="str">
        <x:v>L2021-00042-1/2.0 Bid Data Sheet(영문).docx</x:v>
      </x:c>
      <x:c r="C1830" s="43" t="str">
        <x:v>.docx</x:v>
      </x:c>
      <x:c r="D1830" s="61" t="n">
        <x:v>76041</x:v>
      </x:c>
      <x:c r="E1830" s="61" t="n">
        <x:v>198</x:v>
      </x:c>
      <x:c r="F1830" s="61" t="n">
        <x:v>0</x:v>
      </x:c>
    </x:row>
    <x:row r="1831">
      <x:c r="A1831" s="43" t="str">
        <x:v>L2021-00042-1</x:v>
      </x:c>
      <x:c r="B1831" s="46" t="str">
        <x:v>L2021-00042-1/3.0 Section III. Bidding Forms.docx</x:v>
      </x:c>
      <x:c r="C1831" s="43" t="str">
        <x:v>.docx</x:v>
      </x:c>
      <x:c r="D1831" s="61" t="n">
        <x:v>58385</x:v>
      </x:c>
      <x:c r="E1831" s="61" t="n">
        <x:v>111</x:v>
      </x:c>
      <x:c r="F1831" s="61" t="n">
        <x:v>0</x:v>
      </x:c>
    </x:row>
    <x:row r="1832">
      <x:c r="A1832" s="43" t="str">
        <x:v>L2021-00042-1</x:v>
      </x:c>
      <x:c r="B1832" s="46" t="str">
        <x:v>L2021-00042-1/4.0 Section IV. Scope of Works.docx</x:v>
      </x:c>
      <x:c r="C1832" s="43" t="str">
        <x:v>.docx</x:v>
      </x:c>
      <x:c r="D1832" s="61" t="n">
        <x:v>106198</x:v>
      </x:c>
      <x:c r="E1832" s="61" t="n">
        <x:v>53</x:v>
      </x:c>
      <x:c r="F1832" s="61" t="n">
        <x:v>0</x:v>
      </x:c>
    </x:row>
    <x:row r="1833">
      <x:c r="A1833" s="43" t="str">
        <x:v>L2021-00042-1</x:v>
      </x:c>
      <x:c r="B1833" s="46" t="str">
        <x:v>L2021-00042-1/5.0. Section V. Conditions of Contract.docx</x:v>
      </x:c>
      <x:c r="C1833" s="43" t="str">
        <x:v>.docx</x:v>
      </x:c>
      <x:c r="D1833" s="61" t="n">
        <x:v>54890</x:v>
      </x:c>
      <x:c r="E1833" s="61" t="n">
        <x:v>202</x:v>
      </x:c>
      <x:c r="F1833" s="61" t="n">
        <x:v>0</x:v>
      </x:c>
    </x:row>
    <x:row r="1834">
      <x:c r="A1834" s="43" t="str">
        <x:v>L2021-00037-1</x:v>
      </x:c>
      <x:c r="B1834" s="46" t="str">
        <x:v>L2021-00037-1/0. Expression of Interest_form (21.11.04_Maternal &amp; Child Health).docx</x:v>
      </x:c>
      <x:c r="C1834" s="43" t="str">
        <x:v>.docx</x:v>
      </x:c>
      <x:c r="D1834" s="61" t="n">
        <x:v>53229</x:v>
      </x:c>
      <x:c r="E1834" s="61" t="n">
        <x:v>15</x:v>
      </x:c>
      <x:c r="F1834" s="61" t="n">
        <x:v>0</x:v>
      </x:c>
    </x:row>
    <x:row r="1835">
      <x:c r="A1835" s="43" t="str">
        <x:v>L2021-00037-1</x:v>
      </x:c>
      <x:c r="B1835" s="46" t="str">
        <x:v>L2021-00037-1/00. Bid announcemet(20.11.04)_(Maternal &amp; Child Health)_Cambodian.pdf</x:v>
      </x:c>
      <x:c r="C1835" s="43" t="str">
        <x:v>.pdf</x:v>
      </x:c>
      <x:c r="D1835" s="61" t="n">
        <x:v>601822</x:v>
      </x:c>
      <x:c r="E1835" s="61" t="n">
        <x:v>4</x:v>
      </x:c>
      <x:c r="F1835" s="61" t="n">
        <x:v>0</x:v>
      </x:c>
    </x:row>
    <x:row r="1836">
      <x:c r="A1836" s="43" t="str">
        <x:v>L2021-00037-1</x:v>
      </x:c>
      <x:c r="B1836" s="46" t="str">
        <x:v>L2021-00037-1/00. Bid announcemet(20.11.04)_(Maternal &amp; Child Health)_REV.2.docx</x:v>
      </x:c>
      <x:c r="C1836" s="43" t="str">
        <x:v>.docx</x:v>
      </x:c>
      <x:c r="D1836" s="61" t="n">
        <x:v>48915</x:v>
      </x:c>
      <x:c r="E1836" s="61" t="n">
        <x:v>68</x:v>
      </x:c>
      <x:c r="F1836" s="61" t="n">
        <x:v>2</x:v>
      </x:c>
    </x:row>
    <x:row r="1837">
      <x:c r="A1837" s="43" t="str">
        <x:v>L2021-00037-1</x:v>
      </x:c>
      <x:c r="B1837" s="46" t="str">
        <x:v>L2021-00037-1/1. RFP_(21.11.04_Maternal &amp; Child Health).pdf</x:v>
      </x:c>
      <x:c r="C1837" s="43" t="str">
        <x:v>.pdf</x:v>
      </x:c>
      <x:c r="D1837" s="61" t="n">
        <x:v>1140646</x:v>
      </x:c>
      <x:c r="E1837" s="61" t="n">
        <x:v>11</x:v>
      </x:c>
      <x:c r="F1837" s="61" t="n">
        <x:v>5</x:v>
      </x:c>
    </x:row>
    <x:row r="1838">
      <x:c r="A1838" s="43" t="str">
        <x:v>L2021-00037-1</x:v>
      </x:c>
      <x:c r="B1838" s="46" t="str">
        <x:v>L2021-00037-1/2. Invitation For Bids (IFB)_(21.11.04_Maternal &amp; Child Health).docx</x:v>
      </x:c>
      <x:c r="C1838" s="43" t="str">
        <x:v>.docx</x:v>
      </x:c>
      <x:c r="D1838" s="61" t="n">
        <x:v>51125</x:v>
      </x:c>
      <x:c r="E1838" s="61" t="n">
        <x:v>16</x:v>
      </x:c>
      <x:c r="F1838" s="61" t="n">
        <x:v>0</x:v>
      </x:c>
    </x:row>
    <x:row r="1839">
      <x:c r="A1839" s="43" t="str">
        <x:v>L2021-00037-1</x:v>
      </x:c>
      <x:c r="B1839" s="46" t="str">
        <x:v>L2021-00037-1/3. Bid Document-1_(21.11.04_Maternal &amp; Child Health).docx</x:v>
      </x:c>
      <x:c r="C1839" s="43" t="str">
        <x:v>.docx</x:v>
      </x:c>
      <x:c r="D1839" s="61" t="n">
        <x:v>111070</x:v>
      </x:c>
      <x:c r="E1839" s="61" t="n">
        <x:v>163</x:v>
      </x:c>
      <x:c r="F1839" s="61" t="n">
        <x:v>2</x:v>
      </x:c>
    </x:row>
    <x:row r="1840">
      <x:c r="A1840" s="43" t="str">
        <x:v>L2021-00037-1</x:v>
      </x:c>
      <x:c r="B1840" s="46" t="str">
        <x:v>L2021-00037-1/4. Bid Document-2_(21.11.04_Maternal &amp; Child Health).docx</x:v>
      </x:c>
      <x:c r="C1840" s="43" t="str">
        <x:v>.docx</x:v>
      </x:c>
      <x:c r="D1840" s="61" t="n">
        <x:v>239625</x:v>
      </x:c>
      <x:c r="E1840" s="61" t="n">
        <x:v>611</x:v>
      </x:c>
      <x:c r="F1840" s="61" t="n">
        <x:v>0</x:v>
      </x:c>
    </x:row>
    <x:row r="1841">
      <x:c r="A1841" s="43" t="str">
        <x:v>L2021-00037-1</x:v>
      </x:c>
      <x:c r="B1841" s="46" t="str">
        <x:v>L2021-00037-1/5. Pre-Bid Meeting_(21.11.04_Maternal &amp; Child Health).pdf</x:v>
      </x:c>
      <x:c r="C1841" s="43" t="str">
        <x:v>.pdf</x:v>
      </x:c>
      <x:c r="D1841" s="61" t="n">
        <x:v>1997834</x:v>
      </x:c>
      <x:c r="E1841" s="61" t="n">
        <x:v>29</x:v>
      </x:c>
      <x:c r="F1841" s="61" t="n">
        <x:v>2</x:v>
      </x:c>
    </x:row>
    <x:row r="1842">
      <x:c r="A1842" s="43" t="str">
        <x:v>L2021-00036-1</x:v>
      </x:c>
      <x:c r="B1842" s="46" t="str">
        <x:v>L2021-00036-1/[붙임] 입찰 서류_11.1.docx</x:v>
      </x:c>
      <x:c r="C1842" s="43" t="str">
        <x:v>.docx</x:v>
      </x:c>
      <x:c r="D1842" s="61" t="n">
        <x:v>710706</x:v>
      </x:c>
      <x:c r="E1842" s="61" t="n">
        <x:v>864</x:v>
      </x:c>
      <x:c r="F1842" s="61" t="n">
        <x:v>12</x:v>
      </x:c>
    </x:row>
    <x:row r="1843">
      <x:c r="A1843" s="43" t="str">
        <x:v>L2021-00031-1</x:v>
      </x:c>
      <x:c r="B1843" s="46" t="str">
        <x:v>L2021-00031-1/1. RFP (Request for Proposal)_1021.docx</x:v>
      </x:c>
      <x:c r="C1843" s="43" t="str">
        <x:v>.docx</x:v>
      </x:c>
      <x:c r="D1843" s="61" t="n">
        <x:v>371792</x:v>
      </x:c>
      <x:c r="E1843" s="61" t="n">
        <x:v>33</x:v>
      </x:c>
      <x:c r="F1843" s="61" t="n">
        <x:v>2</x:v>
      </x:c>
    </x:row>
    <x:row r="1844">
      <x:c r="A1844" s="43" t="str">
        <x:v>L2021-00031-1</x:v>
      </x:c>
      <x:c r="B1844" s="46" t="str">
        <x:v>L2021-00031-1/2. Chapters.zip</x:v>
      </x:c>
      <x:c r="C1844" s="43" t="str">
        <x:v>.zip</x:v>
      </x:c>
      <x:c r="D1844" s="61" t="n">
        <x:v>50990462</x:v>
      </x:c>
      <x:c r="E1844" s="61" t="n">
        <x:v>0</x:v>
      </x:c>
      <x:c r="F1844" s="61" t="n">
        <x:v>0</x:v>
      </x:c>
    </x:row>
    <x:row r="1845">
      <x:c r="A1845" s="43" t="str">
        <x:v>L2021-00031-1</x:v>
      </x:c>
      <x:c r="B1845" s="46" t="str">
        <x:v>L2021-00031-1/2. Chapters/Chapter 1. Invitation for Pre-Qualification_1020.docx</x:v>
      </x:c>
      <x:c r="C1845" s="43" t="str">
        <x:v>.docx</x:v>
      </x:c>
      <x:c r="D1845" s="61" t="n">
        <x:v>26332</x:v>
      </x:c>
      <x:c r="E1845" s="61" t="n">
        <x:v>64</x:v>
      </x:c>
      <x:c r="F1845" s="61" t="n">
        <x:v>3</x:v>
      </x:c>
    </x:row>
    <x:row r="1846">
      <x:c r="A1846" s="43" t="str">
        <x:v>L2021-00031-1</x:v>
      </x:c>
      <x:c r="B1846" s="46" t="str">
        <x:v>L2021-00031-1/2. Chapters/Chapter 2. Bid BoQ_1021.zip</x:v>
      </x:c>
      <x:c r="C1846" s="43" t="str">
        <x:v>.zip</x:v>
      </x:c>
      <x:c r="D1846" s="61" t="n">
        <x:v>196888</x:v>
      </x:c>
      <x:c r="E1846" s="61" t="n">
        <x:v>0</x:v>
      </x:c>
      <x:c r="F1846" s="61" t="n">
        <x:v>0</x:v>
      </x:c>
    </x:row>
    <x:row r="1847">
      <x:c r="A1847" s="43" t="str">
        <x:v>L2021-00031-1</x:v>
      </x:c>
      <x:c r="B1847" s="46" t="str">
        <x:v>L2021-00031-1/2. Chapters/Chapter 3. Instructions on International Bidding for Construction Works_1016.docx</x:v>
      </x:c>
      <x:c r="C1847" s="43" t="str">
        <x:v>.docx</x:v>
      </x:c>
      <x:c r="D1847" s="61" t="n">
        <x:v>47442</x:v>
      </x:c>
      <x:c r="E1847" s="61" t="n">
        <x:v>203</x:v>
      </x:c>
      <x:c r="F1847" s="61" t="n">
        <x:v>0</x:v>
      </x:c>
    </x:row>
    <x:row r="1848">
      <x:c r="A1848" s="43" t="str">
        <x:v>L2021-00031-1</x:v>
      </x:c>
      <x:c r="B1848" s="46" t="str">
        <x:v>L2021-00031-1/2. Chapters/Chapter 4. Contract Form_1016.docx</x:v>
      </x:c>
      <x:c r="C1848" s="43" t="str">
        <x:v>.docx</x:v>
      </x:c>
      <x:c r="D1848" s="61" t="n">
        <x:v>20911</x:v>
      </x:c>
      <x:c r="E1848" s="61" t="n">
        <x:v>31</x:v>
      </x:c>
      <x:c r="F1848" s="61" t="n">
        <x:v>0</x:v>
      </x:c>
    </x:row>
    <x:row r="1849">
      <x:c r="A1849" s="43" t="str">
        <x:v>L2021-00031-1</x:v>
      </x:c>
      <x:c r="B1849" s="46" t="str">
        <x:v>L2021-00031-1/2. Chapters/Chapter 5. Conditions of Contract (GCC, SCC)_1020.docx</x:v>
      </x:c>
      <x:c r="C1849" s="43" t="str">
        <x:v>.docx</x:v>
      </x:c>
      <x:c r="D1849" s="61" t="n">
        <x:v>115887</x:v>
      </x:c>
      <x:c r="E1849" s="61" t="n">
        <x:v>501</x:v>
      </x:c>
      <x:c r="F1849" s="61" t="n">
        <x:v>1</x:v>
      </x:c>
    </x:row>
    <x:row r="1850">
      <x:c r="A1850" s="43" t="str">
        <x:v>L2021-00031-1</x:v>
      </x:c>
      <x:c r="B1850" s="46" t="str">
        <x:v>L2021-00031-1/2. Chapters/Chapter 6. Construction Drawing and Specification_1016.zip</x:v>
      </x:c>
      <x:c r="C1850" s="43" t="str">
        <x:v>.zip</x:v>
      </x:c>
      <x:c r="D1850" s="61" t="n">
        <x:v>50239027</x:v>
      </x:c>
      <x:c r="E1850" s="61" t="n">
        <x:v>0</x:v>
      </x:c>
      <x:c r="F1850" s="61" t="n">
        <x:v>0</x:v>
      </x:c>
    </x:row>
    <x:row r="1851">
      <x:c r="A1851" s="43" t="str">
        <x:v>L2021-00031-1</x:v>
      </x:c>
      <x:c r="B1851" s="46" t="str">
        <x:v>L2021-00031-1/2. Chapters/Chapter 7. Action Pledge to Integrate Human Rights into Business Management_1016.docx</x:v>
      </x:c>
      <x:c r="C1851" s="43" t="str">
        <x:v>.docx</x:v>
      </x:c>
      <x:c r="D1851" s="61" t="n">
        <x:v>14488</x:v>
      </x:c>
      <x:c r="E1851" s="61" t="n">
        <x:v>15</x:v>
      </x:c>
      <x:c r="F1851" s="61" t="n">
        <x:v>0</x:v>
      </x:c>
    </x:row>
    <x:row r="1852">
      <x:c r="A1852" s="43" t="str">
        <x:v>L2021-00031-1</x:v>
      </x:c>
      <x:c r="B1852" s="46" t="str">
        <x:v>L2021-00031-1/2. Chapters/Chapter 8. Safety Management Manual(ENG).pdf</x:v>
      </x:c>
      <x:c r="C1852" s="43" t="str">
        <x:v>.pdf</x:v>
      </x:c>
      <x:c r="D1852" s="61" t="n">
        <x:v>378337</x:v>
      </x:c>
      <x:c r="E1852" s="61" t="n">
        <x:v>37</x:v>
      </x:c>
      <x:c r="F1852" s="61" t="n">
        <x:v>4</x:v>
      </x:c>
    </x:row>
    <x:row r="1853">
      <x:c r="A1853" s="43" t="str">
        <x:v>L2021-00031-1</x:v>
      </x:c>
      <x:c r="B1853" s="46" t="str">
        <x:v>L2021-00031-1/3. Attachments.zip</x:v>
      </x:c>
      <x:c r="C1853" s="43" t="str">
        <x:v>.zip</x:v>
      </x:c>
      <x:c r="D1853" s="61" t="n">
        <x:v>179112</x:v>
      </x:c>
      <x:c r="E1853" s="61" t="n">
        <x:v>0</x:v>
      </x:c>
      <x:c r="F1853" s="61" t="n">
        <x:v>0</x:v>
      </x:c>
    </x:row>
    <x:row r="1854">
      <x:c r="A1854" s="43" t="str">
        <x:v>L2021-00031-1</x:v>
      </x:c>
      <x:c r="B1854" s="46" t="str">
        <x:v>L2021-00031-1/3. Attachments/Attachment 1-1. Affidavit of Non-Litigation_1016.docx</x:v>
      </x:c>
      <x:c r="C1854" s="43" t="str">
        <x:v>.docx</x:v>
      </x:c>
      <x:c r="D1854" s="61" t="n">
        <x:v>17520</x:v>
      </x:c>
      <x:c r="E1854" s="61" t="n">
        <x:v>11</x:v>
      </x:c>
      <x:c r="F1854" s="61" t="n">
        <x:v>0</x:v>
      </x:c>
    </x:row>
    <x:row r="1855">
      <x:c r="A1855" s="43" t="str">
        <x:v>L2021-00031-1</x:v>
      </x:c>
      <x:c r="B1855" s="46" t="str">
        <x:v>L2021-00031-1/3. Attachments/Attachment 1-2. Checklist of PQ Documents_1016.xlsx</x:v>
      </x:c>
      <x:c r="C1855" s="43" t="str">
        <x:v>.xlsx</x:v>
      </x:c>
      <x:c r="D1855" s="61" t="n">
        <x:v>13208</x:v>
      </x:c>
      <x:c r="E1855" s="61" t="n">
        <x:v>14</x:v>
      </x:c>
      <x:c r="F1855" s="61" t="n">
        <x:v>0</x:v>
      </x:c>
    </x:row>
    <x:row r="1856">
      <x:c r="A1856" s="43" t="str">
        <x:v>L2021-00031-1</x:v>
      </x:c>
      <x:c r="B1856" s="46" t="str">
        <x:v>L2021-00031-1/3. Attachments/Attachment 1. Pre-Qualification Application Form_1020.docx</x:v>
      </x:c>
      <x:c r="C1856" s="43" t="str">
        <x:v>.docx</x:v>
      </x:c>
      <x:c r="D1856" s="61" t="n">
        <x:v>34206</x:v>
      </x:c>
      <x:c r="E1856" s="61" t="n">
        <x:v>39</x:v>
      </x:c>
      <x:c r="F1856" s="61" t="n">
        <x:v>1</x:v>
      </x:c>
    </x:row>
    <x:row r="1857">
      <x:c r="A1857" s="43" t="str">
        <x:v>L2021-00031-1</x:v>
      </x:c>
      <x:c r="B1857" s="46" t="str">
        <x:v>L2021-00031-1/3. Attachments/Attachment 2. Letter of Undertaking_1016.docx</x:v>
      </x:c>
      <x:c r="C1857" s="43" t="str">
        <x:v>.docx</x:v>
      </x:c>
      <x:c r="D1857" s="61" t="n">
        <x:v>24228</x:v>
      </x:c>
      <x:c r="E1857" s="61" t="n">
        <x:v>11</x:v>
      </x:c>
      <x:c r="F1857" s="61" t="n">
        <x:v>0</x:v>
      </x:c>
    </x:row>
    <x:row r="1858">
      <x:c r="A1858" s="43" t="str">
        <x:v>L2021-00031-1</x:v>
      </x:c>
      <x:c r="B1858" s="46" t="str">
        <x:v>L2021-00031-1/3. Attachments/Attachment 3. Form of Bid_1016.docx</x:v>
      </x:c>
      <x:c r="C1858" s="43" t="str">
        <x:v>.docx</x:v>
      </x:c>
      <x:c r="D1858" s="61" t="n">
        <x:v>22609</x:v>
      </x:c>
      <x:c r="E1858" s="61" t="n">
        <x:v>19</x:v>
      </x:c>
      <x:c r="F1858" s="61" t="n">
        <x:v>0</x:v>
      </x:c>
    </x:row>
    <x:row r="1859">
      <x:c r="A1859" s="43" t="str">
        <x:v>L2021-00031-1</x:v>
      </x:c>
      <x:c r="B1859" s="46" t="str">
        <x:v>L2021-00031-1/3. Attachments/Attachment 4. Form of Capability Evaluation_1016.docx</x:v>
      </x:c>
      <x:c r="C1859" s="43" t="str">
        <x:v>.docx</x:v>
      </x:c>
      <x:c r="D1859" s="61" t="n">
        <x:v>29962</x:v>
      </x:c>
      <x:c r="E1859" s="61" t="n">
        <x:v>50</x:v>
      </x:c>
      <x:c r="F1859" s="61" t="n">
        <x:v>0</x:v>
      </x:c>
    </x:row>
    <x:row r="1860">
      <x:c r="A1860" s="43" t="str">
        <x:v>L2021-00031-1</x:v>
      </x:c>
      <x:c r="B1860" s="46" t="str">
        <x:v>L2021-00031-1/3. Attachments/Attachment 5. Security Forms_1016.docx</x:v>
      </x:c>
      <x:c r="C1860" s="43" t="str">
        <x:v>.docx</x:v>
      </x:c>
      <x:c r="D1860" s="61" t="n">
        <x:v>30072</x:v>
      </x:c>
      <x:c r="E1860" s="61" t="n">
        <x:v>91</x:v>
      </x:c>
      <x:c r="F1860" s="61" t="n">
        <x:v>0</x:v>
      </x:c>
    </x:row>
    <x:row r="1861">
      <x:c r="A1861" s="43" t="str">
        <x:v>L2021-00031-1</x:v>
      </x:c>
      <x:c r="B1861" s="46" t="str">
        <x:v>L2021-00031-1/3. Attachments/Attachment 6. Declaration of Anti-Corruption_1016.docx</x:v>
      </x:c>
      <x:c r="C1861" s="43" t="str">
        <x:v>.docx</x:v>
      </x:c>
      <x:c r="D1861" s="61" t="n">
        <x:v>20113</x:v>
      </x:c>
      <x:c r="E1861" s="61" t="n">
        <x:v>27</x:v>
      </x:c>
      <x:c r="F1861" s="61" t="n">
        <x:v>0</x:v>
      </x:c>
    </x:row>
    <x:row r="1862">
      <x:c r="A1862" s="43" t="str">
        <x:v>L2021-00031-1</x:v>
      </x:c>
      <x:c r="B1862" s="46" t="str">
        <x:v>L2021-00031-1/3. Attachments/Attachment 7. Checklist of Bid Documents_1016.xlsx</x:v>
      </x:c>
      <x:c r="C1862" s="43" t="str">
        <x:v>.xlsx</x:v>
      </x:c>
      <x:c r="D1862" s="61" t="n">
        <x:v>13847</x:v>
      </x:c>
      <x:c r="E1862" s="61" t="n">
        <x:v>15</x:v>
      </x:c>
      <x:c r="F1862" s="61" t="n">
        <x:v>0</x:v>
      </x:c>
    </x:row>
    <x:row r="1863">
      <x:c r="A1863" s="43" t="str">
        <x:v>L2021-00031-1</x:v>
      </x:c>
      <x:c r="B1863" s="46" t="str">
        <x:v>L2021-00031-1/PQ notice_1022.jpeg</x:v>
      </x:c>
      <x:c r="C1863" s="43" t="str">
        <x:v>.jpeg</x:v>
      </x:c>
      <x:c r="D1863" s="61" t="n">
        <x:v>482562</x:v>
      </x:c>
      <x:c r="E1863" s="61" t="n">
        <x:v>0</x:v>
      </x:c>
      <x:c r="F1863" s="61" t="n">
        <x:v>0</x:v>
      </x:c>
    </x:row>
    <x:row r="1864">
      <x:c r="A1864" s="43" t="str">
        <x:v>L2021-00031-1</x:v>
      </x:c>
      <x:c r="B1864" s="46" t="str">
        <x:v>L2021-00031-1/붙임1. 태양전지 인증시험소 시공업체 선정 국문 입찰계획안_최종.hwp</x:v>
      </x:c>
      <x:c r="C1864" s="43" t="str">
        <x:v>.hwp</x:v>
      </x:c>
      <x:c r="D1864" s="61" t="n">
        <x:v>150528</x:v>
      </x:c>
      <x:c r="E1864" s="61" t="n">
        <x:v>486</x:v>
      </x:c>
      <x:c r="F1864" s="61" t="n">
        <x:v>9</x:v>
      </x:c>
    </x:row>
    <x:row r="1865">
      <x:c r="A1865" s="43" t="str">
        <x:v>L2021-00031-1</x:v>
      </x:c>
      <x:c r="B1865" s="46" t="str">
        <x:v>L2021-00031-1/붙임5. CM사 공문.hwp</x:v>
      </x:c>
      <x:c r="C1865" s="43" t="str">
        <x:v>.hwp</x:v>
      </x:c>
      <x:c r="D1865" s="61" t="n">
        <x:v>205824</x:v>
      </x:c>
      <x:c r="E1865" s="61" t="n">
        <x:v>2</x:v>
      </x:c>
      <x:c r="F1865" s="61" t="n">
        <x:v>0</x:v>
      </x:c>
    </x:row>
    <x:row r="1866">
      <x:c r="A1866" s="43" t="str">
        <x:v>L2021-00030-1</x:v>
      </x:c>
      <x:c r="B1866" s="46" t="str">
        <x:v>L2021-00030-1/0 Bidding Guideline for Construction Contractor_Hangar.docx</x:v>
      </x:c>
      <x:c r="C1866" s="43" t="str">
        <x:v>.docx</x:v>
      </x:c>
      <x:c r="D1866" s="61" t="n">
        <x:v>137514</x:v>
      </x:c>
      <x:c r="E1866" s="61" t="n">
        <x:v>249</x:v>
      </x:c>
      <x:c r="F1866" s="61" t="n">
        <x:v>10</x:v>
      </x:c>
    </x:row>
    <x:row r="1867">
      <x:c r="A1867" s="43" t="str">
        <x:v>L2021-00030-1</x:v>
      </x:c>
      <x:c r="B1867" s="46" t="str">
        <x:v>L2021-00030-1/1.0 Section I. Invitation for Bids_Hangar_Contractor.docx</x:v>
      </x:c>
      <x:c r="C1867" s="43" t="str">
        <x:v>.docx</x:v>
      </x:c>
      <x:c r="D1867" s="61" t="n">
        <x:v>53618</x:v>
      </x:c>
      <x:c r="E1867" s="61" t="n">
        <x:v>90</x:v>
      </x:c>
      <x:c r="F1867" s="61" t="n">
        <x:v>2</x:v>
      </x:c>
    </x:row>
    <x:row r="1868">
      <x:c r="A1868" s="43" t="str">
        <x:v>L2021-00030-1</x:v>
      </x:c>
      <x:c r="B1868" s="46" t="str">
        <x:v>L2021-00030-1/2.0 Section II. Instructions to Bidders and Bid Data Sheet_Hangar_Contractor.docx</x:v>
      </x:c>
      <x:c r="C1868" s="43" t="str">
        <x:v>.docx</x:v>
      </x:c>
      <x:c r="D1868" s="61" t="n">
        <x:v>75125</x:v>
      </x:c>
      <x:c r="E1868" s="61" t="n">
        <x:v>198</x:v>
      </x:c>
      <x:c r="F1868" s="61" t="n">
        <x:v>0</x:v>
      </x:c>
    </x:row>
    <x:row r="1869">
      <x:c r="A1869" s="43" t="str">
        <x:v>L2021-00030-1</x:v>
      </x:c>
      <x:c r="B1869" s="46" t="str">
        <x:v>L2021-00030-1/3.0 Section III. Bidding Forms_Hangar_Contractor.docx</x:v>
      </x:c>
      <x:c r="C1869" s="43" t="str">
        <x:v>.docx</x:v>
      </x:c>
      <x:c r="D1869" s="61" t="n">
        <x:v>58569</x:v>
      </x:c>
      <x:c r="E1869" s="61" t="n">
        <x:v>114</x:v>
      </x:c>
      <x:c r="F1869" s="61" t="n">
        <x:v>1</x:v>
      </x:c>
    </x:row>
    <x:row r="1870">
      <x:c r="A1870" s="43" t="str">
        <x:v>L2021-00030-1</x:v>
      </x:c>
      <x:c r="B1870" s="46" t="str">
        <x:v>L2021-00030-1/4.0 Section IV. Scope of Works_Hangar_Contractor.docx</x:v>
      </x:c>
      <x:c r="C1870" s="43" t="str">
        <x:v>.docx</x:v>
      </x:c>
      <x:c r="D1870" s="61" t="n">
        <x:v>49203</x:v>
      </x:c>
      <x:c r="E1870" s="61" t="n">
        <x:v>202</x:v>
      </x:c>
      <x:c r="F1870" s="61" t="n">
        <x:v>2</x:v>
      </x:c>
    </x:row>
    <x:row r="1871">
      <x:c r="A1871" s="43" t="str">
        <x:v>L2021-00030-1</x:v>
      </x:c>
      <x:c r="B1871" s="46" t="str">
        <x:v>L2021-00030-1/5.0. Section V. Conditions of Contract_Hangar_Contractor.docx</x:v>
      </x:c>
      <x:c r="C1871" s="43" t="str">
        <x:v>.docx</x:v>
      </x:c>
      <x:c r="D1871" s="61" t="n">
        <x:v>64717</x:v>
      </x:c>
      <x:c r="E1871" s="61" t="n">
        <x:v>468</x:v>
      </x:c>
      <x:c r="F1871" s="61" t="n">
        <x:v>0</x:v>
      </x:c>
    </x:row>
    <x:row r="1872">
      <x:c r="A1872" s="43" t="str">
        <x:v>L2021-00030-1</x:v>
      </x:c>
      <x:c r="B1872" s="46" t="str">
        <x:v>L2021-00030-1/파라과이 항공교육센터 격납고_시공 입찰계획서.hwp</x:v>
      </x:c>
      <x:c r="C1872" s="43" t="str">
        <x:v>.hwp</x:v>
      </x:c>
      <x:c r="D1872" s="61" t="n">
        <x:v>46080</x:v>
      </x:c>
      <x:c r="E1872" s="61" t="n">
        <x:v>447</x:v>
      </x:c>
      <x:c r="F1872" s="61" t="n">
        <x:v>8</x:v>
      </x:c>
    </x:row>
    <x:row r="1873">
      <x:c r="A1873" s="43" t="str">
        <x:v>L2021-00029-1</x:v>
      </x:c>
      <x:c r="B1873" s="46" t="str">
        <x:v>L2021-00029-1/ORC시공사선정 입찰공고.pdf</x:v>
      </x:c>
      <x:c r="C1873" s="43" t="str">
        <x:v>.pdf</x:v>
      </x:c>
      <x:c r="D1873" s="61" t="n">
        <x:v>337288</x:v>
      </x:c>
      <x:c r="E1873" s="61" t="n">
        <x:v>1</x:v>
      </x:c>
      <x:c r="F1873" s="61" t="n">
        <x:v>0</x:v>
      </x:c>
    </x:row>
    <x:row r="1874">
      <x:c r="A1874" s="43" t="str">
        <x:v>L2021-00029-1</x:v>
      </x:c>
      <x:c r="B1874" s="46" t="str">
        <x:v>L2021-00029-1/국문 입찰계획서(Rev02).pdf</x:v>
      </x:c>
      <x:c r="C1874" s="43" t="str">
        <x:v>.pdf</x:v>
      </x:c>
      <x:c r="D1874" s="61" t="n">
        <x:v>270896</x:v>
      </x:c>
      <x:c r="E1874" s="61" t="n">
        <x:v>6</x:v>
      </x:c>
      <x:c r="F1874" s="61" t="n">
        <x:v>6</x:v>
      </x:c>
    </x:row>
    <x:row r="1875">
      <x:c r="A1875" s="43" t="str">
        <x:v>L2021-00029-1</x:v>
      </x:c>
      <x:c r="B1875" s="46" t="str">
        <x:v>L2021-00029-1/네팔 ORC시공업체선정 영문 RFP.pdf</x:v>
      </x:c>
      <x:c r="C1875" s="43" t="str">
        <x:v>.pdf</x:v>
      </x:c>
      <x:c r="D1875" s="61" t="n">
        <x:v>331759</x:v>
      </x:c>
      <x:c r="E1875" s="61" t="n">
        <x:v>18</x:v>
      </x:c>
      <x:c r="F1875" s="61" t="n">
        <x:v>11</x:v>
      </x:c>
    </x:row>
    <x:row r="1876">
      <x:c r="A1876" s="43" t="str">
        <x:v>L2021-00028-1</x:v>
      </x:c>
      <x:c r="B1876" s="46" t="str">
        <x:v>L2021-00028-1/(붙임 1) 한코센터 추가 IT 기자재 구매 입찰계획안_국문본(210915).hwp</x:v>
      </x:c>
      <x:c r="C1876" s="43" t="str">
        <x:v>.hwp</x:v>
      </x:c>
      <x:c r="D1876" s="61" t="n">
        <x:v>138752</x:v>
      </x:c>
      <x:c r="E1876" s="61" t="n">
        <x:v>353</x:v>
      </x:c>
      <x:c r="F1876" s="61" t="n">
        <x:v>2</x:v>
      </x:c>
    </x:row>
    <x:row r="1877">
      <x:c r="A1877" s="43" t="str">
        <x:v>L2021-00028-1</x:v>
      </x:c>
      <x:c r="B1877" s="46" t="str">
        <x:v>L2021-00028-1/(붙임 4) 입찰공고문(불문).docx</x:v>
      </x:c>
      <x:c r="C1877" s="43" t="str">
        <x:v>.docx</x:v>
      </x:c>
      <x:c r="D1877" s="61" t="n">
        <x:v>36644</x:v>
      </x:c>
      <x:c r="E1877" s="61" t="n">
        <x:v>35</x:v>
      </x:c>
      <x:c r="F1877" s="61" t="n">
        <x:v>0</x:v>
      </x:c>
    </x:row>
    <x:row r="1878">
      <x:c r="A1878" s="43" t="str">
        <x:v>L2021-00028-1</x:v>
      </x:c>
      <x:c r="B1878" s="46" t="str">
        <x:v>L2021-00028-1/(붙임 5) 제안요청서 DAO.docx</x:v>
      </x:c>
      <x:c r="C1878" s="43" t="str">
        <x:v>.docx</x:v>
      </x:c>
      <x:c r="D1878" s="61" t="n">
        <x:v>61319</x:v>
      </x:c>
      <x:c r="E1878" s="61" t="n">
        <x:v>276</x:v>
      </x:c>
      <x:c r="F1878" s="61" t="n">
        <x:v>1</x:v>
      </x:c>
    </x:row>
    <x:row r="1879">
      <x:c r="A1879" s="43" t="str">
        <x:v>L2021-00025-1</x:v>
      </x:c>
      <x:c r="B1879" s="46" t="str">
        <x:v>L2021-00025-1/2. Bid announcemet(20.08.27)_(Maternal &amp; Child Health)1.docx</x:v>
      </x:c>
      <x:c r="C1879" s="43" t="str">
        <x:v>.docx</x:v>
      </x:c>
      <x:c r="D1879" s="61" t="n">
        <x:v>32182</x:v>
      </x:c>
      <x:c r="E1879" s="61" t="n">
        <x:v>68</x:v>
      </x:c>
      <x:c r="F1879" s="61" t="n">
        <x:v>2</x:v>
      </x:c>
    </x:row>
    <x:row r="1880">
      <x:c r="A1880" s="43" t="str">
        <x:v>L2021-00025-1</x:v>
      </x:c>
      <x:c r="B1880" s="46" t="str">
        <x:v>L2021-00025-1/3. RFP_(20.08.27_Maternal &amp; Child Health).docx</x:v>
      </x:c>
      <x:c r="C1880" s="43" t="str">
        <x:v>.docx</x:v>
      </x:c>
      <x:c r="D1880" s="61" t="n">
        <x:v>4355719</x:v>
      </x:c>
      <x:c r="E1880" s="61" t="n">
        <x:v>141</x:v>
      </x:c>
      <x:c r="F1880" s="61" t="n">
        <x:v>0</x:v>
      </x:c>
    </x:row>
    <x:row r="1881">
      <x:c r="A1881" s="43" t="str">
        <x:v>L2021-00025-1</x:v>
      </x:c>
      <x:c r="B1881" s="46" t="str">
        <x:v>L2021-00025-1/4. Invitation For Bids (IFB)_(20.08.27_Maternal &amp; Child Health).docx</x:v>
      </x:c>
      <x:c r="C1881" s="43" t="str">
        <x:v>.docx</x:v>
      </x:c>
      <x:c r="D1881" s="61" t="n">
        <x:v>51052</x:v>
      </x:c>
      <x:c r="E1881" s="61" t="n">
        <x:v>16</x:v>
      </x:c>
      <x:c r="F1881" s="61" t="n">
        <x:v>0</x:v>
      </x:c>
    </x:row>
    <x:row r="1882">
      <x:c r="A1882" s="43" t="str">
        <x:v>L2021-00025-1</x:v>
      </x:c>
      <x:c r="B1882" s="46" t="str">
        <x:v>L2021-00025-1/5. Bid Document-1_(20.08.27_Maternal &amp; Child Health).docx</x:v>
      </x:c>
      <x:c r="C1882" s="43" t="str">
        <x:v>.docx</x:v>
      </x:c>
      <x:c r="D1882" s="61" t="n">
        <x:v>110521</x:v>
      </x:c>
      <x:c r="E1882" s="61" t="n">
        <x:v>161</x:v>
      </x:c>
      <x:c r="F1882" s="61" t="n">
        <x:v>2</x:v>
      </x:c>
    </x:row>
    <x:row r="1883">
      <x:c r="A1883" s="43" t="str">
        <x:v>L2021-00025-1</x:v>
      </x:c>
      <x:c r="B1883" s="46" t="str">
        <x:v>L2021-00025-1/6. Bid Document-2_(20.08.27_Maternal &amp; Child Health).docx</x:v>
      </x:c>
      <x:c r="C1883" s="43" t="str">
        <x:v>.docx</x:v>
      </x:c>
      <x:c r="D1883" s="61" t="n">
        <x:v>239315</x:v>
      </x:c>
      <x:c r="E1883" s="61" t="n">
        <x:v>611</x:v>
      </x:c>
      <x:c r="F1883" s="61" t="n">
        <x:v>0</x:v>
      </x:c>
    </x:row>
    <x:row r="1884">
      <x:c r="A1884" s="43" t="str">
        <x:v>L2021-00025-1</x:v>
      </x:c>
      <x:c r="B1884" s="46" t="str">
        <x:v>L2021-00025-1/7. Pre-Bid Meeting_(20.08.27_Maternal &amp; Child Health).pdf</x:v>
      </x:c>
      <x:c r="C1884" s="43" t="str">
        <x:v>.pdf</x:v>
      </x:c>
      <x:c r="D1884" s="61" t="n">
        <x:v>725801</x:v>
      </x:c>
      <x:c r="E1884" s="61" t="n">
        <x:v>29</x:v>
      </x:c>
      <x:c r="F1884" s="61" t="n">
        <x:v>2</x:v>
      </x:c>
    </x:row>
    <x:row r="1885">
      <x:c r="A1885" s="43" t="str">
        <x:v>L2021-00022-1</x:v>
      </x:c>
      <x:c r="B1885" s="46" t="str">
        <x:v>L2021-00022-1/(붙임 1) 한코센터 IT 기자재 입찰계획안_국문본(210622).hwp</x:v>
      </x:c>
      <x:c r="C1885" s="43" t="str">
        <x:v>.hwp</x:v>
      </x:c>
      <x:c r="D1885" s="61" t="n">
        <x:v>114176</x:v>
      </x:c>
      <x:c r="E1885" s="61" t="n">
        <x:v>389</x:v>
      </x:c>
      <x:c r="F1885" s="61" t="n">
        <x:v>2</x:v>
      </x:c>
    </x:row>
    <x:row r="1886">
      <x:c r="A1886" s="43" t="str">
        <x:v>L2021-00022-1</x:v>
      </x:c>
      <x:c r="B1886" s="46" t="str">
        <x:v>L2021-00022-1/(붙임 2) 가격조사자료 및 물량내역서.zip</x:v>
      </x:c>
      <x:c r="C1886" s="43" t="str">
        <x:v>.zip</x:v>
      </x:c>
      <x:c r="D1886" s="61" t="n">
        <x:v>1639987</x:v>
      </x:c>
      <x:c r="E1886" s="61" t="n">
        <x:v>0</x:v>
      </x:c>
      <x:c r="F1886" s="61" t="n">
        <x:v>0</x:v>
      </x:c>
    </x:row>
    <x:row r="1887">
      <x:c r="A1887" s="43" t="str">
        <x:v>L2021-00022-1</x:v>
      </x:c>
      <x:c r="B1887" s="46" t="str">
        <x:v>L2021-00022-1/(붙임 2) 가격조사자료 및 물량내역서/(║┘└╙ 2-1) ░í░▌┴╢╗τ└┌╖ß/IBR/Proforma_IBR_Services 026042021 KOICA PC ET LAPTOP (1).pdf</x:v>
      </x:c>
      <x:c r="C1887" s="43" t="str">
        <x:v>.pdf</x:v>
      </x:c>
      <x:c r="D1887" s="61" t="n">
        <x:v>166115</x:v>
      </x:c>
      <x:c r="E1887" s="61" t="n">
        <x:v>2</x:v>
      </x:c>
      <x:c r="F1887" s="61" t="n">
        <x:v>0</x:v>
      </x:c>
    </x:row>
    <x:row r="1888">
      <x:c r="A1888" s="43" t="str">
        <x:v>L2021-00022-1</x:v>
      </x:c>
      <x:c r="B1888" s="46" t="str">
        <x:v>L2021-00022-1/(붙임 2) 가격조사자료 및 물량내역서/(║┘└╙ 2-1) ░í░▌┴╢╗τ└┌╖ß/phoenix/KOICA (2) (2)IMPRIMANTE 12.pdf</x:v>
      </x:c>
      <x:c r="C1888" s="43" t="str">
        <x:v>.pdf</x:v>
      </x:c>
      <x:c r="D1888" s="61" t="n">
        <x:v>310038</x:v>
      </x:c>
      <x:c r="E1888" s="61" t="n">
        <x:v>0</x:v>
      </x:c>
      <x:c r="F1888" s="61" t="n">
        <x:v>0</x:v>
      </x:c>
    </x:row>
    <x:row r="1889">
      <x:c r="A1889" s="43" t="str">
        <x:v>L2021-00022-1</x:v>
      </x:c>
      <x:c r="B1889" s="46" t="str">
        <x:v>L2021-00022-1/(붙임 2) 가격조사자료 및 물량내역서/(║┘└╙ 2-1) ░í░▌┴╢╗τ└┌╖ß/phoenix/KOICA ORDI 11 (1).pdf</x:v>
      </x:c>
      <x:c r="C1889" s="43" t="str">
        <x:v>.pdf</x:v>
      </x:c>
      <x:c r="D1889" s="61" t="n">
        <x:v>357228</x:v>
      </x:c>
      <x:c r="E1889" s="61" t="n">
        <x:v>0</x:v>
      </x:c>
      <x:c r="F1889" s="61" t="n">
        <x:v>0</x:v>
      </x:c>
    </x:row>
    <x:row r="1890">
      <x:c r="A1890" s="43" t="str">
        <x:v>L2021-00022-1</x:v>
      </x:c>
      <x:c r="B1890" s="46" t="str">
        <x:v>L2021-00022-1/(붙임 2) 가격조사자료 및 물량내역서/(║┘└╙ 2-1) ░í░▌┴╢╗τ└┌╖ß/synopse/Proforma Koica r_vis_e -  Imprimantes.pdf</x:v>
      </x:c>
      <x:c r="C1890" s="43" t="str">
        <x:v>.pdf</x:v>
      </x:c>
      <x:c r="D1890" s="61" t="n">
        <x:v>533291</x:v>
      </x:c>
      <x:c r="E1890" s="61" t="n">
        <x:v>1</x:v>
      </x:c>
      <x:c r="F1890" s="61" t="n">
        <x:v>0</x:v>
      </x:c>
    </x:row>
    <x:row r="1891">
      <x:c r="A1891" s="43" t="str">
        <x:v>L2021-00022-1</x:v>
      </x:c>
      <x:c r="B1891" s="46" t="str">
        <x:v>L2021-00022-1/(붙임 2) 가격조사자료 및 물량내역서/(║┘└╙ 2-1) ░í░▌┴╢╗τ└┌╖ß/synopse/Proforma Koica revis_ -  Ordinateurs.pdf</x:v>
      </x:c>
      <x:c r="C1891" s="43" t="str">
        <x:v>.pdf</x:v>
      </x:c>
      <x:c r="D1891" s="61" t="n">
        <x:v>560006</x:v>
      </x:c>
      <x:c r="E1891" s="61" t="n">
        <x:v>1</x:v>
      </x:c>
      <x:c r="F1891" s="61" t="n">
        <x:v>0</x:v>
      </x:c>
    </x:row>
    <x:row r="1892">
      <x:c r="A1892" s="43" t="str">
        <x:v>L2021-00022-1</x:v>
      </x:c>
      <x:c r="B1892" s="46" t="str">
        <x:v>L2021-00022-1/(붙임 2) 가격조사자료 및 물량내역서/(║┘└╙ 2-2) ╣░╖«│╗┐¬╝¡ BoQ(210609).xlsx</x:v>
      </x:c>
      <x:c r="C1892" s="43" t="str">
        <x:v>.xlsx</x:v>
      </x:c>
      <x:c r="D1892" s="61" t="n">
        <x:v>12901</x:v>
      </x:c>
      <x:c r="E1892" s="61" t="n">
        <x:v>9</x:v>
      </x:c>
      <x:c r="F1892" s="61" t="n">
        <x:v>0</x:v>
      </x:c>
    </x:row>
    <x:row r="1893">
      <x:c r="A1893" s="43" t="str">
        <x:v>L2021-00022-1</x:v>
      </x:c>
      <x:c r="B1893" s="46" t="str">
        <x:v>L2021-00022-1/(붙임 3) 센터측 긴급입찰 요청 공한.pdf</x:v>
      </x:c>
      <x:c r="C1893" s="43" t="str">
        <x:v>.pdf</x:v>
      </x:c>
      <x:c r="D1893" s="61" t="n">
        <x:v>335596</x:v>
      </x:c>
      <x:c r="E1893" s="61" t="n">
        <x:v>2</x:v>
      </x:c>
      <x:c r="F1893" s="61" t="n">
        <x:v>0</x:v>
      </x:c>
    </x:row>
    <x:row r="1894">
      <x:c r="A1894" s="43" t="str">
        <x:v>L2021-00022-1</x:v>
      </x:c>
      <x:c r="B1894" s="46" t="str">
        <x:v>L2021-00022-1/(붙임 4) 입찰공고문_불문본(210623).docx</x:v>
      </x:c>
      <x:c r="C1894" s="43" t="str">
        <x:v>.docx</x:v>
      </x:c>
      <x:c r="D1894" s="61" t="n">
        <x:v>33820</x:v>
      </x:c>
      <x:c r="E1894" s="61" t="n">
        <x:v>35</x:v>
      </x:c>
      <x:c r="F1894" s="61" t="n">
        <x:v>0</x:v>
      </x:c>
    </x:row>
    <x:row r="1895">
      <x:c r="A1895" s="43" t="str">
        <x:v>L2021-00022-1</x:v>
      </x:c>
      <x:c r="B1895" s="46" t="str">
        <x:v>L2021-00022-1/(붙임 5) 제안요청서_불문본(210623).docx</x:v>
      </x:c>
      <x:c r="C1895" s="43" t="str">
        <x:v>.docx</x:v>
      </x:c>
      <x:c r="D1895" s="61" t="n">
        <x:v>62360</x:v>
      </x:c>
      <x:c r="E1895" s="61" t="n">
        <x:v>296</x:v>
      </x:c>
      <x:c r="F1895" s="61" t="n">
        <x:v>1</x:v>
      </x:c>
    </x:row>
    <x:row r="1896">
      <x:c r="A1896" s="43" t="str">
        <x:v>L2021-00022-1</x:v>
      </x:c>
      <x:c r="B1896" s="46" t="str">
        <x:v>L2021-00022-1/(붙임 6) 코트디부아르 공공계약규정(Code-Marches-Publics-Ordonnance).pdf</x:v>
      </x:c>
      <x:c r="C1896" s="43" t="str">
        <x:v>.pdf</x:v>
      </x:c>
      <x:c r="D1896" s="61" t="n">
        <x:v>1911490</x:v>
      </x:c>
      <x:c r="E1896" s="61" t="n">
        <x:v>44</x:v>
      </x:c>
      <x:c r="F1896" s="61" t="n">
        <x:v>18</x:v>
      </x:c>
    </x:row>
    <x:row r="1897">
      <x:c r="A1897" s="43" t="str">
        <x:v>L2021-00022-1</x:v>
      </x:c>
      <x:c r="B1897" s="46" t="str">
        <x:v>L2021-00022-1/(붙임 7) 입찰공고비용 Invoice.zip</x:v>
      </x:c>
      <x:c r="C1897" s="43" t="str">
        <x:v>.zip</x:v>
      </x:c>
      <x:c r="D1897" s="61" t="n">
        <x:v>835488</x:v>
      </x:c>
      <x:c r="E1897" s="61" t="n">
        <x:v>0</x:v>
      </x:c>
      <x:c r="F1897" s="61" t="n">
        <x:v>0</x:v>
      </x:c>
    </x:row>
    <x:row r="1898">
      <x:c r="A1898" s="43" t="str">
        <x:v>L2021-00022-1</x:v>
      </x:c>
      <x:c r="B1898" s="46" t="str">
        <x:v>L2021-00022-1/(붙임 7) 입찰공고비용 Invoice/(║┘└╙ 7-1) Abidjan.net └╬║╕└╠╜║.pdf</x:v>
      </x:c>
      <x:c r="C1898" s="43" t="str">
        <x:v>.pdf</x:v>
      </x:c>
      <x:c r="D1898" s="61" t="n">
        <x:v>58119</x:v>
      </x:c>
      <x:c r="E1898" s="61" t="n">
        <x:v>1</x:v>
      </x:c>
      <x:c r="F1898" s="61" t="n">
        <x:v>0</x:v>
      </x:c>
    </x:row>
    <x:row r="1899">
      <x:c r="A1899" s="43" t="str">
        <x:v>L2021-00022-1</x:v>
      </x:c>
      <x:c r="B1899" s="46" t="str">
        <x:v>L2021-00022-1/(붙임 7) 입찰공고비용 Invoice/(║┘└╙ 7-2) EDUCARRIERE └╬║╕└╠╜║.pdf</x:v>
      </x:c>
      <x:c r="C1899" s="43" t="str">
        <x:v>.pdf</x:v>
      </x:c>
      <x:c r="D1899" s="61" t="n">
        <x:v>678880</x:v>
      </x:c>
      <x:c r="E1899" s="61" t="n">
        <x:v>1</x:v>
      </x:c>
      <x:c r="F1899" s="61" t="n">
        <x:v>1</x:v>
      </x:c>
    </x:row>
    <x:row r="1900">
      <x:c r="A1900" s="43" t="str">
        <x:v>L2021-00022-1</x:v>
      </x:c>
      <x:c r="B1900" s="46" t="str">
        <x:v>L2021-00022-1/(붙임 7) 입찰공고비용 Invoice/(║┘└╙ 7-3) Fraternite Matin └╬║╕└╠╜║.pdf</x:v>
      </x:c>
      <x:c r="C1900" s="43" t="str">
        <x:v>.pdf</x:v>
      </x:c>
      <x:c r="D1900" s="61" t="n">
        <x:v>144940</x:v>
      </x:c>
      <x:c r="E1900" s="61" t="n">
        <x:v>1</x:v>
      </x:c>
      <x:c r="F1900" s="61" t="n">
        <x:v>0</x:v>
      </x:c>
    </x:row>
    <x:row r="1901">
      <x:c r="A1901" s="43" t="str">
        <x:v>L2021-00019-1</x:v>
      </x:c>
      <x:c r="B1901" s="46" t="str">
        <x:v>L2021-00019-1/02 라오스_RMNCH&amp;GENDER Bid Announcement Rev03 (20210528).doc</x:v>
      </x:c>
      <x:c r="C1901" s="43" t="str">
        <x:v>.doc</x:v>
      </x:c>
      <x:c r="D1901" s="61" t="n">
        <x:v>75776</x:v>
      </x:c>
      <x:c r="E1901" s="61" t="n">
        <x:v>19</x:v>
      </x:c>
      <x:c r="F1901" s="61" t="n">
        <x:v>4</x:v>
      </x:c>
    </x:row>
    <x:row r="1902">
      <x:c r="A1902" s="43" t="str">
        <x:v>L2021-00018-1</x:v>
      </x:c>
      <x:c r="B1902" s="46" t="str">
        <x:v>L2021-00018-1/1. RFP 023 2020 - Tender Document and Annexes_ ANCCESS PROJECT.pdf</x:v>
      </x:c>
      <x:c r="C1902" s="43" t="str">
        <x:v>.pdf</x:v>
      </x:c>
      <x:c r="D1902" s="61" t="n">
        <x:v>2053850</x:v>
      </x:c>
      <x:c r="E1902" s="61" t="n">
        <x:v>75</x:v>
      </x:c>
      <x:c r="F1902" s="61" t="n">
        <x:v>13</x:v>
      </x:c>
    </x:row>
    <x:row r="1903">
      <x:c r="A1903" s="43" t="str">
        <x:v>L2021-00018-1</x:v>
      </x:c>
      <x:c r="B1903" s="46" t="str">
        <x:v>L2021-00018-1/2. Returnable Bidding Forms_ACCESS PROJECT.docx</x:v>
      </x:c>
      <x:c r="C1903" s="43" t="str">
        <x:v>.docx</x:v>
      </x:c>
      <x:c r="D1903" s="61" t="n">
        <x:v>73560</x:v>
      </x:c>
      <x:c r="E1903" s="61" t="n">
        <x:v>228</x:v>
      </x:c>
      <x:c r="F1903" s="61" t="n">
        <x:v>0</x:v>
      </x:c>
    </x:row>
    <x:row r="1904">
      <x:c r="A1904" s="43" t="str">
        <x:v>L2021-00018-1</x:v>
      </x:c>
      <x:c r="B1904" s="46" t="str">
        <x:v>L2021-00018-1/3. Sample Written-Self Declaration_ACCESS PROJECT.docx</x:v>
      </x:c>
      <x:c r="C1904" s="43" t="str">
        <x:v>.docx</x:v>
      </x:c>
      <x:c r="D1904" s="61" t="n">
        <x:v>24923</x:v>
      </x:c>
      <x:c r="E1904" s="61" t="n">
        <x:v>13</x:v>
      </x:c>
      <x:c r="F1904" s="61" t="n">
        <x:v>0</x:v>
      </x:c>
    </x:row>
    <x:row r="1905">
      <x:c r="A1905" s="43" t="str">
        <x:v>L2021-00018-1</x:v>
      </x:c>
      <x:c r="B1905" s="46" t="str">
        <x:v>L2021-00018-1/4. E-Tendering User Guide_ACCESS PROJECT.pdf</x:v>
      </x:c>
      <x:c r="C1905" s="43" t="str">
        <x:v>.pdf</x:v>
      </x:c>
      <x:c r="D1905" s="61" t="n">
        <x:v>5096440</x:v>
      </x:c>
      <x:c r="E1905" s="61" t="n">
        <x:v>85</x:v>
      </x:c>
      <x:c r="F1905" s="61" t="n">
        <x:v>0</x:v>
      </x:c>
    </x:row>
    <x:row r="1906">
      <x:c r="A1906" s="43" t="str">
        <x:v>L2021-00018-1</x:v>
      </x:c>
      <x:c r="B1906" s="46" t="str">
        <x:v>L2021-00018-1/5. Frequently Asked Questions on E-Tendering_ACCESS PROJECT.pdf</x:v>
      </x:c>
      <x:c r="C1906" s="43" t="str">
        <x:v>.pdf</x:v>
      </x:c>
      <x:c r="D1906" s="61" t="n">
        <x:v>1104718</x:v>
      </x:c>
      <x:c r="E1906" s="61" t="n">
        <x:v>4</x:v>
      </x:c>
      <x:c r="F1906" s="61" t="n">
        <x:v>0</x:v>
      </x:c>
    </x:row>
    <x:row r="1907">
      <x:c r="A1907" s="43" t="str">
        <x:v>L2021-00017-1</x:v>
      </x:c>
      <x:c r="B1907" s="46" t="str">
        <x:v>L2021-00017-1/bid notice AAUR PCRWR.jpg</x:v>
      </x:c>
      <x:c r="C1907" s="43" t="str">
        <x:v>.jpg</x:v>
      </x:c>
      <x:c r="D1907" s="61" t="n">
        <x:v>281356</x:v>
      </x:c>
      <x:c r="E1907" s="61" t="n">
        <x:v>0</x:v>
      </x:c>
      <x:c r="F1907" s="61" t="n">
        <x:v>0</x:v>
      </x:c>
    </x:row>
    <x:row r="1908">
      <x:c r="A1908" s="43" t="str">
        <x:v>L2021-00017-1</x:v>
      </x:c>
      <x:c r="B1908" s="46" t="str">
        <x:v>L2021-00017-1/Bidding Documents for Distribution AAUR PCRWR_0517.zip</x:v>
      </x:c>
      <x:c r="C1908" s="43" t="str">
        <x:v>.zip</x:v>
      </x:c>
      <x:c r="D1908" s="61" t="n">
        <x:v>37079261</x:v>
      </x:c>
      <x:c r="E1908" s="61" t="n">
        <x:v>0</x:v>
      </x:c>
      <x:c r="F1908" s="61" t="n">
        <x:v>0</x:v>
      </x:c>
    </x:row>
    <x:row r="1909">
      <x:c r="A1909" s="43" t="str">
        <x:v>L2021-00017-1</x:v>
      </x:c>
      <x:c r="B1909" s="46" t="str">
        <x:v>L2021-00017-1/Bidding Documents for Distribution AAUR PCRWR_0517/Attachment 1. Form of Expression of Interest_0503.docx</x:v>
      </x:c>
      <x:c r="C1909" s="43" t="str">
        <x:v>.docx</x:v>
      </x:c>
      <x:c r="D1909" s="61" t="n">
        <x:v>18622</x:v>
      </x:c>
      <x:c r="E1909" s="61" t="n">
        <x:v>31</x:v>
      </x:c>
      <x:c r="F1909" s="61" t="n">
        <x:v>0</x:v>
      </x:c>
    </x:row>
    <x:row r="1910">
      <x:c r="A1910" s="43" t="str">
        <x:v>L2021-00017-1</x:v>
      </x:c>
      <x:c r="B1910" s="46" t="str">
        <x:v>L2021-00017-1/Bidding Documents for Distribution AAUR PCRWR_0517/Attachment 2. Letter of Undertaking_0501.docx</x:v>
      </x:c>
      <x:c r="C1910" s="43" t="str">
        <x:v>.docx</x:v>
      </x:c>
      <x:c r="D1910" s="61" t="n">
        <x:v>24114</x:v>
      </x:c>
      <x:c r="E1910" s="61" t="n">
        <x:v>11</x:v>
      </x:c>
      <x:c r="F1910" s="61" t="n">
        <x:v>0</x:v>
      </x:c>
    </x:row>
    <x:row r="1911">
      <x:c r="A1911" s="43" t="str">
        <x:v>L2021-00017-1</x:v>
      </x:c>
      <x:c r="B1911" s="46" t="str">
        <x:v>L2021-00017-1/Bidding Documents for Distribution AAUR PCRWR_0517/Attachment 3. Form of Bid_0503.docx</x:v>
      </x:c>
      <x:c r="C1911" s="43" t="str">
        <x:v>.docx</x:v>
      </x:c>
      <x:c r="D1911" s="61" t="n">
        <x:v>23639</x:v>
      </x:c>
      <x:c r="E1911" s="61" t="n">
        <x:v>19</x:v>
      </x:c>
      <x:c r="F1911" s="61" t="n">
        <x:v>0</x:v>
      </x:c>
    </x:row>
    <x:row r="1912">
      <x:c r="A1912" s="43" t="str">
        <x:v>L2021-00017-1</x:v>
      </x:c>
      <x:c r="B1912" s="46" t="str">
        <x:v>L2021-00017-1/Bidding Documents for Distribution AAUR PCRWR_0517/Attachment 4. Form of Capability Evaluation_0503.docx</x:v>
      </x:c>
      <x:c r="C1912" s="43" t="str">
        <x:v>.docx</x:v>
      </x:c>
      <x:c r="D1912" s="61" t="n">
        <x:v>32859</x:v>
      </x:c>
      <x:c r="E1912" s="61" t="n">
        <x:v>61</x:v>
      </x:c>
      <x:c r="F1912" s="61" t="n">
        <x:v>0</x:v>
      </x:c>
    </x:row>
    <x:row r="1913">
      <x:c r="A1913" s="43" t="str">
        <x:v>L2021-00017-1</x:v>
      </x:c>
      <x:c r="B1913" s="46" t="str">
        <x:v>L2021-00017-1/Bidding Documents for Distribution AAUR PCRWR_0517/Attachment 5. Security forms_0503.docx</x:v>
      </x:c>
      <x:c r="C1913" s="43" t="str">
        <x:v>.docx</x:v>
      </x:c>
      <x:c r="D1913" s="61" t="n">
        <x:v>29714</x:v>
      </x:c>
      <x:c r="E1913" s="61" t="n">
        <x:v>91</x:v>
      </x:c>
      <x:c r="F1913" s="61" t="n">
        <x:v>0</x:v>
      </x:c>
    </x:row>
    <x:row r="1914">
      <x:c r="A1914" s="43" t="str">
        <x:v>L2021-00017-1</x:v>
      </x:c>
      <x:c r="B1914" s="46" t="str">
        <x:v>L2021-00017-1/Bidding Documents for Distribution AAUR PCRWR_0517/Attachment 6. Declaration of Anti-Corruption_0503.docx</x:v>
      </x:c>
      <x:c r="C1914" s="43" t="str">
        <x:v>.docx</x:v>
      </x:c>
      <x:c r="D1914" s="61" t="n">
        <x:v>19882</x:v>
      </x:c>
      <x:c r="E1914" s="61" t="n">
        <x:v>27</x:v>
      </x:c>
      <x:c r="F1914" s="61" t="n">
        <x:v>0</x:v>
      </x:c>
    </x:row>
    <x:row r="1915">
      <x:c r="A1915" s="43" t="str">
        <x:v>L2021-00017-1</x:v>
      </x:c>
      <x:c r="B1915" s="46" t="str">
        <x:v>L2021-00017-1/Bidding Documents for Distribution AAUR PCRWR_0517/Attachment 7. List of Bid Documents_0504.xlsx</x:v>
      </x:c>
      <x:c r="C1915" s="43" t="str">
        <x:v>.xlsx</x:v>
      </x:c>
      <x:c r="D1915" s="61" t="n">
        <x:v>12812</x:v>
      </x:c>
      <x:c r="E1915" s="61" t="n">
        <x:v>16</x:v>
      </x:c>
      <x:c r="F1915" s="61" t="n">
        <x:v>0</x:v>
      </x:c>
    </x:row>
    <x:row r="1916">
      <x:c r="A1916" s="43" t="str">
        <x:v>L2021-00017-1</x:v>
      </x:c>
      <x:c r="B1916" s="46" t="str">
        <x:v>L2021-00017-1/Bidding Documents for Distribution AAUR PCRWR_0517/Chapter 1. Invitation for Bids_0507.docx</x:v>
      </x:c>
      <x:c r="C1916" s="43" t="str">
        <x:v>.docx</x:v>
      </x:c>
      <x:c r="D1916" s="61" t="n">
        <x:v>35402</x:v>
      </x:c>
      <x:c r="E1916" s="61" t="n">
        <x:v>57</x:v>
      </x:c>
      <x:c r="F1916" s="61" t="n">
        <x:v>3</x:v>
      </x:c>
    </x:row>
    <x:row r="1917">
      <x:c r="A1917" s="43" t="str">
        <x:v>L2021-00017-1</x:v>
      </x:c>
      <x:c r="B1917" s="46" t="str">
        <x:v>L2021-00017-1/Bidding Documents for Distribution AAUR PCRWR_0517/Chapter 2. Bid Data Sheet_0507.docx</x:v>
      </x:c>
      <x:c r="C1917" s="43" t="str">
        <x:v>.docx</x:v>
      </x:c>
      <x:c r="D1917" s="61" t="n">
        <x:v>59192</x:v>
      </x:c>
      <x:c r="E1917" s="61" t="n">
        <x:v>31</x:v>
      </x:c>
      <x:c r="F1917" s="61" t="n">
        <x:v>1</x:v>
      </x:c>
    </x:row>
    <x:row r="1918">
      <x:c r="A1918" s="43" t="str">
        <x:v>L2021-00017-1</x:v>
      </x:c>
      <x:c r="B1918" s="46" t="str">
        <x:v>L2021-00017-1/Bidding Documents for Distribution AAUR PCRWR_0517/Chapter 3. Bid BoQ_0503.xlsx</x:v>
      </x:c>
      <x:c r="C1918" s="43" t="str">
        <x:v>.xlsx</x:v>
      </x:c>
      <x:c r="D1918" s="61" t="n">
        <x:v>39752</x:v>
      </x:c>
      <x:c r="E1918" s="61" t="n">
        <x:v>308</x:v>
      </x:c>
      <x:c r="F1918" s="61" t="n">
        <x:v>0</x:v>
      </x:c>
    </x:row>
    <x:row r="1919">
      <x:c r="A1919" s="43" t="str">
        <x:v>L2021-00017-1</x:v>
      </x:c>
      <x:c r="B1919" s="46" t="str">
        <x:v>L2021-00017-1/Bidding Documents for Distribution AAUR PCRWR_0517/Chapter 4. Instructions on International Bidding for Construction Works_0503.docx</x:v>
      </x:c>
      <x:c r="C1919" s="43" t="str">
        <x:v>.docx</x:v>
      </x:c>
      <x:c r="D1919" s="61" t="n">
        <x:v>47518</x:v>
      </x:c>
      <x:c r="E1919" s="61" t="n">
        <x:v>203</x:v>
      </x:c>
      <x:c r="F1919" s="61" t="n">
        <x:v>0</x:v>
      </x:c>
    </x:row>
    <x:row r="1920">
      <x:c r="A1920" s="43" t="str">
        <x:v>L2021-00017-1</x:v>
      </x:c>
      <x:c r="B1920" s="46" t="str">
        <x:v>L2021-00017-1/Bidding Documents for Distribution AAUR PCRWR_0517/Chapter 5. Contract Form_0503.docx</x:v>
      </x:c>
      <x:c r="C1920" s="43" t="str">
        <x:v>.docx</x:v>
      </x:c>
      <x:c r="D1920" s="61" t="n">
        <x:v>20131</x:v>
      </x:c>
      <x:c r="E1920" s="61" t="n">
        <x:v>31</x:v>
      </x:c>
      <x:c r="F1920" s="61" t="n">
        <x:v>0</x:v>
      </x:c>
    </x:row>
    <x:row r="1921">
      <x:c r="A1921" s="43" t="str">
        <x:v>L2021-00017-1</x:v>
      </x:c>
      <x:c r="B1921" s="46" t="str">
        <x:v>L2021-00017-1/Bidding Documents for Distribution AAUR PCRWR_0517/Chapter 6. Conditions of Contract (GCC, SCC)_0503.docx</x:v>
      </x:c>
      <x:c r="C1921" s="43" t="str">
        <x:v>.docx</x:v>
      </x:c>
      <x:c r="D1921" s="61" t="n">
        <x:v>110637</x:v>
      </x:c>
      <x:c r="E1921" s="61" t="n">
        <x:v>497</x:v>
      </x:c>
      <x:c r="F1921" s="61" t="n">
        <x:v>1</x:v>
      </x:c>
    </x:row>
    <x:row r="1922">
      <x:c r="A1922" s="43" t="str">
        <x:v>L2021-00017-1</x:v>
      </x:c>
      <x:c r="B1922" s="46" t="str">
        <x:v>L2021-00017-1/Bidding Documents for Distribution AAUR PCRWR_0517/Chapter 7. Scope of Works_0501.pdf</x:v>
      </x:c>
      <x:c r="C1922" s="43" t="str">
        <x:v>.pdf</x:v>
      </x:c>
      <x:c r="D1922" s="61" t="n">
        <x:v>1860932</x:v>
      </x:c>
      <x:c r="E1922" s="61" t="n">
        <x:v>28</x:v>
      </x:c>
      <x:c r="F1922" s="61" t="n">
        <x:v>1</x:v>
      </x:c>
    </x:row>
    <x:row r="1923">
      <x:c r="A1923" s="43" t="str">
        <x:v>L2021-00017-1</x:v>
      </x:c>
      <x:c r="B1923" s="46" t="str">
        <x:v>L2021-00017-1/Bidding Documents for Distribution AAUR PCRWR_0517/Chapter 8. Reference Drawing, Report_0503/1)AAUR-Architectural.pdf</x:v>
      </x:c>
      <x:c r="C1923" s="43" t="str">
        <x:v>.pdf</x:v>
      </x:c>
      <x:c r="D1923" s="61" t="n">
        <x:v>12752615</x:v>
      </x:c>
      <x:c r="E1923" s="61" t="n">
        <x:v>0</x:v>
      </x:c>
      <x:c r="F1923" s="61" t="n">
        <x:v>0</x:v>
      </x:c>
    </x:row>
    <x:row r="1924">
      <x:c r="A1924" s="43" t="str">
        <x:v>L2021-00017-1</x:v>
      </x:c>
      <x:c r="B1924" s="46" t="str">
        <x:v>L2021-00017-1/Bidding Documents for Distribution AAUR PCRWR_0517/Chapter 8. Reference Drawing, Report_0503/2)AAUR Electrical.pdf</x:v>
      </x:c>
      <x:c r="C1924" s="43" t="str">
        <x:v>.pdf</x:v>
      </x:c>
      <x:c r="D1924" s="61" t="n">
        <x:v>9173574</x:v>
      </x:c>
      <x:c r="E1924" s="61" t="n">
        <x:v>113</x:v>
      </x:c>
      <x:c r="F1924" s="61" t="n">
        <x:v>1</x:v>
      </x:c>
    </x:row>
    <x:row r="1925">
      <x:c r="A1925" s="43" t="str">
        <x:v>L2021-00017-1</x:v>
      </x:c>
      <x:c r="B1925" s="46" t="str">
        <x:v>L2021-00017-1/Bidding Documents for Distribution AAUR PCRWR_0517/Chapter 8. Reference Drawing, Report_0503/3)PCRWR-Architectural.pdf</x:v>
      </x:c>
      <x:c r="C1925" s="43" t="str">
        <x:v>.pdf</x:v>
      </x:c>
      <x:c r="D1925" s="61" t="n">
        <x:v>7930367</x:v>
      </x:c>
      <x:c r="E1925" s="61" t="n">
        <x:v>0</x:v>
      </x:c>
      <x:c r="F1925" s="61" t="n">
        <x:v>0</x:v>
      </x:c>
    </x:row>
    <x:row r="1926">
      <x:c r="A1926" s="43" t="str">
        <x:v>L2021-00017-1</x:v>
      </x:c>
      <x:c r="B1926" s="46" t="str">
        <x:v>L2021-00017-1/Bidding Documents for Distribution AAUR PCRWR_0517/Chapter 8. Reference Drawing, Report_0503/4)PCRWR-Electrical.pdf</x:v>
      </x:c>
      <x:c r="C1926" s="43" t="str">
        <x:v>.pdf</x:v>
      </x:c>
      <x:c r="D1926" s="61" t="n">
        <x:v>5770571</x:v>
      </x:c>
      <x:c r="E1926" s="61" t="n">
        <x:v>79</x:v>
      </x:c>
      <x:c r="F1926" s="61" t="n">
        <x:v>1</x:v>
      </x:c>
    </x:row>
    <x:row r="1927">
      <x:c r="A1927" s="43" t="str">
        <x:v>L2021-00017-1</x:v>
      </x:c>
      <x:c r="B1927" s="46" t="str">
        <x:v>L2021-00017-1/Bidding Documents for Distribution AAUR PCRWR_0517/Chapter 9. Action Pledge to Integrate Human Rights into Business Management_0503.docx</x:v>
      </x:c>
      <x:c r="C1927" s="43" t="str">
        <x:v>.docx</x:v>
      </x:c>
      <x:c r="D1927" s="61" t="n">
        <x:v>13984</x:v>
      </x:c>
      <x:c r="E1927" s="61" t="n">
        <x:v>15</x:v>
      </x:c>
      <x:c r="F1927" s="61" t="n">
        <x:v>0</x:v>
      </x:c>
    </x:row>
    <x:row r="1928">
      <x:c r="A1928" s="43" t="str">
        <x:v>L2021-00017-1</x:v>
      </x:c>
      <x:c r="B1928" s="46" t="str">
        <x:v>L2021-00017-1/붙임1. 건조농대 및 수자원센터 사후지원공사 입찰계획서_0505.hwp</x:v>
      </x:c>
      <x:c r="C1928" s="43" t="str">
        <x:v>.hwp</x:v>
      </x:c>
      <x:c r="D1928" s="61" t="n">
        <x:v>178688</x:v>
      </x:c>
      <x:c r="E1928" s="61" t="n">
        <x:v>366</x:v>
      </x:c>
      <x:c r="F1928" s="61" t="n">
        <x:v>6</x:v>
      </x:c>
    </x:row>
    <x:row r="1929">
      <x:c r="A1929" s="43" t="str">
        <x:v>L2021-00016-2</x:v>
      </x:c>
      <x:c r="B1929" s="46" t="str">
        <x:v>L2021-00016-2/1. 모자보건 입찰계획(최종)_입찰기간단축(적격+가격입찰).hwp</x:v>
      </x:c>
      <x:c r="C1929" s="43" t="str">
        <x:v>.hwp</x:v>
      </x:c>
      <x:c r="D1929" s="61" t="n">
        <x:v>100352</x:v>
      </x:c>
      <x:c r="E1929" s="61" t="n">
        <x:v>587</x:v>
      </x:c>
      <x:c r="F1929" s="61" t="n">
        <x:v>3</x:v>
      </x:c>
    </x:row>
    <x:row r="1930">
      <x:c r="A1930" s="43" t="str">
        <x:v>L2021-00016-2</x:v>
      </x:c>
      <x:c r="B1930" s="46" t="str">
        <x:v>L2021-00016-2/2. Bid announcemet_(Maternal &amp; Child Health).docx</x:v>
      </x:c>
      <x:c r="C1930" s="43" t="str">
        <x:v>.docx</x:v>
      </x:c>
      <x:c r="D1930" s="61" t="n">
        <x:v>51467</x:v>
      </x:c>
      <x:c r="E1930" s="61" t="n">
        <x:v>69</x:v>
      </x:c>
      <x:c r="F1930" s="61" t="n">
        <x:v>2</x:v>
      </x:c>
    </x:row>
    <x:row r="1931">
      <x:c r="A1931" s="43" t="str">
        <x:v>L2021-00016-1</x:v>
      </x:c>
      <x:c r="B1931" s="46" t="str">
        <x:v>L2021-00016-1/캄보디아 동북부 소외지역 모자보건 프로그램 시공업체 선정 입찰 공고문.pdf</x:v>
      </x:c>
      <x:c r="C1931" s="43" t="str">
        <x:v>.pdf</x:v>
      </x:c>
      <x:c r="D1931" s="61" t="n">
        <x:v>197373</x:v>
      </x:c>
      <x:c r="E1931" s="61" t="n">
        <x:v>1</x:v>
      </x:c>
      <x:c r="F1931" s="61" t="n">
        <x:v>4</x:v>
      </x:c>
    </x:row>
    <x:row r="1932">
      <x:c r="A1932" s="43" t="str">
        <x:v>L2021-00015-1</x:v>
      </x:c>
      <x:c r="B1932" s="46" t="str">
        <x:v>L2021-00015-1/1-2 (REV.2_영문본) 입찰공고(인큐베이팅 센터_영문)_최종버젼.docx</x:v>
      </x:c>
      <x:c r="C1932" s="43" t="str">
        <x:v>.docx</x:v>
      </x:c>
      <x:c r="D1932" s="61" t="n">
        <x:v>50922</x:v>
      </x:c>
      <x:c r="E1932" s="61" t="n">
        <x:v>68</x:v>
      </x:c>
      <x:c r="F1932" s="61" t="n">
        <x:v>2</x:v>
      </x:c>
    </x:row>
    <x:row r="1933">
      <x:c r="A1933" s="43" t="str">
        <x:v>L2021-00014-1</x:v>
      </x:c>
      <x:c r="B1933" s="46" t="str">
        <x:v>L2021-00014-1/붙임1. 210209_기술+가격_PhilMech_설계업체 선정 입찰계획(안)_본부의견반영_Rev.02.doc</x:v>
      </x:c>
      <x:c r="C1933" s="43" t="str">
        <x:v>.doc</x:v>
      </x:c>
      <x:c r="D1933" s="61" t="n">
        <x:v>1009152</x:v>
      </x:c>
      <x:c r="E1933" s="61" t="n">
        <x:v>332</x:v>
      </x:c>
      <x:c r="F1933" s="61" t="n">
        <x:v>8</x:v>
      </x:c>
    </x:row>
    <x:row r="1934">
      <x:c r="A1934" s="43" t="str">
        <x:v>L2021-00014-1</x:v>
      </x:c>
      <x:c r="B1934" s="46" t="str">
        <x:v>L2021-00014-1/붙임2. 입찰부속서류_03.30.zip</x:v>
      </x:c>
      <x:c r="C1934" s="43" t="str">
        <x:v>.zip</x:v>
      </x:c>
      <x:c r="D1934" s="61" t="n">
        <x:v>885093</x:v>
      </x:c>
      <x:c r="E1934" s="61" t="n">
        <x:v>0</x:v>
      </x:c>
      <x:c r="F1934" s="61" t="n">
        <x:v>0</x:v>
      </x:c>
    </x:row>
    <x:row r="1935">
      <x:c r="A1935" s="43" t="str">
        <x:v>L2021-00014-1</x:v>
      </x:c>
      <x:c r="B1935" s="46" t="str">
        <x:v>L2021-00014-1/붙임2. 입찰부속서류_03.30/01_Chapter 1. Invitation for Bids_Rev00.docx</x:v>
      </x:c>
      <x:c r="C1935" s="43" t="str">
        <x:v>.docx</x:v>
      </x:c>
      <x:c r="D1935" s="61" t="n">
        <x:v>18804</x:v>
      </x:c>
      <x:c r="E1935" s="61" t="n">
        <x:v>44</x:v>
      </x:c>
      <x:c r="F1935" s="61" t="n">
        <x:v>4</x:v>
      </x:c>
    </x:row>
    <x:row r="1936">
      <x:c r="A1936" s="43" t="str">
        <x:v>L2021-00014-1</x:v>
      </x:c>
      <x:c r="B1936" s="46" t="str">
        <x:v>L2021-00014-1/붙임2. 입찰부속서류_03.30/02_Chapter 2. Contract for Construction.docx</x:v>
      </x:c>
      <x:c r="C1936" s="43" t="str">
        <x:v>.docx</x:v>
      </x:c>
      <x:c r="D1936" s="61" t="n">
        <x:v>104585</x:v>
      </x:c>
      <x:c r="E1936" s="61" t="n">
        <x:v>39</x:v>
      </x:c>
      <x:c r="F1936" s="61" t="n">
        <x:v>1</x:v>
      </x:c>
    </x:row>
    <x:row r="1937">
      <x:c r="A1937" s="43" t="str">
        <x:v>L2021-00014-1</x:v>
      </x:c>
      <x:c r="B1937" s="46" t="str">
        <x:v>L2021-00014-1/붙임2. 입찰부속서류_03.30/03_Chapter_3._Conditions of Contract (General &amp; Special Conditions).rtf</x:v>
      </x:c>
      <x:c r="C1937" s="43" t="str">
        <x:v>.rtf</x:v>
      </x:c>
      <x:c r="D1937" s="61" t="n">
        <x:v>251827</x:v>
      </x:c>
      <x:c r="E1937" s="61" t="n">
        <x:v>0</x:v>
      </x:c>
      <x:c r="F1937" s="61" t="n">
        <x:v>0</x:v>
      </x:c>
    </x:row>
    <x:row r="1938">
      <x:c r="A1938" s="43" t="str">
        <x:v>L2021-00014-1</x:v>
      </x:c>
      <x:c r="B1938" s="46" t="str">
        <x:v>L2021-00014-1/붙임2. 입찰부속서류_03.30/04_Chapter 4. Instructions on International Bidding (SERVICES)_(ENG).docx</x:v>
      </x:c>
      <x:c r="C1938" s="43" t="str">
        <x:v>.docx</x:v>
      </x:c>
      <x:c r="D1938" s="61" t="n">
        <x:v>59780</x:v>
      </x:c>
      <x:c r="E1938" s="61" t="n">
        <x:v>164</x:v>
      </x:c>
      <x:c r="F1938" s="61" t="n">
        <x:v>0</x:v>
      </x:c>
    </x:row>
    <x:row r="1939">
      <x:c r="A1939" s="43" t="str">
        <x:v>L2021-00014-1</x:v>
      </x:c>
      <x:c r="B1939" s="46" t="str">
        <x:v>L2021-00014-1/붙임2. 입찰부속서류_03.30/05_Chapter 5. Bid Data Sheet.docx</x:v>
      </x:c>
      <x:c r="C1939" s="43" t="str">
        <x:v>.docx</x:v>
      </x:c>
      <x:c r="D1939" s="61" t="n">
        <x:v>16253</x:v>
      </x:c>
      <x:c r="E1939" s="61" t="n">
        <x:v>22</x:v>
      </x:c>
      <x:c r="F1939" s="61" t="n">
        <x:v>0</x:v>
      </x:c>
    </x:row>
    <x:row r="1940">
      <x:c r="A1940" s="43" t="str">
        <x:v>L2021-00014-1</x:v>
      </x:c>
      <x:c r="B1940" s="46" t="str">
        <x:v>L2021-00014-1/붙임2. 입찰부속서류_03.30/Addendum 1. Scope of Works.docx</x:v>
      </x:c>
      <x:c r="C1940" s="43" t="str">
        <x:v>.docx</x:v>
      </x:c>
      <x:c r="D1940" s="61" t="n">
        <x:v>19115</x:v>
      </x:c>
      <x:c r="E1940" s="61" t="n">
        <x:v>25</x:v>
      </x:c>
      <x:c r="F1940" s="61" t="n">
        <x:v>2</x:v>
      </x:c>
    </x:row>
    <x:row r="1941">
      <x:c r="A1941" s="43" t="str">
        <x:v>L2021-00014-1</x:v>
      </x:c>
      <x:c r="B1941" s="46" t="str">
        <x:v>L2021-00014-1/붙임2. 입찰부속서류_03.30/Addendum 2. Special Conditions(Addition).docx</x:v>
      </x:c>
      <x:c r="C1941" s="43" t="str">
        <x:v>.docx</x:v>
      </x:c>
      <x:c r="D1941" s="61" t="n">
        <x:v>19673</x:v>
      </x:c>
      <x:c r="E1941" s="61" t="n">
        <x:v>9</x:v>
      </x:c>
      <x:c r="F1941" s="61" t="n">
        <x:v>0</x:v>
      </x:c>
    </x:row>
    <x:row r="1942">
      <x:c r="A1942" s="43" t="str">
        <x:v>L2021-00014-1</x:v>
      </x:c>
      <x:c r="B1942" s="46" t="str">
        <x:v>L2021-00014-1/붙임2. 입찰부속서류_03.30/Addendum 3. Summary of the Contract Conditions.docx</x:v>
      </x:c>
      <x:c r="C1942" s="43" t="str">
        <x:v>.docx</x:v>
      </x:c>
      <x:c r="D1942" s="61" t="n">
        <x:v>21460</x:v>
      </x:c>
      <x:c r="E1942" s="61" t="n">
        <x:v>15</x:v>
      </x:c>
      <x:c r="F1942" s="61" t="n">
        <x:v>0</x:v>
      </x:c>
    </x:row>
    <x:row r="1943">
      <x:c r="A1943" s="43" t="str">
        <x:v>L2021-00014-1</x:v>
      </x:c>
      <x:c r="B1943" s="46" t="str">
        <x:v>L2021-00014-1/붙임2. 입찰부속서류_03.30/Addendum 4. Bid Evaluation Criterion.doc</x:v>
      </x:c>
      <x:c r="C1943" s="43" t="str">
        <x:v>.doc</x:v>
      </x:c>
      <x:c r="D1943" s="61" t="n">
        <x:v>51200</x:v>
      </x:c>
      <x:c r="E1943" s="61" t="n">
        <x:v>6</x:v>
      </x:c>
      <x:c r="F1943" s="61" t="n">
        <x:v>1</x:v>
      </x:c>
    </x:row>
    <x:row r="1944">
      <x:c r="A1944" s="43" t="str">
        <x:v>L2021-00014-1</x:v>
      </x:c>
      <x:c r="B1944" s="46" t="str">
        <x:v>L2021-00014-1/붙임2. 입찰부속서류_03.30/Attachment 1. Expression of Interest.docx</x:v>
      </x:c>
      <x:c r="C1944" s="43" t="str">
        <x:v>.docx</x:v>
      </x:c>
      <x:c r="D1944" s="61" t="n">
        <x:v>16331</x:v>
      </x:c>
      <x:c r="E1944" s="61" t="n">
        <x:v>17</x:v>
      </x:c>
      <x:c r="F1944" s="61" t="n">
        <x:v>0</x:v>
      </x:c>
    </x:row>
    <x:row r="1945">
      <x:c r="A1945" s="43" t="str">
        <x:v>L2021-00014-1</x:v>
      </x:c>
      <x:c r="B1945" s="46" t="str">
        <x:v>L2021-00014-1/붙임2. 입찰부속서류_03.30/Attachment 2. Application for Tender Participation.docx</x:v>
      </x:c>
      <x:c r="C1945" s="43" t="str">
        <x:v>.docx</x:v>
      </x:c>
      <x:c r="D1945" s="61" t="n">
        <x:v>16432</x:v>
      </x:c>
      <x:c r="E1945" s="61" t="n">
        <x:v>18</x:v>
      </x:c>
      <x:c r="F1945" s="61" t="n">
        <x:v>0</x:v>
      </x:c>
    </x:row>
    <x:row r="1946">
      <x:c r="A1946" s="43" t="str">
        <x:v>L2021-00014-1</x:v>
      </x:c>
      <x:c r="B1946" s="46" t="str">
        <x:v>L2021-00014-1/붙임2. 입찰부속서류_03.30/Attachment 3. Form of BID.docx</x:v>
      </x:c>
      <x:c r="C1946" s="43" t="str">
        <x:v>.docx</x:v>
      </x:c>
      <x:c r="D1946" s="61" t="n">
        <x:v>15564</x:v>
      </x:c>
      <x:c r="E1946" s="61" t="n">
        <x:v>11</x:v>
      </x:c>
      <x:c r="F1946" s="61" t="n">
        <x:v>0</x:v>
      </x:c>
    </x:row>
    <x:row r="1947">
      <x:c r="A1947" s="43" t="str">
        <x:v>L2021-00014-1</x:v>
      </x:c>
      <x:c r="B1947" s="46" t="str">
        <x:v>L2021-00014-1/붙임2. 입찰부속서류_03.30/Attachment 4. Forms of Price Proposal.docx</x:v>
      </x:c>
      <x:c r="C1947" s="43" t="str">
        <x:v>.docx</x:v>
      </x:c>
      <x:c r="D1947" s="61" t="n">
        <x:v>18895</x:v>
      </x:c>
      <x:c r="E1947" s="61" t="n">
        <x:v>7</x:v>
      </x:c>
      <x:c r="F1947" s="61" t="n">
        <x:v>0</x:v>
      </x:c>
    </x:row>
    <x:row r="1948">
      <x:c r="A1948" s="43" t="str">
        <x:v>L2021-00014-1</x:v>
      </x:c>
      <x:c r="B1948" s="46" t="str">
        <x:v>L2021-00014-1/붙임2. 입찰부속서류_03.30/Attachment 5. Forms of Technical Proposal.doc</x:v>
      </x:c>
      <x:c r="C1948" s="43" t="str">
        <x:v>.doc</x:v>
      </x:c>
      <x:c r="D1948" s="61" t="n">
        <x:v>169472</x:v>
      </x:c>
      <x:c r="E1948" s="61" t="n">
        <x:v>10</x:v>
      </x:c>
      <x:c r="F1948" s="61" t="n">
        <x:v>0</x:v>
      </x:c>
    </x:row>
    <x:row r="1949">
      <x:c r="A1949" s="43" t="str">
        <x:v>L2021-00014-1</x:v>
      </x:c>
      <x:c r="B1949" s="46" t="str">
        <x:v>L2021-00014-1/붙임2. 입찰부속서류_03.30/Attachment 6. Site Map.docx</x:v>
      </x:c>
      <x:c r="C1949" s="43" t="str">
        <x:v>.docx</x:v>
      </x:c>
      <x:c r="D1949" s="61" t="n">
        <x:v>518760</x:v>
      </x:c>
      <x:c r="E1949" s="61" t="n">
        <x:v>2</x:v>
      </x:c>
      <x:c r="F1949" s="61" t="n">
        <x:v>0</x:v>
      </x:c>
    </x:row>
    <x:row r="1950">
      <x:c r="A1950" s="43" t="str">
        <x:v>L2021-00014-1</x:v>
      </x:c>
      <x:c r="B1950" s="46" t="str">
        <x:v>L2021-00014-1/붙임2. 입찰부속서류_03.30/Attachment 7. Q&amp;A.docx</x:v>
      </x:c>
      <x:c r="C1950" s="43" t="str">
        <x:v>.docx</x:v>
      </x:c>
      <x:c r="D1950" s="61" t="n">
        <x:v>13820</x:v>
      </x:c>
      <x:c r="E1950" s="61" t="n">
        <x:v>11</x:v>
      </x:c>
      <x:c r="F1950" s="61" t="n">
        <x:v>0</x:v>
      </x:c>
    </x:row>
    <x:row r="1951">
      <x:c r="A1951" s="43" t="str">
        <x:v>L2021-00014-1</x:v>
      </x:c>
      <x:c r="B1951" s="46" t="str">
        <x:v>L2021-00014-1/붙임2. 입찰부속서류_03.30/Non-Bribery.docx</x:v>
      </x:c>
      <x:c r="C1951" s="43" t="str">
        <x:v>.docx</x:v>
      </x:c>
      <x:c r="D1951" s="61" t="n">
        <x:v>17772</x:v>
      </x:c>
      <x:c r="E1951" s="61" t="n">
        <x:v>20</x:v>
      </x:c>
      <x:c r="F1951" s="61" t="n">
        <x:v>0</x:v>
      </x:c>
    </x:row>
    <x:row r="1952">
      <x:c r="A1952" s="43" t="str">
        <x:v>L2021-00014-1</x:v>
      </x:c>
      <x:c r="B1952" s="46" t="str">
        <x:v>L2021-00014-1/붙임3. quotation for newspaper advertisement.zip</x:v>
      </x:c>
      <x:c r="C1952" s="43" t="str">
        <x:v>.zip</x:v>
      </x:c>
      <x:c r="D1952" s="61" t="n">
        <x:v>697371</x:v>
      </x:c>
      <x:c r="E1952" s="61" t="n">
        <x:v>0</x:v>
      </x:c>
      <x:c r="F1952" s="61" t="n">
        <x:v>0</x:v>
      </x:c>
    </x:row>
    <x:row r="1953">
      <x:c r="A1953" s="43" t="str">
        <x:v>L2021-00014-1</x:v>
      </x:c>
      <x:c r="B1953" s="46" t="str">
        <x:v>L2021-00014-1/붙임3. quotation for newspaper advertisement/Manila Bulletin.pdf</x:v>
      </x:c>
      <x:c r="C1953" s="43" t="str">
        <x:v>.pdf</x:v>
      </x:c>
      <x:c r="D1953" s="61" t="n">
        <x:v>162473</x:v>
      </x:c>
      <x:c r="E1953" s="61" t="n">
        <x:v>1</x:v>
      </x:c>
      <x:c r="F1953" s="61" t="n">
        <x:v>1</x:v>
      </x:c>
    </x:row>
    <x:row r="1954">
      <x:c r="A1954" s="43" t="str">
        <x:v>L2021-00014-1</x:v>
      </x:c>
      <x:c r="B1954" s="46" t="str">
        <x:v>L2021-00014-1/붙임3. quotation for newspaper advertisement/Philippine Daily Inquirer.doc</x:v>
      </x:c>
      <x:c r="C1954" s="43" t="str">
        <x:v>.doc</x:v>
      </x:c>
      <x:c r="D1954" s="61" t="n">
        <x:v>258048</x:v>
      </x:c>
      <x:c r="E1954" s="61" t="n">
        <x:v>10</x:v>
      </x:c>
      <x:c r="F1954" s="61" t="n">
        <x:v>0</x:v>
      </x:c>
    </x:row>
    <x:row r="1955">
      <x:c r="A1955" s="43" t="str">
        <x:v>L2021-00014-1</x:v>
      </x:c>
      <x:c r="B1955" s="46" t="str">
        <x:v>L2021-00014-1/붙임3. quotation for newspaper advertisement/Philippine Star.pdf</x:v>
      </x:c>
      <x:c r="C1955" s="43" t="str">
        <x:v>.pdf</x:v>
      </x:c>
      <x:c r="D1955" s="61" t="n">
        <x:v>350002</x:v>
      </x:c>
      <x:c r="E1955" s="61" t="n">
        <x:v>1</x:v>
      </x:c>
      <x:c r="F1955" s="61" t="n">
        <x:v>1</x:v>
      </x:c>
    </x:row>
    <x:row r="1956">
      <x:c r="A1956" s="43" t="str">
        <x:v>L2021-00013-1</x:v>
      </x:c>
      <x:c r="B1956" s="46" t="str">
        <x:v>L2021-00013-1/첨부1. 설계 및 감리사 선정 국문입찰계획(안)(1).hwp</x:v>
      </x:c>
      <x:c r="C1956" s="43" t="str">
        <x:v>.hwp</x:v>
      </x:c>
      <x:c r="D1956" s="61" t="n">
        <x:v>176128</x:v>
      </x:c>
      <x:c r="E1956" s="61" t="n">
        <x:v>1090</x:v>
      </x:c>
      <x:c r="F1956" s="61" t="n">
        <x:v>8</x:v>
      </x:c>
    </x:row>
    <x:row r="1957">
      <x:c r="A1957" s="43" t="str">
        <x:v>L2021-00013-1</x:v>
      </x:c>
      <x:c r="B1957" s="46" t="str">
        <x:v>L2021-00013-1/첨부2. 설계 및 감리사 선정 영문 RFP(1).docx</x:v>
      </x:c>
      <x:c r="C1957" s="43" t="str">
        <x:v>.docx</x:v>
      </x:c>
      <x:c r="D1957" s="61" t="n">
        <x:v>3716520</x:v>
      </x:c>
      <x:c r="E1957" s="61" t="n">
        <x:v>493</x:v>
      </x:c>
      <x:c r="F1957" s="61" t="n">
        <x:v>7</x:v>
      </x:c>
    </x:row>
    <x:row r="1958">
      <x:c r="A1958" s="43" t="str">
        <x:v>L2021-00012-1</x:v>
      </x:c>
      <x:c r="B1958" s="46" t="str">
        <x:v>L2021-00012-1/20210428_PKNC Bid Notice (scanned).pdf</x:v>
      </x:c>
      <x:c r="C1958" s="43" t="str">
        <x:v>.pdf</x:v>
      </x:c>
      <x:c r="D1958" s="61" t="n">
        <x:v>486394</x:v>
      </x:c>
      <x:c r="E1958" s="61" t="n">
        <x:v>0</x:v>
      </x:c>
      <x:c r="F1958" s="61" t="n">
        <x:v>0</x:v>
      </x:c>
    </x:row>
    <x:row r="1959">
      <x:c r="A1959" s="43" t="str">
        <x:v>L2021-00012-1</x:v>
      </x:c>
      <x:c r="B1959" s="46" t="str">
        <x:v>L2021-00012-1/Bid Documents for Distribution_PKNC final.zip</x:v>
      </x:c>
      <x:c r="C1959" s="43" t="str">
        <x:v>.zip</x:v>
      </x:c>
      <x:c r="D1959" s="61" t="n">
        <x:v>705817</x:v>
      </x:c>
      <x:c r="E1959" s="61" t="n">
        <x:v>0</x:v>
      </x:c>
      <x:c r="F1959" s="61" t="n">
        <x:v>0</x:v>
      </x:c>
    </x:row>
    <x:row r="1960">
      <x:c r="A1960" s="43" t="str">
        <x:v>L2021-00012-1</x:v>
      </x:c>
      <x:c r="B1960" s="46" t="str">
        <x:v>L2021-00012-1/Bid Documents for Distribution_PKNC final/Attachment 1. Expression of Interest_0428.docx</x:v>
      </x:c>
      <x:c r="C1960" s="43" t="str">
        <x:v>.docx</x:v>
      </x:c>
      <x:c r="D1960" s="61" t="n">
        <x:v>22463</x:v>
      </x:c>
      <x:c r="E1960" s="61" t="n">
        <x:v>31</x:v>
      </x:c>
      <x:c r="F1960" s="61" t="n">
        <x:v>0</x:v>
      </x:c>
    </x:row>
    <x:row r="1961">
      <x:c r="A1961" s="43" t="str">
        <x:v>L2021-00012-1</x:v>
      </x:c>
      <x:c r="B1961" s="46" t="str">
        <x:v>L2021-00012-1/Bid Documents for Distribution_PKNC final/Attachment 2. Form of Bid_0429.docx</x:v>
      </x:c>
      <x:c r="C1961" s="43" t="str">
        <x:v>.docx</x:v>
      </x:c>
      <x:c r="D1961" s="61" t="n">
        <x:v>24334</x:v>
      </x:c>
      <x:c r="E1961" s="61" t="n">
        <x:v>14</x:v>
      </x:c>
      <x:c r="F1961" s="61" t="n">
        <x:v>0</x:v>
      </x:c>
    </x:row>
    <x:row r="1962">
      <x:c r="A1962" s="43" t="str">
        <x:v>L2021-00012-1</x:v>
      </x:c>
      <x:c r="B1962" s="46" t="str">
        <x:v>L2021-00012-1/Bid Documents for Distribution_PKNC final/Attachment 3. Form of Technical Proposal_0429.doc</x:v>
      </x:c>
      <x:c r="C1962" s="43" t="str">
        <x:v>.doc</x:v>
      </x:c>
      <x:c r="D1962" s="61" t="n">
        <x:v>118784</x:v>
      </x:c>
      <x:c r="E1962" s="61" t="n">
        <x:v>27</x:v>
      </x:c>
      <x:c r="F1962" s="61" t="n">
        <x:v>2</x:v>
      </x:c>
    </x:row>
    <x:row r="1963">
      <x:c r="A1963" s="43" t="str">
        <x:v>L2021-00012-1</x:v>
      </x:c>
      <x:c r="B1963" s="46" t="str">
        <x:v>L2021-00012-1/Bid Documents for Distribution_PKNC final/Attachment 4. Security Forms_0429.docx</x:v>
      </x:c>
      <x:c r="C1963" s="43" t="str">
        <x:v>.docx</x:v>
      </x:c>
      <x:c r="D1963" s="61" t="n">
        <x:v>36615</x:v>
      </x:c>
      <x:c r="E1963" s="61" t="n">
        <x:v>91</x:v>
      </x:c>
      <x:c r="F1963" s="61" t="n">
        <x:v>0</x:v>
      </x:c>
    </x:row>
    <x:row r="1964">
      <x:c r="A1964" s="43" t="str">
        <x:v>L2021-00012-1</x:v>
      </x:c>
      <x:c r="B1964" s="46" t="str">
        <x:v>L2021-00012-1/Bid Documents for Distribution_PKNC final/Attachment 5. Form of Declaration of Anti-Corruption_0428.docx</x:v>
      </x:c>
      <x:c r="C1964" s="43" t="str">
        <x:v>.docx</x:v>
      </x:c>
      <x:c r="D1964" s="61" t="n">
        <x:v>24493</x:v>
      </x:c>
      <x:c r="E1964" s="61" t="n">
        <x:v>27</x:v>
      </x:c>
      <x:c r="F1964" s="61" t="n">
        <x:v>0</x:v>
      </x:c>
    </x:row>
    <x:row r="1965">
      <x:c r="A1965" s="43" t="str">
        <x:v>L2021-00012-1</x:v>
      </x:c>
      <x:c r="B1965" s="46" t="str">
        <x:v>L2021-00012-1/Bid Documents for Distribution_PKNC final/Attachment 6. List of Bid Documents_0429.xlsx</x:v>
      </x:c>
      <x:c r="C1965" s="43" t="str">
        <x:v>.xlsx</x:v>
      </x:c>
      <x:c r="D1965" s="61" t="n">
        <x:v>13259</x:v>
      </x:c>
      <x:c r="E1965" s="61" t="n">
        <x:v>21</x:v>
      </x:c>
      <x:c r="F1965" s="61" t="n">
        <x:v>0</x:v>
      </x:c>
    </x:row>
    <x:row r="1966">
      <x:c r="A1966" s="43" t="str">
        <x:v>L2021-00012-1</x:v>
      </x:c>
      <x:c r="B1966" s="46" t="str">
        <x:v>L2021-00012-1/Bid Documents for Distribution_PKNC final/Chapter 1. Invitation for Bids_0429.docx</x:v>
      </x:c>
      <x:c r="C1966" s="43" t="str">
        <x:v>.docx</x:v>
      </x:c>
      <x:c r="D1966" s="61" t="n">
        <x:v>36327</x:v>
      </x:c>
      <x:c r="E1966" s="61" t="n">
        <x:v>59</x:v>
      </x:c>
      <x:c r="F1966" s="61" t="n">
        <x:v>4</x:v>
      </x:c>
    </x:row>
    <x:row r="1967">
      <x:c r="A1967" s="43" t="str">
        <x:v>L2021-00012-1</x:v>
      </x:c>
      <x:c r="B1967" s="46" t="str">
        <x:v>L2021-00012-1/Bid Documents for Distribution_PKNC final/Chapter 10. Form of Declaration of Fair Contract_0428.docx</x:v>
      </x:c>
      <x:c r="C1967" s="43" t="str">
        <x:v>.docx</x:v>
      </x:c>
      <x:c r="D1967" s="61" t="n">
        <x:v>18383</x:v>
      </x:c>
      <x:c r="E1967" s="61" t="n">
        <x:v>11</x:v>
      </x:c>
      <x:c r="F1967" s="61" t="n">
        <x:v>0</x:v>
      </x:c>
    </x:row>
    <x:row r="1968">
      <x:c r="A1968" s="43" t="str">
        <x:v>L2021-00012-1</x:v>
      </x:c>
      <x:c r="B1968" s="46" t="str">
        <x:v>L2021-00012-1/Bid Documents for Distribution_PKNC final/Chapter 2. Bid Data Sheet_0429.docx</x:v>
      </x:c>
      <x:c r="C1968" s="43" t="str">
        <x:v>.docx</x:v>
      </x:c>
      <x:c r="D1968" s="61" t="n">
        <x:v>33916</x:v>
      </x:c>
      <x:c r="E1968" s="61" t="n">
        <x:v>85</x:v>
      </x:c>
      <x:c r="F1968" s="61" t="n">
        <x:v>4</x:v>
      </x:c>
    </x:row>
    <x:row r="1969">
      <x:c r="A1969" s="43" t="str">
        <x:v>L2021-00012-1</x:v>
      </x:c>
      <x:c r="B1969" s="46" t="str">
        <x:v>L2021-00012-1/Bid Documents for Distribution_PKNC final/Chapter 3. Instructions on the International Bidding_0429.rtf</x:v>
      </x:c>
      <x:c r="C1969" s="43" t="str">
        <x:v>.rtf</x:v>
      </x:c>
      <x:c r="D1969" s="61" t="n">
        <x:v>152126</x:v>
      </x:c>
      <x:c r="E1969" s="61" t="n">
        <x:v>0</x:v>
      </x:c>
      <x:c r="F1969" s="61" t="n">
        <x:v>0</x:v>
      </x:c>
    </x:row>
    <x:row r="1970">
      <x:c r="A1970" s="43" t="str">
        <x:v>L2021-00012-1</x:v>
      </x:c>
      <x:c r="B1970" s="46" t="str">
        <x:v>L2021-00012-1/Bid Documents for Distribution_PKNC final/Chapter 4. Contract Form_0429.docx</x:v>
      </x:c>
      <x:c r="C1970" s="43" t="str">
        <x:v>.docx</x:v>
      </x:c>
      <x:c r="D1970" s="61" t="n">
        <x:v>25975</x:v>
      </x:c>
      <x:c r="E1970" s="61" t="n">
        <x:v>41</x:v>
      </x:c>
      <x:c r="F1970" s="61" t="n">
        <x:v>0</x:v>
      </x:c>
    </x:row>
    <x:row r="1971">
      <x:c r="A1971" s="43" t="str">
        <x:v>L2021-00012-1</x:v>
      </x:c>
      <x:c r="B1971" s="46" t="str">
        <x:v>L2021-00012-1/Bid Documents for Distribution_PKNC final/Chapter 5. Conditions of Contract_0429.docx</x:v>
      </x:c>
      <x:c r="C1971" s="43" t="str">
        <x:v>.docx</x:v>
      </x:c>
      <x:c r="D1971" s="61" t="n">
        <x:v>51441</x:v>
      </x:c>
      <x:c r="E1971" s="61" t="n">
        <x:v>203</x:v>
      </x:c>
      <x:c r="F1971" s="61" t="n">
        <x:v>0</x:v>
      </x:c>
    </x:row>
    <x:row r="1972">
      <x:c r="A1972" s="43" t="str">
        <x:v>L2021-00012-1</x:v>
      </x:c>
      <x:c r="B1972" s="46" t="str">
        <x:v>L2021-00012-1/Bid Documents for Distribution_PKNC final/Chapter 6. Terms of Reference for Consultant Services_0429.doc</x:v>
      </x:c>
      <x:c r="C1972" s="43" t="str">
        <x:v>.doc</x:v>
      </x:c>
      <x:c r="D1972" s="61" t="n">
        <x:v>215552</x:v>
      </x:c>
      <x:c r="E1972" s="61" t="n">
        <x:v>39</x:v>
      </x:c>
      <x:c r="F1972" s="61" t="n">
        <x:v>4</x:v>
      </x:c>
    </x:row>
    <x:row r="1973">
      <x:c r="A1973" s="43" t="str">
        <x:v>L2021-00012-1</x:v>
      </x:c>
      <x:c r="B1973" s="46" t="str">
        <x:v>L2021-00012-1/Bid Documents for Distribution_PKNC final/Chapter 7. Design Reference with Space Program_0429.docx</x:v>
      </x:c>
      <x:c r="C1973" s="43" t="str">
        <x:v>.docx</x:v>
      </x:c>
      <x:c r="D1973" s="61" t="n">
        <x:v>317701</x:v>
      </x:c>
      <x:c r="E1973" s="61" t="n">
        <x:v>133</x:v>
      </x:c>
      <x:c r="F1973" s="61" t="n">
        <x:v>0</x:v>
      </x:c>
    </x:row>
    <x:row r="1974">
      <x:c r="A1974" s="43" t="str">
        <x:v>L2021-00012-1</x:v>
      </x:c>
      <x:c r="B1974" s="46" t="str">
        <x:v>L2021-00012-1/Bid Documents for Distribution_PKNC final/Chapter 8. Guidelines for Technical Proposal_0429.docx</x:v>
      </x:c>
      <x:c r="C1974" s="43" t="str">
        <x:v>.docx</x:v>
      </x:c>
      <x:c r="D1974" s="61" t="n">
        <x:v>23068</x:v>
      </x:c>
      <x:c r="E1974" s="61" t="n">
        <x:v>10</x:v>
      </x:c>
      <x:c r="F1974" s="61" t="n">
        <x:v>0</x:v>
      </x:c>
    </x:row>
    <x:row r="1975">
      <x:c r="A1975" s="43" t="str">
        <x:v>L2021-00012-1</x:v>
      </x:c>
      <x:c r="B1975" s="46" t="str">
        <x:v>L2021-00012-1/Bid Documents for Distribution_PKNC final/Chapter 9. Form of Price Proposal_0429.docx</x:v>
      </x:c>
      <x:c r="C1975" s="43" t="str">
        <x:v>.docx</x:v>
      </x:c>
      <x:c r="D1975" s="61" t="n">
        <x:v>20401</x:v>
      </x:c>
      <x:c r="E1975" s="61" t="n">
        <x:v>35</x:v>
      </x:c>
      <x:c r="F1975" s="61" t="n">
        <x:v>0</x:v>
      </x:c>
    </x:row>
    <x:row r="1976">
      <x:c r="A1976" s="43" t="str">
        <x:v>L2021-00012-1</x:v>
      </x:c>
      <x:c r="B1976" s="46" t="str">
        <x:v>L2021-00012-1/PKNC Bid Notice.jpg</x:v>
      </x:c>
      <x:c r="C1976" s="43" t="str">
        <x:v>.jpg</x:v>
      </x:c>
      <x:c r="D1976" s="61" t="n">
        <x:v>2165800</x:v>
      </x:c>
      <x:c r="E1976" s="61" t="n">
        <x:v>0</x:v>
      </x:c>
      <x:c r="F1976" s="61" t="n">
        <x:v>0</x:v>
      </x:c>
    </x:row>
    <x:row r="1977">
      <x:c r="A1977" s="43" t="str">
        <x:v>L2021-00011-1</x:v>
      </x:c>
      <x:c r="B1977" s="46" t="str">
        <x:v>L2021-00011-1/국문_입찰계획서.hwp</x:v>
      </x:c>
      <x:c r="C1977" s="43" t="str">
        <x:v>.hwp</x:v>
      </x:c>
      <x:c r="D1977" s="61" t="n">
        <x:v>142336</x:v>
      </x:c>
      <x:c r="E1977" s="61" t="n">
        <x:v>472</x:v>
      </x:c>
      <x:c r="F1977" s="61" t="n">
        <x:v>4</x:v>
      </x:c>
    </x:row>
    <x:row r="1978">
      <x:c r="A1978" s="43" t="str">
        <x:v>L2021-00011-1</x:v>
      </x:c>
      <x:c r="B1978" s="46" t="str">
        <x:v>L2021-00011-1/영문 서류 일체.zip</x:v>
      </x:c>
      <x:c r="C1978" s="43" t="str">
        <x:v>.zip</x:v>
      </x:c>
      <x:c r="D1978" s="61" t="n">
        <x:v>1680812</x:v>
      </x:c>
      <x:c r="E1978" s="61" t="n">
        <x:v>0</x:v>
      </x:c>
      <x:c r="F1978" s="61" t="n">
        <x:v>0</x:v>
      </x:c>
    </x:row>
    <x:row r="1979">
      <x:c r="A1979" s="43" t="str">
        <x:v>L2021-00011-1</x:v>
      </x:c>
      <x:c r="B1979" s="46" t="str">
        <x:v>L2021-00011-1/영문 서류 일체/Dominica San Juan_0.0_Bidding Guideline(ENG)_2021 0412.docx</x:v>
      </x:c>
      <x:c r="C1979" s="43" t="str">
        <x:v>.docx</x:v>
      </x:c>
      <x:c r="D1979" s="61" t="n">
        <x:v>377498</x:v>
      </x:c>
      <x:c r="E1979" s="61" t="n">
        <x:v>224</x:v>
      </x:c>
      <x:c r="F1979" s="61" t="n">
        <x:v>5</x:v>
      </x:c>
    </x:row>
    <x:row r="1980">
      <x:c r="A1980" s="43" t="str">
        <x:v>L2021-00011-1</x:v>
      </x:c>
      <x:c r="B1980" s="46" t="str">
        <x:v>L2021-00011-1/영문 서류 일체/Dominica San Juan_1.0 IFB_2021 0412.docx</x:v>
      </x:c>
      <x:c r="C1980" s="43" t="str">
        <x:v>.docx</x:v>
      </x:c>
      <x:c r="D1980" s="61" t="n">
        <x:v>46456</x:v>
      </x:c>
      <x:c r="E1980" s="61" t="n">
        <x:v>42</x:v>
      </x:c>
      <x:c r="F1980" s="61" t="n">
        <x:v>3</x:v>
      </x:c>
    </x:row>
    <x:row r="1981">
      <x:c r="A1981" s="43" t="str">
        <x:v>L2021-00011-1</x:v>
      </x:c>
      <x:c r="B1981" s="46" t="str">
        <x:v>L2021-00011-1/영문 서류 일체/Dominica San Juan_2.0 ITB &amp; BDS_2021 0412.docx</x:v>
      </x:c>
      <x:c r="C1981" s="43" t="str">
        <x:v>.docx</x:v>
      </x:c>
      <x:c r="D1981" s="61" t="n">
        <x:v>75345</x:v>
      </x:c>
      <x:c r="E1981" s="61" t="n">
        <x:v>196</x:v>
      </x:c>
      <x:c r="F1981" s="61" t="n">
        <x:v>0</x:v>
      </x:c>
    </x:row>
    <x:row r="1982">
      <x:c r="A1982" s="43" t="str">
        <x:v>L2021-00011-1</x:v>
      </x:c>
      <x:c r="B1982" s="46" t="str">
        <x:v>L2021-00011-1/영문 서류 일체/Dominica San Juan_3.0 Bidding Forms_2021 0412.docx</x:v>
      </x:c>
      <x:c r="C1982" s="43" t="str">
        <x:v>.docx</x:v>
      </x:c>
      <x:c r="D1982" s="61" t="n">
        <x:v>79914</x:v>
      </x:c>
      <x:c r="E1982" s="61" t="n">
        <x:v>196</x:v>
      </x:c>
      <x:c r="F1982" s="61" t="n">
        <x:v>0</x:v>
      </x:c>
    </x:row>
    <x:row r="1983">
      <x:c r="A1983" s="43" t="str">
        <x:v>L2021-00011-1</x:v>
      </x:c>
      <x:c r="B1983" s="46" t="str">
        <x:v>L2021-00011-1/영문 서류 일체/Dominica San Juan_4.0 Terms of Reference_2021 0412.docx</x:v>
      </x:c>
      <x:c r="C1983" s="43" t="str">
        <x:v>.docx</x:v>
      </x:c>
      <x:c r="D1983" s="61" t="n">
        <x:v>1178152</x:v>
      </x:c>
      <x:c r="E1983" s="61" t="n">
        <x:v>339</x:v>
      </x:c>
      <x:c r="F1983" s="61" t="n">
        <x:v>4</x:v>
      </x:c>
    </x:row>
    <x:row r="1984">
      <x:c r="A1984" s="43" t="str">
        <x:v>L2021-00011-1</x:v>
      </x:c>
      <x:c r="B1984" s="46" t="str">
        <x:v>L2021-00011-1/영문 서류 일체/Dominica San Juan_5.0 Standard Forms of Contract_2021 0412.docx</x:v>
      </x:c>
      <x:c r="C1984" s="43" t="str">
        <x:v>.docx</x:v>
      </x:c>
      <x:c r="D1984" s="61" t="n">
        <x:v>45897</x:v>
      </x:c>
      <x:c r="E1984" s="61" t="n">
        <x:v>244</x:v>
      </x:c>
      <x:c r="F1984" s="61" t="n">
        <x:v>0</x:v>
      </x:c>
    </x:row>
    <x:row r="1985">
      <x:c r="A1985" s="43" t="str">
        <x:v>L2021-00005-1</x:v>
      </x:c>
      <x:c r="B1985" s="46" t="str">
        <x:v>L2021-00005-1/붙임1. 입찰 계획서(국문)_20210201.hwp</x:v>
      </x:c>
      <x:c r="C1985" s="43" t="str">
        <x:v>.hwp</x:v>
      </x:c>
      <x:c r="D1985" s="61" t="n">
        <x:v>3371520</x:v>
      </x:c>
      <x:c r="E1985" s="61" t="n">
        <x:v>491</x:v>
      </x:c>
      <x:c r="F1985" s="61" t="n">
        <x:v>10</x:v>
      </x:c>
    </x:row>
    <x:row r="1986">
      <x:c r="A1986" s="43" t="str">
        <x:v>L2021-00005-1</x:v>
      </x:c>
      <x:c r="B1986" s="46" t="str">
        <x:v>L2021-00005-1/붙임2. 입찰 계획서(영문) 및 관련 양식.zip</x:v>
      </x:c>
      <x:c r="C1986" s="43" t="str">
        <x:v>.zip</x:v>
      </x:c>
      <x:c r="D1986" s="61" t="n">
        <x:v>7394504</x:v>
      </x:c>
      <x:c r="E1986" s="61" t="n">
        <x:v>0</x:v>
      </x:c>
      <x:c r="F1986" s="61" t="n">
        <x:v>0</x:v>
      </x:c>
    </x:row>
    <x:row r="1987">
      <x:c r="A1987" s="43" t="str">
        <x:v>L2021-00005-1</x:v>
      </x:c>
      <x:c r="B1987" s="46" t="str">
        <x:v>L2021-00005-1/붙임2. 입찰 계획서(영문) 및 관련 양식/Bolivia quinoa_0.0_Bidding Guideline(ENG)_2021 0121.docx</x:v>
      </x:c>
      <x:c r="C1987" s="43" t="str">
        <x:v>.docx</x:v>
      </x:c>
      <x:c r="D1987" s="61" t="n">
        <x:v>3282788</x:v>
      </x:c>
      <x:c r="E1987" s="61" t="n">
        <x:v>227</x:v>
      </x:c>
      <x:c r="F1987" s="61" t="n">
        <x:v>11</x:v>
      </x:c>
    </x:row>
    <x:row r="1988">
      <x:c r="A1988" s="43" t="str">
        <x:v>L2021-00005-1</x:v>
      </x:c>
      <x:c r="B1988" s="46" t="str">
        <x:v>L2021-00005-1/붙임2. 입찰 계획서(영문) 및 관련 양식/Bolivia quinoa_1.0 IFB_2021 0121.docx</x:v>
      </x:c>
      <x:c r="C1988" s="43" t="str">
        <x:v>.docx</x:v>
      </x:c>
      <x:c r="D1988" s="61" t="n">
        <x:v>44231</x:v>
      </x:c>
      <x:c r="E1988" s="61" t="n">
        <x:v>47</x:v>
      </x:c>
      <x:c r="F1988" s="61" t="n">
        <x:v>5</x:v>
      </x:c>
    </x:row>
    <x:row r="1989">
      <x:c r="A1989" s="43" t="str">
        <x:v>L2021-00005-1</x:v>
      </x:c>
      <x:c r="B1989" s="46" t="str">
        <x:v>L2021-00005-1/붙임2. 입찰 계획서(영문) 및 관련 양식/Bolivia quinoa_2.0 ITB &amp; BDS_2021 0121.docx</x:v>
      </x:c>
      <x:c r="C1989" s="43" t="str">
        <x:v>.docx</x:v>
      </x:c>
      <x:c r="D1989" s="61" t="n">
        <x:v>65112</x:v>
      </x:c>
      <x:c r="E1989" s="61" t="n">
        <x:v>196</x:v>
      </x:c>
      <x:c r="F1989" s="61" t="n">
        <x:v>0</x:v>
      </x:c>
    </x:row>
    <x:row r="1990">
      <x:c r="A1990" s="43" t="str">
        <x:v>L2021-00005-1</x:v>
      </x:c>
      <x:c r="B1990" s="46" t="str">
        <x:v>L2021-00005-1/붙임2. 입찰 계획서(영문) 및 관련 양식/Bolivia quinoa_3.0 Bidding Forms_2021 0121.docx</x:v>
      </x:c>
      <x:c r="C1990" s="43" t="str">
        <x:v>.docx</x:v>
      </x:c>
      <x:c r="D1990" s="61" t="n">
        <x:v>81480</x:v>
      </x:c>
      <x:c r="E1990" s="61" t="n">
        <x:v>196</x:v>
      </x:c>
      <x:c r="F1990" s="61" t="n">
        <x:v>0</x:v>
      </x:c>
    </x:row>
    <x:row r="1991">
      <x:c r="A1991" s="43" t="str">
        <x:v>L2021-00005-1</x:v>
      </x:c>
      <x:c r="B1991" s="46" t="str">
        <x:v>L2021-00005-1/붙임2. 입찰 계획서(영문) 및 관련 양식/Bolivia quinoa_4.0 Terms of Reference_2021 0121.docx</x:v>
      </x:c>
      <x:c r="C1991" s="43" t="str">
        <x:v>.docx</x:v>
      </x:c>
      <x:c r="D1991" s="61" t="n">
        <x:v>3965873</x:v>
      </x:c>
      <x:c r="E1991" s="61" t="n">
        <x:v>350</x:v>
      </x:c>
      <x:c r="F1991" s="61" t="n">
        <x:v>4</x:v>
      </x:c>
    </x:row>
    <x:row r="1992">
      <x:c r="A1992" s="43" t="str">
        <x:v>L2021-00005-1</x:v>
      </x:c>
      <x:c r="B1992" s="46" t="str">
        <x:v>L2021-00005-1/붙임2. 입찰 계획서(영문) 및 관련 양식/Bolivia quinoa_5.0 Standard Forms of Contract_2021 0121.docx</x:v>
      </x:c>
      <x:c r="C1992" s="43" t="str">
        <x:v>.docx</x:v>
      </x:c>
      <x:c r="D1992" s="61" t="n">
        <x:v>45103</x:v>
      </x:c>
      <x:c r="E1992" s="61" t="n">
        <x:v>242</x:v>
      </x:c>
      <x:c r="F1992" s="61" t="n">
        <x:v>0</x:v>
      </x:c>
    </x:row>
    <x:row r="1993">
      <x:c r="A1993" s="43" t="str">
        <x:v>L2021-00004-1</x:v>
      </x:c>
      <x:c r="B1993" s="46" t="str">
        <x:v>L2021-00004-1/1. 설계 및 감리사 선정 영문 RFP.pdf</x:v>
      </x:c>
      <x:c r="C1993" s="43" t="str">
        <x:v>.pdf</x:v>
      </x:c>
      <x:c r="D1993" s="61" t="n">
        <x:v>841547</x:v>
      </x:c>
      <x:c r="E1993" s="61" t="n">
        <x:v>30</x:v>
      </x:c>
      <x:c r="F1993" s="61" t="n">
        <x:v>11</x:v>
      </x:c>
    </x:row>
    <x:row r="1994">
      <x:c r="A1994" s="43" t="str">
        <x:v>L2021-00004-1</x:v>
      </x:c>
      <x:c r="B1994" s="46" t="str">
        <x:v>L2021-00004-1/2. 입찰공고.docx</x:v>
      </x:c>
      <x:c r="C1994" s="43" t="str">
        <x:v>.docx</x:v>
      </x:c>
      <x:c r="D1994" s="61" t="n">
        <x:v>19608</x:v>
      </x:c>
      <x:c r="E1994" s="61" t="n">
        <x:v>47</x:v>
      </x:c>
      <x:c r="F1994" s="61" t="n">
        <x:v>3</x:v>
      </x:c>
    </x:row>
    <x:row r="1995">
      <x:c r="A1995" s="43" t="str">
        <x:v>L2021-00004-1</x:v>
      </x:c>
      <x:c r="B1995" s="46" t="str">
        <x:v>L2021-00004-1/3. 입찰서류 세트.zip</x:v>
      </x:c>
      <x:c r="C1995" s="43" t="str">
        <x:v>.zip</x:v>
      </x:c>
      <x:c r="D1995" s="61" t="n">
        <x:v>505866</x:v>
      </x:c>
      <x:c r="E1995" s="61" t="n">
        <x:v>0</x:v>
      </x:c>
      <x:c r="F1995" s="61" t="n">
        <x:v>0</x:v>
      </x:c>
    </x:row>
    <x:row r="1996">
      <x:c r="A1996" s="43" t="str">
        <x:v>L2021-00004-1</x:v>
      </x:c>
      <x:c r="B1996" s="46" t="str">
        <x:v>L2021-00004-1/3. 입찰서류 세트/01_Chapter 1. Contract of Consultant Services .docx</x:v>
      </x:c>
      <x:c r="C1996" s="43" t="str">
        <x:v>.docx</x:v>
      </x:c>
      <x:c r="D1996" s="61" t="n">
        <x:v>23617</x:v>
      </x:c>
      <x:c r="E1996" s="61" t="n">
        <x:v>33</x:v>
      </x:c>
      <x:c r="F1996" s="61" t="n">
        <x:v>1</x:v>
      </x:c>
    </x:row>
    <x:row r="1997">
      <x:c r="A1997" s="43" t="str">
        <x:v>L2021-00004-1</x:v>
      </x:c>
      <x:c r="B1997" s="46" t="str">
        <x:v>L2021-00004-1/3. 입찰서류 세트/02_Chapter 2. Conditions of Contract .rtf</x:v>
      </x:c>
      <x:c r="C1997" s="43" t="str">
        <x:v>.rtf</x:v>
      </x:c>
      <x:c r="D1997" s="61" t="n">
        <x:v>1229139</x:v>
      </x:c>
      <x:c r="E1997" s="61" t="n">
        <x:v>0</x:v>
      </x:c>
      <x:c r="F1997" s="61" t="n">
        <x:v>0</x:v>
      </x:c>
    </x:row>
    <x:row r="1998">
      <x:c r="A1998" s="43" t="str">
        <x:v>L2021-00004-1</x:v>
      </x:c>
      <x:c r="B1998" s="46" t="str">
        <x:v>L2021-00004-1/3. 입찰서류 세트/03_Chapter 3. Instructions on the Bidding .rtf</x:v>
      </x:c>
      <x:c r="C1998" s="43" t="str">
        <x:v>.rtf</x:v>
      </x:c>
      <x:c r="D1998" s="61" t="n">
        <x:v>998553</x:v>
      </x:c>
      <x:c r="E1998" s="61" t="n">
        <x:v>0</x:v>
      </x:c>
      <x:c r="F1998" s="61" t="n">
        <x:v>0</x:v>
      </x:c>
    </x:row>
    <x:row r="1999">
      <x:c r="A1999" s="43" t="str">
        <x:v>L2021-00004-1</x:v>
      </x:c>
      <x:c r="B1999" s="46" t="str">
        <x:v>L2021-00004-1/3. 입찰서류 세트/04_Chapter 4. Bid Data Sheet_.docx</x:v>
      </x:c>
      <x:c r="C1999" s="43" t="str">
        <x:v>.docx</x:v>
      </x:c>
      <x:c r="D1999" s="61" t="n">
        <x:v>31178</x:v>
      </x:c>
      <x:c r="E1999" s="61" t="n">
        <x:v>24</x:v>
      </x:c>
      <x:c r="F1999" s="61" t="n">
        <x:v>0</x:v>
      </x:c>
    </x:row>
    <x:row r="2000">
      <x:c r="A2000" s="43" t="str">
        <x:v>L2021-00004-1</x:v>
      </x:c>
      <x:c r="B2000" s="46" t="str">
        <x:v>L2021-00004-1/3. 입찰서류 세트/05_Chapter 5. Invitation to Bid_.docx</x:v>
      </x:c>
      <x:c r="C2000" s="43" t="str">
        <x:v>.docx</x:v>
      </x:c>
      <x:c r="D2000" s="61" t="n">
        <x:v>42916</x:v>
      </x:c>
      <x:c r="E2000" s="61" t="n">
        <x:v>98</x:v>
      </x:c>
      <x:c r="F2000" s="61" t="n">
        <x:v>5</x:v>
      </x:c>
    </x:row>
    <x:row r="2001">
      <x:c r="A2001" s="43" t="str">
        <x:v>L2021-00004-1</x:v>
      </x:c>
      <x:c r="B2001" s="46" t="str">
        <x:v>L2021-00004-1/3. 입찰서류 세트/12. Appendix 5. Declaration of Anti Corruption.docx</x:v>
      </x:c>
      <x:c r="C2001" s="43" t="str">
        <x:v>.docx</x:v>
      </x:c>
      <x:c r="D2001" s="61" t="n">
        <x:v>8477</x:v>
      </x:c>
      <x:c r="E2001" s="61" t="n">
        <x:v>39</x:v>
      </x:c>
      <x:c r="F2001" s="61" t="n">
        <x:v>0</x:v>
      </x:c>
    </x:row>
    <x:row r="2002">
      <x:c r="A2002" s="43" t="str">
        <x:v>L2021-00004-1</x:v>
      </x:c>
      <x:c r="B2002" s="46" t="str">
        <x:v>L2021-00004-1/3. 입찰서류 세트/Addendum No.1_Scope of the services .docx</x:v>
      </x:c>
      <x:c r="C2002" s="43" t="str">
        <x:v>.docx</x:v>
      </x:c>
      <x:c r="D2002" s="61" t="n">
        <x:v>33822</x:v>
      </x:c>
      <x:c r="E2002" s="61" t="n">
        <x:v>126</x:v>
      </x:c>
      <x:c r="F2002" s="61" t="n">
        <x:v>1</x:v>
      </x:c>
    </x:row>
    <x:row r="2003">
      <x:c r="A2003" s="43" t="str">
        <x:v>L2021-00004-1</x:v>
      </x:c>
      <x:c r="B2003" s="46" t="str">
        <x:v>L2021-00004-1/3. 입찰서류 세트/Addendum No.2_Term of Reference for Design &amp; CS.doc</x:v>
      </x:c>
      <x:c r="C2003" s="43" t="str">
        <x:v>.doc</x:v>
      </x:c>
      <x:c r="D2003" s="61" t="n">
        <x:v>209408</x:v>
      </x:c>
      <x:c r="E2003" s="61" t="n">
        <x:v>356</x:v>
      </x:c>
      <x:c r="F2003" s="61" t="n">
        <x:v>1</x:v>
      </x:c>
    </x:row>
    <x:row r="2004">
      <x:c r="A2004" s="43" t="str">
        <x:v>L2021-00004-1</x:v>
      </x:c>
      <x:c r="B2004" s="46" t="str">
        <x:v>L2021-00004-1/3. 입찰서류 세트/Addendum No.3_Contract Data.doc</x:v>
      </x:c>
      <x:c r="C2004" s="43" t="str">
        <x:v>.doc</x:v>
      </x:c>
      <x:c r="D2004" s="61" t="n">
        <x:v>47616</x:v>
      </x:c>
      <x:c r="E2004" s="61" t="n">
        <x:v>29</x:v>
      </x:c>
      <x:c r="F2004" s="61" t="n">
        <x:v>1</x:v>
      </x:c>
    </x:row>
    <x:row r="2005">
      <x:c r="A2005" s="43" t="str">
        <x:v>L2021-00004-1</x:v>
      </x:c>
      <x:c r="B2005" s="46" t="str">
        <x:v>L2021-00004-1/3. 입찰서류 세트/Attachment 1. Form of Bid .doc</x:v>
      </x:c>
      <x:c r="C2005" s="43" t="str">
        <x:v>.doc</x:v>
      </x:c>
      <x:c r="D2005" s="61" t="n">
        <x:v>58880</x:v>
      </x:c>
      <x:c r="E2005" s="61" t="n">
        <x:v>23</x:v>
      </x:c>
      <x:c r="F2005" s="61" t="n">
        <x:v>0</x:v>
      </x:c>
    </x:row>
    <x:row r="2006">
      <x:c r="A2006" s="43" t="str">
        <x:v>L2021-00004-1</x:v>
      </x:c>
      <x:c r="B2006" s="46" t="str">
        <x:v>L2021-00004-1/3. 입찰서류 세트/Attachment 2. Forms of Price Proposal_.docx</x:v>
      </x:c>
      <x:c r="C2006" s="43" t="str">
        <x:v>.docx</x:v>
      </x:c>
      <x:c r="D2006" s="61" t="n">
        <x:v>30102</x:v>
      </x:c>
      <x:c r="E2006" s="61" t="n">
        <x:v>83</x:v>
      </x:c>
      <x:c r="F2006" s="61" t="n">
        <x:v>0</x:v>
      </x:c>
    </x:row>
    <x:row r="2007">
      <x:c r="A2007" s="43" t="str">
        <x:v>L2021-00004-1</x:v>
      </x:c>
      <x:c r="B2007" s="46" t="str">
        <x:v>L2021-00004-1/3. 입찰서류 세트/Attachment 3. Security forms_.docx</x:v>
      </x:c>
      <x:c r="C2007" s="43" t="str">
        <x:v>.docx</x:v>
      </x:c>
      <x:c r="D2007" s="61" t="n">
        <x:v>26438</x:v>
      </x:c>
      <x:c r="E2007" s="61" t="n">
        <x:v>95</x:v>
      </x:c>
      <x:c r="F2007" s="61" t="n">
        <x:v>0</x:v>
      </x:c>
    </x:row>
    <x:row r="2008">
      <x:c r="A2008" s="43" t="str">
        <x:v>L2021-00004-1</x:v>
      </x:c>
      <x:c r="B2008" s="46" t="str">
        <x:v>L2021-00004-1/3. 입찰서류 세트/Attachment 6 Evaluator Guideline.docx</x:v>
      </x:c>
      <x:c r="C2008" s="43" t="str">
        <x:v>.docx</x:v>
      </x:c>
      <x:c r="D2008" s="61" t="n">
        <x:v>30336</x:v>
      </x:c>
      <x:c r="E2008" s="61" t="n">
        <x:v>74</x:v>
      </x:c>
      <x:c r="F2008" s="61" t="n">
        <x:v>0</x:v>
      </x:c>
    </x:row>
    <x:row r="2009">
      <x:c r="A2009" s="43" t="str">
        <x:v>L2021-00004-1</x:v>
      </x:c>
      <x:c r="B2009" s="46" t="str">
        <x:v>L2021-00004-1/3. 입찰서류 세트/Attachment4.BID ANNOUNCEMENT.docx</x:v>
      </x:c>
      <x:c r="C2009" s="43" t="str">
        <x:v>.docx</x:v>
      </x:c>
      <x:c r="D2009" s="61" t="n">
        <x:v>19608</x:v>
      </x:c>
      <x:c r="E2009" s="61" t="n">
        <x:v>47</x:v>
      </x:c>
      <x:c r="F2009" s="61" t="n">
        <x:v>3</x:v>
      </x:c>
    </x:row>
    <x:row r="2010">
      <x:c r="A2010" s="43" t="str">
        <x:v>L2021-00004-1</x:v>
      </x:c>
      <x:c r="B2010" s="46" t="str">
        <x:v>L2021-00004-1/3. 입찰서류 세트/Evaluation Table of LOI.docx</x:v>
      </x:c>
      <x:c r="C2010" s="43" t="str">
        <x:v>.docx</x:v>
      </x:c>
      <x:c r="D2010" s="61" t="n">
        <x:v>23230</x:v>
      </x:c>
      <x:c r="E2010" s="61" t="n">
        <x:v>25</x:v>
      </x:c>
      <x:c r="F2010" s="61" t="n">
        <x:v>0</x:v>
      </x:c>
    </x:row>
    <x:row r="2011">
      <x:c r="A2011" s="43" t="str">
        <x:v>L2021-00004-1</x:v>
      </x:c>
      <x:c r="B2011" s="46" t="str">
        <x:v>L2021-00004-1/4. 현지 입찰공고 결과 증빙.pdf</x:v>
      </x:c>
      <x:c r="C2011" s="43" t="str">
        <x:v>.pdf</x:v>
      </x:c>
      <x:c r="D2011" s="61" t="n">
        <x:v>767347</x:v>
      </x:c>
      <x:c r="E2011" s="61" t="n">
        <x:v>1</x:v>
      </x:c>
      <x:c r="F2011" s="61" t="n">
        <x:v>0</x:v>
      </x:c>
    </x:row>
    <x:row r="2012">
      <x:c r="A2012" s="43" t="str">
        <x:v>L2021-00001-2</x:v>
      </x:c>
      <x:c r="B2012" s="46" t="str">
        <x:v>L2021-00001-2/붙임 1. 재공고 입찰 추진계획서.hwp</x:v>
      </x:c>
      <x:c r="C2012" s="43" t="str">
        <x:v>.hwp</x:v>
      </x:c>
      <x:c r="D2012" s="61" t="n">
        <x:v>5448704</x:v>
      </x:c>
      <x:c r="E2012" s="61" t="n">
        <x:v>489</x:v>
      </x:c>
      <x:c r="F2012" s="61" t="n">
        <x:v>2</x:v>
      </x:c>
    </x:row>
    <x:row r="2013">
      <x:c r="A2013" s="43" t="str">
        <x:v>L2021-00001-2</x:v>
      </x:c>
      <x:c r="B2013" s="46" t="str">
        <x:v>L2021-00001-2/붙임 2. 입찰 안내서(영문) 및 관련서류.zip</x:v>
      </x:c>
      <x:c r="C2013" s="43" t="str">
        <x:v>.zip</x:v>
      </x:c>
      <x:c r="D2013" s="61" t="n">
        <x:v>2609313</x:v>
      </x:c>
      <x:c r="E2013" s="61" t="n">
        <x:v>0</x:v>
      </x:c>
      <x:c r="F2013" s="61" t="n">
        <x:v>0</x:v>
      </x:c>
    </x:row>
    <x:row r="2014">
      <x:c r="A2014" s="43" t="str">
        <x:v>L2021-00001-2</x:v>
      </x:c>
      <x:c r="B2014" s="46" t="str">
        <x:v>L2021-00001-2/붙임 2. 입찰 안내서(영문) 및 관련서류/2-1. Invitation for Prequalification.docx</x:v>
      </x:c>
      <x:c r="C2014" s="43" t="str">
        <x:v>.docx</x:v>
      </x:c>
      <x:c r="D2014" s="61" t="n">
        <x:v>56994</x:v>
      </x:c>
      <x:c r="E2014" s="61" t="n">
        <x:v>81</x:v>
      </x:c>
      <x:c r="F2014" s="61" t="n">
        <x:v>2</x:v>
      </x:c>
    </x:row>
    <x:row r="2015">
      <x:c r="A2015" s="43" t="str">
        <x:v>L2021-00001-2</x:v>
      </x:c>
      <x:c r="B2015" s="46" t="str">
        <x:v>L2021-00001-2/붙임 2. 입찰 안내서(영문) 및 관련서류/2-2. PQ Document.docx</x:v>
      </x:c>
      <x:c r="C2015" s="43" t="str">
        <x:v>.docx</x:v>
      </x:c>
      <x:c r="D2015" s="61" t="n">
        <x:v>2617926</x:v>
      </x:c>
      <x:c r="E2015" s="61" t="n">
        <x:v>354</x:v>
      </x:c>
      <x:c r="F2015" s="61" t="n">
        <x:v>4</x:v>
      </x:c>
    </x:row>
    <x:row r="2016">
      <x:c r="A2016" s="43" t="str">
        <x:v>L2021-00001-2</x:v>
      </x:c>
      <x:c r="B2016" s="46" t="str">
        <x:v>L2021-00001-2/붙임 2. 입찰 안내서(영문) 및 관련서류/2-3. Instructions on International Bidding for Construction Works.docx</x:v>
      </x:c>
      <x:c r="C2016" s="43" t="str">
        <x:v>.docx</x:v>
      </x:c>
      <x:c r="D2016" s="61" t="n">
        <x:v>45776</x:v>
      </x:c>
      <x:c r="E2016" s="61" t="n">
        <x:v>162</x:v>
      </x:c>
      <x:c r="F2016" s="61" t="n">
        <x:v>0</x:v>
      </x:c>
    </x:row>
    <x:row r="2017">
      <x:c r="A2017" s="43" t="str">
        <x:v>L2021-00001-2</x:v>
      </x:c>
      <x:c r="B2017" s="46" t="str">
        <x:v>L2021-00001-2/붙임 3. 제안요청서 및 입찰서 양식.zip</x:v>
      </x:c>
      <x:c r="C2017" s="43" t="str">
        <x:v>.zip</x:v>
      </x:c>
      <x:c r="D2017" s="61" t="n">
        <x:v>126863</x:v>
      </x:c>
      <x:c r="E2017" s="61" t="n">
        <x:v>0</x:v>
      </x:c>
      <x:c r="F2017" s="61" t="n">
        <x:v>0</x:v>
      </x:c>
    </x:row>
    <x:row r="2018">
      <x:c r="A2018" s="43" t="str">
        <x:v>L2021-00001-2</x:v>
      </x:c>
      <x:c r="B2018" s="46" t="str">
        <x:v>L2021-00001-2/붙임 3. 제안요청서 및 입찰서 양식/3-1. Request for Proposal.docx</x:v>
      </x:c>
      <x:c r="C2018" s="43" t="str">
        <x:v>.docx</x:v>
      </x:c>
      <x:c r="D2018" s="61" t="n">
        <x:v>91013</x:v>
      </x:c>
      <x:c r="E2018" s="61" t="n">
        <x:v>129</x:v>
      </x:c>
      <x:c r="F2018" s="61" t="n">
        <x:v>4</x:v>
      </x:c>
    </x:row>
    <x:row r="2019">
      <x:c r="A2019" s="43" t="str">
        <x:v>L2021-00001-2</x:v>
      </x:c>
      <x:c r="B2019" s="46" t="str">
        <x:v>L2021-00001-2/붙임 3. 제안요청서 및 입찰서 양식/3-2. Forms for Bid.docx</x:v>
      </x:c>
      <x:c r="C2019" s="43" t="str">
        <x:v>.docx</x:v>
      </x:c>
      <x:c r="D2019" s="61" t="n">
        <x:v>43817</x:v>
      </x:c>
      <x:c r="E2019" s="61" t="n">
        <x:v>239</x:v>
      </x:c>
      <x:c r="F2019" s="61" t="n">
        <x:v>0</x:v>
      </x:c>
    </x:row>
    <x:row r="2020">
      <x:c r="A2020" s="43" t="str">
        <x:v>L2021-00001-2</x:v>
      </x:c>
      <x:c r="B2020" s="46" t="str">
        <x:v>L2021-00001-2/붙임 4. 계약서 문안(영문).docx</x:v>
      </x:c>
      <x:c r="C2020" s="43" t="str">
        <x:v>.docx</x:v>
      </x:c>
      <x:c r="D2020" s="61" t="n">
        <x:v>88467</x:v>
      </x:c>
      <x:c r="E2020" s="61" t="n">
        <x:v>537</x:v>
      </x:c>
      <x:c r="F2020" s="61" t="n">
        <x:v>1</x:v>
      </x:c>
    </x:row>
    <x:row r="2021">
      <x:c r="A2021" s="43" t="str">
        <x:v>L2021-00001-1</x:v>
      </x:c>
      <x:c r="B2021" s="46" t="str">
        <x:v>L2021-00001-1/붙임 1. 입찰 추진계획서(국문).hwp</x:v>
      </x:c>
      <x:c r="C2021" s="43" t="str">
        <x:v>.hwp</x:v>
      </x:c>
      <x:c r="D2021" s="61" t="n">
        <x:v>5447680</x:v>
      </x:c>
      <x:c r="E2021" s="61" t="n">
        <x:v>494</x:v>
      </x:c>
      <x:c r="F2021" s="61" t="n">
        <x:v>2</x:v>
      </x:c>
    </x:row>
    <x:row r="2022">
      <x:c r="A2022" s="43" t="str">
        <x:v>L2021-00001-1</x:v>
      </x:c>
      <x:c r="B2022" s="46" t="str">
        <x:v>L2021-00001-1/붙임 2. 입찰 안내서(영문) 및 관련서류.zip</x:v>
      </x:c>
      <x:c r="C2022" s="43" t="str">
        <x:v>.zip</x:v>
      </x:c>
      <x:c r="D2022" s="61" t="n">
        <x:v>3616345</x:v>
      </x:c>
      <x:c r="E2022" s="61" t="n">
        <x:v>0</x:v>
      </x:c>
      <x:c r="F2022" s="61" t="n">
        <x:v>0</x:v>
      </x:c>
    </x:row>
    <x:row r="2023">
      <x:c r="A2023" s="43" t="str">
        <x:v>L2021-00001-1</x:v>
      </x:c>
      <x:c r="B2023" s="46" t="str">
        <x:v>L2021-00001-1/붙임 2. 입찰 안내서(영문) 및 관련서류/01 Invitation for PQ_Newspaper.docx</x:v>
      </x:c>
      <x:c r="C2023" s="43" t="str">
        <x:v>.docx</x:v>
      </x:c>
      <x:c r="D2023" s="61" t="n">
        <x:v>41777</x:v>
      </x:c>
      <x:c r="E2023" s="61" t="n">
        <x:v>19</x:v>
      </x:c>
      <x:c r="F2023" s="61" t="n">
        <x:v>1</x:v>
      </x:c>
    </x:row>
    <x:row r="2024">
      <x:c r="A2024" s="43" t="str">
        <x:v>L2021-00001-1</x:v>
      </x:c>
      <x:c r="B2024" s="46" t="str">
        <x:v>L2021-00001-1/붙임 2. 입찰 안내서(영문) 및 관련서류/02 Invitation for PQ_Webpage.docx</x:v>
      </x:c>
      <x:c r="C2024" s="43" t="str">
        <x:v>.docx</x:v>
      </x:c>
      <x:c r="D2024" s="61" t="n">
        <x:v>57749</x:v>
      </x:c>
      <x:c r="E2024" s="61" t="n">
        <x:v>81</x:v>
      </x:c>
      <x:c r="F2024" s="61" t="n">
        <x:v>2</x:v>
      </x:c>
    </x:row>
    <x:row r="2025">
      <x:c r="A2025" s="43" t="str">
        <x:v>L2021-00001-1</x:v>
      </x:c>
      <x:c r="B2025" s="46" t="str">
        <x:v>L2021-00001-1/붙임 2. 입찰 안내서(영문) 및 관련서류/03 PQ Document.docx</x:v>
      </x:c>
      <x:c r="C2025" s="43" t="str">
        <x:v>.docx</x:v>
      </x:c>
      <x:c r="D2025" s="61" t="n">
        <x:v>3653280</x:v>
      </x:c>
      <x:c r="E2025" s="61" t="n">
        <x:v>367</x:v>
      </x:c>
      <x:c r="F2025" s="61" t="n">
        <x:v>4</x:v>
      </x:c>
    </x:row>
    <x:row r="2026">
      <x:c r="A2026" s="43" t="str">
        <x:v>L2021-00001-1</x:v>
      </x:c>
      <x:c r="B2026" s="46" t="str">
        <x:v>L2021-00001-1/붙임 3. 제안요청서 및 입찰서 양식(영문).zip</x:v>
      </x:c>
      <x:c r="C2026" s="43" t="str">
        <x:v>.zip</x:v>
      </x:c>
      <x:c r="D2026" s="61" t="n">
        <x:v>166685</x:v>
      </x:c>
      <x:c r="E2026" s="61" t="n">
        <x:v>0</x:v>
      </x:c>
      <x:c r="F2026" s="61" t="n">
        <x:v>0</x:v>
      </x:c>
    </x:row>
    <x:row r="2027">
      <x:c r="A2027" s="43" t="str">
        <x:v>L2021-00001-1</x:v>
      </x:c>
      <x:c r="B2027" s="46" t="str">
        <x:v>L2021-00001-1/붙임 3. 제안요청서 및 입찰서 양식(영문)/01 Request for Proposal.docx</x:v>
      </x:c>
      <x:c r="C2027" s="43" t="str">
        <x:v>.docx</x:v>
      </x:c>
      <x:c r="D2027" s="61" t="n">
        <x:v>90436</x:v>
      </x:c>
      <x:c r="E2027" s="61" t="n">
        <x:v>130</x:v>
      </x:c>
      <x:c r="F2027" s="61" t="n">
        <x:v>4</x:v>
      </x:c>
    </x:row>
    <x:row r="2028">
      <x:c r="A2028" s="43" t="str">
        <x:v>L2021-00001-1</x:v>
      </x:c>
      <x:c r="B2028" s="46" t="str">
        <x:v>L2021-00001-1/붙임 3. 제안요청서 및 입찰서 양식(영문)/02 Instructions on International Bidding for Construction Works.docx</x:v>
      </x:c>
      <x:c r="C2028" s="43" t="str">
        <x:v>.docx</x:v>
      </x:c>
      <x:c r="D2028" s="61" t="n">
        <x:v>45776</x:v>
      </x:c>
      <x:c r="E2028" s="61" t="n">
        <x:v>162</x:v>
      </x:c>
      <x:c r="F2028" s="61" t="n">
        <x:v>0</x:v>
      </x:c>
    </x:row>
    <x:row r="2029">
      <x:c r="A2029" s="43" t="str">
        <x:v>L2021-00001-1</x:v>
      </x:c>
      <x:c r="B2029" s="46" t="str">
        <x:v>L2021-00001-1/붙임 3. 제안요청서 및 입찰서 양식(영문)/03 Forms for Bid.docx</x:v>
      </x:c>
      <x:c r="C2029" s="43" t="str">
        <x:v>.docx</x:v>
      </x:c>
      <x:c r="D2029" s="61" t="n">
        <x:v>42301</x:v>
      </x:c>
      <x:c r="E2029" s="61" t="n">
        <x:v>226</x:v>
      </x:c>
      <x:c r="F2029" s="61" t="n">
        <x:v>0</x:v>
      </x:c>
    </x:row>
    <x:row r="2030">
      <x:c r="A2030" s="44" t="str">
        <x:v>L2021-00001-1</x:v>
      </x:c>
      <x:c r="B2030" s="47" t="str">
        <x:v>L2021-00001-1/붙임 4. 계약서 문안(영문).docx</x:v>
      </x:c>
      <x:c r="C2030" s="44" t="str">
        <x:v>.docx</x:v>
      </x:c>
      <x:c r="D2030" s="62" t="n">
        <x:v>88395</x:v>
      </x:c>
      <x:c r="E2030" s="62" t="n">
        <x:v>537</x:v>
      </x:c>
      <x:c r="F2030" s="62" t="n">
        <x:v>1</x:v>
      </x:c>
    </x:row>
  </x:sheetData>
  <x:mergeCells>
    <x:mergeCell ref="A1:F1"/>
  </x:mergeCells>
  <x:pageMargins left="0.7" right="0.7" top="0.75" bottom="0.75" header="0.3" footer="0.3"/>
  <x:tableParts count="1">
    <x:tablePart xmlns:r="http://schemas.openxmlformats.org/officeDocument/2006/relationships" r:id="Rcc12b8bc960c421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70" hidden="0" customWidth="1"/>
    <x:col min="3" max="3" width="42" hidden="0" customWidth="1"/>
  </x:cols>
  <x:sheetData>
    <x:row r="1" ht="30" customHeight="1">
      <x:c r="A1" s="28" t="str">
        <x:v>건축분야 심층기획조사 적용 체크리스트</x:v>
      </x:c>
    </x:row>
    <x:row r="2" ht="34" customHeight="1">
      <x:c r="A2" s="35" t="str">
        <x:v>조사항목</x:v>
      </x:c>
      <x:c r="B2" s="36" t="str">
        <x:v>확인내용</x:v>
      </x:c>
      <x:c r="C2" s="37" t="str">
        <x:v>활용</x:v>
      </x:c>
    </x:row>
    <x:row r="3">
      <x:c r="A3" s="66" t="str">
        <x:v>연면적</x:v>
      </x:c>
      <x:c r="B3" s="45" t="str">
        <x:v>총 연면적과 동별·시설별 면적을 구분</x:v>
      </x:c>
      <x:c r="C3" s="45" t="str">
        <x:v>단가 산식의 분모</x:v>
      </x:c>
    </x:row>
    <x:row r="4">
      <x:c r="A4" s="67" t="str">
        <x:v>공사비 범위</x:v>
      </x:c>
      <x:c r="B4" s="46" t="str">
        <x:v>건축·토목·설비·외부공사·장비 포함 여부</x:v>
      </x:c>
      <x:c r="C4" s="46" t="str">
        <x:v>사업 간 비교 가능성</x:v>
      </x:c>
    </x:row>
    <x:row r="5">
      <x:c r="A5" s="67" t="str">
        <x:v>세금</x:v>
      </x:c>
      <x:c r="B5" s="46" t="str">
        <x:v>VAT·관세·간접세 포함/제외/면제</x:v>
      </x:c>
      <x:c r="C5" s="46" t="str">
        <x:v>명목단가 왜곡 방지</x:v>
      </x:c>
    </x:row>
    <x:row r="6">
      <x:c r="A6" s="67" t="str">
        <x:v>예비비</x:v>
      </x:c>
      <x:c r="B6" s="46" t="str">
        <x:v>신축 5%, 증축·리모델링 10%를 참고하되 현지 위험 반영</x:v>
      </x:c>
      <x:c r="C6" s="46" t="str">
        <x:v>제공 양식 기준</x:v>
      </x:c>
    </x:row>
    <x:row r="7">
      <x:c r="A7" s="67" t="str">
        <x:v>설계비</x:v>
      </x:c>
      <x:c r="B7" s="46" t="str">
        <x:v>공사비 대비 비율과 인허가비 포함 여부</x:v>
      </x:c>
      <x:c r="C7" s="46" t="str">
        <x:v>과거 사례 6~8% 등</x:v>
      </x:c>
    </x:row>
    <x:row r="8">
      <x:c r="A8" s="67" t="str">
        <x:v>CM·감리</x:v>
      </x:c>
      <x:c r="B8" s="46" t="str">
        <x:v>CM 7~10%, 현지감리 4~5% 참고 및 과업범위 대조</x:v>
      </x:c>
      <x:c r="C8" s="46" t="str">
        <x:v>제공 양식 기준</x:v>
      </x:c>
    </x:row>
    <x:row r="9">
      <x:c r="A9" s="67" t="str">
        <x:v>물가·환율</x:v>
      </x:c>
      <x:c r="B9" s="46" t="str">
        <x:v>기준일·환율·물가상승률을 별도 기록</x:v>
      </x:c>
      <x:c r="C9" s="46" t="str">
        <x:v>연도 간 단가 환산</x:v>
      </x:c>
    </x:row>
    <x:row r="10">
      <x:c r="A10" s="67" t="str">
        <x:v>사업유형</x:v>
      </x:c>
      <x:c r="B10" s="46" t="str">
        <x:v>신축·증축·리모델링 구분</x:v>
      </x:c>
      <x:c r="C10" s="46" t="str">
        <x:v>예비비·난이도 차이</x:v>
      </x:c>
    </x:row>
    <x:row r="11">
      <x:c r="A11" s="67" t="str">
        <x:v>지역조건</x:v>
      </x:c>
      <x:c r="B11" s="46" t="str">
        <x:v>수도/지방, 물류, 치안, 우기, 기반시설</x:v>
      </x:c>
      <x:c r="C11" s="46" t="str">
        <x:v>지역 가산요인</x:v>
      </x:c>
    </x:row>
    <x:row r="12">
      <x:c r="A12" s="68" t="str">
        <x:v>근거성</x:v>
      </x:c>
      <x:c r="B12" s="47" t="str">
        <x:v>파일·페이지/문단/시트 셀을 반드시 기록</x:v>
      </x:c>
      <x:c r="C12" s="47" t="str">
        <x:v>재검증 가능성</x:v>
      </x:c>
    </x:row>
  </x:sheetData>
  <x:mergeCells>
    <x:mergeCell ref="A1:C1"/>
  </x:mergeCells>
  <x:pageMargins left="0.7" right="0.7" top="0.75" bottom="0.75" header="0.3" footer="0.3"/>
  <x:tableParts count="1">
    <x:tablePart xmlns:r="http://schemas.openxmlformats.org/officeDocument/2006/relationships" r:id="R3f003e8ab23e471f"/>
  </x:tableParts>
</x:worksheet>
</file>