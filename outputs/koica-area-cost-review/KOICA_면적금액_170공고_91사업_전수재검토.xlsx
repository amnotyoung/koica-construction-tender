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61e068bce747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1191bc8fb94f457f"/>
    <x:sheet xmlns:r="http://schemas.openxmlformats.org/officeDocument/2006/relationships" name="91사업" sheetId="2" r:id="R96942f0fbad64fd5"/>
    <x:sheet xmlns:r="http://schemas.openxmlformats.org/officeDocument/2006/relationships" name="170공고" sheetId="3" r:id="R9f366eebc0e847b7"/>
    <x:sheet xmlns:r="http://schemas.openxmlformats.org/officeDocument/2006/relationships" name="154공고군" sheetId="4" r:id="Re633f3896fbe4db8"/>
    <x:sheet xmlns:r="http://schemas.openxmlformats.org/officeDocument/2006/relationships" name="BOQ탐색" sheetId="5" r:id="R29d1b2dd03964759"/>
    <x:sheet xmlns:r="http://schemas.openxmlformats.org/officeDocument/2006/relationships" name="기존66교차" sheetId="6" r:id="R5cf70f694c0046bf"/>
    <x:sheet xmlns:r="http://schemas.openxmlformats.org/officeDocument/2006/relationships" name="기존127교차" sheetId="7" r:id="R70800b3308464953"/>
    <x:sheet xmlns:r="http://schemas.openxmlformats.org/officeDocument/2006/relationships" name="판정기준" sheetId="8" r:id="R2d056447550f4e41"/>
  </x:sheets>
</x:workbook>
</file>

<file path=xl/comments1.xml><?xml version="1.0" encoding="utf-8"?>
<x:comments xmlns:x="http://schemas.openxmlformats.org/spreadsheetml/2006/main">
  <x:authors>
    <x:author>tc={5611F2CD-A512-C88F-2757-36D8C6AD16E7}</x:author>
    <x:author>tc={ADD1FEAE-2330-423B-C5F6-318E57FA3465}</x:author>
    <x:author>tc={DBEC0222-2D4C-319B-0EC0-1AA553B854ED}</x:author>
  </x:authors>
  <x:commentList>
    <x:comment ref="J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91사업 시트 R열 direct_future_estimate_ready. A-부분은 제외하여 A-FULL 1건만 집계합니다.</x:t>
        </x:r>
      </x:text>
    </x:comment>
    <x:comment ref="B2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170공고 원문·제목 교차검토. 저장 계약유형 오류 L2022-00034-1, L2024-00076-1을 보정했습니다.</x:t>
        </x:r>
      </x:text>
    </x:comment>
    <x:comment ref="F2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KOICA 공개 공고·첨부. 현재 데이터에는 계약·낙찰·변경·준공 가격단계가 없습니다.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#,##0.00"/>
    <x:numFmt numFmtId="202" formatCode="&quot;$&quot;#,##0.00"/>
    <x:numFmt numFmtId="203" formatCode="0.00%"/>
    <x:numFmt numFmtId="204" formatCode="0.0%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0"/>
      <x:color rgb="FF24313D"/>
      <x:name val="Carlito"/>
    </x:font>
    <x:font>
      <x:b/>
      <x:sz val="9"/>
      <x:color rgb="FFFFFFFF"/>
      <x:name val="Carlito"/>
    </x:font>
    <x:font>
      <x:sz val="8"/>
      <x:color rgb="FF24313D"/>
      <x:name val="Carlito"/>
    </x:font>
    <x:font>
      <x:sz val="9"/>
      <x:color rgb="FF24313D"/>
      <x:name val="Carlito"/>
    </x:font>
    <x:font>
      <x:b/>
      <x:sz val="10"/>
      <x:color rgb="FFFFFFFF"/>
      <x:name val="Carlito"/>
    </x:font>
    <x:font>
      <x:b/>
      <x:sz val="17"/>
      <x:color rgb="FF16324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2F7"/>
      </x:patternFill>
    </x:fill>
    <x:fill>
      <x:patternFill patternType="solid">
        <x:fgColor rgb="FF285D7B"/>
      </x:patternFill>
    </x:fill>
    <x:fill>
      <x:patternFill patternType="solid">
        <x:fgColor rgb="FF0F6D73"/>
      </x:patternFill>
    </x:fill>
    <x:fill>
      <x:patternFill patternType="solid">
        <x:fgColor rgb="FFB42318"/>
      </x:patternFill>
    </x:fill>
    <x:fill>
      <x:patternFill patternType="solid">
        <x:fgColor rgb="FFFFFFFF"/>
      </x:patternFill>
    </x:fill>
    <x:fill>
      <x:patternFill patternType="solid">
        <x:fgColor rgb="FF3D7D58"/>
      </x:patternFill>
    </x:fill>
    <x:fill>
      <x:patternFill patternType="solid">
        <x:fgColor rgb="FFA96E16"/>
      </x:patternFill>
    </x:fill>
  </x:fills>
  <x:borders count="11">
    <x:border/>
    <x:border>
      <x:bottom style="medium">
        <x:color rgb="FF285D7B"/>
      </x:bottom>
    </x:border>
    <x:border>
      <x:bottom style="thin">
        <x:color rgb="FFE9EEF2"/>
      </x:bottom>
    </x:border>
    <x:border>
      <x:top style="thin">
        <x:color rgb="FFE9EEF2"/>
      </x:top>
      <x:bottom style="thin">
        <x:color rgb="FFE9EEF2"/>
      </x:bottom>
    </x:border>
    <x:border>
      <x:top style="thin">
        <x:color rgb="FFE9EEF2"/>
      </x:top>
    </x:border>
    <x:border>
      <x:left style="thin">
        <x:color rgb="FFD8E0E7"/>
      </x:left>
      <x:top style="thin">
        <x:color rgb="FFD8E0E7"/>
      </x:top>
    </x:border>
    <x:border>
      <x:right style="thin">
        <x:color rgb="FFD8E0E7"/>
      </x:right>
      <x:top style="thin">
        <x:color rgb="FFD8E0E7"/>
      </x:top>
    </x:border>
    <x:border>
      <x:left style="thin">
        <x:color rgb="FFD8E0E7"/>
      </x:left>
      <x:bottom style="thin">
        <x:color rgb="FFD8E0E7"/>
      </x:bottom>
    </x:border>
    <x:border>
      <x:right style="thin">
        <x:color rgb="FFD8E0E7"/>
      </x:right>
      <x:bottom style="thin">
        <x:color rgb="FFD8E0E7"/>
      </x:bottom>
    </x:border>
    <x:border>
      <x:top style="thin">
        <x:color rgb="FFD8E0E7"/>
      </x:top>
    </x:border>
    <x:border>
      <x:bottom style="thin">
        <x:color rgb="FFD8E0E7"/>
      </x:bottom>
    </x:border>
  </x:borders>
  <x:cellStyleXfs count="1">
    <x:xf numFmtId="0" fontId="0" fillId="0" borderId="0"/>
  </x:cellStyleXfs>
  <x:cellXfs count="1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2" xfId="0" applyNumberFormat="1" applyFont="1" applyFill="1" applyBorder="1" applyAlignment="1">
      <x:alignment wrapText="0"/>
    </x:xf>
    <x:xf numFmtId="0" fontId="4" fillId="0" borderId="3" xfId="0" applyNumberFormat="1" applyFont="1" applyFill="1" applyBorder="1" applyAlignment="1">
      <x:alignment wrapText="0"/>
    </x:xf>
    <x:xf numFmtId="0" fontId="4" fillId="0" borderId="4" xfId="0" applyNumberFormat="1" applyFont="1" applyFill="1" applyBorder="1" applyAlignment="1">
      <x:alignment wrapText="0"/>
    </x:xf>
    <x:xf numFmtId="0" fontId="4" fillId="0" borderId="2" xfId="0" applyNumberFormat="1" applyFont="1" applyFill="1" applyBorder="1" applyAlignment="1">
      <x:alignment vertical="top" wrapText="0"/>
    </x:xf>
    <x:xf numFmtId="0" fontId="4" fillId="0" borderId="3" xfId="0" applyNumberFormat="1" applyFont="1" applyFill="1" applyBorder="1" applyAlignment="1">
      <x:alignment vertical="top" wrapText="0"/>
    </x:xf>
    <x:xf numFmtId="0" fontId="4" fillId="0" borderId="4" xfId="0" applyNumberFormat="1" applyFont="1" applyFill="1" applyBorder="1" applyAlignment="1">
      <x:alignment vertical="top" wrapText="0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200" fontId="4" fillId="0" borderId="2" xfId="0" applyNumberFormat="1" applyFont="1" applyFill="1" applyBorder="1" applyAlignment="1">
      <x:alignment vertical="top" wrapText="0"/>
    </x:xf>
    <x:xf numFmtId="200" fontId="4" fillId="0" borderId="3" xfId="0" applyNumberFormat="1" applyFont="1" applyFill="1" applyBorder="1" applyAlignment="1">
      <x:alignment vertical="top" wrapText="0"/>
    </x:xf>
    <x:xf numFmtId="200" fontId="4" fillId="0" borderId="4" xfId="0" applyNumberFormat="1" applyFont="1" applyFill="1" applyBorder="1" applyAlignment="1">
      <x:alignment vertical="top" wrapText="0"/>
    </x:xf>
    <x:xf numFmtId="201" fontId="4" fillId="0" borderId="2" xfId="0" applyNumberFormat="1" applyFont="1" applyFill="1" applyBorder="1" applyAlignment="1">
      <x:alignment vertical="top" wrapText="0"/>
    </x:xf>
    <x:xf numFmtId="201" fontId="4" fillId="0" borderId="3" xfId="0" applyNumberFormat="1" applyFont="1" applyFill="1" applyBorder="1" applyAlignment="1">
      <x:alignment vertical="top" wrapText="0"/>
    </x:xf>
    <x:xf numFmtId="201" fontId="4" fillId="0" borderId="4" xfId="0" applyNumberFormat="1" applyFont="1" applyFill="1" applyBorder="1" applyAlignment="1">
      <x:alignment vertical="top" wrapText="0"/>
    </x:xf>
    <x:xf numFmtId="202" fontId="4" fillId="0" borderId="2" xfId="0" applyNumberFormat="1" applyFont="1" applyFill="1" applyBorder="1" applyAlignment="1">
      <x:alignment vertical="top" wrapText="0"/>
    </x:xf>
    <x:xf numFmtId="202" fontId="4" fillId="0" borderId="3" xfId="0" applyNumberFormat="1" applyFont="1" applyFill="1" applyBorder="1" applyAlignment="1">
      <x:alignment vertical="top" wrapText="0"/>
    </x:xf>
    <x:xf numFmtId="202" fontId="4" fillId="0" borderId="4" xfId="0" applyNumberFormat="1" applyFont="1" applyFill="1" applyBorder="1" applyAlignment="1">
      <x:alignment vertical="top" wrapText="0"/>
    </x:xf>
    <x:xf numFmtId="203" fontId="4" fillId="0" borderId="2" xfId="0" applyNumberFormat="1" applyFont="1" applyFill="1" applyBorder="1" applyAlignment="1">
      <x:alignment vertical="top" wrapText="0"/>
    </x:xf>
    <x:xf numFmtId="203" fontId="4" fillId="0" borderId="3" xfId="0" applyNumberFormat="1" applyFont="1" applyFill="1" applyBorder="1" applyAlignment="1">
      <x:alignment vertical="top" wrapText="0"/>
    </x:xf>
    <x:xf numFmtId="203" fontId="4" fillId="0" borderId="4" xfId="0" applyNumberFormat="1" applyFont="1" applyFill="1" applyBorder="1" applyAlignment="1">
      <x:alignment vertical="top" wrapText="0"/>
    </x:xf>
    <x:xf numFmtId="204" fontId="4" fillId="0" borderId="2" xfId="0" applyNumberFormat="1" applyFont="1" applyFill="1" applyBorder="1" applyAlignment="1">
      <x:alignment vertical="top" wrapText="0"/>
    </x:xf>
    <x:xf numFmtId="204" fontId="4" fillId="0" borderId="3" xfId="0" applyNumberFormat="1" applyFont="1" applyFill="1" applyBorder="1" applyAlignment="1">
      <x:alignment vertical="top" wrapText="0"/>
    </x:xf>
    <x:xf numFmtId="204" fontId="4" fillId="0" borderId="4" xfId="0" applyNumberFormat="1" applyFont="1" applyFill="1" applyBorder="1" applyAlignment="1">
      <x:alignment vertical="top" wrapText="0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3" xfId="0" applyNumberFormat="1" applyFont="1" applyFill="1" applyBorder="1"/>
    <x:xf numFmtId="0" fontId="5" fillId="0" borderId="4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5" xfId="0" applyNumberFormat="1" applyFont="1" applyFill="1" applyBorder="1"/>
    <x:xf numFmtId="0" fontId="7" fillId="7" borderId="6" xfId="0" applyNumberFormat="1" applyFont="1" applyFill="1" applyBorder="1"/>
    <x:xf numFmtId="0" fontId="7" fillId="7" borderId="7" xfId="0" applyNumberFormat="1" applyFont="1" applyFill="1" applyBorder="1"/>
    <x:xf numFmtId="0" fontId="7" fillId="7" borderId="8" xfId="0" applyNumberFormat="1" applyFont="1" applyFill="1" applyBorder="1"/>
    <x:xf numFmtId="200" fontId="7" fillId="7" borderId="5" xfId="0" applyNumberFormat="1" applyFont="1" applyFill="1" applyBorder="1"/>
    <x:xf numFmtId="200" fontId="7" fillId="7" borderId="6" xfId="0" applyNumberFormat="1" applyFont="1" applyFill="1" applyBorder="1"/>
    <x:xf numFmtId="200" fontId="7" fillId="7" borderId="7" xfId="0" applyNumberFormat="1" applyFont="1" applyFill="1" applyBorder="1"/>
    <x:xf numFmtId="200" fontId="7" fillId="7" borderId="8" xfId="0" applyNumberFormat="1" applyFont="1" applyFill="1" applyBorder="1"/>
    <x:xf numFmtId="200" fontId="7" fillId="7" borderId="5" xfId="0" applyNumberFormat="1" applyFont="1" applyFill="1" applyBorder="1" applyAlignment="1">
      <x:alignment horizontal="center"/>
    </x:xf>
    <x:xf numFmtId="200" fontId="7" fillId="7" borderId="6" xfId="0" applyNumberFormat="1" applyFont="1" applyFill="1" applyBorder="1" applyAlignment="1">
      <x:alignment horizontal="center"/>
    </x:xf>
    <x:xf numFmtId="200" fontId="7" fillId="7" borderId="7" xfId="0" applyNumberFormat="1" applyFont="1" applyFill="1" applyBorder="1" applyAlignment="1">
      <x:alignment horizontal="center"/>
    </x:xf>
    <x:xf numFmtId="200" fontId="7" fillId="7" borderId="8" xfId="0" applyNumberFormat="1" applyFont="1" applyFill="1" applyBorder="1" applyAlignment="1">
      <x:alignment horizontal="center"/>
    </x:xf>
    <x:xf numFmtId="200" fontId="7" fillId="7" borderId="5" xfId="0" applyNumberFormat="1" applyFont="1" applyFill="1" applyBorder="1" applyAlignment="1">
      <x:alignment horizontal="center" vertical="center"/>
    </x:xf>
    <x:xf numFmtId="200" fontId="7" fillId="7" borderId="6" xfId="0" applyNumberFormat="1" applyFont="1" applyFill="1" applyBorder="1" applyAlignment="1">
      <x:alignment horizontal="center" vertical="center"/>
    </x:xf>
    <x:xf numFmtId="200" fontId="7" fillId="7" borderId="7" xfId="0" applyNumberFormat="1" applyFont="1" applyFill="1" applyBorder="1" applyAlignment="1">
      <x:alignment horizontal="center" vertical="center"/>
    </x:xf>
    <x:xf numFmtId="200" fontId="7" fillId="7" borderId="8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7" fillId="7" borderId="9" xfId="0" applyNumberFormat="1" applyFont="1" applyFill="1" applyBorder="1"/>
    <x:xf numFmtId="0" fontId="7" fillId="7" borderId="10" xfId="0" applyNumberFormat="1" applyFont="1" applyFill="1" applyBorder="1"/>
    <x:xf numFmtId="200" fontId="7" fillId="7" borderId="9" xfId="0" applyNumberFormat="1" applyFont="1" applyFill="1" applyBorder="1"/>
    <x:xf numFmtId="200" fontId="7" fillId="7" borderId="10" xfId="0" applyNumberFormat="1" applyFont="1" applyFill="1" applyBorder="1"/>
    <x:xf numFmtId="200" fontId="7" fillId="7" borderId="9" xfId="0" applyNumberFormat="1" applyFont="1" applyFill="1" applyBorder="1" applyAlignment="1">
      <x:alignment horizontal="center"/>
    </x:xf>
    <x:xf numFmtId="200" fontId="7" fillId="7" borderId="10" xfId="0" applyNumberFormat="1" applyFont="1" applyFill="1" applyBorder="1" applyAlignment="1">
      <x:alignment horizontal="center"/>
    </x:xf>
    <x:xf numFmtId="200" fontId="7" fillId="7" borderId="9" xfId="0" applyNumberFormat="1" applyFont="1" applyFill="1" applyBorder="1" applyAlignment="1">
      <x:alignment horizontal="center" vertical="center"/>
    </x:xf>
    <x:xf numFmtId="200" fontId="7" fillId="7" borderId="10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wrapText="0"/>
    </x:xf>
    <x:xf numFmtId="0" fontId="4" fillId="0" borderId="0" xfId="0" applyNumberFormat="1" applyFont="1" applyFill="1" applyBorder="1" applyAlignment="1">
      <x:alignment vertical="top" wrapText="0"/>
    </x:xf>
    <x:xf numFmtId="200" fontId="4" fillId="0" borderId="0" xfId="0" applyNumberFormat="1" applyFont="1" applyFill="1" applyBorder="1" applyAlignment="1">
      <x:alignment vertical="top" wrapText="0"/>
    </x:xf>
    <x:xf numFmtId="200" fontId="0" fillId="0" borderId="0" xfId="0" applyNumberFormat="1" applyFont="1" applyFill="1" applyBorder="1"/>
    <x:xf numFmtId="200" fontId="3" fillId="4" borderId="1" xfId="0" applyNumberFormat="1" applyFont="1" applyFill="1" applyBorder="1" applyAlignment="1">
      <x:alignment horizontal="center" vertical="center" wrapText="1"/>
    </x:xf>
    <x:xf numFmtId="0" fontId="6" fillId="9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40">
    <x:dxf>
      <x:font>
        <x:b/>
        <x:color rgb="FF3D7D58"/>
      </x:font>
      <x:fill>
        <x:patternFill patternType="solid">
          <x:bgColor rgb="FFEAF4EC"/>
        </x:patternFill>
      </x:fill>
    </x:dxf>
    <x:dxf>
      <x:font>
        <x:b/>
        <x:color rgb="FFA96E16"/>
      </x:font>
      <x:fill>
        <x:patternFill patternType="solid">
          <x:bgColor rgb="FFFFF3D6"/>
        </x:patternFill>
      </x:fill>
    </x:dxf>
    <x:dxf>
      <x:font>
        <x:b/>
        <x:color rgb="FF285D7B"/>
      </x:font>
      <x:fill>
        <x:patternFill patternType="solid">
          <x:bgColor rgb="FFEAF2F7"/>
        </x:patternFill>
      </x:fill>
    </x:dxf>
    <x:dxf>
      <x:font>
        <x:b/>
        <x:color rgb="FF667784"/>
      </x:font>
      <x:fill>
        <x:patternFill patternType="solid">
          <x:bgColor rgb="FFF3F5F7"/>
        </x:patternFill>
      </x:fill>
    </x:dxf>
    <x:dxf>
      <x:font>
        <x:b/>
        <x:color rgb="FFB42318"/>
      </x:font>
      <x:fill>
        <x:patternFill patternType="solid">
          <x:bgColor rgb="FFFDEBE9"/>
        </x:patternFill>
      </x:fill>
    </x:dxf>
    <x:dxf>
      <x:font>
        <x:b/>
        <x:color rgb="FF3D7D58"/>
      </x:font>
      <x:fill>
        <x:patternFill patternType="solid">
          <x:bgColor rgb="FFEAF4EC"/>
        </x:patternFill>
      </x:fill>
    </x:dxf>
    <x:dxf>
      <x:font>
        <x:b/>
        <x:color rgb="FFA96E16"/>
      </x:font>
      <x:fill>
        <x:patternFill patternType="solid">
          <x:bgColor rgb="FFFFF3D6"/>
        </x:patternFill>
      </x:fill>
    </x:dxf>
    <x:dxf>
      <x:font>
        <x:b/>
        <x:color rgb="FF285D7B"/>
      </x:font>
      <x:fill>
        <x:patternFill patternType="solid">
          <x:bgColor rgb="FFEAF2F7"/>
        </x:patternFill>
      </x:fill>
    </x:dxf>
    <x:dxf>
      <x:font>
        <x:b/>
        <x:color rgb="FF667784"/>
      </x:font>
      <x:fill>
        <x:patternFill patternType="solid">
          <x:bgColor rgb="FFF3F5F7"/>
        </x:patternFill>
      </x:fill>
    </x:dxf>
    <x:dxf>
      <x:font>
        <x:b/>
        <x:color rgb="FFB42318"/>
      </x:font>
      <x:fill>
        <x:patternFill patternType="solid">
          <x:bgColor rgb="FFFDEBE9"/>
        </x:patternFill>
      </x:fill>
    </x:dxf>
    <x:dxf>
      <x:font>
        <x:b/>
        <x:color rgb="FF3D7D58"/>
      </x:font>
      <x:fill>
        <x:patternFill patternType="solid">
          <x:bgColor rgb="FFEAF4EC"/>
        </x:patternFill>
      </x:fill>
    </x:dxf>
    <x:dxf>
      <x:font>
        <x:b/>
        <x:color rgb="FFA96E16"/>
      </x:font>
      <x:fill>
        <x:patternFill patternType="solid">
          <x:bgColor rgb="FFFFF3D6"/>
        </x:patternFill>
      </x:fill>
    </x:dxf>
    <x:dxf>
      <x:font>
        <x:b/>
        <x:color rgb="FF285D7B"/>
      </x:font>
      <x:fill>
        <x:patternFill patternType="solid">
          <x:bgColor rgb="FFEAF2F7"/>
        </x:patternFill>
      </x:fill>
    </x:dxf>
    <x:dxf>
      <x:font>
        <x:b/>
        <x:color rgb="FF667784"/>
      </x:font>
      <x:fill>
        <x:patternFill patternType="solid">
          <x:bgColor rgb="FFF3F5F7"/>
        </x:patternFill>
      </x:fill>
    </x:dxf>
    <x:dxf>
      <x:font>
        <x:b/>
        <x:color rgb="FFB42318"/>
      </x:font>
      <x:fill>
        <x:patternFill patternType="solid">
          <x:bgColor rgb="FFFDEBE9"/>
        </x:patternFill>
      </x:fill>
    </x:dxf>
    <x:dxf>
      <x:font>
        <x:b/>
        <x:color rgb="FF3D7D58"/>
      </x:font>
      <x:fill>
        <x:patternFill patternType="solid">
          <x:bgColor rgb="FFEAF4EC"/>
        </x:patternFill>
      </x:fill>
    </x:dxf>
    <x:dxf>
      <x:font>
        <x:b/>
        <x:color rgb="FFA96E16"/>
      </x:font>
      <x:fill>
        <x:patternFill patternType="solid">
          <x:bgColor rgb="FFFFF3D6"/>
        </x:patternFill>
      </x:fill>
    </x:dxf>
    <x:dxf>
      <x:font>
        <x:b/>
        <x:color rgb="FF285D7B"/>
      </x:font>
      <x:fill>
        <x:patternFill patternType="solid">
          <x:bgColor rgb="FFEAF2F7"/>
        </x:patternFill>
      </x:fill>
    </x:dxf>
    <x:dxf>
      <x:font>
        <x:b/>
        <x:color rgb="FF667784"/>
      </x:font>
      <x:fill>
        <x:patternFill patternType="solid">
          <x:bgColor rgb="FFF3F5F7"/>
        </x:patternFill>
      </x:fill>
    </x:dxf>
    <x:dxf>
      <x:font>
        <x:b/>
        <x:color rgb="FFB42318"/>
      </x:font>
      <x:fill>
        <x:patternFill patternType="solid">
          <x:bgColor rgb="FFFDEBE9"/>
        </x:patternFill>
      </x:fill>
    </x:dxf>
    <x:dxf>
      <x:font>
        <x:b/>
        <x:color rgb="FF3D7D58"/>
      </x:font>
      <x:fill>
        <x:patternFill patternType="solid">
          <x:bgColor rgb="FFEAF4EC"/>
        </x:patternFill>
      </x:fill>
    </x:dxf>
    <x:dxf>
      <x:font>
        <x:b/>
        <x:color rgb="FFA96E16"/>
      </x:font>
      <x:fill>
        <x:patternFill patternType="solid">
          <x:bgColor rgb="FFFFF3D6"/>
        </x:patternFill>
      </x:fill>
    </x:dxf>
    <x:dxf>
      <x:font>
        <x:b/>
        <x:color rgb="FF285D7B"/>
      </x:font>
      <x:fill>
        <x:patternFill patternType="solid">
          <x:bgColor rgb="FFEAF2F7"/>
        </x:patternFill>
      </x:fill>
    </x:dxf>
    <x:dxf>
      <x:font>
        <x:b/>
        <x:color rgb="FF667784"/>
      </x:font>
      <x:fill>
        <x:patternFill patternType="solid">
          <x:bgColor rgb="FFF3F5F7"/>
        </x:patternFill>
      </x:fill>
    </x:dxf>
    <x:dxf>
      <x:font>
        <x:b/>
        <x:color rgb="FFB42318"/>
      </x:font>
      <x:fill>
        <x:patternFill patternType="solid">
          <x:bgColor rgb="FFFDEBE9"/>
        </x:patternFill>
      </x:fill>
    </x:dxf>
    <x:dxf>
      <x:font>
        <x:b/>
        <x:color rgb="FF3D7D58"/>
      </x:font>
      <x:fill>
        <x:patternFill patternType="solid">
          <x:bgColor rgb="FFEAF4EC"/>
        </x:patternFill>
      </x:fill>
    </x:dxf>
    <x:dxf>
      <x:font>
        <x:b/>
        <x:color rgb="FFA96E16"/>
      </x:font>
      <x:fill>
        <x:patternFill patternType="solid">
          <x:bgColor rgb="FFFFF3D6"/>
        </x:patternFill>
      </x:fill>
    </x:dxf>
    <x:dxf>
      <x:font>
        <x:b/>
        <x:color rgb="FF285D7B"/>
      </x:font>
      <x:fill>
        <x:patternFill patternType="solid">
          <x:bgColor rgb="FFEAF2F7"/>
        </x:patternFill>
      </x:fill>
    </x:dxf>
    <x:dxf>
      <x:font>
        <x:b/>
        <x:color rgb="FF667784"/>
      </x:font>
      <x:fill>
        <x:patternFill patternType="solid">
          <x:bgColor rgb="FFF3F5F7"/>
        </x:patternFill>
      </x:fill>
    </x:dxf>
    <x:dxf>
      <x:font>
        <x:b/>
        <x:color rgb="FFB42318"/>
      </x:font>
      <x:fill>
        <x:patternFill patternType="solid">
          <x:bgColor rgb="FFFDEBE9"/>
        </x:patternFill>
      </x:fill>
    </x:dxf>
    <x:dxf>
      <x:font>
        <x:b/>
        <x:color rgb="FF3D7D58"/>
      </x:font>
      <x:fill>
        <x:patternFill patternType="solid">
          <x:bgColor rgb="FFEAF4EC"/>
        </x:patternFill>
      </x:fill>
    </x:dxf>
    <x:dxf>
      <x:font>
        <x:b/>
        <x:color rgb="FFA96E16"/>
      </x:font>
      <x:fill>
        <x:patternFill patternType="solid">
          <x:bgColor rgb="FFFFF3D6"/>
        </x:patternFill>
      </x:fill>
    </x:dxf>
    <x:dxf>
      <x:font>
        <x:b/>
        <x:color rgb="FF285D7B"/>
      </x:font>
      <x:fill>
        <x:patternFill patternType="solid">
          <x:bgColor rgb="FFEAF2F7"/>
        </x:patternFill>
      </x:fill>
    </x:dxf>
    <x:dxf>
      <x:font>
        <x:b/>
        <x:color rgb="FF667784"/>
      </x:font>
      <x:fill>
        <x:patternFill patternType="solid">
          <x:bgColor rgb="FFF3F5F7"/>
        </x:patternFill>
      </x:fill>
    </x:dxf>
    <x:dxf>
      <x:font>
        <x:b/>
        <x:color rgb="FFB42318"/>
      </x:font>
      <x:fill>
        <x:patternFill patternType="solid">
          <x:bgColor rgb="FFFDEBE9"/>
        </x:patternFill>
      </x:fill>
    </x:dxf>
    <x:dxf>
      <x:font>
        <x:b/>
        <x:color rgb="FF3D7D58"/>
      </x:font>
      <x:fill>
        <x:patternFill patternType="solid">
          <x:bgColor rgb="FFEAF4EC"/>
        </x:patternFill>
      </x:fill>
    </x:dxf>
    <x:dxf>
      <x:font>
        <x:b/>
        <x:color rgb="FFA96E16"/>
      </x:font>
      <x:fill>
        <x:patternFill patternType="solid">
          <x:bgColor rgb="FFFFF3D6"/>
        </x:patternFill>
      </x:fill>
    </x:dxf>
    <x:dxf>
      <x:font>
        <x:b/>
        <x:color rgb="FF285D7B"/>
      </x:font>
      <x:fill>
        <x:patternFill patternType="solid">
          <x:bgColor rgb="FFEAF2F7"/>
        </x:patternFill>
      </x:fill>
    </x:dxf>
    <x:dxf>
      <x:font>
        <x:b/>
        <x:color rgb="FF667784"/>
      </x:font>
      <x:fill>
        <x:patternFill patternType="solid">
          <x:bgColor rgb="FFF3F5F7"/>
        </x:patternFill>
      </x:fill>
    </x:dxf>
    <x:dxf>
      <x:font>
        <x:b/>
        <x:color rgb="FFB42318"/>
      </x:font>
      <x:fill>
        <x:patternFill patternType="solid">
          <x:bgColor rgb="FFFDEBE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f6b7392e2c4ac6" /><Relationship Type="http://schemas.openxmlformats.org/officeDocument/2006/relationships/theme" Target="/xl/theme/theme1.xml" Id="R93725d1a07074c24" /><Relationship Type="http://schemas.openxmlformats.org/officeDocument/2006/relationships/sharedStrings" Target="/xl/sharedStrings.xml" Id="R697ffb6f68c543d3" /><Relationship Type="http://schemas.openxmlformats.org/officeDocument/2006/relationships/worksheet" Target="/xl/worksheets/sheet1.xml" Id="R1191bc8fb94f457f" /><Relationship Type="http://schemas.openxmlformats.org/officeDocument/2006/relationships/worksheet" Target="/xl/worksheets/sheet2.xml" Id="R96942f0fbad64fd5" /><Relationship Type="http://schemas.openxmlformats.org/officeDocument/2006/relationships/worksheet" Target="/xl/worksheets/sheet3.xml" Id="R9f366eebc0e847b7" /><Relationship Type="http://schemas.openxmlformats.org/officeDocument/2006/relationships/worksheet" Target="/xl/worksheets/sheet4.xml" Id="Re633f3896fbe4db8" /><Relationship Type="http://schemas.openxmlformats.org/officeDocument/2006/relationships/worksheet" Target="/xl/worksheets/sheet5.xml" Id="R29d1b2dd03964759" /><Relationship Type="http://schemas.openxmlformats.org/officeDocument/2006/relationships/worksheet" Target="/xl/worksheets/sheet6.xml" Id="R5cf70f694c0046bf" /><Relationship Type="http://schemas.openxmlformats.org/officeDocument/2006/relationships/worksheet" Target="/xl/worksheets/sheet7.xml" Id="R70800b3308464953" /><Relationship Type="http://schemas.openxmlformats.org/officeDocument/2006/relationships/worksheet" Target="/xl/worksheets/sheet8.xml" Id="R2d056447550f4e41" /><Relationship Type="http://schemas.microsoft.com/office/2017/10/relationships/person" Target="/xl/persons/person.xml" Id="Rc5d6b68385864d18" /></Relationships>
</file>

<file path=xl/persons/person.xml><?xml version="1.0" encoding="utf-8"?>
<xltc:personList xmlns:xltc="http://schemas.microsoft.com/office/spreadsheetml/2018/threadedcomments">
  <xltc:person displayName="KOICA 건축조사" id="{D01F3410-9836-41C5-8D77-8D28204F4450}"/>
</xltc:personList>
</file>

<file path=xl/tables/table1.xml><?xml version="1.0" encoding="utf-8"?>
<x:table xmlns:x="http://schemas.openxmlformats.org/spreadsheetml/2006/main" id="1" name="KOICAProject91" displayName="KOICAProject91" ref="A4:Y95" headerRowCount="1" totalsRowCount="0" totalsRowShown="0">
  <x:tableColumns count="25">
    <x:tableColumn id="1" name="최고등급"/>
    <x:tableColumn id="2" name="국가"/>
    <x:tableColumn id="3" name="사업번호"/>
    <x:tableColumn id="4" name="사업·대표제목"/>
    <x:tableColumn id="5" name="공고수"/>
    <x:tableColumn id="6" name="공고군수"/>
    <x:tableColumn id="7" name="유효 면적·금액 공고수"/>
    <x:tableColumn id="8" name="표시대표공고"/>
    <x:tableColumn id="9" name="기술근거공고"/>
    <x:tableColumn id="10" name="가격근거공고"/>
    <x:tableColumn id="11" name="검증수준"/>
    <x:tableColumn id="12" name="범위상태"/>
    <x:tableColumn id="13" name="대표면적㎡"/>
    <x:tableColumn id="14" name="대표공사금액USD"/>
    <x:tableColumn id="15" name="가격단계"/>
    <x:tableColumn id="16" name="명목USD/㎡"/>
    <x:tableColumn id="17" name="허용용도"/>
    <x:tableColumn id="18" name="직접산정"/>
    <x:tableColumn id="19" name="스크리닝표본가중치"/>
    <x:tableColumn id="20" name="다른패키지등급"/>
    <x:tableColumn id="21" name="다른패키지공고"/>
    <x:tableColumn id="22" name="중복·범위경고"/>
    <x:tableColumn id="23" name="판정근거"/>
    <x:tableColumn id="24" name="전체공고번호"/>
    <x:tableColumn id="25" name="KOICA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KOICANotices170" displayName="KOICANotices170" ref="A4:AM174" headerRowCount="1" totalsRowCount="0" totalsRowShown="0">
  <x:tableColumns count="39">
    <x:tableColumn id="1" name="등급"/>
    <x:tableColumn id="2" name="사업번호"/>
    <x:tableColumn id="3" name="공고번호"/>
    <x:tableColumn id="4" name="공고군"/>
    <x:tableColumn id="5" name="공고일"/>
    <x:tableColumn id="6" name="국가"/>
    <x:tableColumn id="7" name="공고명"/>
    <x:tableColumn id="8" name="저장계약유형"/>
    <x:tableColumn id="9" name="실제역할"/>
    <x:tableColumn id="10" name="공고금액의미"/>
    <x:tableColumn id="11" name="공고수준범위"/>
    <x:tableColumn id="12" name="증거수준범위"/>
    <x:tableColumn id="13" name="상세페이지한도USD"/>
    <x:tableColumn id="14" name="선택공사금액USD"/>
    <x:tableColumn id="15" name="가격단계"/>
    <x:tableColumn id="16" name="한도-선택차이%"/>
    <x:tableColumn id="17" name="선택면적㎡"/>
    <x:tableColumn id="18" name="면적의미"/>
    <x:tableColumn id="19" name="면적집계"/>
    <x:tableColumn id="20" name="명목USD/㎡"/>
    <x:tableColumn id="21" name="검증수준"/>
    <x:tableColumn id="22" name="허용용도"/>
    <x:tableColumn id="23" name="공고군대표"/>
    <x:tableColumn id="24" name="사업대표"/>
    <x:tableColumn id="25" name="기존66"/>
    <x:tableColumn id="26" name="엄격첨부검증"/>
    <x:tableColumn id="27" name="색인첨부"/>
    <x:tableColumn id="28" name="스프레드시트"/>
    <x:tableColumn id="29" name="BOQ명칭"/>
    <x:tableColumn id="30" name="수량표신호"/>
    <x:tableColumn id="31" name="가격표신호"/>
    <x:tableColumn id="32" name="판정근거"/>
    <x:tableColumn id="33" name="수동주의"/>
    <x:tableColumn id="34" name="금액근거파일"/>
    <x:tableColumn id="35" name="금액위치"/>
    <x:tableColumn id="36" name="면적근거파일"/>
    <x:tableColumn id="37" name="면적위치"/>
    <x:tableColumn id="38" name="근거문맥"/>
    <x:tableColumn id="39" name="KOICA 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KOICABidGroups154" displayName="KOICABidGroups154" ref="A4:P158" headerRowCount="1" totalsRowCount="0" totalsRowShown="0">
  <x:tableColumns count="16">
    <x:tableColumn id="1" name="공고군"/>
    <x:tableColumn id="2" name="사업번호"/>
    <x:tableColumn id="3" name="국가"/>
    <x:tableColumn id="4" name="공고수"/>
    <x:tableColumn id="5" name="공고번호"/>
    <x:tableColumn id="6" name="대표공고"/>
    <x:tableColumn id="7" name="최신일"/>
    <x:tableColumn id="8" name="대표제목"/>
    <x:tableColumn id="9" name="등급"/>
    <x:tableColumn id="10" name="역할"/>
    <x:tableColumn id="11" name="범위"/>
    <x:tableColumn id="12" name="면적㎡"/>
    <x:tableColumn id="13" name="공사금액USD"/>
    <x:tableColumn id="14" name="명목USD/㎡"/>
    <x:tableColumn id="15" name="중복규칙"/>
    <x:tableColumn id="16" name="표본가중치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KOICAAttachmentSignals" displayName="KOICAAttachmentSignals" ref="A4:U736" headerRowCount="1" totalsRowCount="0" totalsRowShown="0">
  <x:tableColumns count="21">
    <x:tableColumn id="1" name="사업번호"/>
    <x:tableColumn id="2" name="공고번호"/>
    <x:tableColumn id="3" name="역할"/>
    <x:tableColumn id="4" name="파일"/>
    <x:tableColumn id="5" name="확장자"/>
    <x:tableColumn id="6" name="용량"/>
    <x:tableColumn id="7" name="SHA256"/>
    <x:tableColumn id="8" name="BOQ명칭"/>
    <x:tableColumn id="9" name="blank명칭"/>
    <x:tableColumn id="10" name="표수"/>
    <x:tableColumn id="11" name="최대수량행"/>
    <x:tableColumn id="12" name="최대가격행"/>
    <x:tableColumn id="13" name="강한가격표"/>
    <x:tableColumn id="14" name="최적시트"/>
    <x:tableColumn id="15" name="시트상태"/>
    <x:tableColumn id="16" name="헤더행"/>
    <x:tableColumn id="17" name="가격행비율"/>
    <x:tableColumn id="18" name="스캔오류"/>
    <x:tableColumn id="19" name="잠정파일신호"/>
    <x:tableColumn id="20" name="최종승격규칙"/>
    <x:tableColumn id="21" name="데이터기간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KOICALegacy66Crosswalk" displayName="KOICALegacy66Crosswalk" ref="A4:M70" headerRowCount="1" totalsRowCount="0" totalsRowShown="0">
  <x:tableColumns count="13">
    <x:tableColumn id="1" name="공고번호"/>
    <x:tableColumn id="2" name="사업번호"/>
    <x:tableColumn id="3" name="기존등급"/>
    <x:tableColumn id="4" name="기존면적㎡"/>
    <x:tableColumn id="5" name="기존금액USD"/>
    <x:tableColumn id="6" name="기존가격단계"/>
    <x:tableColumn id="7" name="기존권장단가"/>
    <x:tableColumn id="8" name="새공고등급"/>
    <x:tableColumn id="9" name="새사업등급"/>
    <x:tableColumn id="10" name="새범위"/>
    <x:tableColumn id="11" name="매핑"/>
    <x:tableColumn id="12" name="불일치규칙"/>
    <x:tableColumn id="13" name="검토상태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KOICACandidate127Crosswalk" displayName="KOICACandidate127Crosswalk" ref="A4:L131" headerRowCount="1" totalsRowCount="0" totalsRowShown="0">
  <x:tableColumns count="12">
    <x:tableColumn id="1" name="원기록ID"/>
    <x:tableColumn id="2" name="유효사업번호"/>
    <x:tableColumn id="3" name="국가"/>
    <x:tableColumn id="4" name="원기록명"/>
    <x:tableColumn id="5" name="기존레코드상태"/>
    <x:tableColumn id="6" name="기존프로젝트기술상태"/>
    <x:tableColumn id="7" name="170포함"/>
    <x:tableColumn id="8" name="정확공고교집합"/>
    <x:tableColumn id="9" name="새사업등급"/>
    <x:tableColumn id="10" name="매핑"/>
    <x:tableColumn id="11" name="주의"/>
    <x:tableColumn id="12" name="검토상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J5" dT="2026-07-31T16:32:09.692" personId="{D01F3410-9836-41C5-8D77-8D28204F4450}" id="{5611F2CD-A512-C88F-2757-36D8C6AD16E7}">
    <xltc:text>Source: 91사업 시트 R열 direct_future_estimate_ready. A-부분은 제외하여 A-FULL 1건만 집계합니다.</xltc:text>
  </xltc:threadedComment>
  <xltc:threadedComment ref="B21" dT="2026-07-31T16:32:09.692" personId="{D01F3410-9836-41C5-8D77-8D28204F4450}" id="{ADD1FEAE-2330-423B-C5F6-318E57FA3465}">
    <xltc:text>Source: 170공고 원문·제목 교차검토. 저장 계약유형 오류 L2022-00034-1, L2024-00076-1을 보정했습니다.</xltc:text>
  </xltc:threadedComment>
  <xltc:threadedComment ref="F21" dT="2026-07-31T16:32:09.692" personId="{D01F3410-9836-41C5-8D77-8D28204F4450}" id="{DBEC0222-2D4C-319B-0EC0-1AA553B854ED}">
    <xltc:text>Source: KOICA 공개 공고·첨부. 현재 데이터에는 계약·낙찰·변경·준공 가격단계가 없습니다.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60f79a3b1c084002" /><Relationship Type="http://schemas.openxmlformats.org/officeDocument/2006/relationships/vmlDrawing" Target="/xl/drawings/vmldrawing.vml" Id="R11748464df7e4587" /><Relationship Type="http://schemas.microsoft.com/office/2017/10/relationships/threadedComment" Target="/xl/threadedcomments/threadedcomment.xml" Id="Re976d2955a38443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f526614bde544e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fda200b92964f5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c02540b31dd4cf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f55c60dd6ad4c9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61c606ac7da41a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62fbd6cdd06406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3" hidden="0" customWidth="1"/>
    <x:col min="3" max="3" width="27" hidden="0" customWidth="1"/>
    <x:col min="4" max="4" width="14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8" hidden="0" customWidth="1"/>
  </x:cols>
  <x:sheetData>
    <x:row r="1" ht="34" customHeight="1">
      <x:c r="A1" s="3" t="str">
        <x:v>KOICA 면적·금액 전수감사 요약</x:v>
      </x:c>
    </x:row>
    <x:row r="2" ht="42" customHeight="1">
      <x:c r="A2" s="7" t="str">
        <x:v>170공고 → 154공고군 → 91사업을 분리했습니다. 가장 중요한 결과는 ‘직접 산정 가능’과 ‘스크리닝 가능’을 구분하는 것입니다.</x:v>
      </x:c>
    </x:row>
    <x:row r="4">
      <x:c r="A4" s="60" t="str">
        <x:v>공고</x:v>
      </x:c>
      <x:c r="B4" s="60"/>
      <x:c r="D4" s="82" t="str">
        <x:v>공고군</x:v>
      </x:c>
      <x:c r="E4" s="82"/>
      <x:c r="G4" s="86" t="str">
        <x:v>사업</x:v>
      </x:c>
      <x:c r="H4" s="86"/>
      <x:c r="J4" s="91" t="str">
        <x:v>직접산정 A-FULL 사업</x:v>
      </x:c>
      <x:c r="K4" s="91"/>
      <x:c r="L4" s="91"/>
    </x:row>
    <x:row r="5">
      <x:c r="A5" s="75" t="n">
        <x:f>COUNTA('170공고'!$C$5:$C$174)</x:f>
        <x:v>170</x:v>
      </x:c>
      <x:c r="B5" s="76"/>
      <x:c r="D5" s="75" t="n">
        <x:f>COUNTA('154공고군'!$A$5:$A$158)</x:f>
        <x:v>154</x:v>
      </x:c>
      <x:c r="E5" s="76"/>
      <x:c r="G5" s="75" t="n">
        <x:f>COUNTA('91사업'!$C$5:$C$95)</x:f>
        <x:v>91</x:v>
      </x:c>
      <x:c r="H5" s="76"/>
      <x:c r="J5" s="75" t="n">
        <x:f>COUNTIF('91사업'!$R$5:$R$95,1)</x:f>
        <x:v>1</x:v>
      </x:c>
      <x:c r="K5" s="98"/>
      <x:c r="L5" s="76"/>
    </x:row>
    <x:row r="6">
      <x:c r="A6" s="77"/>
      <x:c r="B6" s="78"/>
      <x:c r="D6" s="77"/>
      <x:c r="E6" s="78"/>
      <x:c r="G6" s="77"/>
      <x:c r="H6" s="78"/>
      <x:c r="J6" s="77"/>
      <x:c r="K6" s="99"/>
      <x:c r="L6" s="78"/>
    </x:row>
    <x:row r="9" ht="25" customHeight="1">
      <x:c r="A9" s="54" t="str">
        <x:v>91사업 산정준비도</x:v>
      </x:c>
      <x:c r="B9" s="54"/>
      <x:c r="C9" s="54"/>
      <x:c r="D9" s="54"/>
      <x:c r="E9" s="57" t="str">
        <x:v>핵심 판정</x:v>
      </x:c>
      <x:c r="F9" s="57"/>
      <x:c r="G9" s="57"/>
      <x:c r="H9" s="57"/>
      <x:c r="I9" s="57"/>
      <x:c r="J9" s="57"/>
      <x:c r="K9" s="57"/>
      <x:c r="L9" s="57"/>
    </x:row>
    <x:row r="10" ht="30" customHeight="1">
      <x:c r="A10" s="13" t="str">
        <x:v>등급</x:v>
      </x:c>
      <x:c r="B10" s="13" t="str">
        <x:v>사업수</x:v>
      </x:c>
      <x:c r="C10" s="13" t="str">
        <x:v>해석</x:v>
      </x:c>
      <x:c r="E10" s="49" t="str">
        <x:v>직접 미래사업 산정 준비가 된 A-FULL은 1개 사업뿐입니다.</x:v>
      </x:c>
      <x:c r="F10" s="49"/>
      <x:c r="G10" s="49"/>
      <x:c r="H10" s="49"/>
      <x:c r="I10" s="49"/>
      <x:c r="J10" s="49"/>
      <x:c r="K10" s="49"/>
      <x:c r="L10" s="49"/>
    </x:row>
    <x:row r="11" ht="30" customHeight="1">
      <x:c r="A11" s="21" t="str">
        <x:v>A</x:v>
      </x:c>
      <x:c r="B11" s="27" t="n">
        <x:v>2</x:v>
      </x:c>
      <x:c r="C11" s="21" t="str">
        <x:v>가격 BOQ</x:v>
      </x:c>
      <x:c r="E11" s="50" t="str">
        <x:v>A-부분은 전체사업이 아니라 검증된 Bill 범위만 계산할 수 있습니다.</x:v>
      </x:c>
      <x:c r="F11" s="50"/>
      <x:c r="G11" s="50"/>
      <x:c r="H11" s="50"/>
      <x:c r="I11" s="50"/>
      <x:c r="J11" s="50"/>
      <x:c r="K11" s="50"/>
      <x:c r="L11" s="50"/>
    </x:row>
    <x:row r="12" ht="30" customHeight="1">
      <x:c r="A12" s="22" t="str">
        <x:v>B</x:v>
      </x:c>
      <x:c r="B12" s="28" t="n">
        <x:v>5</x:v>
      </x:c>
      <x:c r="C12" s="22" t="str">
        <x:v>수량 BOQ</x:v>
      </x:c>
      <x:c r="E12" s="50" t="str">
        <x:v>B는 BOQ 수량이 있으나 현지단가가 없어 금액을 확정할 수 없습니다.</x:v>
      </x:c>
      <x:c r="F12" s="50"/>
      <x:c r="G12" s="50"/>
      <x:c r="H12" s="50"/>
      <x:c r="I12" s="50"/>
      <x:c r="J12" s="50"/>
      <x:c r="K12" s="50"/>
      <x:c r="L12" s="50"/>
    </x:row>
    <x:row r="13" ht="30" customHeight="1">
      <x:c r="A13" s="22" t="str">
        <x:v>C</x:v>
      </x:c>
      <x:c r="B13" s="28" t="n">
        <x:v>53</x:v>
      </x:c>
      <x:c r="C13" s="22" t="str">
        <x:v>수동검토 면적·금액 스크리닝</x:v>
      </x:c>
      <x:c r="E13" s="50" t="str">
        <x:v>C/C?는 공사금액÷면적 초기 스크리닝이며 계약·준공 실적이 아닙니다.</x:v>
      </x:c>
      <x:c r="F13" s="50"/>
      <x:c r="G13" s="50"/>
      <x:c r="H13" s="50"/>
      <x:c r="I13" s="50"/>
      <x:c r="J13" s="50"/>
      <x:c r="K13" s="50"/>
      <x:c r="L13" s="50"/>
    </x:row>
    <x:row r="14" ht="30" customHeight="1">
      <x:c r="A14" s="22" t="str">
        <x:v>C?</x:v>
      </x:c>
      <x:c r="B14" s="28" t="n">
        <x:v>7</x:v>
      </x:c>
      <x:c r="C14" s="22" t="str">
        <x:v>원본 확인 대기</x:v>
      </x:c>
      <x:c r="E14" s="50" t="str">
        <x:v>91사업을 91개 독립 단가표본으로 세면 재공고·복수 package가 중복됩니다.</x:v>
      </x:c>
      <x:c r="F14" s="50"/>
      <x:c r="G14" s="50"/>
      <x:c r="H14" s="50"/>
      <x:c r="I14" s="50"/>
      <x:c r="J14" s="50"/>
      <x:c r="K14" s="50"/>
      <x:c r="L14" s="50"/>
    </x:row>
    <x:row r="15" ht="30" customHeight="1">
      <x:c r="A15" s="22" t="str">
        <x:v>U</x:v>
      </x:c>
      <x:c r="B15" s="28" t="n">
        <x:v>7</x:v>
      </x:c>
      <x:c r="C15" s="22" t="str">
        <x:v>추가조사</x:v>
      </x:c>
      <x:c r="E15" s="50" t="str">
        <x:v>서비스 공고라도 첨부에 별도 건축공사 예산이 수동 확인된 6건은 C 근거로 분리했습니다.</x:v>
      </x:c>
      <x:c r="F15" s="50"/>
      <x:c r="G15" s="50"/>
      <x:c r="H15" s="50"/>
      <x:c r="I15" s="50"/>
      <x:c r="J15" s="50"/>
      <x:c r="K15" s="50"/>
      <x:c r="L15" s="50"/>
    </x:row>
    <x:row r="16" ht="30" customHeight="1">
      <x:c r="A16" s="23" t="str">
        <x:v>X</x:v>
      </x:c>
      <x:c r="B16" s="29" t="n">
        <x:v>17</x:v>
      </x:c>
      <x:c r="C16" s="23" t="str">
        <x:v>공사비 표본 제외</x:v>
      </x:c>
      <x:c r="E16" s="51" t="str">
        <x:v>현지단가·물가·환율·세금·공사범위 보정 없이는 미래 견적값으로 직접 쓰지 않습니다.</x:v>
      </x:c>
      <x:c r="F16" s="51"/>
      <x:c r="G16" s="51"/>
      <x:c r="H16" s="51"/>
      <x:c r="I16" s="51"/>
      <x:c r="J16" s="51"/>
      <x:c r="K16" s="51"/>
      <x:c r="L16" s="51"/>
    </x:row>
    <x:row r="19" ht="25" customHeight="1">
      <x:c r="A19" s="101" t="str">
        <x:v>2021–2025 공고금액·범위 재분류</x:v>
      </x:c>
      <x:c r="B19" s="101"/>
      <x:c r="C19" s="101"/>
      <x:c r="D19" s="101"/>
      <x:c r="E19" s="101"/>
      <x:c r="F19" s="107" t="str">
        <x:v>가격단계·첨부감사</x:v>
      </x:c>
      <x:c r="G19" s="107"/>
      <x:c r="H19" s="107"/>
      <x:c r="I19" s="107"/>
      <x:c r="J19" s="107"/>
      <x:c r="K19" s="107"/>
      <x:c r="L19" s="107"/>
    </x:row>
    <x:row r="20" ht="32" customHeight="1">
      <x:c r="A20" s="13" t="str">
        <x:v>구분</x:v>
      </x:c>
      <x:c r="B20" s="13" t="str">
        <x:v>공사</x:v>
      </x:c>
      <x:c r="C20" s="13" t="str">
        <x:v>서비스</x:v>
      </x:c>
      <x:c r="D20" s="13" t="str">
        <x:v>물품</x:v>
      </x:c>
      <x:c r="F20" s="13" t="str">
        <x:v>계약·준공가</x:v>
      </x:c>
      <x:c r="G20" s="13" t="str">
        <x:v>첨부행</x:v>
      </x:c>
      <x:c r="H20" s="13" t="str">
        <x:v>스프레드시트</x:v>
      </x:c>
      <x:c r="I20" s="13" t="str">
        <x:v>자동가격표신호</x:v>
      </x:c>
    </x:row>
    <x:row r="21">
      <x:c r="A21" s="103" t="str">
        <x:v>공고금액 의미</x:v>
      </x:c>
      <x:c r="B21" s="104" t="n">
        <x:v>74</x:v>
      </x:c>
      <x:c r="C21" s="104" t="n">
        <x:v>54</x:v>
      </x:c>
      <x:c r="D21" s="104" t="n">
        <x:v>2</x:v>
      </x:c>
      <x:c r="F21" s="103" t="n">
        <x:v>0</x:v>
      </x:c>
      <x:c r="G21" s="103" t="n">
        <x:v>2935</x:v>
      </x:c>
      <x:c r="H21" s="103" t="n">
        <x:v>675</x:v>
      </x:c>
      <x:c r="I21" s="103" t="n">
        <x:v>35</x:v>
      </x:c>
    </x:row>
    <x:row r="22">
      <x:c r="B22" s="105"/>
      <x:c r="C22" s="105"/>
      <x:c r="D22" s="105"/>
    </x:row>
    <x:row r="23" ht="29" customHeight="1">
      <x:c r="A23" s="13" t="str">
        <x:v>범위</x:v>
      </x:c>
      <x:c r="B23" s="106" t="str">
        <x:v>MATCH</x:v>
      </x:c>
      <x:c r="C23" s="106" t="str">
        <x:v>PARTIAL</x:v>
      </x:c>
      <x:c r="D23" s="106" t="str">
        <x:v>NO</x:v>
      </x:c>
      <x:c r="F23" s="49" t="str">
        <x:v>상세페이지 집행한도와 원문 기초·광고예산을 별도 보존했습니다.</x:v>
      </x:c>
      <x:c r="G23" s="49"/>
      <x:c r="H23" s="49"/>
      <x:c r="I23" s="49"/>
      <x:c r="J23" s="49"/>
      <x:c r="K23" s="49"/>
      <x:c r="L23" s="49"/>
    </x:row>
    <x:row r="24" ht="29" customHeight="1">
      <x:c r="A24" s="103" t="str">
        <x:v>공고수준</x:v>
      </x:c>
      <x:c r="B24" s="104" t="n">
        <x:v>63</x:v>
      </x:c>
      <x:c r="C24" s="104" t="n">
        <x:v>8</x:v>
      </x:c>
      <x:c r="D24" s="104" t="n">
        <x:v>59</x:v>
      </x:c>
      <x:c r="F24" s="50" t="str">
        <x:v>확인 사례에서 집행한도는 기초·광고예산보다 대체로 약 2~3% 높았습니다.</x:v>
      </x:c>
      <x:c r="G24" s="50"/>
      <x:c r="H24" s="50"/>
      <x:c r="I24" s="50"/>
      <x:c r="J24" s="50"/>
      <x:c r="K24" s="50"/>
      <x:c r="L24" s="50"/>
    </x:row>
    <x:row r="25" ht="29" customHeight="1">
      <x:c r="F25" s="50" t="str">
        <x:v>자동가격표 신호는 최종 A가 아니라 탐색 후보입니다.</x:v>
      </x:c>
      <x:c r="G25" s="50"/>
      <x:c r="H25" s="50"/>
      <x:c r="I25" s="50"/>
      <x:c r="J25" s="50"/>
      <x:c r="K25" s="50"/>
      <x:c r="L25" s="50"/>
    </x:row>
    <x:row r="26" ht="29" customHeight="1">
      <x:c r="F26" s="51" t="str">
        <x:v>계약·낙찰·변경·준공 실적 확보가 다음 데이터 수집 우선순위입니다.</x:v>
      </x:c>
      <x:c r="G26" s="51"/>
      <x:c r="H26" s="51"/>
      <x:c r="I26" s="51"/>
      <x:c r="J26" s="51"/>
      <x:c r="K26" s="51"/>
      <x:c r="L26" s="51"/>
    </x:row>
    <x:row r="29" ht="25" customHeight="1">
      <x:c r="A29" s="111" t="str">
        <x:v>사용 순서</x:v>
      </x:c>
      <x:c r="B29" s="111"/>
      <x:c r="C29" s="111"/>
      <x:c r="D29" s="111"/>
      <x:c r="E29" s="111"/>
      <x:c r="F29" s="111"/>
      <x:c r="G29" s="111"/>
      <x:c r="H29" s="111"/>
      <x:c r="I29" s="111"/>
      <x:c r="J29" s="111"/>
      <x:c r="K29" s="111"/>
      <x:c r="L29" s="111"/>
    </x:row>
    <x:row r="30" ht="30" customHeight="1">
      <x:c r="A30" s="49" t="str">
        <x:v>① 91사업에서 유사 시설·국가·공사범위의 기준점을 찾습니다.</x:v>
      </x:c>
      <x:c r="B30" s="49"/>
      <x:c r="C30" s="49"/>
      <x:c r="D30" s="49"/>
      <x:c r="E30" s="49"/>
      <x:c r="F30" s="49"/>
      <x:c r="G30" s="49"/>
      <x:c r="H30" s="49"/>
      <x:c r="I30" s="49"/>
      <x:c r="J30" s="49"/>
      <x:c r="K30" s="49"/>
      <x:c r="L30" s="49"/>
    </x:row>
    <x:row r="31" ht="30" customHeight="1">
      <x:c r="A31" s="50" t="str">
        <x:v>② 170공고에서 공사금액·면적·가격단계·같은 범위 근거를 확인합니다.</x:v>
      </x:c>
      <x:c r="B31" s="50"/>
      <x:c r="C31" s="50"/>
      <x:c r="D31" s="50"/>
      <x:c r="E31" s="50"/>
      <x:c r="F31" s="50"/>
      <x:c r="G31" s="50"/>
      <x:c r="H31" s="50"/>
      <x:c r="I31" s="50"/>
      <x:c r="J31" s="50"/>
      <x:c r="K31" s="50"/>
      <x:c r="L31" s="50"/>
    </x:row>
    <x:row r="32" ht="30" customHeight="1">
      <x:c r="A32" s="50" t="str">
        <x:v>③ A는 검증범위 BOQ, B는 수량+현지단가, C는 초기 상한 스크리닝으로만 사용합니다.</x:v>
      </x:c>
      <x:c r="B32" s="50"/>
      <x:c r="C32" s="50"/>
      <x:c r="D32" s="50"/>
      <x:c r="E32" s="50"/>
      <x:c r="F32" s="50"/>
      <x:c r="G32" s="50"/>
      <x:c r="H32" s="50"/>
      <x:c r="I32" s="50"/>
      <x:c r="J32" s="50"/>
      <x:c r="K32" s="50"/>
      <x:c r="L32" s="50"/>
    </x:row>
    <x:row r="33" ht="30" customHeight="1">
      <x:c r="A33" s="50" t="str">
        <x:v>④ 면적·시설·외부공사·세금·예비비·물가·환율 보정 run을 별도로 저장합니다.</x:v>
      </x:c>
      <x:c r="B33" s="50"/>
      <x:c r="C33" s="50"/>
      <x:c r="D33" s="50"/>
      <x:c r="E33" s="50"/>
      <x:c r="F33" s="50"/>
      <x:c r="G33" s="50"/>
      <x:c r="H33" s="50"/>
      <x:c r="I33" s="50"/>
      <x:c r="J33" s="50"/>
      <x:c r="K33" s="50"/>
      <x:c r="L33" s="50"/>
    </x:row>
    <x:row r="34" ht="30" customHeight="1">
      <x:c r="A34" s="51" t="str">
        <x:v>⑤ 현지 견적과 계약·준공 실적으로 교차검증하기 전 결과를 확정 견적으로 표현하지 않습니다.</x:v>
      </x:c>
      <x:c r="B34" s="51"/>
      <x:c r="C34" s="51"/>
      <x:c r="D34" s="51"/>
      <x:c r="E34" s="51"/>
      <x:c r="F34" s="51"/>
      <x:c r="G34" s="51"/>
      <x:c r="H34" s="51"/>
      <x:c r="I34" s="51"/>
      <x:c r="J34" s="51"/>
      <x:c r="K34" s="51"/>
      <x:c r="L34" s="51"/>
    </x:row>
  </x:sheetData>
  <x:mergeCells>
    <x:mergeCell ref="A1:L1"/>
    <x:mergeCell ref="A2:L2"/>
    <x:mergeCell ref="A4:B4"/>
    <x:mergeCell ref="A5:B6"/>
    <x:mergeCell ref="D4:E4"/>
    <x:mergeCell ref="D5:E6"/>
    <x:mergeCell ref="G4:H4"/>
    <x:mergeCell ref="G5:H6"/>
    <x:mergeCell ref="J4:L4"/>
    <x:mergeCell ref="J5:L6"/>
    <x:mergeCell ref="A9:F9"/>
    <x:mergeCell ref="E9:L9"/>
    <x:mergeCell ref="E10:L10"/>
    <x:mergeCell ref="E11:L11"/>
    <x:mergeCell ref="E12:L12"/>
    <x:mergeCell ref="E13:L13"/>
    <x:mergeCell ref="E14:L14"/>
    <x:mergeCell ref="E15:L15"/>
    <x:mergeCell ref="E16:L16"/>
    <x:mergeCell ref="A19:F19"/>
    <x:mergeCell ref="F19:L19"/>
    <x:mergeCell ref="F23:L23"/>
    <x:mergeCell ref="F24:L24"/>
    <x:mergeCell ref="F25:L25"/>
    <x:mergeCell ref="F26:L26"/>
    <x:mergeCell ref="A29:L29"/>
    <x:mergeCell ref="A30:L30"/>
    <x:mergeCell ref="A31:L31"/>
    <x:mergeCell ref="A32:L32"/>
    <x:mergeCell ref="A33:L33"/>
    <x:mergeCell ref="A34:L34"/>
  </x:mergeCells>
  <x:conditionalFormatting sqref="A11:A16">
    <x:cfRule type="beginsWith" dxfId="35" priority="1" operator="beginsWith" text="A"/>
    <x:cfRule type="beginsWith" dxfId="36" priority="2" operator="beginsWith" text="B"/>
    <x:cfRule type="beginsWith" dxfId="37" priority="3" operator="beginsWith" text="C"/>
    <x:cfRule type="beginsWith" dxfId="38" priority="4" operator="beginsWith" text="U"/>
    <x:cfRule type="beginsWith" dxfId="39" priority="5" operator="beginsWith" text="X"/>
  </x:conditionalFormatting>
  <x:pageMargins left="0.7" right="0.7" top="0.75" bottom="0.75" header="0.3" footer="0.3"/>
  <x:legacyDrawing xmlns:r="http://schemas.openxmlformats.org/officeDocument/2006/relationships" r:id="R11748464df7e4587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4" hidden="0" customWidth="1"/>
    <x:col min="3" max="3" width="14" hidden="0" customWidth="1"/>
    <x:col min="4" max="4" width="42" hidden="0" customWidth="1"/>
    <x:col min="5" max="5" width="9" hidden="0" customWidth="1"/>
    <x:col min="6" max="6" width="9" hidden="0" customWidth="1"/>
    <x:col min="7" max="7" width="13" hidden="0" customWidth="1"/>
    <x:col min="8" max="8" width="16" hidden="0" customWidth="1"/>
    <x:col min="9" max="9" width="16" hidden="0" customWidth="1"/>
    <x:col min="10" max="10" width="16" hidden="0" customWidth="1"/>
    <x:col min="11" max="11" width="20" hidden="0" customWidth="1"/>
    <x:col min="12" max="12" width="25" hidden="0" customWidth="1"/>
    <x:col min="13" max="13" width="14" hidden="0" customWidth="1"/>
    <x:col min="14" max="14" width="17" hidden="0" customWidth="1"/>
    <x:col min="15" max="15" width="23" hidden="0" customWidth="1"/>
    <x:col min="16" max="16" width="14" hidden="0" customWidth="1"/>
    <x:col min="17" max="17" width="22" hidden="0" customWidth="1"/>
    <x:col min="18" max="18" width="9" hidden="0" customWidth="1"/>
    <x:col min="19" max="19" width="12" hidden="0" customWidth="1"/>
    <x:col min="20" max="20" width="20" hidden="0" customWidth="1"/>
    <x:col min="21" max="21" width="16" hidden="0" customWidth="1"/>
    <x:col min="22" max="22" width="38" hidden="0" customWidth="1"/>
    <x:col min="23" max="23" width="38" hidden="0" customWidth="1"/>
    <x:col min="24" max="24" width="42" hidden="0" customWidth="1"/>
    <x:col min="25" max="25" width="28" hidden="0" customWidth="1"/>
  </x:cols>
  <x:sheetData>
    <x:row r="1" ht="34" customHeight="1">
      <x:c r="A1" s="3" t="str">
        <x:v>KOICA 면적·금액 91사업 재검토</x:v>
      </x:c>
    </x:row>
    <x:row r="2" ht="42" customHeight="1">
      <x:c r="A2" s="7" t="str">
        <x:v>91개 사업번호는 91개 독립 비용표본이 아닙니다. 여러 시설·Lot·설계·감리·공사 패키지를 유지하고 대표 근거만 별도 표시했습니다.</x:v>
      </x:c>
    </x:row>
    <x:row r="4" ht="32" customHeight="1">
      <x:c r="A4" s="13" t="str">
        <x:v>최고등급</x:v>
      </x:c>
      <x:c r="B4" s="13" t="str">
        <x:v>국가</x:v>
      </x:c>
      <x:c r="C4" s="13" t="str">
        <x:v>사업번호</x:v>
      </x:c>
      <x:c r="D4" s="13" t="str">
        <x:v>사업·대표제목</x:v>
      </x:c>
      <x:c r="E4" s="13" t="str">
        <x:v>공고수</x:v>
      </x:c>
      <x:c r="F4" s="13" t="str">
        <x:v>공고군수</x:v>
      </x:c>
      <x:c r="G4" s="13" t="str">
        <x:v>유효 면적·금액 공고수</x:v>
      </x:c>
      <x:c r="H4" s="13" t="str">
        <x:v>표시대표공고</x:v>
      </x:c>
      <x:c r="I4" s="13" t="str">
        <x:v>기술근거공고</x:v>
      </x:c>
      <x:c r="J4" s="13" t="str">
        <x:v>가격근거공고</x:v>
      </x:c>
      <x:c r="K4" s="13" t="str">
        <x:v>검증수준</x:v>
      </x:c>
      <x:c r="L4" s="13" t="str">
        <x:v>범위상태</x:v>
      </x:c>
      <x:c r="M4" s="13" t="str">
        <x:v>대표면적㎡</x:v>
      </x:c>
      <x:c r="N4" s="13" t="str">
        <x:v>대표공사금액USD</x:v>
      </x:c>
      <x:c r="O4" s="13" t="str">
        <x:v>가격단계</x:v>
      </x:c>
      <x:c r="P4" s="13" t="str">
        <x:v>명목USD/㎡</x:v>
      </x:c>
      <x:c r="Q4" s="13" t="str">
        <x:v>허용용도</x:v>
      </x:c>
      <x:c r="R4" s="13" t="str">
        <x:v>직접산정</x:v>
      </x:c>
      <x:c r="S4" s="13" t="str">
        <x:v>스크리닝표본가중치</x:v>
      </x:c>
      <x:c r="T4" s="13" t="str">
        <x:v>다른패키지등급</x:v>
      </x:c>
      <x:c r="U4" s="13" t="str">
        <x:v>다른패키지공고</x:v>
      </x:c>
      <x:c r="V4" s="13" t="str">
        <x:v>중복·범위경고</x:v>
      </x:c>
      <x:c r="W4" s="13" t="str">
        <x:v>판정근거</x:v>
      </x:c>
      <x:c r="X4" s="13" t="str">
        <x:v>전체공고번호</x:v>
      </x:c>
      <x:c r="Y4" s="13" t="str">
        <x:v>KOICA URL</x:v>
      </x:c>
    </x:row>
    <x:row r="5">
      <x:c r="A5" s="21" t="str">
        <x:v>A</x:v>
      </x:c>
      <x:c r="B5" s="21" t="str">
        <x:v>가나</x:v>
      </x:c>
      <x:c r="C5" s="21" t="str">
        <x:v>2021-00016</x:v>
      </x:c>
      <x:c r="D5" s="24" t="str">
        <x:v>가나대학교 한-가나 연구 및 ICT 혁신센터 건립사업 공사</x:v>
      </x:c>
      <x:c r="E5" s="27" t="n">
        <x:v>1</x:v>
      </x:c>
      <x:c r="F5" s="27" t="n">
        <x:v>1</x:v>
      </x:c>
      <x:c r="G5" s="27" t="n">
        <x:v>1</x:v>
      </x:c>
      <x:c r="H5" s="21" t="str">
        <x:v>L2025-00018-1</x:v>
      </x:c>
      <x:c r="I5" s="21" t="str">
        <x:v>L2025-00018-1</x:v>
      </x:c>
      <x:c r="J5" s="21" t="str">
        <x:v>L2025-00018-1</x:v>
      </x:c>
      <x:c r="K5" s="21" t="str">
        <x:v>V3_ORIGINAL_MANUAL</x:v>
      </x:c>
      <x:c r="L5" s="21" t="str">
        <x:v>MATCH</x:v>
      </x:c>
      <x:c r="M5" s="30" t="n">
        <x:v>2684.36</x:v>
      </x:c>
      <x:c r="N5" s="33" t="n">
        <x:v>4333427</x:v>
      </x:c>
      <x:c r="O5" s="21" t="str">
        <x:v>NOTICE_EXECUTION_CEILING</x:v>
      </x:c>
      <x:c r="P5" s="33" t="n">
        <x:f>IFERROR(N5/M5,"")</x:f>
        <x:v>1614.3240846980284</x:v>
      </x:c>
      <x:c r="Q5" s="21" t="str">
        <x:v>품목·검증범위 산정</x:v>
      </x:c>
      <x:c r="R5" s="27" t="n">
        <x:v>1</x:v>
      </x:c>
      <x:c r="S5" s="27" t="n">
        <x:v>1</x:v>
      </x:c>
      <x:c r="T5" s="21" t="str"/>
      <x:c r="U5" s="21" t="str"/>
      <x:c r="V5" s="24" t="str"/>
      <x:c r="W5" s="24" t="str">
        <x:v>가격 있는 설계 BOQ 수량·단가·금액 수동검증</x:v>
      </x:c>
      <x:c r="X5" s="24" t="str">
        <x:v>L2025-00018-1</x:v>
      </x:c>
      <x:c r="Y5" s="24" t="str">
        <x:v>https://nebid.koica.go.kr/oep/lobi/localBidManageDetail.do?P_LOAZ_BID_PBLANC_NO=L2025-00018&amp;P_PBLANC_ODR=1</x:v>
      </x:c>
    </x:row>
    <x:row r="6">
      <x:c r="A6" s="22" t="str">
        <x:v>X</x:v>
      </x:c>
      <x:c r="B6" s="22" t="str">
        <x:v>가나</x:v>
      </x:c>
      <x:c r="C6" s="22" t="str">
        <x:v>2020-00024</x:v>
      </x:c>
      <x:c r="D6" s="25" t="str">
        <x:v>가나 관개지구 공사(아베이만, 아세이만 관개시설 토목공사 및 태양광,양수장 설치 공사)</x:v>
      </x:c>
      <x:c r="E6" s="28" t="n">
        <x:v>1</x:v>
      </x:c>
      <x:c r="F6" s="28" t="n">
        <x:v>1</x:v>
      </x:c>
      <x:c r="G6" s="28" t="n">
        <x:v>0</x:v>
      </x:c>
      <x:c r="H6" s="22" t="str">
        <x:v>L2025-00019-1</x:v>
      </x:c>
      <x:c r="I6" s="22" t="str"/>
      <x:c r="J6" s="22" t="str"/>
      <x:c r="K6" s="22" t="str">
        <x:v>V3_SCOPE_REVIEW</x:v>
      </x:c>
      <x:c r="L6" s="22" t="str">
        <x:v>NO_MATCH</x:v>
      </x:c>
      <x:c r="M6" s="31"/>
      <x:c r="N6" s="34"/>
      <x:c r="O6" s="22" t="str">
        <x:v>SERVICE_OR_GOODS_CEILING</x:v>
      </x:c>
      <x:c r="P6" s="34" t="str">
        <x:f>IFERROR(N6/M6,"")</x:f>
      </x:c>
      <x:c r="Q6" s="22" t="str">
        <x:v>계산 금지</x:v>
      </x:c>
      <x:c r="R6" s="28" t="n">
        <x:v>0</x:v>
      </x:c>
      <x:c r="S6" s="28" t="n">
        <x:v>0</x:v>
      </x:c>
      <x:c r="T6" s="22" t="str"/>
      <x:c r="U6" s="22" t="str"/>
      <x:c r="V6" s="25" t="str"/>
      <x:c r="W6" s="25" t="str">
        <x:v>물품·비건축 또는 GFA 오탐으로 건축공사비 표본 제외</x:v>
      </x:c>
      <x:c r="X6" s="25" t="str">
        <x:v>L2025-00019-1</x:v>
      </x:c>
      <x:c r="Y6" s="25" t="str">
        <x:v>https://nebid.koica.go.kr/oep/lobi/localBidManageDetail.do?P_LOAZ_BID_PBLANC_NO=L2025-00019&amp;P_PBLANC_ODR=1</x:v>
      </x:c>
    </x:row>
    <x:row r="7">
      <x:c r="A7" s="22" t="str">
        <x:v>C</x:v>
      </x:c>
      <x:c r="B7" s="22" t="str">
        <x:v>네팔</x:v>
      </x:c>
      <x:c r="C7" s="22" t="str">
        <x:v>2015-00012</x:v>
      </x:c>
      <x:c r="D7" s="25" t="str">
        <x:v>네팔 기술교사 역량강화를 통한 기술직업교육훈련 질적 제고 사업 IT 강의동 시공업체 선정 현지 입찰</x:v>
      </x:c>
      <x:c r="E7" s="28" t="n">
        <x:v>1</x:v>
      </x:c>
      <x:c r="F7" s="28" t="n">
        <x:v>1</x:v>
      </x:c>
      <x:c r="G7" s="28" t="n">
        <x:v>1</x:v>
      </x:c>
      <x:c r="H7" s="22" t="str">
        <x:v>L2019-00010-1</x:v>
      </x:c>
      <x:c r="I7" s="22" t="str"/>
      <x:c r="J7" s="22" t="str">
        <x:v>L2019-00010-1</x:v>
      </x:c>
      <x:c r="K7" s="22" t="str">
        <x:v>V3_CURATED_AREA_COST_RECHECK</x:v>
      </x:c>
      <x:c r="L7" s="22" t="str">
        <x:v>MATCH</x:v>
      </x:c>
      <x:c r="M7" s="31" t="n">
        <x:v>1549.83</x:v>
      </x:c>
      <x:c r="N7" s="34" t="n">
        <x:v>1200000</x:v>
      </x:c>
      <x:c r="O7" s="22" t="str">
        <x:v>NOTICE_EXECUTION_CEILING</x:v>
      </x:c>
      <x:c r="P7" s="34" t="n">
        <x:f>IFERROR(N7/M7,"")</x:f>
        <x:v>774.2784692514663</x:v>
      </x:c>
      <x:c r="Q7" s="22" t="str">
        <x:v>초기 스크리닝만</x:v>
      </x:c>
      <x:c r="R7" s="28" t="n">
        <x:v>0</x:v>
      </x:c>
      <x:c r="S7" s="28" t="n">
        <x:v>1</x:v>
      </x:c>
      <x:c r="T7" s="22" t="str"/>
      <x:c r="U7" s="22" t="str"/>
      <x:c r="V7" s="25" t="str"/>
      <x:c r="W7" s="25" t="str">
        <x:v>동일/제한 범위 공사금액÷면적 스크리닝 근거</x:v>
      </x:c>
      <x:c r="X7" s="25" t="str">
        <x:v>L2019-00010-1</x:v>
      </x:c>
      <x:c r="Y7" s="25" t="str">
        <x:v>https://nebid.koica.go.kr/oep/lobi/localBidManageDetail.do?P_LOAZ_BID_PBLANC_NO=L2019-00010&amp;P_PBLANC_ODR=1</x:v>
      </x:c>
    </x:row>
    <x:row r="8">
      <x:c r="A8" s="22" t="str">
        <x:v>C</x:v>
      </x:c>
      <x:c r="B8" s="22" t="str">
        <x:v>네팔</x:v>
      </x:c>
      <x:c r="C8" s="22" t="str">
        <x:v>2020-00114</x:v>
      </x:c>
      <x:c r="D8" s="25" t="str">
        <x:v>네팔 보건 및 소득증대를 통한 통합적 농촌지역 역량강화사업 아웃리치 센터 설계 및 감리업체 선정 현지입찰 계획</x:v>
      </x:c>
      <x:c r="E8" s="28" t="n">
        <x:v>2</x:v>
      </x:c>
      <x:c r="F8" s="28" t="n">
        <x:v>2</x:v>
      </x:c>
      <x:c r="G8" s="28" t="n">
        <x:v>1</x:v>
      </x:c>
      <x:c r="H8" s="22" t="str">
        <x:v>L2021-00029-1</x:v>
      </x:c>
      <x:c r="I8" s="22" t="str"/>
      <x:c r="J8" s="22" t="str">
        <x:v>L2021-00029-1</x:v>
      </x:c>
      <x:c r="K8" s="22" t="str">
        <x:v>V3_CURATED_AREA_COST_RECHECK</x:v>
      </x:c>
      <x:c r="L8" s="22" t="str">
        <x:v>MATCH</x:v>
      </x:c>
      <x:c r="M8" s="31" t="n">
        <x:v>1120.3</x:v>
      </x:c>
      <x:c r="N8" s="34" t="n">
        <x:v>929600</x:v>
      </x:c>
      <x:c r="O8" s="22" t="str">
        <x:v>CONSTRUCTION_BUDGET</x:v>
      </x:c>
      <x:c r="P8" s="34" t="n">
        <x:f>IFERROR(N8/M8,"")</x:f>
        <x:v>829.7777381058645</x:v>
      </x:c>
      <x:c r="Q8" s="22" t="str">
        <x:v>초기 스크리닝만</x:v>
      </x:c>
      <x:c r="R8" s="28" t="n">
        <x:v>0</x:v>
      </x:c>
      <x:c r="S8" s="28" t="n">
        <x:v>1</x:v>
      </x:c>
      <x:c r="T8" s="22" t="str"/>
      <x:c r="U8" s="22" t="str"/>
      <x:c r="V8" s="25" t="str">
        <x:v>project_no 안에 서로 다른 시설·Lot·설계·감리·공사 패키지가 있을 수 있어 1개 비용행으로 합산 금지</x:v>
      </x:c>
      <x:c r="W8" s="25" t="str">
        <x:v>동일/제한 범위 공사금액÷면적 스크리닝 근거</x:v>
      </x:c>
      <x:c r="X8" s="25" t="str">
        <x:v>L2021-00004-1;L2021-00029-1</x:v>
      </x:c>
      <x:c r="Y8" s="25" t="str">
        <x:v>https://nebid.koica.go.kr/oep/lobi/localBidManageDetail.do?P_LOAZ_BID_PBLANC_NO=L2021-00029&amp;P_PBLANC_ODR=1</x:v>
      </x:c>
    </x:row>
    <x:row r="9">
      <x:c r="A9" s="22" t="str">
        <x:v>C</x:v>
      </x:c>
      <x:c r="B9" s="22" t="str">
        <x:v>네팔</x:v>
      </x:c>
      <x:c r="C9" s="22" t="str">
        <x:v>2021-00139</x:v>
      </x:c>
      <x:c r="D9" s="25" t="str">
        <x:v>네팔 Province 2 지역 건설기술인력 양성을 위한 모델 폴리텍 설립사업” 모델 폴리텍 설계 및 감리업체 선정</x:v>
      </x:c>
      <x:c r="E9" s="28" t="n">
        <x:v>2</x:v>
      </x:c>
      <x:c r="F9" s="28" t="n">
        <x:v>2</x:v>
      </x:c>
      <x:c r="G9" s="28" t="n">
        <x:v>1</x:v>
      </x:c>
      <x:c r="H9" s="22" t="str">
        <x:v>L2022-00029-1</x:v>
      </x:c>
      <x:c r="I9" s="22" t="str"/>
      <x:c r="J9" s="22" t="str">
        <x:v>L2022-00029-1</x:v>
      </x:c>
      <x:c r="K9" s="22" t="str">
        <x:v>V3_CURATED_AREA_COST_RECHECK</x:v>
      </x:c>
      <x:c r="L9" s="22" t="str">
        <x:v>MATCH</x:v>
      </x:c>
      <x:c r="M9" s="31" t="n">
        <x:v>5640.1</x:v>
      </x:c>
      <x:c r="N9" s="34" t="n">
        <x:v>3744400</x:v>
      </x:c>
      <x:c r="O9" s="22" t="str">
        <x:v>NOTICE_EXECUTION_CEILING</x:v>
      </x:c>
      <x:c r="P9" s="34" t="n">
        <x:f>IFERROR(N9/M9,"")</x:f>
        <x:v>663.8889381393947</x:v>
      </x:c>
      <x:c r="Q9" s="22" t="str">
        <x:v>초기 스크리닝만</x:v>
      </x:c>
      <x:c r="R9" s="28" t="n">
        <x:v>0</x:v>
      </x:c>
      <x:c r="S9" s="28" t="n">
        <x:v>1</x:v>
      </x:c>
      <x:c r="T9" s="22" t="str"/>
      <x:c r="U9" s="22" t="str"/>
      <x:c r="V9" s="25" t="str">
        <x:v>project_no 안에 서로 다른 시설·Lot·설계·감리·공사 패키지가 있을 수 있어 1개 비용행으로 합산 금지</x:v>
      </x:c>
      <x:c r="W9" s="25" t="str">
        <x:v>동일/제한 범위 공사금액÷면적 스크리닝 근거</x:v>
      </x:c>
      <x:c r="X9" s="25" t="str">
        <x:v>L2021-00013-1;L2022-00029-1</x:v>
      </x:c>
      <x:c r="Y9" s="25" t="str">
        <x:v>https://nebid.koica.go.kr/oep/lobi/localBidManageDetail.do?P_LOAZ_BID_PBLANC_NO=L2022-00029&amp;P_PBLANC_ODR=1</x:v>
      </x:c>
    </x:row>
    <x:row r="10">
      <x:c r="A10" s="22" t="str">
        <x:v>C</x:v>
      </x:c>
      <x:c r="B10" s="22" t="str">
        <x:v>네팔</x:v>
      </x:c>
      <x:c r="C10" s="22" t="str">
        <x:v>2022-00009</x:v>
      </x:c>
      <x:c r="D10" s="25" t="str">
        <x:v>네팔 박타푸르 취약지역의 빈곤층 건강수준 향상을 위한 역량강화 및 의료인프라 개선사업</x:v>
      </x:c>
      <x:c r="E10" s="28" t="n">
        <x:v>1</x:v>
      </x:c>
      <x:c r="F10" s="28" t="n">
        <x:v>1</x:v>
      </x:c>
      <x:c r="G10" s="28" t="n">
        <x:v>1</x:v>
      </x:c>
      <x:c r="H10" s="22" t="str">
        <x:v>L2024-00031-1</x:v>
      </x:c>
      <x:c r="I10" s="22" t="str"/>
      <x:c r="J10" s="22" t="str">
        <x:v>L2024-00031-1</x:v>
      </x:c>
      <x:c r="K10" s="22" t="str">
        <x:v>V3_CURATED_AREA_COST_RECHECK</x:v>
      </x:c>
      <x:c r="L10" s="22" t="str">
        <x:v>MATCH</x:v>
      </x:c>
      <x:c r="M10" s="31" t="n">
        <x:v>5898.25</x:v>
      </x:c>
      <x:c r="N10" s="34" t="n">
        <x:v>4653720</x:v>
      </x:c>
      <x:c r="O10" s="22" t="str">
        <x:v>NOTICE_EXECUTION_CEILING</x:v>
      </x:c>
      <x:c r="P10" s="34" t="n">
        <x:f>IFERROR(N10/M10,"")</x:f>
        <x:v>789.0001271563599</x:v>
      </x:c>
      <x:c r="Q10" s="22" t="str">
        <x:v>초기 스크리닝만</x:v>
      </x:c>
      <x:c r="R10" s="28" t="n">
        <x:v>0</x:v>
      </x:c>
      <x:c r="S10" s="28" t="n">
        <x:v>1</x:v>
      </x:c>
      <x:c r="T10" s="22" t="str"/>
      <x:c r="U10" s="22" t="str"/>
      <x:c r="V10" s="25" t="str"/>
      <x:c r="W10" s="25" t="str">
        <x:v>동일/제한 범위 공사금액÷면적 스크리닝 근거</x:v>
      </x:c>
      <x:c r="X10" s="25" t="str">
        <x:v>L2024-00031-1</x:v>
      </x:c>
      <x:c r="Y10" s="25" t="str">
        <x:v>https://nebid.koica.go.kr/oep/lobi/localBidManageDetail.do?P_LOAZ_BID_PBLANC_NO=L2024-00031&amp;P_PBLANC_ODR=1</x:v>
      </x:c>
    </x:row>
    <x:row r="11">
      <x:c r="A11" s="22" t="str">
        <x:v>C</x:v>
      </x:c>
      <x:c r="B11" s="22" t="str">
        <x:v>네팔</x:v>
      </x:c>
      <x:c r="C11" s="22" t="str">
        <x:v>2023-00052</x:v>
      </x:c>
      <x:c r="D11" s="25" t="str">
        <x:v>네팔 포카라시 리사이클/업사이클 플랫폼 및 친환경 시범마을 구축을 통한 녹색일자리 창출사업(23~29/980만불) 시공업체 선정</x:v>
      </x:c>
      <x:c r="E11" s="28" t="n">
        <x:v>1</x:v>
      </x:c>
      <x:c r="F11" s="28" t="n">
        <x:v>1</x:v>
      </x:c>
      <x:c r="G11" s="28" t="n">
        <x:v>1</x:v>
      </x:c>
      <x:c r="H11" s="22" t="str">
        <x:v>L2024-00079-1</x:v>
      </x:c>
      <x:c r="I11" s="22" t="str"/>
      <x:c r="J11" s="22" t="str">
        <x:v>L2024-00079-1</x:v>
      </x:c>
      <x:c r="K11" s="22" t="str">
        <x:v>V3_CURATED_AREA_COST_RECHECK</x:v>
      </x:c>
      <x:c r="L11" s="22" t="str">
        <x:v>MATCH</x:v>
      </x:c>
      <x:c r="M11" s="31" t="n">
        <x:v>4996.62</x:v>
      </x:c>
      <x:c r="N11" s="34" t="n">
        <x:v>3534542</x:v>
      </x:c>
      <x:c r="O11" s="22" t="str">
        <x:v>NOTICE_EXECUTION_CEILING</x:v>
      </x:c>
      <x:c r="P11" s="34" t="n">
        <x:f>IFERROR(N11/M11,"")</x:f>
        <x:v>707.3865933370959</x:v>
      </x:c>
      <x:c r="Q11" s="22" t="str">
        <x:v>초기 스크리닝만</x:v>
      </x:c>
      <x:c r="R11" s="28" t="n">
        <x:v>0</x:v>
      </x:c>
      <x:c r="S11" s="28" t="n">
        <x:v>1</x:v>
      </x:c>
      <x:c r="T11" s="22" t="str"/>
      <x:c r="U11" s="22" t="str"/>
      <x:c r="V11" s="25" t="str"/>
      <x:c r="W11" s="25" t="str">
        <x:v>동일/제한 범위 공사금액÷면적 스크리닝 근거</x:v>
      </x:c>
      <x:c r="X11" s="25" t="str">
        <x:v>L2024-00079-1</x:v>
      </x:c>
      <x:c r="Y11" s="25" t="str">
        <x:v>https://nebid.koica.go.kr/oep/lobi/localBidManageDetail.do?P_LOAZ_BID_PBLANC_NO=L2024-00079&amp;P_PBLANC_ODR=1</x:v>
      </x:c>
    </x:row>
    <x:row r="12">
      <x:c r="A12" s="22" t="str">
        <x:v>C?</x:v>
      </x:c>
      <x:c r="B12" s="22" t="str">
        <x:v>네팔</x:v>
      </x:c>
      <x:c r="C12" s="22" t="str">
        <x:v>2016-00029</x:v>
      </x:c>
      <x:c r="D12" s="25" t="str">
        <x:v>네팔 카트만두대학 둘리켈 캠퍼스 내 “네팔기술혁신센터 건립사업” 설계 및 감리업체 선정 현지입찰 계획(안)</x:v>
      </x:c>
      <x:c r="E12" s="28" t="n">
        <x:v>2</x:v>
      </x:c>
      <x:c r="F12" s="28" t="n">
        <x:v>2</x:v>
      </x:c>
      <x:c r="G12" s="28" t="n">
        <x:v>1</x:v>
      </x:c>
      <x:c r="H12" s="22" t="str">
        <x:v>L2020-00003-1</x:v>
      </x:c>
      <x:c r="I12" s="22" t="str"/>
      <x:c r="J12" s="22" t="str">
        <x:v>L2020-00003-1</x:v>
      </x:c>
      <x:c r="K12" s="22" t="str">
        <x:v>V2R_HUMAN_REVIEWED_EXTRACTION</x:v>
      </x:c>
      <x:c r="L12" s="22" t="str">
        <x:v>MATCH</x:v>
      </x:c>
      <x:c r="M12" s="31" t="n">
        <x:v>3117</x:v>
      </x:c>
      <x:c r="N12" s="34" t="n">
        <x:v>2910000</x:v>
      </x:c>
      <x:c r="O12" s="22" t="str">
        <x:v>NOTICE_EXECUTION_CEILING</x:v>
      </x:c>
      <x:c r="P12" s="34" t="n">
        <x:f>IFERROR(N12/M12,"")</x:f>
        <x:v>933.5899903753609</x:v>
      </x:c>
      <x:c r="Q12" s="22" t="str">
        <x:v>초기 스크리닝만</x:v>
      </x:c>
      <x:c r="R12" s="28" t="n">
        <x:v>0</x:v>
      </x:c>
      <x:c r="S12" s="28" t="n">
        <x:v>1</x:v>
      </x:c>
      <x:c r="T12" s="22" t="str"/>
      <x:c r="U12" s="22" t="str"/>
      <x:c r="V12" s="25" t="str">
        <x:v>project_no 안에 서로 다른 시설·Lot·설계·감리·공사 패키지가 있을 수 있어 1개 비용행으로 합산 금지</x:v>
      </x:c>
      <x:c r="W12" s="25" t="str">
        <x:v>범위 일치 잠정확인; 원본 V3 확인 전 직접 사용 금지</x:v>
      </x:c>
      <x:c r="X12" s="25" t="str">
        <x:v>L2019-00019-1;L2020-00003-1</x:v>
      </x:c>
      <x:c r="Y12" s="25" t="str">
        <x:v>https://nebid.koica.go.kr/oep/lobi/localBidManageDetail.do?P_LOAZ_BID_PBLANC_NO=L2020-00003&amp;P_PBLANC_ODR=1</x:v>
      </x:c>
    </x:row>
    <x:row r="13">
      <x:c r="A13" s="22" t="str">
        <x:v>X</x:v>
      </x:c>
      <x:c r="B13" s="22" t="str">
        <x:v>네팔</x:v>
      </x:c>
      <x:c r="C13" s="22" t="str">
        <x:v>2021-00141</x:v>
      </x:c>
      <x:c r="D13" s="25" t="str">
        <x:v>네팔 경찰 역량강화를 위한 사이버안전국 설립사업 설계 및 감리업체 선정 현지입찰</x:v>
      </x:c>
      <x:c r="E13" s="28" t="n">
        <x:v>1</x:v>
      </x:c>
      <x:c r="F13" s="28" t="n">
        <x:v>1</x:v>
      </x:c>
      <x:c r="G13" s="28" t="n">
        <x:v>0</x:v>
      </x:c>
      <x:c r="H13" s="22" t="str">
        <x:v>L2022-00006-1</x:v>
      </x:c>
      <x:c r="I13" s="22" t="str"/>
      <x:c r="J13" s="22" t="str"/>
      <x:c r="K13" s="22" t="str">
        <x:v>V3_SCOPE_REVIEW</x:v>
      </x:c>
      <x:c r="L13" s="22" t="str">
        <x:v>NO_MATCH</x:v>
      </x:c>
      <x:c r="M13" s="31" t="n">
        <x:v>4563</x:v>
      </x:c>
      <x:c r="N13" s="34"/>
      <x:c r="O13" s="22" t="str">
        <x:v>SERVICE_OR_GOODS_CEILING</x:v>
      </x:c>
      <x:c r="P13" s="34" t="n">
        <x:f>IFERROR(N13/M13,"")</x:f>
        <x:v>0</x:v>
      </x:c>
      <x:c r="Q13" s="22" t="str">
        <x:v>계산 금지</x:v>
      </x:c>
      <x:c r="R13" s="28" t="n">
        <x:v>0</x:v>
      </x:c>
      <x:c r="S13" s="28" t="n">
        <x:v>0</x:v>
      </x:c>
      <x:c r="T13" s="22" t="str"/>
      <x:c r="U13" s="22" t="str"/>
      <x:c r="V13" s="25" t="str"/>
      <x:c r="W13" s="25" t="str">
        <x:v>설계·감리·기타 용역 집행한도는 건축공사비가 아님</x:v>
      </x:c>
      <x:c r="X13" s="25" t="str">
        <x:v>L2022-00006-1</x:v>
      </x:c>
      <x:c r="Y13" s="25" t="str">
        <x:v>https://nebid.koica.go.kr/oep/lobi/localBidManageDetail.do?P_LOAZ_BID_PBLANC_NO=L2022-00006&amp;P_PBLANC_ODR=1</x:v>
      </x:c>
    </x:row>
    <x:row r="14">
      <x:c r="A14" s="22" t="str">
        <x:v>B-부분</x:v>
      </x:c>
      <x:c r="B14" s="22" t="str">
        <x:v>도미니카</x:v>
      </x:c>
      <x:c r="C14" s="22" t="str">
        <x:v>2020-00070</x:v>
      </x:c>
      <x:c r="D14" s="25" t="str">
        <x:v>도미니카(공) 여성 중심 취약계층 사회경제적 역량강화사업 - 하이나 및 몬테크리스티 직업훈련센터 설계용역 입찰</x:v>
      </x:c>
      <x:c r="E14" s="28" t="n">
        <x:v>7</x:v>
      </x:c>
      <x:c r="F14" s="28" t="n">
        <x:v>6</x:v>
      </x:c>
      <x:c r="G14" s="28" t="n">
        <x:v>1</x:v>
      </x:c>
      <x:c r="H14" s="22" t="str">
        <x:v>L2024-00078-1</x:v>
      </x:c>
      <x:c r="I14" s="22" t="str">
        <x:v>L2024-00078-1</x:v>
      </x:c>
      <x:c r="J14" s="22" t="str">
        <x:v>L2024-00078-1</x:v>
      </x:c>
      <x:c r="K14" s="22" t="str">
        <x:v>V3_ORIGINAL_MANUAL</x:v>
      </x:c>
      <x:c r="L14" s="22" t="str">
        <x:v>MATCH</x:v>
      </x:c>
      <x:c r="M14" s="31" t="n">
        <x:v>936.2</x:v>
      </x:c>
      <x:c r="N14" s="34" t="n">
        <x:v>1187000</x:v>
      </x:c>
      <x:c r="O14" s="22" t="str">
        <x:v>NOTICE_EXECUTION_CEILING</x:v>
      </x:c>
      <x:c r="P14" s="34" t="n">
        <x:f>IFERROR(N14/M14,"")</x:f>
        <x:v>1267.8914761803032</x:v>
      </x:c>
      <x:c r="Q14" s="22" t="str">
        <x:v>현지단가 결합 수량모델</x:v>
      </x:c>
      <x:c r="R14" s="28" t="n">
        <x:v>0</x:v>
      </x:c>
      <x:c r="S14" s="28" t="n">
        <x:v>1</x:v>
      </x:c>
      <x:c r="T14" s="22" t="str"/>
      <x:c r="U14" s="22" t="str"/>
      <x:c r="V14" s="25" t="str">
        <x:v>project_no 안에 서로 다른 시설·Lot·설계·감리·공사 패키지가 있을 수 있어 1개 비용행으로 합산 금지</x:v>
      </x:c>
      <x:c r="W14" s="25" t="str">
        <x:v>몬테크리스티 직업훈련센터 899행 blank BOQ</x:v>
      </x:c>
      <x:c r="X14" s="25" t="str">
        <x:v>L2022-00059-1;L2023-00040-1;L2024-00078-1;L2025-00007-1;L2025-00007-2;L2025-00010-1;L2025-00038-1</x:v>
      </x:c>
      <x:c r="Y14" s="25" t="str">
        <x:v>https://nebid.koica.go.kr/oep/lobi/localBidManageDetail.do?P_LOAZ_BID_PBLANC_NO=L2024-00078&amp;P_PBLANC_ODR=1</x:v>
      </x:c>
    </x:row>
    <x:row r="15">
      <x:c r="A15" s="22" t="str">
        <x:v>C</x:v>
      </x:c>
      <x:c r="B15" s="22" t="str">
        <x:v>도미니카</x:v>
      </x:c>
      <x:c r="C15" s="22" t="str">
        <x:v>2016-20176</x:v>
      </x:c>
      <x:c r="D15" s="25" t="str">
        <x:v>도미니카공화국 미성년자 임신방지 및 여성보건환경개선 3차사업_산후안 성보건센터 건립 시공사 선정 현지입찰</x:v>
      </x:c>
      <x:c r="E15" s="28" t="n">
        <x:v>5</x:v>
      </x:c>
      <x:c r="F15" s="28" t="n">
        <x:v>5</x:v>
      </x:c>
      <x:c r="G15" s="28" t="n">
        <x:v>2</x:v>
      </x:c>
      <x:c r="H15" s="22" t="str">
        <x:v>L2022-00046-1</x:v>
      </x:c>
      <x:c r="I15" s="22" t="str"/>
      <x:c r="J15" s="22" t="str">
        <x:v>L2022-00046-1</x:v>
      </x:c>
      <x:c r="K15" s="22" t="str">
        <x:v>V3_CURATED_AREA_COST_RECHECK</x:v>
      </x:c>
      <x:c r="L15" s="22" t="str">
        <x:v>MATCH</x:v>
      </x:c>
      <x:c r="M15" s="31" t="n">
        <x:v>858</x:v>
      </x:c>
      <x:c r="N15" s="34" t="n">
        <x:v>1507000</x:v>
      </x:c>
      <x:c r="O15" s="22" t="str">
        <x:v>NOTICE_EXECUTION_CEILING</x:v>
      </x:c>
      <x:c r="P15" s="34" t="n">
        <x:f>IFERROR(N15/M15,"")</x:f>
        <x:v>1756.4102564102564</x:v>
      </x:c>
      <x:c r="Q15" s="22" t="str">
        <x:v>초기 스크리닝만</x:v>
      </x:c>
      <x:c r="R15" s="28" t="n">
        <x:v>0</x:v>
      </x:c>
      <x:c r="S15" s="28" t="n">
        <x:v>1</x:v>
      </x:c>
      <x:c r="T15" s="22" t="str"/>
      <x:c r="U15" s="22" t="str"/>
      <x:c r="V15" s="25" t="str">
        <x:v>project_no 안에 서로 다른 시설·Lot·설계·감리·공사 패키지가 있을 수 있어 1개 비용행으로 합산 금지</x:v>
      </x:c>
      <x:c r="W15" s="25" t="str">
        <x:v>동일/제한 범위 공사금액÷면적 스크리닝 근거</x:v>
      </x:c>
      <x:c r="X15" s="25" t="str">
        <x:v>L2021-00011-1;L2022-00032-1;L2022-00040-1;L2022-00046-1;L2022-00060-1</x:v>
      </x:c>
      <x:c r="Y15" s="25" t="str">
        <x:v>https://nebid.koica.go.kr/oep/lobi/localBidManageDetail.do?P_LOAZ_BID_PBLANC_NO=L2022-00046&amp;P_PBLANC_ODR=1</x:v>
      </x:c>
    </x:row>
    <x:row r="16">
      <x:c r="A16" s="22" t="str">
        <x:v>C</x:v>
      </x:c>
      <x:c r="B16" s="22" t="str">
        <x:v>동티모르</x:v>
      </x:c>
      <x:c r="C16" s="22" t="str">
        <x:v>2021-00075</x:v>
      </x:c>
      <x:c r="D16" s="25" t="str">
        <x:v>(신규재입찰) 동티모르 농민참여형 가치사슬 개선사업 농업용 인프라 시공</x:v>
      </x:c>
      <x:c r="E16" s="28" t="n">
        <x:v>3</x:v>
      </x:c>
      <x:c r="F16" s="28" t="n">
        <x:v>3</x:v>
      </x:c>
      <x:c r="G16" s="28" t="n">
        <x:v>3</x:v>
      </x:c>
      <x:c r="H16" s="22" t="str">
        <x:v>L2023-00022-1</x:v>
      </x:c>
      <x:c r="I16" s="22" t="str"/>
      <x:c r="J16" s="22" t="str">
        <x:v>L2023-00022-1</x:v>
      </x:c>
      <x:c r="K16" s="22" t="str">
        <x:v>V3_CURATED_AREA_COST_RECHECK</x:v>
      </x:c>
      <x:c r="L16" s="22" t="str">
        <x:v>MATCH</x:v>
      </x:c>
      <x:c r="M16" s="31" t="n">
        <x:v>826.8</x:v>
      </x:c>
      <x:c r="N16" s="34" t="n">
        <x:v>1570000</x:v>
      </x:c>
      <x:c r="O16" s="22" t="str">
        <x:v>NOTICE_EXECUTION_CEILING</x:v>
      </x:c>
      <x:c r="P16" s="34" t="n">
        <x:f>IFERROR(N16/M16,"")</x:f>
        <x:v>1898.887276245767</x:v>
      </x:c>
      <x:c r="Q16" s="22" t="str">
        <x:v>초기 스크리닝만</x:v>
      </x:c>
      <x:c r="R16" s="28" t="n">
        <x:v>0</x:v>
      </x:c>
      <x:c r="S16" s="28" t="n">
        <x:v>1</x:v>
      </x:c>
      <x:c r="T16" s="22" t="str"/>
      <x:c r="U16" s="22" t="str"/>
      <x:c r="V16" s="25" t="str">
        <x:v>project_no 안에 서로 다른 시설·Lot·설계·감리·공사 패키지가 있을 수 있어 1개 비용행으로 합산 금지</x:v>
      </x:c>
      <x:c r="W16" s="25" t="str">
        <x:v>동일/제한 범위 공사금액÷면적 스크리닝 근거</x:v>
      </x:c>
      <x:c r="X16" s="25" t="str">
        <x:v>L2023-00006-1;L2023-00019-1;L2023-00022-1</x:v>
      </x:c>
      <x:c r="Y16" s="25" t="str">
        <x:v>https://nebid.koica.go.kr/oep/lobi/localBidManageDetail.do?P_LOAZ_BID_PBLANC_NO=L2023-00022&amp;P_PBLANC_ODR=1</x:v>
      </x:c>
    </x:row>
    <x:row r="17">
      <x:c r="A17" s="22" t="str">
        <x:v>C</x:v>
      </x:c>
      <x:c r="B17" s="22" t="str">
        <x:v>라오스</x:v>
      </x:c>
      <x:c r="C17" s="22" t="str">
        <x:v>2016-00028</x:v>
      </x:c>
      <x:c r="D17" s="25" t="str">
        <x:v>라오스 청년동맹 IT센터 역량강화사업 시공업체 선정</x:v>
      </x:c>
      <x:c r="E17" s="28" t="n">
        <x:v>1</x:v>
      </x:c>
      <x:c r="F17" s="28" t="n">
        <x:v>1</x:v>
      </x:c>
      <x:c r="G17" s="28" t="n">
        <x:v>1</x:v>
      </x:c>
      <x:c r="H17" s="22" t="str">
        <x:v>L2017-00007-1</x:v>
      </x:c>
      <x:c r="I17" s="22" t="str"/>
      <x:c r="J17" s="22" t="str">
        <x:v>L2017-00007-1</x:v>
      </x:c>
      <x:c r="K17" s="22" t="str">
        <x:v>V3_CURATED_AREA_COST_RECHECK</x:v>
      </x:c>
      <x:c r="L17" s="22" t="str">
        <x:v>MATCH</x:v>
      </x:c>
      <x:c r="M17" s="31" t="n">
        <x:v>1562.68</x:v>
      </x:c>
      <x:c r="N17" s="34" t="n">
        <x:v>1197640</x:v>
      </x:c>
      <x:c r="O17" s="22" t="str">
        <x:v>ADVERTISED_BUDGET_CAP</x:v>
      </x:c>
      <x:c r="P17" s="34" t="n">
        <x:f>IFERROR(N17/M17,"")</x:f>
        <x:v>766.4013105690224</x:v>
      </x:c>
      <x:c r="Q17" s="22" t="str">
        <x:v>초기 스크리닝만</x:v>
      </x:c>
      <x:c r="R17" s="28" t="n">
        <x:v>0</x:v>
      </x:c>
      <x:c r="S17" s="28" t="n">
        <x:v>1</x:v>
      </x:c>
      <x:c r="T17" s="22" t="str"/>
      <x:c r="U17" s="22" t="str"/>
      <x:c r="V17" s="25" t="str"/>
      <x:c r="W17" s="25" t="str">
        <x:v>동일/제한 범위 공사금액÷면적 스크리닝 근거</x:v>
      </x:c>
      <x:c r="X17" s="25" t="str">
        <x:v>L2017-00007-1</x:v>
      </x:c>
      <x:c r="Y17" s="25" t="str">
        <x:v>https://nebid.koica.go.kr/oep/lobi/localBidManageDetail.do?P_LOAZ_BID_PBLANC_NO=L2017-00007&amp;P_PBLANC_ODR=1</x:v>
      </x:c>
    </x:row>
    <x:row r="18">
      <x:c r="A18" s="22" t="str">
        <x:v>C</x:v>
      </x:c>
      <x:c r="B18" s="22" t="str">
        <x:v>라오스</x:v>
      </x:c>
      <x:c r="C18" s="22" t="str">
        <x:v>2016-00202</x:v>
      </x:c>
      <x:c r="D18" s="25" t="str">
        <x:v>라오스 이민국 신청사 건축 시공용역 현지입찰</x:v>
      </x:c>
      <x:c r="E18" s="28" t="n">
        <x:v>1</x:v>
      </x:c>
      <x:c r="F18" s="28" t="n">
        <x:v>1</x:v>
      </x:c>
      <x:c r="G18" s="28" t="n">
        <x:v>1</x:v>
      </x:c>
      <x:c r="H18" s="22" t="str">
        <x:v>L2019-00011-1</x:v>
      </x:c>
      <x:c r="I18" s="22" t="str"/>
      <x:c r="J18" s="22" t="str">
        <x:v>L2019-00011-1</x:v>
      </x:c>
      <x:c r="K18" s="22" t="str">
        <x:v>V3_CURATED_AREA_COST_RECHECK</x:v>
      </x:c>
      <x:c r="L18" s="22" t="str">
        <x:v>MATCH</x:v>
      </x:c>
      <x:c r="M18" s="31" t="n">
        <x:v>5625</x:v>
      </x:c>
      <x:c r="N18" s="34" t="n">
        <x:v>5600000</x:v>
      </x:c>
      <x:c r="O18" s="22" t="str">
        <x:v>NOTICE_EXECUTION_CEILING</x:v>
      </x:c>
      <x:c r="P18" s="34" t="n">
        <x:f>IFERROR(N18/M18,"")</x:f>
        <x:v>995.5555555555555</x:v>
      </x:c>
      <x:c r="Q18" s="22" t="str">
        <x:v>초기 스크리닝만</x:v>
      </x:c>
      <x:c r="R18" s="28" t="n">
        <x:v>0</x:v>
      </x:c>
      <x:c r="S18" s="28" t="n">
        <x:v>1</x:v>
      </x:c>
      <x:c r="T18" s="22" t="str"/>
      <x:c r="U18" s="22" t="str"/>
      <x:c r="V18" s="25" t="str"/>
      <x:c r="W18" s="25" t="str">
        <x:v>동일/제한 범위 공사금액÷면적 스크리닝 근거</x:v>
      </x:c>
      <x:c r="X18" s="25" t="str">
        <x:v>L2019-00011-1</x:v>
      </x:c>
      <x:c r="Y18" s="25" t="str">
        <x:v>https://nebid.koica.go.kr/oep/lobi/localBidManageDetail.do?P_LOAZ_BID_PBLANC_NO=L2019-00011&amp;P_PBLANC_ODR=1</x:v>
      </x:c>
    </x:row>
    <x:row r="19">
      <x:c r="A19" s="22" t="str">
        <x:v>C</x:v>
      </x:c>
      <x:c r="B19" s="22" t="str">
        <x:v>라오스</x:v>
      </x:c>
      <x:c r="C19" s="22" t="str">
        <x:v>2020-00023</x:v>
      </x:c>
      <x:c r="D19" s="25" t="str">
        <x:v>라오스 남부 3개주 농촌개발사업 남부농업기술훈련원 건축 설계 및 시공감리 용역</x:v>
      </x:c>
      <x:c r="E19" s="28" t="n">
        <x:v>2</x:v>
      </x:c>
      <x:c r="F19" s="28" t="n">
        <x:v>2</x:v>
      </x:c>
      <x:c r="G19" s="28" t="n">
        <x:v>1</x:v>
      </x:c>
      <x:c r="H19" s="22" t="str">
        <x:v>L2024-00075-1</x:v>
      </x:c>
      <x:c r="I19" s="22" t="str"/>
      <x:c r="J19" s="22" t="str">
        <x:v>L2024-00075-1</x:v>
      </x:c>
      <x:c r="K19" s="22" t="str">
        <x:v>V3_CURATED_AREA_COST_RECHECK</x:v>
      </x:c>
      <x:c r="L19" s="22" t="str">
        <x:v>MATCH</x:v>
      </x:c>
      <x:c r="M19" s="31" t="n">
        <x:v>700</x:v>
      </x:c>
      <x:c r="N19" s="34" t="n">
        <x:v>624034</x:v>
      </x:c>
      <x:c r="O19" s="22" t="str">
        <x:v>CONSTRUCTION_BUDGET</x:v>
      </x:c>
      <x:c r="P19" s="34" t="n">
        <x:f>IFERROR(N19/M19,"")</x:f>
        <x:v>891.4771428571429</x:v>
      </x:c>
      <x:c r="Q19" s="22" t="str">
        <x:v>초기 스크리닝만</x:v>
      </x:c>
      <x:c r="R19" s="28" t="n">
        <x:v>0</x:v>
      </x:c>
      <x:c r="S19" s="28" t="n">
        <x:v>1</x:v>
      </x:c>
      <x:c r="T19" s="22" t="str"/>
      <x:c r="U19" s="22" t="str"/>
      <x:c r="V19" s="25" t="str">
        <x:v>project_no 안에 서로 다른 시설·Lot·설계·감리·공사 패키지가 있을 수 있어 1개 비용행으로 합산 금지</x:v>
      </x:c>
      <x:c r="W19" s="25" t="str">
        <x:v>동일/제한 범위 공사금액÷면적 스크리닝 근거</x:v>
      </x:c>
      <x:c r="X19" s="25" t="str">
        <x:v>L2024-00024-1;L2024-00075-1</x:v>
      </x:c>
      <x:c r="Y19" s="25" t="str">
        <x:v>https://nebid.koica.go.kr/oep/lobi/localBidManageDetail.do?P_LOAZ_BID_PBLANC_NO=L2024-00075&amp;P_PBLANC_ODR=1</x:v>
      </x:c>
    </x:row>
    <x:row r="20">
      <x:c r="A20" s="22" t="str">
        <x:v>C?</x:v>
      </x:c>
      <x:c r="B20" s="22" t="str">
        <x:v>라오스</x:v>
      </x:c>
      <x:c r="C20" s="22" t="str">
        <x:v>2016-00213</x:v>
      </x:c>
      <x:c r="D20" s="25" t="str">
        <x:v>라오스 한라 직업기술개발원 역량강화사업 건축 공사 설계 및 시공 일괄 입찰</x:v>
      </x:c>
      <x:c r="E20" s="28" t="n">
        <x:v>1</x:v>
      </x:c>
      <x:c r="F20" s="28" t="n">
        <x:v>1</x:v>
      </x:c>
      <x:c r="G20" s="28" t="n">
        <x:v>1</x:v>
      </x:c>
      <x:c r="H20" s="22" t="str">
        <x:v>L2018-00019-1</x:v>
      </x:c>
      <x:c r="I20" s="22" t="str"/>
      <x:c r="J20" s="22" t="str">
        <x:v>L2018-00019-1</x:v>
      </x:c>
      <x:c r="K20" s="22" t="str">
        <x:v>V2R_HUMAN_REVIEWED_EXTRACTION</x:v>
      </x:c>
      <x:c r="L20" s="22" t="str">
        <x:v>MATCH</x:v>
      </x:c>
      <x:c r="M20" s="31" t="n">
        <x:v>6186</x:v>
      </x:c>
      <x:c r="N20" s="34" t="n">
        <x:v>2063987</x:v>
      </x:c>
      <x:c r="O20" s="22" t="str">
        <x:v>NOTICE_EXECUTION_CEILING</x:v>
      </x:c>
      <x:c r="P20" s="34" t="n">
        <x:f>IFERROR(N20/M20,"")</x:f>
        <x:v>333.65454251535726</x:v>
      </x:c>
      <x:c r="Q20" s="22" t="str">
        <x:v>초기 스크리닝만</x:v>
      </x:c>
      <x:c r="R20" s="28" t="n">
        <x:v>0</x:v>
      </x:c>
      <x:c r="S20" s="28" t="n">
        <x:v>1</x:v>
      </x:c>
      <x:c r="T20" s="22" t="str"/>
      <x:c r="U20" s="22" t="str"/>
      <x:c r="V20" s="25" t="str"/>
      <x:c r="W20" s="25" t="str">
        <x:v>범위 일치 잠정확인; 원본 V3 확인 전 직접 사용 금지</x:v>
      </x:c>
      <x:c r="X20" s="25" t="str">
        <x:v>L2018-00019-1</x:v>
      </x:c>
      <x:c r="Y20" s="25" t="str">
        <x:v>https://nebid.koica.go.kr/oep/lobi/localBidManageDetail.do?P_LOAZ_BID_PBLANC_NO=L2018-00019&amp;P_PBLANC_ODR=1</x:v>
      </x:c>
    </x:row>
    <x:row r="21">
      <x:c r="A21" s="22" t="str">
        <x:v>C?</x:v>
      </x:c>
      <x:c r="B21" s="22" t="str">
        <x:v>라오스</x:v>
      </x:c>
      <x:c r="C21" s="22" t="str">
        <x:v>2019-00071</x:v>
      </x:c>
      <x:c r="D21" s="25" t="str">
        <x:v>라오스 성생식 모자보건 RMNCH센터 및 여성폭력 예방대응 EVAW센터 시공업체 선정</x:v>
      </x:c>
      <x:c r="E21" s="28" t="n">
        <x:v>1</x:v>
      </x:c>
      <x:c r="F21" s="28" t="n">
        <x:v>1</x:v>
      </x:c>
      <x:c r="G21" s="28" t="n">
        <x:v>1</x:v>
      </x:c>
      <x:c r="H21" s="22" t="str">
        <x:v>L2022-00019-1</x:v>
      </x:c>
      <x:c r="I21" s="22" t="str"/>
      <x:c r="J21" s="22" t="str">
        <x:v>L2022-00019-1</x:v>
      </x:c>
      <x:c r="K21" s="22" t="str">
        <x:v>V2R_HUMAN_REVIEWED_EXTRACTION</x:v>
      </x:c>
      <x:c r="L21" s="22" t="str">
        <x:v>MATCH</x:v>
      </x:c>
      <x:c r="M21" s="31" t="n">
        <x:v>989</x:v>
      </x:c>
      <x:c r="N21" s="34" t="n">
        <x:v>1447700</x:v>
      </x:c>
      <x:c r="O21" s="22" t="str">
        <x:v>NOTICE_EXECUTION_CEILING</x:v>
      </x:c>
      <x:c r="P21" s="34" t="n">
        <x:f>IFERROR(N21/M21,"")</x:f>
        <x:v>1463.8018200202225</x:v>
      </x:c>
      <x:c r="Q21" s="22" t="str">
        <x:v>초기 스크리닝만</x:v>
      </x:c>
      <x:c r="R21" s="28" t="n">
        <x:v>0</x:v>
      </x:c>
      <x:c r="S21" s="28" t="n">
        <x:v>1</x:v>
      </x:c>
      <x:c r="T21" s="22" t="str"/>
      <x:c r="U21" s="22" t="str"/>
      <x:c r="V21" s="25" t="str"/>
      <x:c r="W21" s="25" t="str">
        <x:v>범위 일치 잠정확인; 원본 V3 확인 전 직접 사용 금지</x:v>
      </x:c>
      <x:c r="X21" s="25" t="str">
        <x:v>L2022-00019-1</x:v>
      </x:c>
      <x:c r="Y21" s="25" t="str">
        <x:v>https://nebid.koica.go.kr/oep/lobi/localBidManageDetail.do?P_LOAZ_BID_PBLANC_NO=L2022-00019&amp;P_PBLANC_ODR=1</x:v>
      </x:c>
    </x:row>
    <x:row r="22">
      <x:c r="A22" s="22" t="str">
        <x:v>C-부분</x:v>
      </x:c>
      <x:c r="B22" s="22" t="str">
        <x:v>모잠비크</x:v>
      </x:c>
      <x:c r="C22" s="22" t="str">
        <x:v>2018-56501</x:v>
      </x:c>
      <x:c r="D22" s="25" t="str">
        <x:v>(재공고) 모잠비크 마톨라 산업학교 역량강화사업 사후지원 보수 공사</x:v>
      </x:c>
      <x:c r="E22" s="28" t="n">
        <x:v>2</x:v>
      </x:c>
      <x:c r="F22" s="28" t="n">
        <x:v>1</x:v>
      </x:c>
      <x:c r="G22" s="28" t="n">
        <x:v>2</x:v>
      </x:c>
      <x:c r="H22" s="22" t="str">
        <x:v>L2025-00016-2</x:v>
      </x:c>
      <x:c r="I22" s="22" t="str"/>
      <x:c r="J22" s="22" t="str">
        <x:v>L2025-00016-2</x:v>
      </x:c>
      <x:c r="K22" s="22" t="str">
        <x:v>V3_CURATED_AREA_COST_RECHECK</x:v>
      </x:c>
      <x:c r="L22" s="22" t="str">
        <x:v>PARTIAL_SCOPE</x:v>
      </x:c>
      <x:c r="M22" s="31" t="n">
        <x:v>15500</x:v>
      </x:c>
      <x:c r="N22" s="34" t="n">
        <x:v>230586</x:v>
      </x:c>
      <x:c r="O22" s="22" t="str">
        <x:v>NOTICE_EXECUTION_CEILING</x:v>
      </x:c>
      <x:c r="P22" s="34" t="n">
        <x:f>IFERROR(N22/M22,"")</x:f>
        <x:v>14.876516129032257</x:v>
      </x:c>
      <x:c r="Q22" s="22" t="str">
        <x:v>초기 스크리닝만</x:v>
      </x:c>
      <x:c r="R22" s="28" t="n">
        <x:v>0</x:v>
      </x:c>
      <x:c r="S22" s="28" t="n">
        <x:v>1</x:v>
      </x:c>
      <x:c r="T22" s="22" t="str"/>
      <x:c r="U22" s="22" t="str"/>
      <x:c r="V22" s="25" t="str">
        <x:v>project_no 안에 서로 다른 시설·Lot·설계·감리·공사 패키지가 있을 수 있어 1개 비용행으로 합산 금지</x:v>
      </x:c>
      <x:c r="W22" s="25" t="str">
        <x:v>동일/제한 범위 공사금액÷면적 스크리닝 근거</x:v>
      </x:c>
      <x:c r="X22" s="25" t="str">
        <x:v>L2025-00016-1;L2025-00016-2</x:v>
      </x:c>
      <x:c r="Y22" s="25" t="str">
        <x:v>https://nebid.koica.go.kr/oep/lobi/localBidManageDetail.do?P_LOAZ_BID_PBLANC_NO=L2025-00016&amp;P_PBLANC_ODR=2</x:v>
      </x:c>
    </x:row>
    <x:row r="23">
      <x:c r="A23" s="22" t="str">
        <x:v>U</x:v>
      </x:c>
      <x:c r="B23" s="22" t="str">
        <x:v>모잠비크</x:v>
      </x:c>
      <x:c r="C23" s="22" t="str">
        <x:v>2019-00011</x:v>
      </x:c>
      <x:c r="D23" s="25" t="str">
        <x:v>모잠비크 직업훈련교육 역량강화사업 설계 및 시공감리 용역사 선정</x:v>
      </x:c>
      <x:c r="E23" s="28" t="n">
        <x:v>2</x:v>
      </x:c>
      <x:c r="F23" s="28" t="n">
        <x:v>2</x:v>
      </x:c>
      <x:c r="G23" s="28" t="n">
        <x:v>0</x:v>
      </x:c>
      <x:c r="H23" s="22" t="str">
        <x:v>L2022-00001-1</x:v>
      </x:c>
      <x:c r="I23" s="22" t="str"/>
      <x:c r="J23" s="22" t="str">
        <x:v>L2022-00001-1</x:v>
      </x:c>
      <x:c r="K23" s="22" t="str">
        <x:v>V3_SCOPE_REVIEW</x:v>
      </x:c>
      <x:c r="L23" s="22" t="str">
        <x:v>PARTIAL_SCOPE</x:v>
      </x:c>
      <x:c r="M23" s="31"/>
      <x:c r="N23" s="34" t="n">
        <x:v>2200000</x:v>
      </x:c>
      <x:c r="O23" s="22" t="str">
        <x:v>NOTICE_EXECUTION_CEILING</x:v>
      </x:c>
      <x:c r="P23" s="34" t="str">
        <x:f>IFERROR(N23/M23,"")</x:f>
      </x:c>
      <x:c r="Q23" s="22" t="str">
        <x:v>계산 금지</x:v>
      </x:c>
      <x:c r="R23" s="28" t="n">
        <x:v>0</x:v>
      </x:c>
      <x:c r="S23" s="28" t="n">
        <x:v>0</x:v>
      </x:c>
      <x:c r="T23" s="22" t="str"/>
      <x:c r="U23" s="22" t="str"/>
      <x:c r="V23" s="25" t="str">
        <x:v>project_no 안에 서로 다른 시설·Lot·설계·감리·공사 패키지가 있을 수 있어 1개 비용행으로 합산 금지</x:v>
      </x:c>
      <x:c r="W23" s="25" t="str">
        <x:v>면적과 금액 범위가 부분·혼합되어 계산 금지</x:v>
      </x:c>
      <x:c r="X23" s="25" t="str">
        <x:v>L2020-00004-1;L2022-00001-1</x:v>
      </x:c>
      <x:c r="Y23" s="25" t="str">
        <x:v>https://nebid.koica.go.kr/oep/lobi/localBidManageDetail.do?P_LOAZ_BID_PBLANC_NO=L2022-00001&amp;P_PBLANC_ODR=1</x:v>
      </x:c>
    </x:row>
    <x:row r="24">
      <x:c r="A24" s="22" t="str">
        <x:v>X</x:v>
      </x:c>
      <x:c r="B24" s="22" t="str">
        <x:v>모잠비크</x:v>
      </x:c>
      <x:c r="C24" s="22" t="str">
        <x:v>2020-00046</x:v>
      </x:c>
      <x:c r="D24" s="25" t="str">
        <x:v>모잠비크 도로안전 시범개선사업 시공업체 선정 입찰</x:v>
      </x:c>
      <x:c r="E24" s="28" t="n">
        <x:v>1</x:v>
      </x:c>
      <x:c r="F24" s="28" t="n">
        <x:v>1</x:v>
      </x:c>
      <x:c r="G24" s="28" t="n">
        <x:v>0</x:v>
      </x:c>
      <x:c r="H24" s="22" t="str">
        <x:v>L2023-00032-1</x:v>
      </x:c>
      <x:c r="I24" s="22" t="str"/>
      <x:c r="J24" s="22" t="str"/>
      <x:c r="K24" s="22" t="str">
        <x:v>V3_SCOPE_REVIEW</x:v>
      </x:c>
      <x:c r="L24" s="22" t="str">
        <x:v>NO_MATCH</x:v>
      </x:c>
      <x:c r="M24" s="31"/>
      <x:c r="N24" s="34"/>
      <x:c r="O24" s="22" t="str">
        <x:v>SERVICE_OR_GOODS_CEILING</x:v>
      </x:c>
      <x:c r="P24" s="34" t="str">
        <x:f>IFERROR(N24/M24,"")</x:f>
      </x:c>
      <x:c r="Q24" s="22" t="str">
        <x:v>계산 금지</x:v>
      </x:c>
      <x:c r="R24" s="28" t="n">
        <x:v>0</x:v>
      </x:c>
      <x:c r="S24" s="28" t="n">
        <x:v>0</x:v>
      </x:c>
      <x:c r="T24" s="22" t="str"/>
      <x:c r="U24" s="22" t="str"/>
      <x:c r="V24" s="25" t="str"/>
      <x:c r="W24" s="25" t="str">
        <x:v>물품·비건축 또는 GFA 오탐으로 건축공사비 표본 제외</x:v>
      </x:c>
      <x:c r="X24" s="25" t="str">
        <x:v>L2023-00032-1</x:v>
      </x:c>
      <x:c r="Y24" s="25" t="str">
        <x:v>https://nebid.koica.go.kr/oep/lobi/localBidManageDetail.do?P_LOAZ_BID_PBLANC_NO=L2023-00032&amp;P_PBLANC_ODR=1</x:v>
      </x:c>
    </x:row>
    <x:row r="25">
      <x:c r="A25" s="22" t="str">
        <x:v>C?</x:v>
      </x:c>
      <x:c r="B25" s="22" t="str">
        <x:v>몽골</x:v>
      </x:c>
      <x:c r="C25" s="22" t="str">
        <x:v>2021-00018</x:v>
      </x:c>
      <x:c r="D25" s="25" t="str">
        <x:v>몽골 철도교통관제센터(RTCC) 건립 시공 입찰</x:v>
      </x:c>
      <x:c r="E25" s="28" t="n">
        <x:v>1</x:v>
      </x:c>
      <x:c r="F25" s="28" t="n">
        <x:v>1</x:v>
      </x:c>
      <x:c r="G25" s="28" t="n">
        <x:v>1</x:v>
      </x:c>
      <x:c r="H25" s="22" t="str">
        <x:v>L2023-00075-1</x:v>
      </x:c>
      <x:c r="I25" s="22" t="str"/>
      <x:c r="J25" s="22" t="str">
        <x:v>L2023-00075-1</x:v>
      </x:c>
      <x:c r="K25" s="22" t="str">
        <x:v>V2R_HUMAN_REVIEWED_EXTRACTION</x:v>
      </x:c>
      <x:c r="L25" s="22" t="str">
        <x:v>MATCH</x:v>
      </x:c>
      <x:c r="M25" s="31" t="n">
        <x:v>3131</x:v>
      </x:c>
      <x:c r="N25" s="34" t="n">
        <x:v>3454118</x:v>
      </x:c>
      <x:c r="O25" s="22" t="str">
        <x:v>NOTICE_EXECUTION_CEILING</x:v>
      </x:c>
      <x:c r="P25" s="34" t="n">
        <x:f>IFERROR(N25/M25,"")</x:f>
        <x:v>1103.199616735867</x:v>
      </x:c>
      <x:c r="Q25" s="22" t="str">
        <x:v>초기 스크리닝만</x:v>
      </x:c>
      <x:c r="R25" s="28" t="n">
        <x:v>0</x:v>
      </x:c>
      <x:c r="S25" s="28" t="n">
        <x:v>1</x:v>
      </x:c>
      <x:c r="T25" s="22" t="str"/>
      <x:c r="U25" s="22" t="str"/>
      <x:c r="V25" s="25" t="str"/>
      <x:c r="W25" s="25" t="str">
        <x:v>범위 일치 잠정확인; 원본 V3 확인 전 직접 사용 금지</x:v>
      </x:c>
      <x:c r="X25" s="25" t="str">
        <x:v>L2023-00075-1</x:v>
      </x:c>
      <x:c r="Y25" s="25" t="str">
        <x:v>https://nebid.koica.go.kr/oep/lobi/localBidManageDetail.do?P_LOAZ_BID_PBLANC_NO=L2023-00075&amp;P_PBLANC_ODR=1</x:v>
      </x:c>
    </x:row>
    <x:row r="26">
      <x:c r="A26" s="22" t="str">
        <x:v>C</x:v>
      </x:c>
      <x:c r="B26" s="22" t="str">
        <x:v>미얀마</x:v>
      </x:c>
      <x:c r="C26" s="22" t="str">
        <x:v>2016-00067</x:v>
      </x:c>
      <x:c r="D26" s="25" t="str">
        <x:v>미얀마 농산물 유통센터 설립사업 시공업체 선정 입찰</x:v>
      </x:c>
      <x:c r="E26" s="28" t="n">
        <x:v>1</x:v>
      </x:c>
      <x:c r="F26" s="28" t="n">
        <x:v>1</x:v>
      </x:c>
      <x:c r="G26" s="28" t="n">
        <x:v>1</x:v>
      </x:c>
      <x:c r="H26" s="22" t="str">
        <x:v>L2020-00009-1</x:v>
      </x:c>
      <x:c r="I26" s="22" t="str"/>
      <x:c r="J26" s="22" t="str">
        <x:v>L2020-00009-1</x:v>
      </x:c>
      <x:c r="K26" s="22" t="str">
        <x:v>V3_CURATED_AREA_COST_RECHECK</x:v>
      </x:c>
      <x:c r="L26" s="22" t="str">
        <x:v>MATCH</x:v>
      </x:c>
      <x:c r="M26" s="31" t="n">
        <x:v>7450</x:v>
      </x:c>
      <x:c r="N26" s="34" t="n">
        <x:v>3685199</x:v>
      </x:c>
      <x:c r="O26" s="22" t="str">
        <x:v>NOTICE_EXECUTION_CEILING</x:v>
      </x:c>
      <x:c r="P26" s="34" t="n">
        <x:f>IFERROR(N26/M26,"")</x:f>
        <x:v>494.6575838926174</x:v>
      </x:c>
      <x:c r="Q26" s="22" t="str">
        <x:v>초기 스크리닝만</x:v>
      </x:c>
      <x:c r="R26" s="28" t="n">
        <x:v>0</x:v>
      </x:c>
      <x:c r="S26" s="28" t="n">
        <x:v>1</x:v>
      </x:c>
      <x:c r="T26" s="22" t="str"/>
      <x:c r="U26" s="22" t="str"/>
      <x:c r="V26" s="25" t="str"/>
      <x:c r="W26" s="25" t="str">
        <x:v>동일/제한 범위 공사금액÷면적 스크리닝 근거</x:v>
      </x:c>
      <x:c r="X26" s="25" t="str">
        <x:v>L2020-00009-1</x:v>
      </x:c>
      <x:c r="Y26" s="25" t="str">
        <x:v>https://nebid.koica.go.kr/oep/lobi/localBidManageDetail.do?P_LOAZ_BID_PBLANC_NO=L2020-00009&amp;P_PBLANC_ODR=1</x:v>
      </x:c>
    </x:row>
    <x:row r="27">
      <x:c r="A27" s="22" t="str">
        <x:v>C</x:v>
      </x:c>
      <x:c r="B27" s="22" t="str">
        <x:v>방글라데시</x:v>
      </x:c>
      <x:c r="C27" s="22" t="str">
        <x:v>2020-00113</x:v>
      </x:c>
      <x:c r="D27" s="25" t="str">
        <x:v>방글라데시 사이버안전을 위한 디지털수사역량 확산사업 챠토그램 사이버경찰센터 시공</x:v>
      </x:c>
      <x:c r="E27" s="28" t="n">
        <x:v>1</x:v>
      </x:c>
      <x:c r="F27" s="28" t="n">
        <x:v>1</x:v>
      </x:c>
      <x:c r="G27" s="28" t="n">
        <x:v>1</x:v>
      </x:c>
      <x:c r="H27" s="22" t="str">
        <x:v>L2022-00043-1</x:v>
      </x:c>
      <x:c r="I27" s="22" t="str"/>
      <x:c r="J27" s="22" t="str">
        <x:v>L2022-00043-1</x:v>
      </x:c>
      <x:c r="K27" s="22" t="str">
        <x:v>V3_CURATED_AREA_COST_RECHECK</x:v>
      </x:c>
      <x:c r="L27" s="22" t="str">
        <x:v>MATCH</x:v>
      </x:c>
      <x:c r="M27" s="31" t="n">
        <x:v>2194</x:v>
      </x:c>
      <x:c r="N27" s="34" t="n">
        <x:v>1575000</x:v>
      </x:c>
      <x:c r="O27" s="22" t="str">
        <x:v>NOTICE_EXECUTION_CEILING</x:v>
      </x:c>
      <x:c r="P27" s="34" t="n">
        <x:f>IFERROR(N27/M27,"")</x:f>
        <x:v>717.8669097538742</x:v>
      </x:c>
      <x:c r="Q27" s="22" t="str">
        <x:v>초기 스크리닝만</x:v>
      </x:c>
      <x:c r="R27" s="28" t="n">
        <x:v>0</x:v>
      </x:c>
      <x:c r="S27" s="28" t="n">
        <x:v>1</x:v>
      </x:c>
      <x:c r="T27" s="22" t="str"/>
      <x:c r="U27" s="22" t="str"/>
      <x:c r="V27" s="25" t="str"/>
      <x:c r="W27" s="25" t="str">
        <x:v>동일/제한 범위 공사금액÷면적 스크리닝 근거</x:v>
      </x:c>
      <x:c r="X27" s="25" t="str">
        <x:v>L2022-00043-1</x:v>
      </x:c>
      <x:c r="Y27" s="25" t="str">
        <x:v>https://nebid.koica.go.kr/oep/lobi/localBidManageDetail.do?P_LOAZ_BID_PBLANC_NO=L2022-00043&amp;P_PBLANC_ODR=1</x:v>
      </x:c>
    </x:row>
    <x:row r="28">
      <x:c r="A28" s="22" t="str">
        <x:v>B</x:v>
      </x:c>
      <x:c r="B28" s="22" t="str">
        <x:v>볼리비아</x:v>
      </x:c>
      <x:c r="C28" s="22" t="str">
        <x:v>2013-00064</x:v>
      </x:c>
      <x:c r="D28" s="25" t="str">
        <x:v>볼리비아 고원 지역 농업 기계화 및 농민역량 강화를 통한 생산성 증대 사업 퀴노아 연구센터 차칼라 건립 공사 시공사 선정 현지 입찰 재공고</x:v>
      </x:c>
      <x:c r="E28" s="28" t="n">
        <x:v>2</x:v>
      </x:c>
      <x:c r="F28" s="28" t="n">
        <x:v>1</x:v>
      </x:c>
      <x:c r="G28" s="28" t="n">
        <x:v>2</x:v>
      </x:c>
      <x:c r="H28" s="22" t="str">
        <x:v>L2025-00012-2</x:v>
      </x:c>
      <x:c r="I28" s="22" t="str">
        <x:v>L2025-00012-2</x:v>
      </x:c>
      <x:c r="J28" s="22" t="str">
        <x:v>L2025-00012-2</x:v>
      </x:c>
      <x:c r="K28" s="22" t="str">
        <x:v>V3_ORIGINAL_MANUAL</x:v>
      </x:c>
      <x:c r="L28" s="22" t="str">
        <x:v>MATCH</x:v>
      </x:c>
      <x:c r="M28" s="31" t="n">
        <x:v>87.22</x:v>
      </x:c>
      <x:c r="N28" s="34" t="n">
        <x:v>98954</x:v>
      </x:c>
      <x:c r="O28" s="22" t="str">
        <x:v>NOTICE_EXECUTION_CEILING</x:v>
      </x:c>
      <x:c r="P28" s="34" t="n">
        <x:f>IFERROR(N28/M28,"")</x:f>
        <x:v>1134.5333639073608</x:v>
      </x:c>
      <x:c r="Q28" s="22" t="str">
        <x:v>현지단가 결합 수량모델</x:v>
      </x:c>
      <x:c r="R28" s="28" t="n">
        <x:v>0</x:v>
      </x:c>
      <x:c r="S28" s="28" t="n">
        <x:v>1</x:v>
      </x:c>
      <x:c r="T28" s="22" t="str"/>
      <x:c r="U28" s="22" t="str"/>
      <x:c r="V28" s="25" t="str">
        <x:v>project_no 안에 서로 다른 시설·Lot·설계·감리·공사 패키지가 있을 수 있어 1개 비용행으로 합산 금지</x:v>
      </x:c>
      <x:c r="W28" s="25" t="str">
        <x:v>재공고의 동일 차칼라 blank BOQ; 한 표본으로 처리</x:v>
      </x:c>
      <x:c r="X28" s="25" t="str">
        <x:v>L2025-00012-1;L2025-00012-2</x:v>
      </x:c>
      <x:c r="Y28" s="25" t="str">
        <x:v>https://nebid.koica.go.kr/oep/lobi/localBidManageDetail.do?P_LOAZ_BID_PBLANC_NO=L2025-00012&amp;P_PBLANC_ODR=2</x:v>
      </x:c>
    </x:row>
    <x:row r="29">
      <x:c r="A29" s="22" t="str">
        <x:v>C</x:v>
      </x:c>
      <x:c r="B29" s="22" t="str">
        <x:v>볼리비아</x:v>
      </x:c>
      <x:c r="C29" s="22" t="str">
        <x:v>2013-00007</x:v>
      </x:c>
      <x:c r="D29" s="25" t="str">
        <x:v>(재입찰)볼리비아 El-Alto 한국병원 3차 지원사업 시공업체선정</x:v>
      </x:c>
      <x:c r="E29" s="28" t="n">
        <x:v>4</x:v>
      </x:c>
      <x:c r="F29" s="28" t="n">
        <x:v>3</x:v>
      </x:c>
      <x:c r="G29" s="28" t="n">
        <x:v>2</x:v>
      </x:c>
      <x:c r="H29" s="22" t="str">
        <x:v>L2018-00029-1</x:v>
      </x:c>
      <x:c r="I29" s="22" t="str"/>
      <x:c r="J29" s="22" t="str">
        <x:v>L2018-00029-1</x:v>
      </x:c>
      <x:c r="K29" s="22" t="str">
        <x:v>V3_CURATED_AREA_COST_RECHECK</x:v>
      </x:c>
      <x:c r="L29" s="22" t="str">
        <x:v>MATCH</x:v>
      </x:c>
      <x:c r="M29" s="31" t="n">
        <x:v>2879.23</x:v>
      </x:c>
      <x:c r="N29" s="34" t="n">
        <x:v>4114500</x:v>
      </x:c>
      <x:c r="O29" s="22" t="str">
        <x:v>BID_LIMIT</x:v>
      </x:c>
      <x:c r="P29" s="34" t="n">
        <x:f>IFERROR(N29/M29,"")</x:f>
        <x:v>1429.027899820438</x:v>
      </x:c>
      <x:c r="Q29" s="22" t="str">
        <x:v>초기 스크리닝만</x:v>
      </x:c>
      <x:c r="R29" s="28" t="n">
        <x:v>0</x:v>
      </x:c>
      <x:c r="S29" s="28" t="n">
        <x:v>1</x:v>
      </x:c>
      <x:c r="T29" s="22" t="str"/>
      <x:c r="U29" s="22" t="str"/>
      <x:c r="V29" s="25" t="str">
        <x:v>project_no 안에 서로 다른 시설·Lot·설계·감리·공사 패키지가 있을 수 있어 1개 비용행으로 합산 금지</x:v>
      </x:c>
      <x:c r="W29" s="25" t="str">
        <x:v>동일/제한 범위 공사금액÷면적 스크리닝 근거</x:v>
      </x:c>
      <x:c r="X29" s="25" t="str">
        <x:v>L2018-00026-1;L2018-00025-1;L2018-00029-1;L2018-00025-2</x:v>
      </x:c>
      <x:c r="Y29" s="25" t="str">
        <x:v>https://nebid.koica.go.kr/oep/lobi/localBidManageDetail.do?P_LOAZ_BID_PBLANC_NO=L2018-00029&amp;P_PBLANC_ODR=1</x:v>
      </x:c>
    </x:row>
    <x:row r="30">
      <x:c r="A30" s="22" t="str">
        <x:v>C-부분</x:v>
      </x:c>
      <x:c r="B30" s="22" t="str">
        <x:v>볼리비아</x:v>
      </x:c>
      <x:c r="C30" s="22" t="str">
        <x:v>2023-00004</x:v>
      </x:c>
      <x:c r="D30" s="25" t="str">
        <x:v>볼리비아 엘알또 모성보건센터 신축/증축/보수 공사 설계사 선정</x:v>
      </x:c>
      <x:c r="E30" s="28" t="n">
        <x:v>1</x:v>
      </x:c>
      <x:c r="F30" s="28" t="n">
        <x:v>1</x:v>
      </x:c>
      <x:c r="G30" s="28" t="n">
        <x:v>1</x:v>
      </x:c>
      <x:c r="H30" s="22" t="str">
        <x:v>L2025-00078-1</x:v>
      </x:c>
      <x:c r="I30" s="22" t="str"/>
      <x:c r="J30" s="22" t="str">
        <x:v>L2025-00078-1</x:v>
      </x:c>
      <x:c r="K30" s="22" t="str">
        <x:v>V3_CURATED_AREA_COST_RECHECK</x:v>
      </x:c>
      <x:c r="L30" s="22" t="str">
        <x:v>PARTIAL_ATTACHMENT_CONSTRUCTION_BUDGET</x:v>
      </x:c>
      <x:c r="M30" s="31" t="n">
        <x:v>1600</x:v>
      </x:c>
      <x:c r="N30" s="34" t="n">
        <x:v>3226604</x:v>
      </x:c>
      <x:c r="O30" s="22" t="str">
        <x:v>DESIGN_ESTIMATE</x:v>
      </x:c>
      <x:c r="P30" s="34" t="n">
        <x:f>IFERROR(N30/M30,"")</x:f>
        <x:v>2016.6275</x:v>
      </x:c>
      <x:c r="Q30" s="22" t="str">
        <x:v>초기 스크리닝만</x:v>
      </x:c>
      <x:c r="R30" s="28" t="n">
        <x:v>0</x:v>
      </x:c>
      <x:c r="S30" s="28" t="n">
        <x:v>1</x:v>
      </x:c>
      <x:c r="T30" s="22" t="str"/>
      <x:c r="U30" s="22" t="str"/>
      <x:c r="V30" s="25" t="str"/>
      <x:c r="W30" s="25" t="str">
        <x:v>동일/제한 범위 공사금액÷면적 스크리닝 근거</x:v>
      </x:c>
      <x:c r="X30" s="25" t="str">
        <x:v>L2025-00078-1</x:v>
      </x:c>
      <x:c r="Y30" s="25" t="str">
        <x:v>https://nebid.koica.go.kr/oep/lobi/localBidManageDetail.do?P_LOAZ_BID_PBLANC_NO=L2025-00078&amp;P_PBLANC_ODR=1</x:v>
      </x:c>
    </x:row>
    <x:row r="31">
      <x:c r="A31" s="22" t="str">
        <x:v>X</x:v>
      </x:c>
      <x:c r="B31" s="22" t="str">
        <x:v>볼리비아</x:v>
      </x:c>
      <x:c r="C31" s="22" t="str">
        <x:v>2022-00038</x:v>
      </x:c>
      <x:c r="D31" s="25" t="str">
        <x:v>볼리비아 라파스 주 임상병리검사실 체계 강화사업 현지 설계입찰</x:v>
      </x:c>
      <x:c r="E31" s="28" t="n">
        <x:v>2</x:v>
      </x:c>
      <x:c r="F31" s="28" t="n">
        <x:v>1</x:v>
      </x:c>
      <x:c r="G31" s="28" t="n">
        <x:v>0</x:v>
      </x:c>
      <x:c r="H31" s="22" t="str">
        <x:v>L2023-00070-2</x:v>
      </x:c>
      <x:c r="I31" s="22" t="str"/>
      <x:c r="J31" s="22" t="str"/>
      <x:c r="K31" s="22" t="str">
        <x:v>V3_SCOPE_REVIEW</x:v>
      </x:c>
      <x:c r="L31" s="22" t="str">
        <x:v>NO_MATCH</x:v>
      </x:c>
      <x:c r="M31" s="31" t="n">
        <x:v>2500</x:v>
      </x:c>
      <x:c r="N31" s="34"/>
      <x:c r="O31" s="22" t="str">
        <x:v>SERVICE_OR_GOODS_CEILING</x:v>
      </x:c>
      <x:c r="P31" s="34" t="n">
        <x:f>IFERROR(N31/M31,"")</x:f>
        <x:v>0</x:v>
      </x:c>
      <x:c r="Q31" s="22" t="str">
        <x:v>계산 금지</x:v>
      </x:c>
      <x:c r="R31" s="28" t="n">
        <x:v>0</x:v>
      </x:c>
      <x:c r="S31" s="28" t="n">
        <x:v>0</x:v>
      </x:c>
      <x:c r="T31" s="22" t="str"/>
      <x:c r="U31" s="22" t="str"/>
      <x:c r="V31" s="25" t="str">
        <x:v>project_no 안에 서로 다른 시설·Lot·설계·감리·공사 패키지가 있을 수 있어 1개 비용행으로 합산 금지</x:v>
      </x:c>
      <x:c r="W31" s="25" t="str">
        <x:v>설계·감리·기타 용역 집행한도는 건축공사비가 아님</x:v>
      </x:c>
      <x:c r="X31" s="25" t="str">
        <x:v>L2023-00070-1;L2023-00070-2</x:v>
      </x:c>
      <x:c r="Y31" s="25" t="str">
        <x:v>https://nebid.koica.go.kr/oep/lobi/localBidManageDetail.do?P_LOAZ_BID_PBLANC_NO=L2023-00070&amp;P_PBLANC_ODR=2</x:v>
      </x:c>
    </x:row>
    <x:row r="32">
      <x:c r="A32" s="22" t="str">
        <x:v>C</x:v>
      </x:c>
      <x:c r="B32" s="22" t="str">
        <x:v>세네갈</x:v>
      </x:c>
      <x:c r="C32" s="22" t="str">
        <x:v>201701</x:v>
      </x:c>
      <x:c r="D32" s="25" t="str">
        <x:v>세네갈 고등기술전문대학(ISEP) 설립사업 및 농업기술학교(CIPA) 역량강화사업 시공업체 선정</x:v>
      </x:c>
      <x:c r="E32" s="28" t="n">
        <x:v>1</x:v>
      </x:c>
      <x:c r="F32" s="28" t="n">
        <x:v>1</x:v>
      </x:c>
      <x:c r="G32" s="28" t="n">
        <x:v>1</x:v>
      </x:c>
      <x:c r="H32" s="22" t="str">
        <x:v>L2017-00001-1</x:v>
      </x:c>
      <x:c r="I32" s="22" t="str"/>
      <x:c r="J32" s="22" t="str">
        <x:v>L2017-00001-1</x:v>
      </x:c>
      <x:c r="K32" s="22" t="str">
        <x:v>V3_CURATED_AREA_COST_RECHECK</x:v>
      </x:c>
      <x:c r="L32" s="22" t="str">
        <x:v>MATCH</x:v>
      </x:c>
      <x:c r="M32" s="31" t="n">
        <x:v>8694</x:v>
      </x:c>
      <x:c r="N32" s="34" t="n">
        <x:v>5664262.66</x:v>
      </x:c>
      <x:c r="O32" s="22" t="str">
        <x:v>ADVERTISED_ESTIMATED_BUDGET</x:v>
      </x:c>
      <x:c r="P32" s="34" t="n">
        <x:f>IFERROR(N32/M32,"")</x:f>
        <x:v>651.5139935587762</x:v>
      </x:c>
      <x:c r="Q32" s="22" t="str">
        <x:v>초기 스크리닝만</x:v>
      </x:c>
      <x:c r="R32" s="28" t="n">
        <x:v>0</x:v>
      </x:c>
      <x:c r="S32" s="28" t="n">
        <x:v>1</x:v>
      </x:c>
      <x:c r="T32" s="22" t="str"/>
      <x:c r="U32" s="22" t="str"/>
      <x:c r="V32" s="25" t="str"/>
      <x:c r="W32" s="25" t="str">
        <x:v>동일/제한 범위 공사금액÷면적 스크리닝 근거</x:v>
      </x:c>
      <x:c r="X32" s="25" t="str">
        <x:v>L2017-00001-1</x:v>
      </x:c>
      <x:c r="Y32" s="25" t="str">
        <x:v>https://nebid.koica.go.kr/oep/lobi/localBidManageDetail.do?P_LOAZ_BID_PBLANC_NO=L2017-00001&amp;P_PBLANC_ODR=1</x:v>
      </x:c>
    </x:row>
    <x:row r="33">
      <x:c r="A33" s="22" t="str">
        <x:v>C</x:v>
      </x:c>
      <x:c r="B33" s="22" t="str">
        <x:v>세네갈</x:v>
      </x:c>
      <x:c r="C33" s="22" t="str">
        <x:v>2021-00055</x:v>
      </x:c>
      <x:c r="D33" s="25" t="str">
        <x:v>세네갈 ISEPDD 메이커스페이스 및 카페테리아 리모델링 공사 계약</x:v>
      </x:c>
      <x:c r="E33" s="28" t="n">
        <x:v>1</x:v>
      </x:c>
      <x:c r="F33" s="28" t="n">
        <x:v>1</x:v>
      </x:c>
      <x:c r="G33" s="28" t="n">
        <x:v>1</x:v>
      </x:c>
      <x:c r="H33" s="22" t="str">
        <x:v>L2023-00045-1</x:v>
      </x:c>
      <x:c r="I33" s="22" t="str"/>
      <x:c r="J33" s="22" t="str">
        <x:v>L2023-00045-1</x:v>
      </x:c>
      <x:c r="K33" s="22" t="str">
        <x:v>V3_CURATED_AREA_COST_RECHECK</x:v>
      </x:c>
      <x:c r="L33" s="22" t="str">
        <x:v>MATCH</x:v>
      </x:c>
      <x:c r="M33" s="31" t="n">
        <x:v>453</x:v>
      </x:c>
      <x:c r="N33" s="34" t="n">
        <x:v>297000</x:v>
      </x:c>
      <x:c r="O33" s="22" t="str">
        <x:v>NOTICE_EXECUTION_CEILING</x:v>
      </x:c>
      <x:c r="P33" s="34" t="n">
        <x:f>IFERROR(N33/M33,"")</x:f>
        <x:v>655.6291390728477</x:v>
      </x:c>
      <x:c r="Q33" s="22" t="str">
        <x:v>초기 스크리닝만</x:v>
      </x:c>
      <x:c r="R33" s="28" t="n">
        <x:v>0</x:v>
      </x:c>
      <x:c r="S33" s="28" t="n">
        <x:v>1</x:v>
      </x:c>
      <x:c r="T33" s="22" t="str"/>
      <x:c r="U33" s="22" t="str"/>
      <x:c r="V33" s="25" t="str"/>
      <x:c r="W33" s="25" t="str">
        <x:v>동일/제한 범위 공사금액÷면적 스크리닝 근거</x:v>
      </x:c>
      <x:c r="X33" s="25" t="str">
        <x:v>L2023-00045-1</x:v>
      </x:c>
      <x:c r="Y33" s="25" t="str">
        <x:v>https://nebid.koica.go.kr/oep/lobi/localBidManageDetail.do?P_LOAZ_BID_PBLANC_NO=L2023-00045&amp;P_PBLANC_ODR=1</x:v>
      </x:c>
    </x:row>
    <x:row r="34">
      <x:c r="A34" s="22" t="str">
        <x:v>U</x:v>
      </x:c>
      <x:c r="B34" s="22" t="str">
        <x:v>세네갈</x:v>
      </x:c>
      <x:c r="C34" s="22" t="str">
        <x:v>2020-00048</x:v>
      </x:c>
      <x:c r="D34" s="25" t="str">
        <x:v>세네갈 미곡가치사슬 역량강화 2차사업 미곡종합처리장(RPC)/농기계서비스센터 건축 시공사 선정 현지입찰</x:v>
      </x:c>
      <x:c r="E34" s="28" t="n">
        <x:v>2</x:v>
      </x:c>
      <x:c r="F34" s="28" t="n">
        <x:v>2</x:v>
      </x:c>
      <x:c r="G34" s="28" t="n">
        <x:v>0</x:v>
      </x:c>
      <x:c r="H34" s="22" t="str">
        <x:v>L2024-00062-1</x:v>
      </x:c>
      <x:c r="I34" s="22" t="str"/>
      <x:c r="J34" s="22" t="str">
        <x:v>L2024-00062-1</x:v>
      </x:c>
      <x:c r="K34" s="22" t="str">
        <x:v>V2R_HUMAN_REVIEWED_EXTRACTION</x:v>
      </x:c>
      <x:c r="L34" s="22" t="str">
        <x:v>MATCH</x:v>
      </x:c>
      <x:c r="M34" s="31"/>
      <x:c r="N34" s="34" t="n">
        <x:v>1910000</x:v>
      </x:c>
      <x:c r="O34" s="22" t="str">
        <x:v>NOTICE_EXECUTION_CEILING</x:v>
      </x:c>
      <x:c r="P34" s="34" t="str">
        <x:f>IFERROR(N34/M34,"")</x:f>
      </x:c>
      <x:c r="Q34" s="22" t="str">
        <x:v>계산 금지</x:v>
      </x:c>
      <x:c r="R34" s="28" t="n">
        <x:v>0</x:v>
      </x:c>
      <x:c r="S34" s="28" t="n">
        <x:v>0</x:v>
      </x:c>
      <x:c r="T34" s="22" t="str"/>
      <x:c r="U34" s="22" t="str"/>
      <x:c r="V34" s="25" t="str">
        <x:v>project_no 안에 서로 다른 시설·Lot·설계·감리·공사 패키지가 있을 수 있어 1개 비용행으로 합산 금지</x:v>
      </x:c>
      <x:c r="W34" s="25" t="str">
        <x:v>유효 면적과 공사금액 결합요건 미충족</x:v>
      </x:c>
      <x:c r="X34" s="25" t="str">
        <x:v>L2024-00062-1;L2025-00021-1</x:v>
      </x:c>
      <x:c r="Y34" s="25" t="str">
        <x:v>https://nebid.koica.go.kr/oep/lobi/localBidManageDetail.do?P_LOAZ_BID_PBLANC_NO=L2024-00062&amp;P_PBLANC_ODR=1</x:v>
      </x:c>
    </x:row>
    <x:row r="35">
      <x:c r="A35" s="22" t="str">
        <x:v>X</x:v>
      </x:c>
      <x:c r="B35" s="22" t="str">
        <x:v>세네갈</x:v>
      </x:c>
      <x:c r="C35" s="22" t="str">
        <x:v>2021-00054</x:v>
      </x:c>
      <x:c r="D35" s="25" t="str">
        <x:v>세네갈 대국민 소통증진을 위한 국회의정활동시스템 현대화사업 리모델링 업체 선정 입</x:v>
      </x:c>
      <x:c r="E35" s="28" t="n">
        <x:v>1</x:v>
      </x:c>
      <x:c r="F35" s="28" t="n">
        <x:v>1</x:v>
      </x:c>
      <x:c r="G35" s="28" t="n">
        <x:v>0</x:v>
      </x:c>
      <x:c r="H35" s="22" t="str">
        <x:v>L2023-00077-1</x:v>
      </x:c>
      <x:c r="I35" s="22" t="str"/>
      <x:c r="J35" s="22" t="str"/>
      <x:c r="K35" s="22" t="str">
        <x:v>V3_SCOPE_REVIEW</x:v>
      </x:c>
      <x:c r="L35" s="22" t="str">
        <x:v>NO_MATCH</x:v>
      </x:c>
      <x:c r="M35" s="31"/>
      <x:c r="N35" s="34"/>
      <x:c r="O35" s="22" t="str">
        <x:v>SERVICE_OR_GOODS_CEILING</x:v>
      </x:c>
      <x:c r="P35" s="34" t="str">
        <x:f>IFERROR(N35/M35,"")</x:f>
      </x:c>
      <x:c r="Q35" s="22" t="str">
        <x:v>계산 금지</x:v>
      </x:c>
      <x:c r="R35" s="28" t="n">
        <x:v>0</x:v>
      </x:c>
      <x:c r="S35" s="28" t="n">
        <x:v>0</x:v>
      </x:c>
      <x:c r="T35" s="22" t="str"/>
      <x:c r="U35" s="22" t="str"/>
      <x:c r="V35" s="25" t="str"/>
      <x:c r="W35" s="25" t="str">
        <x:v>물품·비건축 또는 GFA 오탐으로 건축공사비 표본 제외</x:v>
      </x:c>
      <x:c r="X35" s="25" t="str">
        <x:v>L2023-00077-1</x:v>
      </x:c>
      <x:c r="Y35" s="25" t="str">
        <x:v>https://nebid.koica.go.kr/oep/lobi/localBidManageDetail.do?P_LOAZ_BID_PBLANC_NO=L2023-00077&amp;P_PBLANC_ODR=1</x:v>
      </x:c>
    </x:row>
    <x:row r="36">
      <x:c r="A36" s="22" t="str">
        <x:v>X</x:v>
      </x:c>
      <x:c r="B36" s="22" t="str">
        <x:v>세네갈</x:v>
      </x:c>
      <x:c r="C36" s="22" t="str">
        <x:v>2022-00003</x:v>
      </x:c>
      <x:c r="D36" s="25" t="str">
        <x:v>세네갈 실험실 리모델링 사업 Control Office 계약</x:v>
      </x:c>
      <x:c r="E36" s="28" t="n">
        <x:v>1</x:v>
      </x:c>
      <x:c r="F36" s="28" t="n">
        <x:v>1</x:v>
      </x:c>
      <x:c r="G36" s="28" t="n">
        <x:v>0</x:v>
      </x:c>
      <x:c r="H36" s="22" t="str">
        <x:v>L2025-00106-1</x:v>
      </x:c>
      <x:c r="I36" s="22" t="str"/>
      <x:c r="J36" s="22" t="str"/>
      <x:c r="K36" s="22" t="str">
        <x:v>V3_SCOPE_REVIEW</x:v>
      </x:c>
      <x:c r="L36" s="22" t="str">
        <x:v>NO_MATCH</x:v>
      </x:c>
      <x:c r="M36" s="31"/>
      <x:c r="N36" s="34"/>
      <x:c r="O36" s="22" t="str">
        <x:v>SERVICE_OR_GOODS_CEILING</x:v>
      </x:c>
      <x:c r="P36" s="34" t="str">
        <x:f>IFERROR(N36/M36,"")</x:f>
      </x:c>
      <x:c r="Q36" s="22" t="str">
        <x:v>계산 금지</x:v>
      </x:c>
      <x:c r="R36" s="28" t="n">
        <x:v>0</x:v>
      </x:c>
      <x:c r="S36" s="28" t="n">
        <x:v>0</x:v>
      </x:c>
      <x:c r="T36" s="22" t="str"/>
      <x:c r="U36" s="22" t="str"/>
      <x:c r="V36" s="25" t="str"/>
      <x:c r="W36" s="25" t="str">
        <x:v>설계·감리·기타 용역 집행한도는 건축공사비가 아님</x:v>
      </x:c>
      <x:c r="X36" s="25" t="str">
        <x:v>L2025-00106-1</x:v>
      </x:c>
      <x:c r="Y36" s="25" t="str">
        <x:v>https://nebid.koica.go.kr/oep/lobi/localBidManageDetail.do?P_LOAZ_BID_PBLANC_NO=L2025-00106&amp;P_PBLANC_ODR=1</x:v>
      </x:c>
    </x:row>
    <x:row r="37">
      <x:c r="A37" s="22" t="str">
        <x:v>C</x:v>
      </x:c>
      <x:c r="B37" s="22" t="str">
        <x:v>스리랑카</x:v>
      </x:c>
      <x:c r="C37" s="22" t="str">
        <x:v>2015-00011</x:v>
      </x:c>
      <x:c r="D37" s="25" t="str">
        <x:v>스리랑카 기술계 교사양성 및 재교육 사업 신축 설계 및 CA용역 입찰</x:v>
      </x:c>
      <x:c r="E37" s="28" t="n">
        <x:v>2</x:v>
      </x:c>
      <x:c r="F37" s="28" t="n">
        <x:v>2</x:v>
      </x:c>
      <x:c r="G37" s="28" t="n">
        <x:v>1</x:v>
      </x:c>
      <x:c r="H37" s="22" t="str">
        <x:v>L2019-00024-1</x:v>
      </x:c>
      <x:c r="I37" s="22" t="str"/>
      <x:c r="J37" s="22" t="str">
        <x:v>L2019-00024-1</x:v>
      </x:c>
      <x:c r="K37" s="22" t="str">
        <x:v>V3_CURATED_AREA_COST_RECHECK</x:v>
      </x:c>
      <x:c r="L37" s="22" t="str">
        <x:v>MATCH</x:v>
      </x:c>
      <x:c r="M37" s="31" t="n">
        <x:v>12974</x:v>
      </x:c>
      <x:c r="N37" s="34" t="n">
        <x:v>7161000</x:v>
      </x:c>
      <x:c r="O37" s="22" t="str">
        <x:v>BASIC_ESTIMATED_PRICE</x:v>
      </x:c>
      <x:c r="P37" s="34" t="n">
        <x:f>IFERROR(N37/M37,"")</x:f>
        <x:v>551.950053954062</x:v>
      </x:c>
      <x:c r="Q37" s="22" t="str">
        <x:v>초기 스크리닝만</x:v>
      </x:c>
      <x:c r="R37" s="28" t="n">
        <x:v>0</x:v>
      </x:c>
      <x:c r="S37" s="28" t="n">
        <x:v>1</x:v>
      </x:c>
      <x:c r="T37" s="22" t="str"/>
      <x:c r="U37" s="22" t="str"/>
      <x:c r="V37" s="25" t="str">
        <x:v>project_no 안에 서로 다른 시설·Lot·설계·감리·공사 패키지가 있을 수 있어 1개 비용행으로 합산 금지</x:v>
      </x:c>
      <x:c r="W37" s="25" t="str">
        <x:v>동일/제한 범위 공사금액÷면적 스크리닝 근거</x:v>
      </x:c>
      <x:c r="X37" s="25" t="str">
        <x:v>L2018-00008-1;L2019-00024-1</x:v>
      </x:c>
      <x:c r="Y37" s="25" t="str">
        <x:v>https://nebid.koica.go.kr/oep/lobi/localBidManageDetail.do?P_LOAZ_BID_PBLANC_NO=L2019-00024&amp;P_PBLANC_ODR=1</x:v>
      </x:c>
    </x:row>
    <x:row r="38">
      <x:c r="A38" s="22" t="str">
        <x:v>X</x:v>
      </x:c>
      <x:c r="B38" s="22" t="str">
        <x:v>알제리</x:v>
      </x:c>
      <x:c r="C38" s="22" t="str">
        <x:v>2019-00027</x:v>
      </x:c>
      <x:c r="D38" s="25" t="str">
        <x:v>알제리 사이버보안센터 건립사업 기자재 및 가구</x:v>
      </x:c>
      <x:c r="E38" s="28" t="n">
        <x:v>1</x:v>
      </x:c>
      <x:c r="F38" s="28" t="n">
        <x:v>1</x:v>
      </x:c>
      <x:c r="G38" s="28" t="n">
        <x:v>0</x:v>
      </x:c>
      <x:c r="H38" s="22" t="str">
        <x:v>L2024-00074-1</x:v>
      </x:c>
      <x:c r="I38" s="22" t="str"/>
      <x:c r="J38" s="22" t="str"/>
      <x:c r="K38" s="22" t="str">
        <x:v>V3_SCOPE_REVIEW</x:v>
      </x:c>
      <x:c r="L38" s="22" t="str">
        <x:v>NO_MATCH</x:v>
      </x:c>
      <x:c r="M38" s="31"/>
      <x:c r="N38" s="34"/>
      <x:c r="O38" s="22" t="str">
        <x:v>SERVICE_OR_GOODS_CEILING</x:v>
      </x:c>
      <x:c r="P38" s="34" t="str">
        <x:f>IFERROR(N38/M38,"")</x:f>
      </x:c>
      <x:c r="Q38" s="22" t="str">
        <x:v>계산 금지</x:v>
      </x:c>
      <x:c r="R38" s="28" t="n">
        <x:v>0</x:v>
      </x:c>
      <x:c r="S38" s="28" t="n">
        <x:v>0</x:v>
      </x:c>
      <x:c r="T38" s="22" t="str"/>
      <x:c r="U38" s="22" t="str"/>
      <x:c r="V38" s="25" t="str"/>
      <x:c r="W38" s="25" t="str">
        <x:v>물품·비건축 또는 GFA 오탐으로 건축공사비 표본 제외</x:v>
      </x:c>
      <x:c r="X38" s="25" t="str">
        <x:v>L2024-00074-1</x:v>
      </x:c>
      <x:c r="Y38" s="25" t="str">
        <x:v>https://nebid.koica.go.kr/oep/lobi/localBidManageDetail.do?P_LOAZ_BID_PBLANC_NO=L2024-00074&amp;P_PBLANC_ODR=1</x:v>
      </x:c>
    </x:row>
    <x:row r="39">
      <x:c r="A39" s="22" t="str">
        <x:v>C</x:v>
      </x:c>
      <x:c r="B39" s="22" t="str">
        <x:v>에콰도르</x:v>
      </x:c>
      <x:c r="C39" s="22" t="str">
        <x:v>2020-00073</x:v>
      </x:c>
      <x:c r="D39" s="25" t="str">
        <x:v>에콰도르 키토시 혁신센터 건립을 통한 창업 및 기업혁신 지원체계 강화사업 리모델링 설계 용역</x:v>
      </x:c>
      <x:c r="E39" s="28" t="n">
        <x:v>1</x:v>
      </x:c>
      <x:c r="F39" s="28" t="n">
        <x:v>1</x:v>
      </x:c>
      <x:c r="G39" s="28" t="n">
        <x:v>1</x:v>
      </x:c>
      <x:c r="H39" s="22" t="str">
        <x:v>L2022-00027-1</x:v>
      </x:c>
      <x:c r="I39" s="22" t="str"/>
      <x:c r="J39" s="22" t="str">
        <x:v>L2022-00027-1</x:v>
      </x:c>
      <x:c r="K39" s="22" t="str">
        <x:v>V3_CURATED_AREA_COST_RECHECK</x:v>
      </x:c>
      <x:c r="L39" s="22" t="str">
        <x:v>MATCH_ATTACHMENT_CONSTRUCTION_BUDGET</x:v>
      </x:c>
      <x:c r="M39" s="31" t="n">
        <x:v>3100</x:v>
      </x:c>
      <x:c r="N39" s="34" t="n">
        <x:v>2670000</x:v>
      </x:c>
      <x:c r="O39" s="22" t="str">
        <x:v>DESIGN_ESTIMATE</x:v>
      </x:c>
      <x:c r="P39" s="34" t="n">
        <x:f>IFERROR(N39/M39,"")</x:f>
        <x:v>861.2903225806451</x:v>
      </x:c>
      <x:c r="Q39" s="22" t="str">
        <x:v>초기 스크리닝만</x:v>
      </x:c>
      <x:c r="R39" s="28" t="n">
        <x:v>0</x:v>
      </x:c>
      <x:c r="S39" s="28" t="n">
        <x:v>1</x:v>
      </x:c>
      <x:c r="T39" s="22" t="str"/>
      <x:c r="U39" s="22" t="str"/>
      <x:c r="V39" s="25" t="str"/>
      <x:c r="W39" s="25" t="str">
        <x:v>동일/제한 범위 공사금액÷면적 스크리닝 근거</x:v>
      </x:c>
      <x:c r="X39" s="25" t="str">
        <x:v>L2022-00027-1</x:v>
      </x:c>
      <x:c r="Y39" s="25" t="str">
        <x:v>https://nebid.koica.go.kr/oep/lobi/localBidManageDetail.do?P_LOAZ_BID_PBLANC_NO=L2022-00027&amp;P_PBLANC_ODR=1</x:v>
      </x:c>
    </x:row>
    <x:row r="40">
      <x:c r="A40" s="22" t="str">
        <x:v>C</x:v>
      </x:c>
      <x:c r="B40" s="22" t="str">
        <x:v>에콰도르</x:v>
      </x:c>
      <x:c r="C40" s="22" t="str">
        <x:v>L2017-0004</x:v>
      </x:c>
      <x:c r="D40" s="25" t="str">
        <x:v>에콰도르 과야스주 보건의료센터 건립사업 시공사 선정 입찰</x:v>
      </x:c>
      <x:c r="E40" s="28" t="n">
        <x:v>1</x:v>
      </x:c>
      <x:c r="F40" s="28" t="n">
        <x:v>1</x:v>
      </x:c>
      <x:c r="G40" s="28" t="n">
        <x:v>1</x:v>
      </x:c>
      <x:c r="H40" s="22" t="str">
        <x:v>L2017-00005-1</x:v>
      </x:c>
      <x:c r="I40" s="22" t="str"/>
      <x:c r="J40" s="22" t="str">
        <x:v>L2017-00005-1</x:v>
      </x:c>
      <x:c r="K40" s="22" t="str">
        <x:v>V3_CURATED_AREA_COST_RECHECK</x:v>
      </x:c>
      <x:c r="L40" s="22" t="str">
        <x:v>MATCH</x:v>
      </x:c>
      <x:c r="M40" s="31" t="n">
        <x:v>2541.35</x:v>
      </x:c>
      <x:c r="N40" s="34" t="n">
        <x:v>3572800</x:v>
      </x:c>
      <x:c r="O40" s="22" t="str">
        <x:v>NOTICE_EXECUTION_CEILING</x:v>
      </x:c>
      <x:c r="P40" s="34" t="n">
        <x:f>IFERROR(N40/M40,"")</x:f>
        <x:v>1405.866960473764</x:v>
      </x:c>
      <x:c r="Q40" s="22" t="str">
        <x:v>초기 스크리닝만</x:v>
      </x:c>
      <x:c r="R40" s="28" t="n">
        <x:v>0</x:v>
      </x:c>
      <x:c r="S40" s="28" t="n">
        <x:v>1</x:v>
      </x:c>
      <x:c r="T40" s="22" t="str"/>
      <x:c r="U40" s="22" t="str"/>
      <x:c r="V40" s="25" t="str"/>
      <x:c r="W40" s="25" t="str">
        <x:v>동일/제한 범위 공사금액÷면적 스크리닝 근거</x:v>
      </x:c>
      <x:c r="X40" s="25" t="str">
        <x:v>L2017-00005-1</x:v>
      </x:c>
      <x:c r="Y40" s="25" t="str">
        <x:v>https://nebid.koica.go.kr/oep/lobi/localBidManageDetail.do?P_LOAZ_BID_PBLANC_NO=L2017-00005&amp;P_PBLANC_ODR=1</x:v>
      </x:c>
    </x:row>
    <x:row r="41">
      <x:c r="A41" s="22" t="str">
        <x:v>C</x:v>
      </x:c>
      <x:c r="B41" s="22" t="str">
        <x:v>에티오피아</x:v>
      </x:c>
      <x:c r="C41" s="22" t="str">
        <x:v>2015-00006</x:v>
      </x:c>
      <x:c r="D41" s="25" t="str">
        <x:v>에티오피아 오로미아주 모자보건 및 가족계획 역량 강화사업 헤토사 1차 병원 설계 및 시공 감리 용역</x:v>
      </x:c>
      <x:c r="E41" s="28" t="n">
        <x:v>4</x:v>
      </x:c>
      <x:c r="F41" s="28" t="n">
        <x:v>3</x:v>
      </x:c>
      <x:c r="G41" s="28" t="n">
        <x:v>2</x:v>
      </x:c>
      <x:c r="H41" s="22" t="str">
        <x:v>L2020-00022-2</x:v>
      </x:c>
      <x:c r="I41" s="22" t="str"/>
      <x:c r="J41" s="22" t="str">
        <x:v>L2020-00022-2</x:v>
      </x:c>
      <x:c r="K41" s="22" t="str">
        <x:v>V3_CURATED_AREA_COST_RECHECK</x:v>
      </x:c>
      <x:c r="L41" s="22" t="str">
        <x:v>MATCH</x:v>
      </x:c>
      <x:c r="M41" s="31" t="n">
        <x:v>4916</x:v>
      </x:c>
      <x:c r="N41" s="34" t="n">
        <x:v>3116205</x:v>
      </x:c>
      <x:c r="O41" s="22" t="str">
        <x:v>NOTICE_EXECUTION_CEILING</x:v>
      </x:c>
      <x:c r="P41" s="34" t="n">
        <x:f>IFERROR(N41/M41,"")</x:f>
        <x:v>633.890358014646</x:v>
      </x:c>
      <x:c r="Q41" s="22" t="str">
        <x:v>초기 스크리닝만</x:v>
      </x:c>
      <x:c r="R41" s="28" t="n">
        <x:v>0</x:v>
      </x:c>
      <x:c r="S41" s="28" t="n">
        <x:v>1</x:v>
      </x:c>
      <x:c r="T41" s="22" t="str"/>
      <x:c r="U41" s="22" t="str"/>
      <x:c r="V41" s="25" t="str">
        <x:v>project_no 안에 서로 다른 시설·Lot·설계·감리·공사 패키지가 있을 수 있어 1개 비용행으로 합산 금지</x:v>
      </x:c>
      <x:c r="W41" s="25" t="str">
        <x:v>동일/제한 범위 공사금액÷면적 스크리닝 근거</x:v>
      </x:c>
      <x:c r="X41" s="25" t="str">
        <x:v>L2019-00034-1;L2019-00037-1;L2020-00022-1;L2020-00022-2</x:v>
      </x:c>
      <x:c r="Y41" s="25" t="str">
        <x:v>https://nebid.koica.go.kr/oep/lobi/localBidManageDetail.do?P_LOAZ_BID_PBLANC_NO=L2020-00022&amp;P_PBLANC_ODR=2</x:v>
      </x:c>
    </x:row>
    <x:row r="42">
      <x:c r="A42" s="22" t="str">
        <x:v>C?</x:v>
      </x:c>
      <x:c r="B42" s="22" t="str">
        <x:v>에티오피아</x:v>
      </x:c>
      <x:c r="C42" s="22" t="str">
        <x:v>2020-00053</x:v>
      </x:c>
      <x:c r="D42" s="25" t="str">
        <x:v>에티오피아 양질의 일자리 창출을 위한 ICT기반의 창업 및 중소기업(SME)육성 지원사업 ICT 센터 리모델링 공사</x:v>
      </x:c>
      <x:c r="E42" s="28" t="n">
        <x:v>2</x:v>
      </x:c>
      <x:c r="F42" s="28" t="n">
        <x:v>2</x:v>
      </x:c>
      <x:c r="G42" s="28" t="n">
        <x:v>2</x:v>
      </x:c>
      <x:c r="H42" s="22" t="str">
        <x:v>L2023-00004-1</x:v>
      </x:c>
      <x:c r="I42" s="22" t="str"/>
      <x:c r="J42" s="22" t="str">
        <x:v>L2023-00004-1</x:v>
      </x:c>
      <x:c r="K42" s="22" t="str">
        <x:v>V2R_HUMAN_REVIEWED_EXTRACTION</x:v>
      </x:c>
      <x:c r="L42" s="22" t="str">
        <x:v>MATCH</x:v>
      </x:c>
      <x:c r="M42" s="31" t="n">
        <x:v>2443</x:v>
      </x:c>
      <x:c r="N42" s="34" t="n">
        <x:v>704431</x:v>
      </x:c>
      <x:c r="O42" s="22" t="str">
        <x:v>NOTICE_EXECUTION_CEILING</x:v>
      </x:c>
      <x:c r="P42" s="34" t="n">
        <x:f>IFERROR(N42/M42,"")</x:f>
        <x:v>288.3467048710602</x:v>
      </x:c>
      <x:c r="Q42" s="22" t="str">
        <x:v>초기 스크리닝만</x:v>
      </x:c>
      <x:c r="R42" s="28" t="n">
        <x:v>0</x:v>
      </x:c>
      <x:c r="S42" s="28" t="n">
        <x:v>1</x:v>
      </x:c>
      <x:c r="T42" s="22" t="str"/>
      <x:c r="U42" s="22" t="str"/>
      <x:c r="V42" s="25" t="str">
        <x:v>project_no 안에 서로 다른 시설·Lot·설계·감리·공사 패키지가 있을 수 있어 1개 비용행으로 합산 금지</x:v>
      </x:c>
      <x:c r="W42" s="25" t="str">
        <x:v>범위 일치 잠정확인; 원본 V3 확인 전 직접 사용 금지</x:v>
      </x:c>
      <x:c r="X42" s="25" t="str">
        <x:v>L2022-00068-1;L2023-00004-1</x:v>
      </x:c>
      <x:c r="Y42" s="25" t="str">
        <x:v>https://nebid.koica.go.kr/oep/lobi/localBidManageDetail.do?P_LOAZ_BID_PBLANC_NO=L2023-00004&amp;P_PBLANC_ODR=1</x:v>
      </x:c>
    </x:row>
    <x:row r="43">
      <x:c r="A43" s="22" t="str">
        <x:v>X</x:v>
      </x:c>
      <x:c r="B43" s="22" t="str">
        <x:v>에티오피아</x:v>
      </x:c>
      <x:c r="C43" s="22" t="str">
        <x:v>2022-00036</x:v>
      </x:c>
      <x:c r="D43" s="25" t="str">
        <x:v>에티오피아 가죽 및 가죽제품 강화 사업 신발 라스트 생산 공장 신축 및 보수 공사 설계, 감리 용역</x:v>
      </x:c>
      <x:c r="E43" s="28" t="n">
        <x:v>1</x:v>
      </x:c>
      <x:c r="F43" s="28" t="n">
        <x:v>1</x:v>
      </x:c>
      <x:c r="G43" s="28" t="n">
        <x:v>0</x:v>
      </x:c>
      <x:c r="H43" s="22" t="str">
        <x:v>L2023-00061-1</x:v>
      </x:c>
      <x:c r="I43" s="22" t="str"/>
      <x:c r="J43" s="22" t="str"/>
      <x:c r="K43" s="22" t="str">
        <x:v>V3_SCOPE_REVIEW</x:v>
      </x:c>
      <x:c r="L43" s="22" t="str">
        <x:v>NO_MATCH</x:v>
      </x:c>
      <x:c r="M43" s="31" t="n">
        <x:v>1250</x:v>
      </x:c>
      <x:c r="N43" s="34"/>
      <x:c r="O43" s="22" t="str">
        <x:v>SERVICE_OR_GOODS_CEILING</x:v>
      </x:c>
      <x:c r="P43" s="34" t="n">
        <x:f>IFERROR(N43/M43,"")</x:f>
        <x:v>0</x:v>
      </x:c>
      <x:c r="Q43" s="22" t="str">
        <x:v>계산 금지</x:v>
      </x:c>
      <x:c r="R43" s="28" t="n">
        <x:v>0</x:v>
      </x:c>
      <x:c r="S43" s="28" t="n">
        <x:v>0</x:v>
      </x:c>
      <x:c r="T43" s="22" t="str"/>
      <x:c r="U43" s="22" t="str"/>
      <x:c r="V43" s="25" t="str"/>
      <x:c r="W43" s="25" t="str">
        <x:v>설계·감리·기타 용역 집행한도는 건축공사비가 아님</x:v>
      </x:c>
      <x:c r="X43" s="25" t="str">
        <x:v>L2023-00061-1</x:v>
      </x:c>
      <x:c r="Y43" s="25" t="str">
        <x:v>https://nebid.koica.go.kr/oep/lobi/localBidManageDetail.do?P_LOAZ_BID_PBLANC_NO=L2023-00061&amp;P_PBLANC_ODR=1</x:v>
      </x:c>
    </x:row>
    <x:row r="44">
      <x:c r="A44" s="22" t="str">
        <x:v>C</x:v>
      </x:c>
      <x:c r="B44" s="22" t="str">
        <x:v>엘살바도르</x:v>
      </x:c>
      <x:c r="C44" s="22" t="str">
        <x:v>2019-00037</x:v>
      </x:c>
      <x:c r="D44" s="25" t="str">
        <x:v>엘살바도르 국립보건교육센터 설립 및 보건교육 강화사업 감리 용역 현지 입찰 (재공고)</x:v>
      </x:c>
      <x:c r="E44" s="28" t="n">
        <x:v>5</x:v>
      </x:c>
      <x:c r="F44" s="28" t="n">
        <x:v>5</x:v>
      </x:c>
      <x:c r="G44" s="28" t="n">
        <x:v>3</x:v>
      </x:c>
      <x:c r="H44" s="22" t="str">
        <x:v>L2023-00060-1</x:v>
      </x:c>
      <x:c r="I44" s="22" t="str"/>
      <x:c r="J44" s="22" t="str">
        <x:v>L2023-00060-1</x:v>
      </x:c>
      <x:c r="K44" s="22" t="str">
        <x:v>V3_CURATED_AREA_COST_RECHECK</x:v>
      </x:c>
      <x:c r="L44" s="22" t="str">
        <x:v>MATCH</x:v>
      </x:c>
      <x:c r="M44" s="31" t="n">
        <x:v>2983</x:v>
      </x:c>
      <x:c r="N44" s="34" t="n">
        <x:v>3875000</x:v>
      </x:c>
      <x:c r="O44" s="22" t="str">
        <x:v>NOTICE_EXECUTION_CEILING</x:v>
      </x:c>
      <x:c r="P44" s="34" t="n">
        <x:f>IFERROR(N44/M44,"")</x:f>
        <x:v>1299.0278243379148</x:v>
      </x:c>
      <x:c r="Q44" s="22" t="str">
        <x:v>초기 스크리닝만</x:v>
      </x:c>
      <x:c r="R44" s="28" t="n">
        <x:v>0</x:v>
      </x:c>
      <x:c r="S44" s="28" t="n">
        <x:v>1</x:v>
      </x:c>
      <x:c r="T44" s="22" t="str"/>
      <x:c r="U44" s="22" t="str"/>
      <x:c r="V44" s="25" t="str">
        <x:v>project_no 안에 서로 다른 시설·Lot·설계·감리·공사 패키지가 있을 수 있어 1개 비용행으로 합산 금지</x:v>
      </x:c>
      <x:c r="W44" s="25" t="str">
        <x:v>동일/제한 범위 공사금액÷면적 스크리닝 근거</x:v>
      </x:c>
      <x:c r="X44" s="25" t="str">
        <x:v>L2023-00027-1;L2023-00037-1;L2023-00058-1;L2023-00057-1;L2023-00060-1</x:v>
      </x:c>
      <x:c r="Y44" s="25" t="str">
        <x:v>https://nebid.koica.go.kr/oep/lobi/localBidManageDetail.do?P_LOAZ_BID_PBLANC_NO=L2023-00060&amp;P_PBLANC_ODR=1</x:v>
      </x:c>
    </x:row>
    <x:row r="45">
      <x:c r="A45" s="22" t="str">
        <x:v>C</x:v>
      </x:c>
      <x:c r="B45" s="22" t="str">
        <x:v>엘살바도르</x:v>
      </x:c>
      <x:c r="C45" s="22" t="str">
        <x:v>2021-00111</x:v>
      </x:c>
      <x:c r="D45" s="25" t="str">
        <x:v>엘살바도르 ITCA 공학교육역량 강화사업 시공사 선정 현지 재입찰</x:v>
      </x:c>
      <x:c r="E45" s="28" t="n">
        <x:v>4</x:v>
      </x:c>
      <x:c r="F45" s="28" t="n">
        <x:v>2</x:v>
      </x:c>
      <x:c r="G45" s="28" t="n">
        <x:v>2</x:v>
      </x:c>
      <x:c r="H45" s="22" t="str">
        <x:v>L2024-00049-2</x:v>
      </x:c>
      <x:c r="I45" s="22" t="str"/>
      <x:c r="J45" s="22" t="str">
        <x:v>L2024-00049-2</x:v>
      </x:c>
      <x:c r="K45" s="22" t="str">
        <x:v>V3_CURATED_AREA_COST_RECHECK</x:v>
      </x:c>
      <x:c r="L45" s="22" t="str">
        <x:v>MATCH</x:v>
      </x:c>
      <x:c r="M45" s="31" t="n">
        <x:v>788.12</x:v>
      </x:c>
      <x:c r="N45" s="34" t="n">
        <x:v>965000</x:v>
      </x:c>
      <x:c r="O45" s="22" t="str">
        <x:v>NOTICE_EXECUTION_CEILING</x:v>
      </x:c>
      <x:c r="P45" s="34" t="n">
        <x:f>IFERROR(N45/M45,"")</x:f>
        <x:v>1224.4328274881998</x:v>
      </x:c>
      <x:c r="Q45" s="22" t="str">
        <x:v>초기 스크리닝만</x:v>
      </x:c>
      <x:c r="R45" s="28" t="n">
        <x:v>0</x:v>
      </x:c>
      <x:c r="S45" s="28" t="n">
        <x:v>1</x:v>
      </x:c>
      <x:c r="T45" s="22" t="str"/>
      <x:c r="U45" s="22" t="str"/>
      <x:c r="V45" s="25" t="str">
        <x:v>project_no 안에 서로 다른 시설·Lot·설계·감리·공사 패키지가 있을 수 있어 1개 비용행으로 합산 금지</x:v>
      </x:c>
      <x:c r="W45" s="25" t="str">
        <x:v>동일/제한 범위 공사금액÷면적 스크리닝 근거</x:v>
      </x:c>
      <x:c r="X45" s="25" t="str">
        <x:v>L2024-00049-1;L2024-00054-1;L2024-00049-2;L2024-00054-2</x:v>
      </x:c>
      <x:c r="Y45" s="25" t="str">
        <x:v>https://nebid.koica.go.kr/oep/lobi/localBidManageDetail.do?P_LOAZ_BID_PBLANC_NO=L2024-00049&amp;P_PBLANC_ODR=2</x:v>
      </x:c>
    </x:row>
    <x:row r="46">
      <x:c r="A46" s="22" t="str">
        <x:v>U</x:v>
      </x:c>
      <x:c r="B46" s="22" t="str">
        <x:v>엘살바도르</x:v>
      </x:c>
      <x:c r="C46" s="22" t="str">
        <x:v>2014-00031</x:v>
      </x:c>
      <x:c r="D46" s="25" t="str">
        <x:v>엘살바도르 치안강화를 위한 차량 자동인식시스템 구축사업, CCTV 역량강화센터 2층 리모델링 시공업체 선정</x:v>
      </x:c>
      <x:c r="E46" s="28" t="n">
        <x:v>1</x:v>
      </x:c>
      <x:c r="F46" s="28" t="n">
        <x:v>1</x:v>
      </x:c>
      <x:c r="G46" s="28" t="n">
        <x:v>0</x:v>
      </x:c>
      <x:c r="H46" s="22" t="str">
        <x:v>L2019-00044-1</x:v>
      </x:c>
      <x:c r="I46" s="22" t="str"/>
      <x:c r="J46" s="22" t="str">
        <x:v>L2019-00044-1</x:v>
      </x:c>
      <x:c r="K46" s="22" t="str">
        <x:v>V3_SCOPE_REVIEW</x:v>
      </x:c>
      <x:c r="L46" s="22" t="str">
        <x:v>NO_MATCH</x:v>
      </x:c>
      <x:c r="M46" s="31"/>
      <x:c r="N46" s="34" t="n">
        <x:v>235960</x:v>
      </x:c>
      <x:c r="O46" s="22" t="str">
        <x:v>NOTICE_EXECUTION_CEILING</x:v>
      </x:c>
      <x:c r="P46" s="34" t="str">
        <x:f>IFERROR(N46/M46,"")</x:f>
      </x:c>
      <x:c r="Q46" s="22" t="str">
        <x:v>계산 금지</x:v>
      </x:c>
      <x:c r="R46" s="28" t="n">
        <x:v>0</x:v>
      </x:c>
      <x:c r="S46" s="28" t="n">
        <x:v>0</x:v>
      </x:c>
      <x:c r="T46" s="22" t="str"/>
      <x:c r="U46" s="22" t="str"/>
      <x:c r="V46" s="25" t="str"/>
      <x:c r="W46" s="25" t="str">
        <x:v>공사 후보이나 유효 GFA 또는 같은 범위 금액이 없음</x:v>
      </x:c>
      <x:c r="X46" s="25" t="str">
        <x:v>L2019-00044-1</x:v>
      </x:c>
      <x:c r="Y46" s="25" t="str">
        <x:v>https://nebid.koica.go.kr/oep/lobi/localBidManageDetail.do?P_LOAZ_BID_PBLANC_NO=L2019-00044&amp;P_PBLANC_ODR=1</x:v>
      </x:c>
    </x:row>
    <x:row r="47">
      <x:c r="A47" s="22" t="str">
        <x:v>X</x:v>
      </x:c>
      <x:c r="B47" s="22" t="str">
        <x:v>엘살바도르</x:v>
      </x:c>
      <x:c r="C47" s="22" t="str">
        <x:v>2016-00220</x:v>
      </x:c>
      <x:c r="D47" s="25" t="str">
        <x:v>엘살바도르 동부건조지역 수계 복원력증대를 통한 기후변화대응사업('17-'20/800만불) 수자원확보 시행업체(PC) 선정</x:v>
      </x:c>
      <x:c r="E47" s="28" t="n">
        <x:v>4</x:v>
      </x:c>
      <x:c r="F47" s="28" t="n">
        <x:v>3</x:v>
      </x:c>
      <x:c r="G47" s="28" t="n">
        <x:v>0</x:v>
      </x:c>
      <x:c r="H47" s="22" t="str">
        <x:v>L2019-00040-2</x:v>
      </x:c>
      <x:c r="I47" s="22" t="str"/>
      <x:c r="J47" s="22" t="str"/>
      <x:c r="K47" s="22" t="str">
        <x:v>V3_SCOPE_REVIEW</x:v>
      </x:c>
      <x:c r="L47" s="22" t="str">
        <x:v>NO_MATCH</x:v>
      </x:c>
      <x:c r="M47" s="31"/>
      <x:c r="N47" s="34"/>
      <x:c r="O47" s="22" t="str">
        <x:v>SERVICE_OR_GOODS_CEILING</x:v>
      </x:c>
      <x:c r="P47" s="34" t="str">
        <x:f>IFERROR(N47/M47,"")</x:f>
      </x:c>
      <x:c r="Q47" s="22" t="str">
        <x:v>계산 금지</x:v>
      </x:c>
      <x:c r="R47" s="28" t="n">
        <x:v>0</x:v>
      </x:c>
      <x:c r="S47" s="28" t="n">
        <x:v>0</x:v>
      </x:c>
      <x:c r="T47" s="22" t="str"/>
      <x:c r="U47" s="22" t="str"/>
      <x:c r="V47" s="25" t="str">
        <x:v>project_no 안에 서로 다른 시설·Lot·설계·감리·공사 패키지가 있을 수 있어 1개 비용행으로 합산 금지</x:v>
      </x:c>
      <x:c r="W47" s="25" t="str">
        <x:v>물품·비건축 또는 GFA 오탐으로 건축공사비 표본 제외</x:v>
      </x:c>
      <x:c r="X47" s="25" t="str">
        <x:v>L2019-00041-1;L2019-00042-1;L2019-00040-1;L2019-00040-2</x:v>
      </x:c>
      <x:c r="Y47" s="25" t="str">
        <x:v>https://nebid.koica.go.kr/oep/lobi/localBidManageDetail.do?P_LOAZ_BID_PBLANC_NO=L2019-00040&amp;P_PBLANC_ODR=2</x:v>
      </x:c>
    </x:row>
    <x:row r="48">
      <x:c r="A48" s="22" t="str">
        <x:v>C</x:v>
      </x:c>
      <x:c r="B48" s="22" t="str">
        <x:v>요르단</x:v>
      </x:c>
      <x:c r="C48" s="22" t="str">
        <x:v>2016-00206</x:v>
      </x:c>
      <x:c r="D48" s="25" t="str">
        <x:v>요르단 시리아 난민 밀집지역 취약계층 아동을 위한 3개 학교 건립사업 자르카 학교 시공사 선정 입찰</x:v>
      </x:c>
      <x:c r="E48" s="28" t="n">
        <x:v>4</x:v>
      </x:c>
      <x:c r="F48" s="28" t="n">
        <x:v>4</x:v>
      </x:c>
      <x:c r="G48" s="28" t="n">
        <x:v>2</x:v>
      </x:c>
      <x:c r="H48" s="22" t="str">
        <x:v>L2019-00043-1</x:v>
      </x:c>
      <x:c r="I48" s="22" t="str"/>
      <x:c r="J48" s="22" t="str">
        <x:v>L2019-00043-1</x:v>
      </x:c>
      <x:c r="K48" s="22" t="str">
        <x:v>V3_CURATED_AREA_COST_RECHECK</x:v>
      </x:c>
      <x:c r="L48" s="22" t="str">
        <x:v>MATCH</x:v>
      </x:c>
      <x:c r="M48" s="31" t="n">
        <x:v>3944.3</x:v>
      </x:c>
      <x:c r="N48" s="34" t="n">
        <x:v>2654320</x:v>
      </x:c>
      <x:c r="O48" s="22" t="str">
        <x:v>NOTICE_EXECUTION_CEILING</x:v>
      </x:c>
      <x:c r="P48" s="34" t="n">
        <x:f>IFERROR(N48/M48,"")</x:f>
        <x:v>672.9508404533124</x:v>
      </x:c>
      <x:c r="Q48" s="22" t="str">
        <x:v>초기 스크리닝만</x:v>
      </x:c>
      <x:c r="R48" s="28" t="n">
        <x:v>0</x:v>
      </x:c>
      <x:c r="S48" s="28" t="n">
        <x:v>1</x:v>
      </x:c>
      <x:c r="T48" s="22" t="str"/>
      <x:c r="U48" s="22" t="str"/>
      <x:c r="V48" s="25" t="str">
        <x:v>project_no 안에 서로 다른 시설·Lot·설계·감리·공사 패키지가 있을 수 있어 1개 비용행으로 합산 금지</x:v>
      </x:c>
      <x:c r="W48" s="25" t="str">
        <x:v>동일/제한 범위 공사금액÷면적 스크리닝 근거</x:v>
      </x:c>
      <x:c r="X48" s="25" t="str">
        <x:v>L2018-00005-1;L2018-00020-1;L2019-00043-1;L2020-00007-1</x:v>
      </x:c>
      <x:c r="Y48" s="25" t="str">
        <x:v>https://nebid.koica.go.kr/oep/lobi/localBidManageDetail.do?P_LOAZ_BID_PBLANC_NO=L2019-00043&amp;P_PBLANC_ODR=1</x:v>
      </x:c>
    </x:row>
    <x:row r="49">
      <x:c r="A49" s="22" t="str">
        <x:v>C</x:v>
      </x:c>
      <x:c r="B49" s="22" t="str">
        <x:v>우간다</x:v>
      </x:c>
      <x:c r="C49" s="22" t="str">
        <x:v>2019-00005</x:v>
      </x:c>
      <x:c r="D49" s="25" t="str">
        <x:v>우간다 지속가능 농촌개발 시범마을 확산사업 옥수수 가공시설 및 여성친화적 시장 건축 공사</x:v>
      </x:c>
      <x:c r="E49" s="28" t="n">
        <x:v>2</x:v>
      </x:c>
      <x:c r="F49" s="28" t="n">
        <x:v>2</x:v>
      </x:c>
      <x:c r="G49" s="28" t="n">
        <x:v>1</x:v>
      </x:c>
      <x:c r="H49" s="22" t="str">
        <x:v>L2023-00009-1</x:v>
      </x:c>
      <x:c r="I49" s="22" t="str"/>
      <x:c r="J49" s="22" t="str">
        <x:v>L2023-00009-1</x:v>
      </x:c>
      <x:c r="K49" s="22" t="str">
        <x:v>V3_CURATED_AREA_COST_RECHECK</x:v>
      </x:c>
      <x:c r="L49" s="22" t="str">
        <x:v>MATCH</x:v>
      </x:c>
      <x:c r="M49" s="31" t="n">
        <x:v>835.67</x:v>
      </x:c>
      <x:c r="N49" s="34" t="n">
        <x:v>272603</x:v>
      </x:c>
      <x:c r="O49" s="22" t="str">
        <x:v>NOTICE_EXECUTION_CEILING</x:v>
      </x:c>
      <x:c r="P49" s="34" t="n">
        <x:f>IFERROR(N49/M49,"")</x:f>
        <x:v>326.20891021575505</x:v>
      </x:c>
      <x:c r="Q49" s="22" t="str">
        <x:v>초기 스크리닝만</x:v>
      </x:c>
      <x:c r="R49" s="28" t="n">
        <x:v>0</x:v>
      </x:c>
      <x:c r="S49" s="28" t="n">
        <x:v>1</x:v>
      </x:c>
      <x:c r="T49" s="22" t="str"/>
      <x:c r="U49" s="22" t="str"/>
      <x:c r="V49" s="25" t="str">
        <x:v>project_no 안에 서로 다른 시설·Lot·설계·감리·공사 패키지가 있을 수 있어 1개 비용행으로 합산 금지</x:v>
      </x:c>
      <x:c r="W49" s="25" t="str">
        <x:v>동일/제한 범위 공사금액÷면적 스크리닝 근거</x:v>
      </x:c>
      <x:c r="X49" s="25" t="str">
        <x:v>L2020-00015-1;L2023-00009-1</x:v>
      </x:c>
      <x:c r="Y49" s="25" t="str">
        <x:v>https://nebid.koica.go.kr/oep/lobi/localBidManageDetail.do?P_LOAZ_BID_PBLANC_NO=L2023-00009&amp;P_PBLANC_ODR=1</x:v>
      </x:c>
    </x:row>
    <x:row r="50">
      <x:c r="A50" s="22" t="str">
        <x:v>C</x:v>
      </x:c>
      <x:c r="B50" s="22" t="str">
        <x:v>우간다</x:v>
      </x:c>
      <x:c r="C50" s="22" t="str">
        <x:v>2021-00042</x:v>
      </x:c>
      <x:c r="D50" s="25" t="str">
        <x:v>우간다 농업지도자연수원 자립적 운영체계 구축 및 연수역량강화 사업을 위한 설계 및 감리 용역</x:v>
      </x:c>
      <x:c r="E50" s="28" t="n">
        <x:v>3</x:v>
      </x:c>
      <x:c r="F50" s="28" t="n">
        <x:v>3</x:v>
      </x:c>
      <x:c r="G50" s="28" t="n">
        <x:v>2</x:v>
      </x:c>
      <x:c r="H50" s="22" t="str">
        <x:v>L2025-00062-1</x:v>
      </x:c>
      <x:c r="I50" s="22" t="str"/>
      <x:c r="J50" s="22" t="str">
        <x:v>L2025-00062-1</x:v>
      </x:c>
      <x:c r="K50" s="22" t="str">
        <x:v>V3_CURATED_AREA_COST_RECHECK</x:v>
      </x:c>
      <x:c r="L50" s="22" t="str">
        <x:v>MATCH</x:v>
      </x:c>
      <x:c r="M50" s="31" t="n">
        <x:v>2378.8</x:v>
      </x:c>
      <x:c r="N50" s="34" t="n">
        <x:v>1123590</x:v>
      </x:c>
      <x:c r="O50" s="22" t="str">
        <x:v>NOTICE_EXECUTION_CEILING</x:v>
      </x:c>
      <x:c r="P50" s="34" t="n">
        <x:f>IFERROR(N50/M50,"")</x:f>
        <x:v>472.33479065074823</x:v>
      </x:c>
      <x:c r="Q50" s="22" t="str">
        <x:v>초기 스크리닝만</x:v>
      </x:c>
      <x:c r="R50" s="28" t="n">
        <x:v>0</x:v>
      </x:c>
      <x:c r="S50" s="28" t="n">
        <x:v>1</x:v>
      </x:c>
      <x:c r="T50" s="22" t="str"/>
      <x:c r="U50" s="22" t="str"/>
      <x:c r="V50" s="25" t="str">
        <x:v>project_no 안에 서로 다른 시설·Lot·설계·감리·공사 패키지가 있을 수 있어 1개 비용행으로 합산 금지</x:v>
      </x:c>
      <x:c r="W50" s="25" t="str">
        <x:v>동일/제한 범위 공사금액÷면적 스크리닝 근거</x:v>
      </x:c>
      <x:c r="X50" s="25" t="str">
        <x:v>L2023-00028-1;L2024-00050-1;L2025-00062-1</x:v>
      </x:c>
      <x:c r="Y50" s="25" t="str">
        <x:v>https://nebid.koica.go.kr/oep/lobi/localBidManageDetail.do?P_LOAZ_BID_PBLANC_NO=L2025-00062&amp;P_PBLANC_ODR=1</x:v>
      </x:c>
    </x:row>
    <x:row r="51">
      <x:c r="A51" s="22" t="str">
        <x:v>C</x:v>
      </x:c>
      <x:c r="B51" s="22" t="str">
        <x:v>우간다</x:v>
      </x:c>
      <x:c r="C51" s="22" t="str">
        <x:v>2021-00043</x:v>
      </x:c>
      <x:c r="D51" s="25" t="str">
        <x:v>우간다 주요 채소작물 종자 가치사슬 역량강화사업 Wakiso, Mukono 및 Luwero지역 온실, 토목 및 수도 건축공사</x:v>
      </x:c>
      <x:c r="E51" s="28" t="n">
        <x:v>1</x:v>
      </x:c>
      <x:c r="F51" s="28" t="n">
        <x:v>1</x:v>
      </x:c>
      <x:c r="G51" s="28" t="n">
        <x:v>1</x:v>
      </x:c>
      <x:c r="H51" s="22" t="str">
        <x:v>L2023-00011-1</x:v>
      </x:c>
      <x:c r="I51" s="22" t="str"/>
      <x:c r="J51" s="22" t="str">
        <x:v>L2023-00011-1</x:v>
      </x:c>
      <x:c r="K51" s="22" t="str">
        <x:v>V3_CURATED_AREA_COST_RECHECK</x:v>
      </x:c>
      <x:c r="L51" s="22" t="str">
        <x:v>MATCH</x:v>
      </x:c>
      <x:c r="M51" s="31" t="n">
        <x:v>6456</x:v>
      </x:c>
      <x:c r="N51" s="34" t="n">
        <x:v>1540000</x:v>
      </x:c>
      <x:c r="O51" s="22" t="str">
        <x:v>NOTICE_EXECUTION_CEILING</x:v>
      </x:c>
      <x:c r="P51" s="34" t="n">
        <x:f>IFERROR(N51/M51,"")</x:f>
        <x:v>238.53779429987608</x:v>
      </x:c>
      <x:c r="Q51" s="22" t="str">
        <x:v>초기 스크리닝만</x:v>
      </x:c>
      <x:c r="R51" s="28" t="n">
        <x:v>0</x:v>
      </x:c>
      <x:c r="S51" s="28" t="n">
        <x:v>1</x:v>
      </x:c>
      <x:c r="T51" s="22" t="str"/>
      <x:c r="U51" s="22" t="str"/>
      <x:c r="V51" s="25" t="str"/>
      <x:c r="W51" s="25" t="str">
        <x:v>동일/제한 범위 공사금액÷면적 스크리닝 근거</x:v>
      </x:c>
      <x:c r="X51" s="25" t="str">
        <x:v>L2023-00011-1</x:v>
      </x:c>
      <x:c r="Y51" s="25" t="str">
        <x:v>https://nebid.koica.go.kr/oep/lobi/localBidManageDetail.do?P_LOAZ_BID_PBLANC_NO=L2023-00011&amp;P_PBLANC_ODR=1</x:v>
      </x:c>
    </x:row>
    <x:row r="52">
      <x:c r="A52" s="22" t="str">
        <x:v>C</x:v>
      </x:c>
      <x:c r="B52" s="22" t="str">
        <x:v>우간다</x:v>
      </x:c>
      <x:c r="C52" s="22" t="str">
        <x:v>2022-00064</x:v>
      </x:c>
      <x:c r="D52" s="25" t="str">
        <x:v>우간다 마케레레 대학 원격교육센터 설계 및 감리용역 입찰</x:v>
      </x:c>
      <x:c r="E52" s="28" t="n">
        <x:v>2</x:v>
      </x:c>
      <x:c r="F52" s="28" t="n">
        <x:v>2</x:v>
      </x:c>
      <x:c r="G52" s="28" t="n">
        <x:v>1</x:v>
      </x:c>
      <x:c r="H52" s="22" t="str">
        <x:v>L2025-00084-1</x:v>
      </x:c>
      <x:c r="I52" s="22" t="str"/>
      <x:c r="J52" s="22" t="str">
        <x:v>L2025-00084-1</x:v>
      </x:c>
      <x:c r="K52" s="22" t="str">
        <x:v>V3_CURATED_AREA_COST_RECHECK</x:v>
      </x:c>
      <x:c r="L52" s="22" t="str">
        <x:v>MATCH</x:v>
      </x:c>
      <x:c r="M52" s="31" t="n">
        <x:v>4040</x:v>
      </x:c>
      <x:c r="N52" s="34" t="n">
        <x:v>4383000</x:v>
      </x:c>
      <x:c r="O52" s="22" t="str">
        <x:v>NOTICE_EXECUTION_CEILING</x:v>
      </x:c>
      <x:c r="P52" s="34" t="n">
        <x:f>IFERROR(N52/M52,"")</x:f>
        <x:v>1084.90099009901</x:v>
      </x:c>
      <x:c r="Q52" s="22" t="str">
        <x:v>초기 스크리닝만</x:v>
      </x:c>
      <x:c r="R52" s="28" t="n">
        <x:v>0</x:v>
      </x:c>
      <x:c r="S52" s="28" t="n">
        <x:v>1</x:v>
      </x:c>
      <x:c r="T52" s="22" t="str"/>
      <x:c r="U52" s="22" t="str"/>
      <x:c r="V52" s="25" t="str">
        <x:v>project_no 안에 서로 다른 시설·Lot·설계·감리·공사 패키지가 있을 수 있어 1개 비용행으로 합산 금지</x:v>
      </x:c>
      <x:c r="W52" s="25" t="str">
        <x:v>동일/제한 범위 공사금액÷면적 스크리닝 근거</x:v>
      </x:c>
      <x:c r="X52" s="25" t="str">
        <x:v>L2024-00072-1;L2025-00084-1</x:v>
      </x:c>
      <x:c r="Y52" s="25" t="str">
        <x:v>https://nebid.koica.go.kr/oep/lobi/localBidManageDetail.do?P_LOAZ_BID_PBLANC_NO=L2025-00084&amp;P_PBLANC_ODR=1</x:v>
      </x:c>
    </x:row>
    <x:row r="53">
      <x:c r="A53" s="22" t="str">
        <x:v>B</x:v>
      </x:c>
      <x:c r="B53" s="22" t="str">
        <x:v>우즈베키스탄</x:v>
      </x:c>
      <x:c r="C53" s="22" t="str">
        <x:v>2020-00086</x:v>
      </x:c>
      <x:c r="D53" s="25" t="str">
        <x:v>우즈베키스탄 우르겐치 직업훈련원 건립 및 타슈켄트 교사연수센터 건립사업 시공업체선정 현지입찰</x:v>
      </x:c>
      <x:c r="E53" s="28" t="n">
        <x:v>4</x:v>
      </x:c>
      <x:c r="F53" s="28" t="n">
        <x:v>4</x:v>
      </x:c>
      <x:c r="G53" s="28" t="n">
        <x:v>3</x:v>
      </x:c>
      <x:c r="H53" s="22" t="str">
        <x:v>L2023-00036-1</x:v>
      </x:c>
      <x:c r="I53" s="22" t="str">
        <x:v>L2023-00036-1</x:v>
      </x:c>
      <x:c r="J53" s="22" t="str">
        <x:v>L2023-00036-1</x:v>
      </x:c>
      <x:c r="K53" s="22" t="str">
        <x:v>V3_ORIGINAL_MANUAL</x:v>
      </x:c>
      <x:c r="L53" s="22" t="str">
        <x:v>MATCH</x:v>
      </x:c>
      <x:c r="M53" s="31" t="n">
        <x:v>6963</x:v>
      </x:c>
      <x:c r="N53" s="34" t="n">
        <x:v>5361576</x:v>
      </x:c>
      <x:c r="O53" s="22" t="str">
        <x:v>NOTICE_EXECUTION_CEILING</x:v>
      </x:c>
      <x:c r="P53" s="34" t="n">
        <x:f>IFERROR(N53/M53,"")</x:f>
        <x:v>770.0094786729858</x:v>
      </x:c>
      <x:c r="Q53" s="22" t="str">
        <x:v>현지단가 결합 수량모델</x:v>
      </x:c>
      <x:c r="R53" s="28" t="n">
        <x:v>0</x:v>
      </x:c>
      <x:c r="S53" s="28" t="n">
        <x:v>1</x:v>
      </x:c>
      <x:c r="T53" s="22" t="str"/>
      <x:c r="U53" s="22" t="str"/>
      <x:c r="V53" s="25" t="str">
        <x:v>project_no 안에 서로 다른 시설·Lot·설계·감리·공사 패키지가 있을 수 있어 1개 비용행으로 합산 금지</x:v>
      </x:c>
      <x:c r="W53" s="25" t="str">
        <x:v>우르겐치 VTC·TTC 공종별 not-priced BOQ</x:v>
      </x:c>
      <x:c r="X53" s="25" t="str">
        <x:v>L2022-00003-1;L2023-00007-1;L2023-00036-1;L2023-00053-1</x:v>
      </x:c>
      <x:c r="Y53" s="25" t="str">
        <x:v>https://nebid.koica.go.kr/oep/lobi/localBidManageDetail.do?P_LOAZ_BID_PBLANC_NO=L2023-00036&amp;P_PBLANC_ODR=1</x:v>
      </x:c>
    </x:row>
    <x:row r="54">
      <x:c r="A54" s="22" t="str">
        <x:v>C</x:v>
      </x:c>
      <x:c r="B54" s="22" t="str">
        <x:v>우즈베키스탄</x:v>
      </x:c>
      <x:c r="C54" s="22" t="str">
        <x:v>2017-07115</x:v>
      </x:c>
      <x:c r="D54" s="25" t="str">
        <x:v>우즈베키스탄 페르가나 직업훈련원 건립 신축공사 시공업체 선정 현지입찰</x:v>
      </x:c>
      <x:c r="E54" s="28" t="n">
        <x:v>2</x:v>
      </x:c>
      <x:c r="F54" s="28" t="n">
        <x:v>2</x:v>
      </x:c>
      <x:c r="G54" s="28" t="n">
        <x:v>1</x:v>
      </x:c>
      <x:c r="H54" s="22" t="str">
        <x:v>L2019-00021-1</x:v>
      </x:c>
      <x:c r="I54" s="22" t="str"/>
      <x:c r="J54" s="22" t="str">
        <x:v>L2019-00021-1</x:v>
      </x:c>
      <x:c r="K54" s="22" t="str">
        <x:v>V3_CURATED_AREA_COST_RECHECK</x:v>
      </x:c>
      <x:c r="L54" s="22" t="str">
        <x:v>MATCH</x:v>
      </x:c>
      <x:c r="M54" s="31" t="n">
        <x:v>5455</x:v>
      </x:c>
      <x:c r="N54" s="34" t="n">
        <x:v>5350000</x:v>
      </x:c>
      <x:c r="O54" s="22" t="str">
        <x:v>NOTICE_EXECUTION_CEILING</x:v>
      </x:c>
      <x:c r="P54" s="34" t="n">
        <x:f>IFERROR(N54/M54,"")</x:f>
        <x:v>980.7516040329973</x:v>
      </x:c>
      <x:c r="Q54" s="22" t="str">
        <x:v>초기 스크리닝만</x:v>
      </x:c>
      <x:c r="R54" s="28" t="n">
        <x:v>0</x:v>
      </x:c>
      <x:c r="S54" s="28" t="n">
        <x:v>1</x:v>
      </x:c>
      <x:c r="T54" s="22" t="str"/>
      <x:c r="U54" s="22" t="str"/>
      <x:c r="V54" s="25" t="str">
        <x:v>project_no 안에 서로 다른 시설·Lot·설계·감리·공사 패키지가 있을 수 있어 1개 비용행으로 합산 금지</x:v>
      </x:c>
      <x:c r="W54" s="25" t="str">
        <x:v>동일/제한 범위 공사금액÷면적 스크리닝 근거</x:v>
      </x:c>
      <x:c r="X54" s="25" t="str">
        <x:v>L2018-00015-1;L2019-00021-1</x:v>
      </x:c>
      <x:c r="Y54" s="25" t="str">
        <x:v>https://nebid.koica.go.kr/oep/lobi/localBidManageDetail.do?P_LOAZ_BID_PBLANC_NO=L2019-00021&amp;P_PBLANC_ODR=1</x:v>
      </x:c>
    </x:row>
    <x:row r="55">
      <x:c r="A55" s="22" t="str">
        <x:v>A-부분</x:v>
      </x:c>
      <x:c r="B55" s="22" t="str">
        <x:v>이라크</x:v>
      </x:c>
      <x:c r="C55" s="22" t="str">
        <x:v>2020-00119</x:v>
      </x:c>
      <x:c r="D55" s="25" t="str">
        <x:v>(긴급) 한-이라크 심장병 어린이 전문 병원 신축공사(신규입찰)</x:v>
      </x:c>
      <x:c r="E55" s="28" t="n">
        <x:v>3</x:v>
      </x:c>
      <x:c r="F55" s="28" t="n">
        <x:v>3</x:v>
      </x:c>
      <x:c r="G55" s="28" t="n">
        <x:v>3</x:v>
      </x:c>
      <x:c r="H55" s="22" t="str">
        <x:v>L2025-00085-1</x:v>
      </x:c>
      <x:c r="I55" s="22" t="str">
        <x:v>L2025-00085-1</x:v>
      </x:c>
      <x:c r="J55" s="22" t="str">
        <x:v>L2025-00085-1</x:v>
      </x:c>
      <x:c r="K55" s="22" t="str">
        <x:v>V3_ORIGINAL_MANUAL</x:v>
      </x:c>
      <x:c r="L55" s="22" t="str">
        <x:v>MATCH</x:v>
      </x:c>
      <x:c r="M55" s="31" t="n">
        <x:v>5486</x:v>
      </x:c>
      <x:c r="N55" s="34" t="n">
        <x:v>13292831</x:v>
      </x:c>
      <x:c r="O55" s="22" t="str">
        <x:v>NOTICE_EXECUTION_CEILING</x:v>
      </x:c>
      <x:c r="P55" s="34" t="n">
        <x:f>IFERROR(N55/M55,"")</x:f>
        <x:v>2423.0461173897193</x:v>
      </x:c>
      <x:c r="Q55" s="22" t="str">
        <x:v>검증된 부분 Bill만</x:v>
      </x:c>
      <x:c r="R55" s="28" t="n">
        <x:v>0</x:v>
      </x:c>
      <x:c r="S55" s="28" t="n">
        <x:v>1</x:v>
      </x:c>
      <x:c r="T55" s="22" t="str"/>
      <x:c r="U55" s="22" t="str"/>
      <x:c r="V55" s="25" t="str">
        <x:v>project_no 안에 서로 다른 시설·Lot·설계·감리·공사 패키지가 있을 수 있어 1개 비용행으로 합산 금지</x:v>
      </x:c>
      <x:c r="W55" s="25" t="str">
        <x:v>건축 Bill No.01만 숨김 설계단가와 결합; 타 공종 제외</x:v>
      </x:c>
      <x:c r="X55" s="25" t="str">
        <x:v>L2025-00070-1;L2025-00071-1;L2025-00085-1</x:v>
      </x:c>
      <x:c r="Y55" s="25" t="str">
        <x:v>https://nebid.koica.go.kr/oep/lobi/localBidManageDetail.do?P_LOAZ_BID_PBLANC_NO=L2025-00085&amp;P_PBLANC_ODR=1</x:v>
      </x:c>
    </x:row>
    <x:row r="56">
      <x:c r="A56" s="22" t="str">
        <x:v>C</x:v>
      </x:c>
      <x:c r="B56" s="22" t="str">
        <x:v>이라크</x:v>
      </x:c>
      <x:c r="C56" s="22" t="str">
        <x:v>2014-00016</x:v>
      </x:c>
      <x:c r="D56" s="25" t="str">
        <x:v>한-이라크 직업훈련원 2차 지원사업 리노베이션 시공업체선정 현지입찰</x:v>
      </x:c>
      <x:c r="E56" s="28" t="n">
        <x:v>1</x:v>
      </x:c>
      <x:c r="F56" s="28" t="n">
        <x:v>1</x:v>
      </x:c>
      <x:c r="G56" s="28" t="n">
        <x:v>1</x:v>
      </x:c>
      <x:c r="H56" s="22" t="str">
        <x:v>L2024-00039-1</x:v>
      </x:c>
      <x:c r="I56" s="22" t="str"/>
      <x:c r="J56" s="22" t="str">
        <x:v>L2024-00039-1</x:v>
      </x:c>
      <x:c r="K56" s="22" t="str">
        <x:v>V3_CURATED_AREA_COST_RECHECK</x:v>
      </x:c>
      <x:c r="L56" s="22" t="str">
        <x:v>MATCH</x:v>
      </x:c>
      <x:c r="M56" s="31" t="n">
        <x:v>8217</x:v>
      </x:c>
      <x:c r="N56" s="34" t="n">
        <x:v>1811491</x:v>
      </x:c>
      <x:c r="O56" s="22" t="str">
        <x:v>NOTICE_EXECUTION_CEILING</x:v>
      </x:c>
      <x:c r="P56" s="34" t="n">
        <x:f>IFERROR(N56/M56,"")</x:f>
        <x:v>220.45649263721552</x:v>
      </x:c>
      <x:c r="Q56" s="22" t="str">
        <x:v>초기 스크리닝만</x:v>
      </x:c>
      <x:c r="R56" s="28" t="n">
        <x:v>0</x:v>
      </x:c>
      <x:c r="S56" s="28" t="n">
        <x:v>1</x:v>
      </x:c>
      <x:c r="T56" s="22" t="str"/>
      <x:c r="U56" s="22" t="str"/>
      <x:c r="V56" s="25" t="str"/>
      <x:c r="W56" s="25" t="str">
        <x:v>동일/제한 범위 공사금액÷면적 스크리닝 근거</x:v>
      </x:c>
      <x:c r="X56" s="25" t="str">
        <x:v>L2024-00039-1</x:v>
      </x:c>
      <x:c r="Y56" s="25" t="str">
        <x:v>https://nebid.koica.go.kr/oep/lobi/localBidManageDetail.do?P_LOAZ_BID_PBLANC_NO=L2024-00039&amp;P_PBLANC_ODR=1</x:v>
      </x:c>
    </x:row>
    <x:row r="57">
      <x:c r="A57" s="22" t="str">
        <x:v>C</x:v>
      </x:c>
      <x:c r="B57" s="22" t="str">
        <x:v>이라크</x:v>
      </x:c>
      <x:c r="C57" s="22" t="str">
        <x:v>2016-00005</x:v>
      </x:c>
      <x:c r="D57" s="25" t="str">
        <x:v>이라크 중환자 전문병원 신축공사 시공업체 선정 입찰</x:v>
      </x:c>
      <x:c r="E57" s="28" t="n">
        <x:v>1</x:v>
      </x:c>
      <x:c r="F57" s="28" t="n">
        <x:v>1</x:v>
      </x:c>
      <x:c r="G57" s="28" t="n">
        <x:v>1</x:v>
      </x:c>
      <x:c r="H57" s="22" t="str">
        <x:v>L2020-00023-1</x:v>
      </x:c>
      <x:c r="I57" s="22" t="str"/>
      <x:c r="J57" s="22" t="str">
        <x:v>L2020-00023-1</x:v>
      </x:c>
      <x:c r="K57" s="22" t="str">
        <x:v>V3_CURATED_AREA_COST_RECHECK</x:v>
      </x:c>
      <x:c r="L57" s="22" t="str">
        <x:v>MATCH</x:v>
      </x:c>
      <x:c r="M57" s="31" t="n">
        <x:v>6906</x:v>
      </x:c>
      <x:c r="N57" s="34" t="n">
        <x:v>16029000</x:v>
      </x:c>
      <x:c r="O57" s="22" t="str">
        <x:v>BASIC_ESTIMATED_PRICE</x:v>
      </x:c>
      <x:c r="P57" s="34" t="n">
        <x:f>IFERROR(N57/M57,"")</x:f>
        <x:v>2321.0251954821892</x:v>
      </x:c>
      <x:c r="Q57" s="22" t="str">
        <x:v>초기 스크리닝만</x:v>
      </x:c>
      <x:c r="R57" s="28" t="n">
        <x:v>0</x:v>
      </x:c>
      <x:c r="S57" s="28" t="n">
        <x:v>1</x:v>
      </x:c>
      <x:c r="T57" s="22" t="str"/>
      <x:c r="U57" s="22" t="str"/>
      <x:c r="V57" s="25" t="str"/>
      <x:c r="W57" s="25" t="str">
        <x:v>동일/제한 범위 공사금액÷면적 스크리닝 근거</x:v>
      </x:c>
      <x:c r="X57" s="25" t="str">
        <x:v>L2020-00023-1</x:v>
      </x:c>
      <x:c r="Y57" s="25" t="str">
        <x:v>https://nebid.koica.go.kr/oep/lobi/localBidManageDetail.do?P_LOAZ_BID_PBLANC_NO=L2020-00023&amp;P_PBLANC_ODR=1</x:v>
      </x:c>
    </x:row>
    <x:row r="58">
      <x:c r="A58" s="22" t="str">
        <x:v>X</x:v>
      </x:c>
      <x:c r="B58" s="22" t="str">
        <x:v>이라크</x:v>
      </x:c>
      <x:c r="C58" s="22" t="str">
        <x:v>2023-00087</x:v>
      </x:c>
      <x:c r="D58" s="25" t="str">
        <x:v>“이라크 쿠르드 지역학교 내 난민통합교육 강화사업” 선도학교 및 교사연수센터 신축을 위한 설계 및 시공감리 업체 선정</x:v>
      </x:c>
      <x:c r="E58" s="28" t="n">
        <x:v>2</x:v>
      </x:c>
      <x:c r="F58" s="28" t="n">
        <x:v>1</x:v>
      </x:c>
      <x:c r="G58" s="28" t="n">
        <x:v>0</x:v>
      </x:c>
      <x:c r="H58" s="22" t="str">
        <x:v>L2025-00045-2</x:v>
      </x:c>
      <x:c r="I58" s="22" t="str"/>
      <x:c r="J58" s="22" t="str"/>
      <x:c r="K58" s="22" t="str">
        <x:v>V3_SCOPE_REVIEW</x:v>
      </x:c>
      <x:c r="L58" s="22" t="str">
        <x:v>NO_MATCH</x:v>
      </x:c>
      <x:c r="M58" s="31" t="n">
        <x:v>6000</x:v>
      </x:c>
      <x:c r="N58" s="34"/>
      <x:c r="O58" s="22" t="str">
        <x:v>SERVICE_OR_GOODS_CEILING</x:v>
      </x:c>
      <x:c r="P58" s="34" t="n">
        <x:f>IFERROR(N58/M58,"")</x:f>
        <x:v>0</x:v>
      </x:c>
      <x:c r="Q58" s="22" t="str">
        <x:v>계산 금지</x:v>
      </x:c>
      <x:c r="R58" s="28" t="n">
        <x:v>0</x:v>
      </x:c>
      <x:c r="S58" s="28" t="n">
        <x:v>0</x:v>
      </x:c>
      <x:c r="T58" s="22" t="str">
        <x:v>B-부분(다른 패키지)</x:v>
      </x:c>
      <x:c r="U58" s="22" t="str">
        <x:v>L2025-00017-2</x:v>
      </x:c>
      <x:c r="V58" s="25" t="str">
        <x:v>project_no 안에 서로 다른 시설·Lot·설계·감리·공사 패키지가 있을 수 있어 1개 비용행으로 합산 금지</x:v>
      </x:c>
      <x:c r="W58" s="25" t="str">
        <x:v>설계·감리·기타 용역 집행한도는 건축공사비가 아님</x:v>
      </x:c>
      <x:c r="X58" s="25" t="str">
        <x:v>L2025-00045-1;L2025-00045-2</x:v>
      </x:c>
      <x:c r="Y58" s="25" t="str">
        <x:v>https://nebid.koica.go.kr/oep/lobi/localBidManageDetail.do?P_LOAZ_BID_PBLANC_NO=L2025-00045&amp;P_PBLANC_ODR=2</x:v>
      </x:c>
    </x:row>
    <x:row r="59">
      <x:c r="A59" s="22" t="str">
        <x:v>C</x:v>
      </x:c>
      <x:c r="B59" s="22" t="str">
        <x:v>인도네시아</x:v>
      </x:c>
      <x:c r="C59" s="22" t="str">
        <x:v>2016-20098</x:v>
      </x:c>
      <x:c r="D59" s="25" t="str">
        <x:v>인도네시아 경찰청 사이버범죄수사 교육센터 프로젝트 리모델링업체 선정 입찰</x:v>
      </x:c>
      <x:c r="E59" s="28" t="n">
        <x:v>2</x:v>
      </x:c>
      <x:c r="F59" s="28" t="n">
        <x:v>1</x:v>
      </x:c>
      <x:c r="G59" s="28" t="n">
        <x:v>1</x:v>
      </x:c>
      <x:c r="H59" s="22" t="str">
        <x:v>L2022-00007-2</x:v>
      </x:c>
      <x:c r="I59" s="22" t="str"/>
      <x:c r="J59" s="22" t="str">
        <x:v>L2022-00007-2</x:v>
      </x:c>
      <x:c r="K59" s="22" t="str">
        <x:v>V3_CURATED_AREA_COST_RECHECK</x:v>
      </x:c>
      <x:c r="L59" s="22" t="str">
        <x:v>MATCH</x:v>
      </x:c>
      <x:c r="M59" s="31" t="n">
        <x:v>1458</x:v>
      </x:c>
      <x:c r="N59" s="34" t="n">
        <x:v>275400</x:v>
      </x:c>
      <x:c r="O59" s="22" t="str">
        <x:v>NOTICE_EXECUTION_CEILING</x:v>
      </x:c>
      <x:c r="P59" s="34" t="n">
        <x:f>IFERROR(N59/M59,"")</x:f>
        <x:v>188.88888888888889</x:v>
      </x:c>
      <x:c r="Q59" s="22" t="str">
        <x:v>초기 스크리닝만</x:v>
      </x:c>
      <x:c r="R59" s="28" t="n">
        <x:v>0</x:v>
      </x:c>
      <x:c r="S59" s="28" t="n">
        <x:v>1</x:v>
      </x:c>
      <x:c r="T59" s="22" t="str"/>
      <x:c r="U59" s="22" t="str"/>
      <x:c r="V59" s="25" t="str">
        <x:v>project_no 안에 서로 다른 시설·Lot·설계·감리·공사 패키지가 있을 수 있어 1개 비용행으로 합산 금지</x:v>
      </x:c>
      <x:c r="W59" s="25" t="str">
        <x:v>동일/제한 범위 공사금액÷면적 스크리닝 근거</x:v>
      </x:c>
      <x:c r="X59" s="25" t="str">
        <x:v>L2022-00007-1;L2022-00007-2</x:v>
      </x:c>
      <x:c r="Y59" s="25" t="str">
        <x:v>https://nebid.koica.go.kr/oep/lobi/localBidManageDetail.do?P_LOAZ_BID_PBLANC_NO=L2022-00007&amp;P_PBLANC_ODR=2</x:v>
      </x:c>
    </x:row>
    <x:row r="60">
      <x:c r="A60" s="22" t="str">
        <x:v>C</x:v>
      </x:c>
      <x:c r="B60" s="22" t="str">
        <x:v>인도네시아</x:v>
      </x:c>
      <x:c r="C60" s="22" t="str">
        <x:v>2020-00087</x:v>
      </x:c>
      <x:c r="D60" s="25" t="str">
        <x:v>인도네시아 취약계층 청소년 사회복귀 지원사업 리모델링 시공업체 선정</x:v>
      </x:c>
      <x:c r="E60" s="28" t="n">
        <x:v>1</x:v>
      </x:c>
      <x:c r="F60" s="28" t="n">
        <x:v>1</x:v>
      </x:c>
      <x:c r="G60" s="28" t="n">
        <x:v>1</x:v>
      </x:c>
      <x:c r="H60" s="22" t="str">
        <x:v>L2023-00018-1</x:v>
      </x:c>
      <x:c r="I60" s="22" t="str"/>
      <x:c r="J60" s="22" t="str">
        <x:v>L2023-00018-1</x:v>
      </x:c>
      <x:c r="K60" s="22" t="str">
        <x:v>V3_CURATED_AREA_COST_RECHECK</x:v>
      </x:c>
      <x:c r="L60" s="22" t="str">
        <x:v>MATCH</x:v>
      </x:c>
      <x:c r="M60" s="31" t="n">
        <x:v>6149</x:v>
      </x:c>
      <x:c r="N60" s="34" t="n">
        <x:v>2355000</x:v>
      </x:c>
      <x:c r="O60" s="22" t="str">
        <x:v>NOTICE_EXECUTION_CEILING</x:v>
      </x:c>
      <x:c r="P60" s="34" t="n">
        <x:f>IFERROR(N60/M60,"")</x:f>
        <x:v>382.98910391933646</x:v>
      </x:c>
      <x:c r="Q60" s="22" t="str">
        <x:v>초기 스크리닝만</x:v>
      </x:c>
      <x:c r="R60" s="28" t="n">
        <x:v>0</x:v>
      </x:c>
      <x:c r="S60" s="28" t="n">
        <x:v>1</x:v>
      </x:c>
      <x:c r="T60" s="22" t="str"/>
      <x:c r="U60" s="22" t="str"/>
      <x:c r="V60" s="25" t="str"/>
      <x:c r="W60" s="25" t="str">
        <x:v>동일/제한 범위 공사금액÷면적 스크리닝 근거</x:v>
      </x:c>
      <x:c r="X60" s="25" t="str">
        <x:v>L2023-00018-1</x:v>
      </x:c>
      <x:c r="Y60" s="25" t="str">
        <x:v>https://nebid.koica.go.kr/oep/lobi/localBidManageDetail.do?P_LOAZ_BID_PBLANC_NO=L2023-00018&amp;P_PBLANC_ODR=1</x:v>
      </x:c>
    </x:row>
    <x:row r="61">
      <x:c r="A61" s="22" t="str">
        <x:v>C</x:v>
      </x:c>
      <x:c r="B61" s="22" t="str">
        <x:v>인도네시아</x:v>
      </x:c>
      <x:c r="C61" s="22" t="str">
        <x:v>2022-00079</x:v>
      </x:c>
      <x:c r="D61" s="25" t="str">
        <x:v>인도네시아 사이버보안 훈련센터 신축공사 시공사 선정</x:v>
      </x:c>
      <x:c r="E61" s="28" t="n">
        <x:v>1</x:v>
      </x:c>
      <x:c r="F61" s="28" t="n">
        <x:v>1</x:v>
      </x:c>
      <x:c r="G61" s="28" t="n">
        <x:v>1</x:v>
      </x:c>
      <x:c r="H61" s="22" t="str">
        <x:v>L2025-00002-1</x:v>
      </x:c>
      <x:c r="I61" s="22" t="str"/>
      <x:c r="J61" s="22" t="str">
        <x:v>L2025-00002-1</x:v>
      </x:c>
      <x:c r="K61" s="22" t="str">
        <x:v>V3_CURATED_AREA_COST_RECHECK</x:v>
      </x:c>
      <x:c r="L61" s="22" t="str">
        <x:v>MATCH</x:v>
      </x:c>
      <x:c r="M61" s="31" t="n">
        <x:v>2457.53</x:v>
      </x:c>
      <x:c r="N61" s="34" t="n">
        <x:v>2361000</x:v>
      </x:c>
      <x:c r="O61" s="22" t="str">
        <x:v>NOTICE_EXECUTION_CEILING</x:v>
      </x:c>
      <x:c r="P61" s="34" t="n">
        <x:f>IFERROR(N61/M61,"")</x:f>
        <x:v>960.7207236534243</x:v>
      </x:c>
      <x:c r="Q61" s="22" t="str">
        <x:v>초기 스크리닝만</x:v>
      </x:c>
      <x:c r="R61" s="28" t="n">
        <x:v>0</x:v>
      </x:c>
      <x:c r="S61" s="28" t="n">
        <x:v>1</x:v>
      </x:c>
      <x:c r="T61" s="22" t="str"/>
      <x:c r="U61" s="22" t="str"/>
      <x:c r="V61" s="25" t="str"/>
      <x:c r="W61" s="25" t="str">
        <x:v>동일/제한 범위 공사금액÷면적 스크리닝 근거</x:v>
      </x:c>
      <x:c r="X61" s="25" t="str">
        <x:v>L2025-00002-1</x:v>
      </x:c>
      <x:c r="Y61" s="25" t="str">
        <x:v>https://nebid.koica.go.kr/oep/lobi/localBidManageDetail.do?P_LOAZ_BID_PBLANC_NO=L2025-00002&amp;P_PBLANC_ODR=1</x:v>
      </x:c>
    </x:row>
    <x:row r="62">
      <x:c r="A62" s="22" t="str">
        <x:v>B</x:v>
      </x:c>
      <x:c r="B62" s="22" t="str">
        <x:v>캄보디아</x:v>
      </x:c>
      <x:c r="C62" s="22" t="str">
        <x:v>2022-00027</x:v>
      </x:c>
      <x:c r="D62" s="25" t="str">
        <x:v>캄보디아 국립어린이병원 내과계 병동건립 및 의료인력역량 강화사업 내과계 병동 신축공사 시공사 선정 입찰</x:v>
      </x:c>
      <x:c r="E62" s="28" t="n">
        <x:v>1</x:v>
      </x:c>
      <x:c r="F62" s="28" t="n">
        <x:v>1</x:v>
      </x:c>
      <x:c r="G62" s="28" t="n">
        <x:v>1</x:v>
      </x:c>
      <x:c r="H62" s="22" t="str">
        <x:v>L2025-00073-1</x:v>
      </x:c>
      <x:c r="I62" s="22" t="str">
        <x:v>L2025-00073-1</x:v>
      </x:c>
      <x:c r="J62" s="22" t="str">
        <x:v>L2025-00073-1</x:v>
      </x:c>
      <x:c r="K62" s="22" t="str">
        <x:v>V3_ORIGINAL_MANUAL</x:v>
      </x:c>
      <x:c r="L62" s="22" t="str">
        <x:v>MATCH</x:v>
      </x:c>
      <x:c r="M62" s="31" t="n">
        <x:v>9053</x:v>
      </x:c>
      <x:c r="N62" s="34" t="n">
        <x:v>11277000</x:v>
      </x:c>
      <x:c r="O62" s="22" t="str">
        <x:v>NOTICE_EXECUTION_CEILING</x:v>
      </x:c>
      <x:c r="P62" s="34" t="n">
        <x:f>IFERROR(N62/M62,"")</x:f>
        <x:v>1245.664420634044</x:v>
      </x:c>
      <x:c r="Q62" s="22" t="str">
        <x:v>현지단가 결합 수량모델</x:v>
      </x:c>
      <x:c r="R62" s="28" t="n">
        <x:v>0</x:v>
      </x:c>
      <x:c r="S62" s="28" t="n">
        <x:v>1</x:v>
      </x:c>
      <x:c r="T62" s="22" t="str"/>
      <x:c r="U62" s="22" t="str"/>
      <x:c r="V62" s="25" t="str"/>
      <x:c r="W62" s="25" t="str">
        <x:v>국립소아병원 공종별 blank BOQ</x:v>
      </x:c>
      <x:c r="X62" s="25" t="str">
        <x:v>L2025-00073-1</x:v>
      </x:c>
      <x:c r="Y62" s="25" t="str">
        <x:v>https://nebid.koica.go.kr/oep/lobi/localBidManageDetail.do?P_LOAZ_BID_PBLANC_NO=L2025-00073&amp;P_PBLANC_ODR=1</x:v>
      </x:c>
    </x:row>
    <x:row r="63">
      <x:c r="A63" s="22" t="str">
        <x:v>C</x:v>
      </x:c>
      <x:c r="B63" s="22" t="str">
        <x:v>캄보디아</x:v>
      </x:c>
      <x:c r="C63" s="22" t="str">
        <x:v>2011-00008</x:v>
      </x:c>
      <x:c r="D63" s="25" t="str">
        <x:v>캄보디아 앙두엉 안과전문병원 설립사업 리모델링 공사</x:v>
      </x:c>
      <x:c r="E63" s="28" t="n">
        <x:v>1</x:v>
      </x:c>
      <x:c r="F63" s="28" t="n">
        <x:v>1</x:v>
      </x:c>
      <x:c r="G63" s="28" t="n">
        <x:v>1</x:v>
      </x:c>
      <x:c r="H63" s="22" t="str">
        <x:v>L2023-00068-1</x:v>
      </x:c>
      <x:c r="I63" s="22" t="str"/>
      <x:c r="J63" s="22" t="str">
        <x:v>L2023-00068-1</x:v>
      </x:c>
      <x:c r="K63" s="22" t="str">
        <x:v>V3_CURATED_AREA_COST_RECHECK</x:v>
      </x:c>
      <x:c r="L63" s="22" t="str">
        <x:v>MATCH</x:v>
      </x:c>
      <x:c r="M63" s="31" t="n">
        <x:v>3500</x:v>
      </x:c>
      <x:c r="N63" s="34" t="n">
        <x:v>239882</x:v>
      </x:c>
      <x:c r="O63" s="22" t="str">
        <x:v>NOTICE_EXECUTION_CEILING</x:v>
      </x:c>
      <x:c r="P63" s="34" t="n">
        <x:f>IFERROR(N63/M63,"")</x:f>
        <x:v>68.53771428571429</x:v>
      </x:c>
      <x:c r="Q63" s="22" t="str">
        <x:v>초기 스크리닝만</x:v>
      </x:c>
      <x:c r="R63" s="28" t="n">
        <x:v>0</x:v>
      </x:c>
      <x:c r="S63" s="28" t="n">
        <x:v>1</x:v>
      </x:c>
      <x:c r="T63" s="22" t="str"/>
      <x:c r="U63" s="22" t="str"/>
      <x:c r="V63" s="25" t="str"/>
      <x:c r="W63" s="25" t="str">
        <x:v>동일/제한 범위 공사금액÷면적 스크리닝 근거</x:v>
      </x:c>
      <x:c r="X63" s="25" t="str">
        <x:v>L2023-00068-1</x:v>
      </x:c>
      <x:c r="Y63" s="25" t="str">
        <x:v>https://nebid.koica.go.kr/oep/lobi/localBidManageDetail.do?P_LOAZ_BID_PBLANC_NO=L2023-00068&amp;P_PBLANC_ODR=1</x:v>
      </x:c>
    </x:row>
    <x:row r="64">
      <x:c r="A64" s="22" t="str">
        <x:v>C</x:v>
      </x:c>
      <x:c r="B64" s="22" t="str">
        <x:v>캄보디아</x:v>
      </x:c>
      <x:c r="C64" s="22" t="str">
        <x:v>2017-07192</x:v>
      </x:c>
      <x:c r="D64" s="25" t="str">
        <x:v>캄보디아 앙두엉 이비인후과(ENT)병원 역량강화사업 시공업체 선정 입찰</x:v>
      </x:c>
      <x:c r="E64" s="28" t="n">
        <x:v>2</x:v>
      </x:c>
      <x:c r="F64" s="28" t="n">
        <x:v>1</x:v>
      </x:c>
      <x:c r="G64" s="28" t="n">
        <x:v>2</x:v>
      </x:c>
      <x:c r="H64" s="22" t="str">
        <x:v>L2020-00001-2</x:v>
      </x:c>
      <x:c r="I64" s="22" t="str"/>
      <x:c r="J64" s="22" t="str">
        <x:v>L2020-00001-2</x:v>
      </x:c>
      <x:c r="K64" s="22" t="str">
        <x:v>V3_CURATED_AREA_COST_RECHECK</x:v>
      </x:c>
      <x:c r="L64" s="22" t="str">
        <x:v>MATCH</x:v>
      </x:c>
      <x:c r="M64" s="31" t="n">
        <x:v>4177.94</x:v>
      </x:c>
      <x:c r="N64" s="34" t="n">
        <x:v>4080000</x:v>
      </x:c>
      <x:c r="O64" s="22" t="str">
        <x:v>NOTICE_EXECUTION_CEILING</x:v>
      </x:c>
      <x:c r="P64" s="34" t="n">
        <x:f>IFERROR(N64/M64,"")</x:f>
        <x:v>976.5578251482789</x:v>
      </x:c>
      <x:c r="Q64" s="22" t="str">
        <x:v>초기 스크리닝만</x:v>
      </x:c>
      <x:c r="R64" s="28" t="n">
        <x:v>0</x:v>
      </x:c>
      <x:c r="S64" s="28" t="n">
        <x:v>1</x:v>
      </x:c>
      <x:c r="T64" s="22" t="str"/>
      <x:c r="U64" s="22" t="str"/>
      <x:c r="V64" s="25" t="str">
        <x:v>project_no 안에 서로 다른 시설·Lot·설계·감리·공사 패키지가 있을 수 있어 1개 비용행으로 합산 금지</x:v>
      </x:c>
      <x:c r="W64" s="25" t="str">
        <x:v>동일/제한 범위 공사금액÷면적 스크리닝 근거</x:v>
      </x:c>
      <x:c r="X64" s="25" t="str">
        <x:v>L2020-00001-1;L2020-00001-2</x:v>
      </x:c>
      <x:c r="Y64" s="25" t="str">
        <x:v>https://nebid.koica.go.kr/oep/lobi/localBidManageDetail.do?P_LOAZ_BID_PBLANC_NO=L2020-00001&amp;P_PBLANC_ODR=2</x:v>
      </x:c>
    </x:row>
    <x:row r="65">
      <x:c r="A65" s="22" t="str">
        <x:v>C</x:v>
      </x:c>
      <x:c r="B65" s="22" t="str">
        <x:v>캄보디아</x:v>
      </x:c>
      <x:c r="C65" s="22" t="str">
        <x:v>2019-00064</x:v>
      </x:c>
      <x:c r="D65" s="25" t="str">
        <x:v>캄보디아 산학연계 비즈니스 인큐베이팅 체계 구축사업 시공업체 선정</x:v>
      </x:c>
      <x:c r="E65" s="28" t="n">
        <x:v>1</x:v>
      </x:c>
      <x:c r="F65" s="28" t="n">
        <x:v>1</x:v>
      </x:c>
      <x:c r="G65" s="28" t="n">
        <x:v>1</x:v>
      </x:c>
      <x:c r="H65" s="22" t="str">
        <x:v>L2021-00015-1</x:v>
      </x:c>
      <x:c r="I65" s="22" t="str"/>
      <x:c r="J65" s="22" t="str">
        <x:v>L2021-00015-1</x:v>
      </x:c>
      <x:c r="K65" s="22" t="str">
        <x:v>V3_CURATED_AREA_COST_RECHECK</x:v>
      </x:c>
      <x:c r="L65" s="22" t="str">
        <x:v>MATCH</x:v>
      </x:c>
      <x:c r="M65" s="31" t="n">
        <x:v>2299.26</x:v>
      </x:c>
      <x:c r="N65" s="34" t="n">
        <x:v>2746477</x:v>
      </x:c>
      <x:c r="O65" s="22" t="str">
        <x:v>NOTICE_EXECUTION_CEILING</x:v>
      </x:c>
      <x:c r="P65" s="34" t="n">
        <x:f>IFERROR(N65/M65,"")</x:f>
        <x:v>1194.5047537033654</x:v>
      </x:c>
      <x:c r="Q65" s="22" t="str">
        <x:v>초기 스크리닝만</x:v>
      </x:c>
      <x:c r="R65" s="28" t="n">
        <x:v>0</x:v>
      </x:c>
      <x:c r="S65" s="28" t="n">
        <x:v>1</x:v>
      </x:c>
      <x:c r="T65" s="22" t="str"/>
      <x:c r="U65" s="22" t="str"/>
      <x:c r="V65" s="25" t="str"/>
      <x:c r="W65" s="25" t="str">
        <x:v>동일/제한 범위 공사금액÷면적 스크리닝 근거</x:v>
      </x:c>
      <x:c r="X65" s="25" t="str">
        <x:v>L2021-00015-1</x:v>
      </x:c>
      <x:c r="Y65" s="25" t="str">
        <x:v>https://nebid.koica.go.kr/oep/lobi/localBidManageDetail.do?P_LOAZ_BID_PBLANC_NO=L2021-00015&amp;P_PBLANC_ODR=1</x:v>
      </x:c>
    </x:row>
    <x:row r="66">
      <x:c r="A66" s="22" t="str">
        <x:v>C</x:v>
      </x:c>
      <x:c r="B66" s="22" t="str">
        <x:v>캄보디아</x:v>
      </x:c>
      <x:c r="C66" s="22" t="str">
        <x:v>2019-00066</x:v>
      </x:c>
      <x:c r="D66" s="25" t="str">
        <x:v>캄보디아 동북부 소외지역 모자보건 프로그램 시공업체 선정 현지입찰(3차 신규)</x:v>
      </x:c>
      <x:c r="E66" s="28" t="n">
        <x:v>4</x:v>
      </x:c>
      <x:c r="F66" s="28" t="n">
        <x:v>3</x:v>
      </x:c>
      <x:c r="G66" s="28" t="n">
        <x:v>4</x:v>
      </x:c>
      <x:c r="H66" s="22" t="str">
        <x:v>L2021-00016-1</x:v>
      </x:c>
      <x:c r="I66" s="22" t="str"/>
      <x:c r="J66" s="22" t="str">
        <x:v>L2021-00016-1</x:v>
      </x:c>
      <x:c r="K66" s="22" t="str">
        <x:v>V3_CURATED_AREA_COST_RECHECK</x:v>
      </x:c>
      <x:c r="L66" s="22" t="str">
        <x:v>MATCH</x:v>
      </x:c>
      <x:c r="M66" s="31" t="n">
        <x:v>1325.32</x:v>
      </x:c>
      <x:c r="N66" s="34" t="n">
        <x:v>1022588</x:v>
      </x:c>
      <x:c r="O66" s="22" t="str">
        <x:v>ADVERTISED_ESTIMATED_BUDGET</x:v>
      </x:c>
      <x:c r="P66" s="34" t="n">
        <x:f>IFERROR(N66/M66,"")</x:f>
        <x:v>771.5781848911961</x:v>
      </x:c>
      <x:c r="Q66" s="22" t="str">
        <x:v>초기 스크리닝만</x:v>
      </x:c>
      <x:c r="R66" s="28" t="n">
        <x:v>0</x:v>
      </x:c>
      <x:c r="S66" s="28" t="n">
        <x:v>1</x:v>
      </x:c>
      <x:c r="T66" s="22" t="str"/>
      <x:c r="U66" s="22" t="str"/>
      <x:c r="V66" s="25" t="str">
        <x:v>project_no 안에 서로 다른 시설·Lot·설계·감리·공사 패키지가 있을 수 있어 1개 비용행으로 합산 금지</x:v>
      </x:c>
      <x:c r="W66" s="25" t="str">
        <x:v>동일/제한 범위 공사금액÷면적 스크리닝 근거</x:v>
      </x:c>
      <x:c r="X66" s="25" t="str">
        <x:v>L2021-00016-1;L2021-00016-2;L2021-00025-1;L2021-00037-1</x:v>
      </x:c>
      <x:c r="Y66" s="25" t="str">
        <x:v>https://nebid.koica.go.kr/oep/lobi/localBidManageDetail.do?P_LOAZ_BID_PBLANC_NO=L2021-00016&amp;P_PBLANC_ODR=1</x:v>
      </x:c>
    </x:row>
    <x:row r="67">
      <x:c r="A67" s="22" t="str">
        <x:v>C</x:v>
      </x:c>
      <x:c r="B67" s="22" t="str">
        <x:v>캄보디아</x:v>
      </x:c>
      <x:c r="C67" s="22" t="str">
        <x:v>2024-00015</x:v>
      </x:c>
      <x:c r="D67" s="25" t="str">
        <x:v>캄보디아 당까오 후송병원 공공의료서비스 개선사업 병원신축 설계감리용역</x:v>
      </x:c>
      <x:c r="E67" s="28" t="n">
        <x:v>1</x:v>
      </x:c>
      <x:c r="F67" s="28" t="n">
        <x:v>1</x:v>
      </x:c>
      <x:c r="G67" s="28" t="n">
        <x:v>1</x:v>
      </x:c>
      <x:c r="H67" s="22" t="str">
        <x:v>L2025-00036-1</x:v>
      </x:c>
      <x:c r="I67" s="22" t="str"/>
      <x:c r="J67" s="22" t="str">
        <x:v>L2025-00036-1</x:v>
      </x:c>
      <x:c r="K67" s="22" t="str">
        <x:v>V3_CURATED_AREA_COST_RECHECK</x:v>
      </x:c>
      <x:c r="L67" s="22" t="str">
        <x:v>MATCH_ATTACHMENT_CONSTRUCTION_BUDGET</x:v>
      </x:c>
      <x:c r="M67" s="31" t="n">
        <x:v>3700</x:v>
      </x:c>
      <x:c r="N67" s="34" t="n">
        <x:v>6600000</x:v>
      </x:c>
      <x:c r="O67" s="22" t="str">
        <x:v>DESIGN_ESTIMATE</x:v>
      </x:c>
      <x:c r="P67" s="34" t="n">
        <x:f>IFERROR(N67/M67,"")</x:f>
        <x:v>1783.7837837837837</x:v>
      </x:c>
      <x:c r="Q67" s="22" t="str">
        <x:v>초기 스크리닝만</x:v>
      </x:c>
      <x:c r="R67" s="28" t="n">
        <x:v>0</x:v>
      </x:c>
      <x:c r="S67" s="28" t="n">
        <x:v>1</x:v>
      </x:c>
      <x:c r="T67" s="22" t="str"/>
      <x:c r="U67" s="22" t="str"/>
      <x:c r="V67" s="25" t="str"/>
      <x:c r="W67" s="25" t="str">
        <x:v>동일/제한 범위 공사금액÷면적 스크리닝 근거</x:v>
      </x:c>
      <x:c r="X67" s="25" t="str">
        <x:v>L2025-00036-1</x:v>
      </x:c>
      <x:c r="Y67" s="25" t="str">
        <x:v>https://nebid.koica.go.kr/oep/lobi/localBidManageDetail.do?P_LOAZ_BID_PBLANC_NO=L2025-00036&amp;P_PBLANC_ODR=1</x:v>
      </x:c>
    </x:row>
    <x:row r="68">
      <x:c r="A68" s="22" t="str">
        <x:v>U</x:v>
      </x:c>
      <x:c r="B68" s="22" t="str">
        <x:v>캄보디아</x:v>
      </x:c>
      <x:c r="C68" s="22" t="str">
        <x:v>2023-00008</x:v>
      </x:c>
      <x:c r="D68" s="25" t="str">
        <x:v>캄보디아 직원훈련기관(TVET기관) ICT Lab 리모델링 설계·시공</x:v>
      </x:c>
      <x:c r="E68" s="28" t="n">
        <x:v>1</x:v>
      </x:c>
      <x:c r="F68" s="28" t="n">
        <x:v>1</x:v>
      </x:c>
      <x:c r="G68" s="28" t="n">
        <x:v>0</x:v>
      </x:c>
      <x:c r="H68" s="22" t="str">
        <x:v>L2025-00056-1</x:v>
      </x:c>
      <x:c r="I68" s="22" t="str"/>
      <x:c r="J68" s="22" t="str">
        <x:v>L2025-00056-1</x:v>
      </x:c>
      <x:c r="K68" s="22" t="str">
        <x:v>V3_SCOPE_REVIEW</x:v>
      </x:c>
      <x:c r="L68" s="22" t="str">
        <x:v>NO_MATCH</x:v>
      </x:c>
      <x:c r="M68" s="31"/>
      <x:c r="N68" s="34" t="n">
        <x:v>1343000</x:v>
      </x:c>
      <x:c r="O68" s="22" t="str">
        <x:v>NOTICE_EXECUTION_CEILING</x:v>
      </x:c>
      <x:c r="P68" s="34" t="str">
        <x:f>IFERROR(N68/M68,"")</x:f>
      </x:c>
      <x:c r="Q68" s="22" t="str">
        <x:v>계산 금지</x:v>
      </x:c>
      <x:c r="R68" s="28" t="n">
        <x:v>0</x:v>
      </x:c>
      <x:c r="S68" s="28" t="n">
        <x:v>0</x:v>
      </x:c>
      <x:c r="T68" s="22" t="str"/>
      <x:c r="U68" s="22" t="str"/>
      <x:c r="V68" s="25" t="str"/>
      <x:c r="W68" s="25" t="str">
        <x:v>공사 후보이나 유효 GFA 또는 같은 범위 금액이 없음</x:v>
      </x:c>
      <x:c r="X68" s="25" t="str">
        <x:v>L2025-00056-1</x:v>
      </x:c>
      <x:c r="Y68" s="25" t="str">
        <x:v>https://nebid.koica.go.kr/oep/lobi/localBidManageDetail.do?P_LOAZ_BID_PBLANC_NO=L2025-00056&amp;P_PBLANC_ODR=1</x:v>
      </x:c>
    </x:row>
    <x:row r="69">
      <x:c r="A69" s="22" t="str">
        <x:v>C</x:v>
      </x:c>
      <x:c r="B69" s="22" t="str">
        <x:v>케냐</x:v>
      </x:c>
      <x:c r="C69" s="22" t="str">
        <x:v>2021-00126</x:v>
      </x:c>
      <x:c r="D69" s="25" t="str">
        <x:v>케냐 카지아도주 보건시스템 강화를 위한 모성 및 신생아 보건 개선사업 설계 및 감리용역</x:v>
      </x:c>
      <x:c r="E69" s="28" t="n">
        <x:v>2</x:v>
      </x:c>
      <x:c r="F69" s="28" t="n">
        <x:v>2</x:v>
      </x:c>
      <x:c r="G69" s="28" t="n">
        <x:v>1</x:v>
      </x:c>
      <x:c r="H69" s="22" t="str">
        <x:v>L2025-00008-1</x:v>
      </x:c>
      <x:c r="I69" s="22" t="str"/>
      <x:c r="J69" s="22" t="str">
        <x:v>L2025-00008-1</x:v>
      </x:c>
      <x:c r="K69" s="22" t="str">
        <x:v>V3_CURATED_AREA_COST_RECHECK</x:v>
      </x:c>
      <x:c r="L69" s="22" t="str">
        <x:v>MATCH</x:v>
      </x:c>
      <x:c r="M69" s="31" t="n">
        <x:v>404.94</x:v>
      </x:c>
      <x:c r="N69" s="34" t="n">
        <x:v>555810</x:v>
      </x:c>
      <x:c r="O69" s="22" t="str">
        <x:v>NOTICE_EXECUTION_CEILING</x:v>
      </x:c>
      <x:c r="P69" s="34" t="n">
        <x:f>IFERROR(N69/M69,"")</x:f>
        <x:v>1372.573714624389</x:v>
      </x:c>
      <x:c r="Q69" s="22" t="str">
        <x:v>초기 스크리닝만</x:v>
      </x:c>
      <x:c r="R69" s="28" t="n">
        <x:v>0</x:v>
      </x:c>
      <x:c r="S69" s="28" t="n">
        <x:v>1</x:v>
      </x:c>
      <x:c r="T69" s="22" t="str"/>
      <x:c r="U69" s="22" t="str"/>
      <x:c r="V69" s="25" t="str">
        <x:v>project_no 안에 서로 다른 시설·Lot·설계·감리·공사 패키지가 있을 수 있어 1개 비용행으로 합산 금지</x:v>
      </x:c>
      <x:c r="W69" s="25" t="str">
        <x:v>동일/제한 범위 공사금액÷면적 스크리닝 근거</x:v>
      </x:c>
      <x:c r="X69" s="25" t="str">
        <x:v>L2024-00035-1;L2025-00008-1</x:v>
      </x:c>
      <x:c r="Y69" s="25" t="str">
        <x:v>https://nebid.koica.go.kr/oep/lobi/localBidManageDetail.do?P_LOAZ_BID_PBLANC_NO=L2025-00008&amp;P_PBLANC_ODR=1</x:v>
      </x:c>
    </x:row>
    <x:row r="70">
      <x:c r="A70" s="22" t="str">
        <x:v>C</x:v>
      </x:c>
      <x:c r="B70" s="22" t="str">
        <x:v>코트디부아르</x:v>
      </x:c>
      <x:c r="C70" s="22" t="str">
        <x:v>2023-00067</x:v>
      </x:c>
      <x:c r="D70" s="25" t="str">
        <x:v>코트디부아르 펠릭스 우푸에 부아니대학교 ICT 교육역량 강화 및 ICT 혁신센터 설립사업 PETROCI 건물 리모델링 공사</x:v>
      </x:c>
      <x:c r="E70" s="28" t="n">
        <x:v>4</x:v>
      </x:c>
      <x:c r="F70" s="28" t="n">
        <x:v>3</x:v>
      </x:c>
      <x:c r="G70" s="28" t="n">
        <x:v>1</x:v>
      </x:c>
      <x:c r="H70" s="22" t="str">
        <x:v>L2025-00052-1</x:v>
      </x:c>
      <x:c r="I70" s="22" t="str"/>
      <x:c r="J70" s="22" t="str">
        <x:v>L2025-00052-1</x:v>
      </x:c>
      <x:c r="K70" s="22" t="str">
        <x:v>V3_CURATED_AREA_COST_RECHECK</x:v>
      </x:c>
      <x:c r="L70" s="22" t="str">
        <x:v>MATCH</x:v>
      </x:c>
      <x:c r="M70" s="31" t="n">
        <x:v>1500</x:v>
      </x:c>
      <x:c r="N70" s="34" t="n">
        <x:v>1963286</x:v>
      </x:c>
      <x:c r="O70" s="22" t="str">
        <x:v>NOTICE_EXECUTION_CEILING</x:v>
      </x:c>
      <x:c r="P70" s="34" t="n">
        <x:f>IFERROR(N70/M70,"")</x:f>
        <x:v>1308.8573333333334</x:v>
      </x:c>
      <x:c r="Q70" s="22" t="str">
        <x:v>초기 스크리닝만</x:v>
      </x:c>
      <x:c r="R70" s="28" t="n">
        <x:v>0</x:v>
      </x:c>
      <x:c r="S70" s="28" t="n">
        <x:v>1</x:v>
      </x:c>
      <x:c r="T70" s="22" t="str"/>
      <x:c r="U70" s="22" t="str"/>
      <x:c r="V70" s="25" t="str">
        <x:v>project_no 안에 서로 다른 시설·Lot·설계·감리·공사 패키지가 있을 수 있어 1개 비용행으로 합산 금지</x:v>
      </x:c>
      <x:c r="W70" s="25" t="str">
        <x:v>동일/제한 범위 공사금액÷면적 스크리닝 근거</x:v>
      </x:c>
      <x:c r="X70" s="25" t="str">
        <x:v>L2024-00048-1;L2024-00056-1;L2024-00056-2;L2025-00052-1</x:v>
      </x:c>
      <x:c r="Y70" s="25" t="str">
        <x:v>https://nebid.koica.go.kr/oep/lobi/localBidManageDetail.do?P_LOAZ_BID_PBLANC_NO=L2025-00052&amp;P_PBLANC_ODR=1</x:v>
      </x:c>
    </x:row>
    <x:row r="71">
      <x:c r="A71" s="22" t="str">
        <x:v>U</x:v>
      </x:c>
      <x:c r="B71" s="22" t="str">
        <x:v>코트디부아르</x:v>
      </x:c>
      <x:c r="C71" s="22" t="str">
        <x:v>2021-00104</x:v>
      </x:c>
      <x:c r="D71" s="25" t="str">
        <x:v>[긴급] 코트디부아르 국립직업기술교육원 교사 ICT기반 교수역량강화사업 리모델링 공사</x:v>
      </x:c>
      <x:c r="E71" s="28" t="n">
        <x:v>2</x:v>
      </x:c>
      <x:c r="F71" s="28" t="n">
        <x:v>1</x:v>
      </x:c>
      <x:c r="G71" s="28" t="n">
        <x:v>0</x:v>
      </x:c>
      <x:c r="H71" s="22" t="str">
        <x:v>L2024-00068-2</x:v>
      </x:c>
      <x:c r="I71" s="22" t="str"/>
      <x:c r="J71" s="22" t="str">
        <x:v>L2024-00068-2</x:v>
      </x:c>
      <x:c r="K71" s="22" t="str">
        <x:v>V3_SCOPE_REVIEW</x:v>
      </x:c>
      <x:c r="L71" s="22" t="str">
        <x:v>PARTIAL_SCOPE</x:v>
      </x:c>
      <x:c r="M71" s="31"/>
      <x:c r="N71" s="34" t="n">
        <x:v>440000</x:v>
      </x:c>
      <x:c r="O71" s="22" t="str">
        <x:v>NOTICE_EXECUTION_CEILING</x:v>
      </x:c>
      <x:c r="P71" s="34" t="str">
        <x:f>IFERROR(N71/M71,"")</x:f>
      </x:c>
      <x:c r="Q71" s="22" t="str">
        <x:v>계산 금지</x:v>
      </x:c>
      <x:c r="R71" s="28" t="n">
        <x:v>0</x:v>
      </x:c>
      <x:c r="S71" s="28" t="n">
        <x:v>0</x:v>
      </x:c>
      <x:c r="T71" s="22" t="str"/>
      <x:c r="U71" s="22" t="str"/>
      <x:c r="V71" s="25" t="str">
        <x:v>project_no 안에 서로 다른 시설·Lot·설계·감리·공사 패키지가 있을 수 있어 1개 비용행으로 합산 금지</x:v>
      </x:c>
      <x:c r="W71" s="25" t="str">
        <x:v>면적과 금액 범위가 부분·혼합되어 계산 금지</x:v>
      </x:c>
      <x:c r="X71" s="25" t="str">
        <x:v>L2024-00068-1;L2024-00068-2</x:v>
      </x:c>
      <x:c r="Y71" s="25" t="str">
        <x:v>https://nebid.koica.go.kr/oep/lobi/localBidManageDetail.do?P_LOAZ_BID_PBLANC_NO=L2024-00068&amp;P_PBLANC_ODR=2</x:v>
      </x:c>
    </x:row>
    <x:row r="72">
      <x:c r="A72" s="22" t="str">
        <x:v>C</x:v>
      </x:c>
      <x:c r="B72" s="22" t="str">
        <x:v>키르기스스탄</x:v>
      </x:c>
      <x:c r="C72" s="22" t="str">
        <x:v>2019-03655</x:v>
      </x:c>
      <x:c r="D72" s="25" t="str">
        <x:v>키르기스스탄 추이 주 교내 위생환경 개선 사업(프로젝트봉사단) 리모델링 시공업체 선정 현지 입찰</x:v>
      </x:c>
      <x:c r="E72" s="28" t="n">
        <x:v>1</x:v>
      </x:c>
      <x:c r="F72" s="28" t="n">
        <x:v>1</x:v>
      </x:c>
      <x:c r="G72" s="28" t="n">
        <x:v>1</x:v>
      </x:c>
      <x:c r="H72" s="22" t="str">
        <x:v>L2025-00099-1</x:v>
      </x:c>
      <x:c r="I72" s="22" t="str"/>
      <x:c r="J72" s="22" t="str">
        <x:v>L2025-00099-1</x:v>
      </x:c>
      <x:c r="K72" s="22" t="str">
        <x:v>V3_CURATED_AREA_COST_RECHECK</x:v>
      </x:c>
      <x:c r="L72" s="22" t="str">
        <x:v>MATCH</x:v>
      </x:c>
      <x:c r="M72" s="31" t="n">
        <x:v>255.52</x:v>
      </x:c>
      <x:c r="N72" s="34" t="n">
        <x:v>200000</x:v>
      </x:c>
      <x:c r="O72" s="22" t="str">
        <x:v>NOTICE_EXECUTION_CEILING</x:v>
      </x:c>
      <x:c r="P72" s="34" t="n">
        <x:f>IFERROR(N72/M72,"")</x:f>
        <x:v>782.7175954915466</x:v>
      </x:c>
      <x:c r="Q72" s="22" t="str">
        <x:v>초기 스크리닝만</x:v>
      </x:c>
      <x:c r="R72" s="28" t="n">
        <x:v>0</x:v>
      </x:c>
      <x:c r="S72" s="28" t="n">
        <x:v>1</x:v>
      </x:c>
      <x:c r="T72" s="22" t="str"/>
      <x:c r="U72" s="22" t="str"/>
      <x:c r="V72" s="25" t="str"/>
      <x:c r="W72" s="25" t="str">
        <x:v>동일/제한 범위 공사금액÷면적 스크리닝 근거</x:v>
      </x:c>
      <x:c r="X72" s="25" t="str">
        <x:v>L2025-00099-1</x:v>
      </x:c>
      <x:c r="Y72" s="25" t="str">
        <x:v>https://nebid.koica.go.kr/oep/lobi/localBidManageDetail.do?P_LOAZ_BID_PBLANC_NO=L2025-00099&amp;P_PBLANC_ODR=1</x:v>
      </x:c>
    </x:row>
    <x:row r="73">
      <x:c r="A73" s="22" t="str">
        <x:v>C</x:v>
      </x:c>
      <x:c r="B73" s="22" t="str">
        <x:v>키르기스스탄</x:v>
      </x:c>
      <x:c r="C73" s="22" t="str">
        <x:v>2024-00105</x:v>
      </x:c>
      <x:c r="D73" s="25" t="str">
        <x:v>키르기스스탄 디지털 전환을 위한 국가 정보화 역량 강화 사업 ICT 교육센터 신축공사를 위한 설계 및 저작권감리용역</x:v>
      </x:c>
      <x:c r="E73" s="28" t="n">
        <x:v>1</x:v>
      </x:c>
      <x:c r="F73" s="28" t="n">
        <x:v>1</x:v>
      </x:c>
      <x:c r="G73" s="28" t="n">
        <x:v>1</x:v>
      </x:c>
      <x:c r="H73" s="22" t="str">
        <x:v>L2025-00097-1</x:v>
      </x:c>
      <x:c r="I73" s="22" t="str"/>
      <x:c r="J73" s="22" t="str">
        <x:v>L2025-00097-1</x:v>
      </x:c>
      <x:c r="K73" s="22" t="str">
        <x:v>V3_CURATED_AREA_COST_RECHECK</x:v>
      </x:c>
      <x:c r="L73" s="22" t="str">
        <x:v>MATCH_ATTACHMENT_CONSTRUCTION_BUDGET</x:v>
      </x:c>
      <x:c r="M73" s="31" t="n">
        <x:v>1179</x:v>
      </x:c>
      <x:c r="N73" s="34" t="n">
        <x:v>1704050</x:v>
      </x:c>
      <x:c r="O73" s="22" t="str">
        <x:v>DESIGN_ESTIMATE</x:v>
      </x:c>
      <x:c r="P73" s="34" t="n">
        <x:f>IFERROR(N73/M73,"")</x:f>
        <x:v>1445.3350296861747</x:v>
      </x:c>
      <x:c r="Q73" s="22" t="str">
        <x:v>초기 스크리닝만</x:v>
      </x:c>
      <x:c r="R73" s="28" t="n">
        <x:v>0</x:v>
      </x:c>
      <x:c r="S73" s="28" t="n">
        <x:v>1</x:v>
      </x:c>
      <x:c r="T73" s="22" t="str"/>
      <x:c r="U73" s="22" t="str"/>
      <x:c r="V73" s="25" t="str"/>
      <x:c r="W73" s="25" t="str">
        <x:v>동일/제한 범위 공사금액÷면적 스크리닝 근거</x:v>
      </x:c>
      <x:c r="X73" s="25" t="str">
        <x:v>L2025-00097-1</x:v>
      </x:c>
      <x:c r="Y73" s="25" t="str">
        <x:v>https://nebid.koica.go.kr/oep/lobi/localBidManageDetail.do?P_LOAZ_BID_PBLANC_NO=L2025-00097&amp;P_PBLANC_ODR=1</x:v>
      </x:c>
    </x:row>
    <x:row r="74">
      <x:c r="A74" s="22" t="str">
        <x:v>C</x:v>
      </x:c>
      <x:c r="B74" s="22" t="str">
        <x:v>키르기즈</x:v>
      </x:c>
      <x:c r="C74" s="22" t="str">
        <x:v>2019-00015</x:v>
      </x:c>
      <x:c r="D74" s="25" t="str">
        <x:v>키르기즈공화국 유기농업 정책이행지원 및 역량강화사업 유기농 로컬푸드마켓 현지 설계 및 감리업체 선정</x:v>
      </x:c>
      <x:c r="E74" s="28" t="n">
        <x:v>3</x:v>
      </x:c>
      <x:c r="F74" s="28" t="n">
        <x:v>3</x:v>
      </x:c>
      <x:c r="G74" s="28" t="n">
        <x:v>2</x:v>
      </x:c>
      <x:c r="H74" s="22" t="str">
        <x:v>L2023-00035-1</x:v>
      </x:c>
      <x:c r="I74" s="22" t="str"/>
      <x:c r="J74" s="22" t="str">
        <x:v>L2023-00035-1</x:v>
      </x:c>
      <x:c r="K74" s="22" t="str">
        <x:v>V3_CURATED_AREA_COST_RECHECK</x:v>
      </x:c>
      <x:c r="L74" s="22" t="str">
        <x:v>MATCH</x:v>
      </x:c>
      <x:c r="M74" s="31" t="n">
        <x:v>1739.82</x:v>
      </x:c>
      <x:c r="N74" s="34" t="n">
        <x:v>388511</x:v>
      </x:c>
      <x:c r="O74" s="22" t="str">
        <x:v>NOTICE_EXECUTION_CEILING</x:v>
      </x:c>
      <x:c r="P74" s="34" t="n">
        <x:f>IFERROR(N74/M74,"")</x:f>
        <x:v>223.30528445471373</x:v>
      </x:c>
      <x:c r="Q74" s="22" t="str">
        <x:v>초기 스크리닝만</x:v>
      </x:c>
      <x:c r="R74" s="28" t="n">
        <x:v>0</x:v>
      </x:c>
      <x:c r="S74" s="28" t="n">
        <x:v>1</x:v>
      </x:c>
      <x:c r="T74" s="22" t="str"/>
      <x:c r="U74" s="22" t="str"/>
      <x:c r="V74" s="25" t="str">
        <x:v>project_no 안에 서로 다른 시설·Lot·설계·감리·공사 패키지가 있을 수 있어 1개 비용행으로 합산 금지</x:v>
      </x:c>
      <x:c r="W74" s="25" t="str">
        <x:v>동일/제한 범위 공사금액÷면적 스크리닝 근거</x:v>
      </x:c>
      <x:c r="X74" s="25" t="str">
        <x:v>L2021-00036-1;L2022-00055-1;L2023-00035-1</x:v>
      </x:c>
      <x:c r="Y74" s="25" t="str">
        <x:v>https://nebid.koica.go.kr/oep/lobi/localBidManageDetail.do?P_LOAZ_BID_PBLANC_NO=L2023-00035&amp;P_PBLANC_ODR=1</x:v>
      </x:c>
    </x:row>
    <x:row r="75">
      <x:c r="A75" s="22" t="str">
        <x:v>C</x:v>
      </x:c>
      <x:c r="B75" s="22" t="str">
        <x:v>키르기즈</x:v>
      </x:c>
      <x:c r="C75" s="22" t="str">
        <x:v>2020-00099</x:v>
      </x:c>
      <x:c r="D75" s="25" t="str">
        <x:v>키르기스스탄 G-cloud 센터 인테리어 리모델링 시공 입찰</x:v>
      </x:c>
      <x:c r="E75" s="28" t="n">
        <x:v>1</x:v>
      </x:c>
      <x:c r="F75" s="28" t="n">
        <x:v>1</x:v>
      </x:c>
      <x:c r="G75" s="28" t="n">
        <x:v>1</x:v>
      </x:c>
      <x:c r="H75" s="22" t="str">
        <x:v>L2023-00067-1</x:v>
      </x:c>
      <x:c r="I75" s="22" t="str"/>
      <x:c r="J75" s="22" t="str">
        <x:v>L2023-00067-1</x:v>
      </x:c>
      <x:c r="K75" s="22" t="str">
        <x:v>V3_CURATED_AREA_COST_RECHECK</x:v>
      </x:c>
      <x:c r="L75" s="22" t="str">
        <x:v>MATCH</x:v>
      </x:c>
      <x:c r="M75" s="31" t="n">
        <x:v>420</x:v>
      </x:c>
      <x:c r="N75" s="34" t="n">
        <x:v>280621</x:v>
      </x:c>
      <x:c r="O75" s="22" t="str">
        <x:v>NOTICE_EXECUTION_CEILING</x:v>
      </x:c>
      <x:c r="P75" s="34" t="n">
        <x:f>IFERROR(N75/M75,"")</x:f>
        <x:v>668.1452380952381</x:v>
      </x:c>
      <x:c r="Q75" s="22" t="str">
        <x:v>초기 스크리닝만</x:v>
      </x:c>
      <x:c r="R75" s="28" t="n">
        <x:v>0</x:v>
      </x:c>
      <x:c r="S75" s="28" t="n">
        <x:v>1</x:v>
      </x:c>
      <x:c r="T75" s="22" t="str"/>
      <x:c r="U75" s="22" t="str"/>
      <x:c r="V75" s="25" t="str"/>
      <x:c r="W75" s="25" t="str">
        <x:v>동일/제한 범위 공사금액÷면적 스크리닝 근거</x:v>
      </x:c>
      <x:c r="X75" s="25" t="str">
        <x:v>L2023-00067-1</x:v>
      </x:c>
      <x:c r="Y75" s="25" t="str">
        <x:v>https://nebid.koica.go.kr/oep/lobi/localBidManageDetail.do?P_LOAZ_BID_PBLANC_NO=L2023-00067&amp;P_PBLANC_ODR=1</x:v>
      </x:c>
    </x:row>
    <x:row r="76">
      <x:c r="A76" s="22" t="str">
        <x:v>X</x:v>
      </x:c>
      <x:c r="B76" s="22" t="str">
        <x:v>키르기즈</x:v>
      </x:c>
      <x:c r="C76" s="22" t="str">
        <x:v>2023-00030</x:v>
      </x:c>
      <x:c r="D76" s="25" t="str">
        <x:v>키르기즈공화국 가축 품종개량 및 인공수정인력 역량강화사업 연수센터 신축, 바이오센터 리모델링 설계 및 저작권감리용역</x:v>
      </x:c>
      <x:c r="E76" s="28" t="n">
        <x:v>1</x:v>
      </x:c>
      <x:c r="F76" s="28" t="n">
        <x:v>1</x:v>
      </x:c>
      <x:c r="G76" s="28" t="n">
        <x:v>0</x:v>
      </x:c>
      <x:c r="H76" s="22" t="str">
        <x:v>L2024-00041-1</x:v>
      </x:c>
      <x:c r="I76" s="22" t="str"/>
      <x:c r="J76" s="22" t="str"/>
      <x:c r="K76" s="22" t="str">
        <x:v>V3_SCOPE_REVIEW</x:v>
      </x:c>
      <x:c r="L76" s="22" t="str">
        <x:v>NO_MATCH</x:v>
      </x:c>
      <x:c r="M76" s="31" t="n">
        <x:v>1825</x:v>
      </x:c>
      <x:c r="N76" s="34"/>
      <x:c r="O76" s="22" t="str">
        <x:v>SERVICE_OR_GOODS_CEILING</x:v>
      </x:c>
      <x:c r="P76" s="34" t="n">
        <x:f>IFERROR(N76/M76,"")</x:f>
        <x:v>0</x:v>
      </x:c>
      <x:c r="Q76" s="22" t="str">
        <x:v>계산 금지</x:v>
      </x:c>
      <x:c r="R76" s="28" t="n">
        <x:v>0</x:v>
      </x:c>
      <x:c r="S76" s="28" t="n">
        <x:v>0</x:v>
      </x:c>
      <x:c r="T76" s="22" t="str"/>
      <x:c r="U76" s="22" t="str"/>
      <x:c r="V76" s="25" t="str"/>
      <x:c r="W76" s="25" t="str">
        <x:v>설계·감리·기타 용역 집행한도는 건축공사비가 아님</x:v>
      </x:c>
      <x:c r="X76" s="25" t="str">
        <x:v>L2024-00041-1</x:v>
      </x:c>
      <x:c r="Y76" s="25" t="str">
        <x:v>https://nebid.koica.go.kr/oep/lobi/localBidManageDetail.do?P_LOAZ_BID_PBLANC_NO=L2024-00041&amp;P_PBLANC_ODR=1</x:v>
      </x:c>
    </x:row>
    <x:row r="77">
      <x:c r="A77" s="22" t="str">
        <x:v>C</x:v>
      </x:c>
      <x:c r="B77" s="22" t="str">
        <x:v>투르크메니스탄</x:v>
      </x:c>
      <x:c r="C77" s="22" t="str">
        <x:v>2014-00024</x:v>
      </x:c>
      <x:c r="D77" s="25" t="str">
        <x:v>투르크메니스탄 가스직업훈련원 역량강화사업 설계시공입찰</x:v>
      </x:c>
      <x:c r="E77" s="28" t="n">
        <x:v>1</x:v>
      </x:c>
      <x:c r="F77" s="28" t="n">
        <x:v>1</x:v>
      </x:c>
      <x:c r="G77" s="28" t="n">
        <x:v>1</x:v>
      </x:c>
      <x:c r="H77" s="22" t="str">
        <x:v>L2017-00011-1</x:v>
      </x:c>
      <x:c r="I77" s="22" t="str"/>
      <x:c r="J77" s="22" t="str">
        <x:v>L2017-00011-1</x:v>
      </x:c>
      <x:c r="K77" s="22" t="str">
        <x:v>V3_CURATED_AREA_COST_RECHECK</x:v>
      </x:c>
      <x:c r="L77" s="22" t="str">
        <x:v>MATCH</x:v>
      </x:c>
      <x:c r="M77" s="31" t="n">
        <x:v>2250</x:v>
      </x:c>
      <x:c r="N77" s="34" t="n">
        <x:v>2550000</x:v>
      </x:c>
      <x:c r="O77" s="22" t="str">
        <x:v>NOTICE_EXECUTION_CEILING</x:v>
      </x:c>
      <x:c r="P77" s="34" t="n">
        <x:f>IFERROR(N77/M77,"")</x:f>
        <x:v>1133.3333333333333</x:v>
      </x:c>
      <x:c r="Q77" s="22" t="str">
        <x:v>초기 스크리닝만</x:v>
      </x:c>
      <x:c r="R77" s="28" t="n">
        <x:v>0</x:v>
      </x:c>
      <x:c r="S77" s="28" t="n">
        <x:v>1</x:v>
      </x:c>
      <x:c r="T77" s="22" t="str"/>
      <x:c r="U77" s="22" t="str"/>
      <x:c r="V77" s="25" t="str"/>
      <x:c r="W77" s="25" t="str">
        <x:v>동일/제한 범위 공사금액÷면적 스크리닝 근거</x:v>
      </x:c>
      <x:c r="X77" s="25" t="str">
        <x:v>L2017-00011-1</x:v>
      </x:c>
      <x:c r="Y77" s="25" t="str">
        <x:v>https://nebid.koica.go.kr/oep/lobi/localBidManageDetail.do?P_LOAZ_BID_PBLANC_NO=L2017-00011&amp;P_PBLANC_ODR=1</x:v>
      </x:c>
    </x:row>
    <x:row r="78">
      <x:c r="A78" s="22" t="str">
        <x:v>C</x:v>
      </x:c>
      <x:c r="B78" s="22" t="str">
        <x:v>파라과이</x:v>
      </x:c>
      <x:c r="C78" s="22" t="str">
        <x:v>2016-00002</x:v>
      </x:c>
      <x:c r="D78" s="25" t="str">
        <x:v>파라과이 센트럴주 림삐오시 보건의료체계 형성 및 의료강화사업/ 보건소 신축 1단계 공사</x:v>
      </x:c>
      <x:c r="E78" s="28" t="n">
        <x:v>1</x:v>
      </x:c>
      <x:c r="F78" s="28" t="n">
        <x:v>1</x:v>
      </x:c>
      <x:c r="G78" s="28" t="n">
        <x:v>1</x:v>
      </x:c>
      <x:c r="H78" s="22" t="str">
        <x:v>L2018-00011-1</x:v>
      </x:c>
      <x:c r="I78" s="22" t="str"/>
      <x:c r="J78" s="22" t="str">
        <x:v>L2018-00011-1</x:v>
      </x:c>
      <x:c r="K78" s="22" t="str">
        <x:v>V3_CURATED_AREA_COST_RECHECK</x:v>
      </x:c>
      <x:c r="L78" s="22" t="str">
        <x:v>MATCH</x:v>
      </x:c>
      <x:c r="M78" s="31" t="n">
        <x:v>1987</x:v>
      </x:c>
      <x:c r="N78" s="34" t="n">
        <x:v>1623300</x:v>
      </x:c>
      <x:c r="O78" s="22" t="str">
        <x:v>NOTICE_EXECUTION_CEILING</x:v>
      </x:c>
      <x:c r="P78" s="34" t="n">
        <x:f>IFERROR(N78/M78,"")</x:f>
        <x:v>816.9602415702063</x:v>
      </x:c>
      <x:c r="Q78" s="22" t="str">
        <x:v>초기 스크리닝만</x:v>
      </x:c>
      <x:c r="R78" s="28" t="n">
        <x:v>0</x:v>
      </x:c>
      <x:c r="S78" s="28" t="n">
        <x:v>1</x:v>
      </x:c>
      <x:c r="T78" s="22" t="str"/>
      <x:c r="U78" s="22" t="str"/>
      <x:c r="V78" s="25" t="str"/>
      <x:c r="W78" s="25" t="str">
        <x:v>동일/제한 범위 공사금액÷면적 스크리닝 근거</x:v>
      </x:c>
      <x:c r="X78" s="25" t="str">
        <x:v>L2018-00011-1</x:v>
      </x:c>
      <x:c r="Y78" s="25" t="str">
        <x:v>https://nebid.koica.go.kr/oep/lobi/localBidManageDetail.do?P_LOAZ_BID_PBLANC_NO=L2018-00011&amp;P_PBLANC_ODR=1</x:v>
      </x:c>
    </x:row>
    <x:row r="79">
      <x:c r="A79" s="22" t="str">
        <x:v>C</x:v>
      </x:c>
      <x:c r="B79" s="22" t="str">
        <x:v>파라과이</x:v>
      </x:c>
      <x:c r="C79" s="22" t="str">
        <x:v>2016-00003</x:v>
      </x:c>
      <x:c r="D79" s="25" t="str">
        <x:v>파라과이 취약계층 노인 보건의료복지센터 정책수립 지원사업 산토 도밍고 노인 보인의료복지센터 신축 공사 시공자 선정 현지국제입찰</x:v>
      </x:c>
      <x:c r="E79" s="28" t="n">
        <x:v>1</x:v>
      </x:c>
      <x:c r="F79" s="28" t="n">
        <x:v>1</x:v>
      </x:c>
      <x:c r="G79" s="28" t="n">
        <x:v>1</x:v>
      </x:c>
      <x:c r="H79" s="22" t="str">
        <x:v>L2018-00014-1</x:v>
      </x:c>
      <x:c r="I79" s="22" t="str"/>
      <x:c r="J79" s="22" t="str">
        <x:v>L2018-00014-1</x:v>
      </x:c>
      <x:c r="K79" s="22" t="str">
        <x:v>V3_CURATED_AREA_COST_RECHECK</x:v>
      </x:c>
      <x:c r="L79" s="22" t="str">
        <x:v>MATCH</x:v>
      </x:c>
      <x:c r="M79" s="31" t="n">
        <x:v>6428</x:v>
      </x:c>
      <x:c r="N79" s="34" t="n">
        <x:v>4466261</x:v>
      </x:c>
      <x:c r="O79" s="22" t="str">
        <x:v>BASIC_ESTIMATED_PRICE</x:v>
      </x:c>
      <x:c r="P79" s="34" t="n">
        <x:f>IFERROR(N79/M79,"")</x:f>
        <x:v>694.8134723086497</x:v>
      </x:c>
      <x:c r="Q79" s="22" t="str">
        <x:v>초기 스크리닝만</x:v>
      </x:c>
      <x:c r="R79" s="28" t="n">
        <x:v>0</x:v>
      </x:c>
      <x:c r="S79" s="28" t="n">
        <x:v>1</x:v>
      </x:c>
      <x:c r="T79" s="22" t="str"/>
      <x:c r="U79" s="22" t="str"/>
      <x:c r="V79" s="25" t="str"/>
      <x:c r="W79" s="25" t="str">
        <x:v>동일/제한 범위 공사금액÷면적 스크리닝 근거</x:v>
      </x:c>
      <x:c r="X79" s="25" t="str">
        <x:v>L2018-00014-1</x:v>
      </x:c>
      <x:c r="Y79" s="25" t="str">
        <x:v>https://nebid.koica.go.kr/oep/lobi/localBidManageDetail.do?P_LOAZ_BID_PBLANC_NO=L2018-00014&amp;P_PBLANC_ODR=1</x:v>
      </x:c>
    </x:row>
    <x:row r="80">
      <x:c r="A80" s="22" t="str">
        <x:v>C</x:v>
      </x:c>
      <x:c r="B80" s="22" t="str">
        <x:v>파라과이</x:v>
      </x:c>
      <x:c r="C80" s="22" t="str">
        <x:v>2019-00032</x:v>
      </x:c>
      <x:c r="D80" s="25" t="str">
        <x:v>파라과이 항공 전문인력 역량강화사업 항공훈련센터 현지 시공사 선정 국제경쟁 입찰</x:v>
      </x:c>
      <x:c r="E80" s="28" t="n">
        <x:v>4</x:v>
      </x:c>
      <x:c r="F80" s="28" t="n">
        <x:v>4</x:v>
      </x:c>
      <x:c r="G80" s="28" t="n">
        <x:v>2</x:v>
      </x:c>
      <x:c r="H80" s="22" t="str">
        <x:v>L2021-00045-1</x:v>
      </x:c>
      <x:c r="I80" s="22" t="str"/>
      <x:c r="J80" s="22" t="str">
        <x:v>L2021-00045-1</x:v>
      </x:c>
      <x:c r="K80" s="22" t="str">
        <x:v>V3_CURATED_AREA_COST_RECHECK</x:v>
      </x:c>
      <x:c r="L80" s="22" t="str">
        <x:v>MATCH</x:v>
      </x:c>
      <x:c r="M80" s="31" t="n">
        <x:v>2866.41</x:v>
      </x:c>
      <x:c r="N80" s="34" t="n">
        <x:v>2415000</x:v>
      </x:c>
      <x:c r="O80" s="22" t="str">
        <x:v>NOTICE_EXECUTION_CEILING</x:v>
      </x:c>
      <x:c r="P80" s="34" t="n">
        <x:f>IFERROR(N80/M80,"")</x:f>
        <x:v>842.5172951531707</x:v>
      </x:c>
      <x:c r="Q80" s="22" t="str">
        <x:v>초기 스크리닝만</x:v>
      </x:c>
      <x:c r="R80" s="28" t="n">
        <x:v>0</x:v>
      </x:c>
      <x:c r="S80" s="28" t="n">
        <x:v>1</x:v>
      </x:c>
      <x:c r="T80" s="22" t="str"/>
      <x:c r="U80" s="22" t="str"/>
      <x:c r="V80" s="25" t="str">
        <x:v>project_no 안에 서로 다른 시설·Lot·설계·감리·공사 패키지가 있을 수 있어 1개 비용행으로 합산 금지</x:v>
      </x:c>
      <x:c r="W80" s="25" t="str">
        <x:v>동일/제한 범위 공사금액÷면적 스크리닝 근거</x:v>
      </x:c>
      <x:c r="X80" s="25" t="str">
        <x:v>L2021-00030-1;L2021-00042-1;L2021-00045-1;L2022-00002-1</x:v>
      </x:c>
      <x:c r="Y80" s="25" t="str">
        <x:v>https://nebid.koica.go.kr/oep/lobi/localBidManageDetail.do?P_LOAZ_BID_PBLANC_NO=L2021-00045&amp;P_PBLANC_ODR=1</x:v>
      </x:c>
    </x:row>
    <x:row r="81">
      <x:c r="A81" s="22" t="str">
        <x:v>X</x:v>
      </x:c>
      <x:c r="B81" s="22" t="str">
        <x:v>파라과이</x:v>
      </x:c>
      <x:c r="C81" s="22" t="str">
        <x:v>2021-00064</x:v>
      </x:c>
      <x:c r="D81" s="25" t="str">
        <x:v>파라과이 멀티미디어 교육지원센터 설립을 통한 교육접근성 향상사업(설계 용역 입찰)</x:v>
      </x:c>
      <x:c r="E81" s="28" t="n">
        <x:v>1</x:v>
      </x:c>
      <x:c r="F81" s="28" t="n">
        <x:v>1</x:v>
      </x:c>
      <x:c r="G81" s="28" t="n">
        <x:v>0</x:v>
      </x:c>
      <x:c r="H81" s="22" t="str">
        <x:v>L2023-00021-1</x:v>
      </x:c>
      <x:c r="I81" s="22" t="str"/>
      <x:c r="J81" s="22" t="str"/>
      <x:c r="K81" s="22" t="str">
        <x:v>V3_SCOPE_REVIEW</x:v>
      </x:c>
      <x:c r="L81" s="22" t="str">
        <x:v>NO_MATCH</x:v>
      </x:c>
      <x:c r="M81" s="31" t="n">
        <x:v>1000</x:v>
      </x:c>
      <x:c r="N81" s="34"/>
      <x:c r="O81" s="22" t="str">
        <x:v>SERVICE_OR_GOODS_CEILING</x:v>
      </x:c>
      <x:c r="P81" s="34" t="n">
        <x:f>IFERROR(N81/M81,"")</x:f>
        <x:v>0</x:v>
      </x:c>
      <x:c r="Q81" s="22" t="str">
        <x:v>계산 금지</x:v>
      </x:c>
      <x:c r="R81" s="28" t="n">
        <x:v>0</x:v>
      </x:c>
      <x:c r="S81" s="28" t="n">
        <x:v>0</x:v>
      </x:c>
      <x:c r="T81" s="22" t="str"/>
      <x:c r="U81" s="22" t="str"/>
      <x:c r="V81" s="25" t="str"/>
      <x:c r="W81" s="25" t="str">
        <x:v>설계·감리·기타 용역 집행한도는 건축공사비가 아님</x:v>
      </x:c>
      <x:c r="X81" s="25" t="str">
        <x:v>L2023-00021-1</x:v>
      </x:c>
      <x:c r="Y81" s="25" t="str">
        <x:v>https://nebid.koica.go.kr/oep/lobi/localBidManageDetail.do?P_LOAZ_BID_PBLANC_NO=L2023-00021&amp;P_PBLANC_ODR=1</x:v>
      </x:c>
    </x:row>
    <x:row r="82">
      <x:c r="A82" s="22" t="str">
        <x:v>C</x:v>
      </x:c>
      <x:c r="B82" s="22" t="str">
        <x:v>파키스탄</x:v>
      </x:c>
      <x:c r="C82" s="22" t="str">
        <x:v>2019-00045</x:v>
      </x:c>
      <x:c r="D82" s="25" t="str">
        <x:v>파키스탄 태양전지모듈 인증시험소 설립사업 시험소 신축공사 시공업체 선정 입찰</x:v>
      </x:c>
      <x:c r="E82" s="28" t="n">
        <x:v>1</x:v>
      </x:c>
      <x:c r="F82" s="28" t="n">
        <x:v>1</x:v>
      </x:c>
      <x:c r="G82" s="28" t="n">
        <x:v>1</x:v>
      </x:c>
      <x:c r="H82" s="22" t="str">
        <x:v>L2021-00031-1</x:v>
      </x:c>
      <x:c r="I82" s="22" t="str"/>
      <x:c r="J82" s="22" t="str">
        <x:v>L2021-00031-1</x:v>
      </x:c>
      <x:c r="K82" s="22" t="str">
        <x:v>V3_CURATED_AREA_COST_RECHECK</x:v>
      </x:c>
      <x:c r="L82" s="22" t="str">
        <x:v>MATCH</x:v>
      </x:c>
      <x:c r="M82" s="31" t="n">
        <x:v>2349.2</x:v>
      </x:c>
      <x:c r="N82" s="34" t="n">
        <x:v>1839007</x:v>
      </x:c>
      <x:c r="O82" s="22" t="str">
        <x:v>NOTICE_EXECUTION_CEILING</x:v>
      </x:c>
      <x:c r="P82" s="34" t="n">
        <x:f>IFERROR(N82/M82,"")</x:f>
        <x:v>782.8226630342244</x:v>
      </x:c>
      <x:c r="Q82" s="22" t="str">
        <x:v>초기 스크리닝만</x:v>
      </x:c>
      <x:c r="R82" s="28" t="n">
        <x:v>0</x:v>
      </x:c>
      <x:c r="S82" s="28" t="n">
        <x:v>1</x:v>
      </x:c>
      <x:c r="T82" s="22" t="str"/>
      <x:c r="U82" s="22" t="str"/>
      <x:c r="V82" s="25" t="str"/>
      <x:c r="W82" s="25" t="str">
        <x:v>동일/제한 범위 공사금액÷면적 스크리닝 근거</x:v>
      </x:c>
      <x:c r="X82" s="25" t="str">
        <x:v>L2021-00031-1</x:v>
      </x:c>
      <x:c r="Y82" s="25" t="str">
        <x:v>https://nebid.koica.go.kr/oep/lobi/localBidManageDetail.do?P_LOAZ_BID_PBLANC_NO=L2021-00031&amp;P_PBLANC_ODR=1</x:v>
      </x:c>
    </x:row>
    <x:row r="83">
      <x:c r="A83" s="22" t="str">
        <x:v>C</x:v>
      </x:c>
      <x:c r="B83" s="22" t="str">
        <x:v>파키스탄</x:v>
      </x:c>
      <x:c r="C83" s="22" t="str">
        <x:v>2022-00598</x:v>
      </x:c>
      <x:c r="D83" s="25" t="str">
        <x:v>파키스탄 국립섬유대학 산업용 섬유센터 설립사업 2차사업 설계용역</x:v>
      </x:c>
      <x:c r="E83" s="28" t="n">
        <x:v>4</x:v>
      </x:c>
      <x:c r="F83" s="28" t="n">
        <x:v>4</x:v>
      </x:c>
      <x:c r="G83" s="28" t="n">
        <x:v>2</x:v>
      </x:c>
      <x:c r="H83" s="22" t="str">
        <x:v>L2025-00047-1</x:v>
      </x:c>
      <x:c r="I83" s="22" t="str"/>
      <x:c r="J83" s="22" t="str">
        <x:v>L2025-00047-1</x:v>
      </x:c>
      <x:c r="K83" s="22" t="str">
        <x:v>V3_CURATED_AREA_COST_RECHECK</x:v>
      </x:c>
      <x:c r="L83" s="22" t="str">
        <x:v>MATCH</x:v>
      </x:c>
      <x:c r="M83" s="31" t="n">
        <x:v>1980</x:v>
      </x:c>
      <x:c r="N83" s="34" t="n">
        <x:v>1964270</x:v>
      </x:c>
      <x:c r="O83" s="22" t="str">
        <x:v>NOTICE_EXECUTION_CEILING</x:v>
      </x:c>
      <x:c r="P83" s="34" t="n">
        <x:f>IFERROR(N83/M83,"")</x:f>
        <x:v>992.0555555555555</x:v>
      </x:c>
      <x:c r="Q83" s="22" t="str">
        <x:v>초기 스크리닝만</x:v>
      </x:c>
      <x:c r="R83" s="28" t="n">
        <x:v>0</x:v>
      </x:c>
      <x:c r="S83" s="28" t="n">
        <x:v>1</x:v>
      </x:c>
      <x:c r="T83" s="22" t="str"/>
      <x:c r="U83" s="22" t="str"/>
      <x:c r="V83" s="25" t="str">
        <x:v>project_no 안에 서로 다른 시설·Lot·설계·감리·공사 패키지가 있을 수 있어 1개 비용행으로 합산 금지</x:v>
      </x:c>
      <x:c r="W83" s="25" t="str">
        <x:v>동일/제한 범위 공사금액÷면적 스크리닝 근거</x:v>
      </x:c>
      <x:c r="X83" s="25" t="str">
        <x:v>L2024-00001-1;L2025-00011-1;L2025-00014-1;L2025-00047-1</x:v>
      </x:c>
      <x:c r="Y83" s="25" t="str">
        <x:v>https://nebid.koica.go.kr/oep/lobi/localBidManageDetail.do?P_LOAZ_BID_PBLANC_NO=L2025-00047&amp;P_PBLANC_ODR=1</x:v>
      </x:c>
    </x:row>
    <x:row r="84">
      <x:c r="A84" s="22" t="str">
        <x:v>C?</x:v>
      </x:c>
      <x:c r="B84" s="22" t="str">
        <x:v>파키스탄</x:v>
      </x:c>
      <x:c r="C84" s="22" t="str">
        <x:v>2020-00104</x:v>
      </x:c>
      <x:c r="D84" s="25" t="str">
        <x:v>파키스탄 아동 및 지역 영양 개선을 위한 영양교육센터 설립사업 설계 및 감리용역</x:v>
      </x:c>
      <x:c r="E84" s="28" t="n">
        <x:v>2</x:v>
      </x:c>
      <x:c r="F84" s="28" t="n">
        <x:v>2</x:v>
      </x:c>
      <x:c r="G84" s="28" t="n">
        <x:v>1</x:v>
      </x:c>
      <x:c r="H84" s="22" t="str">
        <x:v>L2022-00034-1</x:v>
      </x:c>
      <x:c r="I84" s="22" t="str"/>
      <x:c r="J84" s="22" t="str">
        <x:v>L2022-00034-1</x:v>
      </x:c>
      <x:c r="K84" s="22" t="str">
        <x:v>V2R_HUMAN_REVIEWED_EXTRACTION</x:v>
      </x:c>
      <x:c r="L84" s="22" t="str">
        <x:v>MATCH</x:v>
      </x:c>
      <x:c r="M84" s="31" t="n">
        <x:v>3046.75</x:v>
      </x:c>
      <x:c r="N84" s="34" t="n">
        <x:v>2462409</x:v>
      </x:c>
      <x:c r="O84" s="22" t="str">
        <x:v>NOTICE_EXECUTION_CEILING</x:v>
      </x:c>
      <x:c r="P84" s="34" t="n">
        <x:f>IFERROR(N84/M84,"")</x:f>
        <x:v>808.2084188069255</x:v>
      </x:c>
      <x:c r="Q84" s="22" t="str">
        <x:v>초기 스크리닝만</x:v>
      </x:c>
      <x:c r="R84" s="28" t="n">
        <x:v>0</x:v>
      </x:c>
      <x:c r="S84" s="28" t="n">
        <x:v>1</x:v>
      </x:c>
      <x:c r="T84" s="22" t="str"/>
      <x:c r="U84" s="22" t="str"/>
      <x:c r="V84" s="25" t="str">
        <x:v>project_no 안에 서로 다른 시설·Lot·설계·감리·공사 패키지가 있을 수 있어 1개 비용행으로 합산 금지</x:v>
      </x:c>
      <x:c r="W84" s="25" t="str">
        <x:v>범위 일치 잠정확인; 원본 V3 확인 전 직접 사용 금지</x:v>
      </x:c>
      <x:c r="X84" s="25" t="str">
        <x:v>L2021-00012-1;L2022-00034-1</x:v>
      </x:c>
      <x:c r="Y84" s="25" t="str">
        <x:v>https://nebid.koica.go.kr/oep/lobi/localBidManageDetail.do?P_LOAZ_BID_PBLANC_NO=L2022-00034&amp;P_PBLANC_ODR=1</x:v>
      </x:c>
    </x:row>
    <x:row r="85">
      <x:c r="A85" s="22" t="str">
        <x:v>U</x:v>
      </x:c>
      <x:c r="B85" s="22" t="str">
        <x:v>파키스탄</x:v>
      </x:c>
      <x:c r="C85" s="22" t="str">
        <x:v>2012-00016</x:v>
      </x:c>
      <x:c r="D85" s="25" t="str">
        <x:v>건조농대 농축산 역량강화센터 및 수자원 연수센터 사후관리를 위한 시공업체 선정입찰</x:v>
      </x:c>
      <x:c r="E85" s="28" t="n">
        <x:v>1</x:v>
      </x:c>
      <x:c r="F85" s="28" t="n">
        <x:v>1</x:v>
      </x:c>
      <x:c r="G85" s="28" t="n">
        <x:v>0</x:v>
      </x:c>
      <x:c r="H85" s="22" t="str">
        <x:v>L2021-00017-1</x:v>
      </x:c>
      <x:c r="I85" s="22" t="str"/>
      <x:c r="J85" s="22" t="str">
        <x:v>L2021-00017-1</x:v>
      </x:c>
      <x:c r="K85" s="22" t="str">
        <x:v>V3_SCOPE_REVIEW</x:v>
      </x:c>
      <x:c r="L85" s="22" t="str">
        <x:v>PARTIAL_SCOPE</x:v>
      </x:c>
      <x:c r="M85" s="31"/>
      <x:c r="N85" s="34" t="n">
        <x:v>731618</x:v>
      </x:c>
      <x:c r="O85" s="22" t="str">
        <x:v>NOTICE_EXECUTION_CEILING</x:v>
      </x:c>
      <x:c r="P85" s="34" t="str">
        <x:f>IFERROR(N85/M85,"")</x:f>
      </x:c>
      <x:c r="Q85" s="22" t="str">
        <x:v>계산 금지</x:v>
      </x:c>
      <x:c r="R85" s="28" t="n">
        <x:v>0</x:v>
      </x:c>
      <x:c r="S85" s="28" t="n">
        <x:v>0</x:v>
      </x:c>
      <x:c r="T85" s="22" t="str"/>
      <x:c r="U85" s="22" t="str"/>
      <x:c r="V85" s="25" t="str"/>
      <x:c r="W85" s="25" t="str">
        <x:v>면적과 금액 범위가 부분·혼합되어 계산 금지</x:v>
      </x:c>
      <x:c r="X85" s="25" t="str">
        <x:v>L2021-00017-1</x:v>
      </x:c>
      <x:c r="Y85" s="25" t="str">
        <x:v>https://nebid.koica.go.kr/oep/lobi/localBidManageDetail.do?P_LOAZ_BID_PBLANC_NO=L2021-00017&amp;P_PBLANC_ODR=1</x:v>
      </x:c>
    </x:row>
    <x:row r="86">
      <x:c r="A86" s="22" t="str">
        <x:v>X</x:v>
      </x:c>
      <x:c r="B86" s="22" t="str">
        <x:v>페루</x:v>
      </x:c>
      <x:c r="C86" s="22" t="str">
        <x:v>2017-14639</x:v>
      </x:c>
      <x:c r="D86" s="25" t="str">
        <x:v>페루 제3 한·페 의료센터 건립사업 리모델링 설계용역 입찰(재공고)</x:v>
      </x:c>
      <x:c r="E86" s="28" t="n">
        <x:v>2</x:v>
      </x:c>
      <x:c r="F86" s="28" t="n">
        <x:v>2</x:v>
      </x:c>
      <x:c r="G86" s="28" t="n">
        <x:v>0</x:v>
      </x:c>
      <x:c r="H86" s="22" t="str">
        <x:v>L2025-00025-1</x:v>
      </x:c>
      <x:c r="I86" s="22" t="str"/>
      <x:c r="J86" s="22" t="str"/>
      <x:c r="K86" s="22" t="str">
        <x:v>V3_SCOPE_REVIEW</x:v>
      </x:c>
      <x:c r="L86" s="22" t="str">
        <x:v>NO_MATCH</x:v>
      </x:c>
      <x:c r="M86" s="31" t="n">
        <x:v>1656.9</x:v>
      </x:c>
      <x:c r="N86" s="34"/>
      <x:c r="O86" s="22" t="str">
        <x:v>SERVICE_OR_GOODS_CEILING</x:v>
      </x:c>
      <x:c r="P86" s="34" t="n">
        <x:f>IFERROR(N86/M86,"")</x:f>
        <x:v>0</x:v>
      </x:c>
      <x:c r="Q86" s="22" t="str">
        <x:v>계산 금지</x:v>
      </x:c>
      <x:c r="R86" s="28" t="n">
        <x:v>0</x:v>
      </x:c>
      <x:c r="S86" s="28" t="n">
        <x:v>0</x:v>
      </x:c>
      <x:c r="T86" s="22" t="str"/>
      <x:c r="U86" s="22" t="str"/>
      <x:c r="V86" s="25" t="str">
        <x:v>project_no 안에 서로 다른 시설·Lot·설계·감리·공사 패키지가 있을 수 있어 1개 비용행으로 합산 금지</x:v>
      </x:c>
      <x:c r="W86" s="25" t="str">
        <x:v>설계·감리·기타 용역 집행한도는 건축공사비가 아님</x:v>
      </x:c>
      <x:c r="X86" s="25" t="str">
        <x:v>L2025-00009-1;L2025-00025-1</x:v>
      </x:c>
      <x:c r="Y86" s="25" t="str">
        <x:v>https://nebid.koica.go.kr/oep/lobi/localBidManageDetail.do?P_LOAZ_BID_PBLANC_NO=L2025-00025&amp;P_PBLANC_ODR=1</x:v>
      </x:c>
    </x:row>
    <x:row r="87">
      <x:c r="A87" s="22" t="str">
        <x:v>X</x:v>
      </x:c>
      <x:c r="B87" s="22" t="str">
        <x:v>페루</x:v>
      </x:c>
      <x:c r="C87" s="22" t="str">
        <x:v>2022-00058</x:v>
      </x:c>
      <x:c r="D87" s="25" t="str">
        <x:v>페루 쿠스코시 폐기물 통합관리 및 순환경제 구축사업 퇴비화 시범 플랜트 설계용역</x:v>
      </x:c>
      <x:c r="E87" s="28" t="n">
        <x:v>2</x:v>
      </x:c>
      <x:c r="F87" s="28" t="n">
        <x:v>2</x:v>
      </x:c>
      <x:c r="G87" s="28" t="n">
        <x:v>0</x:v>
      </x:c>
      <x:c r="H87" s="22" t="str">
        <x:v>L2024-00076-1</x:v>
      </x:c>
      <x:c r="I87" s="22" t="str"/>
      <x:c r="J87" s="22" t="str"/>
      <x:c r="K87" s="22" t="str">
        <x:v>V3_SCOPE_REVIEW</x:v>
      </x:c>
      <x:c r="L87" s="22" t="str">
        <x:v>NO_MATCH</x:v>
      </x:c>
      <x:c r="M87" s="31"/>
      <x:c r="N87" s="34"/>
      <x:c r="O87" s="22" t="str">
        <x:v>SERVICE_OR_GOODS_CEILING</x:v>
      </x:c>
      <x:c r="P87" s="34" t="str">
        <x:f>IFERROR(N87/M87,"")</x:f>
      </x:c>
      <x:c r="Q87" s="22" t="str">
        <x:v>계산 금지</x:v>
      </x:c>
      <x:c r="R87" s="28" t="n">
        <x:v>0</x:v>
      </x:c>
      <x:c r="S87" s="28" t="n">
        <x:v>0</x:v>
      </x:c>
      <x:c r="T87" s="22" t="str"/>
      <x:c r="U87" s="22" t="str"/>
      <x:c r="V87" s="25" t="str">
        <x:v>project_no 안에 서로 다른 시설·Lot·설계·감리·공사 패키지가 있을 수 있어 1개 비용행으로 합산 금지</x:v>
      </x:c>
      <x:c r="W87" s="25" t="str">
        <x:v>설계·감리·기타 용역 집행한도는 건축공사비가 아님</x:v>
      </x:c>
      <x:c r="X87" s="25" t="str">
        <x:v>L2024-00055-1;L2024-00076-1</x:v>
      </x:c>
      <x:c r="Y87" s="25" t="str">
        <x:v>https://nebid.koica.go.kr/oep/lobi/localBidManageDetail.do?P_LOAZ_BID_PBLANC_NO=L2024-00076&amp;P_PBLANC_ODR=1</x:v>
      </x:c>
    </x:row>
    <x:row r="88">
      <x:c r="A88" s="22" t="str">
        <x:v>B</x:v>
      </x:c>
      <x:c r="B88" s="22" t="str">
        <x:v>피지</x:v>
      </x:c>
      <x:c r="C88" s="22" t="str">
        <x:v>2022-00076</x:v>
      </x:c>
      <x:c r="D88" s="25" t="str">
        <x:v>피지 국립재활센터 건립사업 설계 및 감리용역 현지입찰계획</x:v>
      </x:c>
      <x:c r="E88" s="28" t="n">
        <x:v>3</x:v>
      </x:c>
      <x:c r="F88" s="28" t="n">
        <x:v>2</x:v>
      </x:c>
      <x:c r="G88" s="28" t="n">
        <x:v>3</x:v>
      </x:c>
      <x:c r="H88" s="22" t="str">
        <x:v>L2025-00051-2</x:v>
      </x:c>
      <x:c r="I88" s="22" t="str">
        <x:v>L2025-00051-2</x:v>
      </x:c>
      <x:c r="J88" s="22" t="str">
        <x:v>L2025-00051-2</x:v>
      </x:c>
      <x:c r="K88" s="22" t="str">
        <x:v>V3_ORIGINAL_MANUAL</x:v>
      </x:c>
      <x:c r="L88" s="22" t="str">
        <x:v>PARTIAL_SCOPE</x:v>
      </x:c>
      <x:c r="M88" s="31" t="n">
        <x:v>2686.4</x:v>
      </x:c>
      <x:c r="N88" s="34" t="n">
        <x:v>6767312</x:v>
      </x:c>
      <x:c r="O88" s="22" t="str">
        <x:v>NOTICE_EXECUTION_CEILING</x:v>
      </x:c>
      <x:c r="P88" s="34" t="n">
        <x:f>IFERROR(N88/M88,"")</x:f>
        <x:v>2519.1006551518763</x:v>
      </x:c>
      <x:c r="Q88" s="22" t="str">
        <x:v>현지단가 결합 수량모델</x:v>
      </x:c>
      <x:c r="R88" s="28" t="n">
        <x:v>0</x:v>
      </x:c>
      <x:c r="S88" s="28" t="n">
        <x:v>1</x:v>
      </x:c>
      <x:c r="T88" s="22" t="str"/>
      <x:c r="U88" s="22" t="str"/>
      <x:c r="V88" s="25" t="str">
        <x:v>project_no 안에 서로 다른 시설·Lot·설계·감리·공사 패키지가 있을 수 있어 1개 비용행으로 합산 금지</x:v>
      </x:c>
      <x:c r="W88" s="25" t="str">
        <x:v>재공고의 동일 피지 blank BOQ; 한 표본으로 처리</x:v>
      </x:c>
      <x:c r="X88" s="25" t="str">
        <x:v>L2023-00038-1;L2025-00051-1;L2025-00051-2</x:v>
      </x:c>
      <x:c r="Y88" s="25" t="str">
        <x:v>https://nebid.koica.go.kr/oep/lobi/localBidManageDetail.do?P_LOAZ_BID_PBLANC_NO=L2025-00051&amp;P_PBLANC_ODR=2</x:v>
      </x:c>
    </x:row>
    <x:row r="89">
      <x:c r="A89" s="22" t="str">
        <x:v>C</x:v>
      </x:c>
      <x:c r="B89" s="22" t="str">
        <x:v>피지</x:v>
      </x:c>
      <x:c r="C89" s="22" t="str">
        <x:v>2023-00032</x:v>
      </x:c>
      <x:c r="D89" s="25" t="str">
        <x:v>피지국립의과대학 의료인력 역량강화사업 설계 및 감리용역</x:v>
      </x:c>
      <x:c r="E89" s="28" t="n">
        <x:v>1</x:v>
      </x:c>
      <x:c r="F89" s="28" t="n">
        <x:v>1</x:v>
      </x:c>
      <x:c r="G89" s="28" t="n">
        <x:v>1</x:v>
      </x:c>
      <x:c r="H89" s="22" t="str">
        <x:v>L2024-00066-1</x:v>
      </x:c>
      <x:c r="I89" s="22" t="str"/>
      <x:c r="J89" s="22" t="str">
        <x:v>L2024-00066-1</x:v>
      </x:c>
      <x:c r="K89" s="22" t="str">
        <x:v>V3_CURATED_AREA_COST_RECHECK</x:v>
      </x:c>
      <x:c r="L89" s="22" t="str">
        <x:v>MATCH_ATTACHMENT_CONSTRUCTION_BUDGET</x:v>
      </x:c>
      <x:c r="M89" s="31" t="n">
        <x:v>1060</x:v>
      </x:c>
      <x:c r="N89" s="34" t="n">
        <x:v>2406346</x:v>
      </x:c>
      <x:c r="O89" s="22" t="str">
        <x:v>DESIGN_ESTIMATE</x:v>
      </x:c>
      <x:c r="P89" s="34" t="n">
        <x:f>IFERROR(N89/M89,"")</x:f>
        <x:v>2270.1377358490568</x:v>
      </x:c>
      <x:c r="Q89" s="22" t="str">
        <x:v>초기 스크리닝만</x:v>
      </x:c>
      <x:c r="R89" s="28" t="n">
        <x:v>0</x:v>
      </x:c>
      <x:c r="S89" s="28" t="n">
        <x:v>1</x:v>
      </x:c>
      <x:c r="T89" s="22" t="str"/>
      <x:c r="U89" s="22" t="str"/>
      <x:c r="V89" s="25" t="str"/>
      <x:c r="W89" s="25" t="str">
        <x:v>동일/제한 범위 공사금액÷면적 스크리닝 근거</x:v>
      </x:c>
      <x:c r="X89" s="25" t="str">
        <x:v>L2024-00066-1</x:v>
      </x:c>
      <x:c r="Y89" s="25" t="str">
        <x:v>https://nebid.koica.go.kr/oep/lobi/localBidManageDetail.do?P_LOAZ_BID_PBLANC_NO=L2024-00066&amp;P_PBLANC_ODR=1</x:v>
      </x:c>
    </x:row>
    <x:row r="90">
      <x:c r="A90" s="22" t="str">
        <x:v>X</x:v>
      </x:c>
      <x:c r="B90" s="22" t="str">
        <x:v>피지</x:v>
      </x:c>
      <x:c r="C90" s="22" t="str">
        <x:v>2021-00097</x:v>
      </x:c>
      <x:c r="D90" s="25" t="str">
        <x:v>피지 농업공존형 태양광 발전사업(GCF) 영농기술센터 및 농기자재 보관창고 신축 설계 및 감리용역</x:v>
      </x:c>
      <x:c r="E90" s="28" t="n">
        <x:v>1</x:v>
      </x:c>
      <x:c r="F90" s="28" t="n">
        <x:v>1</x:v>
      </x:c>
      <x:c r="G90" s="28" t="n">
        <x:v>0</x:v>
      </x:c>
      <x:c r="H90" s="22" t="str">
        <x:v>L2023-00030-1</x:v>
      </x:c>
      <x:c r="I90" s="22" t="str"/>
      <x:c r="J90" s="22" t="str"/>
      <x:c r="K90" s="22" t="str">
        <x:v>V3_SCOPE_REVIEW</x:v>
      </x:c>
      <x:c r="L90" s="22" t="str">
        <x:v>NO_MATCH</x:v>
      </x:c>
      <x:c r="M90" s="31" t="n">
        <x:v>1100</x:v>
      </x:c>
      <x:c r="N90" s="34"/>
      <x:c r="O90" s="22" t="str">
        <x:v>SERVICE_OR_GOODS_CEILING</x:v>
      </x:c>
      <x:c r="P90" s="34" t="n">
        <x:f>IFERROR(N90/M90,"")</x:f>
        <x:v>0</x:v>
      </x:c>
      <x:c r="Q90" s="22" t="str">
        <x:v>계산 금지</x:v>
      </x:c>
      <x:c r="R90" s="28" t="n">
        <x:v>0</x:v>
      </x:c>
      <x:c r="S90" s="28" t="n">
        <x:v>0</x:v>
      </x:c>
      <x:c r="T90" s="22" t="str"/>
      <x:c r="U90" s="22" t="str"/>
      <x:c r="V90" s="25" t="str"/>
      <x:c r="W90" s="25" t="str">
        <x:v>설계·감리·기타 용역 집행한도는 건축공사비가 아님</x:v>
      </x:c>
      <x:c r="X90" s="25" t="str">
        <x:v>L2023-00030-1</x:v>
      </x:c>
      <x:c r="Y90" s="25" t="str">
        <x:v>https://nebid.koica.go.kr/oep/lobi/localBidManageDetail.do?P_LOAZ_BID_PBLANC_NO=L2023-00030&amp;P_PBLANC_ODR=1</x:v>
      </x:c>
    </x:row>
    <x:row r="91">
      <x:c r="A91" s="22" t="str">
        <x:v>C</x:v>
      </x:c>
      <x:c r="B91" s="22" t="str">
        <x:v>필리핀</x:v>
      </x:c>
      <x:c r="C91" s="22" t="str">
        <x:v>2016-20150</x:v>
      </x:c>
      <x:c r="D91" s="25" t="str">
        <x:v>필리핀 퀴리노주 농촌종합개발 2차 사업 설계 및 시공 일괄용역</x:v>
      </x:c>
      <x:c r="E91" s="28" t="n">
        <x:v>2</x:v>
      </x:c>
      <x:c r="F91" s="28" t="n">
        <x:v>2</x:v>
      </x:c>
      <x:c r="G91" s="28" t="n">
        <x:v>2</x:v>
      </x:c>
      <x:c r="H91" s="22" t="str">
        <x:v>L2018-00012-1</x:v>
      </x:c>
      <x:c r="I91" s="22" t="str"/>
      <x:c r="J91" s="22" t="str">
        <x:v>L2018-00012-1</x:v>
      </x:c>
      <x:c r="K91" s="22" t="str">
        <x:v>V3_CURATED_AREA_COST_RECHECK</x:v>
      </x:c>
      <x:c r="L91" s="22" t="str">
        <x:v>MATCH</x:v>
      </x:c>
      <x:c r="M91" s="31" t="n">
        <x:v>6615</x:v>
      </x:c>
      <x:c r="N91" s="34" t="n">
        <x:v>4374688</x:v>
      </x:c>
      <x:c r="O91" s="22" t="str">
        <x:v>ADVERTISED_ESTIMATED_BUDGET</x:v>
      </x:c>
      <x:c r="P91" s="34" t="n">
        <x:f>IFERROR(N91/M91,"")</x:f>
        <x:v>661.3284958427815</x:v>
      </x:c>
      <x:c r="Q91" s="22" t="str">
        <x:v>초기 스크리닝만</x:v>
      </x:c>
      <x:c r="R91" s="28" t="n">
        <x:v>0</x:v>
      </x:c>
      <x:c r="S91" s="28" t="n">
        <x:v>1</x:v>
      </x:c>
      <x:c r="T91" s="22" t="str"/>
      <x:c r="U91" s="22" t="str"/>
      <x:c r="V91" s="25" t="str">
        <x:v>project_no 안에 서로 다른 시설·Lot·설계·감리·공사 패키지가 있을 수 있어 1개 비용행으로 합산 금지</x:v>
      </x:c>
      <x:c r="W91" s="25" t="str">
        <x:v>동일/제한 범위 공사금액÷면적 스크리닝 근거</x:v>
      </x:c>
      <x:c r="X91" s="25" t="str">
        <x:v>L2018-00012-1;L2022-00042-1</x:v>
      </x:c>
      <x:c r="Y91" s="25" t="str">
        <x:v>https://nebid.koica.go.kr/oep/lobi/localBidManageDetail.do?P_LOAZ_BID_PBLANC_NO=L2018-00012&amp;P_PBLANC_ODR=1</x:v>
      </x:c>
    </x:row>
    <x:row r="92">
      <x:c r="A92" s="22" t="str">
        <x:v>C?</x:v>
      </x:c>
      <x:c r="B92" s="22" t="str">
        <x:v>필리핀</x:v>
      </x:c>
      <x:c r="C92" s="22" t="str">
        <x:v>2021-00072</x:v>
      </x:c>
      <x:c r="D92" s="25" t="str">
        <x:v>(재공고) 필리핀 국립대학교 로스바뇨스(UPLB) 첨단농업연구센터 신축공사</x:v>
      </x:c>
      <x:c r="E92" s="28" t="n">
        <x:v>1</x:v>
      </x:c>
      <x:c r="F92" s="28" t="n">
        <x:v>1</x:v>
      </x:c>
      <x:c r="G92" s="28" t="n">
        <x:v>1</x:v>
      </x:c>
      <x:c r="H92" s="22" t="str">
        <x:v>L2023-00054-2</x:v>
      </x:c>
      <x:c r="I92" s="22" t="str"/>
      <x:c r="J92" s="22" t="str">
        <x:v>L2023-00054-2</x:v>
      </x:c>
      <x:c r="K92" s="22" t="str">
        <x:v>V2R_HUMAN_REVIEWED_EXTRACTION</x:v>
      </x:c>
      <x:c r="L92" s="22" t="str">
        <x:v>MATCH</x:v>
      </x:c>
      <x:c r="M92" s="31" t="n">
        <x:v>6682.62</x:v>
      </x:c>
      <x:c r="N92" s="34" t="n">
        <x:v>5107200</x:v>
      </x:c>
      <x:c r="O92" s="22" t="str">
        <x:v>NOTICE_EXECUTION_CEILING</x:v>
      </x:c>
      <x:c r="P92" s="34" t="n">
        <x:f>IFERROR(N92/M92,"")</x:f>
        <x:v>764.2511470052166</x:v>
      </x:c>
      <x:c r="Q92" s="22" t="str">
        <x:v>초기 스크리닝만</x:v>
      </x:c>
      <x:c r="R92" s="28" t="n">
        <x:v>0</x:v>
      </x:c>
      <x:c r="S92" s="28" t="n">
        <x:v>1</x:v>
      </x:c>
      <x:c r="T92" s="22" t="str"/>
      <x:c r="U92" s="22" t="str"/>
      <x:c r="V92" s="25" t="str"/>
      <x:c r="W92" s="25" t="str">
        <x:v>범위 일치 잠정확인; 원본 V3 확인 전 직접 사용 금지</x:v>
      </x:c>
      <x:c r="X92" s="25" t="str">
        <x:v>L2023-00054-2</x:v>
      </x:c>
      <x:c r="Y92" s="25" t="str">
        <x:v>https://nebid.koica.go.kr/oep/lobi/localBidManageDetail.do?P_LOAZ_BID_PBLANC_NO=L2023-00054&amp;P_PBLANC_ODR=2</x:v>
      </x:c>
    </x:row>
    <x:row r="93">
      <x:c r="A93" s="22" t="str">
        <x:v>U</x:v>
      </x:c>
      <x:c r="B93" s="22" t="str">
        <x:v>필리핀</x:v>
      </x:c>
      <x:c r="C93" s="22" t="str">
        <x:v>2017-15267</x:v>
      </x:c>
      <x:c r="D93" s="25" t="str">
        <x:v>필리핀 사무소 이전 관련 마감공사</x:v>
      </x:c>
      <x:c r="E93" s="28" t="n">
        <x:v>1</x:v>
      </x:c>
      <x:c r="F93" s="28" t="n">
        <x:v>1</x:v>
      </x:c>
      <x:c r="G93" s="28" t="n">
        <x:v>0</x:v>
      </x:c>
      <x:c r="H93" s="22" t="str">
        <x:v>L2019-00046-1</x:v>
      </x:c>
      <x:c r="I93" s="22" t="str"/>
      <x:c r="J93" s="22" t="str"/>
      <x:c r="K93" s="22" t="str">
        <x:v>V3_SCOPE_REVIEW</x:v>
      </x:c>
      <x:c r="L93" s="22" t="str">
        <x:v>PARTIAL_MIXED_COST</x:v>
      </x:c>
      <x:c r="M93" s="31" t="n">
        <x:v>679</x:v>
      </x:c>
      <x:c r="N93" s="34"/>
      <x:c r="O93" s="22" t="str">
        <x:v>SERVICE_OR_GOODS_CEILING</x:v>
      </x:c>
      <x:c r="P93" s="34" t="n">
        <x:f>IFERROR(N93/M93,"")</x:f>
        <x:v>0</x:v>
      </x:c>
      <x:c r="Q93" s="22" t="str">
        <x:v>계산 금지</x:v>
      </x:c>
      <x:c r="R93" s="28" t="n">
        <x:v>0</x:v>
      </x:c>
      <x:c r="S93" s="28" t="n">
        <x:v>0</x:v>
      </x:c>
      <x:c r="T93" s="22" t="str"/>
      <x:c r="U93" s="22" t="str"/>
      <x:c r="V93" s="25" t="str"/>
      <x:c r="W93" s="25" t="str">
        <x:v>면적과 금액 범위가 부분·혼합되어 계산 금지</x:v>
      </x:c>
      <x:c r="X93" s="25" t="str">
        <x:v>L2019-00046-1</x:v>
      </x:c>
      <x:c r="Y93" s="25" t="str">
        <x:v>https://nebid.koica.go.kr/oep/lobi/localBidManageDetail.do?P_LOAZ_BID_PBLANC_NO=L2019-00046&amp;P_PBLANC_ODR=1</x:v>
      </x:c>
    </x:row>
    <x:row r="94">
      <x:c r="A94" s="22" t="str">
        <x:v>X</x:v>
      </x:c>
      <x:c r="B94" s="22" t="str">
        <x:v>필리핀</x:v>
      </x:c>
      <x:c r="C94" s="22" t="str">
        <x:v>2020-00094</x:v>
      </x:c>
      <x:c r="D94" s="25" t="str">
        <x:v>필리핀 농기계현대화센터 구축 및 역량강화 사업 건축 설계용역</x:v>
      </x:c>
      <x:c r="E94" s="28" t="n">
        <x:v>2</x:v>
      </x:c>
      <x:c r="F94" s="28" t="n">
        <x:v>2</x:v>
      </x:c>
      <x:c r="G94" s="28" t="n">
        <x:v>0</x:v>
      </x:c>
      <x:c r="H94" s="22" t="str">
        <x:v>L2022-00009-1</x:v>
      </x:c>
      <x:c r="I94" s="22" t="str"/>
      <x:c r="J94" s="22" t="str"/>
      <x:c r="K94" s="22" t="str">
        <x:v>V3_SCOPE_REVIEW</x:v>
      </x:c>
      <x:c r="L94" s="22" t="str">
        <x:v>NO_MATCH</x:v>
      </x:c>
      <x:c r="M94" s="31"/>
      <x:c r="N94" s="34"/>
      <x:c r="O94" s="22" t="str">
        <x:v>SERVICE_OR_GOODS_CEILING</x:v>
      </x:c>
      <x:c r="P94" s="34" t="str">
        <x:f>IFERROR(N94/M94,"")</x:f>
      </x:c>
      <x:c r="Q94" s="22" t="str">
        <x:v>계산 금지</x:v>
      </x:c>
      <x:c r="R94" s="28" t="n">
        <x:v>0</x:v>
      </x:c>
      <x:c r="S94" s="28" t="n">
        <x:v>0</x:v>
      </x:c>
      <x:c r="T94" s="22" t="str"/>
      <x:c r="U94" s="22" t="str"/>
      <x:c r="V94" s="25" t="str">
        <x:v>project_no 안에 서로 다른 시설·Lot·설계·감리·공사 패키지가 있을 수 있어 1개 비용행으로 합산 금지</x:v>
      </x:c>
      <x:c r="W94" s="25" t="str">
        <x:v>설계·감리·기타 용역 집행한도는 건축공사비가 아님</x:v>
      </x:c>
      <x:c r="X94" s="25" t="str">
        <x:v>L2021-00014-1;L2022-00009-1</x:v>
      </x:c>
      <x:c r="Y94" s="25" t="str">
        <x:v>https://nebid.koica.go.kr/oep/lobi/localBidManageDetail.do?P_LOAZ_BID_PBLANC_NO=L2022-00009&amp;P_PBLANC_ODR=1</x:v>
      </x:c>
    </x:row>
    <x:row r="95">
      <x:c r="A95" s="23" t="str">
        <x:v>X</x:v>
      </x:c>
      <x:c r="B95" s="23" t="str">
        <x:v>필리핀</x:v>
      </x:c>
      <x:c r="C95" s="23" t="str">
        <x:v>2022-00069</x:v>
      </x:c>
      <x:c r="D95" s="26" t="str">
        <x:v>[재공고][긴급] 필리핀 기마라스주 해수양식센터 건립 설계 용역업체 선정</x:v>
      </x:c>
      <x:c r="E95" s="29" t="n">
        <x:v>2</x:v>
      </x:c>
      <x:c r="F95" s="29" t="n">
        <x:v>2</x:v>
      </x:c>
      <x:c r="G95" s="29" t="n">
        <x:v>0</x:v>
      </x:c>
      <x:c r="H95" s="23" t="str">
        <x:v>L2025-00094-1</x:v>
      </x:c>
      <x:c r="I95" s="23" t="str"/>
      <x:c r="J95" s="23" t="str"/>
      <x:c r="K95" s="23" t="str">
        <x:v>V3_SCOPE_REVIEW</x:v>
      </x:c>
      <x:c r="L95" s="23" t="str">
        <x:v>NO_MATCH</x:v>
      </x:c>
      <x:c r="M95" s="32" t="n">
        <x:v>8722.56</x:v>
      </x:c>
      <x:c r="N95" s="35"/>
      <x:c r="O95" s="23" t="str">
        <x:v>SERVICE_OR_GOODS_CEILING</x:v>
      </x:c>
      <x:c r="P95" s="35" t="n">
        <x:f>IFERROR(N95/M95,"")</x:f>
        <x:v>0</x:v>
      </x:c>
      <x:c r="Q95" s="23" t="str">
        <x:v>계산 금지</x:v>
      </x:c>
      <x:c r="R95" s="29" t="n">
        <x:v>0</x:v>
      </x:c>
      <x:c r="S95" s="29" t="n">
        <x:v>0</x:v>
      </x:c>
      <x:c r="T95" s="23" t="str"/>
      <x:c r="U95" s="23" t="str"/>
      <x:c r="V95" s="26" t="str">
        <x:v>project_no 안에 서로 다른 시설·Lot·설계·감리·공사 패키지가 있을 수 있어 1개 비용행으로 합산 금지</x:v>
      </x:c>
      <x:c r="W95" s="26" t="str">
        <x:v>설계·감리·기타 용역 집행한도는 건축공사비가 아님</x:v>
      </x:c>
      <x:c r="X95" s="26" t="str">
        <x:v>L2025-00075-1;L2025-00094-1</x:v>
      </x:c>
      <x:c r="Y95" s="26" t="str">
        <x:v>https://nebid.koica.go.kr/oep/lobi/localBidManageDetail.do?P_LOAZ_BID_PBLANC_NO=L2025-00094&amp;P_PBLANC_ODR=1</x:v>
      </x:c>
    </x:row>
  </x:sheetData>
  <x:mergeCells>
    <x:mergeCell ref="A1:Y1"/>
    <x:mergeCell ref="A2:Y2"/>
  </x:mergeCells>
  <x:conditionalFormatting sqref="A5:A95">
    <x:cfRule type="beginsWith" dxfId="0" priority="1" operator="beginsWith" text="A"/>
    <x:cfRule type="beginsWith" dxfId="1" priority="2" operator="beginsWith" text="B"/>
    <x:cfRule type="beginsWith" dxfId="2" priority="3" operator="beginsWith" text="C"/>
    <x:cfRule type="beginsWith" dxfId="3" priority="4" operator="beginsWith" text="U"/>
    <x:cfRule type="beginsWith" dxfId="4" priority="5" operator="beginsWith" text="X"/>
  </x:conditionalFormatting>
  <x:pageMargins left="0.7" right="0.7" top="0.75" bottom="0.75" header="0.3" footer="0.3"/>
  <x:tableParts count="1">
    <x:tablePart xmlns:r="http://schemas.openxmlformats.org/officeDocument/2006/relationships" r:id="Rbf526614bde544e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16" hidden="0" customWidth="1"/>
    <x:col min="4" max="4" width="15" hidden="0" customWidth="1"/>
    <x:col min="5" max="5" width="12" hidden="0" customWidth="1"/>
    <x:col min="6" max="6" width="14" hidden="0" customWidth="1"/>
    <x:col min="7" max="7" width="44" hidden="0" customWidth="1"/>
    <x:col min="8" max="8" width="11" hidden="0" customWidth="1"/>
    <x:col min="9" max="9" width="23" hidden="0" customWidth="1"/>
    <x:col min="10" max="10" width="22" hidden="0" customWidth="1"/>
    <x:col min="11" max="11" width="18" hidden="0" customWidth="1"/>
    <x:col min="12" max="12" width="29" hidden="0" customWidth="1"/>
    <x:col min="13" max="13" width="16" hidden="0" customWidth="1"/>
    <x:col min="14" max="14" width="17" hidden="0" customWidth="1"/>
    <x:col min="15" max="15" width="24" hidden="0" customWidth="1"/>
    <x:col min="16" max="16" width="13" hidden="0" customWidth="1"/>
    <x:col min="17" max="17" width="14" hidden="0" customWidth="1"/>
    <x:col min="18" max="18" width="27" hidden="0" customWidth="1"/>
    <x:col min="19" max="19" width="24" hidden="0" customWidth="1"/>
    <x:col min="20" max="20" width="14" hidden="0" customWidth="1"/>
    <x:col min="21" max="21" width="24" hidden="0" customWidth="1"/>
    <x:col min="22" max="22" width="22" hidden="0" customWidth="1"/>
    <x:col min="23" max="23" width="10" hidden="0" customWidth="1"/>
    <x:col min="24" max="24" width="10" hidden="0" customWidth="1"/>
    <x:col min="25" max="25" width="9" hidden="0" customWidth="1"/>
    <x:col min="26" max="26" width="11" hidden="0" customWidth="1"/>
    <x:col min="27" max="27" width="10" hidden="0" customWidth="1"/>
    <x:col min="28" max="28" width="11" hidden="0" customWidth="1"/>
    <x:col min="29" max="29" width="10" hidden="0" customWidth="1"/>
    <x:col min="30" max="30" width="11" hidden="0" customWidth="1"/>
    <x:col min="31" max="31" width="11" hidden="0" customWidth="1"/>
    <x:col min="32" max="32" width="36" hidden="0" customWidth="1"/>
    <x:col min="33" max="33" width="42" hidden="0" customWidth="1"/>
    <x:col min="34" max="34" width="44" hidden="0" customWidth="1"/>
    <x:col min="35" max="35" width="20" hidden="0" customWidth="1"/>
    <x:col min="36" max="36" width="44" hidden="0" customWidth="1"/>
    <x:col min="37" max="37" width="20" hidden="0" customWidth="1"/>
    <x:col min="38" max="38" width="48" hidden="0" customWidth="1"/>
    <x:col min="39" max="39" width="28" hidden="0" customWidth="1"/>
  </x:cols>
  <x:sheetData>
    <x:row r="1" ht="34" customHeight="1">
      <x:c r="A1" s="3" t="str">
        <x:v>KOICA 면적·금액 170공고 전수 재검토</x:v>
      </x:c>
    </x:row>
    <x:row r="2" ht="42" customHeight="1">
      <x:c r="A2" s="7" t="str">
        <x:v>상세페이지 공고금액, 첨부 속 건축공사 예산, 면적 의미, 같은 범위 여부를 분리했습니다. T열 명목 원단위는 A/B/C/C? 검토 보조값이며 미래 견적값이 아닙니다.</x:v>
      </x:c>
    </x:row>
    <x:row r="4" ht="32" customHeight="1">
      <x:c r="A4" s="13" t="str">
        <x:v>등급</x:v>
      </x:c>
      <x:c r="B4" s="13" t="str">
        <x:v>사업번호</x:v>
      </x:c>
      <x:c r="C4" s="13" t="str">
        <x:v>공고번호</x:v>
      </x:c>
      <x:c r="D4" s="13" t="str">
        <x:v>공고군</x:v>
      </x:c>
      <x:c r="E4" s="13" t="str">
        <x:v>공고일</x:v>
      </x:c>
      <x:c r="F4" s="13" t="str">
        <x:v>국가</x:v>
      </x:c>
      <x:c r="G4" s="13" t="str">
        <x:v>공고명</x:v>
      </x:c>
      <x:c r="H4" s="13" t="str">
        <x:v>저장계약유형</x:v>
      </x:c>
      <x:c r="I4" s="13" t="str">
        <x:v>실제역할</x:v>
      </x:c>
      <x:c r="J4" s="13" t="str">
        <x:v>공고금액의미</x:v>
      </x:c>
      <x:c r="K4" s="13" t="str">
        <x:v>공고수준범위</x:v>
      </x:c>
      <x:c r="L4" s="13" t="str">
        <x:v>증거수준범위</x:v>
      </x:c>
      <x:c r="M4" s="13" t="str">
        <x:v>상세페이지한도USD</x:v>
      </x:c>
      <x:c r="N4" s="13" t="str">
        <x:v>선택공사금액USD</x:v>
      </x:c>
      <x:c r="O4" s="13" t="str">
        <x:v>가격단계</x:v>
      </x:c>
      <x:c r="P4" s="13" t="str">
        <x:v>한도-선택차이%</x:v>
      </x:c>
      <x:c r="Q4" s="13" t="str">
        <x:v>선택면적㎡</x:v>
      </x:c>
      <x:c r="R4" s="13" t="str">
        <x:v>면적의미</x:v>
      </x:c>
      <x:c r="S4" s="13" t="str">
        <x:v>면적집계</x:v>
      </x:c>
      <x:c r="T4" s="13" t="str">
        <x:v>명목USD/㎡</x:v>
      </x:c>
      <x:c r="U4" s="13" t="str">
        <x:v>검증수준</x:v>
      </x:c>
      <x:c r="V4" s="13" t="str">
        <x:v>허용용도</x:v>
      </x:c>
      <x:c r="W4" s="13" t="str">
        <x:v>공고군대표</x:v>
      </x:c>
      <x:c r="X4" s="13" t="str">
        <x:v>사업대표</x:v>
      </x:c>
      <x:c r="Y4" s="13" t="str">
        <x:v>기존66</x:v>
      </x:c>
      <x:c r="Z4" s="13" t="str">
        <x:v>엄격첨부검증</x:v>
      </x:c>
      <x:c r="AA4" s="13" t="str">
        <x:v>색인첨부</x:v>
      </x:c>
      <x:c r="AB4" s="13" t="str">
        <x:v>스프레드시트</x:v>
      </x:c>
      <x:c r="AC4" s="13" t="str">
        <x:v>BOQ명칭</x:v>
      </x:c>
      <x:c r="AD4" s="13" t="str">
        <x:v>수량표신호</x:v>
      </x:c>
      <x:c r="AE4" s="13" t="str">
        <x:v>가격표신호</x:v>
      </x:c>
      <x:c r="AF4" s="13" t="str">
        <x:v>판정근거</x:v>
      </x:c>
      <x:c r="AG4" s="13" t="str">
        <x:v>수동주의</x:v>
      </x:c>
      <x:c r="AH4" s="13" t="str">
        <x:v>금액근거파일</x:v>
      </x:c>
      <x:c r="AI4" s="13" t="str">
        <x:v>금액위치</x:v>
      </x:c>
      <x:c r="AJ4" s="13" t="str">
        <x:v>면적근거파일</x:v>
      </x:c>
      <x:c r="AK4" s="13" t="str">
        <x:v>면적위치</x:v>
      </x:c>
      <x:c r="AL4" s="13" t="str">
        <x:v>근거문맥</x:v>
      </x:c>
      <x:c r="AM4" s="13" t="str">
        <x:v>KOICA URL</x:v>
      </x:c>
    </x:row>
    <x:row r="5">
      <x:c r="A5" s="21" t="str">
        <x:v>C</x:v>
      </x:c>
      <x:c r="B5" s="21" t="str">
        <x:v>201701</x:v>
      </x:c>
      <x:c r="C5" s="21" t="str">
        <x:v>L2017-00001-1</x:v>
      </x:c>
      <x:c r="D5" s="21" t="str">
        <x:v>L2017-00001</x:v>
      </x:c>
      <x:c r="E5" s="21" t="str">
        <x:v>2017-01-23</x:v>
      </x:c>
      <x:c r="F5" s="21" t="str">
        <x:v>세네갈</x:v>
      </x:c>
      <x:c r="G5" s="24" t="str">
        <x:v>세네갈 고등기술전문대학(ISEP) 설립사업 및 농업기술학교(CIPA) 역량강화사업 시공업체 선정</x:v>
      </x:c>
      <x:c r="H5" s="21" t="str">
        <x:v>공사</x:v>
      </x:c>
      <x:c r="I5" s="21" t="str">
        <x:v>WORKS</x:v>
      </x:c>
      <x:c r="J5" s="21" t="str">
        <x:v>WORKS_CEILING</x:v>
      </x:c>
      <x:c r="K5" s="21" t="str">
        <x:v>MATCH</x:v>
      </x:c>
      <x:c r="L5" s="21" t="str">
        <x:v>MATCH</x:v>
      </x:c>
      <x:c r="M5" s="33" t="n">
        <x:v>5784000</x:v>
      </x:c>
      <x:c r="N5" s="33" t="n">
        <x:v>5664262.66</x:v>
      </x:c>
      <x:c r="O5" s="21" t="str">
        <x:v>ADVERTISED_ESTIMATED_BUDGET</x:v>
      </x:c>
      <x:c r="P5" s="36" t="n">
        <x:f>IF(AND(M5&lt;&gt;"",N5&lt;&gt;"",O5&lt;&gt;"NOTICE_EXECUTION_CEILING"),M5/N5-1,"")</x:f>
        <x:v>0.0211390867951029</x:v>
      </x:c>
      <x:c r="Q5" s="30" t="n">
        <x:v>8694</x:v>
      </x:c>
      <x:c r="R5" s="21" t="str">
        <x:v>GFA</x:v>
      </x:c>
      <x:c r="S5" s="21" t="str">
        <x:v>SUM_OR_MULTI</x:v>
      </x:c>
      <x:c r="T5" s="33" t="n">
        <x:f>IFERROR(N5/Q5,"")</x:f>
        <x:v>651.5139935587762</x:v>
      </x:c>
      <x:c r="U5" s="21" t="str">
        <x:v>V3_CURATED_AREA_COST_RECHECK</x:v>
      </x:c>
      <x:c r="V5" s="21" t="str">
        <x:v>초기 스크리닝만</x:v>
      </x:c>
      <x:c r="W5" s="27" t="n">
        <x:v>1</x:v>
      </x:c>
      <x:c r="X5" s="27" t="n">
        <x:v>1</x:v>
      </x:c>
      <x:c r="Y5" s="27" t="n">
        <x:v>1</x:v>
      </x:c>
      <x:c r="Z5" s="27" t="n">
        <x:v>0</x:v>
      </x:c>
      <x:c r="AA5" s="27" t="n">
        <x:v>1</x:v>
      </x:c>
      <x:c r="AB5" s="27" t="n">
        <x:v>0</x:v>
      </x:c>
      <x:c r="AC5" s="27" t="n">
        <x:v>0</x:v>
      </x:c>
      <x:c r="AD5" s="27" t="n">
        <x:v>0</x:v>
      </x:c>
      <x:c r="AE5" s="27" t="n">
        <x:v>0</x:v>
      </x:c>
      <x:c r="AF5" s="24" t="str">
        <x:v>동일/제한 범위 공사금액÷면적 스크리닝 근거</x:v>
      </x:c>
      <x:c r="AG5" s="24" t="str"/>
      <x:c r="AH5" s="24" t="str">
        <x:v>L2017-00001-1/붙임2_입찰공고문(영문).docx</x:v>
      </x:c>
      <x:c r="AI5" s="24" t="str">
        <x:v>문단 15</x:v>
      </x:c>
      <x:c r="AJ5" s="24" t="str">
        <x:v>L2017-00001-1/붙임2_입찰공고문(영문).docx</x:v>
      </x:c>
      <x:c r="AK5" s="24" t="str">
        <x:v>문단 19</x:v>
      </x:c>
      <x:c r="AL5" s="24" t="str">
        <x:v>2개 시설 연면적 합계 8,694.00㎡; 집행한도 USD 5,784,000; 명목단가 USD 665/㎡.</x:v>
      </x:c>
      <x:c r="AM5" s="24" t="str">
        <x:v>https://nebid.koica.go.kr/oep/lobi/localBidManageDetail.do?P_LOAZ_BID_PBLANC_NO=L2017-00001&amp;P_PBLANC_ODR=1</x:v>
      </x:c>
    </x:row>
    <x:row r="6">
      <x:c r="A6" s="22" t="str">
        <x:v>C</x:v>
      </x:c>
      <x:c r="B6" s="22" t="str">
        <x:v>L2017-0004</x:v>
      </x:c>
      <x:c r="C6" s="22" t="str">
        <x:v>L2017-00005-1</x:v>
      </x:c>
      <x:c r="D6" s="22" t="str">
        <x:v>L2017-00005</x:v>
      </x:c>
      <x:c r="E6" s="22" t="str">
        <x:v>2017-08-15</x:v>
      </x:c>
      <x:c r="F6" s="22" t="str">
        <x:v>에콰도르</x:v>
      </x:c>
      <x:c r="G6" s="25" t="str">
        <x:v>에콰도르 과야스주 보건의료센터 건립사업 시공사 선정 입찰</x:v>
      </x:c>
      <x:c r="H6" s="22" t="str">
        <x:v>공사</x:v>
      </x:c>
      <x:c r="I6" s="22" t="str">
        <x:v>WORKS</x:v>
      </x:c>
      <x:c r="J6" s="22" t="str">
        <x:v>WORKS_CEILING</x:v>
      </x:c>
      <x:c r="K6" s="22" t="str">
        <x:v>MATCH</x:v>
      </x:c>
      <x:c r="L6" s="22" t="str">
        <x:v>MATCH</x:v>
      </x:c>
      <x:c r="M6" s="34" t="n">
        <x:v>3572800</x:v>
      </x:c>
      <x:c r="N6" s="34" t="n">
        <x:v>3572800</x:v>
      </x:c>
      <x:c r="O6" s="22" t="str">
        <x:v>NOTICE_EXECUTION_CEILING</x:v>
      </x:c>
      <x:c r="P6" s="37" t="str">
        <x:f>IF(AND(M6&lt;&gt;"",N6&lt;&gt;"",O6&lt;&gt;"NOTICE_EXECUTION_CEILING"),M6/N6-1,"")</x:f>
      </x:c>
      <x:c r="Q6" s="31" t="n">
        <x:v>2541.35</x:v>
      </x:c>
      <x:c r="R6" s="22" t="str">
        <x:v>GFA</x:v>
      </x:c>
      <x:c r="S6" s="22" t="str">
        <x:v>SINGLE_OR_TOTAL</x:v>
      </x:c>
      <x:c r="T6" s="34" t="n">
        <x:f>IFERROR(N6/Q6,"")</x:f>
        <x:v>1405.866960473764</x:v>
      </x:c>
      <x:c r="U6" s="22" t="str">
        <x:v>V3_CURATED_AREA_COST_RECHECK</x:v>
      </x:c>
      <x:c r="V6" s="22" t="str">
        <x:v>초기 스크리닝만</x:v>
      </x:c>
      <x:c r="W6" s="28" t="n">
        <x:v>1</x:v>
      </x:c>
      <x:c r="X6" s="28" t="n">
        <x:v>1</x:v>
      </x:c>
      <x:c r="Y6" s="28" t="n">
        <x:v>1</x:v>
      </x:c>
      <x:c r="Z6" s="28" t="n">
        <x:v>0</x:v>
      </x:c>
      <x:c r="AA6" s="28" t="n">
        <x:v>3</x:v>
      </x:c>
      <x:c r="AB6" s="28" t="n">
        <x:v>0</x:v>
      </x:c>
      <x:c r="AC6" s="28" t="n">
        <x:v>0</x:v>
      </x:c>
      <x:c r="AD6" s="28" t="n">
        <x:v>0</x:v>
      </x:c>
      <x:c r="AE6" s="28" t="n">
        <x:v>0</x:v>
      </x:c>
      <x:c r="AF6" s="25" t="str">
        <x:v>동일/제한 범위 공사금액÷면적 스크리닝 근거</x:v>
      </x:c>
      <x:c r="AG6" s="25" t="str"/>
      <x:c r="AH6" s="25" t="str">
        <x:v>L2017-00005-1/PUBLICACION INGLES FINAL 14 AGO 2017.docx</x:v>
      </x:c>
      <x:c r="AI6" s="25" t="str">
        <x:v>표 1 행 3</x:v>
      </x:c>
      <x:c r="AJ6" s="25" t="str">
        <x:v>L2017-00005-1/PUBLICACION INGLES FINAL 14 AGO 2017.docx</x:v>
      </x:c>
      <x:c r="AK6" s="25" t="str">
        <x:v>표 1 행 3</x:v>
      </x:c>
      <x:c r="AL6" s="25" t="str">
        <x:v>총연면적 2,541.35㎡; 집행한도 USD 3,572,800; 명목단가 USD 1,406/㎡.</x:v>
      </x:c>
      <x:c r="AM6" s="25" t="str">
        <x:v>https://nebid.koica.go.kr/oep/lobi/localBidManageDetail.do?P_LOAZ_BID_PBLANC_NO=L2017-00005&amp;P_PBLANC_ODR=1</x:v>
      </x:c>
    </x:row>
    <x:row r="7">
      <x:c r="A7" s="22" t="str">
        <x:v>C</x:v>
      </x:c>
      <x:c r="B7" s="22" t="str">
        <x:v>2016-00028</x:v>
      </x:c>
      <x:c r="C7" s="22" t="str">
        <x:v>L2017-00007-1</x:v>
      </x:c>
      <x:c r="D7" s="22" t="str">
        <x:v>L2017-00007</x:v>
      </x:c>
      <x:c r="E7" s="22" t="str">
        <x:v>2017-09-11</x:v>
      </x:c>
      <x:c r="F7" s="22" t="str">
        <x:v>라오스</x:v>
      </x:c>
      <x:c r="G7" s="25" t="str">
        <x:v>라오스 청년동맹 IT센터 역량강화사업 시공업체 선정</x:v>
      </x:c>
      <x:c r="H7" s="22" t="str">
        <x:v>공사</x:v>
      </x:c>
      <x:c r="I7" s="22" t="str">
        <x:v>WORKS</x:v>
      </x:c>
      <x:c r="J7" s="22" t="str">
        <x:v>WORKS_CEILING</x:v>
      </x:c>
      <x:c r="K7" s="22" t="str">
        <x:v>MATCH</x:v>
      </x:c>
      <x:c r="L7" s="22" t="str">
        <x:v>MATCH</x:v>
      </x:c>
      <x:c r="M7" s="34" t="n">
        <x:v>1227580</x:v>
      </x:c>
      <x:c r="N7" s="34" t="n">
        <x:v>1197640</x:v>
      </x:c>
      <x:c r="O7" s="22" t="str">
        <x:v>ADVERTISED_BUDGET_CAP</x:v>
      </x:c>
      <x:c r="P7" s="37" t="n">
        <x:f>IF(AND(M7&lt;&gt;"",N7&lt;&gt;"",O7&lt;&gt;"NOTICE_EXECUTION_CEILING"),M7/N7-1,"")</x:f>
        <x:v>0.024999165024548242</x:v>
      </x:c>
      <x:c r="Q7" s="31" t="n">
        <x:v>1562.68</x:v>
      </x:c>
      <x:c r="R7" s="22" t="str">
        <x:v>GFA_OR_CURATED_AREA</x:v>
      </x:c>
      <x:c r="S7" s="22" t="str">
        <x:v>SUM_OR_MULTI</x:v>
      </x:c>
      <x:c r="T7" s="34" t="n">
        <x:f>IFERROR(N7/Q7,"")</x:f>
        <x:v>766.4013105690224</x:v>
      </x:c>
      <x:c r="U7" s="22" t="str">
        <x:v>V3_CURATED_AREA_COST_RECHECK</x:v>
      </x:c>
      <x:c r="V7" s="22" t="str">
        <x:v>초기 스크리닝만</x:v>
      </x:c>
      <x:c r="W7" s="28" t="n">
        <x:v>1</x:v>
      </x:c>
      <x:c r="X7" s="28" t="n">
        <x:v>1</x:v>
      </x:c>
      <x:c r="Y7" s="28" t="n">
        <x:v>1</x:v>
      </x:c>
      <x:c r="Z7" s="28" t="n">
        <x:v>0</x:v>
      </x:c>
      <x:c r="AA7" s="28" t="n">
        <x:v>1</x:v>
      </x:c>
      <x:c r="AB7" s="28" t="n">
        <x:v>0</x:v>
      </x:c>
      <x:c r="AC7" s="28" t="n">
        <x:v>0</x:v>
      </x:c>
      <x:c r="AD7" s="28" t="n">
        <x:v>0</x:v>
      </x:c>
      <x:c r="AE7" s="28" t="n">
        <x:v>0</x:v>
      </x:c>
      <x:c r="AF7" s="25" t="str">
        <x:v>동일/제한 범위 공사금액÷면적 스크리닝 근거</x:v>
      </x:c>
      <x:c r="AG7" s="25" t="str"/>
      <x:c r="AH7" s="25" t="str">
        <x:v>L2017-00007-1/청년동맹 IT 센터 Bid Announcement (20170911_신문공고).docx</x:v>
      </x:c>
      <x:c r="AI7" s="25" t="str">
        <x:v>문단 27</x:v>
      </x:c>
      <x:c r="AJ7" s="25" t="str">
        <x:v>L2017-00007-1/청년동맹 IT 센터 Bid Announcement (20170911_신문공고).docx</x:v>
      </x:c>
      <x:c r="AK7" s="25" t="str">
        <x:v>표 1 행 4</x:v>
      </x:c>
      <x:c r="AL7" s="25" t="str">
        <x:v>본동+연결통로 합계 1,562.68㎡; 집행한도 USD 1,227,580; 명목단가 USD 786/㎡.</x:v>
      </x:c>
      <x:c r="AM7" s="25" t="str">
        <x:v>https://nebid.koica.go.kr/oep/lobi/localBidManageDetail.do?P_LOAZ_BID_PBLANC_NO=L2017-00007&amp;P_PBLANC_ODR=1</x:v>
      </x:c>
    </x:row>
    <x:row r="8">
      <x:c r="A8" s="22" t="str">
        <x:v>X</x:v>
      </x:c>
      <x:c r="B8" s="22" t="str">
        <x:v>2016-00206</x:v>
      </x:c>
      <x:c r="C8" s="22" t="str">
        <x:v>L2018-00005-1</x:v>
      </x:c>
      <x:c r="D8" s="22" t="str">
        <x:v>L2018-00005</x:v>
      </x:c>
      <x:c r="E8" s="22" t="str">
        <x:v>2017-10-03</x:v>
      </x:c>
      <x:c r="F8" s="22" t="str">
        <x:v>요르단</x:v>
      </x:c>
      <x:c r="G8" s="25" t="str">
        <x:v>요르단 시리아 난민 밀집지역 취약계층 아동을 위한 3개 학교 건립사업 설계감리 용역 선정</x:v>
      </x:c>
      <x:c r="H8" s="22" t="str">
        <x:v>용역</x:v>
      </x:c>
      <x:c r="I8" s="22" t="str">
        <x:v>DESIGN_OR_SUPERVISION_SERVICE</x:v>
      </x:c>
      <x:c r="J8" s="22" t="str">
        <x:v>SERVICE_FEE_OR_MIXED</x:v>
      </x:c>
      <x:c r="K8" s="22" t="str">
        <x:v>NO_MATCH</x:v>
      </x:c>
      <x:c r="L8" s="22" t="str">
        <x:v>NO_MATCH</x:v>
      </x:c>
      <x:c r="M8" s="34" t="n">
        <x:v>450000</x:v>
      </x:c>
      <x:c r="N8" s="34"/>
      <x:c r="O8" s="22" t="str">
        <x:v>SERVICE_OR_GOODS_CEILING</x:v>
      </x:c>
      <x:c r="P8" s="37" t="str">
        <x:f>IF(AND(M8&lt;&gt;"",N8&lt;&gt;"",O8&lt;&gt;"NOTICE_EXECUTION_CEILING"),M8/N8-1,"")</x:f>
      </x:c>
      <x:c r="Q8" s="31" t="n">
        <x:v>3492</x:v>
      </x:c>
      <x:c r="R8" s="22" t="str">
        <x:v>GFA</x:v>
      </x:c>
      <x:c r="S8" s="22" t="str">
        <x:v>AUTO_SELECTED_SINGLE_OR_TOTAL</x:v>
      </x:c>
      <x:c r="T8" s="34" t="n">
        <x:f>IFERROR(N8/Q8,"")</x:f>
        <x:v>0</x:v>
      </x:c>
      <x:c r="U8" s="22" t="str">
        <x:v>V3_SCOPE_REVIEW</x:v>
      </x:c>
      <x:c r="V8" s="22" t="str">
        <x:v>계산 금지</x:v>
      </x:c>
      <x:c r="W8" s="28" t="n">
        <x:v>1</x:v>
      </x:c>
      <x:c r="X8" s="28" t="n">
        <x:v>0</x:v>
      </x:c>
      <x:c r="Y8" s="28" t="n">
        <x:v>0</x:v>
      </x:c>
      <x:c r="Z8" s="28" t="n">
        <x:v>0</x:v>
      </x:c>
      <x:c r="AA8" s="28" t="n">
        <x:v>1</x:v>
      </x:c>
      <x:c r="AB8" s="28" t="n">
        <x:v>0</x:v>
      </x:c>
      <x:c r="AC8" s="28" t="n">
        <x:v>0</x:v>
      </x:c>
      <x:c r="AD8" s="28" t="n">
        <x:v>0</x:v>
      </x:c>
      <x:c r="AE8" s="28" t="n">
        <x:v>0</x:v>
      </x:c>
      <x:c r="AF8" s="25" t="str">
        <x:v>설계·감리·기타 용역 집행한도는 건축공사비가 아님</x:v>
      </x:c>
      <x:c r="AG8" s="25" t="str"/>
      <x:c r="AH8" s="25" t="str">
        <x:v>KOICA 입찰 상세페이지</x:v>
      </x:c>
      <x:c r="AI8" s="25" t="str">
        <x:v>집행한도금액(달러)</x:v>
      </x:c>
      <x:c r="AJ8" s="25" t="str">
        <x:v>L2018-00005-1/[KOICA] Invitation for Bids - Procurement of Consultants Services.pdf</x:v>
      </x:c>
      <x:c r="AK8" s="25" t="str">
        <x:v>페이지 1</x:v>
      </x:c>
      <x:c r="AL8" s="25" t="str">
        <x:v>New Schools for Disadvantaged Students; Services Irbid, Mafraq, and Zarqa Al-Bayadhah Secondary School for Girls in Irbid: Total floor area 3,492 ㎡ for new construction work; - Service Area Al-Hamrah Basic Mixed Schoo</x:v>
      </x:c>
      <x:c r="AM8" s="25" t="str">
        <x:v>https://nebid.koica.go.kr/oep/lobi/localBidManageDetail.do?P_LOAZ_BID_PBLANC_NO=L2018-00005&amp;P_PBLANC_ODR=1</x:v>
      </x:c>
    </x:row>
    <x:row r="9">
      <x:c r="A9" s="22" t="str">
        <x:v>C</x:v>
      </x:c>
      <x:c r="B9" s="22" t="str">
        <x:v>2014-00024</x:v>
      </x:c>
      <x:c r="C9" s="22" t="str">
        <x:v>L2017-00011-1</x:v>
      </x:c>
      <x:c r="D9" s="22" t="str">
        <x:v>L2017-00011</x:v>
      </x:c>
      <x:c r="E9" s="22" t="str">
        <x:v>2017-12-27</x:v>
      </x:c>
      <x:c r="F9" s="22" t="str">
        <x:v>투르크메니스탄</x:v>
      </x:c>
      <x:c r="G9" s="25" t="str">
        <x:v>투르크메니스탄 가스직업훈련원 역량강화사업 설계시공입찰</x:v>
      </x:c>
      <x:c r="H9" s="22" t="str">
        <x:v>공사</x:v>
      </x:c>
      <x:c r="I9" s="22" t="str">
        <x:v>DESIGN_BUILD_WORKS</x:v>
      </x:c>
      <x:c r="J9" s="22" t="str">
        <x:v>WORKS_CEILING</x:v>
      </x:c>
      <x:c r="K9" s="22" t="str">
        <x:v>MATCH</x:v>
      </x:c>
      <x:c r="L9" s="22" t="str">
        <x:v>MATCH</x:v>
      </x:c>
      <x:c r="M9" s="34" t="n">
        <x:v>2550000</x:v>
      </x:c>
      <x:c r="N9" s="34" t="n">
        <x:v>2550000</x:v>
      </x:c>
      <x:c r="O9" s="22" t="str">
        <x:v>NOTICE_EXECUTION_CEILING</x:v>
      </x:c>
      <x:c r="P9" s="37" t="str">
        <x:f>IF(AND(M9&lt;&gt;"",N9&lt;&gt;"",O9&lt;&gt;"NOTICE_EXECUTION_CEILING"),M9/N9-1,"")</x:f>
      </x:c>
      <x:c r="Q9" s="31" t="n">
        <x:v>2250</x:v>
      </x:c>
      <x:c r="R9" s="22" t="str">
        <x:v>GFA</x:v>
      </x:c>
      <x:c r="S9" s="22" t="str">
        <x:v>SINGLE_OR_TOTAL</x:v>
      </x:c>
      <x:c r="T9" s="34" t="n">
        <x:f>IFERROR(N9/Q9,"")</x:f>
        <x:v>1133.3333333333333</x:v>
      </x:c>
      <x:c r="U9" s="22" t="str">
        <x:v>V3_CURATED_AREA_COST_RECHECK</x:v>
      </x:c>
      <x:c r="V9" s="22" t="str">
        <x:v>초기 스크리닝만</x:v>
      </x:c>
      <x:c r="W9" s="28" t="n">
        <x:v>1</x:v>
      </x:c>
      <x:c r="X9" s="28" t="n">
        <x:v>1</x:v>
      </x:c>
      <x:c r="Y9" s="28" t="n">
        <x:v>1</x:v>
      </x:c>
      <x:c r="Z9" s="28" t="n">
        <x:v>0</x:v>
      </x:c>
      <x:c r="AA9" s="28" t="n">
        <x:v>28</x:v>
      </x:c>
      <x:c r="AB9" s="28" t="n">
        <x:v>0</x:v>
      </x:c>
      <x:c r="AC9" s="28" t="n">
        <x:v>0</x:v>
      </x:c>
      <x:c r="AD9" s="28" t="n">
        <x:v>0</x:v>
      </x:c>
      <x:c r="AE9" s="28" t="n">
        <x:v>0</x:v>
      </x:c>
      <x:c r="AF9" s="25" t="str">
        <x:v>동일/제한 범위 공사금액÷면적 스크리닝 근거</x:v>
      </x:c>
      <x:c r="AG9" s="25" t="str"/>
      <x:c r="AH9" s="25" t="str">
        <x:v>L2017-00011-1/입찰서류_투르크메니스탄 가스직업훈련원 설계시공입찰_영문본/Addendum No.1 Scope of the works_Rev 04.docx</x:v>
      </x:c>
      <x:c r="AI9" s="25" t="str">
        <x:v>문단 11</x:v>
      </x:c>
      <x:c r="AJ9" s="25" t="str">
        <x:v>L2017-00011-1/입찰서류_투르크메니스탄 가스직업훈련원 설계시공입찰_영문본/Addendum No.1 Scope of the works_Rev 04.docx</x:v>
      </x:c>
      <x:c r="AK9" s="25" t="str">
        <x:v>문단 11</x:v>
      </x:c>
      <x:c r="AL9" s="25" t="str">
        <x:v>계획 연면적 2,250.00㎡; 집행한도 USD 2,550,000; 명목단가 USD 1,133/㎡.</x:v>
      </x:c>
      <x:c r="AM9" s="25" t="str">
        <x:v>https://nebid.koica.go.kr/oep/lobi/localBidManageDetail.do?P_LOAZ_BID_PBLANC_NO=L2017-00011&amp;P_PBLANC_ODR=1</x:v>
      </x:c>
    </x:row>
    <x:row r="10">
      <x:c r="A10" s="22" t="str">
        <x:v>X</x:v>
      </x:c>
      <x:c r="B10" s="22" t="str">
        <x:v>2015-00011</x:v>
      </x:c>
      <x:c r="C10" s="22" t="str">
        <x:v>L2018-00008-1</x:v>
      </x:c>
      <x:c r="D10" s="22" t="str">
        <x:v>L2018-00008</x:v>
      </x:c>
      <x:c r="E10" s="22" t="str">
        <x:v>2018-05-16</x:v>
      </x:c>
      <x:c r="F10" s="22" t="str">
        <x:v>스리랑카</x:v>
      </x:c>
      <x:c r="G10" s="25" t="str">
        <x:v>스리랑카 기술계 교사양성 및 재교육 사업 신축 설계 및 CA용역 입찰</x:v>
      </x:c>
      <x:c r="H10" s="22" t="str">
        <x:v>용역</x:v>
      </x:c>
      <x:c r="I10" s="22" t="str">
        <x:v>DESIGN_OR_SUPERVISION_SERVICE</x:v>
      </x:c>
      <x:c r="J10" s="22" t="str">
        <x:v>SERVICE_FEE_OR_MIXED</x:v>
      </x:c>
      <x:c r="K10" s="22" t="str">
        <x:v>NO_MATCH</x:v>
      </x:c>
      <x:c r="L10" s="22" t="str">
        <x:v>NO_MATCH</x:v>
      </x:c>
      <x:c r="M10" s="34" t="n">
        <x:v>379000</x:v>
      </x:c>
      <x:c r="N10" s="34"/>
      <x:c r="O10" s="22" t="str">
        <x:v>SERVICE_OR_GOODS_CEILING</x:v>
      </x:c>
      <x:c r="P10" s="37" t="str">
        <x:f>IF(AND(M10&lt;&gt;"",N10&lt;&gt;"",O10&lt;&gt;"NOTICE_EXECUTION_CEILING"),M10/N10-1,"")</x:f>
      </x:c>
      <x:c r="Q10" s="31" t="n">
        <x:v>12960</x:v>
      </x:c>
      <x:c r="R10" s="22" t="str">
        <x:v>GFA</x:v>
      </x:c>
      <x:c r="S10" s="22" t="str">
        <x:v>AUTO_SELECTED_SINGLE_OR_TOTAL</x:v>
      </x:c>
      <x:c r="T10" s="34" t="n">
        <x:f>IFERROR(N10/Q10,"")</x:f>
        <x:v>0</x:v>
      </x:c>
      <x:c r="U10" s="22" t="str">
        <x:v>V3_SCOPE_REVIEW</x:v>
      </x:c>
      <x:c r="V10" s="22" t="str">
        <x:v>계산 금지</x:v>
      </x:c>
      <x:c r="W10" s="28" t="n">
        <x:v>1</x:v>
      </x:c>
      <x:c r="X10" s="28" t="n">
        <x:v>0</x:v>
      </x:c>
      <x:c r="Y10" s="28" t="n">
        <x:v>0</x:v>
      </x:c>
      <x:c r="Z10" s="28" t="n">
        <x:v>0</x:v>
      </x:c>
      <x:c r="AA10" s="28" t="n">
        <x:v>14</x:v>
      </x:c>
      <x:c r="AB10" s="28" t="n">
        <x:v>0</x:v>
      </x:c>
      <x:c r="AC10" s="28" t="n">
        <x:v>0</x:v>
      </x:c>
      <x:c r="AD10" s="28" t="n">
        <x:v>0</x:v>
      </x:c>
      <x:c r="AE10" s="28" t="n">
        <x:v>0</x:v>
      </x:c>
      <x:c r="AF10" s="25" t="str">
        <x:v>설계·감리·기타 용역 집행한도는 건축공사비가 아님</x:v>
      </x:c>
      <x:c r="AG10" s="25" t="str"/>
      <x:c r="AH10" s="25" t="str">
        <x:v>KOICA 입찰 상세페이지</x:v>
      </x:c>
      <x:c r="AI10" s="25" t="str">
        <x:v>집행한도금액(달러)</x:v>
      </x:c>
      <x:c r="AJ10" s="25" t="str">
        <x:v>L2018-00008-1/스리랑카 기술계 교사양성 및 재교육 사업 설계업체 현지입찰 첨부서류/04_Chapter_4._Invitation_to_Bid.docx</x:v>
      </x:c>
      <x:c r="AK10" s="25" t="str">
        <x:v>표 1 행 2</x:v>
      </x:c>
      <x:c r="AL10" s="25" t="str">
        <x:v> of Services | 1. Project Location: Kuliyapitiya, Kurunegala District, Sri Lanka. 2. Site Area: 11.41 Acre (46,174 m2) 3. Total Floor Area: 12,960 m2 4. Scope of Work : Design Consultant Service (Design Service &amp; Constr</x:v>
      </x:c>
      <x:c r="AM10" s="25" t="str">
        <x:v>https://nebid.koica.go.kr/oep/lobi/localBidManageDetail.do?P_LOAZ_BID_PBLANC_NO=L2018-00008&amp;P_PBLANC_ODR=1</x:v>
      </x:c>
    </x:row>
    <x:row r="11">
      <x:c r="A11" s="22" t="str">
        <x:v>C</x:v>
      </x:c>
      <x:c r="B11" s="22" t="str">
        <x:v>2016-00002</x:v>
      </x:c>
      <x:c r="C11" s="22" t="str">
        <x:v>L2018-00011-1</x:v>
      </x:c>
      <x:c r="D11" s="22" t="str">
        <x:v>L2018-00011</x:v>
      </x:c>
      <x:c r="E11" s="22" t="str">
        <x:v>2018-07-18</x:v>
      </x:c>
      <x:c r="F11" s="22" t="str">
        <x:v>파라과이</x:v>
      </x:c>
      <x:c r="G11" s="25" t="str">
        <x:v>파라과이 센트럴주 림삐오시 보건의료체계 형성 및 의료강화사업/ 보건소 신축 1단계 공사</x:v>
      </x:c>
      <x:c r="H11" s="22" t="str">
        <x:v>공사</x:v>
      </x:c>
      <x:c r="I11" s="22" t="str">
        <x:v>WORKS</x:v>
      </x:c>
      <x:c r="J11" s="22" t="str">
        <x:v>WORKS_CEILING</x:v>
      </x:c>
      <x:c r="K11" s="22" t="str">
        <x:v>MATCH</x:v>
      </x:c>
      <x:c r="L11" s="22" t="str">
        <x:v>MATCH</x:v>
      </x:c>
      <x:c r="M11" s="34" t="n">
        <x:v>1623300</x:v>
      </x:c>
      <x:c r="N11" s="34" t="n">
        <x:v>1623300</x:v>
      </x:c>
      <x:c r="O11" s="22" t="str">
        <x:v>NOTICE_EXECUTION_CEILING</x:v>
      </x:c>
      <x:c r="P11" s="37" t="str">
        <x:f>IF(AND(M11&lt;&gt;"",N11&lt;&gt;"",O11&lt;&gt;"NOTICE_EXECUTION_CEILING"),M11/N11-1,"")</x:f>
      </x:c>
      <x:c r="Q11" s="31" t="n">
        <x:v>1987</x:v>
      </x:c>
      <x:c r="R11" s="22" t="str">
        <x:v>GFA</x:v>
      </x:c>
      <x:c r="S11" s="22" t="str">
        <x:v>SINGLE_OR_TOTAL</x:v>
      </x:c>
      <x:c r="T11" s="34" t="n">
        <x:f>IFERROR(N11/Q11,"")</x:f>
        <x:v>816.9602415702063</x:v>
      </x:c>
      <x:c r="U11" s="22" t="str">
        <x:v>V3_CURATED_AREA_COST_RECHECK</x:v>
      </x:c>
      <x:c r="V11" s="22" t="str">
        <x:v>초기 스크리닝만</x:v>
      </x:c>
      <x:c r="W11" s="28" t="n">
        <x:v>1</x:v>
      </x:c>
      <x:c r="X11" s="28" t="n">
        <x:v>1</x:v>
      </x:c>
      <x:c r="Y11" s="28" t="n">
        <x:v>1</x:v>
      </x:c>
      <x:c r="Z11" s="28" t="n">
        <x:v>0</x:v>
      </x:c>
      <x:c r="AA11" s="28" t="n">
        <x:v>3</x:v>
      </x:c>
      <x:c r="AB11" s="28" t="n">
        <x:v>0</x:v>
      </x:c>
      <x:c r="AC11" s="28" t="n">
        <x:v>0</x:v>
      </x:c>
      <x:c r="AD11" s="28" t="n">
        <x:v>0</x:v>
      </x:c>
      <x:c r="AE11" s="28" t="n">
        <x:v>0</x:v>
      </x:c>
      <x:c r="AF11" s="25" t="str">
        <x:v>동일/제한 범위 공사금액÷면적 스크리닝 근거</x:v>
      </x:c>
      <x:c r="AG11" s="25" t="str"/>
      <x:c r="AH11" s="25" t="str">
        <x:v>L2018-00011-1/림삐오 1차 시공 입찰 안내서 160718_수정 (1).hwp</x:v>
      </x:c>
      <x:c r="AI11" s="25" t="str">
        <x:v>문단 26</x:v>
      </x:c>
      <x:c r="AJ11" s="25" t="str">
        <x:v>L2018-00011-1/림삐오 1차 시공 입찰 안내서 160718_수정 (1).hwp</x:v>
      </x:c>
      <x:c r="AK11" s="25" t="str">
        <x:v>문단 26</x:v>
      </x:c>
      <x:c r="AL11" s="25" t="str">
        <x:v>총연면적 1,987.00㎡; 집행한도 USD 1,623,300; 명목단가 USD 817/㎡.</x:v>
      </x:c>
      <x:c r="AM11" s="25" t="str">
        <x:v>https://nebid.koica.go.kr/oep/lobi/localBidManageDetail.do?P_LOAZ_BID_PBLANC_NO=L2018-00011&amp;P_PBLANC_ODR=1</x:v>
      </x:c>
    </x:row>
    <x:row r="12">
      <x:c r="A12" s="22" t="str">
        <x:v>C</x:v>
      </x:c>
      <x:c r="B12" s="22" t="str">
        <x:v>2016-20150</x:v>
      </x:c>
      <x:c r="C12" s="22" t="str">
        <x:v>L2018-00012-1</x:v>
      </x:c>
      <x:c r="D12" s="22" t="str">
        <x:v>L2018-00012</x:v>
      </x:c>
      <x:c r="E12" s="22" t="str">
        <x:v>2018-08-07</x:v>
      </x:c>
      <x:c r="F12" s="22" t="str">
        <x:v>필리핀</x:v>
      </x:c>
      <x:c r="G12" s="25" t="str">
        <x:v>필리핀 퀴리노주 농촌종합개발 2차 사업 설계 및 시공 일괄용역</x:v>
      </x:c>
      <x:c r="H12" s="22" t="str">
        <x:v>공사</x:v>
      </x:c>
      <x:c r="I12" s="22" t="str">
        <x:v>DESIGN_BUILD_WORKS</x:v>
      </x:c>
      <x:c r="J12" s="22" t="str">
        <x:v>WORKS_CEILING</x:v>
      </x:c>
      <x:c r="K12" s="22" t="str">
        <x:v>MATCH</x:v>
      </x:c>
      <x:c r="L12" s="22" t="str">
        <x:v>MATCH</x:v>
      </x:c>
      <x:c r="M12" s="34" t="n">
        <x:v>4486860</x:v>
      </x:c>
      <x:c r="N12" s="34" t="n">
        <x:v>4374688</x:v>
      </x:c>
      <x:c r="O12" s="22" t="str">
        <x:v>ADVERTISED_ESTIMATED_BUDGET</x:v>
      </x:c>
      <x:c r="P12" s="37" t="n">
        <x:f>IF(AND(M12&lt;&gt;"",N12&lt;&gt;"",O12&lt;&gt;"NOTICE_EXECUTION_CEILING"),M12/N12-1,"")</x:f>
        <x:v>0.025641142865502564</x:v>
      </x:c>
      <x:c r="Q12" s="31" t="n">
        <x:v>6615</x:v>
      </x:c>
      <x:c r="R12" s="22" t="str">
        <x:v>GFA</x:v>
      </x:c>
      <x:c r="S12" s="22" t="str">
        <x:v>SUM_OR_MULTI</x:v>
      </x:c>
      <x:c r="T12" s="34" t="n">
        <x:f>IFERROR(N12/Q12,"")</x:f>
        <x:v>661.3284958427815</x:v>
      </x:c>
      <x:c r="U12" s="22" t="str">
        <x:v>V3_CURATED_AREA_COST_RECHECK</x:v>
      </x:c>
      <x:c r="V12" s="22" t="str">
        <x:v>초기 스크리닝만</x:v>
      </x:c>
      <x:c r="W12" s="28" t="n">
        <x:v>1</x:v>
      </x:c>
      <x:c r="X12" s="28" t="n">
        <x:v>1</x:v>
      </x:c>
      <x:c r="Y12" s="28" t="n">
        <x:v>1</x:v>
      </x:c>
      <x:c r="Z12" s="28" t="n">
        <x:v>0</x:v>
      </x:c>
      <x:c r="AA12" s="28" t="n">
        <x:v>3</x:v>
      </x:c>
      <x:c r="AB12" s="28" t="n">
        <x:v>0</x:v>
      </x:c>
      <x:c r="AC12" s="28" t="n">
        <x:v>0</x:v>
      </x:c>
      <x:c r="AD12" s="28" t="n">
        <x:v>0</x:v>
      </x:c>
      <x:c r="AE12" s="28" t="n">
        <x:v>0</x:v>
      </x:c>
      <x:c r="AF12" s="25" t="str">
        <x:v>동일/제한 범위 공사금액÷면적 스크리닝 근거</x:v>
      </x:c>
      <x:c r="AG12" s="25" t="str"/>
      <x:c r="AH12" s="25" t="str">
        <x:v>L2018-00012-1/Bid Announcement (Quirino2)_final.docx</x:v>
      </x:c>
      <x:c r="AI12" s="25" t="str">
        <x:v>표 1 행 7</x:v>
      </x:c>
      <x:c r="AJ12" s="25" t="str">
        <x:v>L2018-00012-1/Addendum No.1 Scope of Works and Design Instruction (Quirino2).docx</x:v>
      </x:c>
      <x:c r="AK12" s="25" t="str">
        <x:v>문단 20</x:v>
      </x:c>
      <x:c r="AL12" s="25" t="str">
        <x:v>3개 동 연면적 합계 6,615.00㎡; 집행한도 USD 4,486,860; 명목단가 USD 678/㎡.</x:v>
      </x:c>
      <x:c r="AM12" s="25" t="str">
        <x:v>https://nebid.koica.go.kr/oep/lobi/localBidManageDetail.do?P_LOAZ_BID_PBLANC_NO=L2018-00012&amp;P_PBLANC_ODR=1</x:v>
      </x:c>
    </x:row>
    <x:row r="13">
      <x:c r="A13" s="22" t="str">
        <x:v>C</x:v>
      </x:c>
      <x:c r="B13" s="22" t="str">
        <x:v>2016-00003</x:v>
      </x:c>
      <x:c r="C13" s="22" t="str">
        <x:v>L2018-00014-1</x:v>
      </x:c>
      <x:c r="D13" s="22" t="str">
        <x:v>L2018-00014</x:v>
      </x:c>
      <x:c r="E13" s="22" t="str">
        <x:v>2018-08-14</x:v>
      </x:c>
      <x:c r="F13" s="22" t="str">
        <x:v>파라과이</x:v>
      </x:c>
      <x:c r="G13" s="25" t="str">
        <x:v>파라과이 취약계층 노인 보건의료복지센터 정책수립 지원사업 산토 도밍고 노인 보인의료복지센터 신축 공사 시공자 선정 현지국제입찰</x:v>
      </x:c>
      <x:c r="H13" s="22" t="str">
        <x:v>공사</x:v>
      </x:c>
      <x:c r="I13" s="22" t="str">
        <x:v>WORKS</x:v>
      </x:c>
      <x:c r="J13" s="22" t="str">
        <x:v>WORKS_CEILING</x:v>
      </x:c>
      <x:c r="K13" s="22" t="str">
        <x:v>MATCH</x:v>
      </x:c>
      <x:c r="L13" s="22" t="str">
        <x:v>MATCH</x:v>
      </x:c>
      <x:c r="M13" s="34" t="n">
        <x:v>4580780</x:v>
      </x:c>
      <x:c r="N13" s="34" t="n">
        <x:v>4466261</x:v>
      </x:c>
      <x:c r="O13" s="22" t="str">
        <x:v>BASIC_ESTIMATED_PRICE</x:v>
      </x:c>
      <x:c r="P13" s="37" t="n">
        <x:f>IF(AND(M13&lt;&gt;"",N13&lt;&gt;"",O13&lt;&gt;"NOTICE_EXECUTION_CEILING"),M13/N13-1,"")</x:f>
        <x:v>0.025640910820034835</x:v>
      </x:c>
      <x:c r="Q13" s="31" t="n">
        <x:v>6428</x:v>
      </x:c>
      <x:c r="R13" s="22" t="str">
        <x:v>GFA</x:v>
      </x:c>
      <x:c r="S13" s="22" t="str">
        <x:v>SINGLE_OR_TOTAL</x:v>
      </x:c>
      <x:c r="T13" s="34" t="n">
        <x:f>IFERROR(N13/Q13,"")</x:f>
        <x:v>694.8134723086497</x:v>
      </x:c>
      <x:c r="U13" s="22" t="str">
        <x:v>V3_CURATED_AREA_COST_RECHECK</x:v>
      </x:c>
      <x:c r="V13" s="22" t="str">
        <x:v>초기 스크리닝만</x:v>
      </x:c>
      <x:c r="W13" s="28" t="n">
        <x:v>1</x:v>
      </x:c>
      <x:c r="X13" s="28" t="n">
        <x:v>1</x:v>
      </x:c>
      <x:c r="Y13" s="28" t="n">
        <x:v>1</x:v>
      </x:c>
      <x:c r="Z13" s="28" t="n">
        <x:v>0</x:v>
      </x:c>
      <x:c r="AA13" s="28" t="n">
        <x:v>3</x:v>
      </x:c>
      <x:c r="AB13" s="28" t="n">
        <x:v>0</x:v>
      </x:c>
      <x:c r="AC13" s="28" t="n">
        <x:v>0</x:v>
      </x:c>
      <x:c r="AD13" s="28" t="n">
        <x:v>0</x:v>
      </x:c>
      <x:c r="AE13" s="28" t="n">
        <x:v>0</x:v>
      </x:c>
      <x:c r="AF13" s="25" t="str">
        <x:v>동일/제한 범위 공사금액÷면적 스크리닝 근거</x:v>
      </x:c>
      <x:c r="AG13" s="25" t="str"/>
      <x:c r="AH13" s="25" t="str">
        <x:v>L2018-00014-1/Bidding Guideline_Santo Domingo_180818.docx</x:v>
      </x:c>
      <x:c r="AI13" s="25" t="str">
        <x:v>문단 64</x:v>
      </x:c>
      <x:c r="AJ13" s="25" t="str">
        <x:v>L2018-00014-1/Bidding Guideline_Santo Domingo_180818.docx</x:v>
      </x:c>
      <x:c r="AK13" s="25" t="str">
        <x:v>문단 44</x:v>
      </x:c>
      <x:c r="AL13" s="25" t="str">
        <x:v>총연면적 6,428.00㎡; 집행한도 USD 4,580,780; 명목단가 USD 713/㎡.</x:v>
      </x:c>
      <x:c r="AM13" s="25" t="str">
        <x:v>https://nebid.koica.go.kr/oep/lobi/localBidManageDetail.do?P_LOAZ_BID_PBLANC_NO=L2018-00014&amp;P_PBLANC_ODR=1</x:v>
      </x:c>
    </x:row>
    <x:row r="14">
      <x:c r="A14" s="22" t="str">
        <x:v>X</x:v>
      </x:c>
      <x:c r="B14" s="22" t="str">
        <x:v>2017-07115</x:v>
      </x:c>
      <x:c r="C14" s="22" t="str">
        <x:v>L2018-00015-1</x:v>
      </x:c>
      <x:c r="D14" s="22" t="str">
        <x:v>L2018-00015</x:v>
      </x:c>
      <x:c r="E14" s="22" t="str">
        <x:v>2018-09-14</x:v>
      </x:c>
      <x:c r="F14" s="22" t="str">
        <x:v>우즈베키스탄</x:v>
      </x:c>
      <x:c r="G14" s="25" t="str">
        <x:v>우즈베키스탄 페르가나 직업훈련원 건축 설계/감리업체 현지입찰</x:v>
      </x:c>
      <x:c r="H14" s="22" t="str">
        <x:v>용역</x:v>
      </x:c>
      <x:c r="I14" s="22" t="str">
        <x:v>DESIGN_OR_SUPERVISION_SERVICE</x:v>
      </x:c>
      <x:c r="J14" s="22" t="str">
        <x:v>SERVICE_FEE_OR_MIXED</x:v>
      </x:c>
      <x:c r="K14" s="22" t="str">
        <x:v>NO_MATCH</x:v>
      </x:c>
      <x:c r="L14" s="22" t="str">
        <x:v>NO_MATCH</x:v>
      </x:c>
      <x:c r="M14" s="34" t="n">
        <x:v>380000</x:v>
      </x:c>
      <x:c r="N14" s="34"/>
      <x:c r="O14" s="22" t="str">
        <x:v>SERVICE_OR_GOODS_CEILING</x:v>
      </x:c>
      <x:c r="P14" s="37" t="str">
        <x:f>IF(AND(M14&lt;&gt;"",N14&lt;&gt;"",O14&lt;&gt;"NOTICE_EXECUTION_CEILING"),M14/N14-1,"")</x:f>
      </x:c>
      <x:c r="Q14" s="31" t="n">
        <x:v>5000</x:v>
      </x:c>
      <x:c r="R14" s="22" t="str">
        <x:v>GFA</x:v>
      </x:c>
      <x:c r="S14" s="22" t="str">
        <x:v>AUTO_SELECTED_SINGLE_OR_TOTAL</x:v>
      </x:c>
      <x:c r="T14" s="34" t="n">
        <x:f>IFERROR(N14/Q14,"")</x:f>
        <x:v>0</x:v>
      </x:c>
      <x:c r="U14" s="22" t="str">
        <x:v>V3_SCOPE_REVIEW</x:v>
      </x:c>
      <x:c r="V14" s="22" t="str">
        <x:v>계산 금지</x:v>
      </x:c>
      <x:c r="W14" s="28" t="n">
        <x:v>1</x:v>
      </x:c>
      <x:c r="X14" s="28" t="n">
        <x:v>0</x:v>
      </x:c>
      <x:c r="Y14" s="28" t="n">
        <x:v>0</x:v>
      </x:c>
      <x:c r="Z14" s="28" t="n">
        <x:v>0</x:v>
      </x:c>
      <x:c r="AA14" s="28" t="n">
        <x:v>2</x:v>
      </x:c>
      <x:c r="AB14" s="28" t="n">
        <x:v>0</x:v>
      </x:c>
      <x:c r="AC14" s="28" t="n">
        <x:v>0</x:v>
      </x:c>
      <x:c r="AD14" s="28" t="n">
        <x:v>0</x:v>
      </x:c>
      <x:c r="AE14" s="28" t="n">
        <x:v>0</x:v>
      </x:c>
      <x:c r="AF14" s="25" t="str">
        <x:v>설계·감리·기타 용역 집행한도는 건축공사비가 아님</x:v>
      </x:c>
      <x:c r="AG14" s="25" t="str"/>
      <x:c r="AH14" s="25" t="str">
        <x:v>KOICA 입찰 상세페이지</x:v>
      </x:c>
      <x:c r="AI14" s="25" t="str">
        <x:v>집행한도금액(달러)</x:v>
      </x:c>
      <x:c r="AJ14" s="25" t="str">
        <x:v>L2018-00015-1/우즈벡_페르가나직훈원_설계 및 감리업체 선정 입찰공고(국문).pdf</x:v>
      </x:c>
      <x:c r="AK14" s="25" t="str">
        <x:v>페이지 1</x:v>
      </x:c>
      <x:c r="AL14" s="25" t="str">
        <x:v>범위: 3. 제안요청서는 입찰설명회에서 참석자에게 제공 예정 ž 건축 계획설계, 기본설계 및 실시설계 4. 제안서 사용 언어: 영어 ž 건축시공감리(저작권감리 및 기술감리 5. 사업의 진행 기간 동안 낙찰자가제출한 서류가 ž 건축 연면적(신축): 약 5,000㎡ 허위이거나 자격 요건 등이 허위로 밝혀질 경우, • 사업부지 위치: 112 Al-Fargoniy Street, Fergana</x:v>
      </x:c>
      <x:c r="AM14" s="25" t="str">
        <x:v>https://nebid.koica.go.kr/oep/lobi/localBidManageDetail.do?P_LOAZ_BID_PBLANC_NO=L2018-00015&amp;P_PBLANC_ODR=1</x:v>
      </x:c>
    </x:row>
    <x:row r="15">
      <x:c r="A15" s="22" t="str">
        <x:v>C?</x:v>
      </x:c>
      <x:c r="B15" s="22" t="str">
        <x:v>2016-00213</x:v>
      </x:c>
      <x:c r="C15" s="22" t="str">
        <x:v>L2018-00019-1</x:v>
      </x:c>
      <x:c r="D15" s="22" t="str">
        <x:v>L2018-00019</x:v>
      </x:c>
      <x:c r="E15" s="22" t="str">
        <x:v>2018-10-02</x:v>
      </x:c>
      <x:c r="F15" s="22" t="str">
        <x:v>라오스</x:v>
      </x:c>
      <x:c r="G15" s="25" t="str">
        <x:v>라오스 한라 직업기술개발원 역량강화사업 건축 공사 설계 및 시공 일괄 입찰</x:v>
      </x:c>
      <x:c r="H15" s="22" t="str">
        <x:v>공사</x:v>
      </x:c>
      <x:c r="I15" s="22" t="str">
        <x:v>DESIGN_BUILD_WORKS</x:v>
      </x:c>
      <x:c r="J15" s="22" t="str">
        <x:v>WORKS_CEILING</x:v>
      </x:c>
      <x:c r="K15" s="22" t="str">
        <x:v>MATCH</x:v>
      </x:c>
      <x:c r="L15" s="22" t="str">
        <x:v>MATCH</x:v>
      </x:c>
      <x:c r="M15" s="34" t="n">
        <x:v>2063987</x:v>
      </x:c>
      <x:c r="N15" s="34" t="n">
        <x:v>2063987</x:v>
      </x:c>
      <x:c r="O15" s="22" t="str">
        <x:v>NOTICE_EXECUTION_CEILING</x:v>
      </x:c>
      <x:c r="P15" s="37" t="str">
        <x:f>IF(AND(M15&lt;&gt;"",N15&lt;&gt;"",O15&lt;&gt;"NOTICE_EXECUTION_CEILING"),M15/N15-1,"")</x:f>
      </x:c>
      <x:c r="Q15" s="31" t="n">
        <x:v>6186</x:v>
      </x:c>
      <x:c r="R15" s="22" t="str">
        <x:v>GFA_MIXED_NEW_AND_RENOVATION</x:v>
      </x:c>
      <x:c r="S15" s="22" t="str">
        <x:v>SUM_6_BUILDINGS</x:v>
      </x:c>
      <x:c r="T15" s="34" t="n">
        <x:f>IFERROR(N15/Q15,"")</x:f>
        <x:v>333.65454251535726</x:v>
      </x:c>
      <x:c r="U15" s="22" t="str">
        <x:v>V2R_HUMAN_REVIEWED_EXTRACTION</x:v>
      </x:c>
      <x:c r="V15" s="22" t="str">
        <x:v>초기 스크리닝만</x:v>
      </x:c>
      <x:c r="W15" s="28" t="n">
        <x:v>1</x:v>
      </x:c>
      <x:c r="X15" s="28" t="n">
        <x:v>1</x:v>
      </x:c>
      <x:c r="Y15" s="28" t="n">
        <x:v>0</x:v>
      </x:c>
      <x:c r="Z15" s="28" t="n">
        <x:v>0</x:v>
      </x:c>
      <x:c r="AA15" s="28" t="n">
        <x:v>1</x:v>
      </x:c>
      <x:c r="AB15" s="28" t="n">
        <x:v>0</x:v>
      </x:c>
      <x:c r="AC15" s="28" t="n">
        <x:v>0</x:v>
      </x:c>
      <x:c r="AD15" s="28" t="n">
        <x:v>0</x:v>
      </x:c>
      <x:c r="AE15" s="28" t="n">
        <x:v>0</x:v>
      </x:c>
      <x:c r="AF15" s="25" t="str">
        <x:v>범위 일치 잠정확인; 원본 V3 확인 전 직접 사용 금지</x:v>
      </x:c>
      <x:c r="AG15" s="25" t="str"/>
      <x:c r="AH15" s="25" t="str">
        <x:v>KOICA 입찰 상세페이지</x:v>
      </x:c>
      <x:c r="AI15" s="25" t="str">
        <x:v>집행한도금액(달러)</x:v>
      </x:c>
      <x:c r="AJ15" s="25" t="str">
        <x:v>L2018-00019-1</x:v>
      </x:c>
      <x:c r="AK15" s="25" t="str">
        <x:v>입찰개요 문단 3</x:v>
      </x:c>
      <x:c r="AL15" s="25" t="str">
        <x:v>신축 1,230+700㎡ 및 기존건물 개보수 1,122+1,350+1,560+224㎡ 합계</x:v>
      </x:c>
      <x:c r="AM15" s="25" t="str">
        <x:v>https://nebid.koica.go.kr/oep/lobi/localBidManageDetail.do?P_LOAZ_BID_PBLANC_NO=L2018-00019&amp;P_PBLANC_ODR=1</x:v>
      </x:c>
    </x:row>
    <x:row r="16">
      <x:c r="A16" s="22" t="str">
        <x:v>C</x:v>
      </x:c>
      <x:c r="B16" s="22" t="str">
        <x:v>2016-00206</x:v>
      </x:c>
      <x:c r="C16" s="22" t="str">
        <x:v>L2018-00020-1</x:v>
      </x:c>
      <x:c r="D16" s="22" t="str">
        <x:v>L2018-00020</x:v>
      </x:c>
      <x:c r="E16" s="22" t="str">
        <x:v>2018-10-02</x:v>
      </x:c>
      <x:c r="F16" s="22" t="str">
        <x:v>요르단</x:v>
      </x:c>
      <x:c r="G16" s="25" t="str">
        <x:v>요르단 시리아 난민밀집지역 취약계층 아동을 위한 3개 학교 건립사업 2개 학교 시공업체 선정 입찰</x:v>
      </x:c>
      <x:c r="H16" s="22" t="str">
        <x:v>공사</x:v>
      </x:c>
      <x:c r="I16" s="22" t="str">
        <x:v>WORKS</x:v>
      </x:c>
      <x:c r="J16" s="22" t="str">
        <x:v>WORKS_CEILING</x:v>
      </x:c>
      <x:c r="K16" s="22" t="str">
        <x:v>MATCH</x:v>
      </x:c>
      <x:c r="L16" s="22" t="str">
        <x:v>MATCH</x:v>
      </x:c>
      <x:c r="M16" s="34" t="n">
        <x:v>5497600</x:v>
      </x:c>
      <x:c r="N16" s="34" t="n">
        <x:v>5354000</x:v>
      </x:c>
      <x:c r="O16" s="22" t="str">
        <x:v>ADVERTISED_BUDGET_CAP</x:v>
      </x:c>
      <x:c r="P16" s="37" t="n">
        <x:f>IF(AND(M16&lt;&gt;"",N16&lt;&gt;"",O16&lt;&gt;"NOTICE_EXECUTION_CEILING"),M16/N16-1,"")</x:f>
        <x:v>0.026821068360104672</x:v>
      </x:c>
      <x:c r="Q16" s="31" t="n">
        <x:v>7599</x:v>
      </x:c>
      <x:c r="R16" s="22" t="str">
        <x:v>GFA</x:v>
      </x:c>
      <x:c r="S16" s="22" t="str">
        <x:v>SUM_OR_MULTI</x:v>
      </x:c>
      <x:c r="T16" s="34" t="n">
        <x:f>IFERROR(N16/Q16,"")</x:f>
        <x:v>704.566390314515</x:v>
      </x:c>
      <x:c r="U16" s="22" t="str">
        <x:v>V3_CURATED_AREA_COST_RECHECK</x:v>
      </x:c>
      <x:c r="V16" s="22" t="str">
        <x:v>초기 스크리닝만</x:v>
      </x:c>
      <x:c r="W16" s="28" t="n">
        <x:v>1</x:v>
      </x:c>
      <x:c r="X16" s="28" t="n">
        <x:v>0</x:v>
      </x:c>
      <x:c r="Y16" s="28" t="n">
        <x:v>1</x:v>
      </x:c>
      <x:c r="Z16" s="28" t="n">
        <x:v>0</x:v>
      </x:c>
      <x:c r="AA16" s="28" t="n">
        <x:v>1</x:v>
      </x:c>
      <x:c r="AB16" s="28" t="n">
        <x:v>0</x:v>
      </x:c>
      <x:c r="AC16" s="28" t="n">
        <x:v>0</x:v>
      </x:c>
      <x:c r="AD16" s="28" t="n">
        <x:v>0</x:v>
      </x:c>
      <x:c r="AE16" s="28" t="n">
        <x:v>0</x:v>
      </x:c>
      <x:c r="AF16" s="25" t="str">
        <x:v>동일/제한 범위 공사금액÷면적 스크리닝 근거</x:v>
      </x:c>
      <x:c r="AG16" s="25" t="str"/>
      <x:c r="AH16" s="25" t="str">
        <x:v>L2018-00020-1/붙임_ (입찰공고) Invitation for Bids_Bid Announcement_Rev3_최종.docx</x:v>
      </x:c>
      <x:c r="AI16" s="25" t="str">
        <x:v>문단 27</x:v>
      </x:c>
      <x:c r="AJ16" s="25" t="str">
        <x:v>L2018-00020-1/붙임_ (입찰공고) Invitation for Bids_Bid Announcement_Rev3_최종.docx</x:v>
      </x:c>
      <x:c r="AK16" s="25" t="str">
        <x:v>표 1 행 4</x:v>
      </x:c>
      <x:c r="AL16" s="25" t="str">
        <x:v>2개 학교 연면적 합계 7,599.00㎡; 집행한도 USD 5,497,600; 명목단가 USD 723/㎡.</x:v>
      </x:c>
      <x:c r="AM16" s="25" t="str">
        <x:v>https://nebid.koica.go.kr/oep/lobi/localBidManageDetail.do?P_LOAZ_BID_PBLANC_NO=L2018-00020&amp;P_PBLANC_ODR=1</x:v>
      </x:c>
    </x:row>
    <x:row r="17">
      <x:c r="A17" s="22" t="str">
        <x:v>C?</x:v>
      </x:c>
      <x:c r="B17" s="22" t="str">
        <x:v>2013-00007</x:v>
      </x:c>
      <x:c r="C17" s="22" t="str">
        <x:v>L2018-00026-1</x:v>
      </x:c>
      <x:c r="D17" s="22" t="str">
        <x:v>L2018-00026</x:v>
      </x:c>
      <x:c r="E17" s="22" t="str">
        <x:v>2018-10-07</x:v>
      </x:c>
      <x:c r="F17" s="22" t="str">
        <x:v>볼리비아</x:v>
      </x:c>
      <x:c r="G17" s="25" t="str">
        <x:v>볼리비아 엘알토 병원 3차 지원사업 시공 현지입찰</x:v>
      </x:c>
      <x:c r="H17" s="22" t="str">
        <x:v>공사</x:v>
      </x:c>
      <x:c r="I17" s="22" t="str">
        <x:v>WORKS</x:v>
      </x:c>
      <x:c r="J17" s="22" t="str">
        <x:v>WORKS_CEILING</x:v>
      </x:c>
      <x:c r="K17" s="22" t="str">
        <x:v>MATCH</x:v>
      </x:c>
      <x:c r="L17" s="22" t="str">
        <x:v>MATCH</x:v>
      </x:c>
      <x:c r="M17" s="34" t="n">
        <x:v>4114500</x:v>
      </x:c>
      <x:c r="N17" s="34" t="n">
        <x:v>4114500</x:v>
      </x:c>
      <x:c r="O17" s="22" t="str">
        <x:v>NOTICE_EXECUTION_CEILING</x:v>
      </x:c>
      <x:c r="P17" s="37" t="str">
        <x:f>IF(AND(M17&lt;&gt;"",N17&lt;&gt;"",O17&lt;&gt;"NOTICE_EXECUTION_CEILING"),M17/N17-1,"")</x:f>
      </x:c>
      <x:c r="Q17" s="31" t="n">
        <x:v>2879.23</x:v>
      </x:c>
      <x:c r="R17" s="22" t="str">
        <x:v>GFA</x:v>
      </x:c>
      <x:c r="S17" s="22" t="str">
        <x:v>AUTO_SELECTED_SINGLE_OR_TOTAL</x:v>
      </x:c>
      <x:c r="T17" s="34" t="n">
        <x:f>IFERROR(N17/Q17,"")</x:f>
        <x:v>1429.027899820438</x:v>
      </x:c>
      <x:c r="U17" s="22" t="str">
        <x:v>V2R_HUMAN_REVIEWED_EXTRACTION</x:v>
      </x:c>
      <x:c r="V17" s="22" t="str">
        <x:v>초기 스크리닝만</x:v>
      </x:c>
      <x:c r="W17" s="28" t="n">
        <x:v>1</x:v>
      </x:c>
      <x:c r="X17" s="28" t="n">
        <x:v>0</x:v>
      </x:c>
      <x:c r="Y17" s="28" t="n">
        <x:v>0</x:v>
      </x:c>
      <x:c r="Z17" s="28" t="n">
        <x:v>0</x:v>
      </x:c>
      <x:c r="AA17" s="28" t="n">
        <x:v>13</x:v>
      </x:c>
      <x:c r="AB17" s="28" t="n">
        <x:v>0</x:v>
      </x:c>
      <x:c r="AC17" s="28" t="n">
        <x:v>0</x:v>
      </x:c>
      <x:c r="AD17" s="28" t="n">
        <x:v>0</x:v>
      </x:c>
      <x:c r="AE17" s="28" t="n">
        <x:v>0</x:v>
      </x:c>
      <x:c r="AF17" s="25" t="str">
        <x:v>범위 일치 잠정확인; 원본 V3 확인 전 직접 사용 금지</x:v>
      </x:c>
      <x:c r="AG17" s="25" t="str"/>
      <x:c r="AH17" s="25" t="str">
        <x:v>KOICA 입찰 상세페이지</x:v>
      </x:c>
      <x:c r="AI17" s="25" t="str">
        <x:v>집행한도금액(달러)</x:v>
      </x:c>
      <x:c r="AJ17" s="25" t="str">
        <x:v>L2018-00026-1/국문시공입찰계획서.hwp</x:v>
      </x:c>
      <x:c r="AK17" s="25" t="str">
        <x:v>문단 52</x:v>
      </x:c>
      <x:c r="AL17" s="25" t="str">
        <x:v>- 규모: 지하 1층, 지상 4층, 연면적 2,879.23㎡</x:v>
      </x:c>
      <x:c r="AM17" s="25" t="str">
        <x:v>https://nebid.koica.go.kr/oep/lobi/localBidManageDetail.do?P_LOAZ_BID_PBLANC_NO=L2018-00026&amp;P_PBLANC_ODR=1</x:v>
      </x:c>
    </x:row>
    <x:row r="18">
      <x:c r="A18" s="22" t="str">
        <x:v>X</x:v>
      </x:c>
      <x:c r="B18" s="22" t="str">
        <x:v>2013-00007</x:v>
      </x:c>
      <x:c r="C18" s="22" t="str">
        <x:v>L2018-00025-1</x:v>
      </x:c>
      <x:c r="D18" s="22" t="str">
        <x:v>L2018-00025</x:v>
      </x:c>
      <x:c r="E18" s="22" t="str">
        <x:v>2018-10-21</x:v>
      </x:c>
      <x:c r="F18" s="22" t="str">
        <x:v>볼리비아</x:v>
      </x:c>
      <x:c r="G18" s="25" t="str">
        <x:v>볼리비아 엘알토 한국병원 3차 지원사업 감리업체 선정</x:v>
      </x:c>
      <x:c r="H18" s="22" t="str">
        <x:v>용역</x:v>
      </x:c>
      <x:c r="I18" s="22" t="str">
        <x:v>DESIGN_OR_SUPERVISION_SERVICE</x:v>
      </x:c>
      <x:c r="J18" s="22" t="str">
        <x:v>SERVICE_FEE_OR_MIXED</x:v>
      </x:c>
      <x:c r="K18" s="22" t="str">
        <x:v>NO_MATCH</x:v>
      </x:c>
      <x:c r="L18" s="22" t="str">
        <x:v>NO_MATCH</x:v>
      </x:c>
      <x:c r="M18" s="34" t="n">
        <x:v>199823</x:v>
      </x:c>
      <x:c r="N18" s="34"/>
      <x:c r="O18" s="22" t="str">
        <x:v>SERVICE_OR_GOODS_CEILING</x:v>
      </x:c>
      <x:c r="P18" s="37" t="str">
        <x:f>IF(AND(M18&lt;&gt;"",N18&lt;&gt;"",O18&lt;&gt;"NOTICE_EXECUTION_CEILING"),M18/N18-1,"")</x:f>
      </x:c>
      <x:c r="Q18" s="31" t="n">
        <x:v>2879.23</x:v>
      </x:c>
      <x:c r="R18" s="22" t="str">
        <x:v>GFA</x:v>
      </x:c>
      <x:c r="S18" s="22" t="str">
        <x:v>AUTO_SELECTED_SINGLE_OR_TOTAL</x:v>
      </x:c>
      <x:c r="T18" s="34" t="n">
        <x:f>IFERROR(N18/Q18,"")</x:f>
        <x:v>0</x:v>
      </x:c>
      <x:c r="U18" s="22" t="str">
        <x:v>V3_SCOPE_REVIEW</x:v>
      </x:c>
      <x:c r="V18" s="22" t="str">
        <x:v>계산 금지</x:v>
      </x:c>
      <x:c r="W18" s="28" t="n">
        <x:v>0</x:v>
      </x:c>
      <x:c r="X18" s="28" t="n">
        <x:v>0</x:v>
      </x:c>
      <x:c r="Y18" s="28" t="n">
        <x:v>0</x:v>
      </x:c>
      <x:c r="Z18" s="28" t="n">
        <x:v>0</x:v>
      </x:c>
      <x:c r="AA18" s="28" t="n">
        <x:v>14</x:v>
      </x:c>
      <x:c r="AB18" s="28" t="n">
        <x:v>0</x:v>
      </x:c>
      <x:c r="AC18" s="28" t="n">
        <x:v>0</x:v>
      </x:c>
      <x:c r="AD18" s="28" t="n">
        <x:v>0</x:v>
      </x:c>
      <x:c r="AE18" s="28" t="n">
        <x:v>0</x:v>
      </x:c>
      <x:c r="AF18" s="25" t="str">
        <x:v>설계·감리·기타 용역 집행한도는 건축공사비가 아님</x:v>
      </x:c>
      <x:c r="AG18" s="25" t="str"/>
      <x:c r="AH18" s="25" t="str">
        <x:v>KOICA 입찰 상세페이지</x:v>
      </x:c>
      <x:c r="AI18" s="25" t="str">
        <x:v>집행한도금액(달러)</x:v>
      </x:c>
      <x:c r="AJ18" s="25" t="str">
        <x:v>L2018-00025-1/국문입찰계획서.hwp</x:v>
      </x:c>
      <x:c r="AK18" s="25" t="str">
        <x:v>문단 123</x:v>
      </x:c>
      <x:c r="AL18" s="25" t="str">
        <x:v>∙ 연면적 : 2,879.23㎡, 지하 1층/지상 4층</x:v>
      </x:c>
      <x:c r="AM18" s="25" t="str">
        <x:v>https://nebid.koica.go.kr/oep/lobi/localBidManageDetail.do?P_LOAZ_BID_PBLANC_NO=L2018-00025&amp;P_PBLANC_ODR=1</x:v>
      </x:c>
    </x:row>
    <x:row r="19">
      <x:c r="A19" s="22" t="str">
        <x:v>C</x:v>
      </x:c>
      <x:c r="B19" s="22" t="str">
        <x:v>2013-00007</x:v>
      </x:c>
      <x:c r="C19" s="22" t="str">
        <x:v>L2018-00029-1</x:v>
      </x:c>
      <x:c r="D19" s="22" t="str">
        <x:v>L2018-00029</x:v>
      </x:c>
      <x:c r="E19" s="22" t="str">
        <x:v>2018-11-23</x:v>
      </x:c>
      <x:c r="F19" s="22" t="str">
        <x:v>볼리비아</x:v>
      </x:c>
      <x:c r="G19" s="25" t="str">
        <x:v>(재입찰)볼리비아 El-Alto 한국병원 3차 지원사업 시공업체선정</x:v>
      </x:c>
      <x:c r="H19" s="22" t="str">
        <x:v>공사</x:v>
      </x:c>
      <x:c r="I19" s="22" t="str">
        <x:v>WORKS</x:v>
      </x:c>
      <x:c r="J19" s="22" t="str">
        <x:v>WORKS_CEILING</x:v>
      </x:c>
      <x:c r="K19" s="22" t="str">
        <x:v>MATCH</x:v>
      </x:c>
      <x:c r="L19" s="22" t="str">
        <x:v>MATCH</x:v>
      </x:c>
      <x:c r="M19" s="34" t="n">
        <x:v>4114500</x:v>
      </x:c>
      <x:c r="N19" s="34" t="n">
        <x:v>4114500</x:v>
      </x:c>
      <x:c r="O19" s="22" t="str">
        <x:v>BID_LIMIT</x:v>
      </x:c>
      <x:c r="P19" s="37" t="n">
        <x:f>IF(AND(M19&lt;&gt;"",N19&lt;&gt;"",O19&lt;&gt;"NOTICE_EXECUTION_CEILING"),M19/N19-1,"")</x:f>
        <x:v>0</x:v>
      </x:c>
      <x:c r="Q19" s="31" t="n">
        <x:v>2879.23</x:v>
      </x:c>
      <x:c r="R19" s="22" t="str">
        <x:v>GFA</x:v>
      </x:c>
      <x:c r="S19" s="22" t="str">
        <x:v>SINGLE_OR_TOTAL</x:v>
      </x:c>
      <x:c r="T19" s="34" t="n">
        <x:f>IFERROR(N19/Q19,"")</x:f>
        <x:v>1429.027899820438</x:v>
      </x:c>
      <x:c r="U19" s="22" t="str">
        <x:v>V3_CURATED_AREA_COST_RECHECK</x:v>
      </x:c>
      <x:c r="V19" s="22" t="str">
        <x:v>초기 스크리닝만</x:v>
      </x:c>
      <x:c r="W19" s="28" t="n">
        <x:v>1</x:v>
      </x:c>
      <x:c r="X19" s="28" t="n">
        <x:v>1</x:v>
      </x:c>
      <x:c r="Y19" s="28" t="n">
        <x:v>1</x:v>
      </x:c>
      <x:c r="Z19" s="28" t="n">
        <x:v>0</x:v>
      </x:c>
      <x:c r="AA19" s="28" t="n">
        <x:v>13</x:v>
      </x:c>
      <x:c r="AB19" s="28" t="n">
        <x:v>0</x:v>
      </x:c>
      <x:c r="AC19" s="28" t="n">
        <x:v>0</x:v>
      </x:c>
      <x:c r="AD19" s="28" t="n">
        <x:v>0</x:v>
      </x:c>
      <x:c r="AE19" s="28" t="n">
        <x:v>0</x:v>
      </x:c>
      <x:c r="AF19" s="25" t="str">
        <x:v>동일/제한 범위 공사금액÷면적 스크리닝 근거</x:v>
      </x:c>
      <x:c r="AG19" s="25" t="str"/>
      <x:c r="AH19" s="25" t="str">
        <x:v>L2018-00029-1/국문 재공고입찰계획서.hwp</x:v>
      </x:c>
      <x:c r="AI19" s="25" t="str">
        <x:v>문단 95</x:v>
      </x:c>
      <x:c r="AJ19" s="25" t="str">
        <x:v>L2018-00029-1/국문 재공고입찰계획서.hwp</x:v>
      </x:c>
      <x:c r="AK19" s="25" t="str">
        <x:v>문단 51</x:v>
      </x:c>
      <x:c r="AL19" s="25" t="str">
        <x:v>총연면적 2,879.23㎡; 집행한도 USD 4,114,500; 명목단가 USD 1,429/㎡.</x:v>
      </x:c>
      <x:c r="AM19" s="25" t="str">
        <x:v>https://nebid.koica.go.kr/oep/lobi/localBidManageDetail.do?P_LOAZ_BID_PBLANC_NO=L2018-00029&amp;P_PBLANC_ODR=1</x:v>
      </x:c>
    </x:row>
    <x:row r="20">
      <x:c r="A20" s="22" t="str">
        <x:v>X</x:v>
      </x:c>
      <x:c r="B20" s="22" t="str">
        <x:v>2013-00007</x:v>
      </x:c>
      <x:c r="C20" s="22" t="str">
        <x:v>L2018-00025-2</x:v>
      </x:c>
      <x:c r="D20" s="22" t="str">
        <x:v>L2018-00025</x:v>
      </x:c>
      <x:c r="E20" s="22" t="str">
        <x:v>2018-12-14</x:v>
      </x:c>
      <x:c r="F20" s="22" t="str">
        <x:v>볼리비아</x:v>
      </x:c>
      <x:c r="G20" s="25" t="str">
        <x:v>(재입찰)볼리비아 엘알토 한국병원 3차 지원사업 감리업체 선정</x:v>
      </x:c>
      <x:c r="H20" s="22" t="str">
        <x:v>용역</x:v>
      </x:c>
      <x:c r="I20" s="22" t="str">
        <x:v>DESIGN_OR_SUPERVISION_SERVICE</x:v>
      </x:c>
      <x:c r="J20" s="22" t="str">
        <x:v>SERVICE_FEE_OR_MIXED</x:v>
      </x:c>
      <x:c r="K20" s="22" t="str">
        <x:v>NO_MATCH</x:v>
      </x:c>
      <x:c r="L20" s="22" t="str">
        <x:v>NO_MATCH</x:v>
      </x:c>
      <x:c r="M20" s="34" t="n">
        <x:v>199823</x:v>
      </x:c>
      <x:c r="N20" s="34"/>
      <x:c r="O20" s="22" t="str">
        <x:v>SERVICE_OR_GOODS_CEILING</x:v>
      </x:c>
      <x:c r="P20" s="37" t="str">
        <x:f>IF(AND(M20&lt;&gt;"",N20&lt;&gt;"",O20&lt;&gt;"NOTICE_EXECUTION_CEILING"),M20/N20-1,"")</x:f>
      </x:c>
      <x:c r="Q20" s="31" t="n">
        <x:v>2879.23</x:v>
      </x:c>
      <x:c r="R20" s="22" t="str">
        <x:v>GFA</x:v>
      </x:c>
      <x:c r="S20" s="22" t="str">
        <x:v>AUTO_SELECTED_SINGLE_OR_TOTAL</x:v>
      </x:c>
      <x:c r="T20" s="34" t="n">
        <x:f>IFERROR(N20/Q20,"")</x:f>
        <x:v>0</x:v>
      </x:c>
      <x:c r="U20" s="22" t="str">
        <x:v>V3_SCOPE_REVIEW</x:v>
      </x:c>
      <x:c r="V20" s="22" t="str">
        <x:v>계산 금지</x:v>
      </x:c>
      <x:c r="W20" s="28" t="n">
        <x:v>1</x:v>
      </x:c>
      <x:c r="X20" s="28" t="n">
        <x:v>0</x:v>
      </x:c>
      <x:c r="Y20" s="28" t="n">
        <x:v>0</x:v>
      </x:c>
      <x:c r="Z20" s="28" t="n">
        <x:v>0</x:v>
      </x:c>
      <x:c r="AA20" s="28" t="n">
        <x:v>16</x:v>
      </x:c>
      <x:c r="AB20" s="28" t="n">
        <x:v>0</x:v>
      </x:c>
      <x:c r="AC20" s="28" t="n">
        <x:v>0</x:v>
      </x:c>
      <x:c r="AD20" s="28" t="n">
        <x:v>0</x:v>
      </x:c>
      <x:c r="AE20" s="28" t="n">
        <x:v>0</x:v>
      </x:c>
      <x:c r="AF20" s="25" t="str">
        <x:v>설계·감리·기타 용역 집행한도는 건축공사비가 아님</x:v>
      </x:c>
      <x:c r="AG20" s="25" t="str"/>
      <x:c r="AH20" s="25" t="str">
        <x:v>KOICA 입찰 상세페이지</x:v>
      </x:c>
      <x:c r="AI20" s="25" t="str">
        <x:v>집행한도금액(달러)</x:v>
      </x:c>
      <x:c r="AJ20" s="25" t="str">
        <x:v>L2018-00025-2/국문입찰계획서.hwp</x:v>
      </x:c>
      <x:c r="AK20" s="25" t="str">
        <x:v>문단 123</x:v>
      </x:c>
      <x:c r="AL20" s="25" t="str">
        <x:v>∙ 연면적 : 2,879.23㎡, 지하 1층/지상 4층</x:v>
      </x:c>
      <x:c r="AM20" s="25" t="str">
        <x:v>https://nebid.koica.go.kr/oep/lobi/localBidManageDetail.do?P_LOAZ_BID_PBLANC_NO=L2018-00025&amp;P_PBLANC_ODR=2</x:v>
      </x:c>
    </x:row>
    <x:row r="21">
      <x:c r="A21" s="22" t="str">
        <x:v>C</x:v>
      </x:c>
      <x:c r="B21" s="22" t="str">
        <x:v>2015-00012</x:v>
      </x:c>
      <x:c r="C21" s="22" t="str">
        <x:v>L2019-00010-1</x:v>
      </x:c>
      <x:c r="D21" s="22" t="str">
        <x:v>L2019-00010</x:v>
      </x:c>
      <x:c r="E21" s="22" t="str">
        <x:v>2019-02-01</x:v>
      </x:c>
      <x:c r="F21" s="22" t="str">
        <x:v>네팔</x:v>
      </x:c>
      <x:c r="G21" s="25" t="str">
        <x:v>네팔 기술교사 역량강화를 통한 기술직업교육훈련 질적 제고 사업 IT 강의동 시공업체 선정 현지 입찰</x:v>
      </x:c>
      <x:c r="H21" s="22" t="str">
        <x:v>공사</x:v>
      </x:c>
      <x:c r="I21" s="22" t="str">
        <x:v>WORKS</x:v>
      </x:c>
      <x:c r="J21" s="22" t="str">
        <x:v>WORKS_CEILING</x:v>
      </x:c>
      <x:c r="K21" s="22" t="str">
        <x:v>MATCH</x:v>
      </x:c>
      <x:c r="L21" s="22" t="str">
        <x:v>MATCH</x:v>
      </x:c>
      <x:c r="M21" s="34" t="n">
        <x:v>1200000</x:v>
      </x:c>
      <x:c r="N21" s="34" t="n">
        <x:v>1200000</x:v>
      </x:c>
      <x:c r="O21" s="22" t="str">
        <x:v>NOTICE_EXECUTION_CEILING</x:v>
      </x:c>
      <x:c r="P21" s="37" t="str">
        <x:f>IF(AND(M21&lt;&gt;"",N21&lt;&gt;"",O21&lt;&gt;"NOTICE_EXECUTION_CEILING"),M21/N21-1,"")</x:f>
      </x:c>
      <x:c r="Q21" s="31" t="n">
        <x:v>1549.83</x:v>
      </x:c>
      <x:c r="R21" s="22" t="str">
        <x:v>GFA</x:v>
      </x:c>
      <x:c r="S21" s="22" t="str">
        <x:v>SINGLE_OR_TOTAL</x:v>
      </x:c>
      <x:c r="T21" s="34" t="n">
        <x:f>IFERROR(N21/Q21,"")</x:f>
        <x:v>774.2784692514663</x:v>
      </x:c>
      <x:c r="U21" s="22" t="str">
        <x:v>V3_CURATED_AREA_COST_RECHECK</x:v>
      </x:c>
      <x:c r="V21" s="22" t="str">
        <x:v>초기 스크리닝만</x:v>
      </x:c>
      <x:c r="W21" s="28" t="n">
        <x:v>1</x:v>
      </x:c>
      <x:c r="X21" s="28" t="n">
        <x:v>1</x:v>
      </x:c>
      <x:c r="Y21" s="28" t="n">
        <x:v>1</x:v>
      </x:c>
      <x:c r="Z21" s="28" t="n">
        <x:v>0</x:v>
      </x:c>
      <x:c r="AA21" s="28" t="n">
        <x:v>1</x:v>
      </x:c>
      <x:c r="AB21" s="28" t="n">
        <x:v>0</x:v>
      </x:c>
      <x:c r="AC21" s="28" t="n">
        <x:v>0</x:v>
      </x:c>
      <x:c r="AD21" s="28" t="n">
        <x:v>0</x:v>
      </x:c>
      <x:c r="AE21" s="28" t="n">
        <x:v>0</x:v>
      </x:c>
      <x:c r="AF21" s="25" t="str">
        <x:v>동일/제한 범위 공사금액÷면적 스크리닝 근거</x:v>
      </x:c>
      <x:c r="AG21" s="25" t="str"/>
      <x:c r="AH21" s="25" t="str">
        <x:v>L2019-00010-1/[붙임] 국문_IT 강의동 시공업체 선정 현지 입찰 계획서.hwp</x:v>
      </x:c>
      <x:c r="AI21" s="25" t="str">
        <x:v>문단 54</x:v>
      </x:c>
      <x:c r="AJ21" s="25" t="str">
        <x:v>L2019-00010-1/[붙임] 국문_IT 강의동 시공업체 선정 현지 입찰 계획서.hwp</x:v>
      </x:c>
      <x:c r="AK21" s="25" t="str">
        <x:v>문단 54</x:v>
      </x:c>
      <x:c r="AL21" s="25" t="str">
        <x:v>총연면적 1,549.83㎡; 집행한도 USD 1,200,000; 명목단가 USD 774/㎡.</x:v>
      </x:c>
      <x:c r="AM21" s="25" t="str">
        <x:v>https://nebid.koica.go.kr/oep/lobi/localBidManageDetail.do?P_LOAZ_BID_PBLANC_NO=L2019-00010&amp;P_PBLANC_ODR=1</x:v>
      </x:c>
    </x:row>
    <x:row r="22">
      <x:c r="A22" s="22" t="str">
        <x:v>C</x:v>
      </x:c>
      <x:c r="B22" s="22" t="str">
        <x:v>2016-00202</x:v>
      </x:c>
      <x:c r="C22" s="22" t="str">
        <x:v>L2019-00011-1</x:v>
      </x:c>
      <x:c r="D22" s="22" t="str">
        <x:v>L2019-00011</x:v>
      </x:c>
      <x:c r="E22" s="22" t="str">
        <x:v>2019-03-07</x:v>
      </x:c>
      <x:c r="F22" s="22" t="str">
        <x:v>라오스</x:v>
      </x:c>
      <x:c r="G22" s="25" t="str">
        <x:v>라오스 이민국 신청사 건축 시공용역 현지입찰</x:v>
      </x:c>
      <x:c r="H22" s="22" t="str">
        <x:v>공사</x:v>
      </x:c>
      <x:c r="I22" s="22" t="str">
        <x:v>WORKS</x:v>
      </x:c>
      <x:c r="J22" s="22" t="str">
        <x:v>WORKS_CEILING</x:v>
      </x:c>
      <x:c r="K22" s="22" t="str">
        <x:v>MATCH</x:v>
      </x:c>
      <x:c r="L22" s="22" t="str">
        <x:v>MATCH</x:v>
      </x:c>
      <x:c r="M22" s="34" t="n">
        <x:v>5600000</x:v>
      </x:c>
      <x:c r="N22" s="34" t="n">
        <x:v>5600000</x:v>
      </x:c>
      <x:c r="O22" s="22" t="str">
        <x:v>NOTICE_EXECUTION_CEILING</x:v>
      </x:c>
      <x:c r="P22" s="37" t="str">
        <x:f>IF(AND(M22&lt;&gt;"",N22&lt;&gt;"",O22&lt;&gt;"NOTICE_EXECUTION_CEILING"),M22/N22-1,"")</x:f>
      </x:c>
      <x:c r="Q22" s="31" t="n">
        <x:v>5625</x:v>
      </x:c>
      <x:c r="R22" s="22" t="str">
        <x:v>GFA</x:v>
      </x:c>
      <x:c r="S22" s="22" t="str">
        <x:v>SINGLE_OR_TOTAL</x:v>
      </x:c>
      <x:c r="T22" s="34" t="n">
        <x:f>IFERROR(N22/Q22,"")</x:f>
        <x:v>995.5555555555555</x:v>
      </x:c>
      <x:c r="U22" s="22" t="str">
        <x:v>V3_CURATED_AREA_COST_RECHECK</x:v>
      </x:c>
      <x:c r="V22" s="22" t="str">
        <x:v>초기 스크리닝만</x:v>
      </x:c>
      <x:c r="W22" s="28" t="n">
        <x:v>1</x:v>
      </x:c>
      <x:c r="X22" s="28" t="n">
        <x:v>1</x:v>
      </x:c>
      <x:c r="Y22" s="28" t="n">
        <x:v>1</x:v>
      </x:c>
      <x:c r="Z22" s="28" t="n">
        <x:v>0</x:v>
      </x:c>
      <x:c r="AA22" s="28" t="n">
        <x:v>1</x:v>
      </x:c>
      <x:c r="AB22" s="28" t="n">
        <x:v>0</x:v>
      </x:c>
      <x:c r="AC22" s="28" t="n">
        <x:v>0</x:v>
      </x:c>
      <x:c r="AD22" s="28" t="n">
        <x:v>0</x:v>
      </x:c>
      <x:c r="AE22" s="28" t="n">
        <x:v>0</x:v>
      </x:c>
      <x:c r="AF22" s="25" t="str">
        <x:v>동일/제한 범위 공사금액÷면적 스크리닝 근거</x:v>
      </x:c>
      <x:c r="AG22" s="25" t="str"/>
      <x:c r="AH22" s="25" t="str">
        <x:v>L2019-00011-1/01 Laos DOI_Bid Announcement Rev00_KOICA_0226.doc</x:v>
      </x:c>
      <x:c r="AI22" s="25" t="str">
        <x:v>문단 3</x:v>
      </x:c>
      <x:c r="AJ22" s="25" t="str">
        <x:v>L2019-00011-1/01 Laos DOI_Bid Announcement Rev00_KOICA_0226.doc</x:v>
      </x:c>
      <x:c r="AK22" s="25" t="str">
        <x:v>문단 3</x:v>
      </x:c>
      <x:c r="AL22" s="25" t="str">
        <x:v>주동 연면적 5,625.00㎡; 집행한도 USD 5,600,000; 명목단가 USD 996/㎡.</x:v>
      </x:c>
      <x:c r="AM22" s="25" t="str">
        <x:v>https://nebid.koica.go.kr/oep/lobi/localBidManageDetail.do?P_LOAZ_BID_PBLANC_NO=L2019-00011&amp;P_PBLANC_ODR=1</x:v>
      </x:c>
    </x:row>
    <x:row r="23">
      <x:c r="A23" s="22" t="str">
        <x:v>X</x:v>
      </x:c>
      <x:c r="B23" s="22" t="str">
        <x:v>2016-00220</x:v>
      </x:c>
      <x:c r="C23" s="22" t="str">
        <x:v>L2019-00041-1</x:v>
      </x:c>
      <x:c r="D23" s="22" t="str">
        <x:v>L2019-00041</x:v>
      </x:c>
      <x:c r="E23" s="22" t="str">
        <x:v>2019-04-12</x:v>
      </x:c>
      <x:c r="F23" s="22" t="str">
        <x:v>엘살바도르</x:v>
      </x:c>
      <x:c r="G23" s="25" t="str">
        <x:v>엘살바도르 동부건조지역 수계 복원력증대를 통한 기후변화대응사업('17-'20/800만불) 수자원확보 시행업체(PC) 선정</x:v>
      </x:c>
      <x:c r="H23" s="22" t="str">
        <x:v>공사</x:v>
      </x:c>
      <x:c r="I23" s="22" t="str">
        <x:v>NONBUILDING_OR_FALSE_AREA</x:v>
      </x:c>
      <x:c r="J23" s="22" t="str">
        <x:v>WORKS_CEILING</x:v>
      </x:c>
      <x:c r="K23" s="22" t="str">
        <x:v>NO_MATCH</x:v>
      </x:c>
      <x:c r="L23" s="22" t="str">
        <x:v>NO_MATCH</x:v>
      </x:c>
      <x:c r="M23" s="34" t="n">
        <x:v>2080000</x:v>
      </x:c>
      <x:c r="N23" s="34"/>
      <x:c r="O23" s="22" t="str">
        <x:v>SERVICE_OR_GOODS_CEILING</x:v>
      </x:c>
      <x:c r="P23" s="37" t="str">
        <x:f>IF(AND(M23&lt;&gt;"",N23&lt;&gt;"",O23&lt;&gt;"NOTICE_EXECUTION_CEILING"),M23/N23-1,"")</x:f>
      </x:c>
      <x:c r="Q23" s="31"/>
      <x:c r="R23" s="22" t="str">
        <x:v>FALSE_POSITIVE_OR_WORK_ITEM</x:v>
      </x:c>
      <x:c r="S23" s="22" t="str">
        <x:v>NOT_APPLICABLE</x:v>
      </x:c>
      <x:c r="T23" s="34" t="str">
        <x:f>IFERROR(N23/Q23,"")</x:f>
      </x:c>
      <x:c r="U23" s="22" t="str">
        <x:v>V3_SCOPE_REVIEW</x:v>
      </x:c>
      <x:c r="V23" s="22" t="str">
        <x:v>계산 금지</x:v>
      </x:c>
      <x:c r="W23" s="28" t="n">
        <x:v>1</x:v>
      </x:c>
      <x:c r="X23" s="28" t="n">
        <x:v>0</x:v>
      </x:c>
      <x:c r="Y23" s="28" t="n">
        <x:v>0</x:v>
      </x:c>
      <x:c r="Z23" s="28" t="n">
        <x:v>0</x:v>
      </x:c>
      <x:c r="AA23" s="28" t="n">
        <x:v>18</x:v>
      </x:c>
      <x:c r="AB23" s="28" t="n">
        <x:v>0</x:v>
      </x:c>
      <x:c r="AC23" s="28" t="n">
        <x:v>0</x:v>
      </x:c>
      <x:c r="AD23" s="28" t="n">
        <x:v>0</x:v>
      </x:c>
      <x:c r="AE23" s="28" t="n">
        <x:v>0</x:v>
      </x:c>
      <x:c r="AF23" s="25" t="str">
        <x:v>물품·비건축 또는 GFA 오탐으로 건축공사비 표본 제외</x:v>
      </x:c>
      <x:c r="AG23" s="25" t="str">
        <x:v>12㎡는 빗물집수장치 지붕면적이며 건물 GFA가 아님</x:v>
      </x:c>
      <x:c r="AH23" s="25" t="str">
        <x:v>KOICA 입찰 상세페이지</x:v>
      </x:c>
      <x:c r="AI23" s="25" t="str">
        <x:v>집행한도금액(달러)</x:v>
      </x:c>
      <x:c r="AJ23" s="25" t="str">
        <x:v>L2019-00041-1/02_1. Bidding Guideline(Water Collection and Storage)/Bidding Guideline(Water Collection and Storage)/Section05_1_Works Requirements_ENG_1903.docx</x:v>
      </x:c>
      <x:c r="AK23" s="25" t="str">
        <x:v>문단 291</x:v>
      </x:c>
      <x:c r="AL23" s="25" t="str">
        <x:v>12㎡는 빗물집수장치 지붕면적이며 건물 GFA가 아님</x:v>
      </x:c>
      <x:c r="AM23" s="25" t="str">
        <x:v>https://nebid.koica.go.kr/oep/lobi/localBidManageDetail.do?P_LOAZ_BID_PBLANC_NO=L2019-00041&amp;P_PBLANC_ODR=1</x:v>
      </x:c>
    </x:row>
    <x:row r="24">
      <x:c r="A24" s="22" t="str">
        <x:v>X</x:v>
      </x:c>
      <x:c r="B24" s="22" t="str">
        <x:v>2016-00220</x:v>
      </x:c>
      <x:c r="C24" s="22" t="str">
        <x:v>L2019-00042-1</x:v>
      </x:c>
      <x:c r="D24" s="22" t="str">
        <x:v>L2019-00042</x:v>
      </x:c>
      <x:c r="E24" s="22" t="str">
        <x:v>2019-04-12</x:v>
      </x:c>
      <x:c r="F24" s="22" t="str">
        <x:v>엘살바도르</x:v>
      </x:c>
      <x:c r="G24" s="25" t="str">
        <x:v>엘살바도르 동부건조지역 수계 복원력증대를 통한 기후변화대응사업(17-20/800만불) 수자원복원 시행업체(PC) 선정</x:v>
      </x:c>
      <x:c r="H24" s="22" t="str">
        <x:v>공사</x:v>
      </x:c>
      <x:c r="I24" s="22" t="str">
        <x:v>NONBUILDING_OR_FALSE_AREA</x:v>
      </x:c>
      <x:c r="J24" s="22" t="str">
        <x:v>WORKS_CEILING</x:v>
      </x:c>
      <x:c r="K24" s="22" t="str">
        <x:v>NO_MATCH</x:v>
      </x:c>
      <x:c r="L24" s="22" t="str">
        <x:v>NO_MATCH</x:v>
      </x:c>
      <x:c r="M24" s="34" t="n">
        <x:v>2080000</x:v>
      </x:c>
      <x:c r="N24" s="34"/>
      <x:c r="O24" s="22" t="str">
        <x:v>SERVICE_OR_GOODS_CEILING</x:v>
      </x:c>
      <x:c r="P24" s="37" t="str">
        <x:f>IF(AND(M24&lt;&gt;"",N24&lt;&gt;"",O24&lt;&gt;"NOTICE_EXECUTION_CEILING"),M24/N24-1,"")</x:f>
      </x:c>
      <x:c r="Q24" s="31"/>
      <x:c r="R24" s="22" t="str">
        <x:v>FALSE_POSITIVE_OR_WORK_ITEM</x:v>
      </x:c>
      <x:c r="S24" s="22" t="str">
        <x:v>NOT_APPLICABLE</x:v>
      </x:c>
      <x:c r="T24" s="34" t="str">
        <x:f>IFERROR(N24/Q24,"")</x:f>
      </x:c>
      <x:c r="U24" s="22" t="str">
        <x:v>V3_SCOPE_REVIEW</x:v>
      </x:c>
      <x:c r="V24" s="22" t="str">
        <x:v>계산 금지</x:v>
      </x:c>
      <x:c r="W24" s="28" t="n">
        <x:v>1</x:v>
      </x:c>
      <x:c r="X24" s="28" t="n">
        <x:v>0</x:v>
      </x:c>
      <x:c r="Y24" s="28" t="n">
        <x:v>0</x:v>
      </x:c>
      <x:c r="Z24" s="28" t="n">
        <x:v>0</x:v>
      </x:c>
      <x:c r="AA24" s="28" t="n">
        <x:v>18</x:v>
      </x:c>
      <x:c r="AB24" s="28" t="n">
        <x:v>0</x:v>
      </x:c>
      <x:c r="AC24" s="28" t="n">
        <x:v>0</x:v>
      </x:c>
      <x:c r="AD24" s="28" t="n">
        <x:v>0</x:v>
      </x:c>
      <x:c r="AE24" s="28" t="n">
        <x:v>0</x:v>
      </x:c>
      <x:c r="AF24" s="25" t="str">
        <x:v>물품·비건축 또는 GFA 오탐으로 건축공사비 표본 제외</x:v>
      </x:c>
      <x:c r="AG24" s="25" t="str">
        <x:v>12㎡는 빗물집수장치 지붕면적이며 건물 GFA가 아님</x:v>
      </x:c>
      <x:c r="AH24" s="25" t="str">
        <x:v>KOICA 입찰 상세페이지</x:v>
      </x:c>
      <x:c r="AI24" s="25" t="str">
        <x:v>집행한도금액(달러)</x:v>
      </x:c>
      <x:c r="AJ24" s="25" t="str">
        <x:v>L2019-00042-1/02_1. Bidding Guideline(Water Collection and Storage)/Bidding Guideline(Water Collection and Storage)/Section05_1_Works Requirements_ENG_1903.docx</x:v>
      </x:c>
      <x:c r="AK24" s="25" t="str">
        <x:v>문단 291</x:v>
      </x:c>
      <x:c r="AL24" s="25" t="str">
        <x:v>12㎡는 빗물집수장치 지붕면적이며 건물 GFA가 아님</x:v>
      </x:c>
      <x:c r="AM24" s="25" t="str">
        <x:v>https://nebid.koica.go.kr/oep/lobi/localBidManageDetail.do?P_LOAZ_BID_PBLANC_NO=L2019-00042&amp;P_PBLANC_ODR=1</x:v>
      </x:c>
    </x:row>
    <x:row r="25">
      <x:c r="A25" s="22" t="str">
        <x:v>X</x:v>
      </x:c>
      <x:c r="B25" s="22" t="str">
        <x:v>2016-00029</x:v>
      </x:c>
      <x:c r="C25" s="22" t="str">
        <x:v>L2019-00019-1</x:v>
      </x:c>
      <x:c r="D25" s="22" t="str">
        <x:v>L2019-00019</x:v>
      </x:c>
      <x:c r="E25" s="22" t="str">
        <x:v>2019-05-14</x:v>
      </x:c>
      <x:c r="F25" s="22" t="str">
        <x:v>네팔</x:v>
      </x:c>
      <x:c r="G25" s="25" t="str">
        <x:v>네팔 카트만두대학 둘리켈 캠퍼스 내 “네팔기술혁신센터 건립사업” 설계 및 감리업체 선정 현지입찰 계획(안)</x:v>
      </x:c>
      <x:c r="H25" s="22" t="str">
        <x:v>용역</x:v>
      </x:c>
      <x:c r="I25" s="22" t="str">
        <x:v>DESIGN_OR_SUPERVISION_SERVICE</x:v>
      </x:c>
      <x:c r="J25" s="22" t="str">
        <x:v>SERVICE_FEE_OR_MIXED</x:v>
      </x:c>
      <x:c r="K25" s="22" t="str">
        <x:v>NO_MATCH</x:v>
      </x:c>
      <x:c r="L25" s="22" t="str">
        <x:v>NO_MATCH</x:v>
      </x:c>
      <x:c r="M25" s="34" t="n">
        <x:v>228000</x:v>
      </x:c>
      <x:c r="N25" s="34"/>
      <x:c r="O25" s="22" t="str">
        <x:v>SERVICE_OR_GOODS_CEILING</x:v>
      </x:c>
      <x:c r="P25" s="37" t="str">
        <x:f>IF(AND(M25&lt;&gt;"",N25&lt;&gt;"",O25&lt;&gt;"NOTICE_EXECUTION_CEILING"),M25/N25-1,"")</x:f>
      </x:c>
      <x:c r="Q25" s="31" t="n">
        <x:v>3024</x:v>
      </x:c>
      <x:c r="R25" s="22" t="str">
        <x:v>GFA</x:v>
      </x:c>
      <x:c r="S25" s="22" t="str">
        <x:v>AUTO_SELECTED_SINGLE_OR_TOTAL</x:v>
      </x:c>
      <x:c r="T25" s="34" t="n">
        <x:f>IFERROR(N25/Q25,"")</x:f>
        <x:v>0</x:v>
      </x:c>
      <x:c r="U25" s="22" t="str">
        <x:v>V3_SCOPE_REVIEW</x:v>
      </x:c>
      <x:c r="V25" s="22" t="str">
        <x:v>계산 금지</x:v>
      </x:c>
      <x:c r="W25" s="28" t="n">
        <x:v>1</x:v>
      </x:c>
      <x:c r="X25" s="28" t="n">
        <x:v>0</x:v>
      </x:c>
      <x:c r="Y25" s="28" t="n">
        <x:v>0</x:v>
      </x:c>
      <x:c r="Z25" s="28" t="n">
        <x:v>0</x:v>
      </x:c>
      <x:c r="AA25" s="28" t="n">
        <x:v>25</x:v>
      </x:c>
      <x:c r="AB25" s="28" t="n">
        <x:v>0</x:v>
      </x:c>
      <x:c r="AC25" s="28" t="n">
        <x:v>0</x:v>
      </x:c>
      <x:c r="AD25" s="28" t="n">
        <x:v>0</x:v>
      </x:c>
      <x:c r="AE25" s="28" t="n">
        <x:v>0</x:v>
      </x:c>
      <x:c r="AF25" s="25" t="str">
        <x:v>설계·감리·기타 용역 집행한도는 건축공사비가 아님</x:v>
      </x:c>
      <x:c r="AG25" s="25" t="str"/>
      <x:c r="AH25" s="25" t="str">
        <x:v>KOICA 입찰 상세페이지</x:v>
      </x:c>
      <x:c r="AI25" s="25" t="str">
        <x:v>집행한도금액(달러)</x:v>
      </x:c>
      <x:c r="AJ25" s="25" t="str">
        <x:v>L2019-00019-1/첨부1. (국문) 기술혁신센터건립’ 조달계약팀, 서남아태평양실, 기술평가팀 ᄀ.hwp</x:v>
      </x:c>
      <x:c r="AK25" s="25" t="str">
        <x:v>문단 58</x:v>
      </x:c>
      <x:c r="AL25" s="25" t="str">
        <x:v>건축 연면적 3,024 M2</x:v>
      </x:c>
      <x:c r="AM25" s="25" t="str">
        <x:v>https://nebid.koica.go.kr/oep/lobi/localBidManageDetail.do?P_LOAZ_BID_PBLANC_NO=L2019-00019&amp;P_PBLANC_ODR=1</x:v>
      </x:c>
    </x:row>
    <x:row r="26">
      <x:c r="A26" s="22" t="str">
        <x:v>C</x:v>
      </x:c>
      <x:c r="B26" s="22" t="str">
        <x:v>2017-07115</x:v>
      </x:c>
      <x:c r="C26" s="22" t="str">
        <x:v>L2019-00021-1</x:v>
      </x:c>
      <x:c r="D26" s="22" t="str">
        <x:v>L2019-00021</x:v>
      </x:c>
      <x:c r="E26" s="22" t="str">
        <x:v>2019-05-15</x:v>
      </x:c>
      <x:c r="F26" s="22" t="str">
        <x:v>우즈베키스탄</x:v>
      </x:c>
      <x:c r="G26" s="25" t="str">
        <x:v>우즈베키스탄 페르가나 직업훈련원 건립 신축공사 시공업체 선정 현지입찰</x:v>
      </x:c>
      <x:c r="H26" s="22" t="str">
        <x:v>공사</x:v>
      </x:c>
      <x:c r="I26" s="22" t="str">
        <x:v>WORKS</x:v>
      </x:c>
      <x:c r="J26" s="22" t="str">
        <x:v>WORKS_CEILING</x:v>
      </x:c>
      <x:c r="K26" s="22" t="str">
        <x:v>MATCH</x:v>
      </x:c>
      <x:c r="L26" s="22" t="str">
        <x:v>MATCH</x:v>
      </x:c>
      <x:c r="M26" s="34" t="n">
        <x:v>5350000</x:v>
      </x:c>
      <x:c r="N26" s="34" t="n">
        <x:v>5350000</x:v>
      </x:c>
      <x:c r="O26" s="22" t="str">
        <x:v>NOTICE_EXECUTION_CEILING</x:v>
      </x:c>
      <x:c r="P26" s="37" t="str">
        <x:f>IF(AND(M26&lt;&gt;"",N26&lt;&gt;"",O26&lt;&gt;"NOTICE_EXECUTION_CEILING"),M26/N26-1,"")</x:f>
      </x:c>
      <x:c r="Q26" s="31" t="n">
        <x:v>5455</x:v>
      </x:c>
      <x:c r="R26" s="22" t="str">
        <x:v>GFA</x:v>
      </x:c>
      <x:c r="S26" s="22" t="str">
        <x:v>SINGLE_OR_TOTAL</x:v>
      </x:c>
      <x:c r="T26" s="34" t="n">
        <x:f>IFERROR(N26/Q26,"")</x:f>
        <x:v>980.7516040329973</x:v>
      </x:c>
      <x:c r="U26" s="22" t="str">
        <x:v>V3_CURATED_AREA_COST_RECHECK</x:v>
      </x:c>
      <x:c r="V26" s="22" t="str">
        <x:v>초기 스크리닝만</x:v>
      </x:c>
      <x:c r="W26" s="28" t="n">
        <x:v>1</x:v>
      </x:c>
      <x:c r="X26" s="28" t="n">
        <x:v>1</x:v>
      </x:c>
      <x:c r="Y26" s="28" t="n">
        <x:v>1</x:v>
      </x:c>
      <x:c r="Z26" s="28" t="n">
        <x:v>0</x:v>
      </x:c>
      <x:c r="AA26" s="28" t="n">
        <x:v>1</x:v>
      </x:c>
      <x:c r="AB26" s="28" t="n">
        <x:v>0</x:v>
      </x:c>
      <x:c r="AC26" s="28" t="n">
        <x:v>0</x:v>
      </x:c>
      <x:c r="AD26" s="28" t="n">
        <x:v>0</x:v>
      </x:c>
      <x:c r="AE26" s="28" t="n">
        <x:v>0</x:v>
      </x:c>
      <x:c r="AF26" s="25" t="str">
        <x:v>동일/제한 범위 공사금액÷면적 스크리닝 근거</x:v>
      </x:c>
      <x:c r="AG26" s="25" t="str"/>
      <x:c r="AH26" s="25" t="str">
        <x:v>L2019-00021-1/KOICA_우즈베키스탄 페르가나 직업훈련원 건립사업 시공업체 현지입찰공고 (국문).pdf</x:v>
      </x:c>
      <x:c r="AI26" s="25" t="str">
        <x:v>페이지 1</x:v>
      </x:c>
      <x:c r="AJ26" s="25" t="str">
        <x:v>L2019-00021-1/KOICA_우즈베키스탄 페르가나 직업훈련원 건립사업 시공업체 현지입찰공고 (국문).pdf</x:v>
      </x:c>
      <x:c r="AK26" s="25" t="str">
        <x:v>페이지 1</x:v>
      </x:c>
      <x:c r="AL26" s="25" t="str">
        <x:v>총연면적 5,455.00㎡; 집행한도 USD 5,350,000; 명목단가 USD 981/㎡.</x:v>
      </x:c>
      <x:c r="AM26" s="25" t="str">
        <x:v>https://nebid.koica.go.kr/oep/lobi/localBidManageDetail.do?P_LOAZ_BID_PBLANC_NO=L2019-00021&amp;P_PBLANC_ODR=1</x:v>
      </x:c>
    </x:row>
    <x:row r="27">
      <x:c r="A27" s="22" t="str">
        <x:v>C</x:v>
      </x:c>
      <x:c r="B27" s="22" t="str">
        <x:v>2015-00011</x:v>
      </x:c>
      <x:c r="C27" s="22" t="str">
        <x:v>L2019-00024-1</x:v>
      </x:c>
      <x:c r="D27" s="22" t="str">
        <x:v>L2019-00024</x:v>
      </x:c>
      <x:c r="E27" s="22" t="str">
        <x:v>2019-06-28</x:v>
      </x:c>
      <x:c r="F27" s="22" t="str">
        <x:v>스리랑카</x:v>
      </x:c>
      <x:c r="G27" s="25" t="str">
        <x:v>스리랑카 기술계 교사양성 및 재교육 사업 현지시공 국제입찰</x:v>
      </x:c>
      <x:c r="H27" s="22" t="str">
        <x:v>공사</x:v>
      </x:c>
      <x:c r="I27" s="22" t="str">
        <x:v>WORKS</x:v>
      </x:c>
      <x:c r="J27" s="22" t="str">
        <x:v>WORKS_CEILING</x:v>
      </x:c>
      <x:c r="K27" s="22" t="str">
        <x:v>MATCH</x:v>
      </x:c>
      <x:c r="L27" s="22" t="str">
        <x:v>MATCH</x:v>
      </x:c>
      <x:c r="M27" s="34" t="n">
        <x:v>7300000</x:v>
      </x:c>
      <x:c r="N27" s="34" t="n">
        <x:v>7161000</x:v>
      </x:c>
      <x:c r="O27" s="22" t="str">
        <x:v>BASIC_ESTIMATED_PRICE</x:v>
      </x:c>
      <x:c r="P27" s="37" t="n">
        <x:f>IF(AND(M27&lt;&gt;"",N27&lt;&gt;"",O27&lt;&gt;"NOTICE_EXECUTION_CEILING"),M27/N27-1,"")</x:f>
        <x:v>0.019410696830051588</x:v>
      </x:c>
      <x:c r="Q27" s="31" t="n">
        <x:v>12974</x:v>
      </x:c>
      <x:c r="R27" s="22" t="str">
        <x:v>GFA</x:v>
      </x:c>
      <x:c r="S27" s="22" t="str">
        <x:v>SINGLE_OR_TOTAL</x:v>
      </x:c>
      <x:c r="T27" s="34" t="n">
        <x:f>IFERROR(N27/Q27,"")</x:f>
        <x:v>551.950053954062</x:v>
      </x:c>
      <x:c r="U27" s="22" t="str">
        <x:v>V3_CURATED_AREA_COST_RECHECK</x:v>
      </x:c>
      <x:c r="V27" s="22" t="str">
        <x:v>초기 스크리닝만</x:v>
      </x:c>
      <x:c r="W27" s="28" t="n">
        <x:v>1</x:v>
      </x:c>
      <x:c r="X27" s="28" t="n">
        <x:v>1</x:v>
      </x:c>
      <x:c r="Y27" s="28" t="n">
        <x:v>1</x:v>
      </x:c>
      <x:c r="Z27" s="28" t="n">
        <x:v>0</x:v>
      </x:c>
      <x:c r="AA27" s="28" t="n">
        <x:v>30</x:v>
      </x:c>
      <x:c r="AB27" s="28" t="n">
        <x:v>2</x:v>
      </x:c>
      <x:c r="AC27" s="28" t="n">
        <x:v>3</x:v>
      </x:c>
      <x:c r="AD27" s="28" t="n">
        <x:v>0</x:v>
      </x:c>
      <x:c r="AE27" s="28" t="n">
        <x:v>0</x:v>
      </x:c>
      <x:c r="AF27" s="25" t="str">
        <x:v>동일/제한 범위 공사금액÷면적 스크리닝 근거</x:v>
      </x:c>
      <x:c r="AG27" s="25" t="str"/>
      <x:c r="AH27" s="25" t="str">
        <x:v>L2019-00024-1/BIDDING NOTICE.docx</x:v>
      </x:c>
      <x:c r="AI27" s="25" t="str">
        <x:v>표 2 행 6</x:v>
      </x:c>
      <x:c r="AJ27" s="25" t="str">
        <x:v>L2019-00024-1/BIDDING NOTICE.docx</x:v>
      </x:c>
      <x:c r="AK27" s="25" t="str">
        <x:v>표 2 행 3</x:v>
      </x:c>
      <x:c r="AL27" s="25" t="str">
        <x:v>총연면적 12,974.00㎡; 집행한도 USD 7,300,000; 명목단가 USD 563/㎡.</x:v>
      </x:c>
      <x:c r="AM27" s="25" t="str">
        <x:v>https://nebid.koica.go.kr/oep/lobi/localBidManageDetail.do?P_LOAZ_BID_PBLANC_NO=L2019-00024&amp;P_PBLANC_ODR=1</x:v>
      </x:c>
    </x:row>
    <x:row r="28">
      <x:c r="A28" s="22" t="str">
        <x:v>X</x:v>
      </x:c>
      <x:c r="B28" s="22" t="str">
        <x:v>2016-00220</x:v>
      </x:c>
      <x:c r="C28" s="22" t="str">
        <x:v>L2019-00040-1</x:v>
      </x:c>
      <x:c r="D28" s="22" t="str">
        <x:v>L2019-00040</x:v>
      </x:c>
      <x:c r="E28" s="22" t="str">
        <x:v>2019-07-19</x:v>
      </x:c>
      <x:c r="F28" s="22" t="str">
        <x:v>엘살바도르</x:v>
      </x:c>
      <x:c r="G28" s="25" t="str">
        <x:v>엘살바도르 동부건조지역 수계 복원력증대를 통한 기후변화대응사업(17-20/800만불) 산림복원 시행업체(PC) 선정</x:v>
      </x:c>
      <x:c r="H28" s="22" t="str">
        <x:v>공사</x:v>
      </x:c>
      <x:c r="I28" s="22" t="str">
        <x:v>NONBUILDING_OR_FALSE_AREA</x:v>
      </x:c>
      <x:c r="J28" s="22" t="str">
        <x:v>WORKS_CEILING</x:v>
      </x:c>
      <x:c r="K28" s="22" t="str">
        <x:v>NO_MATCH</x:v>
      </x:c>
      <x:c r="L28" s="22" t="str">
        <x:v>NO_MATCH</x:v>
      </x:c>
      <x:c r="M28" s="34" t="n">
        <x:v>752000</x:v>
      </x:c>
      <x:c r="N28" s="34"/>
      <x:c r="O28" s="22" t="str">
        <x:v>SERVICE_OR_GOODS_CEILING</x:v>
      </x:c>
      <x:c r="P28" s="37" t="str">
        <x:f>IF(AND(M28&lt;&gt;"",N28&lt;&gt;"",O28&lt;&gt;"NOTICE_EXECUTION_CEILING"),M28/N28-1,"")</x:f>
      </x:c>
      <x:c r="Q28" s="31"/>
      <x:c r="R28" s="22" t="str">
        <x:v>FALSE_POSITIVE_OR_WORK_ITEM</x:v>
      </x:c>
      <x:c r="S28" s="22" t="str">
        <x:v>NOT_APPLICABLE</x:v>
      </x:c>
      <x:c r="T28" s="34" t="str">
        <x:f>IFERROR(N28/Q28,"")</x:f>
      </x:c>
      <x:c r="U28" s="22" t="str">
        <x:v>V3_SCOPE_REVIEW</x:v>
      </x:c>
      <x:c r="V28" s="22" t="str">
        <x:v>계산 금지</x:v>
      </x:c>
      <x:c r="W28" s="28" t="n">
        <x:v>0</x:v>
      </x:c>
      <x:c r="X28" s="28" t="n">
        <x:v>0</x:v>
      </x:c>
      <x:c r="Y28" s="28" t="n">
        <x:v>0</x:v>
      </x:c>
      <x:c r="Z28" s="28" t="n">
        <x:v>0</x:v>
      </x:c>
      <x:c r="AA28" s="28" t="n">
        <x:v>18</x:v>
      </x:c>
      <x:c r="AB28" s="28" t="n">
        <x:v>0</x:v>
      </x:c>
      <x:c r="AC28" s="28" t="n">
        <x:v>0</x:v>
      </x:c>
      <x:c r="AD28" s="28" t="n">
        <x:v>0</x:v>
      </x:c>
      <x:c r="AE28" s="28" t="n">
        <x:v>0</x:v>
      </x:c>
      <x:c r="AF28" s="25" t="str">
        <x:v>물품·비건축 또는 GFA 오탐으로 건축공사비 표본 제외</x:v>
      </x:c>
      <x:c r="AG28" s="25" t="str">
        <x:v>3.1416㎡는 식재 1주 주변 청소면적이며 GFA가 아님</x:v>
      </x:c>
      <x:c r="AH28" s="25" t="str">
        <x:v>KOICA 입찰 상세페이지</x:v>
      </x:c>
      <x:c r="AI28" s="25" t="str">
        <x:v>집행한도금액(달러)</x:v>
      </x:c>
      <x:c r="AJ28" s="25" t="str">
        <x:v>L2019-00040-1/(붙임)입찰안내서_영문/ENG_Comp3_05_Works Requirements.docx</x:v>
      </x:c>
      <x:c r="AK28" s="25" t="str">
        <x:v>표 5 행 10</x:v>
      </x:c>
      <x:c r="AL28" s="25" t="str">
        <x:v>3.1416㎡는 식재 1주 주변 청소면적이며 GFA가 아님</x:v>
      </x:c>
      <x:c r="AM28" s="25" t="str">
        <x:v>https://nebid.koica.go.kr/oep/lobi/localBidManageDetail.do?P_LOAZ_BID_PBLANC_NO=L2019-00040&amp;P_PBLANC_ODR=1</x:v>
      </x:c>
    </x:row>
    <x:row r="29">
      <x:c r="A29" s="22" t="str">
        <x:v>X</x:v>
      </x:c>
      <x:c r="B29" s="22" t="str">
        <x:v>2015-00006</x:v>
      </x:c>
      <x:c r="C29" s="22" t="str">
        <x:v>L2019-00034-1</x:v>
      </x:c>
      <x:c r="D29" s="22" t="str">
        <x:v>L2019-00034</x:v>
      </x:c>
      <x:c r="E29" s="22" t="str">
        <x:v>2019-08-07</x:v>
      </x:c>
      <x:c r="F29" s="22" t="str">
        <x:v>에티오피아</x:v>
      </x:c>
      <x:c r="G29" s="25" t="str">
        <x:v>에티오피아 오로미아주 모자보건 및 가족계획 역량 강화사업 헤토사 1차 병원 설계 및 시공 감리 용역</x:v>
      </x:c>
      <x:c r="H29" s="22" t="str">
        <x:v>용역</x:v>
      </x:c>
      <x:c r="I29" s="22" t="str">
        <x:v>DESIGN_OR_SUPERVISION_SERVICE</x:v>
      </x:c>
      <x:c r="J29" s="22" t="str">
        <x:v>SERVICE_FEE_OR_MIXED</x:v>
      </x:c>
      <x:c r="K29" s="22" t="str">
        <x:v>NO_MATCH</x:v>
      </x:c>
      <x:c r="L29" s="22" t="str">
        <x:v>NO_MATCH</x:v>
      </x:c>
      <x:c r="M29" s="34" t="n">
        <x:v>189600</x:v>
      </x:c>
      <x:c r="N29" s="34"/>
      <x:c r="O29" s="22" t="str">
        <x:v>SERVICE_OR_GOODS_CEILING</x:v>
      </x:c>
      <x:c r="P29" s="37" t="str">
        <x:f>IF(AND(M29&lt;&gt;"",N29&lt;&gt;"",O29&lt;&gt;"NOTICE_EXECUTION_CEILING"),M29/N29-1,"")</x:f>
      </x:c>
      <x:c r="Q29" s="31" t="n">
        <x:v>3997</x:v>
      </x:c>
      <x:c r="R29" s="22" t="str">
        <x:v>GFA</x:v>
      </x:c>
      <x:c r="S29" s="22" t="str">
        <x:v>AUTO_SELECTED_SINGLE_OR_TOTAL</x:v>
      </x:c>
      <x:c r="T29" s="34" t="n">
        <x:f>IFERROR(N29/Q29,"")</x:f>
        <x:v>0</x:v>
      </x:c>
      <x:c r="U29" s="22" t="str">
        <x:v>V3_SCOPE_REVIEW</x:v>
      </x:c>
      <x:c r="V29" s="22" t="str">
        <x:v>계산 금지</x:v>
      </x:c>
      <x:c r="W29" s="28" t="n">
        <x:v>1</x:v>
      </x:c>
      <x:c r="X29" s="28" t="n">
        <x:v>0</x:v>
      </x:c>
      <x:c r="Y29" s="28" t="n">
        <x:v>0</x:v>
      </x:c>
      <x:c r="Z29" s="28" t="n">
        <x:v>0</x:v>
      </x:c>
      <x:c r="AA29" s="28" t="n">
        <x:v>22</x:v>
      </x:c>
      <x:c r="AB29" s="28" t="n">
        <x:v>0</x:v>
      </x:c>
      <x:c r="AC29" s="28" t="n">
        <x:v>0</x:v>
      </x:c>
      <x:c r="AD29" s="28" t="n">
        <x:v>0</x:v>
      </x:c>
      <x:c r="AE29" s="28" t="n">
        <x:v>0</x:v>
      </x:c>
      <x:c r="AF29" s="25" t="str">
        <x:v>설계·감리·기타 용역 집행한도는 건축공사비가 아님</x:v>
      </x:c>
      <x:c r="AG29" s="25" t="str"/>
      <x:c r="AH29" s="25" t="str">
        <x:v>KOICA 입찰 상세페이지</x:v>
      </x:c>
      <x:c r="AI29" s="25" t="str">
        <x:v>집행한도금액(달러)</x:v>
      </x:c>
      <x:c r="AJ29" s="25" t="str">
        <x:v>L2019-00034-1/(붙임4) 입찰제안서 및 부속서류 각 1부/04_Chapter_4._Invitation_to_Bid_1.docx</x:v>
      </x:c>
      <x:c r="AK29" s="25" t="str">
        <x:v>표 1 행 2</x:v>
      </x:c>
      <x:c r="AL29" s="25" t="str">
        <x:v>ices | 1. Project Location: Iteya, Hetosa Woreda, Arsi Zone, Oromia Region, Ethiopia. 2. Site Area: 1.84 Ha (1,840 m2) 3. Total Floor Area: 3,997 m2 4. Scope of Work : Design Consultant Service and Construction Supervi</x:v>
      </x:c>
      <x:c r="AM29" s="25" t="str">
        <x:v>https://nebid.koica.go.kr/oep/lobi/localBidManageDetail.do?P_LOAZ_BID_PBLANC_NO=L2019-00034&amp;P_PBLANC_ODR=1</x:v>
      </x:c>
    </x:row>
    <x:row r="30">
      <x:c r="A30" s="22" t="str">
        <x:v>X</x:v>
      </x:c>
      <x:c r="B30" s="22" t="str">
        <x:v>2015-00006</x:v>
      </x:c>
      <x:c r="C30" s="22" t="str">
        <x:v>L2019-00037-1</x:v>
      </x:c>
      <x:c r="D30" s="22" t="str">
        <x:v>L2019-00037</x:v>
      </x:c>
      <x:c r="E30" s="22" t="str">
        <x:v>2019-08-11</x:v>
      </x:c>
      <x:c r="F30" s="22" t="str">
        <x:v>에티오피아</x:v>
      </x:c>
      <x:c r="G30" s="25" t="str">
        <x:v>에티오피아 오로미아주 모자보건 및 가족계획 1차 병원 건립 설계 및 시공감리 용역업체 선정 현지입찰</x:v>
      </x:c>
      <x:c r="H30" s="22" t="str">
        <x:v>용역</x:v>
      </x:c>
      <x:c r="I30" s="22" t="str">
        <x:v>DESIGN_OR_SUPERVISION_SERVICE</x:v>
      </x:c>
      <x:c r="J30" s="22" t="str">
        <x:v>SERVICE_FEE_OR_MIXED</x:v>
      </x:c>
      <x:c r="K30" s="22" t="str">
        <x:v>NO_MATCH</x:v>
      </x:c>
      <x:c r="L30" s="22" t="str">
        <x:v>NO_MATCH</x:v>
      </x:c>
      <x:c r="M30" s="34" t="n">
        <x:v>189600</x:v>
      </x:c>
      <x:c r="N30" s="34"/>
      <x:c r="O30" s="22" t="str">
        <x:v>SERVICE_OR_GOODS_CEILING</x:v>
      </x:c>
      <x:c r="P30" s="37" t="str">
        <x:f>IF(AND(M30&lt;&gt;"",N30&lt;&gt;"",O30&lt;&gt;"NOTICE_EXECUTION_CEILING"),M30/N30-1,"")</x:f>
      </x:c>
      <x:c r="Q30" s="31" t="n">
        <x:v>3997</x:v>
      </x:c>
      <x:c r="R30" s="22" t="str">
        <x:v>GFA</x:v>
      </x:c>
      <x:c r="S30" s="22" t="str">
        <x:v>AUTO_SELECTED_SINGLE_OR_TOTAL</x:v>
      </x:c>
      <x:c r="T30" s="34" t="n">
        <x:f>IFERROR(N30/Q30,"")</x:f>
        <x:v>0</x:v>
      </x:c>
      <x:c r="U30" s="22" t="str">
        <x:v>V3_SCOPE_REVIEW</x:v>
      </x:c>
      <x:c r="V30" s="22" t="str">
        <x:v>계산 금지</x:v>
      </x:c>
      <x:c r="W30" s="28" t="n">
        <x:v>1</x:v>
      </x:c>
      <x:c r="X30" s="28" t="n">
        <x:v>0</x:v>
      </x:c>
      <x:c r="Y30" s="28" t="n">
        <x:v>0</x:v>
      </x:c>
      <x:c r="Z30" s="28" t="n">
        <x:v>0</x:v>
      </x:c>
      <x:c r="AA30" s="28" t="n">
        <x:v>1</x:v>
      </x:c>
      <x:c r="AB30" s="28" t="n">
        <x:v>0</x:v>
      </x:c>
      <x:c r="AC30" s="28" t="n">
        <x:v>0</x:v>
      </x:c>
      <x:c r="AD30" s="28" t="n">
        <x:v>0</x:v>
      </x:c>
      <x:c r="AE30" s="28" t="n">
        <x:v>0</x:v>
      </x:c>
      <x:c r="AF30" s="25" t="str">
        <x:v>설계·감리·기타 용역 집행한도는 건축공사비가 아님</x:v>
      </x:c>
      <x:c r="AG30" s="25" t="str"/>
      <x:c r="AH30" s="25" t="str">
        <x:v>KOICA 입찰 상세페이지</x:v>
      </x:c>
      <x:c r="AI30" s="25" t="str">
        <x:v>집행한도금액(달러)</x:v>
      </x:c>
      <x:c r="AJ30" s="25" t="str">
        <x:v>L2019-00037-1/Invitation.docx</x:v>
      </x:c>
      <x:c r="AK30" s="25" t="str">
        <x:v>문단 19</x:v>
      </x:c>
      <x:c r="AL30" s="25" t="str">
        <x:v>• Site Area: 1.84 Ha (1,840 m2) / Total Floor Area: 3,997 m2</x:v>
      </x:c>
      <x:c r="AM30" s="25" t="str">
        <x:v>https://nebid.koica.go.kr/oep/lobi/localBidManageDetail.do?P_LOAZ_BID_PBLANC_NO=L2019-00037&amp;P_PBLANC_ODR=1</x:v>
      </x:c>
    </x:row>
    <x:row r="31">
      <x:c r="A31" s="22" t="str">
        <x:v>X</x:v>
      </x:c>
      <x:c r="B31" s="22" t="str">
        <x:v>2016-00220</x:v>
      </x:c>
      <x:c r="C31" s="22" t="str">
        <x:v>L2019-00040-2</x:v>
      </x:c>
      <x:c r="D31" s="22" t="str">
        <x:v>L2019-00040</x:v>
      </x:c>
      <x:c r="E31" s="22" t="str">
        <x:v>2019-09-11</x:v>
      </x:c>
      <x:c r="F31" s="22" t="str">
        <x:v>엘살바도르</x:v>
      </x:c>
      <x:c r="G31" s="25" t="str">
        <x:v>엘살바도르 동부건조지역 수계 복원력증대를 통한 기후변화대응사업(17-20/800만불) 산림복원 시행업체(PC) 선정</x:v>
      </x:c>
      <x:c r="H31" s="22" t="str">
        <x:v>공사</x:v>
      </x:c>
      <x:c r="I31" s="22" t="str">
        <x:v>NONBUILDING_OR_FALSE_AREA</x:v>
      </x:c>
      <x:c r="J31" s="22" t="str">
        <x:v>WORKS_CEILING</x:v>
      </x:c>
      <x:c r="K31" s="22" t="str">
        <x:v>NO_MATCH</x:v>
      </x:c>
      <x:c r="L31" s="22" t="str">
        <x:v>NO_MATCH</x:v>
      </x:c>
      <x:c r="M31" s="34" t="n">
        <x:v>752000</x:v>
      </x:c>
      <x:c r="N31" s="34"/>
      <x:c r="O31" s="22" t="str">
        <x:v>SERVICE_OR_GOODS_CEILING</x:v>
      </x:c>
      <x:c r="P31" s="37" t="str">
        <x:f>IF(AND(M31&lt;&gt;"",N31&lt;&gt;"",O31&lt;&gt;"NOTICE_EXECUTION_CEILING"),M31/N31-1,"")</x:f>
      </x:c>
      <x:c r="Q31" s="31"/>
      <x:c r="R31" s="22" t="str">
        <x:v>FALSE_POSITIVE_OR_WORK_ITEM</x:v>
      </x:c>
      <x:c r="S31" s="22" t="str">
        <x:v>NOT_APPLICABLE</x:v>
      </x:c>
      <x:c r="T31" s="34" t="str">
        <x:f>IFERROR(N31/Q31,"")</x:f>
      </x:c>
      <x:c r="U31" s="22" t="str">
        <x:v>V3_SCOPE_REVIEW</x:v>
      </x:c>
      <x:c r="V31" s="22" t="str">
        <x:v>계산 금지</x:v>
      </x:c>
      <x:c r="W31" s="28" t="n">
        <x:v>1</x:v>
      </x:c>
      <x:c r="X31" s="28" t="n">
        <x:v>1</x:v>
      </x:c>
      <x:c r="Y31" s="28" t="n">
        <x:v>0</x:v>
      </x:c>
      <x:c r="Z31" s="28" t="n">
        <x:v>0</x:v>
      </x:c>
      <x:c r="AA31" s="28" t="n">
        <x:v>18</x:v>
      </x:c>
      <x:c r="AB31" s="28" t="n">
        <x:v>0</x:v>
      </x:c>
      <x:c r="AC31" s="28" t="n">
        <x:v>0</x:v>
      </x:c>
      <x:c r="AD31" s="28" t="n">
        <x:v>0</x:v>
      </x:c>
      <x:c r="AE31" s="28" t="n">
        <x:v>0</x:v>
      </x:c>
      <x:c r="AF31" s="25" t="str">
        <x:v>물품·비건축 또는 GFA 오탐으로 건축공사비 표본 제외</x:v>
      </x:c>
      <x:c r="AG31" s="25" t="str">
        <x:v>3.1416㎡는 식재 1주 주변 청소면적이며 GFA가 아님</x:v>
      </x:c>
      <x:c r="AH31" s="25" t="str">
        <x:v>KOICA 입찰 상세페이지</x:v>
      </x:c>
      <x:c r="AI31" s="25" t="str">
        <x:v>집행한도금액(달러)</x:v>
      </x:c>
      <x:c r="AJ31" s="25" t="str">
        <x:v>L2019-00040-2/입찰안내서_영문/ENG_Comp3_05_Works Requirements.docx</x:v>
      </x:c>
      <x:c r="AK31" s="25" t="str">
        <x:v>표 5 행 10</x:v>
      </x:c>
      <x:c r="AL31" s="25" t="str">
        <x:v>3.1416㎡는 식재 1주 주변 청소면적이며 GFA가 아님</x:v>
      </x:c>
      <x:c r="AM31" s="25" t="str">
        <x:v>https://nebid.koica.go.kr/oep/lobi/localBidManageDetail.do?P_LOAZ_BID_PBLANC_NO=L2019-00040&amp;P_PBLANC_ODR=2</x:v>
      </x:c>
    </x:row>
    <x:row r="32">
      <x:c r="A32" s="22" t="str">
        <x:v>C</x:v>
      </x:c>
      <x:c r="B32" s="22" t="str">
        <x:v>2016-00206</x:v>
      </x:c>
      <x:c r="C32" s="22" t="str">
        <x:v>L2019-00043-1</x:v>
      </x:c>
      <x:c r="D32" s="22" t="str">
        <x:v>L2019-00043</x:v>
      </x:c>
      <x:c r="E32" s="22" t="str">
        <x:v>2019-10-17</x:v>
      </x:c>
      <x:c r="F32" s="22" t="str">
        <x:v>요르단</x:v>
      </x:c>
      <x:c r="G32" s="25" t="str">
        <x:v>요르단 시리아 난민 밀집지역 취약계층 아동을 위한 3개 학교 건립사업 자르카 학교 시공사 선정 입찰</x:v>
      </x:c>
      <x:c r="H32" s="22" t="str">
        <x:v>공사</x:v>
      </x:c>
      <x:c r="I32" s="22" t="str">
        <x:v>WORKS</x:v>
      </x:c>
      <x:c r="J32" s="22" t="str">
        <x:v>WORKS_CEILING</x:v>
      </x:c>
      <x:c r="K32" s="22" t="str">
        <x:v>MATCH</x:v>
      </x:c>
      <x:c r="L32" s="22" t="str">
        <x:v>MATCH</x:v>
      </x:c>
      <x:c r="M32" s="34" t="n">
        <x:v>2654320</x:v>
      </x:c>
      <x:c r="N32" s="34" t="n">
        <x:v>2654320</x:v>
      </x:c>
      <x:c r="O32" s="22" t="str">
        <x:v>NOTICE_EXECUTION_CEILING</x:v>
      </x:c>
      <x:c r="P32" s="37" t="str">
        <x:f>IF(AND(M32&lt;&gt;"",N32&lt;&gt;"",O32&lt;&gt;"NOTICE_EXECUTION_CEILING"),M32/N32-1,"")</x:f>
      </x:c>
      <x:c r="Q32" s="31" t="n">
        <x:v>3944.3</x:v>
      </x:c>
      <x:c r="R32" s="22" t="str">
        <x:v>GFA</x:v>
      </x:c>
      <x:c r="S32" s="22" t="str">
        <x:v>SINGLE_OR_TOTAL</x:v>
      </x:c>
      <x:c r="T32" s="34" t="n">
        <x:f>IFERROR(N32/Q32,"")</x:f>
        <x:v>672.9508404533124</x:v>
      </x:c>
      <x:c r="U32" s="22" t="str">
        <x:v>V3_CURATED_AREA_COST_RECHECK</x:v>
      </x:c>
      <x:c r="V32" s="22" t="str">
        <x:v>초기 스크리닝만</x:v>
      </x:c>
      <x:c r="W32" s="28" t="n">
        <x:v>1</x:v>
      </x:c>
      <x:c r="X32" s="28" t="n">
        <x:v>1</x:v>
      </x:c>
      <x:c r="Y32" s="28" t="n">
        <x:v>1</x:v>
      </x:c>
      <x:c r="Z32" s="28" t="n">
        <x:v>0</x:v>
      </x:c>
      <x:c r="AA32" s="28" t="n">
        <x:v>1</x:v>
      </x:c>
      <x:c r="AB32" s="28" t="n">
        <x:v>0</x:v>
      </x:c>
      <x:c r="AC32" s="28" t="n">
        <x:v>0</x:v>
      </x:c>
      <x:c r="AD32" s="28" t="n">
        <x:v>0</x:v>
      </x:c>
      <x:c r="AE32" s="28" t="n">
        <x:v>0</x:v>
      </x:c>
      <x:c r="AF32" s="25" t="str">
        <x:v>동일/제한 범위 공사금액÷면적 스크리닝 근거</x:v>
      </x:c>
      <x:c r="AG32" s="25" t="str"/>
      <x:c r="AH32" s="25" t="str">
        <x:v>L2019-00043-1/입찰공고문_3개 학교사업 자르카 학교 시공사 선정 입찰공고.pdf</x:v>
      </x:c>
      <x:c r="AI32" s="25" t="str">
        <x:v>페이지 1</x:v>
      </x:c>
      <x:c r="AJ32" s="25" t="str">
        <x:v>L2019-00043-1/입찰공고문_3개 학교사업 자르카 학교 시공사 선정 입찰공고.pdf</x:v>
      </x:c>
      <x:c r="AK32" s="25" t="str">
        <x:v>페이지 1</x:v>
      </x:c>
      <x:c r="AL32" s="25" t="str">
        <x:v>총연면적 3,944.30㎡; 집행한도 USD 2,654,320; 명목단가 USD 673/㎡.</x:v>
      </x:c>
      <x:c r="AM32" s="25" t="str">
        <x:v>https://nebid.koica.go.kr/oep/lobi/localBidManageDetail.do?P_LOAZ_BID_PBLANC_NO=L2019-00043&amp;P_PBLANC_ODR=1</x:v>
      </x:c>
    </x:row>
    <x:row r="33">
      <x:c r="A33" s="22" t="str">
        <x:v>U</x:v>
      </x:c>
      <x:c r="B33" s="22" t="str">
        <x:v>2014-00031</x:v>
      </x:c>
      <x:c r="C33" s="22" t="str">
        <x:v>L2019-00044-1</x:v>
      </x:c>
      <x:c r="D33" s="22" t="str">
        <x:v>L2019-00044</x:v>
      </x:c>
      <x:c r="E33" s="22" t="str">
        <x:v>2019-11-01</x:v>
      </x:c>
      <x:c r="F33" s="22" t="str">
        <x:v>엘살바도르</x:v>
      </x:c>
      <x:c r="G33" s="25" t="str">
        <x:v>엘살바도르 치안강화를 위한 차량 자동인식시스템 구축사업, CCTV 역량강화센터 2층 리모델링 시공업체 선정</x:v>
      </x:c>
      <x:c r="H33" s="22" t="str">
        <x:v>공사</x:v>
      </x:c>
      <x:c r="I33" s="22" t="str">
        <x:v>WORKS</x:v>
      </x:c>
      <x:c r="J33" s="22" t="str">
        <x:v>WORKS_CEILING</x:v>
      </x:c>
      <x:c r="K33" s="22" t="str">
        <x:v>NO_MATCH</x:v>
      </x:c>
      <x:c r="L33" s="22" t="str">
        <x:v>NO_MATCH</x:v>
      </x:c>
      <x:c r="M33" s="34" t="n">
        <x:v>235960</x:v>
      </x:c>
      <x:c r="N33" s="34" t="n">
        <x:v>235960</x:v>
      </x:c>
      <x:c r="O33" s="22" t="str">
        <x:v>NOTICE_EXECUTION_CEILING</x:v>
      </x:c>
      <x:c r="P33" s="37" t="str">
        <x:f>IF(AND(M33&lt;&gt;"",N33&lt;&gt;"",O33&lt;&gt;"NOTICE_EXECUTION_CEILING"),M33/N33-1,"")</x:f>
      </x:c>
      <x:c r="Q33" s="31"/>
      <x:c r="R33" s="22" t="str">
        <x:v>FALSE_POSITIVE_OR_WORK_ITEM</x:v>
      </x:c>
      <x:c r="S33" s="22" t="str">
        <x:v>NOT_APPLICABLE</x:v>
      </x:c>
      <x:c r="T33" s="34" t="str">
        <x:f>IFERROR(N33/Q33,"")</x:f>
      </x:c>
      <x:c r="U33" s="22" t="str">
        <x:v>V3_SCOPE_REVIEW</x:v>
      </x:c>
      <x:c r="V33" s="22" t="str">
        <x:v>계산 금지</x:v>
      </x:c>
      <x:c r="W33" s="28" t="n">
        <x:v>1</x:v>
      </x:c>
      <x:c r="X33" s="28" t="n">
        <x:v>1</x:v>
      </x:c>
      <x:c r="Y33" s="28" t="n">
        <x:v>0</x:v>
      </x:c>
      <x:c r="Z33" s="28" t="n">
        <x:v>0</x:v>
      </x:c>
      <x:c r="AA33" s="28" t="n">
        <x:v>1</x:v>
      </x:c>
      <x:c r="AB33" s="28" t="n">
        <x:v>0</x:v>
      </x:c>
      <x:c r="AC33" s="28" t="n">
        <x:v>0</x:v>
      </x:c>
      <x:c r="AD33" s="28" t="n">
        <x:v>0</x:v>
      </x:c>
      <x:c r="AE33" s="28" t="n">
        <x:v>0</x:v>
      </x:c>
      <x:c r="AF33" s="25" t="str">
        <x:v>공사 후보이나 유효 GFA 또는 같은 범위 금액이 없음</x:v>
      </x:c>
      <x:c r="AG33" s="25" t="str">
        <x:v>검출 4㎡는 기술규격의 도장 표면 문맥; 리모델링 GFA 미확인</x:v>
      </x:c>
      <x:c r="AH33" s="25" t="str">
        <x:v>KOICA 입찰 상세페이지</x:v>
      </x:c>
      <x:c r="AI33" s="25" t="str">
        <x:v>집행한도금액(달러)</x:v>
      </x:c>
      <x:c r="AJ33" s="25" t="str">
        <x:v>L2019-00044-1/입찰안내서(영문).pdf</x:v>
      </x:c>
      <x:c r="AK33" s="25" t="str">
        <x:v>페이지 117</x:v>
      </x:c>
      <x:c r="AL33" s="25" t="str">
        <x:v>검출 4㎡는 기술규격의 도장 표면 문맥; 리모델링 GFA 미확인</x:v>
      </x:c>
      <x:c r="AM33" s="25" t="str">
        <x:v>https://nebid.koica.go.kr/oep/lobi/localBidManageDetail.do?P_LOAZ_BID_PBLANC_NO=L2019-00044&amp;P_PBLANC_ODR=1</x:v>
      </x:c>
    </x:row>
    <x:row r="34">
      <x:c r="A34" s="22" t="str">
        <x:v>U</x:v>
      </x:c>
      <x:c r="B34" s="22" t="str">
        <x:v>2017-15267</x:v>
      </x:c>
      <x:c r="C34" s="22" t="str">
        <x:v>L2019-00046-1</x:v>
      </x:c>
      <x:c r="D34" s="22" t="str">
        <x:v>L2019-00046</x:v>
      </x:c>
      <x:c r="E34" s="22" t="str">
        <x:v>2019-11-22</x:v>
      </x:c>
      <x:c r="F34" s="22" t="str">
        <x:v>필리핀</x:v>
      </x:c>
      <x:c r="G34" s="25" t="str">
        <x:v>필리핀 사무소 이전 관련 마감공사</x:v>
      </x:c>
      <x:c r="H34" s="22" t="str">
        <x:v>용역</x:v>
      </x:c>
      <x:c r="I34" s="22" t="str">
        <x:v>MIXED_FITOUT_WORKS</x:v>
      </x:c>
      <x:c r="J34" s="22" t="str">
        <x:v>SERVICE_FEE_OR_MIXED</x:v>
      </x:c>
      <x:c r="K34" s="22" t="str">
        <x:v>PARTIAL_MIXED_COST</x:v>
      </x:c>
      <x:c r="L34" s="22" t="str">
        <x:v>PARTIAL_MIXED_COST</x:v>
      </x:c>
      <x:c r="M34" s="34" t="n">
        <x:v>206864</x:v>
      </x:c>
      <x:c r="N34" s="34"/>
      <x:c r="O34" s="22" t="str">
        <x:v>SERVICE_OR_GOODS_CEILING</x:v>
      </x:c>
      <x:c r="P34" s="37" t="str">
        <x:f>IF(AND(M34&lt;&gt;"",N34&lt;&gt;"",O34&lt;&gt;"NOTICE_EXECUTION_CEILING"),M34/N34-1,"")</x:f>
      </x:c>
      <x:c r="Q34" s="31" t="n">
        <x:v>679</x:v>
      </x:c>
      <x:c r="R34" s="22" t="str">
        <x:v>GFA</x:v>
      </x:c>
      <x:c r="S34" s="22" t="str">
        <x:v>AUTO_SELECTED_SINGLE_OR_TOTAL</x:v>
      </x:c>
      <x:c r="T34" s="34" t="n">
        <x:f>IFERROR(N34/Q34,"")</x:f>
        <x:v>0</x:v>
      </x:c>
      <x:c r="U34" s="22" t="str">
        <x:v>V3_SCOPE_REVIEW</x:v>
      </x:c>
      <x:c r="V34" s="22" t="str">
        <x:v>계산 금지</x:v>
      </x:c>
      <x:c r="W34" s="28" t="n">
        <x:v>1</x:v>
      </x:c>
      <x:c r="X34" s="28" t="n">
        <x:v>1</x:v>
      </x:c>
      <x:c r="Y34" s="28" t="n">
        <x:v>0</x:v>
      </x:c>
      <x:c r="Z34" s="28" t="n">
        <x:v>0</x:v>
      </x:c>
      <x:c r="AA34" s="28" t="n">
        <x:v>17</x:v>
      </x:c>
      <x:c r="AB34" s="28" t="n">
        <x:v>1</x:v>
      </x:c>
      <x:c r="AC34" s="28" t="n">
        <x:v>0</x:v>
      </x:c>
      <x:c r="AD34" s="28" t="n">
        <x:v>0</x:v>
      </x:c>
      <x:c r="AE34" s="28" t="n">
        <x:v>0</x:v>
      </x:c>
      <x:c r="AF34" s="25" t="str">
        <x:v>면적과 금액 범위가 부분·혼합되어 계산 금지</x:v>
      </x:c>
      <x:c r="AG34" s="25" t="str">
        <x:v>신규 마감 외에 기존 사무소 원상복구·가구·이사·예비비가 포함되어 656/679㎡와 금액 범위가 일치하지 않음</x:v>
      </x:c>
      <x:c r="AH34" s="25" t="str">
        <x:v>KOICA 입찰 상세페이지</x:v>
      </x:c>
      <x:c r="AI34" s="25" t="str">
        <x:v>집행한도금액(달러)</x:v>
      </x:c>
      <x:c r="AJ34" s="25" t="str">
        <x:v>L2019-00046-1/붙임/01_Chapter 1. Invitation for Bids_Bid Announcement_Rev1.docx</x:v>
      </x:c>
      <x:c r="AK34" s="25" t="str">
        <x:v>표 1 행 4</x:v>
      </x:c>
      <x:c r="AL34" s="25" t="str">
        <x:v>- Gross Area | - Total floor area of the New Office: 679 square meters approx. - Total floor area of the Existing Office: 560 square meters </x:v>
      </x:c>
      <x:c r="AM34" s="25" t="str">
        <x:v>https://nebid.koica.go.kr/oep/lobi/localBidManageDetail.do?P_LOAZ_BID_PBLANC_NO=L2019-00046&amp;P_PBLANC_ODR=1</x:v>
      </x:c>
    </x:row>
    <x:row r="35">
      <x:c r="A35" s="22" t="str">
        <x:v>C?</x:v>
      </x:c>
      <x:c r="B35" s="22" t="str">
        <x:v>2017-07192</x:v>
      </x:c>
      <x:c r="C35" s="22" t="str">
        <x:v>L2020-00001-1</x:v>
      </x:c>
      <x:c r="D35" s="22" t="str">
        <x:v>L2020-00001</x:v>
      </x:c>
      <x:c r="E35" s="22" t="str">
        <x:v>2020-01-15</x:v>
      </x:c>
      <x:c r="F35" s="22" t="str">
        <x:v>캄보디아</x:v>
      </x:c>
      <x:c r="G35" s="25" t="str">
        <x:v>캄보디아 앙두엉 이비인후과(ENT)병원 역량강화사업 시공업체 선정 입찰</x:v>
      </x:c>
      <x:c r="H35" s="22" t="str">
        <x:v>공사</x:v>
      </x:c>
      <x:c r="I35" s="22" t="str">
        <x:v>WORKS</x:v>
      </x:c>
      <x:c r="J35" s="22" t="str">
        <x:v>WORKS_CEILING</x:v>
      </x:c>
      <x:c r="K35" s="22" t="str">
        <x:v>MATCH</x:v>
      </x:c>
      <x:c r="L35" s="22" t="str">
        <x:v>MATCH</x:v>
      </x:c>
      <x:c r="M35" s="34" t="n">
        <x:v>4080000</x:v>
      </x:c>
      <x:c r="N35" s="34" t="n">
        <x:v>4080000</x:v>
      </x:c>
      <x:c r="O35" s="22" t="str">
        <x:v>NOTICE_EXECUTION_CEILING</x:v>
      </x:c>
      <x:c r="P35" s="37" t="str">
        <x:f>IF(AND(M35&lt;&gt;"",N35&lt;&gt;"",O35&lt;&gt;"NOTICE_EXECUTION_CEILING"),M35/N35-1,"")</x:f>
      </x:c>
      <x:c r="Q35" s="31" t="n">
        <x:v>4177.94</x:v>
      </x:c>
      <x:c r="R35" s="22" t="str">
        <x:v>GFA</x:v>
      </x:c>
      <x:c r="S35" s="22" t="str">
        <x:v>TOTAL</x:v>
      </x:c>
      <x:c r="T35" s="34" t="n">
        <x:f>IFERROR(N35/Q35,"")</x:f>
        <x:v>976.5578251482789</x:v>
      </x:c>
      <x:c r="U35" s="22" t="str">
        <x:v>V2R_HUMAN_REVIEWED_EXTRACTION</x:v>
      </x:c>
      <x:c r="V35" s="22" t="str">
        <x:v>초기 스크리닝만</x:v>
      </x:c>
      <x:c r="W35" s="28" t="n">
        <x:v>0</x:v>
      </x:c>
      <x:c r="X35" s="28" t="n">
        <x:v>0</x:v>
      </x:c>
      <x:c r="Y35" s="28" t="n">
        <x:v>0</x:v>
      </x:c>
      <x:c r="Z35" s="28" t="n">
        <x:v>0</x:v>
      </x:c>
      <x:c r="AA35" s="28" t="n">
        <x:v>2</x:v>
      </x:c>
      <x:c r="AB35" s="28" t="n">
        <x:v>0</x:v>
      </x:c>
      <x:c r="AC35" s="28" t="n">
        <x:v>0</x:v>
      </x:c>
      <x:c r="AD35" s="28" t="n">
        <x:v>0</x:v>
      </x:c>
      <x:c r="AE35" s="28" t="n">
        <x:v>0</x:v>
      </x:c>
      <x:c r="AF35" s="25" t="str">
        <x:v>범위 일치 잠정확인; 원본 V3 확인 전 직접 사용 금지</x:v>
      </x:c>
      <x:c r="AG35" s="25" t="str"/>
      <x:c r="AH35" s="25" t="str">
        <x:v>KOICA 입찰 상세페이지</x:v>
      </x:c>
      <x:c r="AI35" s="25" t="str">
        <x:v>집행한도금액(달러)</x:v>
      </x:c>
      <x:c r="AJ35" s="25" t="str">
        <x:v>L2020-00001-1</x:v>
      </x:c>
      <x:c r="AK35" s="25" t="str">
        <x:v>표 2 행 5</x:v>
      </x:c>
      <x:c r="AL35" s="25" t="str">
        <x:v>Gross Floor Area approx. 4,177.94 m2; site/building footprint 별도</x:v>
      </x:c>
      <x:c r="AM35" s="25" t="str">
        <x:v>https://nebid.koica.go.kr/oep/lobi/localBidManageDetail.do?P_LOAZ_BID_PBLANC_NO=L2020-00001&amp;P_PBLANC_ODR=1</x:v>
      </x:c>
    </x:row>
    <x:row r="36">
      <x:c r="A36" s="22" t="str">
        <x:v>C</x:v>
      </x:c>
      <x:c r="B36" s="22" t="str">
        <x:v>2017-07192</x:v>
      </x:c>
      <x:c r="C36" s="22" t="str">
        <x:v>L2020-00001-2</x:v>
      </x:c>
      <x:c r="D36" s="22" t="str">
        <x:v>L2020-00001</x:v>
      </x:c>
      <x:c r="E36" s="22" t="str">
        <x:v>2020-02-07</x:v>
      </x:c>
      <x:c r="F36" s="22" t="str">
        <x:v>캄보디아</x:v>
      </x:c>
      <x:c r="G36" s="25" t="str">
        <x:v>캄보디아 앙두엉 이비인후과(ENT)병원 역량강화사업 시공업체 선정 입찰</x:v>
      </x:c>
      <x:c r="H36" s="22" t="str">
        <x:v>공사</x:v>
      </x:c>
      <x:c r="I36" s="22" t="str">
        <x:v>WORKS</x:v>
      </x:c>
      <x:c r="J36" s="22" t="str">
        <x:v>WORKS_CEILING</x:v>
      </x:c>
      <x:c r="K36" s="22" t="str">
        <x:v>MATCH</x:v>
      </x:c>
      <x:c r="L36" s="22" t="str">
        <x:v>MATCH</x:v>
      </x:c>
      <x:c r="M36" s="34" t="n">
        <x:v>4080000</x:v>
      </x:c>
      <x:c r="N36" s="34" t="n">
        <x:v>4080000</x:v>
      </x:c>
      <x:c r="O36" s="22" t="str">
        <x:v>NOTICE_EXECUTION_CEILING</x:v>
      </x:c>
      <x:c r="P36" s="37" t="str">
        <x:f>IF(AND(M36&lt;&gt;"",N36&lt;&gt;"",O36&lt;&gt;"NOTICE_EXECUTION_CEILING"),M36/N36-1,"")</x:f>
      </x:c>
      <x:c r="Q36" s="31" t="n">
        <x:v>4177.94</x:v>
      </x:c>
      <x:c r="R36" s="22" t="str">
        <x:v>GFA</x:v>
      </x:c>
      <x:c r="S36" s="22" t="str">
        <x:v>SINGLE_OR_TOTAL</x:v>
      </x:c>
      <x:c r="T36" s="34" t="n">
        <x:f>IFERROR(N36/Q36,"")</x:f>
        <x:v>976.5578251482789</x:v>
      </x:c>
      <x:c r="U36" s="22" t="str">
        <x:v>V3_CURATED_AREA_COST_RECHECK</x:v>
      </x:c>
      <x:c r="V36" s="22" t="str">
        <x:v>초기 스크리닝만</x:v>
      </x:c>
      <x:c r="W36" s="28" t="n">
        <x:v>1</x:v>
      </x:c>
      <x:c r="X36" s="28" t="n">
        <x:v>1</x:v>
      </x:c>
      <x:c r="Y36" s="28" t="n">
        <x:v>1</x:v>
      </x:c>
      <x:c r="Z36" s="28" t="n">
        <x:v>0</x:v>
      </x:c>
      <x:c r="AA36" s="28" t="n">
        <x:v>2</x:v>
      </x:c>
      <x:c r="AB36" s="28" t="n">
        <x:v>0</x:v>
      </x:c>
      <x:c r="AC36" s="28" t="n">
        <x:v>0</x:v>
      </x:c>
      <x:c r="AD36" s="28" t="n">
        <x:v>0</x:v>
      </x:c>
      <x:c r="AE36" s="28" t="n">
        <x:v>0</x:v>
      </x:c>
      <x:c r="AF36" s="25" t="str">
        <x:v>동일/제한 범위 공사금액÷면적 스크리닝 근거</x:v>
      </x:c>
      <x:c r="AG36" s="25" t="str"/>
      <x:c r="AH36" s="25" t="str">
        <x:v>L2020-00001-2/입찰공고문(최종).docx</x:v>
      </x:c>
      <x:c r="AI36" s="25" t="str">
        <x:v>문단 19</x:v>
      </x:c>
      <x:c r="AJ36" s="25" t="str">
        <x:v>L2020-00001-2/입찰공고문(최종).docx</x:v>
      </x:c>
      <x:c r="AK36" s="25" t="str">
        <x:v>문단 19</x:v>
      </x:c>
      <x:c r="AL36" s="25" t="str">
        <x:v>총연면적 4,177.94㎡; 집행한도 USD 4,080,000; 명목단가 USD 977/㎡.</x:v>
      </x:c>
      <x:c r="AM36" s="25" t="str">
        <x:v>https://nebid.koica.go.kr/oep/lobi/localBidManageDetail.do?P_LOAZ_BID_PBLANC_NO=L2020-00001&amp;P_PBLANC_ODR=2</x:v>
      </x:c>
    </x:row>
    <x:row r="37">
      <x:c r="A37" s="22" t="str">
        <x:v>C?</x:v>
      </x:c>
      <x:c r="B37" s="22" t="str">
        <x:v>2016-00029</x:v>
      </x:c>
      <x:c r="C37" s="22" t="str">
        <x:v>L2020-00003-1</x:v>
      </x:c>
      <x:c r="D37" s="22" t="str">
        <x:v>L2020-00003</x:v>
      </x:c>
      <x:c r="E37" s="22" t="str">
        <x:v>2020-05-25</x:v>
      </x:c>
      <x:c r="F37" s="22" t="str">
        <x:v>네팔</x:v>
      </x:c>
      <x:c r="G37" s="25" t="str">
        <x:v>네팔 통합적 지역개발을 위한 연구개발 인프라구축사업 연구혁신센터 시공업체 선정 입찰</x:v>
      </x:c>
      <x:c r="H37" s="22" t="str">
        <x:v>용역</x:v>
      </x:c>
      <x:c r="I37" s="22" t="str">
        <x:v>WORKS</x:v>
      </x:c>
      <x:c r="J37" s="22" t="str">
        <x:v>WORKS_CEILING</x:v>
      </x:c>
      <x:c r="K37" s="22" t="str">
        <x:v>MATCH</x:v>
      </x:c>
      <x:c r="L37" s="22" t="str">
        <x:v>MATCH</x:v>
      </x:c>
      <x:c r="M37" s="34" t="n">
        <x:v>2910000</x:v>
      </x:c>
      <x:c r="N37" s="34" t="n">
        <x:v>2910000</x:v>
      </x:c>
      <x:c r="O37" s="22" t="str">
        <x:v>NOTICE_EXECUTION_CEILING</x:v>
      </x:c>
      <x:c r="P37" s="37" t="str">
        <x:f>IF(AND(M37&lt;&gt;"",N37&lt;&gt;"",O37&lt;&gt;"NOTICE_EXECUTION_CEILING"),M37/N37-1,"")</x:f>
      </x:c>
      <x:c r="Q37" s="31" t="n">
        <x:v>3117</x:v>
      </x:c>
      <x:c r="R37" s="22" t="str">
        <x:v>GFA</x:v>
      </x:c>
      <x:c r="S37" s="22" t="str">
        <x:v>TOTAL_4_FLOORS</x:v>
      </x:c>
      <x:c r="T37" s="34" t="n">
        <x:f>IFERROR(N37/Q37,"")</x:f>
        <x:v>933.5899903753609</x:v>
      </x:c>
      <x:c r="U37" s="22" t="str">
        <x:v>V2R_HUMAN_REVIEWED_EXTRACTION</x:v>
      </x:c>
      <x:c r="V37" s="22" t="str">
        <x:v>초기 스크리닝만</x:v>
      </x:c>
      <x:c r="W37" s="28" t="n">
        <x:v>1</x:v>
      </x:c>
      <x:c r="X37" s="28" t="n">
        <x:v>1</x:v>
      </x:c>
      <x:c r="Y37" s="28" t="n">
        <x:v>0</x:v>
      </x:c>
      <x:c r="Z37" s="28" t="n">
        <x:v>0</x:v>
      </x:c>
      <x:c r="AA37" s="28" t="n">
        <x:v>3</x:v>
      </x:c>
      <x:c r="AB37" s="28" t="n">
        <x:v>0</x:v>
      </x:c>
      <x:c r="AC37" s="28" t="n">
        <x:v>0</x:v>
      </x:c>
      <x:c r="AD37" s="28" t="n">
        <x:v>0</x:v>
      </x:c>
      <x:c r="AE37" s="28" t="n">
        <x:v>0</x:v>
      </x:c>
      <x:c r="AF37" s="25" t="str">
        <x:v>범위 일치 잠정확인; 원본 V3 확인 전 직접 사용 금지</x:v>
      </x:c>
      <x:c r="AG37" s="25" t="str">
        <x:v>DB는 용역이나 원문은 NTIC 시공공고</x:v>
      </x:c>
      <x:c r="AH37" s="25" t="str">
        <x:v>KOICA 입찰 상세페이지</x:v>
      </x:c>
      <x:c r="AI37" s="25" t="str">
        <x:v>집행한도금액(달러)</x:v>
      </x:c>
      <x:c r="AJ37" s="25" t="str">
        <x:v>L2020-00003-1</x:v>
      </x:c>
      <x:c r="AK37" s="25" t="str">
        <x:v>표 1 행 4 / 문단 43</x:v>
      </x:c>
      <x:c r="AL37" s="25" t="str">
        <x:v>Total Gross Floor Area 3,117㎡; site area 3,609.40㎡ 제외</x:v>
      </x:c>
      <x:c r="AM37" s="25" t="str">
        <x:v>https://nebid.koica.go.kr/oep/lobi/localBidManageDetail.do?P_LOAZ_BID_PBLANC_NO=L2020-00003&amp;P_PBLANC_ODR=1</x:v>
      </x:c>
    </x:row>
    <x:row r="38">
      <x:c r="A38" s="22" t="str">
        <x:v>X</x:v>
      </x:c>
      <x:c r="B38" s="22" t="str">
        <x:v>2019-00011</x:v>
      </x:c>
      <x:c r="C38" s="22" t="str">
        <x:v>L2020-00004-1</x:v>
      </x:c>
      <x:c r="D38" s="22" t="str">
        <x:v>L2020-00004</x:v>
      </x:c>
      <x:c r="E38" s="22" t="str">
        <x:v>2020-06-09</x:v>
      </x:c>
      <x:c r="F38" s="22" t="str">
        <x:v>모잠비크</x:v>
      </x:c>
      <x:c r="G38" s="25" t="str">
        <x:v>모잠비크 직업훈련교육 역량강화사업 설계 및 시공감리 용역사 선정</x:v>
      </x:c>
      <x:c r="H38" s="22" t="str">
        <x:v>용역</x:v>
      </x:c>
      <x:c r="I38" s="22" t="str">
        <x:v>DESIGN_OR_SUPERVISION_SERVICE</x:v>
      </x:c>
      <x:c r="J38" s="22" t="str">
        <x:v>SERVICE_FEE_OR_MIXED</x:v>
      </x:c>
      <x:c r="K38" s="22" t="str">
        <x:v>NO_MATCH</x:v>
      </x:c>
      <x:c r="L38" s="22" t="str">
        <x:v>NO_MATCH</x:v>
      </x:c>
      <x:c r="M38" s="34" t="n">
        <x:v>290000</x:v>
      </x:c>
      <x:c r="N38" s="34"/>
      <x:c r="O38" s="22" t="str">
        <x:v>SERVICE_OR_GOODS_CEILING</x:v>
      </x:c>
      <x:c r="P38" s="37" t="str">
        <x:f>IF(AND(M38&lt;&gt;"",N38&lt;&gt;"",O38&lt;&gt;"NOTICE_EXECUTION_CEILING"),M38/N38-1,"")</x:f>
      </x:c>
      <x:c r="Q38" s="31"/>
      <x:c r="R38" s="22" t="str">
        <x:v>AMBIGUOUS_AREA</x:v>
      </x:c>
      <x:c r="S38" s="22" t="str">
        <x:v>UNKNOWN</x:v>
      </x:c>
      <x:c r="T38" s="34" t="str">
        <x:f>IFERROR(N38/Q38,"")</x:f>
      </x:c>
      <x:c r="U38" s="22" t="str">
        <x:v>V3_SCOPE_REVIEW</x:v>
      </x:c>
      <x:c r="V38" s="22" t="str">
        <x:v>계산 금지</x:v>
      </x:c>
      <x:c r="W38" s="28" t="n">
        <x:v>1</x:v>
      </x:c>
      <x:c r="X38" s="28" t="n">
        <x:v>0</x:v>
      </x:c>
      <x:c r="Y38" s="28" t="n">
        <x:v>0</x:v>
      </x:c>
      <x:c r="Z38" s="28" t="n">
        <x:v>0</x:v>
      </x:c>
      <x:c r="AA38" s="28" t="n">
        <x:v>14</x:v>
      </x:c>
      <x:c r="AB38" s="28" t="n">
        <x:v>0</x:v>
      </x:c>
      <x:c r="AC38" s="28" t="n">
        <x:v>0</x:v>
      </x:c>
      <x:c r="AD38" s="28" t="n">
        <x:v>0</x:v>
      </x:c>
      <x:c r="AE38" s="28" t="n">
        <x:v>0</x:v>
      </x:c>
      <x:c r="AF38" s="25" t="str">
        <x:v>설계·감리·기타 용역 집행한도는 건축공사비가 아님</x:v>
      </x:c>
      <x:c r="AG38" s="25" t="str"/>
      <x:c r="AH38" s="25" t="str">
        <x:v>KOICA 입찰 상세페이지</x:v>
      </x:c>
      <x:c r="AI38" s="25" t="str">
        <x:v>집행한도금액(달러)</x:v>
      </x:c>
      <x:c r="AJ38" s="25" t="str">
        <x:v>L2020-00004-1/(붙임2)Attachment 02-Design work scope - FINAL.docx</x:v>
      </x:c>
      <x:c r="AK38" s="25" t="str">
        <x:v>표 2 행 8</x:v>
      </x:c>
      <x:c r="AL38" s="25" t="str">
        <x:v>Laundry Bldg. | B-4 | Overall renovation for laundry bldg. 500㎡</x:v>
      </x:c>
      <x:c r="AM38" s="25" t="str">
        <x:v>https://nebid.koica.go.kr/oep/lobi/localBidManageDetail.do?P_LOAZ_BID_PBLANC_NO=L2020-00004&amp;P_PBLANC_ODR=1</x:v>
      </x:c>
    </x:row>
    <x:row r="39">
      <x:c r="A39" s="22" t="str">
        <x:v>X</x:v>
      </x:c>
      <x:c r="B39" s="22" t="str">
        <x:v>2016-00206</x:v>
      </x:c>
      <x:c r="C39" s="22" t="str">
        <x:v>L2020-00007-1</x:v>
      </x:c>
      <x:c r="D39" s="22" t="str">
        <x:v>L2020-00007</x:v>
      </x:c>
      <x:c r="E39" s="22" t="str">
        <x:v>2020-07-15</x:v>
      </x:c>
      <x:c r="F39" s="22" t="str">
        <x:v>요르단</x:v>
      </x:c>
      <x:c r="G39" s="25" t="str">
        <x:v>요르단 시리아난민 밀집지역 취약계층 아동을 위한 3개 학교 건립사업 시공감리사 신규 선정 입찰</x:v>
      </x:c>
      <x:c r="H39" s="22" t="str">
        <x:v>용역</x:v>
      </x:c>
      <x:c r="I39" s="22" t="str">
        <x:v>DESIGN_OR_SUPERVISION_SERVICE</x:v>
      </x:c>
      <x:c r="J39" s="22" t="str">
        <x:v>SERVICE_FEE_OR_MIXED</x:v>
      </x:c>
      <x:c r="K39" s="22" t="str">
        <x:v>NO_MATCH</x:v>
      </x:c>
      <x:c r="L39" s="22" t="str">
        <x:v>NO_MATCH</x:v>
      </x:c>
      <x:c r="M39" s="34" t="n">
        <x:v>126313</x:v>
      </x:c>
      <x:c r="N39" s="34"/>
      <x:c r="O39" s="22" t="str">
        <x:v>SERVICE_OR_GOODS_CEILING</x:v>
      </x:c>
      <x:c r="P39" s="37" t="str">
        <x:f>IF(AND(M39&lt;&gt;"",N39&lt;&gt;"",O39&lt;&gt;"NOTICE_EXECUTION_CEILING"),M39/N39-1,"")</x:f>
      </x:c>
      <x:c r="Q39" s="31" t="n">
        <x:v>10364</x:v>
      </x:c>
      <x:c r="R39" s="22" t="str">
        <x:v>GFA</x:v>
      </x:c>
      <x:c r="S39" s="22" t="str">
        <x:v>AUTO_SELECTED_SINGLE_OR_TOTAL</x:v>
      </x:c>
      <x:c r="T39" s="34" t="n">
        <x:f>IFERROR(N39/Q39,"")</x:f>
        <x:v>0</x:v>
      </x:c>
      <x:c r="U39" s="22" t="str">
        <x:v>V3_SCOPE_REVIEW</x:v>
      </x:c>
      <x:c r="V39" s="22" t="str">
        <x:v>계산 금지</x:v>
      </x:c>
      <x:c r="W39" s="28" t="n">
        <x:v>1</x:v>
      </x:c>
      <x:c r="X39" s="28" t="n">
        <x:v>0</x:v>
      </x:c>
      <x:c r="Y39" s="28" t="n">
        <x:v>0</x:v>
      </x:c>
      <x:c r="Z39" s="28" t="n">
        <x:v>0</x:v>
      </x:c>
      <x:c r="AA39" s="28" t="n">
        <x:v>21</x:v>
      </x:c>
      <x:c r="AB39" s="28" t="n">
        <x:v>2</x:v>
      </x:c>
      <x:c r="AC39" s="28" t="n">
        <x:v>0</x:v>
      </x:c>
      <x:c r="AD39" s="28" t="n">
        <x:v>0</x:v>
      </x:c>
      <x:c r="AE39" s="28" t="n">
        <x:v>0</x:v>
      </x:c>
      <x:c r="AF39" s="25" t="str">
        <x:v>설계·감리·기타 용역 집행한도는 건축공사비가 아님</x:v>
      </x:c>
      <x:c r="AG39" s="25" t="str"/>
      <x:c r="AH39" s="25" t="str">
        <x:v>KOICA 입찰 상세페이지</x:v>
      </x:c>
      <x:c r="AI39" s="25" t="str">
        <x:v>집행한도금액(달러)</x:v>
      </x:c>
      <x:c r="AJ39" s="25" t="str">
        <x:v>L2020-00007-1/Tender Documents_final rev 2. (15.7.2020)/06. Addendum No.1_Scope of the services_Rev3.docx</x:v>
      </x:c>
      <x:c r="AK39" s="25" t="str">
        <x:v>표 1 행 4</x:v>
      </x:c>
      <x:c r="AL39" s="25" t="str">
        <x:v>4 | Total Floor Area | Total floor area: 10,364 square meters approximately for the 3 schools for new construction work Al-Bayadhah</x:v>
      </x:c>
      <x:c r="AM39" s="25" t="str">
        <x:v>https://nebid.koica.go.kr/oep/lobi/localBidManageDetail.do?P_LOAZ_BID_PBLANC_NO=L2020-00007&amp;P_PBLANC_ODR=1</x:v>
      </x:c>
    </x:row>
    <x:row r="40">
      <x:c r="A40" s="22" t="str">
        <x:v>C</x:v>
      </x:c>
      <x:c r="B40" s="22" t="str">
        <x:v>2016-00067</x:v>
      </x:c>
      <x:c r="C40" s="22" t="str">
        <x:v>L2020-00009-1</x:v>
      </x:c>
      <x:c r="D40" s="22" t="str">
        <x:v>L2020-00009</x:v>
      </x:c>
      <x:c r="E40" s="22" t="str">
        <x:v>2020-08-05</x:v>
      </x:c>
      <x:c r="F40" s="22" t="str">
        <x:v>미얀마</x:v>
      </x:c>
      <x:c r="G40" s="25" t="str">
        <x:v>미얀마 농산물 유통센터 설립사업 시공업체 선정 입찰</x:v>
      </x:c>
      <x:c r="H40" s="22" t="str">
        <x:v>공사</x:v>
      </x:c>
      <x:c r="I40" s="22" t="str">
        <x:v>WORKS</x:v>
      </x:c>
      <x:c r="J40" s="22" t="str">
        <x:v>WORKS_CEILING</x:v>
      </x:c>
      <x:c r="K40" s="22" t="str">
        <x:v>MATCH</x:v>
      </x:c>
      <x:c r="L40" s="22" t="str">
        <x:v>MATCH</x:v>
      </x:c>
      <x:c r="M40" s="34" t="n">
        <x:v>3685199</x:v>
      </x:c>
      <x:c r="N40" s="34" t="n">
        <x:v>3685199</x:v>
      </x:c>
      <x:c r="O40" s="22" t="str">
        <x:v>NOTICE_EXECUTION_CEILING</x:v>
      </x:c>
      <x:c r="P40" s="37" t="str">
        <x:f>IF(AND(M40&lt;&gt;"",N40&lt;&gt;"",O40&lt;&gt;"NOTICE_EXECUTION_CEILING"),M40/N40-1,"")</x:f>
      </x:c>
      <x:c r="Q40" s="31" t="n">
        <x:v>7450</x:v>
      </x:c>
      <x:c r="R40" s="22" t="str">
        <x:v>GFA</x:v>
      </x:c>
      <x:c r="S40" s="22" t="str">
        <x:v>SUM_OR_MULTI</x:v>
      </x:c>
      <x:c r="T40" s="34" t="n">
        <x:f>IFERROR(N40/Q40,"")</x:f>
        <x:v>494.6575838926174</x:v>
      </x:c>
      <x:c r="U40" s="22" t="str">
        <x:v>V3_CURATED_AREA_COST_RECHECK</x:v>
      </x:c>
      <x:c r="V40" s="22" t="str">
        <x:v>초기 스크리닝만</x:v>
      </x:c>
      <x:c r="W40" s="28" t="n">
        <x:v>1</x:v>
      </x:c>
      <x:c r="X40" s="28" t="n">
        <x:v>1</x:v>
      </x:c>
      <x:c r="Y40" s="28" t="n">
        <x:v>1</x:v>
      </x:c>
      <x:c r="Z40" s="28" t="n">
        <x:v>0</x:v>
      </x:c>
      <x:c r="AA40" s="28" t="n">
        <x:v>2</x:v>
      </x:c>
      <x:c r="AB40" s="28" t="n">
        <x:v>0</x:v>
      </x:c>
      <x:c r="AC40" s="28" t="n">
        <x:v>0</x:v>
      </x:c>
      <x:c r="AD40" s="28" t="n">
        <x:v>0</x:v>
      </x:c>
      <x:c r="AE40" s="28" t="n">
        <x:v>0</x:v>
      </x:c>
      <x:c r="AF40" s="25" t="str">
        <x:v>동일/제한 범위 공사금액÷면적 스크리닝 근거</x:v>
      </x:c>
      <x:c r="AG40" s="25" t="str"/>
      <x:c r="AH40" s="25" t="str">
        <x:v>L2020-00009-1/★(KOICA 2020-02) PQ Document_Establishment of the AMC and APC in Nay Pyi Taw and Kalaw.docx</x:v>
      </x:c>
      <x:c r="AI40" s="25" t="str">
        <x:v>표 2 행 5</x:v>
      </x:c>
      <x:c r="AJ40" s="25" t="str">
        <x:v>L2020-00009-1/★(KOICA 2020-02) PQ Document_Establishment of the AMC and APC in Nay Pyi Taw and Kalaw.docx</x:v>
      </x:c>
      <x:c r="AK40" s="25" t="str">
        <x:v>표 2 행 5</x:v>
      </x:c>
      <x:c r="AL40" s="25" t="str">
        <x:v>2개 시설 연면적 합계 7,450.00㎡; 집행한도 USD 3,685,199; 명목단가 USD 495/㎡.</x:v>
      </x:c>
      <x:c r="AM40" s="25" t="str">
        <x:v>https://nebid.koica.go.kr/oep/lobi/localBidManageDetail.do?P_LOAZ_BID_PBLANC_NO=L2020-00009&amp;P_PBLANC_ODR=1</x:v>
      </x:c>
    </x:row>
    <x:row r="41">
      <x:c r="A41" s="22" t="str">
        <x:v>X</x:v>
      </x:c>
      <x:c r="B41" s="22" t="str">
        <x:v>2019-00005</x:v>
      </x:c>
      <x:c r="C41" s="22" t="str">
        <x:v>L2020-00015-1</x:v>
      </x:c>
      <x:c r="D41" s="22" t="str">
        <x:v>L2020-00015</x:v>
      </x:c>
      <x:c r="E41" s="22" t="str">
        <x:v>2020-09-01</x:v>
      </x:c>
      <x:c r="F41" s="22" t="str">
        <x:v>우간다</x:v>
      </x:c>
      <x:c r="G41" s="25" t="str">
        <x:v>우간다 2020년 Mityana District 2개 Parish 전기 공급 공사</x:v>
      </x:c>
      <x:c r="H41" s="22" t="str">
        <x:v>공사</x:v>
      </x:c>
      <x:c r="I41" s="22" t="str">
        <x:v>NONBUILDING_OR_FALSE_AREA</x:v>
      </x:c>
      <x:c r="J41" s="22" t="str">
        <x:v>WORKS_CEILING</x:v>
      </x:c>
      <x:c r="K41" s="22" t="str">
        <x:v>NO_MATCH</x:v>
      </x:c>
      <x:c r="L41" s="22" t="str">
        <x:v>NO_MATCH</x:v>
      </x:c>
      <x:c r="M41" s="34" t="n">
        <x:v>300000</x:v>
      </x:c>
      <x:c r="N41" s="34"/>
      <x:c r="O41" s="22" t="str">
        <x:v>SERVICE_OR_GOODS_CEILING</x:v>
      </x:c>
      <x:c r="P41" s="37" t="str">
        <x:f>IF(AND(M41&lt;&gt;"",N41&lt;&gt;"",O41&lt;&gt;"NOTICE_EXECUTION_CEILING"),M41/N41-1,"")</x:f>
      </x:c>
      <x:c r="Q41" s="31"/>
      <x:c r="R41" s="22" t="str">
        <x:v>FALSE_POSITIVE_OR_WORK_ITEM</x:v>
      </x:c>
      <x:c r="S41" s="22" t="str">
        <x:v>NOT_APPLICABLE</x:v>
      </x:c>
      <x:c r="T41" s="34" t="str">
        <x:f>IFERROR(N41/Q41,"")</x:f>
      </x:c>
      <x:c r="U41" s="22" t="str">
        <x:v>V3_SCOPE_REVIEW</x:v>
      </x:c>
      <x:c r="V41" s="22" t="str">
        <x:v>계산 금지</x:v>
      </x:c>
      <x:c r="W41" s="28" t="n">
        <x:v>1</x:v>
      </x:c>
      <x:c r="X41" s="28" t="n">
        <x:v>0</x:v>
      </x:c>
      <x:c r="Y41" s="28" t="n">
        <x:v>0</x:v>
      </x:c>
      <x:c r="Z41" s="28" t="n">
        <x:v>0</x:v>
      </x:c>
      <x:c r="AA41" s="28" t="n">
        <x:v>1</x:v>
      </x:c>
      <x:c r="AB41" s="28" t="n">
        <x:v>0</x:v>
      </x:c>
      <x:c r="AC41" s="28" t="n">
        <x:v>0</x:v>
      </x:c>
      <x:c r="AD41" s="28" t="n">
        <x:v>0</x:v>
      </x:c>
      <x:c r="AE41" s="28" t="n">
        <x:v>0</x:v>
      </x:c>
      <x:c r="AF41" s="25" t="str">
        <x:v>물품·비건축 또는 GFA 오탐으로 건축공사비 표본 제외</x:v>
      </x:c>
      <x:c r="AG41" s="25" t="str">
        <x:v>50mm² 전선 단면적을 면적으로 오인한 자동추출</x:v>
      </x:c>
      <x:c r="AH41" s="25" t="str">
        <x:v>KOICA 입찰 상세페이지</x:v>
      </x:c>
      <x:c r="AI41" s="25" t="str">
        <x:v>집행한도금액(달러)</x:v>
      </x:c>
      <x:c r="AJ41" s="25" t="str">
        <x:v>L2020-00015-1/(붙임2-3)영문 조달 계획(2020년 Mityana District 2개 Parish 전기 공급 공사).doc</x:v>
      </x:c>
      <x:c r="AK41" s="25" t="str">
        <x:v>문단 271</x:v>
      </x:c>
      <x:c r="AL41" s="25" t="str">
        <x:v>50mm² 전선 단면적을 면적으로 오인한 자동추출</x:v>
      </x:c>
      <x:c r="AM41" s="25" t="str">
        <x:v>https://nebid.koica.go.kr/oep/lobi/localBidManageDetail.do?P_LOAZ_BID_PBLANC_NO=L2020-00015&amp;P_PBLANC_ODR=1</x:v>
      </x:c>
    </x:row>
    <x:row r="42">
      <x:c r="A42" s="22" t="str">
        <x:v>C?</x:v>
      </x:c>
      <x:c r="B42" s="22" t="str">
        <x:v>2015-00006</x:v>
      </x:c>
      <x:c r="C42" s="22" t="str">
        <x:v>L2020-00022-1</x:v>
      </x:c>
      <x:c r="D42" s="22" t="str">
        <x:v>L2020-00022</x:v>
      </x:c>
      <x:c r="E42" s="22" t="str">
        <x:v>2020-10-17</x:v>
      </x:c>
      <x:c r="F42" s="22" t="str">
        <x:v>에티오피아</x:v>
      </x:c>
      <x:c r="G42" s="25" t="str">
        <x:v>에티오피아 오로미아주 모자보건 및 가족계획 역량강화사업 헤토사 1차 병원 현지시공 국제입찰</x:v>
      </x:c>
      <x:c r="H42" s="22" t="str">
        <x:v>공사</x:v>
      </x:c>
      <x:c r="I42" s="22" t="str">
        <x:v>WORKS</x:v>
      </x:c>
      <x:c r="J42" s="22" t="str">
        <x:v>WORKS_CEILING</x:v>
      </x:c>
      <x:c r="K42" s="22" t="str">
        <x:v>MATCH</x:v>
      </x:c>
      <x:c r="L42" s="22" t="str">
        <x:v>MATCH</x:v>
      </x:c>
      <x:c r="M42" s="34" t="n">
        <x:v>3116205</x:v>
      </x:c>
      <x:c r="N42" s="34" t="n">
        <x:v>3116205</x:v>
      </x:c>
      <x:c r="O42" s="22" t="str">
        <x:v>NOTICE_EXECUTION_CEILING</x:v>
      </x:c>
      <x:c r="P42" s="37" t="str">
        <x:f>IF(AND(M42&lt;&gt;"",N42&lt;&gt;"",O42&lt;&gt;"NOTICE_EXECUTION_CEILING"),M42/N42-1,"")</x:f>
      </x:c>
      <x:c r="Q42" s="31" t="n">
        <x:v>4916</x:v>
      </x:c>
      <x:c r="R42" s="22" t="str">
        <x:v>GFA</x:v>
      </x:c>
      <x:c r="S42" s="22" t="str">
        <x:v>TOTAL</x:v>
      </x:c>
      <x:c r="T42" s="34" t="n">
        <x:f>IFERROR(N42/Q42,"")</x:f>
        <x:v>633.890358014646</x:v>
      </x:c>
      <x:c r="U42" s="22" t="str">
        <x:v>V2R_HUMAN_REVIEWED_EXTRACTION</x:v>
      </x:c>
      <x:c r="V42" s="22" t="str">
        <x:v>초기 스크리닝만</x:v>
      </x:c>
      <x:c r="W42" s="28" t="n">
        <x:v>0</x:v>
      </x:c>
      <x:c r="X42" s="28" t="n">
        <x:v>0</x:v>
      </x:c>
      <x:c r="Y42" s="28" t="n">
        <x:v>0</x:v>
      </x:c>
      <x:c r="Z42" s="28" t="n">
        <x:v>0</x:v>
      </x:c>
      <x:c r="AA42" s="28" t="n">
        <x:v>4</x:v>
      </x:c>
      <x:c r="AB42" s="28" t="n">
        <x:v>0</x:v>
      </x:c>
      <x:c r="AC42" s="28" t="n">
        <x:v>0</x:v>
      </x:c>
      <x:c r="AD42" s="28" t="n">
        <x:v>0</x:v>
      </x:c>
      <x:c r="AE42" s="28" t="n">
        <x:v>0</x:v>
      </x:c>
      <x:c r="AF42" s="25" t="str">
        <x:v>범위 일치 잠정확인; 원본 V3 확인 전 직접 사용 금지</x:v>
      </x:c>
      <x:c r="AG42" s="25" t="str"/>
      <x:c r="AH42" s="25" t="str">
        <x:v>KOICA 입찰 상세페이지</x:v>
      </x:c>
      <x:c r="AI42" s="25" t="str">
        <x:v>집행한도금액(달러)</x:v>
      </x:c>
      <x:c r="AJ42" s="25" t="str">
        <x:v>L2020-00022-1</x:v>
      </x:c>
      <x:c r="AK42" s="25" t="str">
        <x:v>표 2 행 3</x:v>
      </x:c>
      <x:c r="AL42" s="25" t="str">
        <x:v>Total floor area 4,916㎡; site 48,000㎡와 footprint 2,488㎡ 제외</x:v>
      </x:c>
      <x:c r="AM42" s="25" t="str">
        <x:v>https://nebid.koica.go.kr/oep/lobi/localBidManageDetail.do?P_LOAZ_BID_PBLANC_NO=L2020-00022&amp;P_PBLANC_ODR=1</x:v>
      </x:c>
    </x:row>
    <x:row r="43">
      <x:c r="A43" s="22" t="str">
        <x:v>C</x:v>
      </x:c>
      <x:c r="B43" s="22" t="str">
        <x:v>2016-00005</x:v>
      </x:c>
      <x:c r="C43" s="22" t="str">
        <x:v>L2020-00023-1</x:v>
      </x:c>
      <x:c r="D43" s="22" t="str">
        <x:v>L2020-00023</x:v>
      </x:c>
      <x:c r="E43" s="22" t="str">
        <x:v>2020-10-19</x:v>
      </x:c>
      <x:c r="F43" s="22" t="str">
        <x:v>이라크</x:v>
      </x:c>
      <x:c r="G43" s="25" t="str">
        <x:v>이라크 중환자 전문병원 신축공사 시공업체 선정 입찰</x:v>
      </x:c>
      <x:c r="H43" s="22" t="str">
        <x:v>공사</x:v>
      </x:c>
      <x:c r="I43" s="22" t="str">
        <x:v>WORKS</x:v>
      </x:c>
      <x:c r="J43" s="22" t="str">
        <x:v>WORKS_CEILING</x:v>
      </x:c>
      <x:c r="K43" s="22" t="str">
        <x:v>MATCH</x:v>
      </x:c>
      <x:c r="L43" s="22" t="str">
        <x:v>MATCH</x:v>
      </x:c>
      <x:c r="M43" s="34" t="n">
        <x:v>16440000</x:v>
      </x:c>
      <x:c r="N43" s="34" t="n">
        <x:v>16029000</x:v>
      </x:c>
      <x:c r="O43" s="22" t="str">
        <x:v>BASIC_ESTIMATED_PRICE</x:v>
      </x:c>
      <x:c r="P43" s="37" t="n">
        <x:f>IF(AND(M43&lt;&gt;"",N43&lt;&gt;"",O43&lt;&gt;"NOTICE_EXECUTION_CEILING"),M43/N43-1,"")</x:f>
        <x:v>0.02564102564102555</x:v>
      </x:c>
      <x:c r="Q43" s="31" t="n">
        <x:v>6906</x:v>
      </x:c>
      <x:c r="R43" s="22" t="str">
        <x:v>GFA</x:v>
      </x:c>
      <x:c r="S43" s="22" t="str">
        <x:v>SINGLE_OR_TOTAL</x:v>
      </x:c>
      <x:c r="T43" s="34" t="n">
        <x:f>IFERROR(N43/Q43,"")</x:f>
        <x:v>2321.0251954821892</x:v>
      </x:c>
      <x:c r="U43" s="22" t="str">
        <x:v>V3_CURATED_AREA_COST_RECHECK</x:v>
      </x:c>
      <x:c r="V43" s="22" t="str">
        <x:v>초기 스크리닝만</x:v>
      </x:c>
      <x:c r="W43" s="28" t="n">
        <x:v>1</x:v>
      </x:c>
      <x:c r="X43" s="28" t="n">
        <x:v>1</x:v>
      </x:c>
      <x:c r="Y43" s="28" t="n">
        <x:v>1</x:v>
      </x:c>
      <x:c r="Z43" s="28" t="n">
        <x:v>0</x:v>
      </x:c>
      <x:c r="AA43" s="28" t="n">
        <x:v>20</x:v>
      </x:c>
      <x:c r="AB43" s="28" t="n">
        <x:v>0</x:v>
      </x:c>
      <x:c r="AC43" s="28" t="n">
        <x:v>0</x:v>
      </x:c>
      <x:c r="AD43" s="28" t="n">
        <x:v>0</x:v>
      </x:c>
      <x:c r="AE43" s="28" t="n">
        <x:v>0</x:v>
      </x:c>
      <x:c r="AF43" s="25" t="str">
        <x:v>동일/제한 범위 공사금액÷면적 스크리닝 근거</x:v>
      </x:c>
      <x:c r="AG43" s="25" t="str"/>
      <x:c r="AH43" s="25" t="str">
        <x:v>L2020-00023-1/[붙임1] 중환자 병원 입찰계획안.hwp</x:v>
      </x:c>
      <x:c r="AI43" s="25" t="str">
        <x:v>문단 34</x:v>
      </x:c>
      <x:c r="AJ43" s="25" t="str">
        <x:v>L2020-00023-1/[붙임1] 중환자 병원 입찰계획안.hwp</x:v>
      </x:c>
      <x:c r="AK43" s="25" t="str">
        <x:v>문단 32</x:v>
      </x:c>
      <x:c r="AL43" s="25" t="str">
        <x:v>총연면적 6,906.00㎡; 집행한도 USD 16,440,000; 명목단가 USD 2,381/㎡.</x:v>
      </x:c>
      <x:c r="AM43" s="25" t="str">
        <x:v>https://nebid.koica.go.kr/oep/lobi/localBidManageDetail.do?P_LOAZ_BID_PBLANC_NO=L2020-00023&amp;P_PBLANC_ODR=1</x:v>
      </x:c>
    </x:row>
    <x:row r="44">
      <x:c r="A44" s="22" t="str">
        <x:v>C</x:v>
      </x:c>
      <x:c r="B44" s="22" t="str">
        <x:v>2015-00006</x:v>
      </x:c>
      <x:c r="C44" s="22" t="str">
        <x:v>L2020-00022-2</x:v>
      </x:c>
      <x:c r="D44" s="22" t="str">
        <x:v>L2020-00022</x:v>
      </x:c>
      <x:c r="E44" s="22" t="str">
        <x:v>2020-11-26</x:v>
      </x:c>
      <x:c r="F44" s="22" t="str">
        <x:v>에티오피아</x:v>
      </x:c>
      <x:c r="G44" s="25" t="str">
        <x:v>에티오피아 오로미아주 모자보건 및 가족계획 역량강화사업 헤토사 1차 병원 현지시공 국제입찰</x:v>
      </x:c>
      <x:c r="H44" s="22" t="str">
        <x:v>공사</x:v>
      </x:c>
      <x:c r="I44" s="22" t="str">
        <x:v>WORKS</x:v>
      </x:c>
      <x:c r="J44" s="22" t="str">
        <x:v>WORKS_CEILING</x:v>
      </x:c>
      <x:c r="K44" s="22" t="str">
        <x:v>MATCH</x:v>
      </x:c>
      <x:c r="L44" s="22" t="str">
        <x:v>MATCH</x:v>
      </x:c>
      <x:c r="M44" s="34" t="n">
        <x:v>3116205</x:v>
      </x:c>
      <x:c r="N44" s="34" t="n">
        <x:v>3116205</x:v>
      </x:c>
      <x:c r="O44" s="22" t="str">
        <x:v>NOTICE_EXECUTION_CEILING</x:v>
      </x:c>
      <x:c r="P44" s="37" t="str">
        <x:f>IF(AND(M44&lt;&gt;"",N44&lt;&gt;"",O44&lt;&gt;"NOTICE_EXECUTION_CEILING"),M44/N44-1,"")</x:f>
      </x:c>
      <x:c r="Q44" s="31" t="n">
        <x:v>4916</x:v>
      </x:c>
      <x:c r="R44" s="22" t="str">
        <x:v>GFA</x:v>
      </x:c>
      <x:c r="S44" s="22" t="str">
        <x:v>SINGLE_OR_TOTAL</x:v>
      </x:c>
      <x:c r="T44" s="34" t="n">
        <x:f>IFERROR(N44/Q44,"")</x:f>
        <x:v>633.890358014646</x:v>
      </x:c>
      <x:c r="U44" s="22" t="str">
        <x:v>V3_CURATED_AREA_COST_RECHECK</x:v>
      </x:c>
      <x:c r="V44" s="22" t="str">
        <x:v>초기 스크리닝만</x:v>
      </x:c>
      <x:c r="W44" s="28" t="n">
        <x:v>1</x:v>
      </x:c>
      <x:c r="X44" s="28" t="n">
        <x:v>1</x:v>
      </x:c>
      <x:c r="Y44" s="28" t="n">
        <x:v>1</x:v>
      </x:c>
      <x:c r="Z44" s="28" t="n">
        <x:v>0</x:v>
      </x:c>
      <x:c r="AA44" s="28" t="n">
        <x:v>1</x:v>
      </x:c>
      <x:c r="AB44" s="28" t="n">
        <x:v>0</x:v>
      </x:c>
      <x:c r="AC44" s="28" t="n">
        <x:v>0</x:v>
      </x:c>
      <x:c r="AD44" s="28" t="n">
        <x:v>0</x:v>
      </x:c>
      <x:c r="AE44" s="28" t="n">
        <x:v>0</x:v>
      </x:c>
      <x:c r="AF44" s="25" t="str">
        <x:v>동일/제한 범위 공사금액÷면적 스크리닝 근거</x:v>
      </x:c>
      <x:c r="AG44" s="25" t="str"/>
      <x:c r="AH44" s="25" t="str">
        <x:v>L2020-00022-2/(붙임2) 재공고 입찰 공고문(안)_최종.docx</x:v>
      </x:c>
      <x:c r="AI44" s="25" t="str">
        <x:v>표 2 행 3</x:v>
      </x:c>
      <x:c r="AJ44" s="25" t="str">
        <x:v>L2020-00022-2/(붙임2) 재공고 입찰 공고문(안)_최종.docx</x:v>
      </x:c>
      <x:c r="AK44" s="25" t="str">
        <x:v>표 2 행 3</x:v>
      </x:c>
      <x:c r="AL44" s="25" t="str">
        <x:v>총연면적 4,916.00㎡; 집행한도 USD 3,116,205; 명목단가 USD 634/㎡.</x:v>
      </x:c>
      <x:c r="AM44" s="25" t="str">
        <x:v>https://nebid.koica.go.kr/oep/lobi/localBidManageDetail.do?P_LOAZ_BID_PBLANC_NO=L2020-00022&amp;P_PBLANC_ODR=2</x:v>
      </x:c>
    </x:row>
    <x:row r="45">
      <x:c r="A45" s="22" t="str">
        <x:v>X</x:v>
      </x:c>
      <x:c r="B45" s="22" t="str">
        <x:v>2020-00114</x:v>
      </x:c>
      <x:c r="C45" s="22" t="str">
        <x:v>L2021-00004-1</x:v>
      </x:c>
      <x:c r="D45" s="22" t="str">
        <x:v>L2021-00004</x:v>
      </x:c>
      <x:c r="E45" s="22" t="str">
        <x:v>2021-02-08</x:v>
      </x:c>
      <x:c r="F45" s="22" t="str">
        <x:v>네팔</x:v>
      </x:c>
      <x:c r="G45" s="25" t="str">
        <x:v>네팔 보건 및 소득증대를 통한 통합적 농촌지역 역량강화사업 아웃리치 센터 설계 및 감리업체 선정 현지입찰 계획</x:v>
      </x:c>
      <x:c r="H45" s="22" t="str">
        <x:v>용역</x:v>
      </x:c>
      <x:c r="I45" s="22" t="str">
        <x:v>DESIGN_OR_SUPERVISION_SERVICE</x:v>
      </x:c>
      <x:c r="J45" s="22" t="str">
        <x:v>SERVICE_FEE_OR_MIXED</x:v>
      </x:c>
      <x:c r="K45" s="22" t="str">
        <x:v>NO_MATCH</x:v>
      </x:c>
      <x:c r="L45" s="22" t="str">
        <x:v>NO_MATCH</x:v>
      </x:c>
      <x:c r="M45" s="34" t="n">
        <x:v>128600</x:v>
      </x:c>
      <x:c r="N45" s="34"/>
      <x:c r="O45" s="22" t="str">
        <x:v>SERVICE_OR_GOODS_CEILING</x:v>
      </x:c>
      <x:c r="P45" s="37" t="str">
        <x:f>IF(AND(M45&lt;&gt;"",N45&lt;&gt;"",O45&lt;&gt;"NOTICE_EXECUTION_CEILING"),M45/N45-1,"")</x:f>
      </x:c>
      <x:c r="Q45" s="31" t="n">
        <x:v>1500</x:v>
      </x:c>
      <x:c r="R45" s="22" t="str">
        <x:v>GFA</x:v>
      </x:c>
      <x:c r="S45" s="22" t="str">
        <x:v>AUTO_SELECTED_SINGLE_OR_TOTAL</x:v>
      </x:c>
      <x:c r="T45" s="34" t="n">
        <x:f>IFERROR(N45/Q45,"")</x:f>
        <x:v>0</x:v>
      </x:c>
      <x:c r="U45" s="22" t="str">
        <x:v>V3_SCOPE_REVIEW</x:v>
      </x:c>
      <x:c r="V45" s="22" t="str">
        <x:v>계산 금지</x:v>
      </x:c>
      <x:c r="W45" s="28" t="n">
        <x:v>1</x:v>
      </x:c>
      <x:c r="X45" s="28" t="n">
        <x:v>0</x:v>
      </x:c>
      <x:c r="Y45" s="28" t="n">
        <x:v>0</x:v>
      </x:c>
      <x:c r="Z45" s="28" t="n">
        <x:v>0</x:v>
      </x:c>
      <x:c r="AA45" s="28" t="n">
        <x:v>19</x:v>
      </x:c>
      <x:c r="AB45" s="28" t="n">
        <x:v>0</x:v>
      </x:c>
      <x:c r="AC45" s="28" t="n">
        <x:v>0</x:v>
      </x:c>
      <x:c r="AD45" s="28" t="n">
        <x:v>0</x:v>
      </x:c>
      <x:c r="AE45" s="28" t="n">
        <x:v>0</x:v>
      </x:c>
      <x:c r="AF45" s="25" t="str">
        <x:v>설계·감리·기타 용역 집행한도는 건축공사비가 아님</x:v>
      </x:c>
      <x:c r="AG45" s="25" t="str"/>
      <x:c r="AH45" s="25" t="str">
        <x:v>KOICA 입찰 상세페이지</x:v>
      </x:c>
      <x:c r="AI45" s="25" t="str">
        <x:v>집행한도금액(달러)</x:v>
      </x:c>
      <x:c r="AJ45" s="25" t="str">
        <x:v>L2021-00004-1/1. 설계 및 감리사 선정 영문 RFP.pdf</x:v>
      </x:c>
      <x:c r="AK45" s="25" t="str">
        <x:v>페이지 18</x:v>
      </x:c>
      <x:c r="AL45" s="25" t="str">
        <x:v> Shopping Mall, Auditorium, Convention Center during the last 3 years. The gross floor area of the completed project shall be not less than 1,500 M2 for each of the above mentioned buildings. 1).Name of Project : 2). C</x:v>
      </x:c>
      <x:c r="AM45" s="25" t="str">
        <x:v>https://nebid.koica.go.kr/oep/lobi/localBidManageDetail.do?P_LOAZ_BID_PBLANC_NO=L2021-00004&amp;P_PBLANC_ODR=1</x:v>
      </x:c>
    </x:row>
    <x:row r="46">
      <x:c r="A46" s="22" t="str">
        <x:v>X</x:v>
      </x:c>
      <x:c r="B46" s="22" t="str">
        <x:v>2016-20176</x:v>
      </x:c>
      <x:c r="C46" s="22" t="str">
        <x:v>L2021-00011-1</x:v>
      </x:c>
      <x:c r="D46" s="22" t="str">
        <x:v>L2021-00011</x:v>
      </x:c>
      <x:c r="E46" s="22" t="str">
        <x:v>2021-04-16</x:v>
      </x:c>
      <x:c r="F46" s="22" t="str">
        <x:v>도미니카</x:v>
      </x:c>
      <x:c r="G46" s="25" t="str">
        <x:v>도미니카(공) 미성년자 임신방지 및 여성보건환경 개선 3차사업 산후안 성보건센터 현지 설계업체 선정</x:v>
      </x:c>
      <x:c r="H46" s="22" t="str">
        <x:v>용역</x:v>
      </x:c>
      <x:c r="I46" s="22" t="str">
        <x:v>DESIGN_OR_SUPERVISION_SERVICE</x:v>
      </x:c>
      <x:c r="J46" s="22" t="str">
        <x:v>SERVICE_FEE_OR_MIXED</x:v>
      </x:c>
      <x:c r="K46" s="22" t="str">
        <x:v>NO_MATCH</x:v>
      </x:c>
      <x:c r="L46" s="22" t="str">
        <x:v>NO_MATCH</x:v>
      </x:c>
      <x:c r="M46" s="34" t="n">
        <x:v>84340</x:v>
      </x:c>
      <x:c r="N46" s="34"/>
      <x:c r="O46" s="22" t="str">
        <x:v>SERVICE_OR_GOODS_CEILING</x:v>
      </x:c>
      <x:c r="P46" s="37" t="str">
        <x:f>IF(AND(M46&lt;&gt;"",N46&lt;&gt;"",O46&lt;&gt;"NOTICE_EXECUTION_CEILING"),M46/N46-1,"")</x:f>
      </x:c>
      <x:c r="Q46" s="31" t="n">
        <x:v>850</x:v>
      </x:c>
      <x:c r="R46" s="22" t="str">
        <x:v>GFA</x:v>
      </x:c>
      <x:c r="S46" s="22" t="str">
        <x:v>AUTO_SELECTED_SINGLE_OR_TOTAL</x:v>
      </x:c>
      <x:c r="T46" s="34" t="n">
        <x:f>IFERROR(N46/Q46,"")</x:f>
        <x:v>0</x:v>
      </x:c>
      <x:c r="U46" s="22" t="str">
        <x:v>V3_SCOPE_REVIEW</x:v>
      </x:c>
      <x:c r="V46" s="22" t="str">
        <x:v>계산 금지</x:v>
      </x:c>
      <x:c r="W46" s="28" t="n">
        <x:v>1</x:v>
      </x:c>
      <x:c r="X46" s="28" t="n">
        <x:v>0</x:v>
      </x:c>
      <x:c r="Y46" s="28" t="n">
        <x:v>0</x:v>
      </x:c>
      <x:c r="Z46" s="28" t="n">
        <x:v>0</x:v>
      </x:c>
      <x:c r="AA46" s="28" t="n">
        <x:v>8</x:v>
      </x:c>
      <x:c r="AB46" s="28" t="n">
        <x:v>0</x:v>
      </x:c>
      <x:c r="AC46" s="28" t="n">
        <x:v>0</x:v>
      </x:c>
      <x:c r="AD46" s="28" t="n">
        <x:v>0</x:v>
      </x:c>
      <x:c r="AE46" s="28" t="n">
        <x:v>0</x:v>
      </x:c>
      <x:c r="AF46" s="25" t="str">
        <x:v>설계·감리·기타 용역 집행한도는 건축공사비가 아님</x:v>
      </x:c>
      <x:c r="AG46" s="25" t="str"/>
      <x:c r="AH46" s="25" t="str">
        <x:v>KOICA 입찰 상세페이지</x:v>
      </x:c>
      <x:c r="AI46" s="25" t="str">
        <x:v>집행한도금액(달러)</x:v>
      </x:c>
      <x:c r="AJ46" s="25" t="str">
        <x:v>L2021-00011-1/영문 서류 일체/Dominica San Juan_0.0_Bidding Guideline(ENG)_2021 0412.docx</x:v>
      </x:c>
      <x:c r="AK46" s="25" t="str">
        <x:v>문단 33</x:v>
      </x:c>
      <x:c r="AL46" s="25" t="str">
        <x:v>Gross floor area : 850 ㎡ ( can be adjusted within the range of ± 5% )</x:v>
      </x:c>
      <x:c r="AM46" s="25" t="str">
        <x:v>https://nebid.koica.go.kr/oep/lobi/localBidManageDetail.do?P_LOAZ_BID_PBLANC_NO=L2021-00011&amp;P_PBLANC_ODR=1</x:v>
      </x:c>
    </x:row>
    <x:row r="47">
      <x:c r="A47" s="22" t="str">
        <x:v>X</x:v>
      </x:c>
      <x:c r="B47" s="22" t="str">
        <x:v>2021-00139</x:v>
      </x:c>
      <x:c r="C47" s="22" t="str">
        <x:v>L2021-00013-1</x:v>
      </x:c>
      <x:c r="D47" s="22" t="str">
        <x:v>L2021-00013</x:v>
      </x:c>
      <x:c r="E47" s="22" t="str">
        <x:v>2021-04-23</x:v>
      </x:c>
      <x:c r="F47" s="22" t="str">
        <x:v>네팔</x:v>
      </x:c>
      <x:c r="G47" s="25" t="str">
        <x:v>네팔 Province 2 지역 건설기술인력 양성을 위한 모델 폴리텍 설립사업” 모델 폴리텍 설계 및 감리업체 선정</x:v>
      </x:c>
      <x:c r="H47" s="22" t="str">
        <x:v>용역</x:v>
      </x:c>
      <x:c r="I47" s="22" t="str">
        <x:v>DESIGN_OR_SUPERVISION_SERVICE</x:v>
      </x:c>
      <x:c r="J47" s="22" t="str">
        <x:v>SERVICE_FEE_OR_MIXED</x:v>
      </x:c>
      <x:c r="K47" s="22" t="str">
        <x:v>NO_MATCH</x:v>
      </x:c>
      <x:c r="L47" s="22" t="str">
        <x:v>NO_MATCH</x:v>
      </x:c>
      <x:c r="M47" s="34" t="n">
        <x:v>264350</x:v>
      </x:c>
      <x:c r="N47" s="34"/>
      <x:c r="O47" s="22" t="str">
        <x:v>SERVICE_OR_GOODS_CEILING</x:v>
      </x:c>
      <x:c r="P47" s="37" t="str">
        <x:f>IF(AND(M47&lt;&gt;"",N47&lt;&gt;"",O47&lt;&gt;"NOTICE_EXECUTION_CEILING"),M47/N47-1,"")</x:f>
      </x:c>
      <x:c r="Q47" s="31" t="n">
        <x:v>30000</x:v>
      </x:c>
      <x:c r="R47" s="22" t="str">
        <x:v>GFA</x:v>
      </x:c>
      <x:c r="S47" s="22" t="str">
        <x:v>AUTO_SELECTED_SINGLE_OR_TOTAL</x:v>
      </x:c>
      <x:c r="T47" s="34" t="n">
        <x:f>IFERROR(N47/Q47,"")</x:f>
        <x:v>0</x:v>
      </x:c>
      <x:c r="U47" s="22" t="str">
        <x:v>V3_SCOPE_REVIEW</x:v>
      </x:c>
      <x:c r="V47" s="22" t="str">
        <x:v>계산 금지</x:v>
      </x:c>
      <x:c r="W47" s="28" t="n">
        <x:v>1</x:v>
      </x:c>
      <x:c r="X47" s="28" t="n">
        <x:v>0</x:v>
      </x:c>
      <x:c r="Y47" s="28" t="n">
        <x:v>0</x:v>
      </x:c>
      <x:c r="Z47" s="28" t="n">
        <x:v>0</x:v>
      </x:c>
      <x:c r="AA47" s="28" t="n">
        <x:v>2</x:v>
      </x:c>
      <x:c r="AB47" s="28" t="n">
        <x:v>0</x:v>
      </x:c>
      <x:c r="AC47" s="28" t="n">
        <x:v>0</x:v>
      </x:c>
      <x:c r="AD47" s="28" t="n">
        <x:v>0</x:v>
      </x:c>
      <x:c r="AE47" s="28" t="n">
        <x:v>0</x:v>
      </x:c>
      <x:c r="AF47" s="25" t="str">
        <x:v>설계·감리·기타 용역 집행한도는 건축공사비가 아님</x:v>
      </x:c>
      <x:c r="AG47" s="25" t="str"/>
      <x:c r="AH47" s="25" t="str">
        <x:v>KOICA 입찰 상세페이지</x:v>
      </x:c>
      <x:c r="AI47" s="25" t="str">
        <x:v>집행한도금액(달러)</x:v>
      </x:c>
      <x:c r="AJ47" s="25" t="str">
        <x:v>L2021-00013-1/첨부1. 설계 및 감리사 선정 국문입찰계획(안)(1).hwp</x:v>
      </x:c>
      <x:c r="AK47" s="25" t="str">
        <x:v>문단 564</x:v>
      </x:c>
      <x:c r="AL47" s="25" t="str">
        <x:v>g Mall, School, Auditorium, Convention Center during the last 3 years. The gross floor area of the completed project shall be not less than 3,0000 M2 for each of the above mentioned buildings.</x:v>
      </x:c>
      <x:c r="AM47" s="25" t="str">
        <x:v>https://nebid.koica.go.kr/oep/lobi/localBidManageDetail.do?P_LOAZ_BID_PBLANC_NO=L2021-00013&amp;P_PBLANC_ODR=1</x:v>
      </x:c>
    </x:row>
    <x:row r="48">
      <x:c r="A48" s="22" t="str">
        <x:v>X</x:v>
      </x:c>
      <x:c r="B48" s="22" t="str">
        <x:v>2020-00104</x:v>
      </x:c>
      <x:c r="C48" s="22" t="str">
        <x:v>L2021-00012-1</x:v>
      </x:c>
      <x:c r="D48" s="22" t="str">
        <x:v>L2021-00012</x:v>
      </x:c>
      <x:c r="E48" s="22" t="str">
        <x:v>2021-04-28</x:v>
      </x:c>
      <x:c r="F48" s="22" t="str">
        <x:v>파키스탄</x:v>
      </x:c>
      <x:c r="G48" s="25" t="str">
        <x:v>파키스탄 아동 및 지역 영양 개선을 위한 영양교육센터 설립사업 설계 및 감리용역</x:v>
      </x:c>
      <x:c r="H48" s="22" t="str">
        <x:v>용역</x:v>
      </x:c>
      <x:c r="I48" s="22" t="str">
        <x:v>DESIGN_OR_SUPERVISION_SERVICE</x:v>
      </x:c>
      <x:c r="J48" s="22" t="str">
        <x:v>SERVICE_FEE_OR_MIXED</x:v>
      </x:c>
      <x:c r="K48" s="22" t="str">
        <x:v>NO_MATCH</x:v>
      </x:c>
      <x:c r="L48" s="22" t="str">
        <x:v>NO_MATCH</x:v>
      </x:c>
      <x:c r="M48" s="34" t="n">
        <x:v>202827</x:v>
      </x:c>
      <x:c r="N48" s="34"/>
      <x:c r="O48" s="22" t="str">
        <x:v>SERVICE_OR_GOODS_CEILING</x:v>
      </x:c>
      <x:c r="P48" s="37" t="str">
        <x:f>IF(AND(M48&lt;&gt;"",N48&lt;&gt;"",O48&lt;&gt;"NOTICE_EXECUTION_CEILING"),M48/N48-1,"")</x:f>
      </x:c>
      <x:c r="Q48" s="31" t="n">
        <x:v>3047</x:v>
      </x:c>
      <x:c r="R48" s="22" t="str">
        <x:v>GFA</x:v>
      </x:c>
      <x:c r="S48" s="22" t="str">
        <x:v>AUTO_SELECTED_SINGLE_OR_TOTAL</x:v>
      </x:c>
      <x:c r="T48" s="34" t="n">
        <x:f>IFERROR(N48/Q48,"")</x:f>
        <x:v>0</x:v>
      </x:c>
      <x:c r="U48" s="22" t="str">
        <x:v>V3_SCOPE_REVIEW</x:v>
      </x:c>
      <x:c r="V48" s="22" t="str">
        <x:v>계산 금지</x:v>
      </x:c>
      <x:c r="W48" s="28" t="n">
        <x:v>1</x:v>
      </x:c>
      <x:c r="X48" s="28" t="n">
        <x:v>0</x:v>
      </x:c>
      <x:c r="Y48" s="28" t="n">
        <x:v>0</x:v>
      </x:c>
      <x:c r="Z48" s="28" t="n">
        <x:v>0</x:v>
      </x:c>
      <x:c r="AA48" s="28" t="n">
        <x:v>19</x:v>
      </x:c>
      <x:c r="AB48" s="28" t="n">
        <x:v>1</x:v>
      </x:c>
      <x:c r="AC48" s="28" t="n">
        <x:v>0</x:v>
      </x:c>
      <x:c r="AD48" s="28" t="n">
        <x:v>0</x:v>
      </x:c>
      <x:c r="AE48" s="28" t="n">
        <x:v>0</x:v>
      </x:c>
      <x:c r="AF48" s="25" t="str">
        <x:v>설계·감리·기타 용역 집행한도는 건축공사비가 아님</x:v>
      </x:c>
      <x:c r="AG48" s="25" t="str"/>
      <x:c r="AH48" s="25" t="str">
        <x:v>KOICA 입찰 상세페이지</x:v>
      </x:c>
      <x:c r="AI48" s="25" t="str">
        <x:v>집행한도금액(달러)</x:v>
      </x:c>
      <x:c r="AJ48" s="25" t="str">
        <x:v>L2021-00012-1/Bid Documents for Distribution_PKNC final/Chapter 1. Invitation for Bids_0429.docx</x:v>
      </x:c>
      <x:c r="AK48" s="25" t="str">
        <x:v>표 1 행 2</x:v>
      </x:c>
      <x:c r="AL48" s="25" t="str">
        <x:v>, Faisalabad (UAF), Pakistan ∙ Scope of work: Design and Construction Supervision a. Design - Three (3)-storey Building - Total floor area: 3,047 ㎡ b. Construction Supervision. - During the entire construction, one re</x:v>
      </x:c>
      <x:c r="AM48" s="25" t="str">
        <x:v>https://nebid.koica.go.kr/oep/lobi/localBidManageDetail.do?P_LOAZ_BID_PBLANC_NO=L2021-00012&amp;P_PBLANC_ODR=1</x:v>
      </x:c>
    </x:row>
    <x:row r="49">
      <x:c r="A49" s="22" t="str">
        <x:v>C</x:v>
      </x:c>
      <x:c r="B49" s="22" t="str">
        <x:v>2019-00064</x:v>
      </x:c>
      <x:c r="C49" s="22" t="str">
        <x:v>L2021-00015-1</x:v>
      </x:c>
      <x:c r="D49" s="22" t="str">
        <x:v>L2021-00015</x:v>
      </x:c>
      <x:c r="E49" s="22" t="str">
        <x:v>2021-05-10</x:v>
      </x:c>
      <x:c r="F49" s="22" t="str">
        <x:v>캄보디아</x:v>
      </x:c>
      <x:c r="G49" s="25" t="str">
        <x:v>캄보디아 산학연계 비즈니스 인큐베이팅 체계 구축사업 시공업체 선정</x:v>
      </x:c>
      <x:c r="H49" s="22" t="str">
        <x:v>공사</x:v>
      </x:c>
      <x:c r="I49" s="22" t="str">
        <x:v>WORKS</x:v>
      </x:c>
      <x:c r="J49" s="22" t="str">
        <x:v>WORKS_CEILING</x:v>
      </x:c>
      <x:c r="K49" s="22" t="str">
        <x:v>MATCH</x:v>
      </x:c>
      <x:c r="L49" s="22" t="str">
        <x:v>MATCH</x:v>
      </x:c>
      <x:c r="M49" s="34" t="n">
        <x:v>2746477</x:v>
      </x:c>
      <x:c r="N49" s="34" t="n">
        <x:v>2746477</x:v>
      </x:c>
      <x:c r="O49" s="22" t="str">
        <x:v>NOTICE_EXECUTION_CEILING</x:v>
      </x:c>
      <x:c r="P49" s="37" t="str">
        <x:f>IF(AND(M49&lt;&gt;"",N49&lt;&gt;"",O49&lt;&gt;"NOTICE_EXECUTION_CEILING"),M49/N49-1,"")</x:f>
      </x:c>
      <x:c r="Q49" s="31" t="n">
        <x:v>2299.26</x:v>
      </x:c>
      <x:c r="R49" s="22" t="str">
        <x:v>GFA</x:v>
      </x:c>
      <x:c r="S49" s="22" t="str">
        <x:v>SINGLE_OR_TOTAL</x:v>
      </x:c>
      <x:c r="T49" s="34" t="n">
        <x:f>IFERROR(N49/Q49,"")</x:f>
        <x:v>1194.5047537033654</x:v>
      </x:c>
      <x:c r="U49" s="22" t="str">
        <x:v>V3_CURATED_AREA_COST_RECHECK</x:v>
      </x:c>
      <x:c r="V49" s="22" t="str">
        <x:v>초기 스크리닝만</x:v>
      </x:c>
      <x:c r="W49" s="28" t="n">
        <x:v>1</x:v>
      </x:c>
      <x:c r="X49" s="28" t="n">
        <x:v>1</x:v>
      </x:c>
      <x:c r="Y49" s="28" t="n">
        <x:v>1</x:v>
      </x:c>
      <x:c r="Z49" s="28" t="n">
        <x:v>0</x:v>
      </x:c>
      <x:c r="AA49" s="28" t="n">
        <x:v>1</x:v>
      </x:c>
      <x:c r="AB49" s="28" t="n">
        <x:v>0</x:v>
      </x:c>
      <x:c r="AC49" s="28" t="n">
        <x:v>0</x:v>
      </x:c>
      <x:c r="AD49" s="28" t="n">
        <x:v>0</x:v>
      </x:c>
      <x:c r="AE49" s="28" t="n">
        <x:v>0</x:v>
      </x:c>
      <x:c r="AF49" s="25" t="str">
        <x:v>동일/제한 범위 공사금액÷면적 스크리닝 근거</x:v>
      </x:c>
      <x:c r="AG49" s="25" t="str"/>
      <x:c r="AH49" s="25" t="str">
        <x:v>L2021-00015-1/1-2 (REV.2_영문본) 입찰공고(인큐베이팅 센터_영문)_최종버젼.docx</x:v>
      </x:c>
      <x:c r="AI49" s="25" t="str">
        <x:v>문단 18</x:v>
      </x:c>
      <x:c r="AJ49" s="25" t="str">
        <x:v>L2021-00015-1/1-2 (REV.2_영문본) 입찰공고(인큐베이팅 센터_영문)_최종버젼.docx</x:v>
      </x:c>
      <x:c r="AK49" s="25" t="str">
        <x:v>문단 18</x:v>
      </x:c>
      <x:c r="AL49" s="25" t="str">
        <x:v>총연면적 2,299.26㎡; 상세페이지 집행한도 USD 2,746,477; 산출단가 USD 1,195/㎡.</x:v>
      </x:c>
      <x:c r="AM49" s="25" t="str">
        <x:v>https://nebid.koica.go.kr/oep/lobi/localBidManageDetail.do?P_LOAZ_BID_PBLANC_NO=L2021-00015&amp;P_PBLANC_ODR=1</x:v>
      </x:c>
    </x:row>
    <x:row r="50">
      <x:c r="A50" s="22" t="str">
        <x:v>C</x:v>
      </x:c>
      <x:c r="B50" s="22" t="str">
        <x:v>2019-00066</x:v>
      </x:c>
      <x:c r="C50" s="22" t="str">
        <x:v>L2021-00016-1</x:v>
      </x:c>
      <x:c r="D50" s="22" t="str">
        <x:v>L2021-00016</x:v>
      </x:c>
      <x:c r="E50" s="22" t="str">
        <x:v>2021-05-11</x:v>
      </x:c>
      <x:c r="F50" s="22" t="str">
        <x:v>캄보디아</x:v>
      </x:c>
      <x:c r="G50" s="25" t="str">
        <x:v>캄보디아 동북부 소외지역 모자보건 프로그램 시공업체 선정</x:v>
      </x:c>
      <x:c r="H50" s="22" t="str">
        <x:v>공사</x:v>
      </x:c>
      <x:c r="I50" s="22" t="str">
        <x:v>WORKS</x:v>
      </x:c>
      <x:c r="J50" s="22" t="str">
        <x:v>WORKS_CEILING</x:v>
      </x:c>
      <x:c r="K50" s="22" t="str">
        <x:v>MATCH</x:v>
      </x:c>
      <x:c r="L50" s="22" t="str">
        <x:v>MATCH</x:v>
      </x:c>
      <x:c r="M50" s="34" t="n">
        <x:v>1074976</x:v>
      </x:c>
      <x:c r="N50" s="34" t="n">
        <x:v>1022588</x:v>
      </x:c>
      <x:c r="O50" s="22" t="str">
        <x:v>ADVERTISED_ESTIMATED_BUDGET</x:v>
      </x:c>
      <x:c r="P50" s="37" t="n">
        <x:f>IF(AND(M50&lt;&gt;"",N50&lt;&gt;"",O50&lt;&gt;"NOTICE_EXECUTION_CEILING"),M50/N50-1,"")</x:f>
        <x:v>0.05123079871854541</x:v>
      </x:c>
      <x:c r="Q50" s="31" t="n">
        <x:v>1325.32</x:v>
      </x:c>
      <x:c r="R50" s="22" t="str">
        <x:v>GFA</x:v>
      </x:c>
      <x:c r="S50" s="22" t="str">
        <x:v>SINGLE_OR_TOTAL</x:v>
      </x:c>
      <x:c r="T50" s="34" t="n">
        <x:f>IFERROR(N50/Q50,"")</x:f>
        <x:v>771.5781848911961</x:v>
      </x:c>
      <x:c r="U50" s="22" t="str">
        <x:v>V3_CURATED_AREA_COST_RECHECK</x:v>
      </x:c>
      <x:c r="V50" s="22" t="str">
        <x:v>초기 스크리닝만</x:v>
      </x:c>
      <x:c r="W50" s="28" t="n">
        <x:v>1</x:v>
      </x:c>
      <x:c r="X50" s="28" t="n">
        <x:v>1</x:v>
      </x:c>
      <x:c r="Y50" s="28" t="n">
        <x:v>1</x:v>
      </x:c>
      <x:c r="Z50" s="28" t="n">
        <x:v>0</x:v>
      </x:c>
      <x:c r="AA50" s="28" t="n">
        <x:v>1</x:v>
      </x:c>
      <x:c r="AB50" s="28" t="n">
        <x:v>0</x:v>
      </x:c>
      <x:c r="AC50" s="28" t="n">
        <x:v>0</x:v>
      </x:c>
      <x:c r="AD50" s="28" t="n">
        <x:v>0</x:v>
      </x:c>
      <x:c r="AE50" s="28" t="n">
        <x:v>0</x:v>
      </x:c>
      <x:c r="AF50" s="25" t="str">
        <x:v>동일/제한 범위 공사금액÷면적 스크리닝 근거</x:v>
      </x:c>
      <x:c r="AG50" s="25" t="str"/>
      <x:c r="AH50" s="25" t="str">
        <x:v>L2021-00016-1/캄보디아 동북부 소외지역 모자보건 프로그램 시공업체 선정 입찰 공고문.pdf</x:v>
      </x:c>
      <x:c r="AI50" s="25" t="str">
        <x:v>페이지 1</x:v>
      </x:c>
      <x:c r="AJ50" s="25" t="str">
        <x:v>L2021-00016-1/캄보디아 동북부 소외지역 모자보건 프로그램 시공업체 선정 입찰 공고문.pdf</x:v>
      </x:c>
      <x:c r="AK50" s="25" t="str">
        <x:v>페이지 1</x:v>
      </x:c>
      <x:c r="AL50" s="25" t="str">
        <x:v>GFA 약 1,325.32㎡, 추정예산 약 USD 1,022,588.</x:v>
      </x:c>
      <x:c r="AM50" s="25" t="str">
        <x:v>https://nebid.koica.go.kr/oep/lobi/localBidManageDetail.do?P_LOAZ_BID_PBLANC_NO=L2021-00016&amp;P_PBLANC_ODR=1</x:v>
      </x:c>
    </x:row>
    <x:row r="51">
      <x:c r="A51" s="22" t="str">
        <x:v>U</x:v>
      </x:c>
      <x:c r="B51" s="22" t="str">
        <x:v>2012-00016</x:v>
      </x:c>
      <x:c r="C51" s="22" t="str">
        <x:v>L2021-00017-1</x:v>
      </x:c>
      <x:c r="D51" s="22" t="str">
        <x:v>L2021-00017</x:v>
      </x:c>
      <x:c r="E51" s="22" t="str">
        <x:v>2021-05-17</x:v>
      </x:c>
      <x:c r="F51" s="22" t="str">
        <x:v>파키스탄</x:v>
      </x:c>
      <x:c r="G51" s="25" t="str">
        <x:v>건조농대 농축산 역량강화센터 및 수자원 연수센터 사후관리를 위한 시공업체 선정입찰</x:v>
      </x:c>
      <x:c r="H51" s="22" t="str">
        <x:v>공사</x:v>
      </x:c>
      <x:c r="I51" s="22" t="str">
        <x:v>WORKS</x:v>
      </x:c>
      <x:c r="J51" s="22" t="str">
        <x:v>WORKS_CEILING</x:v>
      </x:c>
      <x:c r="K51" s="22" t="str">
        <x:v>PARTIAL_SCOPE</x:v>
      </x:c>
      <x:c r="L51" s="22" t="str">
        <x:v>PARTIAL_SCOPE</x:v>
      </x:c>
      <x:c r="M51" s="34" t="n">
        <x:v>731618</x:v>
      </x:c>
      <x:c r="N51" s="34" t="n">
        <x:v>731618</x:v>
      </x:c>
      <x:c r="O51" s="22" t="str">
        <x:v>NOTICE_EXECUTION_CEILING</x:v>
      </x:c>
      <x:c r="P51" s="37" t="str">
        <x:f>IF(AND(M51&lt;&gt;"",N51&lt;&gt;"",O51&lt;&gt;"NOTICE_EXECUTION_CEILING"),M51/N51-1,"")</x:f>
      </x:c>
      <x:c r="Q51" s="31"/>
      <x:c r="R51" s="22" t="str">
        <x:v>AMBIGUOUS_AREA</x:v>
      </x:c>
      <x:c r="S51" s="22" t="str">
        <x:v>UNKNOWN</x:v>
      </x:c>
      <x:c r="T51" s="34" t="str">
        <x:f>IFERROR(N51/Q51,"")</x:f>
      </x:c>
      <x:c r="U51" s="22" t="str">
        <x:v>V3_SCOPE_REVIEW</x:v>
      </x:c>
      <x:c r="V51" s="22" t="str">
        <x:v>계산 금지</x:v>
      </x:c>
      <x:c r="W51" s="28" t="n">
        <x:v>1</x:v>
      </x:c>
      <x:c r="X51" s="28" t="n">
        <x:v>1</x:v>
      </x:c>
      <x:c r="Y51" s="28" t="n">
        <x:v>0</x:v>
      </x:c>
      <x:c r="Z51" s="28" t="n">
        <x:v>0</x:v>
      </x:c>
      <x:c r="AA51" s="28" t="n">
        <x:v>22</x:v>
      </x:c>
      <x:c r="AB51" s="28" t="n">
        <x:v>2</x:v>
      </x:c>
      <x:c r="AC51" s="28" t="n">
        <x:v>0</x:v>
      </x:c>
      <x:c r="AD51" s="28" t="n">
        <x:v>1</x:v>
      </x:c>
      <x:c r="AE51" s="28" t="n">
        <x:v>0</x:v>
      </x:c>
      <x:c r="AF51" s="25" t="str">
        <x:v>면적과 금액 범위가 부분·혼합되어 계산 금지</x:v>
      </x:c>
      <x:c r="AG51" s="25" t="str">
        <x:v>두 센터 전체 GFA와 부분 개선공사 범위가 다름</x:v>
      </x:c>
      <x:c r="AH51" s="25" t="str">
        <x:v>KOICA 입찰 상세페이지</x:v>
      </x:c>
      <x:c r="AI51" s="25" t="str">
        <x:v>집행한도금액(달러)</x:v>
      </x:c>
      <x:c r="AJ51" s="25" t="str">
        <x:v>L2021-00017-1/붙임1. 건조농대 및 수자원센터 사후지원공사 입찰계획서_0505.hwp</x:v>
      </x:c>
      <x:c r="AK51" s="25" t="str">
        <x:v>문단 72</x:v>
      </x:c>
      <x:c r="AL51" s="25" t="str">
        <x:v>7,688㎡ (82,753 sq.ft)</x:v>
      </x:c>
      <x:c r="AM51" s="25" t="str">
        <x:v>https://nebid.koica.go.kr/oep/lobi/localBidManageDetail.do?P_LOAZ_BID_PBLANC_NO=L2021-00017&amp;P_PBLANC_ODR=1</x:v>
      </x:c>
    </x:row>
    <x:row r="52">
      <x:c r="A52" s="22" t="str">
        <x:v>X</x:v>
      </x:c>
      <x:c r="B52" s="22" t="str">
        <x:v>2020-00094</x:v>
      </x:c>
      <x:c r="C52" s="22" t="str">
        <x:v>L2021-00014-1</x:v>
      </x:c>
      <x:c r="D52" s="22" t="str">
        <x:v>L2021-00014</x:v>
      </x:c>
      <x:c r="E52" s="22" t="str">
        <x:v>2021-05-20</x:v>
      </x:c>
      <x:c r="F52" s="22" t="str">
        <x:v>필리핀</x:v>
      </x:c>
      <x:c r="G52" s="25" t="str">
        <x:v>필리핀 농기계현대화센터 구축 및 역량강화 사업 건축 설계용역</x:v>
      </x:c>
      <x:c r="H52" s="22" t="str">
        <x:v>용역</x:v>
      </x:c>
      <x:c r="I52" s="22" t="str">
        <x:v>DESIGN_OR_SUPERVISION_SERVICE</x:v>
      </x:c>
      <x:c r="J52" s="22" t="str">
        <x:v>SERVICE_FEE_OR_MIXED</x:v>
      </x:c>
      <x:c r="K52" s="22" t="str">
        <x:v>NO_MATCH</x:v>
      </x:c>
      <x:c r="L52" s="22" t="str">
        <x:v>NO_MATCH</x:v>
      </x:c>
      <x:c r="M52" s="34" t="n">
        <x:v>92400</x:v>
      </x:c>
      <x:c r="N52" s="34"/>
      <x:c r="O52" s="22" t="str">
        <x:v>SERVICE_OR_GOODS_CEILING</x:v>
      </x:c>
      <x:c r="P52" s="37" t="str">
        <x:f>IF(AND(M52&lt;&gt;"",N52&lt;&gt;"",O52&lt;&gt;"NOTICE_EXECUTION_CEILING"),M52/N52-1,"")</x:f>
      </x:c>
      <x:c r="Q52" s="31" t="n">
        <x:v>2000</x:v>
      </x:c>
      <x:c r="R52" s="22" t="str">
        <x:v>GFA</x:v>
      </x:c>
      <x:c r="S52" s="22" t="str">
        <x:v>AUTO_SELECTED_SINGLE_OR_TOTAL</x:v>
      </x:c>
      <x:c r="T52" s="34" t="n">
        <x:f>IFERROR(N52/Q52,"")</x:f>
        <x:v>0</x:v>
      </x:c>
      <x:c r="U52" s="22" t="str">
        <x:v>V3_SCOPE_REVIEW</x:v>
      </x:c>
      <x:c r="V52" s="22" t="str">
        <x:v>계산 금지</x:v>
      </x:c>
      <x:c r="W52" s="28" t="n">
        <x:v>1</x:v>
      </x:c>
      <x:c r="X52" s="28" t="n">
        <x:v>0</x:v>
      </x:c>
      <x:c r="Y52" s="28" t="n">
        <x:v>0</x:v>
      </x:c>
      <x:c r="Z52" s="28" t="n">
        <x:v>0</x:v>
      </x:c>
      <x:c r="AA52" s="28" t="n">
        <x:v>23</x:v>
      </x:c>
      <x:c r="AB52" s="28" t="n">
        <x:v>0</x:v>
      </x:c>
      <x:c r="AC52" s="28" t="n">
        <x:v>0</x:v>
      </x:c>
      <x:c r="AD52" s="28" t="n">
        <x:v>0</x:v>
      </x:c>
      <x:c r="AE52" s="28" t="n">
        <x:v>0</x:v>
      </x:c>
      <x:c r="AF52" s="25" t="str">
        <x:v>설계·감리·기타 용역 집행한도는 건축공사비가 아님</x:v>
      </x:c>
      <x:c r="AG52" s="25" t="str"/>
      <x:c r="AH52" s="25" t="str">
        <x:v>KOICA 입찰 상세페이지</x:v>
      </x:c>
      <x:c r="AI52" s="25" t="str">
        <x:v>집행한도금액(달러)</x:v>
      </x:c>
      <x:c r="AJ52" s="25" t="str">
        <x:v>L2021-00014-1/붙임1. 210209_기술+가격_PhilMech_설계업체 선정 입찰계획(안)_본부의견반영_Rev.02.doc</x:v>
      </x:c>
      <x:c r="AK52" s="25" t="str">
        <x:v>문단 13</x:v>
      </x:c>
      <x:c r="AL52" s="25" t="str">
        <x:v>ies Development Center in Nueva Ecija, Philippines 위 치 CLSU Compound, Science City of Munoz, Nueva Ecija, Philippines 대지면적 약 2,000 m2 연면적 약 2,000㎡ 건축종별 신축 건축규모 사무연구 동 및 Workshop, 2층 기간 및 예산 설계 5개월 95,200 USD 주요구조 철근콘</x:v>
      </x:c>
      <x:c r="AM52" s="25" t="str">
        <x:v>https://nebid.koica.go.kr/oep/lobi/localBidManageDetail.do?P_LOAZ_BID_PBLANC_NO=L2021-00014&amp;P_PBLANC_ODR=1</x:v>
      </x:c>
    </x:row>
    <x:row r="53">
      <x:c r="A53" s="22" t="str">
        <x:v>C?</x:v>
      </x:c>
      <x:c r="B53" s="22" t="str">
        <x:v>2019-00066</x:v>
      </x:c>
      <x:c r="C53" s="22" t="str">
        <x:v>L2021-00016-2</x:v>
      </x:c>
      <x:c r="D53" s="22" t="str">
        <x:v>L2021-00016</x:v>
      </x:c>
      <x:c r="E53" s="22" t="str">
        <x:v>2021-06-18</x:v>
      </x:c>
      <x:c r="F53" s="22" t="str">
        <x:v>캄보디아</x:v>
      </x:c>
      <x:c r="G53" s="25" t="str">
        <x:v>캄보디아 동북부 소외지역 모자보건 프로그램 시공업체 선정 현지입찰(재입찰)</x:v>
      </x:c>
      <x:c r="H53" s="22" t="str">
        <x:v>공사</x:v>
      </x:c>
      <x:c r="I53" s="22" t="str">
        <x:v>WORKS</x:v>
      </x:c>
      <x:c r="J53" s="22" t="str">
        <x:v>WORKS_CEILING</x:v>
      </x:c>
      <x:c r="K53" s="22" t="str">
        <x:v>MATCH</x:v>
      </x:c>
      <x:c r="L53" s="22" t="str">
        <x:v>MATCH</x:v>
      </x:c>
      <x:c r="M53" s="34" t="n">
        <x:v>1074976</x:v>
      </x:c>
      <x:c r="N53" s="34" t="n">
        <x:v>1074976</x:v>
      </x:c>
      <x:c r="O53" s="22" t="str">
        <x:v>NOTICE_EXECUTION_CEILING</x:v>
      </x:c>
      <x:c r="P53" s="37" t="str">
        <x:f>IF(AND(M53&lt;&gt;"",N53&lt;&gt;"",O53&lt;&gt;"NOTICE_EXECUTION_CEILING"),M53/N53-1,"")</x:f>
      </x:c>
      <x:c r="Q53" s="31" t="n">
        <x:v>1325.32</x:v>
      </x:c>
      <x:c r="R53" s="22" t="str">
        <x:v>GFA</x:v>
      </x:c>
      <x:c r="S53" s="22" t="str">
        <x:v>AUTO_SELECTED_SINGLE_OR_TOTAL</x:v>
      </x:c>
      <x:c r="T53" s="34" t="n">
        <x:f>IFERROR(N53/Q53,"")</x:f>
        <x:v>811.1067515769777</x:v>
      </x:c>
      <x:c r="U53" s="22" t="str">
        <x:v>V2R_HUMAN_REVIEWED_EXTRACTION</x:v>
      </x:c>
      <x:c r="V53" s="22" t="str">
        <x:v>초기 스크리닝만</x:v>
      </x:c>
      <x:c r="W53" s="28" t="n">
        <x:v>0</x:v>
      </x:c>
      <x:c r="X53" s="28" t="n">
        <x:v>0</x:v>
      </x:c>
      <x:c r="Y53" s="28" t="n">
        <x:v>0</x:v>
      </x:c>
      <x:c r="Z53" s="28" t="n">
        <x:v>0</x:v>
      </x:c>
      <x:c r="AA53" s="28" t="n">
        <x:v>2</x:v>
      </x:c>
      <x:c r="AB53" s="28" t="n">
        <x:v>0</x:v>
      </x:c>
      <x:c r="AC53" s="28" t="n">
        <x:v>0</x:v>
      </x:c>
      <x:c r="AD53" s="28" t="n">
        <x:v>0</x:v>
      </x:c>
      <x:c r="AE53" s="28" t="n">
        <x:v>0</x:v>
      </x:c>
      <x:c r="AF53" s="25" t="str">
        <x:v>범위 일치 잠정확인; 원본 V3 확인 전 직접 사용 금지</x:v>
      </x:c>
      <x:c r="AG53" s="25" t="str"/>
      <x:c r="AH53" s="25" t="str">
        <x:v>KOICA 입찰 상세페이지</x:v>
      </x:c>
      <x:c r="AI53" s="25" t="str">
        <x:v>집행한도금액(달러)</x:v>
      </x:c>
      <x:c r="AJ53" s="25" t="str">
        <x:v>L2021-00016-2/2. Bid announcemet_(Maternal &amp; Child Health).docx</x:v>
      </x:c>
      <x:c r="AK53" s="25" t="str">
        <x:v>문단 12</x:v>
      </x:c>
      <x:c r="AL53" s="25" t="str">
        <x:v>- Gross Floor Area: approx. 1,325.32 m2</x:v>
      </x:c>
      <x:c r="AM53" s="25" t="str">
        <x:v>https://nebid.koica.go.kr/oep/lobi/localBidManageDetail.do?P_LOAZ_BID_PBLANC_NO=L2021-00016&amp;P_PBLANC_ODR=2</x:v>
      </x:c>
    </x:row>
    <x:row r="54">
      <x:c r="A54" s="22" t="str">
        <x:v>C?</x:v>
      </x:c>
      <x:c r="B54" s="22" t="str">
        <x:v>2019-00066</x:v>
      </x:c>
      <x:c r="C54" s="22" t="str">
        <x:v>L2021-00025-1</x:v>
      </x:c>
      <x:c r="D54" s="22" t="str">
        <x:v>L2021-00025</x:v>
      </x:c>
      <x:c r="E54" s="22" t="str">
        <x:v>2021-08-27</x:v>
      </x:c>
      <x:c r="F54" s="22" t="str">
        <x:v>캄보디아</x:v>
      </x:c>
      <x:c r="G54" s="25" t="str">
        <x:v>캄보디아 동북부 소외지역 모자보건 프로그램 시공업체 선정 현지입찰(3차 신규)</x:v>
      </x:c>
      <x:c r="H54" s="22" t="str">
        <x:v>공사</x:v>
      </x:c>
      <x:c r="I54" s="22" t="str">
        <x:v>WORKS</x:v>
      </x:c>
      <x:c r="J54" s="22" t="str">
        <x:v>WORKS_CEILING</x:v>
      </x:c>
      <x:c r="K54" s="22" t="str">
        <x:v>MATCH</x:v>
      </x:c>
      <x:c r="L54" s="22" t="str">
        <x:v>MATCH</x:v>
      </x:c>
      <x:c r="M54" s="34" t="n">
        <x:v>1074976</x:v>
      </x:c>
      <x:c r="N54" s="34" t="n">
        <x:v>1074976</x:v>
      </x:c>
      <x:c r="O54" s="22" t="str">
        <x:v>NOTICE_EXECUTION_CEILING</x:v>
      </x:c>
      <x:c r="P54" s="37" t="str">
        <x:f>IF(AND(M54&lt;&gt;"",N54&lt;&gt;"",O54&lt;&gt;"NOTICE_EXECUTION_CEILING"),M54/N54-1,"")</x:f>
      </x:c>
      <x:c r="Q54" s="31" t="n">
        <x:v>1325.32</x:v>
      </x:c>
      <x:c r="R54" s="22" t="str">
        <x:v>GFA</x:v>
      </x:c>
      <x:c r="S54" s="22" t="str">
        <x:v>TOTAL_MULTI_FACILITY</x:v>
      </x:c>
      <x:c r="T54" s="34" t="n">
        <x:f>IFERROR(N54/Q54,"")</x:f>
        <x:v>811.1067515769777</x:v>
      </x:c>
      <x:c r="U54" s="22" t="str">
        <x:v>V2R_HUMAN_REVIEWED_EXTRACTION</x:v>
      </x:c>
      <x:c r="V54" s="22" t="str">
        <x:v>초기 스크리닝만</x:v>
      </x:c>
      <x:c r="W54" s="28" t="n">
        <x:v>1</x:v>
      </x:c>
      <x:c r="X54" s="28" t="n">
        <x:v>0</x:v>
      </x:c>
      <x:c r="Y54" s="28" t="n">
        <x:v>0</x:v>
      </x:c>
      <x:c r="Z54" s="28" t="n">
        <x:v>0</x:v>
      </x:c>
      <x:c r="AA54" s="28" t="n">
        <x:v>6</x:v>
      </x:c>
      <x:c r="AB54" s="28" t="n">
        <x:v>0</x:v>
      </x:c>
      <x:c r="AC54" s="28" t="n">
        <x:v>0</x:v>
      </x:c>
      <x:c r="AD54" s="28" t="n">
        <x:v>0</x:v>
      </x:c>
      <x:c r="AE54" s="28" t="n">
        <x:v>0</x:v>
      </x:c>
      <x:c r="AF54" s="25" t="str">
        <x:v>범위 일치 잠정확인; 원본 V3 확인 전 직접 사용 금지</x:v>
      </x:c>
      <x:c r="AG54" s="25" t="str"/>
      <x:c r="AH54" s="25" t="str">
        <x:v>KOICA 입찰 상세페이지</x:v>
      </x:c>
      <x:c r="AI54" s="25" t="str">
        <x:v>집행한도금액(달러)</x:v>
      </x:c>
      <x:c r="AJ54" s="25" t="str">
        <x:v>L2021-00025-1</x:v>
      </x:c>
      <x:c r="AK54" s="25" t="str">
        <x:v>페이지 7 / 문단 12</x:v>
      </x:c>
      <x:c r="AL54" s="25" t="str">
        <x:v>Gross Floor Area approx. 1,325.32㎡; site area 66,209.28㎡ 제외</x:v>
      </x:c>
      <x:c r="AM54" s="25" t="str">
        <x:v>https://nebid.koica.go.kr/oep/lobi/localBidManageDetail.do?P_LOAZ_BID_PBLANC_NO=L2021-00025&amp;P_PBLANC_ODR=1</x:v>
      </x:c>
    </x:row>
    <x:row r="55">
      <x:c r="A55" s="22" t="str">
        <x:v>C</x:v>
      </x:c>
      <x:c r="B55" s="22" t="str">
        <x:v>2020-00114</x:v>
      </x:c>
      <x:c r="C55" s="22" t="str">
        <x:v>L2021-00029-1</x:v>
      </x:c>
      <x:c r="D55" s="22" t="str">
        <x:v>L2021-00029</x:v>
      </x:c>
      <x:c r="E55" s="22" t="str">
        <x:v>2021-10-11</x:v>
      </x:c>
      <x:c r="F55" s="22" t="str">
        <x:v>네팔</x:v>
      </x:c>
      <x:c r="G55" s="25" t="str">
        <x:v>네팔 보건 및 소득증대를 통한 통합적 농촌지역 역량강화사업 시공업체 선정 현지 입찰</x:v>
      </x:c>
      <x:c r="H55" s="22" t="str">
        <x:v>공사</x:v>
      </x:c>
      <x:c r="I55" s="22" t="str">
        <x:v>WORKS</x:v>
      </x:c>
      <x:c r="J55" s="22" t="str">
        <x:v>WORKS_CEILING</x:v>
      </x:c>
      <x:c r="K55" s="22" t="str">
        <x:v>MATCH</x:v>
      </x:c>
      <x:c r="L55" s="22" t="str">
        <x:v>MATCH</x:v>
      </x:c>
      <x:c r="M55" s="34" t="n">
        <x:v>953460</x:v>
      </x:c>
      <x:c r="N55" s="34" t="n">
        <x:v>929600</x:v>
      </x:c>
      <x:c r="O55" s="22" t="str">
        <x:v>CONSTRUCTION_BUDGET</x:v>
      </x:c>
      <x:c r="P55" s="37" t="n">
        <x:f>IF(AND(M55&lt;&gt;"",N55&lt;&gt;"",O55&lt;&gt;"NOTICE_EXECUTION_CEILING"),M55/N55-1,"")</x:f>
        <x:v>0.025666953528399317</x:v>
      </x:c>
      <x:c r="Q55" s="31" t="n">
        <x:v>1120.3</x:v>
      </x:c>
      <x:c r="R55" s="22" t="str">
        <x:v>GFA</x:v>
      </x:c>
      <x:c r="S55" s="22" t="str">
        <x:v>SINGLE_OR_TOTAL</x:v>
      </x:c>
      <x:c r="T55" s="34" t="n">
        <x:f>IFERROR(N55/Q55,"")</x:f>
        <x:v>829.7777381058645</x:v>
      </x:c>
      <x:c r="U55" s="22" t="str">
        <x:v>V3_CURATED_AREA_COST_RECHECK</x:v>
      </x:c>
      <x:c r="V55" s="22" t="str">
        <x:v>초기 스크리닝만</x:v>
      </x:c>
      <x:c r="W55" s="28" t="n">
        <x:v>1</x:v>
      </x:c>
      <x:c r="X55" s="28" t="n">
        <x:v>1</x:v>
      </x:c>
      <x:c r="Y55" s="28" t="n">
        <x:v>1</x:v>
      </x:c>
      <x:c r="Z55" s="28" t="n">
        <x:v>0</x:v>
      </x:c>
      <x:c r="AA55" s="28" t="n">
        <x:v>3</x:v>
      </x:c>
      <x:c r="AB55" s="28" t="n">
        <x:v>0</x:v>
      </x:c>
      <x:c r="AC55" s="28" t="n">
        <x:v>0</x:v>
      </x:c>
      <x:c r="AD55" s="28" t="n">
        <x:v>0</x:v>
      </x:c>
      <x:c r="AE55" s="28" t="n">
        <x:v>0</x:v>
      </x:c>
      <x:c r="AF55" s="25" t="str">
        <x:v>동일/제한 범위 공사금액÷면적 스크리닝 근거</x:v>
      </x:c>
      <x:c r="AG55" s="25" t="str"/>
      <x:c r="AH55" s="25" t="str">
        <x:v>L2021-00029-1/네팔 ORC시공업체선정 영문 RFP.pdf</x:v>
      </x:c>
      <x:c r="AI55" s="25" t="str">
        <x:v>페이지 3</x:v>
      </x:c>
      <x:c r="AJ55" s="25" t="str">
        <x:v>L2021-00029-1/네팔 ORC시공업체선정 영문 RFP.pdf</x:v>
      </x:c>
      <x:c r="AK55" s="25" t="str">
        <x:v>페이지 3</x:v>
      </x:c>
      <x:c r="AL55" s="25" t="str">
        <x:v>2개소 총 GFA 1,120.30㎡, 공사예산 USD 929,600.</x:v>
      </x:c>
      <x:c r="AM55" s="25" t="str">
        <x:v>https://nebid.koica.go.kr/oep/lobi/localBidManageDetail.do?P_LOAZ_BID_PBLANC_NO=L2021-00029&amp;P_PBLANC_ODR=1</x:v>
      </x:c>
    </x:row>
    <x:row r="56">
      <x:c r="A56" s="22" t="str">
        <x:v>C</x:v>
      </x:c>
      <x:c r="B56" s="22" t="str">
        <x:v>2019-00032</x:v>
      </x:c>
      <x:c r="C56" s="22" t="str">
        <x:v>L2021-00030-1</x:v>
      </x:c>
      <x:c r="D56" s="22" t="str">
        <x:v>L2021-00030</x:v>
      </x:c>
      <x:c r="E56" s="22" t="str">
        <x:v>2021-10-20</x:v>
      </x:c>
      <x:c r="F56" s="22" t="str">
        <x:v>파라과이</x:v>
      </x:c>
      <x:c r="G56" s="25" t="str">
        <x:v>파라과이 항공 전문인력 역량강화사업 격납고 현지 시공사 선정 국제경쟁 입찰</x:v>
      </x:c>
      <x:c r="H56" s="22" t="str">
        <x:v>공사</x:v>
      </x:c>
      <x:c r="I56" s="22" t="str">
        <x:v>WORKS</x:v>
      </x:c>
      <x:c r="J56" s="22" t="str">
        <x:v>WORKS_CEILING</x:v>
      </x:c>
      <x:c r="K56" s="22" t="str">
        <x:v>MATCH</x:v>
      </x:c>
      <x:c r="L56" s="22" t="str">
        <x:v>MATCH</x:v>
      </x:c>
      <x:c r="M56" s="34" t="n">
        <x:v>892000</x:v>
      </x:c>
      <x:c r="N56" s="34" t="n">
        <x:v>892000</x:v>
      </x:c>
      <x:c r="O56" s="22" t="str">
        <x:v>NOTICE_EXECUTION_CEILING</x:v>
      </x:c>
      <x:c r="P56" s="37" t="str">
        <x:f>IF(AND(M56&lt;&gt;"",N56&lt;&gt;"",O56&lt;&gt;"NOTICE_EXECUTION_CEILING"),M56/N56-1,"")</x:f>
      </x:c>
      <x:c r="Q56" s="31" t="n">
        <x:v>945</x:v>
      </x:c>
      <x:c r="R56" s="22" t="str">
        <x:v>GFA</x:v>
      </x:c>
      <x:c r="S56" s="22" t="str">
        <x:v>SINGLE_OR_TOTAL</x:v>
      </x:c>
      <x:c r="T56" s="34" t="n">
        <x:f>IFERROR(N56/Q56,"")</x:f>
        <x:v>943.9153439153439</x:v>
      </x:c>
      <x:c r="U56" s="22" t="str">
        <x:v>V3_CURATED_AREA_COST_RECHECK</x:v>
      </x:c>
      <x:c r="V56" s="22" t="str">
        <x:v>초기 스크리닝만</x:v>
      </x:c>
      <x:c r="W56" s="28" t="n">
        <x:v>1</x:v>
      </x:c>
      <x:c r="X56" s="28" t="n">
        <x:v>0</x:v>
      </x:c>
      <x:c r="Y56" s="28" t="n">
        <x:v>1</x:v>
      </x:c>
      <x:c r="Z56" s="28" t="n">
        <x:v>0</x:v>
      </x:c>
      <x:c r="AA56" s="28" t="n">
        <x:v>7</x:v>
      </x:c>
      <x:c r="AB56" s="28" t="n">
        <x:v>0</x:v>
      </x:c>
      <x:c r="AC56" s="28" t="n">
        <x:v>0</x:v>
      </x:c>
      <x:c r="AD56" s="28" t="n">
        <x:v>0</x:v>
      </x:c>
      <x:c r="AE56" s="28" t="n">
        <x:v>0</x:v>
      </x:c>
      <x:c r="AF56" s="25" t="str">
        <x:v>동일/제한 범위 공사금액÷면적 스크리닝 근거</x:v>
      </x:c>
      <x:c r="AG56" s="25" t="str"/>
      <x:c r="AH56" s="25" t="str">
        <x:v>L2021-00030-1/0 Bidding Guideline for Construction Contractor_Hangar.docx</x:v>
      </x:c>
      <x:c r="AI56" s="25" t="str">
        <x:v>문단 92</x:v>
      </x:c>
      <x:c r="AJ56" s="25" t="str">
        <x:v>L2021-00030-1/0 Bidding Guideline for Construction Contractor_Hangar.docx</x:v>
      </x:c>
      <x:c r="AK56" s="25" t="str">
        <x:v>문단 92</x:v>
      </x:c>
      <x:c r="AL56" s="25" t="str">
        <x:v>총연면적 945.00㎡; 상세페이지 집행한도 USD 892,000; 산출단가 USD 944/㎡.</x:v>
      </x:c>
      <x:c r="AM56" s="25" t="str">
        <x:v>https://nebid.koica.go.kr/oep/lobi/localBidManageDetail.do?P_LOAZ_BID_PBLANC_NO=L2021-00030&amp;P_PBLANC_ODR=1</x:v>
      </x:c>
    </x:row>
    <x:row r="57">
      <x:c r="A57" s="22" t="str">
        <x:v>C</x:v>
      </x:c>
      <x:c r="B57" s="22" t="str">
        <x:v>2019-00045</x:v>
      </x:c>
      <x:c r="C57" s="22" t="str">
        <x:v>L2021-00031-1</x:v>
      </x:c>
      <x:c r="D57" s="22" t="str">
        <x:v>L2021-00031</x:v>
      </x:c>
      <x:c r="E57" s="22" t="str">
        <x:v>2021-10-22</x:v>
      </x:c>
      <x:c r="F57" s="22" t="str">
        <x:v>파키스탄</x:v>
      </x:c>
      <x:c r="G57" s="25" t="str">
        <x:v>파키스탄 태양전지모듈 인증시험소 설립사업 시험소 신축공사 시공업체 선정 입찰</x:v>
      </x:c>
      <x:c r="H57" s="22" t="str">
        <x:v>공사</x:v>
      </x:c>
      <x:c r="I57" s="22" t="str">
        <x:v>WORKS</x:v>
      </x:c>
      <x:c r="J57" s="22" t="str">
        <x:v>WORKS_CEILING</x:v>
      </x:c>
      <x:c r="K57" s="22" t="str">
        <x:v>MATCH</x:v>
      </x:c>
      <x:c r="L57" s="22" t="str">
        <x:v>MATCH</x:v>
      </x:c>
      <x:c r="M57" s="34" t="n">
        <x:v>1839007</x:v>
      </x:c>
      <x:c r="N57" s="34" t="n">
        <x:v>1839007</x:v>
      </x:c>
      <x:c r="O57" s="22" t="str">
        <x:v>NOTICE_EXECUTION_CEILING</x:v>
      </x:c>
      <x:c r="P57" s="37" t="str">
        <x:f>IF(AND(M57&lt;&gt;"",N57&lt;&gt;"",O57&lt;&gt;"NOTICE_EXECUTION_CEILING"),M57/N57-1,"")</x:f>
      </x:c>
      <x:c r="Q57" s="31" t="n">
        <x:v>2349.2</x:v>
      </x:c>
      <x:c r="R57" s="22" t="str">
        <x:v>GFA</x:v>
      </x:c>
      <x:c r="S57" s="22" t="str">
        <x:v>SINGLE_OR_TOTAL</x:v>
      </x:c>
      <x:c r="T57" s="34" t="n">
        <x:f>IFERROR(N57/Q57,"")</x:f>
        <x:v>782.8226630342244</x:v>
      </x:c>
      <x:c r="U57" s="22" t="str">
        <x:v>V3_CURATED_AREA_COST_RECHECK</x:v>
      </x:c>
      <x:c r="V57" s="22" t="str">
        <x:v>초기 스크리닝만</x:v>
      </x:c>
      <x:c r="W57" s="28" t="n">
        <x:v>1</x:v>
      </x:c>
      <x:c r="X57" s="28" t="n">
        <x:v>1</x:v>
      </x:c>
      <x:c r="Y57" s="28" t="n">
        <x:v>1</x:v>
      </x:c>
      <x:c r="Z57" s="28" t="n">
        <x:v>0</x:v>
      </x:c>
      <x:c r="AA57" s="28" t="n">
        <x:v>43</x:v>
      </x:c>
      <x:c r="AB57" s="28" t="n">
        <x:v>8</x:v>
      </x:c>
      <x:c r="AC57" s="28" t="n">
        <x:v>0</x:v>
      </x:c>
      <x:c r="AD57" s="28" t="n">
        <x:v>6</x:v>
      </x:c>
      <x:c r="AE57" s="28" t="n">
        <x:v>0</x:v>
      </x:c>
      <x:c r="AF57" s="25" t="str">
        <x:v>동일/제한 범위 공사금액÷면적 스크리닝 근거</x:v>
      </x:c>
      <x:c r="AG57" s="25" t="str"/>
      <x:c r="AH57" s="25" t="str">
        <x:v>L2021-00031-1/2. Chapters/Chapter 1. Invitation for Pre-Qualification_1020.docx</x:v>
      </x:c>
      <x:c r="AI57" s="25" t="str">
        <x:v>표 2 행 7</x:v>
      </x:c>
      <x:c r="AJ57" s="25" t="str">
        <x:v>L2021-00031-1/2. Chapters/Chapter 1. Invitation for Pre-Qualification_1020.docx</x:v>
      </x:c>
      <x:c r="AK57" s="25" t="str">
        <x:v>표 2 행 7</x:v>
      </x:c>
      <x:c r="AL57" s="25" t="str">
        <x:v>총연면적 2,349.20㎡; 상세페이지 집행한도 USD 1,839,007; 산출단가 USD 783/㎡.</x:v>
      </x:c>
      <x:c r="AM57" s="25" t="str">
        <x:v>https://nebid.koica.go.kr/oep/lobi/localBidManageDetail.do?P_LOAZ_BID_PBLANC_NO=L2021-00031&amp;P_PBLANC_ODR=1</x:v>
      </x:c>
    </x:row>
    <x:row r="58">
      <x:c r="A58" s="22" t="str">
        <x:v>X</x:v>
      </x:c>
      <x:c r="B58" s="22" t="str">
        <x:v>2019-00015</x:v>
      </x:c>
      <x:c r="C58" s="22" t="str">
        <x:v>L2021-00036-1</x:v>
      </x:c>
      <x:c r="D58" s="22" t="str">
        <x:v>L2021-00036</x:v>
      </x:c>
      <x:c r="E58" s="22" t="str">
        <x:v>2021-11-01</x:v>
      </x:c>
      <x:c r="F58" s="22" t="str">
        <x:v>키르기즈</x:v>
      </x:c>
      <x:c r="G58" s="25" t="str">
        <x:v>키르기즈공화국 유기농업 정책이행지원 및 역량강화사업 유기농 로컬푸드마켓 현지 설계 및 감리업체 선정</x:v>
      </x:c>
      <x:c r="H58" s="22" t="str">
        <x:v>용역</x:v>
      </x:c>
      <x:c r="I58" s="22" t="str">
        <x:v>DESIGN_OR_SUPERVISION_SERVICE</x:v>
      </x:c>
      <x:c r="J58" s="22" t="str">
        <x:v>SERVICE_FEE_OR_MIXED</x:v>
      </x:c>
      <x:c r="K58" s="22" t="str">
        <x:v>NO_MATCH</x:v>
      </x:c>
      <x:c r="L58" s="22" t="str">
        <x:v>NO_MATCH</x:v>
      </x:c>
      <x:c r="M58" s="34" t="n">
        <x:v>20000</x:v>
      </x:c>
      <x:c r="N58" s="34"/>
      <x:c r="O58" s="22" t="str">
        <x:v>SERVICE_OR_GOODS_CEILING</x:v>
      </x:c>
      <x:c r="P58" s="37" t="str">
        <x:f>IF(AND(M58&lt;&gt;"",N58&lt;&gt;"",O58&lt;&gt;"NOTICE_EXECUTION_CEILING"),M58/N58-1,"")</x:f>
      </x:c>
      <x:c r="Q58" s="31" t="n">
        <x:v>487</x:v>
      </x:c>
      <x:c r="R58" s="22" t="str">
        <x:v>GFA</x:v>
      </x:c>
      <x:c r="S58" s="22" t="str">
        <x:v>AUTO_SELECTED_SINGLE_OR_TOTAL</x:v>
      </x:c>
      <x:c r="T58" s="34" t="n">
        <x:f>IFERROR(N58/Q58,"")</x:f>
        <x:v>0</x:v>
      </x:c>
      <x:c r="U58" s="22" t="str">
        <x:v>V3_SCOPE_REVIEW</x:v>
      </x:c>
      <x:c r="V58" s="22" t="str">
        <x:v>계산 금지</x:v>
      </x:c>
      <x:c r="W58" s="28" t="n">
        <x:v>1</x:v>
      </x:c>
      <x:c r="X58" s="28" t="n">
        <x:v>0</x:v>
      </x:c>
      <x:c r="Y58" s="28" t="n">
        <x:v>0</x:v>
      </x:c>
      <x:c r="Z58" s="28" t="n">
        <x:v>0</x:v>
      </x:c>
      <x:c r="AA58" s="28" t="n">
        <x:v>1</x:v>
      </x:c>
      <x:c r="AB58" s="28" t="n">
        <x:v>0</x:v>
      </x:c>
      <x:c r="AC58" s="28" t="n">
        <x:v>0</x:v>
      </x:c>
      <x:c r="AD58" s="28" t="n">
        <x:v>0</x:v>
      </x:c>
      <x:c r="AE58" s="28" t="n">
        <x:v>0</x:v>
      </x:c>
      <x:c r="AF58" s="25" t="str">
        <x:v>설계·감리·기타 용역 집행한도는 건축공사비가 아님</x:v>
      </x:c>
      <x:c r="AG58" s="25" t="str"/>
      <x:c r="AH58" s="25" t="str">
        <x:v>KOICA 입찰 상세페이지</x:v>
      </x:c>
      <x:c r="AI58" s="25" t="str">
        <x:v>집행한도금액(달러)</x:v>
      </x:c>
      <x:c r="AJ58" s="25" t="str">
        <x:v>L2021-00036-1/[붙임] 입찰 서류_11.1.docx</x:v>
      </x:c>
      <x:c r="AK58" s="25" t="str">
        <x:v>문단 152</x:v>
      </x:c>
      <x:c r="AL58" s="25" t="str">
        <x:v>Gross Floor Area : 487 ㎡</x:v>
      </x:c>
      <x:c r="AM58" s="25" t="str">
        <x:v>https://nebid.koica.go.kr/oep/lobi/localBidManageDetail.do?P_LOAZ_BID_PBLANC_NO=L2021-00036&amp;P_PBLANC_ODR=1</x:v>
      </x:c>
    </x:row>
    <x:row r="59">
      <x:c r="A59" s="22" t="str">
        <x:v>C?</x:v>
      </x:c>
      <x:c r="B59" s="22" t="str">
        <x:v>2019-00066</x:v>
      </x:c>
      <x:c r="C59" s="22" t="str">
        <x:v>L2021-00037-1</x:v>
      </x:c>
      <x:c r="D59" s="22" t="str">
        <x:v>L2021-00037</x:v>
      </x:c>
      <x:c r="E59" s="22" t="str">
        <x:v>2021-11-04</x:v>
      </x:c>
      <x:c r="F59" s="22" t="str">
        <x:v>캄보디아</x:v>
      </x:c>
      <x:c r="G59" s="25" t="str">
        <x:v>캄보디아 동북부 소외지역 모자보건 프로그램 시공업체 선정 현지입찰(4차 신규)</x:v>
      </x:c>
      <x:c r="H59" s="22" t="str">
        <x:v>공사</x:v>
      </x:c>
      <x:c r="I59" s="22" t="str">
        <x:v>WORKS</x:v>
      </x:c>
      <x:c r="J59" s="22" t="str">
        <x:v>WORKS_CEILING</x:v>
      </x:c>
      <x:c r="K59" s="22" t="str">
        <x:v>MATCH</x:v>
      </x:c>
      <x:c r="L59" s="22" t="str">
        <x:v>MATCH</x:v>
      </x:c>
      <x:c r="M59" s="34" t="n">
        <x:v>1074976</x:v>
      </x:c>
      <x:c r="N59" s="34" t="n">
        <x:v>1074976</x:v>
      </x:c>
      <x:c r="O59" s="22" t="str">
        <x:v>NOTICE_EXECUTION_CEILING</x:v>
      </x:c>
      <x:c r="P59" s="37" t="str">
        <x:f>IF(AND(M59&lt;&gt;"",N59&lt;&gt;"",O59&lt;&gt;"NOTICE_EXECUTION_CEILING"),M59/N59-1,"")</x:f>
      </x:c>
      <x:c r="Q59" s="31" t="n">
        <x:v>1325.32</x:v>
      </x:c>
      <x:c r="R59" s="22" t="str">
        <x:v>GFA</x:v>
      </x:c>
      <x:c r="S59" s="22" t="str">
        <x:v>TOTAL_MULTI_FACILITY</x:v>
      </x:c>
      <x:c r="T59" s="34" t="n">
        <x:f>IFERROR(N59/Q59,"")</x:f>
        <x:v>811.1067515769777</x:v>
      </x:c>
      <x:c r="U59" s="22" t="str">
        <x:v>V2R_HUMAN_REVIEWED_EXTRACTION</x:v>
      </x:c>
      <x:c r="V59" s="22" t="str">
        <x:v>초기 스크리닝만</x:v>
      </x:c>
      <x:c r="W59" s="28" t="n">
        <x:v>1</x:v>
      </x:c>
      <x:c r="X59" s="28" t="n">
        <x:v>0</x:v>
      </x:c>
      <x:c r="Y59" s="28" t="n">
        <x:v>0</x:v>
      </x:c>
      <x:c r="Z59" s="28" t="n">
        <x:v>0</x:v>
      </x:c>
      <x:c r="AA59" s="28" t="n">
        <x:v>8</x:v>
      </x:c>
      <x:c r="AB59" s="28" t="n">
        <x:v>0</x:v>
      </x:c>
      <x:c r="AC59" s="28" t="n">
        <x:v>0</x:v>
      </x:c>
      <x:c r="AD59" s="28" t="n">
        <x:v>0</x:v>
      </x:c>
      <x:c r="AE59" s="28" t="n">
        <x:v>0</x:v>
      </x:c>
      <x:c r="AF59" s="25" t="str">
        <x:v>범위 일치 잠정확인; 원본 V3 확인 전 직접 사용 금지</x:v>
      </x:c>
      <x:c r="AG59" s="25" t="str"/>
      <x:c r="AH59" s="25" t="str">
        <x:v>KOICA 입찰 상세페이지</x:v>
      </x:c>
      <x:c r="AI59" s="25" t="str">
        <x:v>집행한도금액(달러)</x:v>
      </x:c>
      <x:c r="AJ59" s="25" t="str">
        <x:v>L2021-00037-1</x:v>
      </x:c>
      <x:c r="AK59" s="25" t="str">
        <x:v>표 17·33 행 5</x:v>
      </x:c>
      <x:c r="AL59" s="25" t="str">
        <x:v>Gross Floor Area approx. 1,325.32㎡; site area 66,209.28㎡ 제외</x:v>
      </x:c>
      <x:c r="AM59" s="25" t="str">
        <x:v>https://nebid.koica.go.kr/oep/lobi/localBidManageDetail.do?P_LOAZ_BID_PBLANC_NO=L2021-00037&amp;P_PBLANC_ODR=1</x:v>
      </x:c>
    </x:row>
    <x:row r="60">
      <x:c r="A60" s="22" t="str">
        <x:v>X</x:v>
      </x:c>
      <x:c r="B60" s="22" t="str">
        <x:v>2019-00032</x:v>
      </x:c>
      <x:c r="C60" s="22" t="str">
        <x:v>L2021-00042-1</x:v>
      </x:c>
      <x:c r="D60" s="22" t="str">
        <x:v>L2021-00042</x:v>
      </x:c>
      <x:c r="E60" s="22" t="str">
        <x:v>2021-11-17</x:v>
      </x:c>
      <x:c r="F60" s="22" t="str">
        <x:v>파라과이</x:v>
      </x:c>
      <x:c r="G60" s="25" t="str">
        <x:v>파라과이 항공 전문인력 역량강화사업 격납고 현지 감리사 선정 국제경쟁 입찰</x:v>
      </x:c>
      <x:c r="H60" s="22" t="str">
        <x:v>용역</x:v>
      </x:c>
      <x:c r="I60" s="22" t="str">
        <x:v>DESIGN_OR_SUPERVISION_SERVICE</x:v>
      </x:c>
      <x:c r="J60" s="22" t="str">
        <x:v>SERVICE_FEE_OR_MIXED</x:v>
      </x:c>
      <x:c r="K60" s="22" t="str">
        <x:v>NO_MATCH</x:v>
      </x:c>
      <x:c r="L60" s="22" t="str">
        <x:v>NO_MATCH</x:v>
      </x:c>
      <x:c r="M60" s="34" t="n">
        <x:v>71000</x:v>
      </x:c>
      <x:c r="N60" s="34"/>
      <x:c r="O60" s="22" t="str">
        <x:v>SERVICE_OR_GOODS_CEILING</x:v>
      </x:c>
      <x:c r="P60" s="37" t="str">
        <x:f>IF(AND(M60&lt;&gt;"",N60&lt;&gt;"",O60&lt;&gt;"NOTICE_EXECUTION_CEILING"),M60/N60-1,"")</x:f>
      </x:c>
      <x:c r="Q60" s="31" t="n">
        <x:v>945</x:v>
      </x:c>
      <x:c r="R60" s="22" t="str">
        <x:v>GFA</x:v>
      </x:c>
      <x:c r="S60" s="22" t="str">
        <x:v>AUTO_SELECTED_SINGLE_OR_TOTAL</x:v>
      </x:c>
      <x:c r="T60" s="34" t="n">
        <x:f>IFERROR(N60/Q60,"")</x:f>
        <x:v>0</x:v>
      </x:c>
      <x:c r="U60" s="22" t="str">
        <x:v>V3_SCOPE_REVIEW</x:v>
      </x:c>
      <x:c r="V60" s="22" t="str">
        <x:v>계산 금지</x:v>
      </x:c>
      <x:c r="W60" s="28" t="n">
        <x:v>1</x:v>
      </x:c>
      <x:c r="X60" s="28" t="n">
        <x:v>0</x:v>
      </x:c>
      <x:c r="Y60" s="28" t="n">
        <x:v>0</x:v>
      </x:c>
      <x:c r="Z60" s="28" t="n">
        <x:v>0</x:v>
      </x:c>
      <x:c r="AA60" s="28" t="n">
        <x:v>6</x:v>
      </x:c>
      <x:c r="AB60" s="28" t="n">
        <x:v>0</x:v>
      </x:c>
      <x:c r="AC60" s="28" t="n">
        <x:v>0</x:v>
      </x:c>
      <x:c r="AD60" s="28" t="n">
        <x:v>0</x:v>
      </x:c>
      <x:c r="AE60" s="28" t="n">
        <x:v>0</x:v>
      </x:c>
      <x:c r="AF60" s="25" t="str">
        <x:v>설계·감리·기타 용역 집행한도는 건축공사비가 아님</x:v>
      </x:c>
      <x:c r="AG60" s="25" t="str"/>
      <x:c r="AH60" s="25" t="str">
        <x:v>KOICA 입찰 상세페이지</x:v>
      </x:c>
      <x:c r="AI60" s="25" t="str">
        <x:v>집행한도금액(달러)</x:v>
      </x:c>
      <x:c r="AJ60" s="25" t="str">
        <x:v>L2021-00042-1/0.0 입찰공고문(영문).docx</x:v>
      </x:c>
      <x:c r="AK60" s="25" t="str">
        <x:v>표 2 행 4</x:v>
      </x:c>
      <x:c r="AL60" s="25" t="str">
        <x:v>Scope of Supervision S ervice | New Building Site area: 4,494.92 ㎡ Gross floor area: Hangar 945 ㎡ + Apron and Access Road Office: 2 stories – Reinforced Concrete Struc</x:v>
      </x:c>
      <x:c r="AM60" s="25" t="str">
        <x:v>https://nebid.koica.go.kr/oep/lobi/localBidManageDetail.do?P_LOAZ_BID_PBLANC_NO=L2021-00042&amp;P_PBLANC_ODR=1</x:v>
      </x:c>
    </x:row>
    <x:row r="61">
      <x:c r="A61" s="22" t="str">
        <x:v>C</x:v>
      </x:c>
      <x:c r="B61" s="22" t="str">
        <x:v>2019-00032</x:v>
      </x:c>
      <x:c r="C61" s="22" t="str">
        <x:v>L2021-00045-1</x:v>
      </x:c>
      <x:c r="D61" s="22" t="str">
        <x:v>L2021-00045</x:v>
      </x:c>
      <x:c r="E61" s="22" t="str">
        <x:v>2021-12-28</x:v>
      </x:c>
      <x:c r="F61" s="22" t="str">
        <x:v>파라과이</x:v>
      </x:c>
      <x:c r="G61" s="25" t="str">
        <x:v>파라과이 항공 전문인력 역량강화사업 항공훈련센터 현지 시공사 선정 국제경쟁 입찰</x:v>
      </x:c>
      <x:c r="H61" s="22" t="str">
        <x:v>공사</x:v>
      </x:c>
      <x:c r="I61" s="22" t="str">
        <x:v>WORKS</x:v>
      </x:c>
      <x:c r="J61" s="22" t="str">
        <x:v>WORKS_CEILING</x:v>
      </x:c>
      <x:c r="K61" s="22" t="str">
        <x:v>MATCH</x:v>
      </x:c>
      <x:c r="L61" s="22" t="str">
        <x:v>MATCH</x:v>
      </x:c>
      <x:c r="M61" s="34" t="n">
        <x:v>2415000</x:v>
      </x:c>
      <x:c r="N61" s="34" t="n">
        <x:v>2415000</x:v>
      </x:c>
      <x:c r="O61" s="22" t="str">
        <x:v>NOTICE_EXECUTION_CEILING</x:v>
      </x:c>
      <x:c r="P61" s="37" t="str">
        <x:f>IF(AND(M61&lt;&gt;"",N61&lt;&gt;"",O61&lt;&gt;"NOTICE_EXECUTION_CEILING"),M61/N61-1,"")</x:f>
      </x:c>
      <x:c r="Q61" s="31" t="n">
        <x:v>2866.41</x:v>
      </x:c>
      <x:c r="R61" s="22" t="str">
        <x:v>GFA</x:v>
      </x:c>
      <x:c r="S61" s="22" t="str">
        <x:v>SINGLE_OR_TOTAL</x:v>
      </x:c>
      <x:c r="T61" s="34" t="n">
        <x:f>IFERROR(N61/Q61,"")</x:f>
        <x:v>842.5172951531707</x:v>
      </x:c>
      <x:c r="U61" s="22" t="str">
        <x:v>V3_CURATED_AREA_COST_RECHECK</x:v>
      </x:c>
      <x:c r="V61" s="22" t="str">
        <x:v>초기 스크리닝만</x:v>
      </x:c>
      <x:c r="W61" s="28" t="n">
        <x:v>1</x:v>
      </x:c>
      <x:c r="X61" s="28" t="n">
        <x:v>1</x:v>
      </x:c>
      <x:c r="Y61" s="28" t="n">
        <x:v>1</x:v>
      </x:c>
      <x:c r="Z61" s="28" t="n">
        <x:v>0</x:v>
      </x:c>
      <x:c r="AA61" s="28" t="n">
        <x:v>7</x:v>
      </x:c>
      <x:c r="AB61" s="28" t="n">
        <x:v>0</x:v>
      </x:c>
      <x:c r="AC61" s="28" t="n">
        <x:v>0</x:v>
      </x:c>
      <x:c r="AD61" s="28" t="n">
        <x:v>0</x:v>
      </x:c>
      <x:c r="AE61" s="28" t="n">
        <x:v>0</x:v>
      </x:c>
      <x:c r="AF61" s="25" t="str">
        <x:v>동일/제한 범위 공사금액÷면적 스크리닝 근거</x:v>
      </x:c>
      <x:c r="AG61" s="25" t="str"/>
      <x:c r="AH61" s="25" t="str">
        <x:v>L2021-00045-1/0 Bidding Guideline for Construction_ATC.docx</x:v>
      </x:c>
      <x:c r="AI61" s="25" t="str">
        <x:v>문단 92</x:v>
      </x:c>
      <x:c r="AJ61" s="25" t="str">
        <x:v>L2021-00045-1/0 Bidding Guideline for Construction_ATC.docx</x:v>
      </x:c>
      <x:c r="AK61" s="25" t="str">
        <x:v>문단 92</x:v>
      </x:c>
      <x:c r="AL61" s="25" t="str">
        <x:v>총연면적 2,866.41㎡; 상세페이지 집행한도 USD 2,415,000; 산출단가 USD 843/㎡.</x:v>
      </x:c>
      <x:c r="AM61" s="25" t="str">
        <x:v>https://nebid.koica.go.kr/oep/lobi/localBidManageDetail.do?P_LOAZ_BID_PBLANC_NO=L2021-00045&amp;P_PBLANC_ODR=1</x:v>
      </x:c>
    </x:row>
    <x:row r="62">
      <x:c r="A62" s="22" t="str">
        <x:v>U</x:v>
      </x:c>
      <x:c r="B62" s="22" t="str">
        <x:v>2019-00011</x:v>
      </x:c>
      <x:c r="C62" s="22" t="str">
        <x:v>L2022-00001-1</x:v>
      </x:c>
      <x:c r="D62" s="22" t="str">
        <x:v>L2022-00001</x:v>
      </x:c>
      <x:c r="E62" s="22" t="str">
        <x:v>2022-01-14</x:v>
      </x:c>
      <x:c r="F62" s="22" t="str">
        <x:v>모잠비크</x:v>
      </x:c>
      <x:c r="G62" s="25" t="str">
        <x:v>모잠비크 직업훈련교육 역량강화사업 시공업체 선정 국제 경쟁입찰</x:v>
      </x:c>
      <x:c r="H62" s="22" t="str">
        <x:v>공사</x:v>
      </x:c>
      <x:c r="I62" s="22" t="str">
        <x:v>WORKS</x:v>
      </x:c>
      <x:c r="J62" s="22" t="str">
        <x:v>WORKS_CEILING</x:v>
      </x:c>
      <x:c r="K62" s="22" t="str">
        <x:v>PARTIAL_SCOPE</x:v>
      </x:c>
      <x:c r="L62" s="22" t="str">
        <x:v>PARTIAL_SCOPE</x:v>
      </x:c>
      <x:c r="M62" s="34" t="n">
        <x:v>2200000</x:v>
      </x:c>
      <x:c r="N62" s="34" t="n">
        <x:v>2200000</x:v>
      </x:c>
      <x:c r="O62" s="22" t="str">
        <x:v>NOTICE_EXECUTION_CEILING</x:v>
      </x:c>
      <x:c r="P62" s="37" t="str">
        <x:f>IF(AND(M62&lt;&gt;"",N62&lt;&gt;"",O62&lt;&gt;"NOTICE_EXECUTION_CEILING"),M62/N62-1,"")</x:f>
      </x:c>
      <x:c r="Q62" s="31"/>
      <x:c r="R62" s="22" t="str">
        <x:v>AMBIGUOUS_AREA</x:v>
      </x:c>
      <x:c r="S62" s="22" t="str">
        <x:v>UNKNOWN</x:v>
      </x:c>
      <x:c r="T62" s="34" t="str">
        <x:f>IFERROR(N62/Q62,"")</x:f>
      </x:c>
      <x:c r="U62" s="22" t="str">
        <x:v>V3_SCOPE_REVIEW</x:v>
      </x:c>
      <x:c r="V62" s="22" t="str">
        <x:v>계산 금지</x:v>
      </x:c>
      <x:c r="W62" s="28" t="n">
        <x:v>1</x:v>
      </x:c>
      <x:c r="X62" s="28" t="n">
        <x:v>1</x:v>
      </x:c>
      <x:c r="Y62" s="28" t="n">
        <x:v>0</x:v>
      </x:c>
      <x:c r="Z62" s="28" t="n">
        <x:v>0</x:v>
      </x:c>
      <x:c r="AA62" s="28" t="n">
        <x:v>10</x:v>
      </x:c>
      <x:c r="AB62" s="28" t="n">
        <x:v>0</x:v>
      </x:c>
      <x:c r="AC62" s="28" t="n">
        <x:v>1</x:v>
      </x:c>
      <x:c r="AD62" s="28" t="n">
        <x:v>0</x:v>
      </x:c>
      <x:c r="AE62" s="28" t="n">
        <x:v>0</x:v>
      </x:c>
      <x:c r="AF62" s="25" t="str">
        <x:v>면적과 금액 범위가 부분·혼합되어 계산 금지</x:v>
      </x:c>
      <x:c r="AG62" s="25" t="str">
        <x:v>캠퍼스 전체 면적과 일부 칸막이·슬로프·실습실 공사 범위가 다름</x:v>
      </x:c>
      <x:c r="AH62" s="25" t="str">
        <x:v>KOICA 입찰 상세페이지</x:v>
      </x:c>
      <x:c r="AI62" s="25" t="str">
        <x:v>집행한도금액(달러)</x:v>
      </x:c>
      <x:c r="AJ62" s="25" t="str">
        <x:v>L2022-00001-1/모잠비크 직훈사업 시공업체 선정 입찰계획.hwp</x:v>
      </x:c>
      <x:c r="AK62" s="25" t="str">
        <x:v>문단 63</x:v>
      </x:c>
      <x:c r="AL62" s="25" t="str">
        <x:v>1. Workshop zone : 9 buildings, 약 7,030㎡</x:v>
      </x:c>
      <x:c r="AM62" s="25" t="str">
        <x:v>https://nebid.koica.go.kr/oep/lobi/localBidManageDetail.do?P_LOAZ_BID_PBLANC_NO=L2022-00001&amp;P_PBLANC_ODR=1</x:v>
      </x:c>
    </x:row>
    <x:row r="63">
      <x:c r="A63" s="22" t="str">
        <x:v>X</x:v>
      </x:c>
      <x:c r="B63" s="22" t="str">
        <x:v>2019-00032</x:v>
      </x:c>
      <x:c r="C63" s="22" t="str">
        <x:v>L2022-00002-1</x:v>
      </x:c>
      <x:c r="D63" s="22" t="str">
        <x:v>L2022-00002</x:v>
      </x:c>
      <x:c r="E63" s="22" t="str">
        <x:v>2022-01-20</x:v>
      </x:c>
      <x:c r="F63" s="22" t="str">
        <x:v>파라과이</x:v>
      </x:c>
      <x:c r="G63" s="25" t="str">
        <x:v>파라과이 항공 전문인력 역량강화사업 항공훈련센터 현지 감리사 선정 국제경쟁 입찰</x:v>
      </x:c>
      <x:c r="H63" s="22" t="str">
        <x:v>용역</x:v>
      </x:c>
      <x:c r="I63" s="22" t="str">
        <x:v>DESIGN_OR_SUPERVISION_SERVICE</x:v>
      </x:c>
      <x:c r="J63" s="22" t="str">
        <x:v>SERVICE_FEE_OR_MIXED</x:v>
      </x:c>
      <x:c r="K63" s="22" t="str">
        <x:v>NO_MATCH</x:v>
      </x:c>
      <x:c r="L63" s="22" t="str">
        <x:v>NO_MATCH</x:v>
      </x:c>
      <x:c r="M63" s="34" t="n">
        <x:v>205000</x:v>
      </x:c>
      <x:c r="N63" s="34"/>
      <x:c r="O63" s="22" t="str">
        <x:v>SERVICE_OR_GOODS_CEILING</x:v>
      </x:c>
      <x:c r="P63" s="37" t="str">
        <x:f>IF(AND(M63&lt;&gt;"",N63&lt;&gt;"",O63&lt;&gt;"NOTICE_EXECUTION_CEILING"),M63/N63-1,"")</x:f>
      </x:c>
      <x:c r="Q63" s="31" t="n">
        <x:v>2866.41</x:v>
      </x:c>
      <x:c r="R63" s="22" t="str">
        <x:v>GFA</x:v>
      </x:c>
      <x:c r="S63" s="22" t="str">
        <x:v>AUTO_SELECTED_SINGLE_OR_TOTAL</x:v>
      </x:c>
      <x:c r="T63" s="34" t="n">
        <x:f>IFERROR(N63/Q63,"")</x:f>
        <x:v>0</x:v>
      </x:c>
      <x:c r="U63" s="22" t="str">
        <x:v>V3_SCOPE_REVIEW</x:v>
      </x:c>
      <x:c r="V63" s="22" t="str">
        <x:v>계산 금지</x:v>
      </x:c>
      <x:c r="W63" s="28" t="n">
        <x:v>1</x:v>
      </x:c>
      <x:c r="X63" s="28" t="n">
        <x:v>0</x:v>
      </x:c>
      <x:c r="Y63" s="28" t="n">
        <x:v>0</x:v>
      </x:c>
      <x:c r="Z63" s="28" t="n">
        <x:v>0</x:v>
      </x:c>
      <x:c r="AA63" s="28" t="n">
        <x:v>5</x:v>
      </x:c>
      <x:c r="AB63" s="28" t="n">
        <x:v>0</x:v>
      </x:c>
      <x:c r="AC63" s="28" t="n">
        <x:v>0</x:v>
      </x:c>
      <x:c r="AD63" s="28" t="n">
        <x:v>0</x:v>
      </x:c>
      <x:c r="AE63" s="28" t="n">
        <x:v>0</x:v>
      </x:c>
      <x:c r="AF63" s="25" t="str">
        <x:v>설계·감리·기타 용역 집행한도는 건축공사비가 아님</x:v>
      </x:c>
      <x:c r="AG63" s="25" t="str"/>
      <x:c r="AH63" s="25" t="str">
        <x:v>KOICA 입찰 상세페이지</x:v>
      </x:c>
      <x:c r="AI63" s="25" t="str">
        <x:v>집행한도금액(달러)</x:v>
      </x:c>
      <x:c r="AJ63" s="25" t="str">
        <x:v>L2022-00002-1/1.0 Section I. Invitation for Bids.docx</x:v>
      </x:c>
      <x:c r="AK63" s="25" t="str">
        <x:v>표 2 행 4</x:v>
      </x:c>
      <x:c r="AL63" s="25" t="str">
        <x:v>Scope of Supervision S ervice | New Building Site area: 2,702 ㎡ Gross floor area: 2,866.41 ㎡ 3 stories – Reinforced Concrete Structure , Pile Construction Main Fa</x:v>
      </x:c>
      <x:c r="AM63" s="25" t="str">
        <x:v>https://nebid.koica.go.kr/oep/lobi/localBidManageDetail.do?P_LOAZ_BID_PBLANC_NO=L2022-00002&amp;P_PBLANC_ODR=1</x:v>
      </x:c>
    </x:row>
    <x:row r="64">
      <x:c r="A64" s="22" t="str">
        <x:v>X</x:v>
      </x:c>
      <x:c r="B64" s="22" t="str">
        <x:v>2020-00086</x:v>
      </x:c>
      <x:c r="C64" s="22" t="str">
        <x:v>L2022-00003-1</x:v>
      </x:c>
      <x:c r="D64" s="22" t="str">
        <x:v>L2022-00003</x:v>
      </x:c>
      <x:c r="E64" s="22" t="str">
        <x:v>2022-02-21</x:v>
      </x:c>
      <x:c r="F64" s="22" t="str">
        <x:v>우즈베키스탄</x:v>
      </x:c>
      <x:c r="G64" s="25" t="str">
        <x:v>우즈베키스탄 우르겐치 직업훈련원 및 직업훈련제도 역량공고화 지원사업 설계 및 감리업체 선정</x:v>
      </x:c>
      <x:c r="H64" s="22" t="str">
        <x:v>용역</x:v>
      </x:c>
      <x:c r="I64" s="22" t="str">
        <x:v>DESIGN_OR_SUPERVISION_SERVICE</x:v>
      </x:c>
      <x:c r="J64" s="22" t="str">
        <x:v>SERVICE_FEE_OR_MIXED</x:v>
      </x:c>
      <x:c r="K64" s="22" t="str">
        <x:v>NO_MATCH</x:v>
      </x:c>
      <x:c r="L64" s="22" t="str">
        <x:v>NO_MATCH</x:v>
      </x:c>
      <x:c r="M64" s="34" t="n">
        <x:v>248335</x:v>
      </x:c>
      <x:c r="N64" s="34"/>
      <x:c r="O64" s="22" t="str">
        <x:v>SERVICE_OR_GOODS_CEILING</x:v>
      </x:c>
      <x:c r="P64" s="37" t="str">
        <x:f>IF(AND(M64&lt;&gt;"",N64&lt;&gt;"",O64&lt;&gt;"NOTICE_EXECUTION_CEILING"),M64/N64-1,"")</x:f>
      </x:c>
      <x:c r="Q64" s="31" t="n">
        <x:v>7021</x:v>
      </x:c>
      <x:c r="R64" s="22" t="str">
        <x:v>GFA</x:v>
      </x:c>
      <x:c r="S64" s="22" t="str">
        <x:v>AUTO_SELECTED_SINGLE_OR_TOTAL</x:v>
      </x:c>
      <x:c r="T64" s="34" t="n">
        <x:f>IFERROR(N64/Q64,"")</x:f>
        <x:v>0</x:v>
      </x:c>
      <x:c r="U64" s="22" t="str">
        <x:v>V3_SCOPE_REVIEW</x:v>
      </x:c>
      <x:c r="V64" s="22" t="str">
        <x:v>계산 금지</x:v>
      </x:c>
      <x:c r="W64" s="28" t="n">
        <x:v>1</x:v>
      </x:c>
      <x:c r="X64" s="28" t="n">
        <x:v>0</x:v>
      </x:c>
      <x:c r="Y64" s="28" t="n">
        <x:v>0</x:v>
      </x:c>
      <x:c r="Z64" s="28" t="n">
        <x:v>0</x:v>
      </x:c>
      <x:c r="AA64" s="28" t="n">
        <x:v>23</x:v>
      </x:c>
      <x:c r="AB64" s="28" t="n">
        <x:v>0</x:v>
      </x:c>
      <x:c r="AC64" s="28" t="n">
        <x:v>0</x:v>
      </x:c>
      <x:c r="AD64" s="28" t="n">
        <x:v>0</x:v>
      </x:c>
      <x:c r="AE64" s="28" t="n">
        <x:v>0</x:v>
      </x:c>
      <x:c r="AF64" s="25" t="str">
        <x:v>설계·감리·기타 용역 집행한도는 건축공사비가 아님</x:v>
      </x:c>
      <x:c r="AG64" s="25" t="str"/>
      <x:c r="AH64" s="25" t="str">
        <x:v>KOICA 입찰 상세페이지</x:v>
      </x:c>
      <x:c r="AI64" s="25" t="str">
        <x:v>집행한도금액(달러)</x:v>
      </x:c>
      <x:c r="AJ64" s="25" t="str">
        <x:v>L2022-00003-1/KOICA URGENCH BID DOCUMENTS-FINAL(FINAL)/Attachment 1. KOICA_BID Announcement.docx</x:v>
      </x:c>
      <x:c r="AK64" s="25" t="str">
        <x:v>표 2 행 5</x:v>
      </x:c>
      <x:c r="AL64" s="25" t="str">
        <x:v>horezm region : Total Floor Area 5,741 M2. 2 Story Building - For construction of Teachers’ Training Center in at Tashkent : 1,280 M2 Total 7,021M2, 2 Story Building 3) Construction Supervision - Construction of Vocat</x:v>
      </x:c>
      <x:c r="AM64" s="25" t="str">
        <x:v>https://nebid.koica.go.kr/oep/lobi/localBidManageDetail.do?P_LOAZ_BID_PBLANC_NO=L2022-00003&amp;P_PBLANC_ODR=1</x:v>
      </x:c>
    </x:row>
    <x:row r="65">
      <x:c r="A65" s="22" t="str">
        <x:v>X</x:v>
      </x:c>
      <x:c r="B65" s="22" t="str">
        <x:v>2021-00141</x:v>
      </x:c>
      <x:c r="C65" s="22" t="str">
        <x:v>L2022-00006-1</x:v>
      </x:c>
      <x:c r="D65" s="22" t="str">
        <x:v>L2022-00006</x:v>
      </x:c>
      <x:c r="E65" s="22" t="str">
        <x:v>2022-04-04</x:v>
      </x:c>
      <x:c r="F65" s="22" t="str">
        <x:v>네팔</x:v>
      </x:c>
      <x:c r="G65" s="25" t="str">
        <x:v>네팔 경찰 역량강화를 위한 사이버안전국 설립사업 설계 및 감리업체 선정 현지입찰</x:v>
      </x:c>
      <x:c r="H65" s="22" t="str">
        <x:v>용역</x:v>
      </x:c>
      <x:c r="I65" s="22" t="str">
        <x:v>DESIGN_OR_SUPERVISION_SERVICE</x:v>
      </x:c>
      <x:c r="J65" s="22" t="str">
        <x:v>SERVICE_FEE_OR_MIXED</x:v>
      </x:c>
      <x:c r="K65" s="22" t="str">
        <x:v>NO_MATCH</x:v>
      </x:c>
      <x:c r="L65" s="22" t="str">
        <x:v>NO_MATCH</x:v>
      </x:c>
      <x:c r="M65" s="34" t="n">
        <x:v>154872</x:v>
      </x:c>
      <x:c r="N65" s="34"/>
      <x:c r="O65" s="22" t="str">
        <x:v>SERVICE_OR_GOODS_CEILING</x:v>
      </x:c>
      <x:c r="P65" s="37" t="str">
        <x:f>IF(AND(M65&lt;&gt;"",N65&lt;&gt;"",O65&lt;&gt;"NOTICE_EXECUTION_CEILING"),M65/N65-1,"")</x:f>
      </x:c>
      <x:c r="Q65" s="31" t="n">
        <x:v>4563</x:v>
      </x:c>
      <x:c r="R65" s="22" t="str">
        <x:v>GFA</x:v>
      </x:c>
      <x:c r="S65" s="22" t="str">
        <x:v>AUTO_SELECTED_SINGLE_OR_TOTAL</x:v>
      </x:c>
      <x:c r="T65" s="34" t="n">
        <x:f>IFERROR(N65/Q65,"")</x:f>
        <x:v>0</x:v>
      </x:c>
      <x:c r="U65" s="22" t="str">
        <x:v>V3_SCOPE_REVIEW</x:v>
      </x:c>
      <x:c r="V65" s="22" t="str">
        <x:v>계산 금지</x:v>
      </x:c>
      <x:c r="W65" s="28" t="n">
        <x:v>1</x:v>
      </x:c>
      <x:c r="X65" s="28" t="n">
        <x:v>1</x:v>
      </x:c>
      <x:c r="Y65" s="28" t="n">
        <x:v>0</x:v>
      </x:c>
      <x:c r="Z65" s="28" t="n">
        <x:v>0</x:v>
      </x:c>
      <x:c r="AA65" s="28" t="n">
        <x:v>3</x:v>
      </x:c>
      <x:c r="AB65" s="28" t="n">
        <x:v>0</x:v>
      </x:c>
      <x:c r="AC65" s="28" t="n">
        <x:v>0</x:v>
      </x:c>
      <x:c r="AD65" s="28" t="n">
        <x:v>0</x:v>
      </x:c>
      <x:c r="AE65" s="28" t="n">
        <x:v>0</x:v>
      </x:c>
      <x:c r="AF65" s="25" t="str">
        <x:v>설계·감리·기타 용역 집행한도는 건축공사비가 아님</x:v>
      </x:c>
      <x:c r="AG65" s="25" t="str"/>
      <x:c r="AH65" s="25" t="str">
        <x:v>KOICA 입찰 상세페이지</x:v>
      </x:c>
      <x:c r="AI65" s="25" t="str">
        <x:v>집행한도금액(달러)</x:v>
      </x:c>
      <x:c r="AJ65" s="25" t="str">
        <x:v>L2022-00006-1/붙임 2. 입찰공고.docx</x:v>
      </x:c>
      <x:c r="AK65" s="25" t="str">
        <x:v>표 2 행 2</x:v>
      </x:c>
      <x:c r="AL65" s="25" t="str">
        <x:v>Summary of Services | Design and Construction Supervision Consultant Services 1 ) Bardibas Municipality, Province 2 2 ) Total floor area: 4,563m2 3) Construction Supervision: 2 4 Months</x:v>
      </x:c>
      <x:c r="AM65" s="25" t="str">
        <x:v>https://nebid.koica.go.kr/oep/lobi/localBidManageDetail.do?P_LOAZ_BID_PBLANC_NO=L2022-00006&amp;P_PBLANC_ODR=1</x:v>
      </x:c>
    </x:row>
    <x:row r="66">
      <x:c r="A66" s="22" t="str">
        <x:v>U</x:v>
      </x:c>
      <x:c r="B66" s="22" t="str">
        <x:v>2016-20098</x:v>
      </x:c>
      <x:c r="C66" s="22" t="str">
        <x:v>L2022-00007-1</x:v>
      </x:c>
      <x:c r="D66" s="22" t="str">
        <x:v>L2022-00007</x:v>
      </x:c>
      <x:c r="E66" s="22" t="str">
        <x:v>2022-04-05</x:v>
      </x:c>
      <x:c r="F66" s="22" t="str">
        <x:v>인도네시아</x:v>
      </x:c>
      <x:c r="G66" s="25" t="str">
        <x:v>인도네시아 경찰청 사이버범죄수사 교육센터 프로젝트 리모델링업체 선정 입찰</x:v>
      </x:c>
      <x:c r="H66" s="22" t="str">
        <x:v>공사</x:v>
      </x:c>
      <x:c r="I66" s="22" t="str">
        <x:v>WORKS</x:v>
      </x:c>
      <x:c r="J66" s="22" t="str">
        <x:v>WORKS_CEILING</x:v>
      </x:c>
      <x:c r="K66" s="22" t="str">
        <x:v>MATCH</x:v>
      </x:c>
      <x:c r="L66" s="22" t="str">
        <x:v>MATCH</x:v>
      </x:c>
      <x:c r="M66" s="34" t="n">
        <x:v>275400</x:v>
      </x:c>
      <x:c r="N66" s="34" t="n">
        <x:v>275400</x:v>
      </x:c>
      <x:c r="O66" s="22" t="str">
        <x:v>NOTICE_EXECUTION_CEILING</x:v>
      </x:c>
      <x:c r="P66" s="37" t="str">
        <x:f>IF(AND(M66&lt;&gt;"",N66&lt;&gt;"",O66&lt;&gt;"NOTICE_EXECUTION_CEILING"),M66/N66-1,"")</x:f>
      </x:c>
      <x:c r="Q66" s="31"/>
      <x:c r="R66" s="22" t="str">
        <x:v>AMBIGUOUS_AREA</x:v>
      </x:c>
      <x:c r="S66" s="22" t="str">
        <x:v>UNKNOWN</x:v>
      </x:c>
      <x:c r="T66" s="34" t="str">
        <x:f>IFERROR(N66/Q66,"")</x:f>
      </x:c>
      <x:c r="U66" s="22" t="str">
        <x:v>V2R_HUMAN_REVIEWED_EXTRACTION</x:v>
      </x:c>
      <x:c r="V66" s="22" t="str">
        <x:v>계산 금지</x:v>
      </x:c>
      <x:c r="W66" s="28" t="n">
        <x:v>0</x:v>
      </x:c>
      <x:c r="X66" s="28" t="n">
        <x:v>0</x:v>
      </x:c>
      <x:c r="Y66" s="28" t="n">
        <x:v>0</x:v>
      </x:c>
      <x:c r="Z66" s="28" t="n">
        <x:v>0</x:v>
      </x:c>
      <x:c r="AA66" s="28" t="n">
        <x:v>3</x:v>
      </x:c>
      <x:c r="AB66" s="28" t="n">
        <x:v>0</x:v>
      </x:c>
      <x:c r="AC66" s="28" t="n">
        <x:v>0</x:v>
      </x:c>
      <x:c r="AD66" s="28" t="n">
        <x:v>0</x:v>
      </x:c>
      <x:c r="AE66" s="28" t="n">
        <x:v>0</x:v>
      </x:c>
      <x:c r="AF66" s="25" t="str">
        <x:v>유효 면적과 공사금액 결합요건 미충족</x:v>
      </x:c>
      <x:c r="AG66" s="25" t="str"/>
      <x:c r="AH66" s="25" t="str">
        <x:v>KOICA 입찰 상세페이지</x:v>
      </x:c>
      <x:c r="AI66" s="25" t="str">
        <x:v>집행한도금액(달러)</x:v>
      </x:c>
      <x:c r="AJ66" s="25" t="str">
        <x:v>L2022-00007-1/(붙임1) 220331인도네시아 경찰청사이버범죄수사 교육센타 시공사 선정 입찰계획(안).hwp</x:v>
      </x:c>
      <x:c r="AK66" s="25" t="str">
        <x:v>문단 64</x:v>
      </x:c>
      <x:c r="AL66" s="25" t="str">
        <x:v> 연 면 적: 1,458㎡</x:v>
      </x:c>
      <x:c r="AM66" s="25" t="str">
        <x:v>https://nebid.koica.go.kr/oep/lobi/localBidManageDetail.do?P_LOAZ_BID_PBLANC_NO=L2022-00007&amp;P_PBLANC_ODR=1</x:v>
      </x:c>
    </x:row>
    <x:row r="67">
      <x:c r="A67" s="22" t="str">
        <x:v>X</x:v>
      </x:c>
      <x:c r="B67" s="22" t="str">
        <x:v>2020-00094</x:v>
      </x:c>
      <x:c r="C67" s="22" t="str">
        <x:v>L2022-00009-1</x:v>
      </x:c>
      <x:c r="D67" s="22" t="str">
        <x:v>L2022-00009</x:v>
      </x:c>
      <x:c r="E67" s="22" t="str">
        <x:v>2022-04-26</x:v>
      </x:c>
      <x:c r="F67" s="22" t="str">
        <x:v>필리핀</x:v>
      </x:c>
      <x:c r="G67" s="25" t="str">
        <x:v>필리핀 국립대학교 로스바뇨스 첨단농업연구센터 건축 설계 용역</x:v>
      </x:c>
      <x:c r="H67" s="22" t="str">
        <x:v>용역</x:v>
      </x:c>
      <x:c r="I67" s="22" t="str">
        <x:v>DESIGN_OR_SUPERVISION_SERVICE</x:v>
      </x:c>
      <x:c r="J67" s="22" t="str">
        <x:v>SERVICE_FEE_OR_MIXED</x:v>
      </x:c>
      <x:c r="K67" s="22" t="str">
        <x:v>NO_MATCH</x:v>
      </x:c>
      <x:c r="L67" s="22" t="str">
        <x:v>NO_MATCH</x:v>
      </x:c>
      <x:c r="M67" s="34" t="n">
        <x:v>255360</x:v>
      </x:c>
      <x:c r="N67" s="34"/>
      <x:c r="O67" s="22" t="str">
        <x:v>SERVICE_OR_GOODS_CEILING</x:v>
      </x:c>
      <x:c r="P67" s="37" t="str">
        <x:f>IF(AND(M67&lt;&gt;"",N67&lt;&gt;"",O67&lt;&gt;"NOTICE_EXECUTION_CEILING"),M67/N67-1,"")</x:f>
      </x:c>
      <x:c r="Q67" s="31"/>
      <x:c r="R67" s="22" t="str">
        <x:v>AMBIGUOUS_AREA</x:v>
      </x:c>
      <x:c r="S67" s="22" t="str">
        <x:v>UNKNOWN</x:v>
      </x:c>
      <x:c r="T67" s="34" t="str">
        <x:f>IFERROR(N67/Q67,"")</x:f>
      </x:c>
      <x:c r="U67" s="22" t="str">
        <x:v>V3_SCOPE_REVIEW</x:v>
      </x:c>
      <x:c r="V67" s="22" t="str">
        <x:v>계산 금지</x:v>
      </x:c>
      <x:c r="W67" s="28" t="n">
        <x:v>1</x:v>
      </x:c>
      <x:c r="X67" s="28" t="n">
        <x:v>1</x:v>
      </x:c>
      <x:c r="Y67" s="28" t="n">
        <x:v>0</x:v>
      </x:c>
      <x:c r="Z67" s="28" t="n">
        <x:v>0</x:v>
      </x:c>
      <x:c r="AA67" s="28" t="n">
        <x:v>1</x:v>
      </x:c>
      <x:c r="AB67" s="28" t="n">
        <x:v>0</x:v>
      </x:c>
      <x:c r="AC67" s="28" t="n">
        <x:v>0</x:v>
      </x:c>
      <x:c r="AD67" s="28" t="n">
        <x:v>0</x:v>
      </x:c>
      <x:c r="AE67" s="28" t="n">
        <x:v>0</x:v>
      </x:c>
      <x:c r="AF67" s="25" t="str">
        <x:v>설계·감리·기타 용역 집행한도는 건축공사비가 아님</x:v>
      </x:c>
      <x:c r="AG67" s="25" t="str"/>
      <x:c r="AH67" s="25" t="str">
        <x:v>KOICA 입찰 상세페이지</x:v>
      </x:c>
      <x:c r="AI67" s="25" t="str">
        <x:v>집행한도금액(달러)</x:v>
      </x:c>
      <x:c r="AJ67" s="25" t="str">
        <x:v>L2022-00009-1/Bid Announcement_KOICA-UPLB Project.docx</x:v>
      </x:c>
      <x:c r="AK67" s="25" t="str">
        <x:v>표 1 행 4</x:v>
      </x:c>
      <x:c r="AL67" s="25" t="str">
        <x:v>Summary of Research Center | Center: 3,400 ㎡ , 3 story G reen House: 600 ㎡</x:v>
      </x:c>
      <x:c r="AM67" s="25" t="str">
        <x:v>https://nebid.koica.go.kr/oep/lobi/localBidManageDetail.do?P_LOAZ_BID_PBLANC_NO=L2022-00009&amp;P_PBLANC_ODR=1</x:v>
      </x:c>
    </x:row>
    <x:row r="68">
      <x:c r="A68" s="22" t="str">
        <x:v>C?</x:v>
      </x:c>
      <x:c r="B68" s="22" t="str">
        <x:v>2019-00071</x:v>
      </x:c>
      <x:c r="C68" s="22" t="str">
        <x:v>L2022-00019-1</x:v>
      </x:c>
      <x:c r="D68" s="22" t="str">
        <x:v>L2022-00019</x:v>
      </x:c>
      <x:c r="E68" s="22" t="str">
        <x:v>2022-05-24</x:v>
      </x:c>
      <x:c r="F68" s="22" t="str">
        <x:v>라오스</x:v>
      </x:c>
      <x:c r="G68" s="25" t="str">
        <x:v>라오스 성생식 모자보건 RMNCH센터 및 여성폭력 예방대응 EVAW센터 시공업체 선정</x:v>
      </x:c>
      <x:c r="H68" s="22" t="str">
        <x:v>공사</x:v>
      </x:c>
      <x:c r="I68" s="22" t="str">
        <x:v>WORKS</x:v>
      </x:c>
      <x:c r="J68" s="22" t="str">
        <x:v>WORKS_CEILING</x:v>
      </x:c>
      <x:c r="K68" s="22" t="str">
        <x:v>MATCH</x:v>
      </x:c>
      <x:c r="L68" s="22" t="str">
        <x:v>MATCH</x:v>
      </x:c>
      <x:c r="M68" s="34" t="n">
        <x:v>1447700</x:v>
      </x:c>
      <x:c r="N68" s="34" t="n">
        <x:v>1447700</x:v>
      </x:c>
      <x:c r="O68" s="22" t="str">
        <x:v>NOTICE_EXECUTION_CEILING</x:v>
      </x:c>
      <x:c r="P68" s="37" t="str">
        <x:f>IF(AND(M68&lt;&gt;"",N68&lt;&gt;"",O68&lt;&gt;"NOTICE_EXECUTION_CEILING"),M68/N68-1,"")</x:f>
      </x:c>
      <x:c r="Q68" s="31" t="n">
        <x:v>989</x:v>
      </x:c>
      <x:c r="R68" s="22" t="str">
        <x:v>GFA</x:v>
      </x:c>
      <x:c r="S68" s="22" t="str">
        <x:v>AUTO_SELECTED_SINGLE_OR_TOTAL</x:v>
      </x:c>
      <x:c r="T68" s="34" t="n">
        <x:f>IFERROR(N68/Q68,"")</x:f>
        <x:v>1463.8018200202225</x:v>
      </x:c>
      <x:c r="U68" s="22" t="str">
        <x:v>V2R_HUMAN_REVIEWED_EXTRACTION</x:v>
      </x:c>
      <x:c r="V68" s="22" t="str">
        <x:v>초기 스크리닝만</x:v>
      </x:c>
      <x:c r="W68" s="28" t="n">
        <x:v>1</x:v>
      </x:c>
      <x:c r="X68" s="28" t="n">
        <x:v>1</x:v>
      </x:c>
      <x:c r="Y68" s="28" t="n">
        <x:v>0</x:v>
      </x:c>
      <x:c r="Z68" s="28" t="n">
        <x:v>0</x:v>
      </x:c>
      <x:c r="AA68" s="28" t="n">
        <x:v>5</x:v>
      </x:c>
      <x:c r="AB68" s="28" t="n">
        <x:v>0</x:v>
      </x:c>
      <x:c r="AC68" s="28" t="n">
        <x:v>0</x:v>
      </x:c>
      <x:c r="AD68" s="28" t="n">
        <x:v>0</x:v>
      </x:c>
      <x:c r="AE68" s="28" t="n">
        <x:v>0</x:v>
      </x:c>
      <x:c r="AF68" s="25" t="str">
        <x:v>범위 일치 잠정확인; 원본 V3 확인 전 직접 사용 금지</x:v>
      </x:c>
      <x:c r="AG68" s="25" t="str"/>
      <x:c r="AH68" s="25" t="str">
        <x:v>KOICA 입찰 상세페이지</x:v>
      </x:c>
      <x:c r="AI68" s="25" t="str">
        <x:v>집행한도금액(달러)</x:v>
      </x:c>
      <x:c r="AJ68" s="25" t="str">
        <x:v>L2022-00019-1/05. Bidding Documents (220523).docx</x:v>
      </x:c>
      <x:c r="AK68" s="25" t="str">
        <x:v>표 32 행 5</x:v>
      </x:c>
      <x:c r="AL68" s="25" t="str">
        <x:v>RMNCH | ▪ New Construction ▪ Site Area: approx . 870 m2 | ▪ Building Area: approx. 514 m2 ▪ Gross Floor Area: approx. 989 m2</x:v>
      </x:c>
      <x:c r="AM68" s="25" t="str">
        <x:v>https://nebid.koica.go.kr/oep/lobi/localBidManageDetail.do?P_LOAZ_BID_PBLANC_NO=L2022-00019&amp;P_PBLANC_ODR=1</x:v>
      </x:c>
    </x:row>
    <x:row r="69">
      <x:c r="A69" s="22" t="str">
        <x:v>C</x:v>
      </x:c>
      <x:c r="B69" s="22" t="str">
        <x:v>2016-20098</x:v>
      </x:c>
      <x:c r="C69" s="22" t="str">
        <x:v>L2022-00007-2</x:v>
      </x:c>
      <x:c r="D69" s="22" t="str">
        <x:v>L2022-00007</x:v>
      </x:c>
      <x:c r="E69" s="22" t="str">
        <x:v>2022-05-30</x:v>
      </x:c>
      <x:c r="F69" s="22" t="str">
        <x:v>인도네시아</x:v>
      </x:c>
      <x:c r="G69" s="25" t="str">
        <x:v>인도네시아 경찰청 사이버범죄수사 교육센터 프로젝트 리모델링업체 선정 입찰</x:v>
      </x:c>
      <x:c r="H69" s="22" t="str">
        <x:v>공사</x:v>
      </x:c>
      <x:c r="I69" s="22" t="str">
        <x:v>WORKS</x:v>
      </x:c>
      <x:c r="J69" s="22" t="str">
        <x:v>WORKS_CEILING</x:v>
      </x:c>
      <x:c r="K69" s="22" t="str">
        <x:v>MATCH</x:v>
      </x:c>
      <x:c r="L69" s="22" t="str">
        <x:v>MATCH</x:v>
      </x:c>
      <x:c r="M69" s="34" t="n">
        <x:v>275400</x:v>
      </x:c>
      <x:c r="N69" s="34" t="n">
        <x:v>275400</x:v>
      </x:c>
      <x:c r="O69" s="22" t="str">
        <x:v>NOTICE_EXECUTION_CEILING</x:v>
      </x:c>
      <x:c r="P69" s="37" t="str">
        <x:f>IF(AND(M69&lt;&gt;"",N69&lt;&gt;"",O69&lt;&gt;"NOTICE_EXECUTION_CEILING"),M69/N69-1,"")</x:f>
      </x:c>
      <x:c r="Q69" s="31" t="n">
        <x:v>1458</x:v>
      </x:c>
      <x:c r="R69" s="22" t="str">
        <x:v>GFA</x:v>
      </x:c>
      <x:c r="S69" s="22" t="str">
        <x:v>SINGLE_OR_TOTAL</x:v>
      </x:c>
      <x:c r="T69" s="34" t="n">
        <x:f>IFERROR(N69/Q69,"")</x:f>
        <x:v>188.88888888888889</x:v>
      </x:c>
      <x:c r="U69" s="22" t="str">
        <x:v>V3_CURATED_AREA_COST_RECHECK</x:v>
      </x:c>
      <x:c r="V69" s="22" t="str">
        <x:v>초기 스크리닝만</x:v>
      </x:c>
      <x:c r="W69" s="28" t="n">
        <x:v>1</x:v>
      </x:c>
      <x:c r="X69" s="28" t="n">
        <x:v>1</x:v>
      </x:c>
      <x:c r="Y69" s="28" t="n">
        <x:v>1</x:v>
      </x:c>
      <x:c r="Z69" s="28" t="n">
        <x:v>0</x:v>
      </x:c>
      <x:c r="AA69" s="28" t="n">
        <x:v>2</x:v>
      </x:c>
      <x:c r="AB69" s="28" t="n">
        <x:v>0</x:v>
      </x:c>
      <x:c r="AC69" s="28" t="n">
        <x:v>0</x:v>
      </x:c>
      <x:c r="AD69" s="28" t="n">
        <x:v>0</x:v>
      </x:c>
      <x:c r="AE69" s="28" t="n">
        <x:v>0</x:v>
      </x:c>
      <x:c r="AF69" s="25" t="str">
        <x:v>동일/제한 범위 공사금액÷면적 스크리닝 근거</x:v>
      </x:c>
      <x:c r="AG69" s="25" t="str"/>
      <x:c r="AH69" s="25" t="str">
        <x:v>L2022-00007-2/(붙임1) 220525인도네시아 경찰청사이버범죄수사 교육센타 시공사 선정 입찰계획(안) - 재공고.hwp</x:v>
      </x:c>
      <x:c r="AI69" s="25" t="str">
        <x:v>문단 64</x:v>
      </x:c>
      <x:c r="AJ69" s="25" t="str">
        <x:v>L2022-00007-2/(붙임1) 220525인도네시아 경찰청사이버범죄수사 교육센타 시공사 선정 입찰계획(안) - 재공고.hwp</x:v>
      </x:c>
      <x:c r="AK69" s="25" t="str">
        <x:v>문단 64</x:v>
      </x:c>
      <x:c r="AL69" s="25" t="str">
        <x:v>대상 연면적 1,458.00㎡; 상세페이지 집행한도 USD 275,400; 산출단가 USD 189/㎡.</x:v>
      </x:c>
      <x:c r="AM69" s="25" t="str">
        <x:v>https://nebid.koica.go.kr/oep/lobi/localBidManageDetail.do?P_LOAZ_BID_PBLANC_NO=L2022-00007&amp;P_PBLANC_ODR=2</x:v>
      </x:c>
    </x:row>
    <x:row r="70">
      <x:c r="A70" s="22" t="str">
        <x:v>C</x:v>
      </x:c>
      <x:c r="B70" s="22" t="str">
        <x:v>2020-00073</x:v>
      </x:c>
      <x:c r="C70" s="22" t="str">
        <x:v>L2022-00027-1</x:v>
      </x:c>
      <x:c r="D70" s="22" t="str">
        <x:v>L2022-00027</x:v>
      </x:c>
      <x:c r="E70" s="22" t="str">
        <x:v>2022-06-06</x:v>
      </x:c>
      <x:c r="F70" s="22" t="str">
        <x:v>에콰도르</x:v>
      </x:c>
      <x:c r="G70" s="25" t="str">
        <x:v>에콰도르 키토시 혁신센터 건립을 통한 창업 및 기업혁신 지원체계 강화사업 리모델링 설계 용역</x:v>
      </x:c>
      <x:c r="H70" s="22" t="str">
        <x:v>용역</x:v>
      </x:c>
      <x:c r="I70" s="22" t="str">
        <x:v>DESIGN_OR_SUPERVISION_SERVICE</x:v>
      </x:c>
      <x:c r="J70" s="22" t="str">
        <x:v>SERVICE_FEE_OR_MIXED</x:v>
      </x:c>
      <x:c r="K70" s="22" t="str">
        <x:v>NO_MATCH</x:v>
      </x:c>
      <x:c r="L70" s="22" t="str">
        <x:v>MATCH_ATTACHMENT_CONSTRUCTION_BUDGET</x:v>
      </x:c>
      <x:c r="M70" s="34" t="n">
        <x:v>160350</x:v>
      </x:c>
      <x:c r="N70" s="34" t="n">
        <x:v>2670000</x:v>
      </x:c>
      <x:c r="O70" s="22" t="str">
        <x:v>DESIGN_ESTIMATE</x:v>
      </x:c>
      <x:c r="P70" s="37" t="n">
        <x:f>IF(AND(M70&lt;&gt;"",N70&lt;&gt;"",O70&lt;&gt;"NOTICE_EXECUTION_CEILING"),M70/N70-1,"")</x:f>
        <x:v>-0.9399438202247191</x:v>
      </x:c>
      <x:c r="Q70" s="31" t="n">
        <x:v>3100</x:v>
      </x:c>
      <x:c r="R70" s="22" t="str">
        <x:v>GFA</x:v>
      </x:c>
      <x:c r="S70" s="22" t="str">
        <x:v>SINGLE_OR_TOTAL</x:v>
      </x:c>
      <x:c r="T70" s="34" t="n">
        <x:f>IFERROR(N70/Q70,"")</x:f>
        <x:v>861.2903225806451</x:v>
      </x:c>
      <x:c r="U70" s="22" t="str">
        <x:v>V3_CURATED_AREA_COST_RECHECK</x:v>
      </x:c>
      <x:c r="V70" s="22" t="str">
        <x:v>초기 스크리닝만</x:v>
      </x:c>
      <x:c r="W70" s="28" t="n">
        <x:v>1</x:v>
      </x:c>
      <x:c r="X70" s="28" t="n">
        <x:v>1</x:v>
      </x:c>
      <x:c r="Y70" s="28" t="n">
        <x:v>1</x:v>
      </x:c>
      <x:c r="Z70" s="28" t="n">
        <x:v>0</x:v>
      </x:c>
      <x:c r="AA70" s="28" t="n">
        <x:v>8</x:v>
      </x:c>
      <x:c r="AB70" s="28" t="n">
        <x:v>0</x:v>
      </x:c>
      <x:c r="AC70" s="28" t="n">
        <x:v>0</x:v>
      </x:c>
      <x:c r="AD70" s="28" t="n">
        <x:v>0</x:v>
      </x:c>
      <x:c r="AE70" s="28" t="n">
        <x:v>0</x:v>
      </x:c>
      <x:c r="AF70" s="25" t="str">
        <x:v>동일/제한 범위 공사금액÷면적 스크리닝 근거</x:v>
      </x:c>
      <x:c r="AG70" s="25" t="str"/>
      <x:c r="AH70" s="25" t="str">
        <x:v>L2022-00027-1/2. 입찰서류(영문)_키토혁신센터 설계_220531/1. Ecuador Bidding Guideline 20220531.docx</x:v>
      </x:c>
      <x:c r="AI70" s="25" t="str">
        <x:v>문단 57</x:v>
      </x:c>
      <x:c r="AJ70" s="25" t="str">
        <x:v>L2022-00027-1/2. 입찰서류(영문)_키토혁신센터 설계_220531/1. Ecuador Bidding Guideline 20220531.docx</x:v>
      </x:c>
      <x:c r="AK70" s="25" t="str">
        <x:v>문단 57</x:v>
      </x:c>
      <x:c r="AL70" s="25" t="str">
        <x:v>GFA 3,100㎡, 추정공사비 USD 2,670,000; 설계비율 6%.</x:v>
      </x:c>
      <x:c r="AM70" s="25" t="str">
        <x:v>https://nebid.koica.go.kr/oep/lobi/localBidManageDetail.do?P_LOAZ_BID_PBLANC_NO=L2022-00027&amp;P_PBLANC_ODR=1</x:v>
      </x:c>
    </x:row>
    <x:row r="71">
      <x:c r="A71" s="22" t="str">
        <x:v>C</x:v>
      </x:c>
      <x:c r="B71" s="22" t="str">
        <x:v>2021-00139</x:v>
      </x:c>
      <x:c r="C71" s="22" t="str">
        <x:v>L2022-00029-1</x:v>
      </x:c>
      <x:c r="D71" s="22" t="str">
        <x:v>L2022-00029</x:v>
      </x:c>
      <x:c r="E71" s="22" t="str">
        <x:v>2022-06-06</x:v>
      </x:c>
      <x:c r="F71" s="22" t="str">
        <x:v>네팔</x:v>
      </x:c>
      <x:c r="G71" s="25" t="str">
        <x:v>네팔 Province 2 지역 건설기술인력 양성을 위한 모델 폴리텍 설립사업 시공업체 선정</x:v>
      </x:c>
      <x:c r="H71" s="22" t="str">
        <x:v>공사</x:v>
      </x:c>
      <x:c r="I71" s="22" t="str">
        <x:v>WORKS</x:v>
      </x:c>
      <x:c r="J71" s="22" t="str">
        <x:v>WORKS_CEILING</x:v>
      </x:c>
      <x:c r="K71" s="22" t="str">
        <x:v>MATCH</x:v>
      </x:c>
      <x:c r="L71" s="22" t="str">
        <x:v>MATCH</x:v>
      </x:c>
      <x:c r="M71" s="34" t="n">
        <x:v>3744400</x:v>
      </x:c>
      <x:c r="N71" s="34" t="n">
        <x:v>3744400</x:v>
      </x:c>
      <x:c r="O71" s="22" t="str">
        <x:v>NOTICE_EXECUTION_CEILING</x:v>
      </x:c>
      <x:c r="P71" s="37" t="str">
        <x:f>IF(AND(M71&lt;&gt;"",N71&lt;&gt;"",O71&lt;&gt;"NOTICE_EXECUTION_CEILING"),M71/N71-1,"")</x:f>
      </x:c>
      <x:c r="Q71" s="31" t="n">
        <x:v>5640.1</x:v>
      </x:c>
      <x:c r="R71" s="22" t="str">
        <x:v>GFA</x:v>
      </x:c>
      <x:c r="S71" s="22" t="str">
        <x:v>SINGLE_OR_TOTAL</x:v>
      </x:c>
      <x:c r="T71" s="34" t="n">
        <x:f>IFERROR(N71/Q71,"")</x:f>
        <x:v>663.8889381393947</x:v>
      </x:c>
      <x:c r="U71" s="22" t="str">
        <x:v>V3_CURATED_AREA_COST_RECHECK</x:v>
      </x:c>
      <x:c r="V71" s="22" t="str">
        <x:v>초기 스크리닝만</x:v>
      </x:c>
      <x:c r="W71" s="28" t="n">
        <x:v>1</x:v>
      </x:c>
      <x:c r="X71" s="28" t="n">
        <x:v>1</x:v>
      </x:c>
      <x:c r="Y71" s="28" t="n">
        <x:v>1</x:v>
      </x:c>
      <x:c r="Z71" s="28" t="n">
        <x:v>0</x:v>
      </x:c>
      <x:c r="AA71" s="28" t="n">
        <x:v>4</x:v>
      </x:c>
      <x:c r="AB71" s="28" t="n">
        <x:v>0</x:v>
      </x:c>
      <x:c r="AC71" s="28" t="n">
        <x:v>0</x:v>
      </x:c>
      <x:c r="AD71" s="28" t="n">
        <x:v>0</x:v>
      </x:c>
      <x:c r="AE71" s="28" t="n">
        <x:v>0</x:v>
      </x:c>
      <x:c r="AF71" s="25" t="str">
        <x:v>동일/제한 범위 공사금액÷면적 스크리닝 근거</x:v>
      </x:c>
      <x:c r="AG71" s="25" t="str"/>
      <x:c r="AH71" s="25" t="str">
        <x:v>L2022-00029-1/2. 영문입찰계획서(네팔사무소 조정안)_0531.docx</x:v>
      </x:c>
      <x:c r="AI71" s="25" t="str">
        <x:v>표 1 행 4</x:v>
      </x:c>
      <x:c r="AJ71" s="25" t="str">
        <x:v>L2022-00029-1/2. 영문입찰계획서(네팔사무소 조정안)_0531.docx</x:v>
      </x:c>
      <x:c r="AK71" s="25" t="str">
        <x:v>표 1 행 4</x:v>
      </x:c>
      <x:c r="AL71" s="25" t="str">
        <x:v>총연면적 5,640.10㎡; 상세페이지 집행한도 USD 3,744,400; 건물·외부공사 포함; VAT 제외; 산출단가 USD 664/㎡.</x:v>
      </x:c>
      <x:c r="AM71" s="25" t="str">
        <x:v>https://nebid.koica.go.kr/oep/lobi/localBidManageDetail.do?P_LOAZ_BID_PBLANC_NO=L2022-00029&amp;P_PBLANC_ODR=1</x:v>
      </x:c>
    </x:row>
    <x:row r="72">
      <x:c r="A72" s="22" t="str">
        <x:v>C?</x:v>
      </x:c>
      <x:c r="B72" s="22" t="str">
        <x:v>2016-20176</x:v>
      </x:c>
      <x:c r="C72" s="22" t="str">
        <x:v>L2022-00032-1</x:v>
      </x:c>
      <x:c r="D72" s="22" t="str">
        <x:v>L2022-00032</x:v>
      </x:c>
      <x:c r="E72" s="22" t="str">
        <x:v>2022-06-29</x:v>
      </x:c>
      <x:c r="F72" s="22" t="str">
        <x:v>도미니카</x:v>
      </x:c>
      <x:c r="G72" s="25" t="str">
        <x:v>도미니카공화국 미성년자 임신방지 및 여성보건환경개선 3차사업_산후안 성보건센터 건립 시공사 선정 현지입찰</x:v>
      </x:c>
      <x:c r="H72" s="22" t="str">
        <x:v>공사</x:v>
      </x:c>
      <x:c r="I72" s="22" t="str">
        <x:v>WORKS</x:v>
      </x:c>
      <x:c r="J72" s="22" t="str">
        <x:v>WORKS_CEILING</x:v>
      </x:c>
      <x:c r="K72" s="22" t="str">
        <x:v>MATCH</x:v>
      </x:c>
      <x:c r="L72" s="22" t="str">
        <x:v>MATCH</x:v>
      </x:c>
      <x:c r="M72" s="34" t="n">
        <x:v>1507000</x:v>
      </x:c>
      <x:c r="N72" s="34" t="n">
        <x:v>1507000</x:v>
      </x:c>
      <x:c r="O72" s="22" t="str">
        <x:v>NOTICE_EXECUTION_CEILING</x:v>
      </x:c>
      <x:c r="P72" s="37" t="str">
        <x:f>IF(AND(M72&lt;&gt;"",N72&lt;&gt;"",O72&lt;&gt;"NOTICE_EXECUTION_CEILING"),M72/N72-1,"")</x:f>
      </x:c>
      <x:c r="Q72" s="31" t="n">
        <x:v>858</x:v>
      </x:c>
      <x:c r="R72" s="22" t="str">
        <x:v>GFA</x:v>
      </x:c>
      <x:c r="S72" s="22" t="str">
        <x:v>TOTAL</x:v>
      </x:c>
      <x:c r="T72" s="34" t="n">
        <x:f>IFERROR(N72/Q72,"")</x:f>
        <x:v>1756.4102564102564</x:v>
      </x:c>
      <x:c r="U72" s="22" t="str">
        <x:v>V2R_HUMAN_REVIEWED_EXTRACTION</x:v>
      </x:c>
      <x:c r="V72" s="22" t="str">
        <x:v>초기 스크리닝만</x:v>
      </x:c>
      <x:c r="W72" s="28" t="n">
        <x:v>1</x:v>
      </x:c>
      <x:c r="X72" s="28" t="n">
        <x:v>0</x:v>
      </x:c>
      <x:c r="Y72" s="28" t="n">
        <x:v>0</x:v>
      </x:c>
      <x:c r="Z72" s="28" t="n">
        <x:v>0</x:v>
      </x:c>
      <x:c r="AA72" s="28" t="n">
        <x:v>32</x:v>
      </x:c>
      <x:c r="AB72" s="28" t="n">
        <x:v>1</x:v>
      </x:c>
      <x:c r="AC72" s="28" t="n">
        <x:v>3</x:v>
      </x:c>
      <x:c r="AD72" s="28" t="n">
        <x:v>1</x:v>
      </x:c>
      <x:c r="AE72" s="28" t="n">
        <x:v>0</x:v>
      </x:c>
      <x:c r="AF72" s="25" t="str">
        <x:v>범위 일치 잠정확인; 원본 V3 확인 전 직접 사용 금지</x:v>
      </x:c>
      <x:c r="AG72" s="25" t="str"/>
      <x:c r="AH72" s="25" t="str">
        <x:v>KOICA 입찰 상세페이지</x:v>
      </x:c>
      <x:c r="AI72" s="25" t="str">
        <x:v>집행한도금액(달러)</x:v>
      </x:c>
      <x:c r="AJ72" s="25" t="str">
        <x:v>L2022-00032-1</x:v>
      </x:c>
      <x:c r="AK72" s="25" t="str">
        <x:v>문단 9·32</x:v>
      </x:c>
      <x:c r="AL72" s="25" t="str">
        <x:v>Gross floor area 858㎡; 안전관리 일반기준 1,000㎡ 제외</x:v>
      </x:c>
      <x:c r="AM72" s="25" t="str">
        <x:v>https://nebid.koica.go.kr/oep/lobi/localBidManageDetail.do?P_LOAZ_BID_PBLANC_NO=L2022-00032&amp;P_PBLANC_ODR=1</x:v>
      </x:c>
    </x:row>
    <x:row r="73">
      <x:c r="A73" s="22" t="str">
        <x:v>C?</x:v>
      </x:c>
      <x:c r="B73" s="22" t="str">
        <x:v>2020-00104</x:v>
      </x:c>
      <x:c r="C73" s="22" t="str">
        <x:v>L2022-00034-1</x:v>
      </x:c>
      <x:c r="D73" s="22" t="str">
        <x:v>L2022-00034</x:v>
      </x:c>
      <x:c r="E73" s="22" t="str">
        <x:v>2022-06-30</x:v>
      </x:c>
      <x:c r="F73" s="22" t="str">
        <x:v>파키스탄</x:v>
      </x:c>
      <x:c r="G73" s="25" t="str">
        <x:v>파키스탄 아동 및 지역 영양개선을 위한 영양교육센터 신축공사 공사입찰설명서</x:v>
      </x:c>
      <x:c r="H73" s="22" t="str">
        <x:v>용역</x:v>
      </x:c>
      <x:c r="I73" s="22" t="str">
        <x:v>WORKS</x:v>
      </x:c>
      <x:c r="J73" s="22" t="str">
        <x:v>WORKS_CEILING</x:v>
      </x:c>
      <x:c r="K73" s="22" t="str">
        <x:v>MATCH</x:v>
      </x:c>
      <x:c r="L73" s="22" t="str">
        <x:v>MATCH</x:v>
      </x:c>
      <x:c r="M73" s="34" t="n">
        <x:v>2462409</x:v>
      </x:c>
      <x:c r="N73" s="34" t="n">
        <x:v>2462409</x:v>
      </x:c>
      <x:c r="O73" s="22" t="str">
        <x:v>NOTICE_EXECUTION_CEILING</x:v>
      </x:c>
      <x:c r="P73" s="37" t="str">
        <x:f>IF(AND(M73&lt;&gt;"",N73&lt;&gt;"",O73&lt;&gt;"NOTICE_EXECUTION_CEILING"),M73/N73-1,"")</x:f>
      </x:c>
      <x:c r="Q73" s="31" t="n">
        <x:v>3046.75</x:v>
      </x:c>
      <x:c r="R73" s="22" t="str">
        <x:v>GFA</x:v>
      </x:c>
      <x:c r="S73" s="22" t="str">
        <x:v>AUTO_SELECTED_SINGLE_OR_TOTAL</x:v>
      </x:c>
      <x:c r="T73" s="34" t="n">
        <x:f>IFERROR(N73/Q73,"")</x:f>
        <x:v>808.2084188069255</x:v>
      </x:c>
      <x:c r="U73" s="22" t="str">
        <x:v>V2R_HUMAN_REVIEWED_EXTRACTION</x:v>
      </x:c>
      <x:c r="V73" s="22" t="str">
        <x:v>초기 스크리닝만</x:v>
      </x:c>
      <x:c r="W73" s="28" t="n">
        <x:v>1</x:v>
      </x:c>
      <x:c r="X73" s="28" t="n">
        <x:v>1</x:v>
      </x:c>
      <x:c r="Y73" s="28" t="n">
        <x:v>0</x:v>
      </x:c>
      <x:c r="Z73" s="28" t="n">
        <x:v>0</x:v>
      </x:c>
      <x:c r="AA73" s="28" t="n">
        <x:v>44</x:v>
      </x:c>
      <x:c r="AB73" s="28" t="n">
        <x:v>3</x:v>
      </x:c>
      <x:c r="AC73" s="28" t="n">
        <x:v>0</x:v>
      </x:c>
      <x:c r="AD73" s="28" t="n">
        <x:v>1</x:v>
      </x:c>
      <x:c r="AE73" s="28" t="n">
        <x:v>0</x:v>
      </x:c>
      <x:c r="AF73" s="25" t="str">
        <x:v>범위 일치 잠정확인; 원본 V3 확인 전 직접 사용 금지</x:v>
      </x:c>
      <x:c r="AG73" s="25" t="str">
        <x:v>DB는 용역이나 원문은 영양교육센터 신축공사</x:v>
      </x:c>
      <x:c r="AH73" s="25" t="str">
        <x:v>KOICA 입찰 상세페이지</x:v>
      </x:c>
      <x:c r="AI73" s="25" t="str">
        <x:v>집행한도금액(달러)</x:v>
      </x:c>
      <x:c r="AJ73" s="25" t="str">
        <x:v>L2022-00034-1/2. 영양교육센터 설립사업 입찰관련 서류/영문 RFP (Request for Proposal).docx</x:v>
      </x:c>
      <x:c r="AK73" s="25" t="str">
        <x:v>표 1 행 6</x:v>
      </x:c>
      <x:c r="AL73" s="25" t="str">
        <x:v>on ∙ Summary of Construction - Site Area 3,000.00 ㎡ (322,927.88sq.ft) - No. of buildings 1 main building and parking lot - Gross Floor Area 3,046.75 ㎡ (32,796 sq.ft ) - Floors 3 -storey (no basement floor) - Structure Re</x:v>
      </x:c>
      <x:c r="AM73" s="25" t="str">
        <x:v>https://nebid.koica.go.kr/oep/lobi/localBidManageDetail.do?P_LOAZ_BID_PBLANC_NO=L2022-00034&amp;P_PBLANC_ODR=1</x:v>
      </x:c>
    </x:row>
    <x:row r="74">
      <x:c r="A74" s="22" t="str">
        <x:v>X</x:v>
      </x:c>
      <x:c r="B74" s="22" t="str">
        <x:v>2016-20176</x:v>
      </x:c>
      <x:c r="C74" s="22" t="str">
        <x:v>L2022-00040-1</x:v>
      </x:c>
      <x:c r="D74" s="22" t="str">
        <x:v>L2022-00040</x:v>
      </x:c>
      <x:c r="E74" s="22" t="str">
        <x:v>2022-08-10</x:v>
      </x:c>
      <x:c r="F74" s="22" t="str">
        <x:v>도미니카</x:v>
      </x:c>
      <x:c r="G74" s="25" t="str">
        <x:v>도미니카공화국 미성년자 임신방지 및 여성보건환경개선 3차사업_산후안 성보건센터 건립 감리사 선정 현지입찰</x:v>
      </x:c>
      <x:c r="H74" s="22" t="str">
        <x:v>용역</x:v>
      </x:c>
      <x:c r="I74" s="22" t="str">
        <x:v>DESIGN_OR_SUPERVISION_SERVICE</x:v>
      </x:c>
      <x:c r="J74" s="22" t="str">
        <x:v>SERVICE_FEE_OR_MIXED</x:v>
      </x:c>
      <x:c r="K74" s="22" t="str">
        <x:v>NO_MATCH</x:v>
      </x:c>
      <x:c r="L74" s="22" t="str">
        <x:v>NO_MATCH</x:v>
      </x:c>
      <x:c r="M74" s="34" t="n">
        <x:v>105490</x:v>
      </x:c>
      <x:c r="N74" s="34"/>
      <x:c r="O74" s="22" t="str">
        <x:v>SERVICE_OR_GOODS_CEILING</x:v>
      </x:c>
      <x:c r="P74" s="37" t="str">
        <x:f>IF(AND(M74&lt;&gt;"",N74&lt;&gt;"",O74&lt;&gt;"NOTICE_EXECUTION_CEILING"),M74/N74-1,"")</x:f>
      </x:c>
      <x:c r="Q74" s="31" t="n">
        <x:v>1000</x:v>
      </x:c>
      <x:c r="R74" s="22" t="str">
        <x:v>GFA</x:v>
      </x:c>
      <x:c r="S74" s="22" t="str">
        <x:v>AUTO_SELECTED_SINGLE_OR_TOTAL</x:v>
      </x:c>
      <x:c r="T74" s="34" t="n">
        <x:f>IFERROR(N74/Q74,"")</x:f>
        <x:v>0</x:v>
      </x:c>
      <x:c r="U74" s="22" t="str">
        <x:v>V3_SCOPE_REVIEW</x:v>
      </x:c>
      <x:c r="V74" s="22" t="str">
        <x:v>계산 금지</x:v>
      </x:c>
      <x:c r="W74" s="28" t="n">
        <x:v>1</x:v>
      </x:c>
      <x:c r="X74" s="28" t="n">
        <x:v>0</x:v>
      </x:c>
      <x:c r="Y74" s="28" t="n">
        <x:v>0</x:v>
      </x:c>
      <x:c r="Z74" s="28" t="n">
        <x:v>0</x:v>
      </x:c>
      <x:c r="AA74" s="28" t="n">
        <x:v>32</x:v>
      </x:c>
      <x:c r="AB74" s="28" t="n">
        <x:v>1</x:v>
      </x:c>
      <x:c r="AC74" s="28" t="n">
        <x:v>3</x:v>
      </x:c>
      <x:c r="AD74" s="28" t="n">
        <x:v>1</x:v>
      </x:c>
      <x:c r="AE74" s="28" t="n">
        <x:v>0</x:v>
      </x:c>
      <x:c r="AF74" s="25" t="str">
        <x:v>설계·감리·기타 용역 집행한도는 건축공사비가 아님</x:v>
      </x:c>
      <x:c r="AG74" s="25" t="str"/>
      <x:c r="AH74" s="25" t="str">
        <x:v>KOICA 입찰 상세페이지</x:v>
      </x:c>
      <x:c r="AI74" s="25" t="str">
        <x:v>집행한도금액(달러)</x:v>
      </x:c>
      <x:c r="AJ74" s="25" t="str">
        <x:v>L2022-00040-1/(붙임3) 설계 및 규정참고자료(영문)/Attachment (Related Regulations)/7. KOICA Safety Management Manual.pdf</x:v>
      </x:c>
      <x:c r="AK74" s="25" t="str">
        <x:v>페이지 6</x:v>
      </x:c>
      <x:c r="AL74" s="25" t="str">
        <x:v>ruction Technology Promotion Act. 1) Projects containing constructions with a budget of USD 1 million or more or with a gross floor area of 1,000 m² or more 2) Construction projects other than those in Paragraph 1 abov</x:v>
      </x:c>
      <x:c r="AM74" s="25" t="str">
        <x:v>https://nebid.koica.go.kr/oep/lobi/localBidManageDetail.do?P_LOAZ_BID_PBLANC_NO=L2022-00040&amp;P_PBLANC_ODR=1</x:v>
      </x:c>
    </x:row>
    <x:row r="75">
      <x:c r="A75" s="22" t="str">
        <x:v>C?</x:v>
      </x:c>
      <x:c r="B75" s="22" t="str">
        <x:v>2016-20150</x:v>
      </x:c>
      <x:c r="C75" s="22" t="str">
        <x:v>L2022-00042-1</x:v>
      </x:c>
      <x:c r="D75" s="22" t="str">
        <x:v>L2022-00042</x:v>
      </x:c>
      <x:c r="E75" s="22" t="str">
        <x:v>2022-08-19</x:v>
      </x:c>
      <x:c r="F75" s="22" t="str">
        <x:v>필리핀</x:v>
      </x:c>
      <x:c r="G75" s="25" t="str">
        <x:v>필리핀 퀴리노주 농촌종합개발 2차사업 잔여공사 시공사 선정</x:v>
      </x:c>
      <x:c r="H75" s="22" t="str">
        <x:v>공사</x:v>
      </x:c>
      <x:c r="I75" s="22" t="str">
        <x:v>WORKS</x:v>
      </x:c>
      <x:c r="J75" s="22" t="str">
        <x:v>WORKS_CEILING</x:v>
      </x:c>
      <x:c r="K75" s="22" t="str">
        <x:v>MATCH</x:v>
      </x:c>
      <x:c r="L75" s="22" t="str">
        <x:v>MATCH</x:v>
      </x:c>
      <x:c r="M75" s="34" t="n">
        <x:v>1406000</x:v>
      </x:c>
      <x:c r="N75" s="34" t="n">
        <x:v>1406000</x:v>
      </x:c>
      <x:c r="O75" s="22" t="str">
        <x:v>NOTICE_EXECUTION_CEILING</x:v>
      </x:c>
      <x:c r="P75" s="37" t="str">
        <x:f>IF(AND(M75&lt;&gt;"",N75&lt;&gt;"",O75&lt;&gt;"NOTICE_EXECUTION_CEILING"),M75/N75-1,"")</x:f>
      </x:c>
      <x:c r="Q75" s="31" t="n">
        <x:v>6635</x:v>
      </x:c>
      <x:c r="R75" s="22" t="str">
        <x:v>GFA</x:v>
      </x:c>
      <x:c r="S75" s="22" t="str">
        <x:v>AUTO_SELECTED_SINGLE_OR_TOTAL</x:v>
      </x:c>
      <x:c r="T75" s="34" t="n">
        <x:f>IFERROR(N75/Q75,"")</x:f>
        <x:v>211.90655614167295</x:v>
      </x:c>
      <x:c r="U75" s="22" t="str">
        <x:v>V2R_HUMAN_REVIEWED_EXTRACTION</x:v>
      </x:c>
      <x:c r="V75" s="22" t="str">
        <x:v>초기 스크리닝만</x:v>
      </x:c>
      <x:c r="W75" s="28" t="n">
        <x:v>1</x:v>
      </x:c>
      <x:c r="X75" s="28" t="n">
        <x:v>0</x:v>
      </x:c>
      <x:c r="Y75" s="28" t="n">
        <x:v>0</x:v>
      </x:c>
      <x:c r="Z75" s="28" t="n">
        <x:v>0</x:v>
      </x:c>
      <x:c r="AA75" s="28" t="n">
        <x:v>1</x:v>
      </x:c>
      <x:c r="AB75" s="28" t="n">
        <x:v>0</x:v>
      </x:c>
      <x:c r="AC75" s="28" t="n">
        <x:v>0</x:v>
      </x:c>
      <x:c r="AD75" s="28" t="n">
        <x:v>0</x:v>
      </x:c>
      <x:c r="AE75" s="28" t="n">
        <x:v>0</x:v>
      </x:c>
      <x:c r="AF75" s="25" t="str">
        <x:v>범위 일치 잠정확인; 원본 V3 확인 전 직접 사용 금지</x:v>
      </x:c>
      <x:c r="AG75" s="25" t="str"/>
      <x:c r="AH75" s="25" t="str">
        <x:v>KOICA 입찰 상세페이지</x:v>
      </x:c>
      <x:c r="AI75" s="25" t="str">
        <x:v>집행한도금액(달러)</x:v>
      </x:c>
      <x:c r="AJ75" s="25" t="str">
        <x:v>L2022-00042-1/1.1 잔여공사 입찰계획서_QIRDP_220817_v2.docx</x:v>
      </x:c>
      <x:c r="AK75" s="25" t="str">
        <x:v>표 3 행 4</x:v>
      </x:c>
      <x:c r="AL75" s="25" t="str">
        <x:v>공사 규모 | - C attle Breeding Center 및 Q-Life Center - 동수: 6 개동 - 연면적: 6,6 3 5㎡ ① 축사: 3, 024 (1 층 , 2 개동 ) ② 축사 관리동: 820 ㎡ (2층) ③ 축사동 사료 창고: 660 ㎡ (1</x:v>
      </x:c>
      <x:c r="AM75" s="25" t="str">
        <x:v>https://nebid.koica.go.kr/oep/lobi/localBidManageDetail.do?P_LOAZ_BID_PBLANC_NO=L2022-00042&amp;P_PBLANC_ODR=1</x:v>
      </x:c>
    </x:row>
    <x:row r="76">
      <x:c r="A76" s="22" t="str">
        <x:v>C</x:v>
      </x:c>
      <x:c r="B76" s="22" t="str">
        <x:v>2020-00113</x:v>
      </x:c>
      <x:c r="C76" s="22" t="str">
        <x:v>L2022-00043-1</x:v>
      </x:c>
      <x:c r="D76" s="22" t="str">
        <x:v>L2022-00043</x:v>
      </x:c>
      <x:c r="E76" s="22" t="str">
        <x:v>2022-09-01</x:v>
      </x:c>
      <x:c r="F76" s="22" t="str">
        <x:v>방글라데시</x:v>
      </x:c>
      <x:c r="G76" s="25" t="str">
        <x:v>방글라데시 사이버안전을 위한 디지털수사역량 확산사업 챠토그램 사이버경찰센터 시공</x:v>
      </x:c>
      <x:c r="H76" s="22" t="str">
        <x:v>공사</x:v>
      </x:c>
      <x:c r="I76" s="22" t="str">
        <x:v>WORKS</x:v>
      </x:c>
      <x:c r="J76" s="22" t="str">
        <x:v>WORKS_CEILING</x:v>
      </x:c>
      <x:c r="K76" s="22" t="str">
        <x:v>MATCH</x:v>
      </x:c>
      <x:c r="L76" s="22" t="str">
        <x:v>MATCH</x:v>
      </x:c>
      <x:c r="M76" s="34" t="n">
        <x:v>1575000</x:v>
      </x:c>
      <x:c r="N76" s="34" t="n">
        <x:v>1575000</x:v>
      </x:c>
      <x:c r="O76" s="22" t="str">
        <x:v>NOTICE_EXECUTION_CEILING</x:v>
      </x:c>
      <x:c r="P76" s="37" t="str">
        <x:f>IF(AND(M76&lt;&gt;"",N76&lt;&gt;"",O76&lt;&gt;"NOTICE_EXECUTION_CEILING"),M76/N76-1,"")</x:f>
      </x:c>
      <x:c r="Q76" s="31" t="n">
        <x:v>2194</x:v>
      </x:c>
      <x:c r="R76" s="22" t="str">
        <x:v>GFA</x:v>
      </x:c>
      <x:c r="S76" s="22" t="str">
        <x:v>SINGLE_OR_TOTAL</x:v>
      </x:c>
      <x:c r="T76" s="34" t="n">
        <x:f>IFERROR(N76/Q76,"")</x:f>
        <x:v>717.8669097538742</x:v>
      </x:c>
      <x:c r="U76" s="22" t="str">
        <x:v>V3_CURATED_AREA_COST_RECHECK</x:v>
      </x:c>
      <x:c r="V76" s="22" t="str">
        <x:v>초기 스크리닝만</x:v>
      </x:c>
      <x:c r="W76" s="28" t="n">
        <x:v>1</x:v>
      </x:c>
      <x:c r="X76" s="28" t="n">
        <x:v>1</x:v>
      </x:c>
      <x:c r="Y76" s="28" t="n">
        <x:v>1</x:v>
      </x:c>
      <x:c r="Z76" s="28" t="n">
        <x:v>0</x:v>
      </x:c>
      <x:c r="AA76" s="28" t="n">
        <x:v>1</x:v>
      </x:c>
      <x:c r="AB76" s="28" t="n">
        <x:v>0</x:v>
      </x:c>
      <x:c r="AC76" s="28" t="n">
        <x:v>0</x:v>
      </x:c>
      <x:c r="AD76" s="28" t="n">
        <x:v>0</x:v>
      </x:c>
      <x:c r="AE76" s="28" t="n">
        <x:v>0</x:v>
      </x:c>
      <x:c r="AF76" s="25" t="str">
        <x:v>동일/제한 범위 공사금액÷면적 스크리닝 근거</x:v>
      </x:c>
      <x:c r="AG76" s="25" t="str"/>
      <x:c r="AH76" s="25" t="str">
        <x:v>L2022-00043-1/붙임. 사이버안전을 위한 디지털 수사 역량 확산 사업 사이버 경찰센터 시공 입.doc</x:v>
      </x:c>
      <x:c r="AI76" s="25" t="str">
        <x:v>문단 3</x:v>
      </x:c>
      <x:c r="AJ76" s="25" t="str">
        <x:v>L2022-00043-1/붙임. 사이버안전을 위한 디지털 수사 역량 확산 사업 사이버 경찰센터 시공 입.doc</x:v>
      </x:c>
      <x:c r="AK76" s="25" t="str">
        <x:v>문단 3</x:v>
      </x:c>
      <x:c r="AL76" s="25" t="str">
        <x:v>총연면적 2,194.00㎡; 상세페이지 집행한도 USD 1,575,000; 산출단가 USD 718/㎡.</x:v>
      </x:c>
      <x:c r="AM76" s="25" t="str">
        <x:v>https://nebid.koica.go.kr/oep/lobi/localBidManageDetail.do?P_LOAZ_BID_PBLANC_NO=L2022-00043&amp;P_PBLANC_ODR=1</x:v>
      </x:c>
    </x:row>
    <x:row r="77">
      <x:c r="A77" s="22" t="str">
        <x:v>C</x:v>
      </x:c>
      <x:c r="B77" s="22" t="str">
        <x:v>2016-20176</x:v>
      </x:c>
      <x:c r="C77" s="22" t="str">
        <x:v>L2022-00046-1</x:v>
      </x:c>
      <x:c r="D77" s="22" t="str">
        <x:v>L2022-00046</x:v>
      </x:c>
      <x:c r="E77" s="22" t="str">
        <x:v>2022-09-13</x:v>
      </x:c>
      <x:c r="F77" s="22" t="str">
        <x:v>도미니카</x:v>
      </x:c>
      <x:c r="G77" s="25" t="str">
        <x:v>도미니카공화국 미성년자 임신방지 및 여성보건환경개선 3차사업_산후안 성보건센터 건립 시공사 선정 현지입찰</x:v>
      </x:c>
      <x:c r="H77" s="22" t="str">
        <x:v>공사</x:v>
      </x:c>
      <x:c r="I77" s="22" t="str">
        <x:v>WORKS</x:v>
      </x:c>
      <x:c r="J77" s="22" t="str">
        <x:v>WORKS_CEILING</x:v>
      </x:c>
      <x:c r="K77" s="22" t="str">
        <x:v>MATCH</x:v>
      </x:c>
      <x:c r="L77" s="22" t="str">
        <x:v>MATCH</x:v>
      </x:c>
      <x:c r="M77" s="34" t="n">
        <x:v>1507000</x:v>
      </x:c>
      <x:c r="N77" s="34" t="n">
        <x:v>1507000</x:v>
      </x:c>
      <x:c r="O77" s="22" t="str">
        <x:v>NOTICE_EXECUTION_CEILING</x:v>
      </x:c>
      <x:c r="P77" s="37" t="str">
        <x:f>IF(AND(M77&lt;&gt;"",N77&lt;&gt;"",O77&lt;&gt;"NOTICE_EXECUTION_CEILING"),M77/N77-1,"")</x:f>
      </x:c>
      <x:c r="Q77" s="31" t="n">
        <x:v>858</x:v>
      </x:c>
      <x:c r="R77" s="22" t="str">
        <x:v>GFA</x:v>
      </x:c>
      <x:c r="S77" s="22" t="str">
        <x:v>SINGLE_OR_TOTAL</x:v>
      </x:c>
      <x:c r="T77" s="34" t="n">
        <x:f>IFERROR(N77/Q77,"")</x:f>
        <x:v>1756.4102564102564</x:v>
      </x:c>
      <x:c r="U77" s="22" t="str">
        <x:v>V3_CURATED_AREA_COST_RECHECK</x:v>
      </x:c>
      <x:c r="V77" s="22" t="str">
        <x:v>초기 스크리닝만</x:v>
      </x:c>
      <x:c r="W77" s="28" t="n">
        <x:v>1</x:v>
      </x:c>
      <x:c r="X77" s="28" t="n">
        <x:v>1</x:v>
      </x:c>
      <x:c r="Y77" s="28" t="n">
        <x:v>1</x:v>
      </x:c>
      <x:c r="Z77" s="28" t="n">
        <x:v>0</x:v>
      </x:c>
      <x:c r="AA77" s="28" t="n">
        <x:v>8</x:v>
      </x:c>
      <x:c r="AB77" s="28" t="n">
        <x:v>0</x:v>
      </x:c>
      <x:c r="AC77" s="28" t="n">
        <x:v>0</x:v>
      </x:c>
      <x:c r="AD77" s="28" t="n">
        <x:v>0</x:v>
      </x:c>
      <x:c r="AE77" s="28" t="n">
        <x:v>0</x:v>
      </x:c>
      <x:c r="AF77" s="25" t="str">
        <x:v>동일/제한 범위 공사금액÷면적 스크리닝 근거</x:v>
      </x:c>
      <x:c r="AG77" s="25" t="str"/>
      <x:c r="AH77" s="25" t="str">
        <x:v>L2022-00046-1/(붙임2) 입찰안내서(영문)_최종/Section I_Bidding Guideline for Procurement of Contractor.docx</x:v>
      </x:c>
      <x:c r="AI77" s="25" t="str">
        <x:v>문단 57</x:v>
      </x:c>
      <x:c r="AJ77" s="25" t="str">
        <x:v>L2022-00046-1/(붙임2) 입찰안내서(영문)_최종/Section I_Bidding Guideline for Procurement of Contractor.docx</x:v>
      </x:c>
      <x:c r="AK77" s="25" t="str">
        <x:v>문단 57</x:v>
      </x:c>
      <x:c r="AL77" s="25" t="str">
        <x:v>총연면적 858.00㎡; 상세페이지 집행한도 USD 1,507,000; 산출단가 USD 1,756/㎡.</x:v>
      </x:c>
      <x:c r="AM77" s="25" t="str">
        <x:v>https://nebid.koica.go.kr/oep/lobi/localBidManageDetail.do?P_LOAZ_BID_PBLANC_NO=L2022-00046&amp;P_PBLANC_ODR=1</x:v>
      </x:c>
    </x:row>
    <x:row r="78">
      <x:c r="A78" s="22" t="str">
        <x:v>C</x:v>
      </x:c>
      <x:c r="B78" s="22" t="str">
        <x:v>2019-00015</x:v>
      </x:c>
      <x:c r="C78" s="22" t="str">
        <x:v>L2022-00055-1</x:v>
      </x:c>
      <x:c r="D78" s="22" t="str">
        <x:v>L2022-00055</x:v>
      </x:c>
      <x:c r="E78" s="22" t="str">
        <x:v>2022-09-22</x:v>
      </x:c>
      <x:c r="F78" s="22" t="str">
        <x:v>키르기즈</x:v>
      </x:c>
      <x:c r="G78" s="25" t="str">
        <x:v>키르기즈공화국 유기농업정책 이행지원 및 역량강화 사업 약초건조장 신축공사 시공업체 선정 현지입찰</x:v>
      </x:c>
      <x:c r="H78" s="22" t="str">
        <x:v>공사</x:v>
      </x:c>
      <x:c r="I78" s="22" t="str">
        <x:v>WORKS</x:v>
      </x:c>
      <x:c r="J78" s="22" t="str">
        <x:v>WORKS_CEILING</x:v>
      </x:c>
      <x:c r="K78" s="22" t="str">
        <x:v>MATCH</x:v>
      </x:c>
      <x:c r="L78" s="22" t="str">
        <x:v>MATCH</x:v>
      </x:c>
      <x:c r="M78" s="34" t="n">
        <x:v>420285</x:v>
      </x:c>
      <x:c r="N78" s="34" t="n">
        <x:v>420285</x:v>
      </x:c>
      <x:c r="O78" s="22" t="str">
        <x:v>NOTICE_EXECUTION_CEILING</x:v>
      </x:c>
      <x:c r="P78" s="37" t="str">
        <x:f>IF(AND(M78&lt;&gt;"",N78&lt;&gt;"",O78&lt;&gt;"NOTICE_EXECUTION_CEILING"),M78/N78-1,"")</x:f>
      </x:c>
      <x:c r="Q78" s="31" t="n">
        <x:v>449.72</x:v>
      </x:c>
      <x:c r="R78" s="22" t="str">
        <x:v>GFA</x:v>
      </x:c>
      <x:c r="S78" s="22" t="str">
        <x:v>SINGLE_OR_TOTAL</x:v>
      </x:c>
      <x:c r="T78" s="34" t="n">
        <x:f>IFERROR(N78/Q78,"")</x:f>
        <x:v>934.5481633016099</x:v>
      </x:c>
      <x:c r="U78" s="22" t="str">
        <x:v>V3_CURATED_AREA_COST_RECHECK</x:v>
      </x:c>
      <x:c r="V78" s="22" t="str">
        <x:v>초기 스크리닝만</x:v>
      </x:c>
      <x:c r="W78" s="28" t="n">
        <x:v>1</x:v>
      </x:c>
      <x:c r="X78" s="28" t="n">
        <x:v>0</x:v>
      </x:c>
      <x:c r="Y78" s="28" t="n">
        <x:v>1</x:v>
      </x:c>
      <x:c r="Z78" s="28" t="n">
        <x:v>0</x:v>
      </x:c>
      <x:c r="AA78" s="28" t="n">
        <x:v>17</x:v>
      </x:c>
      <x:c r="AB78" s="28" t="n">
        <x:v>0</x:v>
      </x:c>
      <x:c r="AC78" s="28" t="n">
        <x:v>0</x:v>
      </x:c>
      <x:c r="AD78" s="28" t="n">
        <x:v>0</x:v>
      </x:c>
      <x:c r="AE78" s="28" t="n">
        <x:v>0</x:v>
      </x:c>
      <x:c r="AF78" s="25" t="str">
        <x:v>동일/제한 범위 공사금액÷면적 스크리닝 근거</x:v>
      </x:c>
      <x:c r="AG78" s="25" t="str"/>
      <x:c r="AH78" s="25" t="str">
        <x:v>L2022-00055-1/(붙임1) 키르기즈 약초건조장 신축공사 현지 입찰 계획서(안) 국문_v4_0914_추가수정.hwp</x:v>
      </x:c>
      <x:c r="AI78" s="25" t="str">
        <x:v>문단 103</x:v>
      </x:c>
      <x:c r="AJ78" s="25" t="str">
        <x:v>L2022-00055-1/(붙임1) 키르기즈 약초건조장 신축공사 현지 입찰 계획서(안) 국문_v4_0914_추가수정.hwp</x:v>
      </x:c>
      <x:c r="AK78" s="25" t="str">
        <x:v>문단 103</x:v>
      </x:c>
      <x:c r="AL78" s="25" t="str">
        <x:v>총연면적 449.72㎡; 상세페이지 집행한도 USD 420,285; 산출단가 USD 935/㎡.</x:v>
      </x:c>
      <x:c r="AM78" s="25" t="str">
        <x:v>https://nebid.koica.go.kr/oep/lobi/localBidManageDetail.do?P_LOAZ_BID_PBLANC_NO=L2022-00055&amp;P_PBLANC_ODR=1</x:v>
      </x:c>
    </x:row>
    <x:row r="79">
      <x:c r="A79" s="22" t="str">
        <x:v>X</x:v>
      </x:c>
      <x:c r="B79" s="22" t="str">
        <x:v>2020-00070</x:v>
      </x:c>
      <x:c r="C79" s="22" t="str">
        <x:v>L2022-00059-1</x:v>
      </x:c>
      <x:c r="D79" s="22" t="str">
        <x:v>L2022-00059</x:v>
      </x:c>
      <x:c r="E79" s="22" t="str">
        <x:v>2022-10-04</x:v>
      </x:c>
      <x:c r="F79" s="22" t="str">
        <x:v>도미니카</x:v>
      </x:c>
      <x:c r="G79" s="25" t="str">
        <x:v>도미니카(공) 여성 중심 취약계층 사회경제적 역량강화사업 - 하이나 및 몬테크리스티 직업훈련센터 설계용역 입찰</x:v>
      </x:c>
      <x:c r="H79" s="22" t="str">
        <x:v>용역</x:v>
      </x:c>
      <x:c r="I79" s="22" t="str">
        <x:v>DESIGN_OR_SUPERVISION_SERVICE</x:v>
      </x:c>
      <x:c r="J79" s="22" t="str">
        <x:v>SERVICE_FEE_OR_MIXED</x:v>
      </x:c>
      <x:c r="K79" s="22" t="str">
        <x:v>NO_MATCH</x:v>
      </x:c>
      <x:c r="L79" s="22" t="str">
        <x:v>NO_MATCH</x:v>
      </x:c>
      <x:c r="M79" s="34" t="n">
        <x:v>117460</x:v>
      </x:c>
      <x:c r="N79" s="34"/>
      <x:c r="O79" s="22" t="str">
        <x:v>SERVICE_OR_GOODS_CEILING</x:v>
      </x:c>
      <x:c r="P79" s="37" t="str">
        <x:f>IF(AND(M79&lt;&gt;"",N79&lt;&gt;"",O79&lt;&gt;"NOTICE_EXECUTION_CEILING"),M79/N79-1,"")</x:f>
      </x:c>
      <x:c r="Q79" s="31" t="n">
        <x:v>920</x:v>
      </x:c>
      <x:c r="R79" s="22" t="str">
        <x:v>GFA</x:v>
      </x:c>
      <x:c r="S79" s="22" t="str">
        <x:v>AUTO_SELECTED_SINGLE_OR_TOTAL</x:v>
      </x:c>
      <x:c r="T79" s="34" t="n">
        <x:f>IFERROR(N79/Q79,"")</x:f>
        <x:v>0</x:v>
      </x:c>
      <x:c r="U79" s="22" t="str">
        <x:v>V3_SCOPE_REVIEW</x:v>
      </x:c>
      <x:c r="V79" s="22" t="str">
        <x:v>계산 금지</x:v>
      </x:c>
      <x:c r="W79" s="28" t="n">
        <x:v>1</x:v>
      </x:c>
      <x:c r="X79" s="28" t="n">
        <x:v>0</x:v>
      </x:c>
      <x:c r="Y79" s="28" t="n">
        <x:v>0</x:v>
      </x:c>
      <x:c r="Z79" s="28" t="n">
        <x:v>0</x:v>
      </x:c>
      <x:c r="AA79" s="28" t="n">
        <x:v>11</x:v>
      </x:c>
      <x:c r="AB79" s="28" t="n">
        <x:v>0</x:v>
      </x:c>
      <x:c r="AC79" s="28" t="n">
        <x:v>0</x:v>
      </x:c>
      <x:c r="AD79" s="28" t="n">
        <x:v>0</x:v>
      </x:c>
      <x:c r="AE79" s="28" t="n">
        <x:v>0</x:v>
      </x:c>
      <x:c r="AF79" s="25" t="str">
        <x:v>설계·감리·기타 용역 집행한도는 건축공사비가 아님</x:v>
      </x:c>
      <x:c r="AG79" s="25" t="str"/>
      <x:c r="AH79" s="25" t="str">
        <x:v>KOICA 입찰 상세페이지</x:v>
      </x:c>
      <x:c r="AI79" s="25" t="str">
        <x:v>집행한도금액(달러)</x:v>
      </x:c>
      <x:c r="AJ79" s="25" t="str">
        <x:v>L2022-00059-1/입찰설명서(국문).hwp</x:v>
      </x:c>
      <x:c r="AK79" s="25" t="str">
        <x:v>문단 108</x:v>
      </x:c>
      <x:c r="AL79" s="25" t="str">
        <x:v>ㅇ 계획 연면적 : 920㎡(±5% 이내 조정 가능)</x:v>
      </x:c>
      <x:c r="AM79" s="25" t="str">
        <x:v>https://nebid.koica.go.kr/oep/lobi/localBidManageDetail.do?P_LOAZ_BID_PBLANC_NO=L2022-00059&amp;P_PBLANC_ODR=1</x:v>
      </x:c>
    </x:row>
    <x:row r="80">
      <x:c r="A80" s="22" t="str">
        <x:v>X</x:v>
      </x:c>
      <x:c r="B80" s="22" t="str">
        <x:v>2016-20176</x:v>
      </x:c>
      <x:c r="C80" s="22" t="str">
        <x:v>L2022-00060-1</x:v>
      </x:c>
      <x:c r="D80" s="22" t="str">
        <x:v>L2022-00060</x:v>
      </x:c>
      <x:c r="E80" s="22" t="str">
        <x:v>2022-10-10</x:v>
      </x:c>
      <x:c r="F80" s="22" t="str">
        <x:v>도미니카</x:v>
      </x:c>
      <x:c r="G80" s="25" t="str">
        <x:v>도미니카공화국 미성년자 임신방지 및 여성보건환경개선 3차사업_산후안 성보건센터 건립 감리사 선정 현지입찰</x:v>
      </x:c>
      <x:c r="H80" s="22" t="str">
        <x:v>용역</x:v>
      </x:c>
      <x:c r="I80" s="22" t="str">
        <x:v>DESIGN_OR_SUPERVISION_SERVICE</x:v>
      </x:c>
      <x:c r="J80" s="22" t="str">
        <x:v>SERVICE_FEE_OR_MIXED</x:v>
      </x:c>
      <x:c r="K80" s="22" t="str">
        <x:v>NO_MATCH</x:v>
      </x:c>
      <x:c r="L80" s="22" t="str">
        <x:v>NO_MATCH</x:v>
      </x:c>
      <x:c r="M80" s="34" t="n">
        <x:v>105490</x:v>
      </x:c>
      <x:c r="N80" s="34"/>
      <x:c r="O80" s="22" t="str">
        <x:v>SERVICE_OR_GOODS_CEILING</x:v>
      </x:c>
      <x:c r="P80" s="37" t="str">
        <x:f>IF(AND(M80&lt;&gt;"",N80&lt;&gt;"",O80&lt;&gt;"NOTICE_EXECUTION_CEILING"),M80/N80-1,"")</x:f>
      </x:c>
      <x:c r="Q80" s="31" t="n">
        <x:v>858</x:v>
      </x:c>
      <x:c r="R80" s="22" t="str">
        <x:v>GFA</x:v>
      </x:c>
      <x:c r="S80" s="22" t="str">
        <x:v>AUTO_SELECTED_SINGLE_OR_TOTAL</x:v>
      </x:c>
      <x:c r="T80" s="34" t="n">
        <x:f>IFERROR(N80/Q80,"")</x:f>
        <x:v>0</x:v>
      </x:c>
      <x:c r="U80" s="22" t="str">
        <x:v>V3_SCOPE_REVIEW</x:v>
      </x:c>
      <x:c r="V80" s="22" t="str">
        <x:v>계산 금지</x:v>
      </x:c>
      <x:c r="W80" s="28" t="n">
        <x:v>1</x:v>
      </x:c>
      <x:c r="X80" s="28" t="n">
        <x:v>0</x:v>
      </x:c>
      <x:c r="Y80" s="28" t="n">
        <x:v>0</x:v>
      </x:c>
      <x:c r="Z80" s="28" t="n">
        <x:v>0</x:v>
      </x:c>
      <x:c r="AA80" s="28" t="n">
        <x:v>8</x:v>
      </x:c>
      <x:c r="AB80" s="28" t="n">
        <x:v>0</x:v>
      </x:c>
      <x:c r="AC80" s="28" t="n">
        <x:v>0</x:v>
      </x:c>
      <x:c r="AD80" s="28" t="n">
        <x:v>0</x:v>
      </x:c>
      <x:c r="AE80" s="28" t="n">
        <x:v>0</x:v>
      </x:c>
      <x:c r="AF80" s="25" t="str">
        <x:v>설계·감리·기타 용역 집행한도는 건축공사비가 아님</x:v>
      </x:c>
      <x:c r="AG80" s="25" t="str"/>
      <x:c r="AH80" s="25" t="str">
        <x:v>KOICA 입찰 상세페이지</x:v>
      </x:c>
      <x:c r="AI80" s="25" t="str">
        <x:v>집행한도금액(달러)</x:v>
      </x:c>
      <x:c r="AJ80" s="25" t="str">
        <x:v>L2022-00060-1/(붙임4) 감리 입찰계획서(국문).hwp</x:v>
      </x:c>
      <x:c r="AK80" s="25" t="str">
        <x:v>문단 62</x:v>
      </x:c>
      <x:c r="AL80" s="25" t="str">
        <x:v>ㅇ 연면적 : 858㎡</x:v>
      </x:c>
      <x:c r="AM80" s="25" t="str">
        <x:v>https://nebid.koica.go.kr/oep/lobi/localBidManageDetail.do?P_LOAZ_BID_PBLANC_NO=L2022-00060&amp;P_PBLANC_ODR=1</x:v>
      </x:c>
    </x:row>
    <x:row r="81">
      <x:c r="A81" s="22" t="str">
        <x:v>C?</x:v>
      </x:c>
      <x:c r="B81" s="22" t="str">
        <x:v>2020-00053</x:v>
      </x:c>
      <x:c r="C81" s="22" t="str">
        <x:v>L2022-00068-1</x:v>
      </x:c>
      <x:c r="D81" s="22" t="str">
        <x:v>L2022-00068</x:v>
      </x:c>
      <x:c r="E81" s="22" t="str">
        <x:v>2022-11-25</x:v>
      </x:c>
      <x:c r="F81" s="22" t="str">
        <x:v>에티오피아</x:v>
      </x:c>
      <x:c r="G81" s="25" t="str">
        <x:v>에티오피아 양질의 일자리 창출을 위한 ICT기반의 창업 및 중소기업(SME)육성 지원사업 ICT 센터 리모델링 공사</x:v>
      </x:c>
      <x:c r="H81" s="22" t="str">
        <x:v>공사</x:v>
      </x:c>
      <x:c r="I81" s="22" t="str">
        <x:v>WORKS</x:v>
      </x:c>
      <x:c r="J81" s="22" t="str">
        <x:v>WORKS_CEILING</x:v>
      </x:c>
      <x:c r="K81" s="22" t="str">
        <x:v>MATCH</x:v>
      </x:c>
      <x:c r="L81" s="22" t="str">
        <x:v>MATCH</x:v>
      </x:c>
      <x:c r="M81" s="34" t="n">
        <x:v>704431</x:v>
      </x:c>
      <x:c r="N81" s="34" t="n">
        <x:v>704431</x:v>
      </x:c>
      <x:c r="O81" s="22" t="str">
        <x:v>NOTICE_EXECUTION_CEILING</x:v>
      </x:c>
      <x:c r="P81" s="37" t="str">
        <x:f>IF(AND(M81&lt;&gt;"",N81&lt;&gt;"",O81&lt;&gt;"NOTICE_EXECUTION_CEILING"),M81/N81-1,"")</x:f>
      </x:c>
      <x:c r="Q81" s="31" t="n">
        <x:v>2443</x:v>
      </x:c>
      <x:c r="R81" s="22" t="str">
        <x:v>RENOVATION_FLOOR_AREA</x:v>
      </x:c>
      <x:c r="S81" s="22" t="str">
        <x:v>SUM_2_FLOORS</x:v>
      </x:c>
      <x:c r="T81" s="34" t="n">
        <x:f>IFERROR(N81/Q81,"")</x:f>
        <x:v>288.3467048710602</x:v>
      </x:c>
      <x:c r="U81" s="22" t="str">
        <x:v>V2R_HUMAN_REVIEWED_EXTRACTION</x:v>
      </x:c>
      <x:c r="V81" s="22" t="str">
        <x:v>초기 스크리닝만</x:v>
      </x:c>
      <x:c r="W81" s="28" t="n">
        <x:v>1</x:v>
      </x:c>
      <x:c r="X81" s="28" t="n">
        <x:v>0</x:v>
      </x:c>
      <x:c r="Y81" s="28" t="n">
        <x:v>0</x:v>
      </x:c>
      <x:c r="Z81" s="28" t="n">
        <x:v>0</x:v>
      </x:c>
      <x:c r="AA81" s="28" t="n">
        <x:v>35</x:v>
      </x:c>
      <x:c r="AB81" s="28" t="n">
        <x:v>2</x:v>
      </x:c>
      <x:c r="AC81" s="28" t="n">
        <x:v>2</x:v>
      </x:c>
      <x:c r="AD81" s="28" t="n">
        <x:v>1</x:v>
      </x:c>
      <x:c r="AE81" s="28" t="n">
        <x:v>0</x:v>
      </x:c>
      <x:c r="AF81" s="25" t="str">
        <x:v>범위 일치 잠정확인; 원본 V3 확인 전 직접 사용 금지</x:v>
      </x:c>
      <x:c r="AG81" s="25" t="str"/>
      <x:c r="AH81" s="25" t="str">
        <x:v>KOICA 입찰 상세페이지</x:v>
      </x:c>
      <x:c r="AI81" s="25" t="str">
        <x:v>집행한도금액(달러)</x:v>
      </x:c>
      <x:c r="AJ81" s="25" t="str">
        <x:v>L2022-00068-1/붙임 1. 입찰 계획서.hwp</x:v>
      </x:c>
      <x:c r="AK81" s="25" t="str">
        <x:v>문단 115·117</x:v>
      </x:c>
      <x:c r="AL81" s="25" t="str">
        <x:v>1층 1,246㎡ + 2층 1,197㎡; 안전관리 일반기준 1,000㎡ 제외</x:v>
      </x:c>
      <x:c r="AM81" s="25" t="str">
        <x:v>https://nebid.koica.go.kr/oep/lobi/localBidManageDetail.do?P_LOAZ_BID_PBLANC_NO=L2022-00068&amp;P_PBLANC_ODR=1</x:v>
      </x:c>
    </x:row>
    <x:row r="82">
      <x:c r="A82" s="22" t="str">
        <x:v>X</x:v>
      </x:c>
      <x:c r="B82" s="22" t="str">
        <x:v>2021-00064</x:v>
      </x:c>
      <x:c r="C82" s="22" t="str">
        <x:v>L2023-00021-1</x:v>
      </x:c>
      <x:c r="D82" s="22" t="str">
        <x:v>L2023-00021</x:v>
      </x:c>
      <x:c r="E82" s="22" t="str">
        <x:v>2023-02-06</x:v>
      </x:c>
      <x:c r="F82" s="22" t="str">
        <x:v>파라과이</x:v>
      </x:c>
      <x:c r="G82" s="25" t="str">
        <x:v>파라과이 멀티미디어 교육지원센터 설립을 통한 교육접근성 향상사업(설계 용역 입찰)</x:v>
      </x:c>
      <x:c r="H82" s="22" t="str">
        <x:v>용역</x:v>
      </x:c>
      <x:c r="I82" s="22" t="str">
        <x:v>DESIGN_OR_SUPERVISION_SERVICE</x:v>
      </x:c>
      <x:c r="J82" s="22" t="str">
        <x:v>SERVICE_FEE_OR_MIXED</x:v>
      </x:c>
      <x:c r="K82" s="22" t="str">
        <x:v>NO_MATCH</x:v>
      </x:c>
      <x:c r="L82" s="22" t="str">
        <x:v>NO_MATCH</x:v>
      </x:c>
      <x:c r="M82" s="34" t="n">
        <x:v>88000</x:v>
      </x:c>
      <x:c r="N82" s="34"/>
      <x:c r="O82" s="22" t="str">
        <x:v>SERVICE_OR_GOODS_CEILING</x:v>
      </x:c>
      <x:c r="P82" s="37" t="str">
        <x:f>IF(AND(M82&lt;&gt;"",N82&lt;&gt;"",O82&lt;&gt;"NOTICE_EXECUTION_CEILING"),M82/N82-1,"")</x:f>
      </x:c>
      <x:c r="Q82" s="31" t="n">
        <x:v>1000</x:v>
      </x:c>
      <x:c r="R82" s="22" t="str">
        <x:v>GFA</x:v>
      </x:c>
      <x:c r="S82" s="22" t="str">
        <x:v>AUTO_SELECTED_SINGLE_OR_TOTAL</x:v>
      </x:c>
      <x:c r="T82" s="34" t="n">
        <x:f>IFERROR(N82/Q82,"")</x:f>
        <x:v>0</x:v>
      </x:c>
      <x:c r="U82" s="22" t="str">
        <x:v>V3_SCOPE_REVIEW</x:v>
      </x:c>
      <x:c r="V82" s="22" t="str">
        <x:v>계산 금지</x:v>
      </x:c>
      <x:c r="W82" s="28" t="n">
        <x:v>1</x:v>
      </x:c>
      <x:c r="X82" s="28" t="n">
        <x:v>1</x:v>
      </x:c>
      <x:c r="Y82" s="28" t="n">
        <x:v>1</x:v>
      </x:c>
      <x:c r="Z82" s="28" t="n">
        <x:v>0</x:v>
      </x:c>
      <x:c r="AA82" s="28" t="n">
        <x:v>21</x:v>
      </x:c>
      <x:c r="AB82" s="28" t="n">
        <x:v>0</x:v>
      </x:c>
      <x:c r="AC82" s="28" t="n">
        <x:v>0</x:v>
      </x:c>
      <x:c r="AD82" s="28" t="n">
        <x:v>0</x:v>
      </x:c>
      <x:c r="AE82" s="28" t="n">
        <x:v>0</x:v>
      </x:c>
      <x:c r="AF82" s="25" t="str">
        <x:v>설계·감리·기타 용역 집행한도는 건축공사비가 아님</x:v>
      </x:c>
      <x:c r="AG82" s="25" t="str"/>
      <x:c r="AH82" s="25" t="str">
        <x:v>KOICA 입찰 상세페이지</x:v>
      </x:c>
      <x:c r="AI82" s="25" t="str">
        <x:v>집행한도금액(달러)</x:v>
      </x:c>
      <x:c r="AJ82" s="25" t="str">
        <x:v>L2023-00021-1/붙임1. 파라과이 멀티미디어 센터 설계용역 입찰설명서(국문본)_최종_230130_기평팀.hwp</x:v>
      </x:c>
      <x:c r="AK82" s="25" t="str">
        <x:v>문단 104</x:v>
      </x:c>
      <x:c r="AL82" s="25" t="str">
        <x:v>ㅇ 계획 연면적 : 1,000㎡ (±10% 이내 조정 가능)</x:v>
      </x:c>
      <x:c r="AM82" s="25" t="str">
        <x:v>https://nebid.koica.go.kr/oep/lobi/localBidManageDetail.do?P_LOAZ_BID_PBLANC_NO=L2023-00021&amp;P_PBLANC_ODR=1</x:v>
      </x:c>
    </x:row>
    <x:row r="83">
      <x:c r="A83" s="22" t="str">
        <x:v>C?</x:v>
      </x:c>
      <x:c r="B83" s="22" t="str">
        <x:v>2020-00053</x:v>
      </x:c>
      <x:c r="C83" s="22" t="str">
        <x:v>L2023-00004-1</x:v>
      </x:c>
      <x:c r="D83" s="22" t="str">
        <x:v>L2023-00004</x:v>
      </x:c>
      <x:c r="E83" s="22" t="str">
        <x:v>2023-02-10</x:v>
      </x:c>
      <x:c r="F83" s="22" t="str">
        <x:v>에티오피아</x:v>
      </x:c>
      <x:c r="G83" s="25" t="str">
        <x:v>에티오피아 양질의 일자리 창출을 위한 ICT기반의 창업 및 중소기업(SME)육성 지원사업 ICT 센터 리모델링 공사</x:v>
      </x:c>
      <x:c r="H83" s="22" t="str">
        <x:v>공사</x:v>
      </x:c>
      <x:c r="I83" s="22" t="str">
        <x:v>WORKS</x:v>
      </x:c>
      <x:c r="J83" s="22" t="str">
        <x:v>WORKS_CEILING</x:v>
      </x:c>
      <x:c r="K83" s="22" t="str">
        <x:v>MATCH</x:v>
      </x:c>
      <x:c r="L83" s="22" t="str">
        <x:v>MATCH</x:v>
      </x:c>
      <x:c r="M83" s="34" t="n">
        <x:v>704431</x:v>
      </x:c>
      <x:c r="N83" s="34" t="n">
        <x:v>704431</x:v>
      </x:c>
      <x:c r="O83" s="22" t="str">
        <x:v>NOTICE_EXECUTION_CEILING</x:v>
      </x:c>
      <x:c r="P83" s="37" t="str">
        <x:f>IF(AND(M83&lt;&gt;"",N83&lt;&gt;"",O83&lt;&gt;"NOTICE_EXECUTION_CEILING"),M83/N83-1,"")</x:f>
      </x:c>
      <x:c r="Q83" s="31" t="n">
        <x:v>2443</x:v>
      </x:c>
      <x:c r="R83" s="22" t="str">
        <x:v>RENOVATION_FLOOR_AREA</x:v>
      </x:c>
      <x:c r="S83" s="22" t="str">
        <x:v>SUM_2_FLOORS</x:v>
      </x:c>
      <x:c r="T83" s="34" t="n">
        <x:f>IFERROR(N83/Q83,"")</x:f>
        <x:v>288.3467048710602</x:v>
      </x:c>
      <x:c r="U83" s="22" t="str">
        <x:v>V2R_HUMAN_REVIEWED_EXTRACTION</x:v>
      </x:c>
      <x:c r="V83" s="22" t="str">
        <x:v>초기 스크리닝만</x:v>
      </x:c>
      <x:c r="W83" s="28" t="n">
        <x:v>1</x:v>
      </x:c>
      <x:c r="X83" s="28" t="n">
        <x:v>1</x:v>
      </x:c>
      <x:c r="Y83" s="28" t="n">
        <x:v>0</x:v>
      </x:c>
      <x:c r="Z83" s="28" t="n">
        <x:v>0</x:v>
      </x:c>
      <x:c r="AA83" s="28" t="n">
        <x:v>41</x:v>
      </x:c>
      <x:c r="AB83" s="28" t="n">
        <x:v>3</x:v>
      </x:c>
      <x:c r="AC83" s="28" t="n">
        <x:v>7</x:v>
      </x:c>
      <x:c r="AD83" s="28" t="n">
        <x:v>1</x:v>
      </x:c>
      <x:c r="AE83" s="28" t="n">
        <x:v>0</x:v>
      </x:c>
      <x:c r="AF83" s="25" t="str">
        <x:v>범위 일치 잠정확인; 원본 V3 확인 전 직접 사용 금지</x:v>
      </x:c>
      <x:c r="AG83" s="25" t="str"/>
      <x:c r="AH83" s="25" t="str">
        <x:v>KOICA 입찰 상세페이지</x:v>
      </x:c>
      <x:c r="AI83" s="25" t="str">
        <x:v>집행한도금액(달러)</x:v>
      </x:c>
      <x:c r="AJ83" s="25" t="str">
        <x:v>L2023-00004-1/붙임 1. 에티오피아 ICT 센터 입찰 계획.hwp</x:v>
      </x:c>
      <x:c r="AK83" s="25" t="str">
        <x:v>문단 114·116</x:v>
      </x:c>
      <x:c r="AL83" s="25" t="str">
        <x:v>1층 1,246㎡ + 2층 1,197㎡; 안전관리 일반기준 1,000㎡ 제외</x:v>
      </x:c>
      <x:c r="AM83" s="25" t="str">
        <x:v>https://nebid.koica.go.kr/oep/lobi/localBidManageDetail.do?P_LOAZ_BID_PBLANC_NO=L2023-00004&amp;P_PBLANC_ODR=1</x:v>
      </x:c>
    </x:row>
    <x:row r="84">
      <x:c r="A84" s="22" t="str">
        <x:v>C?</x:v>
      </x:c>
      <x:c r="B84" s="22" t="str">
        <x:v>2021-00075</x:v>
      </x:c>
      <x:c r="C84" s="22" t="str">
        <x:v>L2023-00006-1</x:v>
      </x:c>
      <x:c r="D84" s="22" t="str">
        <x:v>L2023-00006</x:v>
      </x:c>
      <x:c r="E84" s="22" t="str">
        <x:v>2023-02-23</x:v>
      </x:c>
      <x:c r="F84" s="22" t="str">
        <x:v>동티모르</x:v>
      </x:c>
      <x:c r="G84" s="25" t="str">
        <x:v>동티모르 농민참여형 가치사슬 개선사업 농업용 인프라 시공</x:v>
      </x:c>
      <x:c r="H84" s="22" t="str">
        <x:v>공사</x:v>
      </x:c>
      <x:c r="I84" s="22" t="str">
        <x:v>WORKS</x:v>
      </x:c>
      <x:c r="J84" s="22" t="str">
        <x:v>WORKS_CEILING</x:v>
      </x:c>
      <x:c r="K84" s="22" t="str">
        <x:v>MATCH</x:v>
      </x:c>
      <x:c r="L84" s="22" t="str">
        <x:v>MATCH</x:v>
      </x:c>
      <x:c r="M84" s="34" t="n">
        <x:v>1570000</x:v>
      </x:c>
      <x:c r="N84" s="34" t="n">
        <x:v>1570000</x:v>
      </x:c>
      <x:c r="O84" s="22" t="str">
        <x:v>NOTICE_EXECUTION_CEILING</x:v>
      </x:c>
      <x:c r="P84" s="37" t="str">
        <x:f>IF(AND(M84&lt;&gt;"",N84&lt;&gt;"",O84&lt;&gt;"NOTICE_EXECUTION_CEILING"),M84/N84-1,"")</x:f>
      </x:c>
      <x:c r="Q84" s="31" t="n">
        <x:v>826.8</x:v>
      </x:c>
      <x:c r="R84" s="22" t="str">
        <x:v>GFA</x:v>
      </x:c>
      <x:c r="S84" s="22" t="str">
        <x:v>SUM_3_COLLECTION_STATIONS</x:v>
      </x:c>
      <x:c r="T84" s="34" t="n">
        <x:f>IFERROR(N84/Q84,"")</x:f>
        <x:v>1898.887276245767</x:v>
      </x:c>
      <x:c r="U84" s="22" t="str">
        <x:v>V2R_HUMAN_REVIEWED_EXTRACTION</x:v>
      </x:c>
      <x:c r="V84" s="22" t="str">
        <x:v>초기 스크리닝만</x:v>
      </x:c>
      <x:c r="W84" s="28" t="n">
        <x:v>1</x:v>
      </x:c>
      <x:c r="X84" s="28" t="n">
        <x:v>0</x:v>
      </x:c>
      <x:c r="Y84" s="28" t="n">
        <x:v>0</x:v>
      </x:c>
      <x:c r="Z84" s="28" t="n">
        <x:v>0</x:v>
      </x:c>
      <x:c r="AA84" s="28" t="n">
        <x:v>20</x:v>
      </x:c>
      <x:c r="AB84" s="28" t="n">
        <x:v>0</x:v>
      </x:c>
      <x:c r="AC84" s="28" t="n">
        <x:v>0</x:v>
      </x:c>
      <x:c r="AD84" s="28" t="n">
        <x:v>0</x:v>
      </x:c>
      <x:c r="AE84" s="28" t="n">
        <x:v>0</x:v>
      </x:c>
      <x:c r="AF84" s="25" t="str">
        <x:v>범위 일치 잠정확인; 원본 V3 확인 전 직접 사용 금지</x:v>
      </x:c>
      <x:c r="AG84" s="25" t="str"/>
      <x:c r="AH84" s="25" t="str">
        <x:v>KOICA 입찰 상세페이지</x:v>
      </x:c>
      <x:c r="AI84" s="25" t="str">
        <x:v>집행한도금액(달러)</x:v>
      </x:c>
      <x:c r="AJ84" s="25" t="str">
        <x:v>L2023-00006-1</x:v>
      </x:c>
      <x:c r="AK84" s="25" t="str">
        <x:v>입찰개요 페이지 5</x:v>
      </x:c>
      <x:c r="AL84" s="25" t="str">
        <x:v>245.7+335.4+245.7㎡ 합계; 대지면적 1,983/2,738.6/3,172㎡ 제외</x:v>
      </x:c>
      <x:c r="AM84" s="25" t="str">
        <x:v>https://nebid.koica.go.kr/oep/lobi/localBidManageDetail.do?P_LOAZ_BID_PBLANC_NO=L2023-00006&amp;P_PBLANC_ODR=1</x:v>
      </x:c>
    </x:row>
    <x:row r="85">
      <x:c r="A85" s="22" t="str">
        <x:v>C?</x:v>
      </x:c>
      <x:c r="B85" s="22" t="str">
        <x:v>2020-00086</x:v>
      </x:c>
      <x:c r="C85" s="22" t="str">
        <x:v>L2023-00007-1</x:v>
      </x:c>
      <x:c r="D85" s="22" t="str">
        <x:v>L2023-00007</x:v>
      </x:c>
      <x:c r="E85" s="22" t="str">
        <x:v>2023-02-28</x:v>
      </x:c>
      <x:c r="F85" s="22" t="str">
        <x:v>우즈베키스탄</x:v>
      </x:c>
      <x:c r="G85" s="25" t="str">
        <x:v>우즈베키스탄 우르겐치 직업훈련원 건립 및 타슈켄트 교사연수센터 건립사업 시공업체선정 현지입찰</x:v>
      </x:c>
      <x:c r="H85" s="22" t="str">
        <x:v>공사</x:v>
      </x:c>
      <x:c r="I85" s="22" t="str">
        <x:v>WORKS</x:v>
      </x:c>
      <x:c r="J85" s="22" t="str">
        <x:v>WORKS_CEILING</x:v>
      </x:c>
      <x:c r="K85" s="22" t="str">
        <x:v>MATCH</x:v>
      </x:c>
      <x:c r="L85" s="22" t="str">
        <x:v>MATCH</x:v>
      </x:c>
      <x:c r="M85" s="34" t="n">
        <x:v>5361576</x:v>
      </x:c>
      <x:c r="N85" s="34" t="n">
        <x:v>5361576</x:v>
      </x:c>
      <x:c r="O85" s="22" t="str">
        <x:v>NOTICE_EXECUTION_CEILING</x:v>
      </x:c>
      <x:c r="P85" s="37" t="str">
        <x:f>IF(AND(M85&lt;&gt;"",N85&lt;&gt;"",O85&lt;&gt;"NOTICE_EXECUTION_CEILING"),M85/N85-1,"")</x:f>
      </x:c>
      <x:c r="Q85" s="31" t="n">
        <x:v>6963</x:v>
      </x:c>
      <x:c r="R85" s="22" t="str">
        <x:v>GFA</x:v>
      </x:c>
      <x:c r="S85" s="22" t="str">
        <x:v>SUM_VTC_TTC</x:v>
      </x:c>
      <x:c r="T85" s="34" t="n">
        <x:f>IFERROR(N85/Q85,"")</x:f>
        <x:v>770.0094786729858</x:v>
      </x:c>
      <x:c r="U85" s="22" t="str">
        <x:v>V2R_HUMAN_REVIEWED_EXTRACTION</x:v>
      </x:c>
      <x:c r="V85" s="22" t="str">
        <x:v>초기 스크리닝만</x:v>
      </x:c>
      <x:c r="W85" s="28" t="n">
        <x:v>1</x:v>
      </x:c>
      <x:c r="X85" s="28" t="n">
        <x:v>0</x:v>
      </x:c>
      <x:c r="Y85" s="28" t="n">
        <x:v>0</x:v>
      </x:c>
      <x:c r="Z85" s="28" t="n">
        <x:v>0</x:v>
      </x:c>
      <x:c r="AA85" s="28" t="n">
        <x:v>12</x:v>
      </x:c>
      <x:c r="AB85" s="28" t="n">
        <x:v>0</x:v>
      </x:c>
      <x:c r="AC85" s="28" t="n">
        <x:v>0</x:v>
      </x:c>
      <x:c r="AD85" s="28" t="n">
        <x:v>0</x:v>
      </x:c>
      <x:c r="AE85" s="28" t="n">
        <x:v>0</x:v>
      </x:c>
      <x:c r="AF85" s="25" t="str">
        <x:v>범위 일치 잠정확인; 원본 V3 확인 전 직접 사용 금지</x:v>
      </x:c>
      <x:c r="AG85" s="25" t="str"/>
      <x:c r="AH85" s="25" t="str">
        <x:v>KOICA 입찰 상세페이지</x:v>
      </x:c>
      <x:c r="AI85" s="25" t="str">
        <x:v>집행한도금액(달러)</x:v>
      </x:c>
      <x:c r="AJ85" s="25" t="str">
        <x:v>L2023-00007-1</x:v>
      </x:c>
      <x:c r="AK85" s="25" t="str">
        <x:v>문단 203·204 / 표 1 행 5</x:v>
      </x:c>
      <x:c r="AL85" s="25" t="str">
        <x:v>VTC 5,698㎡ + TTC 1,265㎡</x:v>
      </x:c>
      <x:c r="AM85" s="25" t="str">
        <x:v>https://nebid.koica.go.kr/oep/lobi/localBidManageDetail.do?P_LOAZ_BID_PBLANC_NO=L2023-00007&amp;P_PBLANC_ODR=1</x:v>
      </x:c>
    </x:row>
    <x:row r="86">
      <x:c r="A86" s="22" t="str">
        <x:v>C</x:v>
      </x:c>
      <x:c r="B86" s="22" t="str">
        <x:v>2019-00005</x:v>
      </x:c>
      <x:c r="C86" s="22" t="str">
        <x:v>L2023-00009-1</x:v>
      </x:c>
      <x:c r="D86" s="22" t="str">
        <x:v>L2023-00009</x:v>
      </x:c>
      <x:c r="E86" s="22" t="str">
        <x:v>2023-03-20</x:v>
      </x:c>
      <x:c r="F86" s="22" t="str">
        <x:v>우간다</x:v>
      </x:c>
      <x:c r="G86" s="25" t="str">
        <x:v>우간다 지속가능 농촌개발 시범마을 확산사업 옥수수 가공시설 및 여성친화적 시장 건축 공사</x:v>
      </x:c>
      <x:c r="H86" s="22" t="str">
        <x:v>공사</x:v>
      </x:c>
      <x:c r="I86" s="22" t="str">
        <x:v>WORKS</x:v>
      </x:c>
      <x:c r="J86" s="22" t="str">
        <x:v>WORKS_CEILING</x:v>
      </x:c>
      <x:c r="K86" s="22" t="str">
        <x:v>MATCH</x:v>
      </x:c>
      <x:c r="L86" s="22" t="str">
        <x:v>MATCH</x:v>
      </x:c>
      <x:c r="M86" s="34" t="n">
        <x:v>272603</x:v>
      </x:c>
      <x:c r="N86" s="34" t="n">
        <x:v>272603</x:v>
      </x:c>
      <x:c r="O86" s="22" t="str">
        <x:v>NOTICE_EXECUTION_CEILING</x:v>
      </x:c>
      <x:c r="P86" s="37" t="str">
        <x:f>IF(AND(M86&lt;&gt;"",N86&lt;&gt;"",O86&lt;&gt;"NOTICE_EXECUTION_CEILING"),M86/N86-1,"")</x:f>
      </x:c>
      <x:c r="Q86" s="31" t="n">
        <x:v>835.67</x:v>
      </x:c>
      <x:c r="R86" s="22" t="str">
        <x:v>GFA</x:v>
      </x:c>
      <x:c r="S86" s="22" t="str">
        <x:v>TOTAL_RESTORED_HWP_CONTEXT</x:v>
      </x:c>
      <x:c r="T86" s="34" t="n">
        <x:f>IFERROR(N86/Q86,"")</x:f>
        <x:v>326.20891021575505</x:v>
      </x:c>
      <x:c r="U86" s="22" t="str">
        <x:v>V3_CURATED_AREA_COST_RECHECK</x:v>
      </x:c>
      <x:c r="V86" s="22" t="str">
        <x:v>초기 스크리닝만</x:v>
      </x:c>
      <x:c r="W86" s="28" t="n">
        <x:v>1</x:v>
      </x:c>
      <x:c r="X86" s="28" t="n">
        <x:v>1</x:v>
      </x:c>
      <x:c r="Y86" s="28" t="n">
        <x:v>1</x:v>
      </x:c>
      <x:c r="Z86" s="28" t="n">
        <x:v>0</x:v>
      </x:c>
      <x:c r="AA86" s="28" t="n">
        <x:v>13</x:v>
      </x:c>
      <x:c r="AB86" s="28" t="n">
        <x:v>1</x:v>
      </x:c>
      <x:c r="AC86" s="28" t="n">
        <x:v>1</x:v>
      </x:c>
      <x:c r="AD86" s="28" t="n">
        <x:v>1</x:v>
      </x:c>
      <x:c r="AE86" s="28" t="n">
        <x:v>0</x:v>
      </x:c>
      <x:c r="AF86" s="25" t="str">
        <x:v>동일/제한 범위 공사금액÷면적 스크리닝 근거</x:v>
      </x:c>
      <x:c r="AG86" s="25" t="str"/>
      <x:c r="AH86" s="25" t="str">
        <x:v>L2023-00009-1/2. 입찰서류(영문)/Part 1(└╘┬√ └²┬≈)/Section 2 - Bid Data Sheet.docx</x:v>
      </x:c>
      <x:c r="AI86" s="25" t="str">
        <x:v>표 5 행 8</x:v>
      </x:c>
      <x:c r="AJ86" s="25" t="str">
        <x:v>L2023-00009-1</x:v>
      </x:c>
      <x:c r="AK86" s="25" t="str">
        <x:v>HWP 문단 91·92</x:v>
      </x:c>
      <x:c r="AL86" s="25" t="str">
        <x:v>건축면적(연면적) 835.67㎡; 앞 문단의 대지면적 6,070.35㎡와 분리</x:v>
      </x:c>
      <x:c r="AM86" s="25" t="str">
        <x:v>https://nebid.koica.go.kr/oep/lobi/localBidManageDetail.do?P_LOAZ_BID_PBLANC_NO=L2023-00009&amp;P_PBLANC_ODR=1</x:v>
      </x:c>
    </x:row>
    <x:row r="87">
      <x:c r="A87" s="22" t="str">
        <x:v>C</x:v>
      </x:c>
      <x:c r="B87" s="22" t="str">
        <x:v>2021-00043</x:v>
      </x:c>
      <x:c r="C87" s="22" t="str">
        <x:v>L2023-00011-1</x:v>
      </x:c>
      <x:c r="D87" s="22" t="str">
        <x:v>L2023-00011</x:v>
      </x:c>
      <x:c r="E87" s="22" t="str">
        <x:v>2023-03-28</x:v>
      </x:c>
      <x:c r="F87" s="22" t="str">
        <x:v>우간다</x:v>
      </x:c>
      <x:c r="G87" s="25" t="str">
        <x:v>우간다 주요 채소작물 종자 가치사슬 역량강화사업 Wakiso, Mukono 및 Luwero지역 온실, 토목 및 수도 건축공사</x:v>
      </x:c>
      <x:c r="H87" s="22" t="str">
        <x:v>공사</x:v>
      </x:c>
      <x:c r="I87" s="22" t="str">
        <x:v>WORKS</x:v>
      </x:c>
      <x:c r="J87" s="22" t="str">
        <x:v>WORKS_CEILING</x:v>
      </x:c>
      <x:c r="K87" s="22" t="str">
        <x:v>MATCH</x:v>
      </x:c>
      <x:c r="L87" s="22" t="str">
        <x:v>MATCH</x:v>
      </x:c>
      <x:c r="M87" s="34" t="n">
        <x:v>1540000</x:v>
      </x:c>
      <x:c r="N87" s="34" t="n">
        <x:v>1540000</x:v>
      </x:c>
      <x:c r="O87" s="22" t="str">
        <x:v>NOTICE_EXECUTION_CEILING</x:v>
      </x:c>
      <x:c r="P87" s="37" t="str">
        <x:f>IF(AND(M87&lt;&gt;"",N87&lt;&gt;"",O87&lt;&gt;"NOTICE_EXECUTION_CEILING"),M87/N87-1,"")</x:f>
      </x:c>
      <x:c r="Q87" s="31" t="n">
        <x:v>6456</x:v>
      </x:c>
      <x:c r="R87" s="22" t="str">
        <x:v>FACILITY_OR_CAMPUS_AREA</x:v>
      </x:c>
      <x:c r="S87" s="22" t="str">
        <x:v>SUM_OR_MULTI</x:v>
      </x:c>
      <x:c r="T87" s="34" t="n">
        <x:f>IFERROR(N87/Q87,"")</x:f>
        <x:v>238.53779429987608</x:v>
      </x:c>
      <x:c r="U87" s="22" t="str">
        <x:v>V3_CURATED_AREA_COST_RECHECK</x:v>
      </x:c>
      <x:c r="V87" s="22" t="str">
        <x:v>초기 스크리닝만</x:v>
      </x:c>
      <x:c r="W87" s="28" t="n">
        <x:v>1</x:v>
      </x:c>
      <x:c r="X87" s="28" t="n">
        <x:v>1</x:v>
      </x:c>
      <x:c r="Y87" s="28" t="n">
        <x:v>1</x:v>
      </x:c>
      <x:c r="Z87" s="28" t="n">
        <x:v>0</x:v>
      </x:c>
      <x:c r="AA87" s="28" t="n">
        <x:v>2</x:v>
      </x:c>
      <x:c r="AB87" s="28" t="n">
        <x:v>0</x:v>
      </x:c>
      <x:c r="AC87" s="28" t="n">
        <x:v>0</x:v>
      </x:c>
      <x:c r="AD87" s="28" t="n">
        <x:v>0</x:v>
      </x:c>
      <x:c r="AE87" s="28" t="n">
        <x:v>0</x:v>
      </x:c>
      <x:c r="AF87" s="25" t="str">
        <x:v>동일/제한 범위 공사금액÷면적 스크리닝 근거</x:v>
      </x:c>
      <x:c r="AG87" s="25" t="str"/>
      <x:c r="AH87" s="25" t="str">
        <x:v>L2023-00011-1/Section 2 - Bid Data Sheet (BDS).docx</x:v>
      </x:c>
      <x:c r="AI87" s="25" t="str">
        <x:v>표 5 행 8</x:v>
      </x:c>
      <x:c r="AJ87" s="25" t="str">
        <x:v>L2023-00011-1/Section 2 - Bid Data Sheet (BDS).docx</x:v>
      </x:c>
      <x:c r="AK87" s="25" t="str">
        <x:v>표 5 행 8</x:v>
      </x:c>
      <x:c r="AL87" s="25" t="str">
        <x:v>시설 면적 합계 6,456.00㎡; 상세페이지 집행한도 USD 1,540,000; 산출단가 USD 239/㎡.</x:v>
      </x:c>
      <x:c r="AM87" s="25" t="str">
        <x:v>https://nebid.koica.go.kr/oep/lobi/localBidManageDetail.do?P_LOAZ_BID_PBLANC_NO=L2023-00011&amp;P_PBLANC_ODR=1</x:v>
      </x:c>
    </x:row>
    <x:row r="88">
      <x:c r="A88" s="22" t="str">
        <x:v>C?</x:v>
      </x:c>
      <x:c r="B88" s="22" t="str">
        <x:v>2021-00075</x:v>
      </x:c>
      <x:c r="C88" s="22" t="str">
        <x:v>L2023-00019-1</x:v>
      </x:c>
      <x:c r="D88" s="22" t="str">
        <x:v>L2023-00019</x:v>
      </x:c>
      <x:c r="E88" s="22" t="str">
        <x:v>2023-04-12</x:v>
      </x:c>
      <x:c r="F88" s="22" t="str">
        <x:v>동티모르</x:v>
      </x:c>
      <x:c r="G88" s="25" t="str">
        <x:v>(신규재입찰) 동티모르 농민참여형 가치사슬 개선사업 농업용 인프라 시공</x:v>
      </x:c>
      <x:c r="H88" s="22" t="str">
        <x:v>공사</x:v>
      </x:c>
      <x:c r="I88" s="22" t="str">
        <x:v>WORKS</x:v>
      </x:c>
      <x:c r="J88" s="22" t="str">
        <x:v>WORKS_CEILING</x:v>
      </x:c>
      <x:c r="K88" s="22" t="str">
        <x:v>MATCH</x:v>
      </x:c>
      <x:c r="L88" s="22" t="str">
        <x:v>MATCH</x:v>
      </x:c>
      <x:c r="M88" s="34" t="n">
        <x:v>1570000</x:v>
      </x:c>
      <x:c r="N88" s="34" t="n">
        <x:v>1570000</x:v>
      </x:c>
      <x:c r="O88" s="22" t="str">
        <x:v>NOTICE_EXECUTION_CEILING</x:v>
      </x:c>
      <x:c r="P88" s="37" t="str">
        <x:f>IF(AND(M88&lt;&gt;"",N88&lt;&gt;"",O88&lt;&gt;"NOTICE_EXECUTION_CEILING"),M88/N88-1,"")</x:f>
      </x:c>
      <x:c r="Q88" s="31" t="n">
        <x:v>826.8</x:v>
      </x:c>
      <x:c r="R88" s="22" t="str">
        <x:v>GFA</x:v>
      </x:c>
      <x:c r="S88" s="22" t="str">
        <x:v>SUM_3_COLLECTION_STATIONS</x:v>
      </x:c>
      <x:c r="T88" s="34" t="n">
        <x:f>IFERROR(N88/Q88,"")</x:f>
        <x:v>1898.887276245767</x:v>
      </x:c>
      <x:c r="U88" s="22" t="str">
        <x:v>V2R_HUMAN_REVIEWED_EXTRACTION</x:v>
      </x:c>
      <x:c r="V88" s="22" t="str">
        <x:v>초기 스크리닝만</x:v>
      </x:c>
      <x:c r="W88" s="28" t="n">
        <x:v>1</x:v>
      </x:c>
      <x:c r="X88" s="28" t="n">
        <x:v>0</x:v>
      </x:c>
      <x:c r="Y88" s="28" t="n">
        <x:v>0</x:v>
      </x:c>
      <x:c r="Z88" s="28" t="n">
        <x:v>0</x:v>
      </x:c>
      <x:c r="AA88" s="28" t="n">
        <x:v>20</x:v>
      </x:c>
      <x:c r="AB88" s="28" t="n">
        <x:v>0</x:v>
      </x:c>
      <x:c r="AC88" s="28" t="n">
        <x:v>0</x:v>
      </x:c>
      <x:c r="AD88" s="28" t="n">
        <x:v>0</x:v>
      </x:c>
      <x:c r="AE88" s="28" t="n">
        <x:v>0</x:v>
      </x:c>
      <x:c r="AF88" s="25" t="str">
        <x:v>범위 일치 잠정확인; 원본 V3 확인 전 직접 사용 금지</x:v>
      </x:c>
      <x:c r="AG88" s="25" t="str"/>
      <x:c r="AH88" s="25" t="str">
        <x:v>KOICA 입찰 상세페이지</x:v>
      </x:c>
      <x:c r="AI88" s="25" t="str">
        <x:v>집행한도금액(달러)</x:v>
      </x:c>
      <x:c r="AJ88" s="25" t="str">
        <x:v>L2023-00019-1</x:v>
      </x:c>
      <x:c r="AK88" s="25" t="str">
        <x:v>재공고 입찰개요</x:v>
      </x:c>
      <x:c r="AL88" s="25" t="str">
        <x:v>3개 농산물 집하장 245.7+335.4+245.7㎡ 합계</x:v>
      </x:c>
      <x:c r="AM88" s="25" t="str">
        <x:v>https://nebid.koica.go.kr/oep/lobi/localBidManageDetail.do?P_LOAZ_BID_PBLANC_NO=L2023-00019&amp;P_PBLANC_ODR=1</x:v>
      </x:c>
    </x:row>
    <x:row r="89">
      <x:c r="A89" s="22" t="str">
        <x:v>C</x:v>
      </x:c>
      <x:c r="B89" s="22" t="str">
        <x:v>2020-00087</x:v>
      </x:c>
      <x:c r="C89" s="22" t="str">
        <x:v>L2023-00018-1</x:v>
      </x:c>
      <x:c r="D89" s="22" t="str">
        <x:v>L2023-00018</x:v>
      </x:c>
      <x:c r="E89" s="22" t="str">
        <x:v>2023-04-18</x:v>
      </x:c>
      <x:c r="F89" s="22" t="str">
        <x:v>인도네시아</x:v>
      </x:c>
      <x:c r="G89" s="25" t="str">
        <x:v>인도네시아 취약계층 청소년 사회복귀 지원사업 리모델링 시공업체 선정</x:v>
      </x:c>
      <x:c r="H89" s="22" t="str">
        <x:v>공사</x:v>
      </x:c>
      <x:c r="I89" s="22" t="str">
        <x:v>WORKS</x:v>
      </x:c>
      <x:c r="J89" s="22" t="str">
        <x:v>WORKS_CEILING</x:v>
      </x:c>
      <x:c r="K89" s="22" t="str">
        <x:v>MATCH</x:v>
      </x:c>
      <x:c r="L89" s="22" t="str">
        <x:v>MATCH</x:v>
      </x:c>
      <x:c r="M89" s="34" t="n">
        <x:v>2355000</x:v>
      </x:c>
      <x:c r="N89" s="34" t="n">
        <x:v>2355000</x:v>
      </x:c>
      <x:c r="O89" s="22" t="str">
        <x:v>NOTICE_EXECUTION_CEILING</x:v>
      </x:c>
      <x:c r="P89" s="37" t="str">
        <x:f>IF(AND(M89&lt;&gt;"",N89&lt;&gt;"",O89&lt;&gt;"NOTICE_EXECUTION_CEILING"),M89/N89-1,"")</x:f>
      </x:c>
      <x:c r="Q89" s="31" t="n">
        <x:v>6149</x:v>
      </x:c>
      <x:c r="R89" s="22" t="str">
        <x:v>GFA</x:v>
      </x:c>
      <x:c r="S89" s="22" t="str">
        <x:v>SINGLE_OR_TOTAL</x:v>
      </x:c>
      <x:c r="T89" s="34" t="n">
        <x:f>IFERROR(N89/Q89,"")</x:f>
        <x:v>382.98910391933646</x:v>
      </x:c>
      <x:c r="U89" s="22" t="str">
        <x:v>V3_CURATED_AREA_COST_RECHECK</x:v>
      </x:c>
      <x:c r="V89" s="22" t="str">
        <x:v>초기 스크리닝만</x:v>
      </x:c>
      <x:c r="W89" s="28" t="n">
        <x:v>1</x:v>
      </x:c>
      <x:c r="X89" s="28" t="n">
        <x:v>1</x:v>
      </x:c>
      <x:c r="Y89" s="28" t="n">
        <x:v>1</x:v>
      </x:c>
      <x:c r="Z89" s="28" t="n">
        <x:v>0</x:v>
      </x:c>
      <x:c r="AA89" s="28" t="n">
        <x:v>2</x:v>
      </x:c>
      <x:c r="AB89" s="28" t="n">
        <x:v>0</x:v>
      </x:c>
      <x:c r="AC89" s="28" t="n">
        <x:v>0</x:v>
      </x:c>
      <x:c r="AD89" s="28" t="n">
        <x:v>0</x:v>
      </x:c>
      <x:c r="AE89" s="28" t="n">
        <x:v>0</x:v>
      </x:c>
      <x:c r="AF89" s="25" t="str">
        <x:v>동일/제한 범위 공사금액÷면적 스크리닝 근거</x:v>
      </x:c>
      <x:c r="AG89" s="25" t="str"/>
      <x:c r="AH89" s="25" t="str">
        <x:v>L2023-00018-1/(붙임1) 취약계층 청소년 사회복귀 지원사업 시공사 선정 입찰계획(안) - v2.5.hwp</x:v>
      </x:c>
      <x:c r="AI89" s="25" t="str">
        <x:v>문단 67</x:v>
      </x:c>
      <x:c r="AJ89" s="25" t="str">
        <x:v>L2023-00018-1/(붙임1) 취약계층 청소년 사회복귀 지원사업 시공사 선정 입찰계획(안) - v2.5.hwp</x:v>
      </x:c>
      <x:c r="AK89" s="25" t="str">
        <x:v>문단 67</x:v>
      </x:c>
      <x:c r="AL89" s="25" t="str">
        <x:v>대상 연면적 6,149.00㎡; 상세페이지 집행한도 USD 2,355,000; 산출단가 USD 383/㎡.</x:v>
      </x:c>
      <x:c r="AM89" s="25" t="str">
        <x:v>https://nebid.koica.go.kr/oep/lobi/localBidManageDetail.do?P_LOAZ_BID_PBLANC_NO=L2023-00018&amp;P_PBLANC_ODR=1</x:v>
      </x:c>
    </x:row>
    <x:row r="90">
      <x:c r="A90" s="22" t="str">
        <x:v>C</x:v>
      </x:c>
      <x:c r="B90" s="22" t="str">
        <x:v>2021-00075</x:v>
      </x:c>
      <x:c r="C90" s="22" t="str">
        <x:v>L2023-00022-1</x:v>
      </x:c>
      <x:c r="D90" s="22" t="str">
        <x:v>L2023-00022</x:v>
      </x:c>
      <x:c r="E90" s="22" t="str">
        <x:v>2023-05-04</x:v>
      </x:c>
      <x:c r="F90" s="22" t="str">
        <x:v>동티모르</x:v>
      </x:c>
      <x:c r="G90" s="25" t="str">
        <x:v>동티모르 농민참여형 가치사슬 개선사업 농업용 인프라 시공업체 선정</x:v>
      </x:c>
      <x:c r="H90" s="22" t="str">
        <x:v>공사</x:v>
      </x:c>
      <x:c r="I90" s="22" t="str">
        <x:v>WORKS</x:v>
      </x:c>
      <x:c r="J90" s="22" t="str">
        <x:v>WORKS_CEILING</x:v>
      </x:c>
      <x:c r="K90" s="22" t="str">
        <x:v>MATCH</x:v>
      </x:c>
      <x:c r="L90" s="22" t="str">
        <x:v>MATCH</x:v>
      </x:c>
      <x:c r="M90" s="34" t="n">
        <x:v>1570000</x:v>
      </x:c>
      <x:c r="N90" s="34" t="n">
        <x:v>1570000</x:v>
      </x:c>
      <x:c r="O90" s="22" t="str">
        <x:v>NOTICE_EXECUTION_CEILING</x:v>
      </x:c>
      <x:c r="P90" s="37" t="str">
        <x:f>IF(AND(M90&lt;&gt;"",N90&lt;&gt;"",O90&lt;&gt;"NOTICE_EXECUTION_CEILING"),M90/N90-1,"")</x:f>
      </x:c>
      <x:c r="Q90" s="31" t="n">
        <x:v>826.8</x:v>
      </x:c>
      <x:c r="R90" s="22" t="str">
        <x:v>FACILITY_OR_CAMPUS_AREA</x:v>
      </x:c>
      <x:c r="S90" s="22" t="str">
        <x:v>SUM_OR_MULTI</x:v>
      </x:c>
      <x:c r="T90" s="34" t="n">
        <x:f>IFERROR(N90/Q90,"")</x:f>
        <x:v>1898.887276245767</x:v>
      </x:c>
      <x:c r="U90" s="22" t="str">
        <x:v>V3_CURATED_AREA_COST_RECHECK</x:v>
      </x:c>
      <x:c r="V90" s="22" t="str">
        <x:v>초기 스크리닝만</x:v>
      </x:c>
      <x:c r="W90" s="28" t="n">
        <x:v>1</x:v>
      </x:c>
      <x:c r="X90" s="28" t="n">
        <x:v>1</x:v>
      </x:c>
      <x:c r="Y90" s="28" t="n">
        <x:v>1</x:v>
      </x:c>
      <x:c r="Z90" s="28" t="n">
        <x:v>0</x:v>
      </x:c>
      <x:c r="AA90" s="28" t="n">
        <x:v>20</x:v>
      </x:c>
      <x:c r="AB90" s="28" t="n">
        <x:v>0</x:v>
      </x:c>
      <x:c r="AC90" s="28" t="n">
        <x:v>0</x:v>
      </x:c>
      <x:c r="AD90" s="28" t="n">
        <x:v>0</x:v>
      </x:c>
      <x:c r="AE90" s="28" t="n">
        <x:v>0</x:v>
      </x:c>
      <x:c r="AF90" s="25" t="str">
        <x:v>동일/제한 범위 공사금액÷면적 스크리닝 근거</x:v>
      </x:c>
      <x:c r="AG90" s="25" t="str"/>
      <x:c r="AH90" s="25" t="str">
        <x:v>L2023-00022-1/Notice of Bid for Construction_230503.docx</x:v>
      </x:c>
      <x:c r="AI90" s="25" t="str">
        <x:v>표 1 행 8</x:v>
      </x:c>
      <x:c r="AJ90" s="25" t="str">
        <x:v>L2023-00022-1/Notice of Bid for Construction_230503.docx</x:v>
      </x:c>
      <x:c r="AK90" s="25" t="str">
        <x:v>표 1 행 8</x:v>
      </x:c>
      <x:c r="AL90" s="25" t="str">
        <x:v>동별 면적 합계 826.80㎡; 상세페이지 집행한도 USD 1,570,000; 산출단가 USD 1,899/㎡.</x:v>
      </x:c>
      <x:c r="AM90" s="25" t="str">
        <x:v>https://nebid.koica.go.kr/oep/lobi/localBidManageDetail.do?P_LOAZ_BID_PBLANC_NO=L2023-00022&amp;P_PBLANC_ODR=1</x:v>
      </x:c>
    </x:row>
    <x:row r="91">
      <x:c r="A91" s="22" t="str">
        <x:v>X</x:v>
      </x:c>
      <x:c r="B91" s="22" t="str">
        <x:v>2021-00097</x:v>
      </x:c>
      <x:c r="C91" s="22" t="str">
        <x:v>L2023-00030-1</x:v>
      </x:c>
      <x:c r="D91" s="22" t="str">
        <x:v>L2023-00030</x:v>
      </x:c>
      <x:c r="E91" s="22" t="str">
        <x:v>2023-06-08</x:v>
      </x:c>
      <x:c r="F91" s="22" t="str">
        <x:v>피지</x:v>
      </x:c>
      <x:c r="G91" s="25" t="str">
        <x:v>피지 농업공존형 태양광 발전사업(GCF) 영농기술센터 및 농기자재 보관창고 신축 설계 및 감리용역</x:v>
      </x:c>
      <x:c r="H91" s="22" t="str">
        <x:v>용역</x:v>
      </x:c>
      <x:c r="I91" s="22" t="str">
        <x:v>DESIGN_OR_SUPERVISION_SERVICE</x:v>
      </x:c>
      <x:c r="J91" s="22" t="str">
        <x:v>SERVICE_FEE_OR_MIXED</x:v>
      </x:c>
      <x:c r="K91" s="22" t="str">
        <x:v>NO_MATCH</x:v>
      </x:c>
      <x:c r="L91" s="22" t="str">
        <x:v>NO_MATCH</x:v>
      </x:c>
      <x:c r="M91" s="34" t="n">
        <x:v>95000</x:v>
      </x:c>
      <x:c r="N91" s="34"/>
      <x:c r="O91" s="22" t="str">
        <x:v>SERVICE_OR_GOODS_CEILING</x:v>
      </x:c>
      <x:c r="P91" s="37" t="str">
        <x:f>IF(AND(M91&lt;&gt;"",N91&lt;&gt;"",O91&lt;&gt;"NOTICE_EXECUTION_CEILING"),M91/N91-1,"")</x:f>
      </x:c>
      <x:c r="Q91" s="31" t="n">
        <x:v>1100</x:v>
      </x:c>
      <x:c r="R91" s="22" t="str">
        <x:v>GFA</x:v>
      </x:c>
      <x:c r="S91" s="22" t="str">
        <x:v>AUTO_SELECTED_SINGLE_OR_TOTAL</x:v>
      </x:c>
      <x:c r="T91" s="34" t="n">
        <x:f>IFERROR(N91/Q91,"")</x:f>
        <x:v>0</x:v>
      </x:c>
      <x:c r="U91" s="22" t="str">
        <x:v>V3_SCOPE_REVIEW</x:v>
      </x:c>
      <x:c r="V91" s="22" t="str">
        <x:v>계산 금지</x:v>
      </x:c>
      <x:c r="W91" s="28" t="n">
        <x:v>1</x:v>
      </x:c>
      <x:c r="X91" s="28" t="n">
        <x:v>1</x:v>
      </x:c>
      <x:c r="Y91" s="28" t="n">
        <x:v>0</x:v>
      </x:c>
      <x:c r="Z91" s="28" t="n">
        <x:v>0</x:v>
      </x:c>
      <x:c r="AA91" s="28" t="n">
        <x:v>2</x:v>
      </x:c>
      <x:c r="AB91" s="28" t="n">
        <x:v>0</x:v>
      </x:c>
      <x:c r="AC91" s="28" t="n">
        <x:v>0</x:v>
      </x:c>
      <x:c r="AD91" s="28" t="n">
        <x:v>0</x:v>
      </x:c>
      <x:c r="AE91" s="28" t="n">
        <x:v>0</x:v>
      </x:c>
      <x:c r="AF91" s="25" t="str">
        <x:v>설계·감리·기타 용역 집행한도는 건축공사비가 아님</x:v>
      </x:c>
      <x:c r="AG91" s="25" t="str"/>
      <x:c r="AH91" s="25" t="str">
        <x:v>KOICA 입찰 상세페이지</x:v>
      </x:c>
      <x:c r="AI91" s="25" t="str">
        <x:v>집행한도금액(달러)</x:v>
      </x:c>
      <x:c r="AJ91" s="25" t="str">
        <x:v>L2023-00030-1/1. Invitation for Bids(Design &amp; Construction Supervision Services_Ovalau_KOICA)_v3.docx</x:v>
      </x:c>
      <x:c r="AK91" s="25" t="str">
        <x:v>표 1 행 2</x:v>
      </x:c>
      <x:c r="AL91" s="25" t="str">
        <x:v>Village, Ovalau Island, Fiji ∙ Scope of work: Design and Construction Supervision a. Design - One ( 1 )-story b uilding - Total floor area: 1 , 10 0 ㎡ - Site Layout, DD (Design Development), CD (Construction Document) b.</x:v>
      </x:c>
      <x:c r="AM91" s="25" t="str">
        <x:v>https://nebid.koica.go.kr/oep/lobi/localBidManageDetail.do?P_LOAZ_BID_PBLANC_NO=L2023-00030&amp;P_PBLANC_ODR=1</x:v>
      </x:c>
    </x:row>
    <x:row r="92">
      <x:c r="A92" s="22" t="str">
        <x:v>C</x:v>
      </x:c>
      <x:c r="B92" s="22" t="str">
        <x:v>2021-00055</x:v>
      </x:c>
      <x:c r="C92" s="22" t="str">
        <x:v>L2023-00045-1</x:v>
      </x:c>
      <x:c r="D92" s="22" t="str">
        <x:v>L2023-00045</x:v>
      </x:c>
      <x:c r="E92" s="22" t="str">
        <x:v>2023-06-16</x:v>
      </x:c>
      <x:c r="F92" s="22" t="str">
        <x:v>세네갈</x:v>
      </x:c>
      <x:c r="G92" s="25" t="str">
        <x:v>세네갈 ISEPDD 메이커스페이스 및 카페테리아 리모델링 공사 계약</x:v>
      </x:c>
      <x:c r="H92" s="22" t="str">
        <x:v>공사</x:v>
      </x:c>
      <x:c r="I92" s="22" t="str">
        <x:v>WORKS</x:v>
      </x:c>
      <x:c r="J92" s="22" t="str">
        <x:v>WORKS_CEILING</x:v>
      </x:c>
      <x:c r="K92" s="22" t="str">
        <x:v>MATCH</x:v>
      </x:c>
      <x:c r="L92" s="22" t="str">
        <x:v>MATCH</x:v>
      </x:c>
      <x:c r="M92" s="34" t="n">
        <x:v>297000</x:v>
      </x:c>
      <x:c r="N92" s="34" t="n">
        <x:v>297000</x:v>
      </x:c>
      <x:c r="O92" s="22" t="str">
        <x:v>NOTICE_EXECUTION_CEILING</x:v>
      </x:c>
      <x:c r="P92" s="37" t="str">
        <x:f>IF(AND(M92&lt;&gt;"",N92&lt;&gt;"",O92&lt;&gt;"NOTICE_EXECUTION_CEILING"),M92/N92-1,"")</x:f>
      </x:c>
      <x:c r="Q92" s="31" t="n">
        <x:v>453</x:v>
      </x:c>
      <x:c r="R92" s="22" t="str">
        <x:v>GFA</x:v>
      </x:c>
      <x:c r="S92" s="22" t="str">
        <x:v>SINGLE_OR_TOTAL</x:v>
      </x:c>
      <x:c r="T92" s="34" t="n">
        <x:f>IFERROR(N92/Q92,"")</x:f>
        <x:v>655.6291390728477</x:v>
      </x:c>
      <x:c r="U92" s="22" t="str">
        <x:v>V3_CURATED_AREA_COST_RECHECK</x:v>
      </x:c>
      <x:c r="V92" s="22" t="str">
        <x:v>초기 스크리닝만</x:v>
      </x:c>
      <x:c r="W92" s="28" t="n">
        <x:v>1</x:v>
      </x:c>
      <x:c r="X92" s="28" t="n">
        <x:v>1</x:v>
      </x:c>
      <x:c r="Y92" s="28" t="n">
        <x:v>1</x:v>
      </x:c>
      <x:c r="Z92" s="28" t="n">
        <x:v>0</x:v>
      </x:c>
      <x:c r="AA92" s="28" t="n">
        <x:v>1</x:v>
      </x:c>
      <x:c r="AB92" s="28" t="n">
        <x:v>0</x:v>
      </x:c>
      <x:c r="AC92" s="28" t="n">
        <x:v>0</x:v>
      </x:c>
      <x:c r="AD92" s="28" t="n">
        <x:v>0</x:v>
      </x:c>
      <x:c r="AE92" s="28" t="n">
        <x:v>0</x:v>
      </x:c>
      <x:c r="AF92" s="25" t="str">
        <x:v>동일/제한 범위 공사금액÷면적 스크리닝 근거</x:v>
      </x:c>
      <x:c r="AG92" s="25" t="str"/>
      <x:c r="AH92" s="25" t="str">
        <x:v>L2023-00045-1/입찰공고문_영문_Final.docx</x:v>
      </x:c>
      <x:c r="AI92" s="25" t="str">
        <x:v>문단 8</x:v>
      </x:c>
      <x:c r="AJ92" s="25" t="str">
        <x:v>L2023-00045-1/입찰공고문_영문_Final.docx</x:v>
      </x:c>
      <x:c r="AK92" s="25" t="str">
        <x:v>문단 8</x:v>
      </x:c>
      <x:c r="AL92" s="25" t="str">
        <x:v>대상 연면적 453.00㎡; 상세페이지 집행한도 USD 297,000; 산출단가 USD 656/㎡.</x:v>
      </x:c>
      <x:c r="AM92" s="25" t="str">
        <x:v>https://nebid.koica.go.kr/oep/lobi/localBidManageDetail.do?P_LOAZ_BID_PBLANC_NO=L2023-00045&amp;P_PBLANC_ODR=1</x:v>
      </x:c>
    </x:row>
    <x:row r="93">
      <x:c r="A93" s="22" t="str">
        <x:v>C?</x:v>
      </x:c>
      <x:c r="B93" s="22" t="str">
        <x:v>2019-00037</x:v>
      </x:c>
      <x:c r="C93" s="22" t="str">
        <x:v>L2023-00027-1</x:v>
      </x:c>
      <x:c r="D93" s="22" t="str">
        <x:v>L2023-00027</x:v>
      </x:c>
      <x:c r="E93" s="22" t="str">
        <x:v>2023-06-21</x:v>
      </x:c>
      <x:c r="F93" s="22" t="str">
        <x:v>엘살바도르</x:v>
      </x:c>
      <x:c r="G93" s="25" t="str">
        <x:v>엘살바도르 국립보건교육센터 설립 및 보건교육 강화사업 시공사 선정 입찰</x:v>
      </x:c>
      <x:c r="H93" s="22" t="str">
        <x:v>공사</x:v>
      </x:c>
      <x:c r="I93" s="22" t="str">
        <x:v>WORKS</x:v>
      </x:c>
      <x:c r="J93" s="22" t="str">
        <x:v>WORKS_CEILING</x:v>
      </x:c>
      <x:c r="K93" s="22" t="str">
        <x:v>MATCH</x:v>
      </x:c>
      <x:c r="L93" s="22" t="str">
        <x:v>MATCH</x:v>
      </x:c>
      <x:c r="M93" s="34" t="n">
        <x:v>3875000</x:v>
      </x:c>
      <x:c r="N93" s="34" t="n">
        <x:v>3875000</x:v>
      </x:c>
      <x:c r="O93" s="22" t="str">
        <x:v>NOTICE_EXECUTION_CEILING</x:v>
      </x:c>
      <x:c r="P93" s="37" t="str">
        <x:f>IF(AND(M93&lt;&gt;"",N93&lt;&gt;"",O93&lt;&gt;"NOTICE_EXECUTION_CEILING"),M93/N93-1,"")</x:f>
      </x:c>
      <x:c r="Q93" s="31" t="n">
        <x:v>2983</x:v>
      </x:c>
      <x:c r="R93" s="22" t="str">
        <x:v>GFA</x:v>
      </x:c>
      <x:c r="S93" s="22" t="str">
        <x:v>AUTO_SELECTED_SINGLE_OR_TOTAL</x:v>
      </x:c>
      <x:c r="T93" s="34" t="n">
        <x:f>IFERROR(N93/Q93,"")</x:f>
        <x:v>1299.0278243379148</x:v>
      </x:c>
      <x:c r="U93" s="22" t="str">
        <x:v>V2R_HUMAN_REVIEWED_EXTRACTION</x:v>
      </x:c>
      <x:c r="V93" s="22" t="str">
        <x:v>초기 스크리닝만</x:v>
      </x:c>
      <x:c r="W93" s="28" t="n">
        <x:v>1</x:v>
      </x:c>
      <x:c r="X93" s="28" t="n">
        <x:v>0</x:v>
      </x:c>
      <x:c r="Y93" s="28" t="n">
        <x:v>0</x:v>
      </x:c>
      <x:c r="Z93" s="28" t="n">
        <x:v>0</x:v>
      </x:c>
      <x:c r="AA93" s="28" t="n">
        <x:v>17</x:v>
      </x:c>
      <x:c r="AB93" s="28" t="n">
        <x:v>0</x:v>
      </x:c>
      <x:c r="AC93" s="28" t="n">
        <x:v>0</x:v>
      </x:c>
      <x:c r="AD93" s="28" t="n">
        <x:v>0</x:v>
      </x:c>
      <x:c r="AE93" s="28" t="n">
        <x:v>0</x:v>
      </x:c>
      <x:c r="AF93" s="25" t="str">
        <x:v>범위 일치 잠정확인; 원본 V3 확인 전 직접 사용 금지</x:v>
      </x:c>
      <x:c r="AG93" s="25" t="str"/>
      <x:c r="AH93" s="25" t="str">
        <x:v>KOICA 입찰 상세페이지</x:v>
      </x:c>
      <x:c r="AI93" s="25" t="str">
        <x:v>집행한도금액(달러)</x:v>
      </x:c>
      <x:c r="AJ93" s="25" t="str">
        <x:v>L2023-00027-1/1. 입찰계획 (국문)_v2.hwp</x:v>
      </x:c>
      <x:c r="AK93" s="25" t="str">
        <x:v>문단 71</x:v>
      </x:c>
      <x:c r="AL93" s="25" t="str">
        <x:v>ㅇ 연면적 : 2,983 ㎡</x:v>
      </x:c>
      <x:c r="AM93" s="25" t="str">
        <x:v>https://nebid.koica.go.kr/oep/lobi/localBidManageDetail.do?P_LOAZ_BID_PBLANC_NO=L2023-00027&amp;P_PBLANC_ODR=1</x:v>
      </x:c>
    </x:row>
    <x:row r="94">
      <x:c r="A94" s="22" t="str">
        <x:v>X</x:v>
      </x:c>
      <x:c r="B94" s="22" t="str">
        <x:v>2021-00042</x:v>
      </x:c>
      <x:c r="C94" s="22" t="str">
        <x:v>L2023-00028-1</x:v>
      </x:c>
      <x:c r="D94" s="22" t="str">
        <x:v>L2023-00028</x:v>
      </x:c>
      <x:c r="E94" s="22" t="str">
        <x:v>2023-06-27</x:v>
      </x:c>
      <x:c r="F94" s="22" t="str">
        <x:v>우간다</x:v>
      </x:c>
      <x:c r="G94" s="25" t="str">
        <x:v>우간다 농업지도자연수원 자립적 운영체계 구축 및 연수역량강화 사업을 위한 설계 및 감리 용역</x:v>
      </x:c>
      <x:c r="H94" s="22" t="str">
        <x:v>용역</x:v>
      </x:c>
      <x:c r="I94" s="22" t="str">
        <x:v>DESIGN_OR_SUPERVISION_SERVICE</x:v>
      </x:c>
      <x:c r="J94" s="22" t="str">
        <x:v>SERVICE_FEE_OR_MIXED</x:v>
      </x:c>
      <x:c r="K94" s="22" t="str">
        <x:v>NO_MATCH</x:v>
      </x:c>
      <x:c r="L94" s="22" t="str">
        <x:v>NO_MATCH</x:v>
      </x:c>
      <x:c r="M94" s="34" t="n">
        <x:v>274330</x:v>
      </x:c>
      <x:c r="N94" s="34"/>
      <x:c r="O94" s="22" t="str">
        <x:v>SERVICE_OR_GOODS_CEILING</x:v>
      </x:c>
      <x:c r="P94" s="37" t="str">
        <x:f>IF(AND(M94&lt;&gt;"",N94&lt;&gt;"",O94&lt;&gt;"NOTICE_EXECUTION_CEILING"),M94/N94-1,"")</x:f>
      </x:c>
      <x:c r="Q94" s="31" t="n">
        <x:v>3772</x:v>
      </x:c>
      <x:c r="R94" s="22" t="str">
        <x:v>GFA</x:v>
      </x:c>
      <x:c r="S94" s="22" t="str">
        <x:v>AUTO_SELECTED_SINGLE_OR_TOTAL</x:v>
      </x:c>
      <x:c r="T94" s="34" t="n">
        <x:f>IFERROR(N94/Q94,"")</x:f>
        <x:v>0</x:v>
      </x:c>
      <x:c r="U94" s="22" t="str">
        <x:v>V3_SCOPE_REVIEW</x:v>
      </x:c>
      <x:c r="V94" s="22" t="str">
        <x:v>계산 금지</x:v>
      </x:c>
      <x:c r="W94" s="28" t="n">
        <x:v>1</x:v>
      </x:c>
      <x:c r="X94" s="28" t="n">
        <x:v>0</x:v>
      </x:c>
      <x:c r="Y94" s="28" t="n">
        <x:v>0</x:v>
      </x:c>
      <x:c r="Z94" s="28" t="n">
        <x:v>0</x:v>
      </x:c>
      <x:c r="AA94" s="28" t="n">
        <x:v>12</x:v>
      </x:c>
      <x:c r="AB94" s="28" t="n">
        <x:v>0</x:v>
      </x:c>
      <x:c r="AC94" s="28" t="n">
        <x:v>0</x:v>
      </x:c>
      <x:c r="AD94" s="28" t="n">
        <x:v>0</x:v>
      </x:c>
      <x:c r="AE94" s="28" t="n">
        <x:v>0</x:v>
      </x:c>
      <x:c r="AF94" s="25" t="str">
        <x:v>설계·감리·기타 용역 집행한도는 건축공사비가 아님</x:v>
      </x:c>
      <x:c r="AG94" s="25" t="str"/>
      <x:c r="AH94" s="25" t="str">
        <x:v>KOICA 입찰 상세페이지</x:v>
      </x:c>
      <x:c r="AI94" s="25" t="str">
        <x:v>집행한도금액(달러)</x:v>
      </x:c>
      <x:c r="AJ94" s="25" t="str">
        <x:v>L2023-00028-1/1. 입찰계획안(국, 영문)/1-1. Bidding Guideline_KOR_230622.docx</x:v>
      </x:c>
      <x:c r="AK94" s="25" t="str">
        <x:v>문단 29</x:v>
      </x:c>
      <x:c r="AL94" s="25" t="str">
        <x:v>연면적 : 3,772㎡ (± 5% 범위 내에서 조정 가능 )</x:v>
      </x:c>
      <x:c r="AM94" s="25" t="str">
        <x:v>https://nebid.koica.go.kr/oep/lobi/localBidManageDetail.do?P_LOAZ_BID_PBLANC_NO=L2023-00028&amp;P_PBLANC_ODR=1</x:v>
      </x:c>
    </x:row>
    <x:row r="95">
      <x:c r="A95" s="22" t="str">
        <x:v>X</x:v>
      </x:c>
      <x:c r="B95" s="22" t="str">
        <x:v>2020-00046</x:v>
      </x:c>
      <x:c r="C95" s="22" t="str">
        <x:v>L2023-00032-1</x:v>
      </x:c>
      <x:c r="D95" s="22" t="str">
        <x:v>L2023-00032</x:v>
      </x:c>
      <x:c r="E95" s="22" t="str">
        <x:v>2023-06-30</x:v>
      </x:c>
      <x:c r="F95" s="22" t="str">
        <x:v>모잠비크</x:v>
      </x:c>
      <x:c r="G95" s="25" t="str">
        <x:v>모잠비크 도로안전 시범개선사업 시공업체 선정 입찰</x:v>
      </x:c>
      <x:c r="H95" s="22" t="str">
        <x:v>공사</x:v>
      </x:c>
      <x:c r="I95" s="22" t="str">
        <x:v>NONBUILDING_OR_FALSE_AREA</x:v>
      </x:c>
      <x:c r="J95" s="22" t="str">
        <x:v>WORKS_CEILING</x:v>
      </x:c>
      <x:c r="K95" s="22" t="str">
        <x:v>NO_MATCH</x:v>
      </x:c>
      <x:c r="L95" s="22" t="str">
        <x:v>NO_MATCH</x:v>
      </x:c>
      <x:c r="M95" s="34" t="n">
        <x:v>2060000</x:v>
      </x:c>
      <x:c r="N95" s="34"/>
      <x:c r="O95" s="22" t="str">
        <x:v>SERVICE_OR_GOODS_CEILING</x:v>
      </x:c>
      <x:c r="P95" s="37" t="str">
        <x:f>IF(AND(M95&lt;&gt;"",N95&lt;&gt;"",O95&lt;&gt;"NOTICE_EXECUTION_CEILING"),M95/N95-1,"")</x:f>
      </x:c>
      <x:c r="Q95" s="31"/>
      <x:c r="R95" s="22" t="str">
        <x:v>AMBIGUOUS_OR_WORK_ITEM</x:v>
      </x:c>
      <x:c r="S95" s="22" t="str">
        <x:v>NOT_APPLICABLE</x:v>
      </x:c>
      <x:c r="T95" s="34" t="str">
        <x:f>IFERROR(N95/Q95,"")</x:f>
      </x:c>
      <x:c r="U95" s="22" t="str">
        <x:v>V3_SCOPE_REVIEW</x:v>
      </x:c>
      <x:c r="V95" s="22" t="str">
        <x:v>계산 금지</x:v>
      </x:c>
      <x:c r="W95" s="28" t="n">
        <x:v>1</x:v>
      </x:c>
      <x:c r="X95" s="28" t="n">
        <x:v>1</x:v>
      </x:c>
      <x:c r="Y95" s="28" t="n">
        <x:v>0</x:v>
      </x:c>
      <x:c r="Z95" s="28" t="n">
        <x:v>0</x:v>
      </x:c>
      <x:c r="AA95" s="28" t="n">
        <x:v>16</x:v>
      </x:c>
      <x:c r="AB95" s="28" t="n">
        <x:v>1</x:v>
      </x:c>
      <x:c r="AC95" s="28" t="n">
        <x:v>1</x:v>
      </x:c>
      <x:c r="AD95" s="28" t="n">
        <x:v>1</x:v>
      </x:c>
      <x:c r="AE95" s="28" t="n">
        <x:v>0</x:v>
      </x:c>
      <x:c r="AF95" s="25" t="str">
        <x:v>물품·비건축 또는 GFA 오탐으로 건축공사비 표본 제외</x:v>
      </x:c>
      <x:c r="AG95" s="25" t="str">
        <x:v>도로안전 공사 시방서의 책상·캐비닛 표면적을 GFA로 오인</x:v>
      </x:c>
      <x:c r="AH95" s="25" t="str">
        <x:v>KOICA 입찰 상세페이지</x:v>
      </x:c>
      <x:c r="AI95" s="25" t="str">
        <x:v>집행한도금액(달러)</x:v>
      </x:c>
      <x:c r="AJ95" s="25" t="str">
        <x:v>L2023-00032-1/2. 입찰서류(영문)/Section 6 - Technical Specifications.pdf</x:v>
      </x:c>
      <x:c r="AK95" s="25" t="str">
        <x:v>페이지 25</x:v>
      </x:c>
      <x:c r="AL95" s="25" t="str">
        <x:v>도로안전 공사 시방서의 책상·캐비닛 표면적을 GFA로 오인</x:v>
      </x:c>
      <x:c r="AM95" s="25" t="str">
        <x:v>https://nebid.koica.go.kr/oep/lobi/localBidManageDetail.do?P_LOAZ_BID_PBLANC_NO=L2023-00032&amp;P_PBLANC_ODR=1</x:v>
      </x:c>
    </x:row>
    <x:row r="96">
      <x:c r="A96" s="22" t="str">
        <x:v>C</x:v>
      </x:c>
      <x:c r="B96" s="22" t="str">
        <x:v>2019-00015</x:v>
      </x:c>
      <x:c r="C96" s="22" t="str">
        <x:v>L2023-00035-1</x:v>
      </x:c>
      <x:c r="D96" s="22" t="str">
        <x:v>L2023-00035</x:v>
      </x:c>
      <x:c r="E96" s="22" t="str">
        <x:v>2023-07-07</x:v>
      </x:c>
      <x:c r="F96" s="22" t="str">
        <x:v>키르기즈</x:v>
      </x:c>
      <x:c r="G96" s="25" t="str">
        <x:v>(긴급) 키르기스스탄 OPSC 개보수 공사 시공업체 선정 현지 입찰</x:v>
      </x:c>
      <x:c r="H96" s="22" t="str">
        <x:v>공사</x:v>
      </x:c>
      <x:c r="I96" s="22" t="str">
        <x:v>WORKS</x:v>
      </x:c>
      <x:c r="J96" s="22" t="str">
        <x:v>WORKS_CEILING</x:v>
      </x:c>
      <x:c r="K96" s="22" t="str">
        <x:v>MATCH</x:v>
      </x:c>
      <x:c r="L96" s="22" t="str">
        <x:v>MATCH</x:v>
      </x:c>
      <x:c r="M96" s="34" t="n">
        <x:v>388511</x:v>
      </x:c>
      <x:c r="N96" s="34" t="n">
        <x:v>388511</x:v>
      </x:c>
      <x:c r="O96" s="22" t="str">
        <x:v>NOTICE_EXECUTION_CEILING</x:v>
      </x:c>
      <x:c r="P96" s="37" t="str">
        <x:f>IF(AND(M96&lt;&gt;"",N96&lt;&gt;"",O96&lt;&gt;"NOTICE_EXECUTION_CEILING"),M96/N96-1,"")</x:f>
      </x:c>
      <x:c r="Q96" s="31" t="n">
        <x:v>1739.82</x:v>
      </x:c>
      <x:c r="R96" s="22" t="str">
        <x:v>GFA</x:v>
      </x:c>
      <x:c r="S96" s="22" t="str">
        <x:v>SINGLE_OR_TOTAL</x:v>
      </x:c>
      <x:c r="T96" s="34" t="n">
        <x:f>IFERROR(N96/Q96,"")</x:f>
        <x:v>223.30528445471373</x:v>
      </x:c>
      <x:c r="U96" s="22" t="str">
        <x:v>V3_CURATED_AREA_COST_RECHECK</x:v>
      </x:c>
      <x:c r="V96" s="22" t="str">
        <x:v>초기 스크리닝만</x:v>
      </x:c>
      <x:c r="W96" s="28" t="n">
        <x:v>1</x:v>
      </x:c>
      <x:c r="X96" s="28" t="n">
        <x:v>1</x:v>
      </x:c>
      <x:c r="Y96" s="28" t="n">
        <x:v>1</x:v>
      </x:c>
      <x:c r="Z96" s="28" t="n">
        <x:v>0</x:v>
      </x:c>
      <x:c r="AA96" s="28" t="n">
        <x:v>17</x:v>
      </x:c>
      <x:c r="AB96" s="28" t="n">
        <x:v>0</x:v>
      </x:c>
      <x:c r="AC96" s="28" t="n">
        <x:v>0</x:v>
      </x:c>
      <x:c r="AD96" s="28" t="n">
        <x:v>0</x:v>
      </x:c>
      <x:c r="AE96" s="28" t="n">
        <x:v>0</x:v>
      </x:c>
      <x:c r="AF96" s="25" t="str">
        <x:v>동일/제한 범위 공사금액÷면적 스크리닝 근거</x:v>
      </x:c>
      <x:c r="AG96" s="25" t="str"/>
      <x:c r="AH96" s="25" t="str">
        <x:v>L2023-00035-1/DOC/OPSC_eng/ENG_Section 2 - Bid Data Sheet (BDS)_Kyrgyzstan_OPSC_22 JUNE_CM reviewed.docx</x:v>
      </x:c>
      <x:c r="AI96" s="25" t="str">
        <x:v>표 3 행 8</x:v>
      </x:c>
      <x:c r="AJ96" s="25" t="str">
        <x:v>L2023-00035-1/DOC/OPSC_eng/ENG_Section 2 - Bid Data Sheet (BDS)_Kyrgyzstan_OPSC_22 JUNE_CM reviewed.docx</x:v>
      </x:c>
      <x:c r="AK96" s="25" t="str">
        <x:v>표 3 행 8</x:v>
      </x:c>
      <x:c r="AL96" s="25" t="str">
        <x:v>대상 연면적 1,739.82㎡; 상세페이지 집행한도 USD 388,511; 산출단가 USD 223/㎡.</x:v>
      </x:c>
      <x:c r="AM96" s="25" t="str">
        <x:v>https://nebid.koica.go.kr/oep/lobi/localBidManageDetail.do?P_LOAZ_BID_PBLANC_NO=L2023-00035&amp;P_PBLANC_ODR=1</x:v>
      </x:c>
    </x:row>
    <x:row r="97">
      <x:c r="A97" s="22" t="str">
        <x:v>B</x:v>
      </x:c>
      <x:c r="B97" s="22" t="str">
        <x:v>2020-00086</x:v>
      </x:c>
      <x:c r="C97" s="22" t="str">
        <x:v>L2023-00036-1</x:v>
      </x:c>
      <x:c r="D97" s="22" t="str">
        <x:v>L2023-00036</x:v>
      </x:c>
      <x:c r="E97" s="22" t="str">
        <x:v>2023-07-17</x:v>
      </x:c>
      <x:c r="F97" s="22" t="str">
        <x:v>우즈베키스탄</x:v>
      </x:c>
      <x:c r="G97" s="25" t="str">
        <x:v>우즈베키스탄 우르겐치 직업훈련원 건립 및 타슈켄트 교사연수센터 건립사업 시공업체선정 현지입찰</x:v>
      </x:c>
      <x:c r="H97" s="22" t="str">
        <x:v>공사</x:v>
      </x:c>
      <x:c r="I97" s="22" t="str">
        <x:v>WORKS</x:v>
      </x:c>
      <x:c r="J97" s="22" t="str">
        <x:v>WORKS_CEILING</x:v>
      </x:c>
      <x:c r="K97" s="22" t="str">
        <x:v>MATCH</x:v>
      </x:c>
      <x:c r="L97" s="22" t="str">
        <x:v>MATCH</x:v>
      </x:c>
      <x:c r="M97" s="34" t="n">
        <x:v>5361576</x:v>
      </x:c>
      <x:c r="N97" s="34" t="n">
        <x:v>5361576</x:v>
      </x:c>
      <x:c r="O97" s="22" t="str">
        <x:v>NOTICE_EXECUTION_CEILING</x:v>
      </x:c>
      <x:c r="P97" s="37" t="str">
        <x:f>IF(AND(M97&lt;&gt;"",N97&lt;&gt;"",O97&lt;&gt;"NOTICE_EXECUTION_CEILING"),M97/N97-1,"")</x:f>
      </x:c>
      <x:c r="Q97" s="31" t="n">
        <x:v>6963</x:v>
      </x:c>
      <x:c r="R97" s="22" t="str">
        <x:v>GFA</x:v>
      </x:c>
      <x:c r="S97" s="22" t="str">
        <x:v>SUM_VTC_TTC</x:v>
      </x:c>
      <x:c r="T97" s="34" t="n">
        <x:f>IFERROR(N97/Q97,"")</x:f>
        <x:v>770.0094786729858</x:v>
      </x:c>
      <x:c r="U97" s="22" t="str">
        <x:v>V3_ORIGINAL_MANUAL</x:v>
      </x:c>
      <x:c r="V97" s="22" t="str">
        <x:v>현지단가 결합 수량모델</x:v>
      </x:c>
      <x:c r="W97" s="28" t="n">
        <x:v>1</x:v>
      </x:c>
      <x:c r="X97" s="28" t="n">
        <x:v>1</x:v>
      </x:c>
      <x:c r="Y97" s="28" t="n">
        <x:v>0</x:v>
      </x:c>
      <x:c r="Z97" s="28" t="n">
        <x:v>1</x:v>
      </x:c>
      <x:c r="AA97" s="28" t="n">
        <x:v>287</x:v>
      </x:c>
      <x:c r="AB97" s="28" t="n">
        <x:v>260</x:v>
      </x:c>
      <x:c r="AC97" s="28" t="n">
        <x:v>275</x:v>
      </x:c>
      <x:c r="AD97" s="28" t="n">
        <x:v>102</x:v>
      </x:c>
      <x:c r="AE97" s="28" t="n">
        <x:v>0</x:v>
      </x:c>
      <x:c r="AF97" s="25" t="str">
        <x:v>우르겐치 VTC·TTC 공종별 not-priced BOQ</x:v>
      </x:c>
      <x:c r="AG97" s="25" t="str"/>
      <x:c r="AH97" s="25" t="str">
        <x:v>KOICA 입찰 상세페이지</x:v>
      </x:c>
      <x:c r="AI97" s="25" t="str">
        <x:v>집행한도금액(달러)</x:v>
      </x:c>
      <x:c r="AJ97" s="25" t="str">
        <x:v>L2023-00036-1</x:v>
      </x:c>
      <x:c r="AK97" s="25" t="str">
        <x:v>문단 203·204 / 표 1 행 5</x:v>
      </x:c>
      <x:c r="AL97" s="25" t="str">
        <x:v>VTC 5,698㎡ + TTC 1,265㎡</x:v>
      </x:c>
      <x:c r="AM97" s="25" t="str">
        <x:v>https://nebid.koica.go.kr/oep/lobi/localBidManageDetail.do?P_LOAZ_BID_PBLANC_NO=L2023-00036&amp;P_PBLANC_ODR=1</x:v>
      </x:c>
    </x:row>
    <x:row r="98">
      <x:c r="A98" s="22" t="str">
        <x:v>C</x:v>
      </x:c>
      <x:c r="B98" s="22" t="str">
        <x:v>2020-00086</x:v>
      </x:c>
      <x:c r="C98" s="22" t="str">
        <x:v>L2023-00053-1</x:v>
      </x:c>
      <x:c r="D98" s="22" t="str">
        <x:v>L2023-00053</x:v>
      </x:c>
      <x:c r="E98" s="22" t="str">
        <x:v>2023-07-17</x:v>
      </x:c>
      <x:c r="F98" s="22" t="str">
        <x:v>우즈베키스탄</x:v>
      </x:c>
      <x:c r="G98" s="25" t="str">
        <x:v>우즈베키스탄 직업훈련원 및 타슈켄트 교사연수센터 건립 시공업체 선정 현지입찰</x:v>
      </x:c>
      <x:c r="H98" s="22" t="str">
        <x:v>공사</x:v>
      </x:c>
      <x:c r="I98" s="22" t="str">
        <x:v>WORKS</x:v>
      </x:c>
      <x:c r="J98" s="22" t="str">
        <x:v>WORKS_CEILING</x:v>
      </x:c>
      <x:c r="K98" s="22" t="str">
        <x:v>MATCH</x:v>
      </x:c>
      <x:c r="L98" s="22" t="str">
        <x:v>MATCH</x:v>
      </x:c>
      <x:c r="M98" s="34" t="n">
        <x:v>5361576</x:v>
      </x:c>
      <x:c r="N98" s="34" t="n">
        <x:v>5361576</x:v>
      </x:c>
      <x:c r="O98" s="22" t="str">
        <x:v>NOTICE_EXECUTION_CEILING</x:v>
      </x:c>
      <x:c r="P98" s="37" t="str">
        <x:f>IF(AND(M98&lt;&gt;"",N98&lt;&gt;"",O98&lt;&gt;"NOTICE_EXECUTION_CEILING"),M98/N98-1,"")</x:f>
      </x:c>
      <x:c r="Q98" s="31" t="n">
        <x:v>6963</x:v>
      </x:c>
      <x:c r="R98" s="22" t="str">
        <x:v>GFA</x:v>
      </x:c>
      <x:c r="S98" s="22" t="str">
        <x:v>SINGLE_OR_TOTAL</x:v>
      </x:c>
      <x:c r="T98" s="34" t="n">
        <x:f>IFERROR(N98/Q98,"")</x:f>
        <x:v>770.0094786729858</x:v>
      </x:c>
      <x:c r="U98" s="22" t="str">
        <x:v>V3_CURATED_AREA_COST_RECHECK</x:v>
      </x:c>
      <x:c r="V98" s="22" t="str">
        <x:v>초기 스크리닝만</x:v>
      </x:c>
      <x:c r="W98" s="28" t="n">
        <x:v>1</x:v>
      </x:c>
      <x:c r="X98" s="28" t="n">
        <x:v>0</x:v>
      </x:c>
      <x:c r="Y98" s="28" t="n">
        <x:v>1</x:v>
      </x:c>
      <x:c r="Z98" s="28" t="n">
        <x:v>0</x:v>
      </x:c>
      <x:c r="AA98" s="28" t="n">
        <x:v>287</x:v>
      </x:c>
      <x:c r="AB98" s="28" t="n">
        <x:v>260</x:v>
      </x:c>
      <x:c r="AC98" s="28" t="n">
        <x:v>275</x:v>
      </x:c>
      <x:c r="AD98" s="28" t="n">
        <x:v>102</x:v>
      </x:c>
      <x:c r="AE98" s="28" t="n">
        <x:v>0</x:v>
      </x:c>
      <x:c r="AF98" s="25" t="str">
        <x:v>동일/제한 범위 공사금액÷면적 스크리닝 근거</x:v>
      </x:c>
      <x:c r="AG98" s="25" t="str"/>
      <x:c r="AH98" s="25" t="str">
        <x:v>L2023-00053-1/Urgench VTC Bid Attachment Documents/Urgench VTC Bid Attachment Documents/Urgench_VTC_Bid Annoncement(The Daily Korean News for Korean Residents).docx</x:v>
      </x:c>
      <x:c r="AI98" s="25" t="str">
        <x:v>문단 10</x:v>
      </x:c>
      <x:c r="AJ98" s="25" t="str">
        <x:v>L2023-00053-1/Urgench VTC Bid Attachment Documents/Urgench VTC Bid Attachment Documents/Urgench_VTC_Bid Annoncement(The Daily Korean News for Korean Residents).docx</x:v>
      </x:c>
      <x:c r="AK98" s="25" t="str">
        <x:v>문단 10</x:v>
      </x:c>
      <x:c r="AL98" s="25" t="str">
        <x:v>총연면적 6,963.00㎡; 상세페이지 집행한도 USD 5,361,576; 산출단가 USD 770/㎡.</x:v>
      </x:c>
      <x:c r="AM98" s="25" t="str">
        <x:v>https://nebid.koica.go.kr/oep/lobi/localBidManageDetail.do?P_LOAZ_BID_PBLANC_NO=L2023-00053&amp;P_PBLANC_ODR=1</x:v>
      </x:c>
    </x:row>
    <x:row r="99">
      <x:c r="A99" s="22" t="str">
        <x:v>X</x:v>
      </x:c>
      <x:c r="B99" s="22" t="str">
        <x:v>2019-00037</x:v>
      </x:c>
      <x:c r="C99" s="22" t="str">
        <x:v>L2023-00037-1</x:v>
      </x:c>
      <x:c r="D99" s="22" t="str">
        <x:v>L2023-00037</x:v>
      </x:c>
      <x:c r="E99" s="22" t="str">
        <x:v>2023-07-18</x:v>
      </x:c>
      <x:c r="F99" s="22" t="str">
        <x:v>엘살바도르</x:v>
      </x:c>
      <x:c r="G99" s="25" t="str">
        <x:v>엘살바도르 국립보건교육센터 설립 및 보건교육 강화사업 감리 용역 현지 입찰</x:v>
      </x:c>
      <x:c r="H99" s="22" t="str">
        <x:v>용역</x:v>
      </x:c>
      <x:c r="I99" s="22" t="str">
        <x:v>DESIGN_OR_SUPERVISION_SERVICE</x:v>
      </x:c>
      <x:c r="J99" s="22" t="str">
        <x:v>SERVICE_FEE_OR_MIXED</x:v>
      </x:c>
      <x:c r="K99" s="22" t="str">
        <x:v>NO_MATCH</x:v>
      </x:c>
      <x:c r="L99" s="22" t="str">
        <x:v>NO_MATCH</x:v>
      </x:c>
      <x:c r="M99" s="34" t="n">
        <x:v>200000</x:v>
      </x:c>
      <x:c r="N99" s="34"/>
      <x:c r="O99" s="22" t="str">
        <x:v>SERVICE_OR_GOODS_CEILING</x:v>
      </x:c>
      <x:c r="P99" s="37" t="str">
        <x:f>IF(AND(M99&lt;&gt;"",N99&lt;&gt;"",O99&lt;&gt;"NOTICE_EXECUTION_CEILING"),M99/N99-1,"")</x:f>
      </x:c>
      <x:c r="Q99" s="31" t="n">
        <x:v>2983</x:v>
      </x:c>
      <x:c r="R99" s="22" t="str">
        <x:v>GFA</x:v>
      </x:c>
      <x:c r="S99" s="22" t="str">
        <x:v>AUTO_SELECTED_SINGLE_OR_TOTAL</x:v>
      </x:c>
      <x:c r="T99" s="34" t="n">
        <x:f>IFERROR(N99/Q99,"")</x:f>
        <x:v>0</x:v>
      </x:c>
      <x:c r="U99" s="22" t="str">
        <x:v>V3_SCOPE_REVIEW</x:v>
      </x:c>
      <x:c r="V99" s="22" t="str">
        <x:v>계산 금지</x:v>
      </x:c>
      <x:c r="W99" s="28" t="n">
        <x:v>1</x:v>
      </x:c>
      <x:c r="X99" s="28" t="n">
        <x:v>0</x:v>
      </x:c>
      <x:c r="Y99" s="28" t="n">
        <x:v>0</x:v>
      </x:c>
      <x:c r="Z99" s="28" t="n">
        <x:v>0</x:v>
      </x:c>
      <x:c r="AA99" s="28" t="n">
        <x:v>20</x:v>
      </x:c>
      <x:c r="AB99" s="28" t="n">
        <x:v>0</x:v>
      </x:c>
      <x:c r="AC99" s="28" t="n">
        <x:v>0</x:v>
      </x:c>
      <x:c r="AD99" s="28" t="n">
        <x:v>0</x:v>
      </x:c>
      <x:c r="AE99" s="28" t="n">
        <x:v>0</x:v>
      </x:c>
      <x:c r="AF99" s="25" t="str">
        <x:v>설계·감리·기타 용역 집행한도는 건축공사비가 아님</x:v>
      </x:c>
      <x:c r="AG99" s="25" t="str"/>
      <x:c r="AH99" s="25" t="str">
        <x:v>KOICA 입찰 상세페이지</x:v>
      </x:c>
      <x:c r="AI99" s="25" t="str">
        <x:v>집행한도금액(달러)</x:v>
      </x:c>
      <x:c r="AJ99" s="25" t="str">
        <x:v>L2023-00037-1/국문 입찰계획_엘살바도르 국립보건교육센터 감리입찰_v3.hwp</x:v>
      </x:c>
      <x:c r="AK99" s="25" t="str">
        <x:v>문단 81</x:v>
      </x:c>
      <x:c r="AL99" s="25" t="str">
        <x:v>ㅇ 연면적: 2,983 ㎡</x:v>
      </x:c>
      <x:c r="AM99" s="25" t="str">
        <x:v>https://nebid.koica.go.kr/oep/lobi/localBidManageDetail.do?P_LOAZ_BID_PBLANC_NO=L2023-00037&amp;P_PBLANC_ODR=1</x:v>
      </x:c>
    </x:row>
    <x:row r="100">
      <x:c r="A100" s="22" t="str">
        <x:v>C-부분</x:v>
      </x:c>
      <x:c r="B100" s="22" t="str">
        <x:v>2022-00076</x:v>
      </x:c>
      <x:c r="C100" s="22" t="str">
        <x:v>L2023-00038-1</x:v>
      </x:c>
      <x:c r="D100" s="22" t="str">
        <x:v>L2023-00038</x:v>
      </x:c>
      <x:c r="E100" s="22" t="str">
        <x:v>2023-07-22</x:v>
      </x:c>
      <x:c r="F100" s="22" t="str">
        <x:v>피지</x:v>
      </x:c>
      <x:c r="G100" s="25" t="str">
        <x:v>피지 국립재활센터 건립사업 설계 및 감리용역 현지입찰계획</x:v>
      </x:c>
      <x:c r="H100" s="22" t="str">
        <x:v>용역</x:v>
      </x:c>
      <x:c r="I100" s="22" t="str">
        <x:v>DESIGN_OR_SUPERVISION_SERVICE</x:v>
      </x:c>
      <x:c r="J100" s="22" t="str">
        <x:v>SERVICE_FEE_OR_MIXED</x:v>
      </x:c>
      <x:c r="K100" s="22" t="str">
        <x:v>NO_MATCH</x:v>
      </x:c>
      <x:c r="L100" s="22" t="str">
        <x:v>PARTIAL_ATTACHMENT_CONSTRUCTION_BUDGET</x:v>
      </x:c>
      <x:c r="M100" s="34" t="n">
        <x:v>450176</x:v>
      </x:c>
      <x:c r="N100" s="34" t="n">
        <x:v>5627206</x:v>
      </x:c>
      <x:c r="O100" s="22" t="str">
        <x:v>DESIGN_ESTIMATE</x:v>
      </x:c>
      <x:c r="P100" s="37" t="n">
        <x:f>IF(AND(M100&lt;&gt;"",N100&lt;&gt;"",O100&lt;&gt;"NOTICE_EXECUTION_CEILING"),M100/N100-1,"")</x:f>
        <x:v>-0.9200000852998806</x:v>
      </x:c>
      <x:c r="Q100" s="31" t="n">
        <x:v>2700</x:v>
      </x:c>
      <x:c r="R100" s="22" t="str">
        <x:v>GFA</x:v>
      </x:c>
      <x:c r="S100" s="22" t="str">
        <x:v>SINGLE_OR_TOTAL</x:v>
      </x:c>
      <x:c r="T100" s="34" t="n">
        <x:f>IFERROR(N100/Q100,"")</x:f>
        <x:v>2084.15037037037</x:v>
      </x:c>
      <x:c r="U100" s="22" t="str">
        <x:v>V3_CURATED_AREA_COST_RECHECK</x:v>
      </x:c>
      <x:c r="V100" s="22" t="str">
        <x:v>초기 스크리닝만</x:v>
      </x:c>
      <x:c r="W100" s="28" t="n">
        <x:v>1</x:v>
      </x:c>
      <x:c r="X100" s="28" t="n">
        <x:v>0</x:v>
      </x:c>
      <x:c r="Y100" s="28" t="n">
        <x:v>1</x:v>
      </x:c>
      <x:c r="Z100" s="28" t="n">
        <x:v>0</x:v>
      </x:c>
      <x:c r="AA100" s="28" t="n">
        <x:v>16</x:v>
      </x:c>
      <x:c r="AB100" s="28" t="n">
        <x:v>0</x:v>
      </x:c>
      <x:c r="AC100" s="28" t="n">
        <x:v>0</x:v>
      </x:c>
      <x:c r="AD100" s="28" t="n">
        <x:v>0</x:v>
      </x:c>
      <x:c r="AE100" s="28" t="n">
        <x:v>0</x:v>
      </x:c>
      <x:c r="AF100" s="25" t="str">
        <x:v>동일/제한 범위 공사금액÷면적 스크리닝 근거</x:v>
      </x:c>
      <x:c r="AG100" s="25" t="str"/>
      <x:c r="AH100" s="25" t="str">
        <x:v>L2023-00038-1/1. 입찰계획서(피지국립재활센터 건립사업 설계 및 감리 용역)-김우영-230713.hwp</x:v>
      </x:c>
      <x:c r="AI100" s="25" t="str">
        <x:v>문단 68 및 문단 70</x:v>
      </x:c>
      <x:c r="AJ100" s="25" t="str">
        <x:v>L2023-00038-1/1. 입찰계획서(피지국립재활센터 건립사업 설계 및 감리 용역)-김우영-230713.hwp</x:v>
      </x:c>
      <x:c r="AK100" s="25" t="str">
        <x:v>문단 68 및 문단 70</x:v>
      </x:c>
      <x:c r="AL100" s="25" t="str">
        <x:v>연면적 약 2,700㎡, 공사비 예산 USD 5,627,206.</x:v>
      </x:c>
      <x:c r="AM100" s="25" t="str">
        <x:v>https://nebid.koica.go.kr/oep/lobi/localBidManageDetail.do?P_LOAZ_BID_PBLANC_NO=L2023-00038&amp;P_PBLANC_ODR=1</x:v>
      </x:c>
    </x:row>
    <x:row r="101">
      <x:c r="A101" s="22" t="str">
        <x:v>C?</x:v>
      </x:c>
      <x:c r="B101" s="22" t="str">
        <x:v>2019-00037</x:v>
      </x:c>
      <x:c r="C101" s="22" t="str">
        <x:v>L2023-00058-1</x:v>
      </x:c>
      <x:c r="D101" s="22" t="str">
        <x:v>L2023-00058</x:v>
      </x:c>
      <x:c r="E101" s="22" t="str">
        <x:v>2023-08-07</x:v>
      </x:c>
      <x:c r="F101" s="22" t="str">
        <x:v>엘살바도르</x:v>
      </x:c>
      <x:c r="G101" s="25" t="str">
        <x:v>엘살바도르 국립보건교육센터 설립 및 보건교육 강화사업 시공사 선정 입찰(재공고)</x:v>
      </x:c>
      <x:c r="H101" s="22" t="str">
        <x:v>공사</x:v>
      </x:c>
      <x:c r="I101" s="22" t="str">
        <x:v>WORKS</x:v>
      </x:c>
      <x:c r="J101" s="22" t="str">
        <x:v>WORKS_CEILING</x:v>
      </x:c>
      <x:c r="K101" s="22" t="str">
        <x:v>MATCH</x:v>
      </x:c>
      <x:c r="L101" s="22" t="str">
        <x:v>MATCH</x:v>
      </x:c>
      <x:c r="M101" s="34" t="n">
        <x:v>3875000</x:v>
      </x:c>
      <x:c r="N101" s="34" t="n">
        <x:v>3875000</x:v>
      </x:c>
      <x:c r="O101" s="22" t="str">
        <x:v>NOTICE_EXECUTION_CEILING</x:v>
      </x:c>
      <x:c r="P101" s="37" t="str">
        <x:f>IF(AND(M101&lt;&gt;"",N101&lt;&gt;"",O101&lt;&gt;"NOTICE_EXECUTION_CEILING"),M101/N101-1,"")</x:f>
      </x:c>
      <x:c r="Q101" s="31" t="n">
        <x:v>2983</x:v>
      </x:c>
      <x:c r="R101" s="22" t="str">
        <x:v>GFA</x:v>
      </x:c>
      <x:c r="S101" s="22" t="str">
        <x:v>AUTO_SELECTED_SINGLE_OR_TOTAL</x:v>
      </x:c>
      <x:c r="T101" s="34" t="n">
        <x:f>IFERROR(N101/Q101,"")</x:f>
        <x:v>1299.0278243379148</x:v>
      </x:c>
      <x:c r="U101" s="22" t="str">
        <x:v>V2R_HUMAN_REVIEWED_EXTRACTION</x:v>
      </x:c>
      <x:c r="V101" s="22" t="str">
        <x:v>초기 스크리닝만</x:v>
      </x:c>
      <x:c r="W101" s="28" t="n">
        <x:v>1</x:v>
      </x:c>
      <x:c r="X101" s="28" t="n">
        <x:v>0</x:v>
      </x:c>
      <x:c r="Y101" s="28" t="n">
        <x:v>0</x:v>
      </x:c>
      <x:c r="Z101" s="28" t="n">
        <x:v>0</x:v>
      </x:c>
      <x:c r="AA101" s="28" t="n">
        <x:v>6</x:v>
      </x:c>
      <x:c r="AB101" s="28" t="n">
        <x:v>0</x:v>
      </x:c>
      <x:c r="AC101" s="28" t="n">
        <x:v>0</x:v>
      </x:c>
      <x:c r="AD101" s="28" t="n">
        <x:v>0</x:v>
      </x:c>
      <x:c r="AE101" s="28" t="n">
        <x:v>0</x:v>
      </x:c>
      <x:c r="AF101" s="25" t="str">
        <x:v>범위 일치 잠정확인; 원본 V3 확인 전 직접 사용 금지</x:v>
      </x:c>
      <x:c r="AG101" s="25" t="str"/>
      <x:c r="AH101" s="25" t="str">
        <x:v>KOICA 입찰 상세페이지</x:v>
      </x:c>
      <x:c r="AI101" s="25" t="str">
        <x:v>집행한도금액(달러)</x:v>
      </x:c>
      <x:c r="AJ101" s="25" t="str">
        <x:v>L2023-00058-1/Section 2 - Bid Data Sheet_reannouncement_final.pdf</x:v>
      </x:c>
      <x:c r="AK101" s="25" t="str">
        <x:v>페이지 4</x:v>
      </x:c>
      <x:c r="AL101" s="25" t="str">
        <x:v>g room, dining room and kitchen, mechanical and electrical room (among others) - Site area 1,490㎡ - Building area 2,983㎡ - Gross floor area 2,983㎡ - Building scope Number of levels: 3 - Structure Reinforced concrete </x:v>
      </x:c>
      <x:c r="AM101" s="25" t="str">
        <x:v>https://nebid.koica.go.kr/oep/lobi/localBidManageDetail.do?P_LOAZ_BID_PBLANC_NO=L2023-00058&amp;P_PBLANC_ODR=1</x:v>
      </x:c>
    </x:row>
    <x:row r="102">
      <x:c r="A102" s="22" t="str">
        <x:v>X</x:v>
      </x:c>
      <x:c r="B102" s="22" t="str">
        <x:v>2020-00070</x:v>
      </x:c>
      <x:c r="C102" s="22" t="str">
        <x:v>L2023-00040-1</x:v>
      </x:c>
      <x:c r="D102" s="22" t="str">
        <x:v>L2023-00040</x:v>
      </x:c>
      <x:c r="E102" s="22" t="str">
        <x:v>2023-08-08</x:v>
      </x:c>
      <x:c r="F102" s="22" t="str">
        <x:v>도미니카</x:v>
      </x:c>
      <x:c r="G102" s="25" t="str">
        <x:v>도미니카공화국 여성 중심 취약계층 사회경제적 역량강화사업 - 몬테크리스티 직업훈련센터 설계용역 입찰</x:v>
      </x:c>
      <x:c r="H102" s="22" t="str">
        <x:v>용역</x:v>
      </x:c>
      <x:c r="I102" s="22" t="str">
        <x:v>DESIGN_OR_SUPERVISION_SERVICE</x:v>
      </x:c>
      <x:c r="J102" s="22" t="str">
        <x:v>SERVICE_FEE_OR_MIXED</x:v>
      </x:c>
      <x:c r="K102" s="22" t="str">
        <x:v>NO_MATCH</x:v>
      </x:c>
      <x:c r="L102" s="22" t="str">
        <x:v>NO_MATCH</x:v>
      </x:c>
      <x:c r="M102" s="34" t="n">
        <x:v>73800</x:v>
      </x:c>
      <x:c r="N102" s="34"/>
      <x:c r="O102" s="22" t="str">
        <x:v>SERVICE_OR_GOODS_CEILING</x:v>
      </x:c>
      <x:c r="P102" s="37" t="str">
        <x:f>IF(AND(M102&lt;&gt;"",N102&lt;&gt;"",O102&lt;&gt;"NOTICE_EXECUTION_CEILING"),M102/N102-1,"")</x:f>
      </x:c>
      <x:c r="Q102" s="31" t="n">
        <x:v>900</x:v>
      </x:c>
      <x:c r="R102" s="22" t="str">
        <x:v>GFA</x:v>
      </x:c>
      <x:c r="S102" s="22" t="str">
        <x:v>AUTO_SELECTED_SINGLE_OR_TOTAL</x:v>
      </x:c>
      <x:c r="T102" s="34" t="n">
        <x:f>IFERROR(N102/Q102,"")</x:f>
        <x:v>0</x:v>
      </x:c>
      <x:c r="U102" s="22" t="str">
        <x:v>V3_SCOPE_REVIEW</x:v>
      </x:c>
      <x:c r="V102" s="22" t="str">
        <x:v>계산 금지</x:v>
      </x:c>
      <x:c r="W102" s="28" t="n">
        <x:v>1</x:v>
      </x:c>
      <x:c r="X102" s="28" t="n">
        <x:v>0</x:v>
      </x:c>
      <x:c r="Y102" s="28" t="n">
        <x:v>0</x:v>
      </x:c>
      <x:c r="Z102" s="28" t="n">
        <x:v>0</x:v>
      </x:c>
      <x:c r="AA102" s="28" t="n">
        <x:v>17</x:v>
      </x:c>
      <x:c r="AB102" s="28" t="n">
        <x:v>0</x:v>
      </x:c>
      <x:c r="AC102" s="28" t="n">
        <x:v>0</x:v>
      </x:c>
      <x:c r="AD102" s="28" t="n">
        <x:v>0</x:v>
      </x:c>
      <x:c r="AE102" s="28" t="n">
        <x:v>0</x:v>
      </x:c>
      <x:c r="AF102" s="25" t="str">
        <x:v>설계·감리·기타 용역 집행한도는 건축공사비가 아님</x:v>
      </x:c>
      <x:c r="AG102" s="25" t="str"/>
      <x:c r="AH102" s="25" t="str">
        <x:v>KOICA 입찰 상세페이지</x:v>
      </x:c>
      <x:c r="AI102" s="25" t="str">
        <x:v>집행한도금액(달러)</x:v>
      </x:c>
      <x:c r="AJ102" s="25" t="str">
        <x:v>L2023-00040-1/입찰설명서(국문).hwp</x:v>
      </x:c>
      <x:c r="AK102" s="25" t="str">
        <x:v>문단 122</x:v>
      </x:c>
      <x:c r="AL102" s="25" t="str">
        <x:v>ㅇ 연면적 : 900㎡ (±5% 이내 조정 가능)</x:v>
      </x:c>
      <x:c r="AM102" s="25" t="str">
        <x:v>https://nebid.koica.go.kr/oep/lobi/localBidManageDetail.do?P_LOAZ_BID_PBLANC_NO=L2023-00040&amp;P_PBLANC_ODR=1</x:v>
      </x:c>
    </x:row>
    <x:row r="103">
      <x:c r="A103" s="22" t="str">
        <x:v>X</x:v>
      </x:c>
      <x:c r="B103" s="22" t="str">
        <x:v>2019-00037</x:v>
      </x:c>
      <x:c r="C103" s="22" t="str">
        <x:v>L2023-00057-1</x:v>
      </x:c>
      <x:c r="D103" s="22" t="str">
        <x:v>L2023-00057</x:v>
      </x:c>
      <x:c r="E103" s="22" t="str">
        <x:v>2023-09-08</x:v>
      </x:c>
      <x:c r="F103" s="22" t="str">
        <x:v>엘살바도르</x:v>
      </x:c>
      <x:c r="G103" s="25" t="str">
        <x:v>엘살바도르 국립보건교육센터 설립 및 보건교육 강화사업 감리 용역 현지 입찰 (재공고)</x:v>
      </x:c>
      <x:c r="H103" s="22" t="str">
        <x:v>용역</x:v>
      </x:c>
      <x:c r="I103" s="22" t="str">
        <x:v>DESIGN_OR_SUPERVISION_SERVICE</x:v>
      </x:c>
      <x:c r="J103" s="22" t="str">
        <x:v>SERVICE_FEE_OR_MIXED</x:v>
      </x:c>
      <x:c r="K103" s="22" t="str">
        <x:v>NO_MATCH</x:v>
      </x:c>
      <x:c r="L103" s="22" t="str">
        <x:v>NO_MATCH</x:v>
      </x:c>
      <x:c r="M103" s="34" t="n">
        <x:v>200000</x:v>
      </x:c>
      <x:c r="N103" s="34"/>
      <x:c r="O103" s="22" t="str">
        <x:v>SERVICE_OR_GOODS_CEILING</x:v>
      </x:c>
      <x:c r="P103" s="37" t="str">
        <x:f>IF(AND(M103&lt;&gt;"",N103&lt;&gt;"",O103&lt;&gt;"NOTICE_EXECUTION_CEILING"),M103/N103-1,"")</x:f>
      </x:c>
      <x:c r="Q103" s="31" t="n">
        <x:v>2983</x:v>
      </x:c>
      <x:c r="R103" s="22" t="str">
        <x:v>GFA</x:v>
      </x:c>
      <x:c r="S103" s="22" t="str">
        <x:v>AUTO_SELECTED_SINGLE_OR_TOTAL</x:v>
      </x:c>
      <x:c r="T103" s="34" t="n">
        <x:f>IFERROR(N103/Q103,"")</x:f>
        <x:v>0</x:v>
      </x:c>
      <x:c r="U103" s="22" t="str">
        <x:v>V3_SCOPE_REVIEW</x:v>
      </x:c>
      <x:c r="V103" s="22" t="str">
        <x:v>계산 금지</x:v>
      </x:c>
      <x:c r="W103" s="28" t="n">
        <x:v>1</x:v>
      </x:c>
      <x:c r="X103" s="28" t="n">
        <x:v>0</x:v>
      </x:c>
      <x:c r="Y103" s="28" t="n">
        <x:v>0</x:v>
      </x:c>
      <x:c r="Z103" s="28" t="n">
        <x:v>0</x:v>
      </x:c>
      <x:c r="AA103" s="28" t="n">
        <x:v>10</x:v>
      </x:c>
      <x:c r="AB103" s="28" t="n">
        <x:v>0</x:v>
      </x:c>
      <x:c r="AC103" s="28" t="n">
        <x:v>0</x:v>
      </x:c>
      <x:c r="AD103" s="28" t="n">
        <x:v>0</x:v>
      </x:c>
      <x:c r="AE103" s="28" t="n">
        <x:v>0</x:v>
      </x:c>
      <x:c r="AF103" s="25" t="str">
        <x:v>설계·감리·기타 용역 집행한도는 건축공사비가 아님</x:v>
      </x:c>
      <x:c r="AG103" s="25" t="str"/>
      <x:c r="AH103" s="25" t="str">
        <x:v>KOICA 입찰 상세페이지</x:v>
      </x:c>
      <x:c r="AI103" s="25" t="str">
        <x:v>집행한도금액(달러)</x:v>
      </x:c>
      <x:c r="AJ103" s="25" t="str">
        <x:v>L2023-00057-1/1. 국문 입찰계획_엘살바도르 국립보건교육센터 감리입찰_v4.hwp</x:v>
      </x:c>
      <x:c r="AK103" s="25" t="str">
        <x:v>문단 81</x:v>
      </x:c>
      <x:c r="AL103" s="25" t="str">
        <x:v>ㅇ 연면적: 2,983 ㎡</x:v>
      </x:c>
      <x:c r="AM103" s="25" t="str">
        <x:v>https://nebid.koica.go.kr/oep/lobi/localBidManageDetail.do?P_LOAZ_BID_PBLANC_NO=L2023-00057&amp;P_PBLANC_ODR=1</x:v>
      </x:c>
    </x:row>
    <x:row r="104">
      <x:c r="A104" s="22" t="str">
        <x:v>X</x:v>
      </x:c>
      <x:c r="B104" s="22" t="str">
        <x:v>2022-00038</x:v>
      </x:c>
      <x:c r="C104" s="22" t="str">
        <x:v>L2023-00070-1</x:v>
      </x:c>
      <x:c r="D104" s="22" t="str">
        <x:v>L2023-00070</x:v>
      </x:c>
      <x:c r="E104" s="22" t="str">
        <x:v>2023-09-14</x:v>
      </x:c>
      <x:c r="F104" s="22" t="str">
        <x:v>볼리비아</x:v>
      </x:c>
      <x:c r="G104" s="25" t="str">
        <x:v>볼리비아 라파스 주 임상병리검사실 체계 강화사업 현지 설계입찰</x:v>
      </x:c>
      <x:c r="H104" s="22" t="str">
        <x:v>용역</x:v>
      </x:c>
      <x:c r="I104" s="22" t="str">
        <x:v>DESIGN_OR_SUPERVISION_SERVICE</x:v>
      </x:c>
      <x:c r="J104" s="22" t="str">
        <x:v>SERVICE_FEE_OR_MIXED</x:v>
      </x:c>
      <x:c r="K104" s="22" t="str">
        <x:v>NO_MATCH</x:v>
      </x:c>
      <x:c r="L104" s="22" t="str">
        <x:v>NO_MATCH</x:v>
      </x:c>
      <x:c r="M104" s="34" t="n">
        <x:v>175000</x:v>
      </x:c>
      <x:c r="N104" s="34"/>
      <x:c r="O104" s="22" t="str">
        <x:v>SERVICE_OR_GOODS_CEILING</x:v>
      </x:c>
      <x:c r="P104" s="37" t="str">
        <x:f>IF(AND(M104&lt;&gt;"",N104&lt;&gt;"",O104&lt;&gt;"NOTICE_EXECUTION_CEILING"),M104/N104-1,"")</x:f>
      </x:c>
      <x:c r="Q104" s="31" t="n">
        <x:v>2500</x:v>
      </x:c>
      <x:c r="R104" s="22" t="str">
        <x:v>GFA</x:v>
      </x:c>
      <x:c r="S104" s="22" t="str">
        <x:v>AUTO_SELECTED_SINGLE_OR_TOTAL</x:v>
      </x:c>
      <x:c r="T104" s="34" t="n">
        <x:f>IFERROR(N104/Q104,"")</x:f>
        <x:v>0</x:v>
      </x:c>
      <x:c r="U104" s="22" t="str">
        <x:v>V3_SCOPE_REVIEW</x:v>
      </x:c>
      <x:c r="V104" s="22" t="str">
        <x:v>계산 금지</x:v>
      </x:c>
      <x:c r="W104" s="28" t="n">
        <x:v>0</x:v>
      </x:c>
      <x:c r="X104" s="28" t="n">
        <x:v>0</x:v>
      </x:c>
      <x:c r="Y104" s="28" t="n">
        <x:v>0</x:v>
      </x:c>
      <x:c r="Z104" s="28" t="n">
        <x:v>0</x:v>
      </x:c>
      <x:c r="AA104" s="28" t="n">
        <x:v>21</x:v>
      </x:c>
      <x:c r="AB104" s="28" t="n">
        <x:v>0</x:v>
      </x:c>
      <x:c r="AC104" s="28" t="n">
        <x:v>0</x:v>
      </x:c>
      <x:c r="AD104" s="28" t="n">
        <x:v>0</x:v>
      </x:c>
      <x:c r="AE104" s="28" t="n">
        <x:v>0</x:v>
      </x:c>
      <x:c r="AF104" s="25" t="str">
        <x:v>설계·감리·기타 용역 집행한도는 건축공사비가 아님</x:v>
      </x:c>
      <x:c r="AG104" s="25" t="str"/>
      <x:c r="AH104" s="25" t="str">
        <x:v>KOICA 입찰 상세페이지</x:v>
      </x:c>
      <x:c r="AI104" s="25" t="str">
        <x:v>집행한도금액(달러)</x:v>
      </x:c>
      <x:c r="AJ104" s="25" t="str">
        <x:v>L2023-00070-1/2. (입찰서류-영문) LDRL-설계입찰/2. (입찰서류-영문) LDRL-설계입찰/2. Bid Data Sheet (BDS)_LDRL_수정.docx</x:v>
      </x:c>
      <x:c r="AK104" s="25" t="str">
        <x:v>표 7 행 2</x:v>
      </x:c>
      <x:c r="AL104" s="25" t="str">
        <x:v>r area of design services for medical facilities and similar facilities of 10 00 ㎡ or more over the last 5 years (Gross floor Area_G.A .) | 2,500㎡ ≤G.A. | 6.0 | ( Aug . 2018 ~ Ju l . 2023)</x:v>
      </x:c>
      <x:c r="AM104" s="25" t="str">
        <x:v>https://nebid.koica.go.kr/oep/lobi/localBidManageDetail.do?P_LOAZ_BID_PBLANC_NO=L2023-00070&amp;P_PBLANC_ODR=1</x:v>
      </x:c>
    </x:row>
    <x:row r="105">
      <x:c r="A105" s="22" t="str">
        <x:v>C</x:v>
      </x:c>
      <x:c r="B105" s="22" t="str">
        <x:v>2019-00037</x:v>
      </x:c>
      <x:c r="C105" s="22" t="str">
        <x:v>L2023-00060-1</x:v>
      </x:c>
      <x:c r="D105" s="22" t="str">
        <x:v>L2023-00060</x:v>
      </x:c>
      <x:c r="E105" s="22" t="str">
        <x:v>2023-10-09</x:v>
      </x:c>
      <x:c r="F105" s="22" t="str">
        <x:v>엘살바도르</x:v>
      </x:c>
      <x:c r="G105" s="25" t="str">
        <x:v>엘살바도르 국립보건교육센터 설립 및 보건교육 강화사업 시공사 선정 입찰</x:v>
      </x:c>
      <x:c r="H105" s="22" t="str">
        <x:v>공사</x:v>
      </x:c>
      <x:c r="I105" s="22" t="str">
        <x:v>WORKS</x:v>
      </x:c>
      <x:c r="J105" s="22" t="str">
        <x:v>WORKS_CEILING</x:v>
      </x:c>
      <x:c r="K105" s="22" t="str">
        <x:v>MATCH</x:v>
      </x:c>
      <x:c r="L105" s="22" t="str">
        <x:v>MATCH</x:v>
      </x:c>
      <x:c r="M105" s="34" t="n">
        <x:v>3875000</x:v>
      </x:c>
      <x:c r="N105" s="34" t="n">
        <x:v>3875000</x:v>
      </x:c>
      <x:c r="O105" s="22" t="str">
        <x:v>NOTICE_EXECUTION_CEILING</x:v>
      </x:c>
      <x:c r="P105" s="37" t="str">
        <x:f>IF(AND(M105&lt;&gt;"",N105&lt;&gt;"",O105&lt;&gt;"NOTICE_EXECUTION_CEILING"),M105/N105-1,"")</x:f>
      </x:c>
      <x:c r="Q105" s="31" t="n">
        <x:v>2983</x:v>
      </x:c>
      <x:c r="R105" s="22" t="str">
        <x:v>GFA</x:v>
      </x:c>
      <x:c r="S105" s="22" t="str">
        <x:v>SINGLE_OR_TOTAL</x:v>
      </x:c>
      <x:c r="T105" s="34" t="n">
        <x:f>IFERROR(N105/Q105,"")</x:f>
        <x:v>1299.0278243379148</x:v>
      </x:c>
      <x:c r="U105" s="22" t="str">
        <x:v>V3_CURATED_AREA_COST_RECHECK</x:v>
      </x:c>
      <x:c r="V105" s="22" t="str">
        <x:v>초기 스크리닝만</x:v>
      </x:c>
      <x:c r="W105" s="28" t="n">
        <x:v>1</x:v>
      </x:c>
      <x:c r="X105" s="28" t="n">
        <x:v>1</x:v>
      </x:c>
      <x:c r="Y105" s="28" t="n">
        <x:v>1</x:v>
      </x:c>
      <x:c r="Z105" s="28" t="n">
        <x:v>0</x:v>
      </x:c>
      <x:c r="AA105" s="28" t="n">
        <x:v>14</x:v>
      </x:c>
      <x:c r="AB105" s="28" t="n">
        <x:v>0</x:v>
      </x:c>
      <x:c r="AC105" s="28" t="n">
        <x:v>0</x:v>
      </x:c>
      <x:c r="AD105" s="28" t="n">
        <x:v>0</x:v>
      </x:c>
      <x:c r="AE105" s="28" t="n">
        <x:v>0</x:v>
      </x:c>
      <x:c r="AF105" s="25" t="str">
        <x:v>동일/제한 범위 공사금액÷면적 스크리닝 근거</x:v>
      </x:c>
      <x:c r="AG105" s="25" t="str"/>
      <x:c r="AH105" s="25" t="str">
        <x:v>L2023-00060-1/붙임 1. 입찰공고문 및 서류_영문/Section 2 - Bid data sheet_eng.doc</x:v>
      </x:c>
      <x:c r="AI105" s="25" t="str">
        <x:v>문단 24</x:v>
      </x:c>
      <x:c r="AJ105" s="25" t="str">
        <x:v>L2023-00060-1/붙임 1. 입찰공고문 및 서류_영문/Section 2 - Bid data sheet_eng.doc</x:v>
      </x:c>
      <x:c r="AK105" s="25" t="str">
        <x:v>문단 24</x:v>
      </x:c>
      <x:c r="AL105" s="25" t="str">
        <x:v>총연면적 2,983.00㎡; 상세페이지 집행한도 USD 3,875,000; 산출단가 USD 1,299/㎡.</x:v>
      </x:c>
      <x:c r="AM105" s="25" t="str">
        <x:v>https://nebid.koica.go.kr/oep/lobi/localBidManageDetail.do?P_LOAZ_BID_PBLANC_NO=L2023-00060&amp;P_PBLANC_ODR=1</x:v>
      </x:c>
    </x:row>
    <x:row r="106">
      <x:c r="A106" s="22" t="str">
        <x:v>X</x:v>
      </x:c>
      <x:c r="B106" s="22" t="str">
        <x:v>2022-00036</x:v>
      </x:c>
      <x:c r="C106" s="22" t="str">
        <x:v>L2023-00061-1</x:v>
      </x:c>
      <x:c r="D106" s="22" t="str">
        <x:v>L2023-00061</x:v>
      </x:c>
      <x:c r="E106" s="22" t="str">
        <x:v>2023-10-17</x:v>
      </x:c>
      <x:c r="F106" s="22" t="str">
        <x:v>에티오피아</x:v>
      </x:c>
      <x:c r="G106" s="25" t="str">
        <x:v>에티오피아 가죽 및 가죽제품 강화 사업 신발 라스트 생산 공장 신축 및 보수 공사 설계, 감리 용역</x:v>
      </x:c>
      <x:c r="H106" s="22" t="str">
        <x:v>용역</x:v>
      </x:c>
      <x:c r="I106" s="22" t="str">
        <x:v>DESIGN_OR_SUPERVISION_SERVICE</x:v>
      </x:c>
      <x:c r="J106" s="22" t="str">
        <x:v>SERVICE_FEE_OR_MIXED</x:v>
      </x:c>
      <x:c r="K106" s="22" t="str">
        <x:v>NO_MATCH</x:v>
      </x:c>
      <x:c r="L106" s="22" t="str">
        <x:v>NO_MATCH</x:v>
      </x:c>
      <x:c r="M106" s="34" t="n">
        <x:v>180000</x:v>
      </x:c>
      <x:c r="N106" s="34"/>
      <x:c r="O106" s="22" t="str">
        <x:v>SERVICE_OR_GOODS_CEILING</x:v>
      </x:c>
      <x:c r="P106" s="37" t="str">
        <x:f>IF(AND(M106&lt;&gt;"",N106&lt;&gt;"",O106&lt;&gt;"NOTICE_EXECUTION_CEILING"),M106/N106-1,"")</x:f>
      </x:c>
      <x:c r="Q106" s="31" t="n">
        <x:v>1250</x:v>
      </x:c>
      <x:c r="R106" s="22" t="str">
        <x:v>GFA</x:v>
      </x:c>
      <x:c r="S106" s="22" t="str">
        <x:v>AUTO_SELECTED_SINGLE_OR_TOTAL</x:v>
      </x:c>
      <x:c r="T106" s="34" t="n">
        <x:f>IFERROR(N106/Q106,"")</x:f>
        <x:v>0</x:v>
      </x:c>
      <x:c r="U106" s="22" t="str">
        <x:v>V3_SCOPE_REVIEW</x:v>
      </x:c>
      <x:c r="V106" s="22" t="str">
        <x:v>계산 금지</x:v>
      </x:c>
      <x:c r="W106" s="28" t="n">
        <x:v>1</x:v>
      </x:c>
      <x:c r="X106" s="28" t="n">
        <x:v>1</x:v>
      </x:c>
      <x:c r="Y106" s="28" t="n">
        <x:v>0</x:v>
      </x:c>
      <x:c r="Z106" s="28" t="n">
        <x:v>0</x:v>
      </x:c>
      <x:c r="AA106" s="28" t="n">
        <x:v>25</x:v>
      </x:c>
      <x:c r="AB106" s="28" t="n">
        <x:v>0</x:v>
      </x:c>
      <x:c r="AC106" s="28" t="n">
        <x:v>3</x:v>
      </x:c>
      <x:c r="AD106" s="28" t="n">
        <x:v>0</x:v>
      </x:c>
      <x:c r="AE106" s="28" t="n">
        <x:v>0</x:v>
      </x:c>
      <x:c r="AF106" s="25" t="str">
        <x:v>설계·감리·기타 용역 집행한도는 건축공사비가 아님</x:v>
      </x:c>
      <x:c r="AG106" s="25" t="str"/>
      <x:c r="AH106" s="25" t="str">
        <x:v>KOICA 입찰 상세페이지</x:v>
      </x:c>
      <x:c r="AI106" s="25" t="str">
        <x:v>집행한도금액(달러)</x:v>
      </x:c>
      <x:c r="AJ106" s="25" t="str">
        <x:v>L2023-00061-1/붙임 3. 입찰 문서/Section 5 - Space Program reference.pdf</x:v>
      </x:c>
      <x:c r="AK106" s="25" t="str">
        <x:v>페이지 2</x:v>
      </x:c>
      <x:c r="AL106" s="25" t="str">
        <x:v>xisting cafeteria) Description C. Renovation: High-Vibration Leather Drying Facility (existing tannery building) A. New Construction: Total 1,250㎡ / 1 Story /Long Span Structure Floor Area and B. Remodeling: Total 23</x:v>
      </x:c>
      <x:c r="AM106" s="25" t="str">
        <x:v>https://nebid.koica.go.kr/oep/lobi/localBidManageDetail.do?P_LOAZ_BID_PBLANC_NO=L2023-00061&amp;P_PBLANC_ODR=1</x:v>
      </x:c>
    </x:row>
    <x:row r="107">
      <x:c r="A107" s="22" t="str">
        <x:v>C?</x:v>
      </x:c>
      <x:c r="B107" s="22" t="str">
        <x:v>2021-00072</x:v>
      </x:c>
      <x:c r="C107" s="22" t="str">
        <x:v>L2023-00054-2</x:v>
      </x:c>
      <x:c r="D107" s="22" t="str">
        <x:v>L2023-00054</x:v>
      </x:c>
      <x:c r="E107" s="22" t="str">
        <x:v>2023-11-03</x:v>
      </x:c>
      <x:c r="F107" s="22" t="str">
        <x:v>필리핀</x:v>
      </x:c>
      <x:c r="G107" s="25" t="str">
        <x:v>(재공고) 필리핀 국립대학교 로스바뇨스(UPLB) 첨단농업연구센터 신축공사</x:v>
      </x:c>
      <x:c r="H107" s="22" t="str">
        <x:v>공사</x:v>
      </x:c>
      <x:c r="I107" s="22" t="str">
        <x:v>WORKS</x:v>
      </x:c>
      <x:c r="J107" s="22" t="str">
        <x:v>WORKS_CEILING</x:v>
      </x:c>
      <x:c r="K107" s="22" t="str">
        <x:v>MATCH</x:v>
      </x:c>
      <x:c r="L107" s="22" t="str">
        <x:v>MATCH</x:v>
      </x:c>
      <x:c r="M107" s="34" t="n">
        <x:v>5107200</x:v>
      </x:c>
      <x:c r="N107" s="34" t="n">
        <x:v>5107200</x:v>
      </x:c>
      <x:c r="O107" s="22" t="str">
        <x:v>NOTICE_EXECUTION_CEILING</x:v>
      </x:c>
      <x:c r="P107" s="37" t="str">
        <x:f>IF(AND(M107&lt;&gt;"",N107&lt;&gt;"",O107&lt;&gt;"NOTICE_EXECUTION_CEILING"),M107/N107-1,"")</x:f>
      </x:c>
      <x:c r="Q107" s="31" t="n">
        <x:v>6682.62</x:v>
      </x:c>
      <x:c r="R107" s="22" t="str">
        <x:v>GFA</x:v>
      </x:c>
      <x:c r="S107" s="22" t="str">
        <x:v>AUTO_SELECTED_SINGLE_OR_TOTAL</x:v>
      </x:c>
      <x:c r="T107" s="34" t="n">
        <x:f>IFERROR(N107/Q107,"")</x:f>
        <x:v>764.2511470052166</x:v>
      </x:c>
      <x:c r="U107" s="22" t="str">
        <x:v>V2R_HUMAN_REVIEWED_EXTRACTION</x:v>
      </x:c>
      <x:c r="V107" s="22" t="str">
        <x:v>초기 스크리닝만</x:v>
      </x:c>
      <x:c r="W107" s="28" t="n">
        <x:v>1</x:v>
      </x:c>
      <x:c r="X107" s="28" t="n">
        <x:v>1</x:v>
      </x:c>
      <x:c r="Y107" s="28" t="n">
        <x:v>0</x:v>
      </x:c>
      <x:c r="Z107" s="28" t="n">
        <x:v>0</x:v>
      </x:c>
      <x:c r="AA107" s="28" t="n">
        <x:v>1</x:v>
      </x:c>
      <x:c r="AB107" s="28" t="n">
        <x:v>0</x:v>
      </x:c>
      <x:c r="AC107" s="28" t="n">
        <x:v>0</x:v>
      </x:c>
      <x:c r="AD107" s="28" t="n">
        <x:v>0</x:v>
      </x:c>
      <x:c r="AE107" s="28" t="n">
        <x:v>0</x:v>
      </x:c>
      <x:c r="AF107" s="25" t="str">
        <x:v>범위 일치 잠정확인; 원본 V3 확인 전 직접 사용 금지</x:v>
      </x:c>
      <x:c r="AG107" s="25" t="str"/>
      <x:c r="AH107" s="25" t="str">
        <x:v>KOICA 입찰 상세페이지</x:v>
      </x:c>
      <x:c r="AI107" s="25" t="str">
        <x:v>집행한도금액(달러)</x:v>
      </x:c>
      <x:c r="AJ107" s="25" t="str">
        <x:v>L2023-00054-2/Bidding Announcement_231103.pdf</x:v>
      </x:c>
      <x:c r="AK107" s="25" t="str">
        <x:v>페이지 1</x:v>
      </x:c>
      <x:c r="AL107" s="25" t="str">
        <x:v>Bidding Purpose Agricultural Genomics Research Center and Green House Project Site UPLB Campus, Los Baños, Laguna, Philippines 1. Lot area: 6,682.620㎡ 2. Building area: 2,567.416㎡ 3. Construction floor area: 4,284.375㎡ a</x:v>
      </x:c>
      <x:c r="AM107" s="25" t="str">
        <x:v>https://nebid.koica.go.kr/oep/lobi/localBidManageDetail.do?P_LOAZ_BID_PBLANC_NO=L2023-00054&amp;P_PBLANC_ODR=2</x:v>
      </x:c>
    </x:row>
    <x:row r="108">
      <x:c r="A108" s="22" t="str">
        <x:v>X</x:v>
      </x:c>
      <x:c r="B108" s="22" t="str">
        <x:v>2022-00038</x:v>
      </x:c>
      <x:c r="C108" s="22" t="str">
        <x:v>L2023-00070-2</x:v>
      </x:c>
      <x:c r="D108" s="22" t="str">
        <x:v>L2023-00070</x:v>
      </x:c>
      <x:c r="E108" s="22" t="str">
        <x:v>2023-11-03</x:v>
      </x:c>
      <x:c r="F108" s="22" t="str">
        <x:v>볼리비아</x:v>
      </x:c>
      <x:c r="G108" s="25" t="str">
        <x:v>볼리비아 라파스 주 임상병리검사실 체계 강화사업 현지 설계입찰</x:v>
      </x:c>
      <x:c r="H108" s="22" t="str">
        <x:v>용역</x:v>
      </x:c>
      <x:c r="I108" s="22" t="str">
        <x:v>DESIGN_OR_SUPERVISION_SERVICE</x:v>
      </x:c>
      <x:c r="J108" s="22" t="str">
        <x:v>SERVICE_FEE_OR_MIXED</x:v>
      </x:c>
      <x:c r="K108" s="22" t="str">
        <x:v>NO_MATCH</x:v>
      </x:c>
      <x:c r="L108" s="22" t="str">
        <x:v>NO_MATCH</x:v>
      </x:c>
      <x:c r="M108" s="34" t="n">
        <x:v>175000</x:v>
      </x:c>
      <x:c r="N108" s="34"/>
      <x:c r="O108" s="22" t="str">
        <x:v>SERVICE_OR_GOODS_CEILING</x:v>
      </x:c>
      <x:c r="P108" s="37" t="str">
        <x:f>IF(AND(M108&lt;&gt;"",N108&lt;&gt;"",O108&lt;&gt;"NOTICE_EXECUTION_CEILING"),M108/N108-1,"")</x:f>
      </x:c>
      <x:c r="Q108" s="31" t="n">
        <x:v>2500</x:v>
      </x:c>
      <x:c r="R108" s="22" t="str">
        <x:v>GFA</x:v>
      </x:c>
      <x:c r="S108" s="22" t="str">
        <x:v>AUTO_SELECTED_SINGLE_OR_TOTAL</x:v>
      </x:c>
      <x:c r="T108" s="34" t="n">
        <x:f>IFERROR(N108/Q108,"")</x:f>
        <x:v>0</x:v>
      </x:c>
      <x:c r="U108" s="22" t="str">
        <x:v>V3_SCOPE_REVIEW</x:v>
      </x:c>
      <x:c r="V108" s="22" t="str">
        <x:v>계산 금지</x:v>
      </x:c>
      <x:c r="W108" s="28" t="n">
        <x:v>1</x:v>
      </x:c>
      <x:c r="X108" s="28" t="n">
        <x:v>1</x:v>
      </x:c>
      <x:c r="Y108" s="28" t="n">
        <x:v>0</x:v>
      </x:c>
      <x:c r="Z108" s="28" t="n">
        <x:v>0</x:v>
      </x:c>
      <x:c r="AA108" s="28" t="n">
        <x:v>21</x:v>
      </x:c>
      <x:c r="AB108" s="28" t="n">
        <x:v>0</x:v>
      </x:c>
      <x:c r="AC108" s="28" t="n">
        <x:v>0</x:v>
      </x:c>
      <x:c r="AD108" s="28" t="n">
        <x:v>0</x:v>
      </x:c>
      <x:c r="AE108" s="28" t="n">
        <x:v>0</x:v>
      </x:c>
      <x:c r="AF108" s="25" t="str">
        <x:v>설계·감리·기타 용역 집행한도는 건축공사비가 아님</x:v>
      </x:c>
      <x:c r="AG108" s="25" t="str"/>
      <x:c r="AH108" s="25" t="str">
        <x:v>KOICA 입찰 상세페이지</x:v>
      </x:c>
      <x:c r="AI108" s="25" t="str">
        <x:v>집행한도금액(달러)</x:v>
      </x:c>
      <x:c r="AJ108" s="25" t="str">
        <x:v>L2023-00070-2/붙임3. (입찰서류-영문) LDRL-설계입찰_1029/2. (└╘┬√╝¡╖∙-┐╡╣«) LDRL-╝│░Φ└╘┬√_1029/2. Bid Data Sheet (BDS)_LDRL_╝÷┴ñ_1029.docx</x:v>
      </x:c>
      <x:c r="AK108" s="25" t="str">
        <x:v>표 7 행 2</x:v>
      </x:c>
      <x:c r="AL108" s="25" t="str">
        <x:v>oor area of design services for medical facilities and similar facilities of 1000 ㎡ or more over the last 5 years (Gross floor Area_G.A.) | 2,500㎡ ≤G.A. | 6.0 | (Aug. 2018 ~ Jul. 2023)</x:v>
      </x:c>
      <x:c r="AM108" s="25" t="str">
        <x:v>https://nebid.koica.go.kr/oep/lobi/localBidManageDetail.do?P_LOAZ_BID_PBLANC_NO=L2023-00070&amp;P_PBLANC_ODR=2</x:v>
      </x:c>
    </x:row>
    <x:row r="109">
      <x:c r="A109" s="22" t="str">
        <x:v>X</x:v>
      </x:c>
      <x:c r="B109" s="22" t="str">
        <x:v>2021-00054</x:v>
      </x:c>
      <x:c r="C109" s="22" t="str">
        <x:v>L2023-00077-1</x:v>
      </x:c>
      <x:c r="D109" s="22" t="str">
        <x:v>L2023-00077</x:v>
      </x:c>
      <x:c r="E109" s="22" t="str">
        <x:v>2023-11-14</x:v>
      </x:c>
      <x:c r="F109" s="22" t="str">
        <x:v>세네갈</x:v>
      </x:c>
      <x:c r="G109" s="25" t="str">
        <x:v>세네갈 대국민 소통증진을 위한 국회의정활동시스템 현대화사업 리모델링 업체 선정 입</x:v>
      </x:c>
      <x:c r="H109" s="22" t="str">
        <x:v>물품</x:v>
      </x:c>
      <x:c r="I109" s="22" t="str">
        <x:v>GOODS</x:v>
      </x:c>
      <x:c r="J109" s="22" t="str">
        <x:v>GOODS_CEILING</x:v>
      </x:c>
      <x:c r="K109" s="22" t="str">
        <x:v>NO_MATCH</x:v>
      </x:c>
      <x:c r="L109" s="22" t="str">
        <x:v>NO_MATCH</x:v>
      </x:c>
      <x:c r="M109" s="34" t="n">
        <x:v>347000</x:v>
      </x:c>
      <x:c r="N109" s="34"/>
      <x:c r="O109" s="22" t="str">
        <x:v>SERVICE_OR_GOODS_CEILING</x:v>
      </x:c>
      <x:c r="P109" s="37" t="str">
        <x:f>IF(AND(M109&lt;&gt;"",N109&lt;&gt;"",O109&lt;&gt;"NOTICE_EXECUTION_CEILING"),M109/N109-1,"")</x:f>
      </x:c>
      <x:c r="Q109" s="31"/>
      <x:c r="R109" s="22" t="str">
        <x:v>AMBIGUOUS_OR_WORK_ITEM</x:v>
      </x:c>
      <x:c r="S109" s="22" t="str">
        <x:v>NOT_APPLICABLE</x:v>
      </x:c>
      <x:c r="T109" s="34" t="str">
        <x:f>IFERROR(N109/Q109,"")</x:f>
      </x:c>
      <x:c r="U109" s="22" t="str">
        <x:v>V3_SCOPE_REVIEW</x:v>
      </x:c>
      <x:c r="V109" s="22" t="str">
        <x:v>계산 금지</x:v>
      </x:c>
      <x:c r="W109" s="28" t="n">
        <x:v>1</x:v>
      </x:c>
      <x:c r="X109" s="28" t="n">
        <x:v>1</x:v>
      </x:c>
      <x:c r="Y109" s="28" t="n">
        <x:v>0</x:v>
      </x:c>
      <x:c r="Z109" s="28" t="n">
        <x:v>0</x:v>
      </x:c>
      <x:c r="AA109" s="28" t="n">
        <x:v>8</x:v>
      </x:c>
      <x:c r="AB109" s="28" t="n">
        <x:v>1</x:v>
      </x:c>
      <x:c r="AC109" s="28" t="n">
        <x:v>1</x:v>
      </x:c>
      <x:c r="AD109" s="28" t="n">
        <x:v>0</x:v>
      </x:c>
      <x:c r="AE109" s="28" t="n">
        <x:v>0</x:v>
      </x:c>
      <x:c r="AF109" s="25" t="str">
        <x:v>물품·비건축 또는 GFA 오탐으로 건축공사비 표본 제외</x:v>
      </x:c>
      <x:c r="AG109" s="25" t="str">
        <x:v>BOQ 벽도장·철골 표면적이며 GFA가 아님</x:v>
      </x:c>
      <x:c r="AH109" s="25" t="str">
        <x:v>KOICA 입찰 상세페이지</x:v>
      </x:c>
      <x:c r="AI109" s="25" t="str">
        <x:v>집행한도금액(달러)</x:v>
      </x:c>
      <x:c r="AJ109" s="25" t="str">
        <x:v>L2023-00077-1/붙임5-2. 투찰내역서_1110.xlsx</x:v>
      </x:c>
      <x:c r="AK109" s="25" t="str">
        <x:v>Bill of quantity!24</x:v>
      </x:c>
      <x:c r="AL109" s="25" t="str">
        <x:v>BOQ 벽도장·철골 표면적이며 GFA가 아님</x:v>
      </x:c>
      <x:c r="AM109" s="25" t="str">
        <x:v>https://nebid.koica.go.kr/oep/lobi/localBidManageDetail.do?P_LOAZ_BID_PBLANC_NO=L2023-00077&amp;P_PBLANC_ODR=1</x:v>
      </x:c>
    </x:row>
    <x:row r="110">
      <x:c r="A110" s="22" t="str">
        <x:v>C</x:v>
      </x:c>
      <x:c r="B110" s="22" t="str">
        <x:v>2020-00099</x:v>
      </x:c>
      <x:c r="C110" s="22" t="str">
        <x:v>L2023-00067-1</x:v>
      </x:c>
      <x:c r="D110" s="22" t="str">
        <x:v>L2023-00067</x:v>
      </x:c>
      <x:c r="E110" s="22" t="str">
        <x:v>2023-11-21</x:v>
      </x:c>
      <x:c r="F110" s="22" t="str">
        <x:v>키르기즈</x:v>
      </x:c>
      <x:c r="G110" s="25" t="str">
        <x:v>키르기스스탄 G-cloud 센터 인테리어 리모델링 시공 입찰</x:v>
      </x:c>
      <x:c r="H110" s="22" t="str">
        <x:v>공사</x:v>
      </x:c>
      <x:c r="I110" s="22" t="str">
        <x:v>WORKS</x:v>
      </x:c>
      <x:c r="J110" s="22" t="str">
        <x:v>WORKS_CEILING</x:v>
      </x:c>
      <x:c r="K110" s="22" t="str">
        <x:v>MATCH</x:v>
      </x:c>
      <x:c r="L110" s="22" t="str">
        <x:v>MATCH</x:v>
      </x:c>
      <x:c r="M110" s="34" t="n">
        <x:v>280621</x:v>
      </x:c>
      <x:c r="N110" s="34" t="n">
        <x:v>280621</x:v>
      </x:c>
      <x:c r="O110" s="22" t="str">
        <x:v>NOTICE_EXECUTION_CEILING</x:v>
      </x:c>
      <x:c r="P110" s="37" t="str">
        <x:f>IF(AND(M110&lt;&gt;"",N110&lt;&gt;"",O110&lt;&gt;"NOTICE_EXECUTION_CEILING"),M110/N110-1,"")</x:f>
      </x:c>
      <x:c r="Q110" s="31" t="n">
        <x:v>420</x:v>
      </x:c>
      <x:c r="R110" s="22" t="str">
        <x:v>GFA</x:v>
      </x:c>
      <x:c r="S110" s="22" t="str">
        <x:v>SINGLE_OR_TOTAL</x:v>
      </x:c>
      <x:c r="T110" s="34" t="n">
        <x:f>IFERROR(N110/Q110,"")</x:f>
        <x:v>668.1452380952381</x:v>
      </x:c>
      <x:c r="U110" s="22" t="str">
        <x:v>V3_CURATED_AREA_COST_RECHECK</x:v>
      </x:c>
      <x:c r="V110" s="22" t="str">
        <x:v>초기 스크리닝만</x:v>
      </x:c>
      <x:c r="W110" s="28" t="n">
        <x:v>1</x:v>
      </x:c>
      <x:c r="X110" s="28" t="n">
        <x:v>1</x:v>
      </x:c>
      <x:c r="Y110" s="28" t="n">
        <x:v>1</x:v>
      </x:c>
      <x:c r="Z110" s="28" t="n">
        <x:v>0</x:v>
      </x:c>
      <x:c r="AA110" s="28" t="n">
        <x:v>18</x:v>
      </x:c>
      <x:c r="AB110" s="28" t="n">
        <x:v>0</x:v>
      </x:c>
      <x:c r="AC110" s="28" t="n">
        <x:v>0</x:v>
      </x:c>
      <x:c r="AD110" s="28" t="n">
        <x:v>0</x:v>
      </x:c>
      <x:c r="AE110" s="28" t="n">
        <x:v>0</x:v>
      </x:c>
      <x:c r="AF110" s="25" t="str">
        <x:v>동일/제한 범위 공사금액÷면적 스크리닝 근거</x:v>
      </x:c>
      <x:c r="AG110" s="25" t="str"/>
      <x:c r="AH110" s="25" t="str">
        <x:v>L2023-00067-1/ENG Version/ENG Version/-ENG_Section 2 Bid Data Sheet.docx</x:v>
      </x:c>
      <x:c r="AI110" s="25" t="str">
        <x:v>표 3 행 8</x:v>
      </x:c>
      <x:c r="AJ110" s="25" t="str">
        <x:v>L2023-00067-1/ENG Version/ENG Version/-ENG_Section 2 Bid Data Sheet.docx</x:v>
      </x:c>
      <x:c r="AK110" s="25" t="str">
        <x:v>표 3 행 8</x:v>
      </x:c>
      <x:c r="AL110" s="25" t="str">
        <x:v>대상 연면적 420.00㎡; 상세페이지 집행한도 USD 280,621; 산출단가 USD 668/㎡.</x:v>
      </x:c>
      <x:c r="AM110" s="25" t="str">
        <x:v>https://nebid.koica.go.kr/oep/lobi/localBidManageDetail.do?P_LOAZ_BID_PBLANC_NO=L2023-00067&amp;P_PBLANC_ODR=1</x:v>
      </x:c>
    </x:row>
    <x:row r="111">
      <x:c r="A111" s="22" t="str">
        <x:v>C</x:v>
      </x:c>
      <x:c r="B111" s="22" t="str">
        <x:v>2011-00008</x:v>
      </x:c>
      <x:c r="C111" s="22" t="str">
        <x:v>L2023-00068-1</x:v>
      </x:c>
      <x:c r="D111" s="22" t="str">
        <x:v>L2023-00068</x:v>
      </x:c>
      <x:c r="E111" s="22" t="str">
        <x:v>2023-11-21</x:v>
      </x:c>
      <x:c r="F111" s="22" t="str">
        <x:v>캄보디아</x:v>
      </x:c>
      <x:c r="G111" s="25" t="str">
        <x:v>캄보디아 앙두엉 안과전문병원 설립사업 리모델링 공사</x:v>
      </x:c>
      <x:c r="H111" s="22" t="str">
        <x:v>공사</x:v>
      </x:c>
      <x:c r="I111" s="22" t="str">
        <x:v>WORKS</x:v>
      </x:c>
      <x:c r="J111" s="22" t="str">
        <x:v>WORKS_CEILING</x:v>
      </x:c>
      <x:c r="K111" s="22" t="str">
        <x:v>MATCH</x:v>
      </x:c>
      <x:c r="L111" s="22" t="str">
        <x:v>MATCH</x:v>
      </x:c>
      <x:c r="M111" s="34" t="n">
        <x:v>239882</x:v>
      </x:c>
      <x:c r="N111" s="34" t="n">
        <x:v>239882</x:v>
      </x:c>
      <x:c r="O111" s="22" t="str">
        <x:v>NOTICE_EXECUTION_CEILING</x:v>
      </x:c>
      <x:c r="P111" s="37" t="str">
        <x:f>IF(AND(M111&lt;&gt;"",N111&lt;&gt;"",O111&lt;&gt;"NOTICE_EXECUTION_CEILING"),M111/N111-1,"")</x:f>
      </x:c>
      <x:c r="Q111" s="31" t="n">
        <x:v>3500</x:v>
      </x:c>
      <x:c r="R111" s="22" t="str">
        <x:v>GFA</x:v>
      </x:c>
      <x:c r="S111" s="22" t="str">
        <x:v>SINGLE_OR_TOTAL</x:v>
      </x:c>
      <x:c r="T111" s="34" t="n">
        <x:f>IFERROR(N111/Q111,"")</x:f>
        <x:v>68.53771428571429</x:v>
      </x:c>
      <x:c r="U111" s="22" t="str">
        <x:v>V3_CURATED_AREA_COST_RECHECK</x:v>
      </x:c>
      <x:c r="V111" s="22" t="str">
        <x:v>초기 스크리닝만</x:v>
      </x:c>
      <x:c r="W111" s="28" t="n">
        <x:v>1</x:v>
      </x:c>
      <x:c r="X111" s="28" t="n">
        <x:v>1</x:v>
      </x:c>
      <x:c r="Y111" s="28" t="n">
        <x:v>1</x:v>
      </x:c>
      <x:c r="Z111" s="28" t="n">
        <x:v>0</x:v>
      </x:c>
      <x:c r="AA111" s="28" t="n">
        <x:v>23</x:v>
      </x:c>
      <x:c r="AB111" s="28" t="n">
        <x:v>1</x:v>
      </x:c>
      <x:c r="AC111" s="28" t="n">
        <x:v>1</x:v>
      </x:c>
      <x:c r="AD111" s="28" t="n">
        <x:v>1</x:v>
      </x:c>
      <x:c r="AE111" s="28" t="n">
        <x:v>0</x:v>
      </x:c>
      <x:c r="AF111" s="25" t="str">
        <x:v>동일/제한 범위 공사금액÷면적 스크리닝 근거</x:v>
      </x:c>
      <x:c r="AG111" s="25" t="str"/>
      <x:c r="AH111" s="25" t="str">
        <x:v>L2023-00068-1/입찰공고 관련서류 최종본/Section 2 - Bid Data Sheet (BDS).docx</x:v>
      </x:c>
      <x:c r="AI111" s="25" t="str">
        <x:v>표 5 행 8</x:v>
      </x:c>
      <x:c r="AJ111" s="25" t="str">
        <x:v>L2023-00068-1/입찰공고 관련서류 최종본/Section 2 - Bid Data Sheet (BDS).docx</x:v>
      </x:c>
      <x:c r="AK111" s="25" t="str">
        <x:v>표 5 행 8</x:v>
      </x:c>
      <x:c r="AL111" s="25" t="str">
        <x:v>대상 연면적 3,500.00㎡; 상세페이지 집행한도 USD 239,882; 산출단가 USD 69/㎡.</x:v>
      </x:c>
      <x:c r="AM111" s="25" t="str">
        <x:v>https://nebid.koica.go.kr/oep/lobi/localBidManageDetail.do?P_LOAZ_BID_PBLANC_NO=L2023-00068&amp;P_PBLANC_ODR=1</x:v>
      </x:c>
    </x:row>
    <x:row r="112">
      <x:c r="A112" s="22" t="str">
        <x:v>X</x:v>
      </x:c>
      <x:c r="B112" s="22" t="str">
        <x:v>2022-00598</x:v>
      </x:c>
      <x:c r="C112" s="22" t="str">
        <x:v>L2024-00001-1</x:v>
      </x:c>
      <x:c r="D112" s="22" t="str">
        <x:v>L2024-00001</x:v>
      </x:c>
      <x:c r="E112" s="22" t="str">
        <x:v>2024-01-11</x:v>
      </x:c>
      <x:c r="F112" s="22" t="str">
        <x:v>파키스탄</x:v>
      </x:c>
      <x:c r="G112" s="25" t="str">
        <x:v>파키스탄 국립섬유대학 산업용 섬유센터 설립사업 2차사업 설계용역</x:v>
      </x:c>
      <x:c r="H112" s="22" t="str">
        <x:v>용역</x:v>
      </x:c>
      <x:c r="I112" s="22" t="str">
        <x:v>DESIGN_OR_SUPERVISION_SERVICE</x:v>
      </x:c>
      <x:c r="J112" s="22" t="str">
        <x:v>SERVICE_FEE_OR_MIXED</x:v>
      </x:c>
      <x:c r="K112" s="22" t="str">
        <x:v>NO_MATCH</x:v>
      </x:c>
      <x:c r="L112" s="22" t="str">
        <x:v>NO_MATCH</x:v>
      </x:c>
      <x:c r="M112" s="34" t="n">
        <x:v>127677</x:v>
      </x:c>
      <x:c r="N112" s="34"/>
      <x:c r="O112" s="22" t="str">
        <x:v>SERVICE_OR_GOODS_CEILING</x:v>
      </x:c>
      <x:c r="P112" s="37" t="str">
        <x:f>IF(AND(M112&lt;&gt;"",N112&lt;&gt;"",O112&lt;&gt;"NOTICE_EXECUTION_CEILING"),M112/N112-1,"")</x:f>
      </x:c>
      <x:c r="Q112" s="31" t="n">
        <x:v>2551</x:v>
      </x:c>
      <x:c r="R112" s="22" t="str">
        <x:v>GFA</x:v>
      </x:c>
      <x:c r="S112" s="22" t="str">
        <x:v>AUTO_SELECTED_SINGLE_OR_TOTAL</x:v>
      </x:c>
      <x:c r="T112" s="34" t="n">
        <x:f>IFERROR(N112/Q112,"")</x:f>
        <x:v>0</x:v>
      </x:c>
      <x:c r="U112" s="22" t="str">
        <x:v>V3_SCOPE_REVIEW</x:v>
      </x:c>
      <x:c r="V112" s="22" t="str">
        <x:v>계산 금지</x:v>
      </x:c>
      <x:c r="W112" s="28" t="n">
        <x:v>1</x:v>
      </x:c>
      <x:c r="X112" s="28" t="n">
        <x:v>0</x:v>
      </x:c>
      <x:c r="Y112" s="28" t="n">
        <x:v>0</x:v>
      </x:c>
      <x:c r="Z112" s="28" t="n">
        <x:v>0</x:v>
      </x:c>
      <x:c r="AA112" s="28" t="n">
        <x:v>14</x:v>
      </x:c>
      <x:c r="AB112" s="28" t="n">
        <x:v>0</x:v>
      </x:c>
      <x:c r="AC112" s="28" t="n">
        <x:v>0</x:v>
      </x:c>
      <x:c r="AD112" s="28" t="n">
        <x:v>0</x:v>
      </x:c>
      <x:c r="AE112" s="28" t="n">
        <x:v>0</x:v>
      </x:c>
      <x:c r="AF112" s="25" t="str">
        <x:v>설계·감리·기타 용역 집행한도는 건축공사비가 아님</x:v>
      </x:c>
      <x:c r="AG112" s="25" t="str"/>
      <x:c r="AH112" s="25" t="str">
        <x:v>KOICA 입찰 상세페이지</x:v>
      </x:c>
      <x:c r="AI112" s="25" t="str">
        <x:v>집행한도금액(달러)</x:v>
      </x:c>
      <x:c r="AJ112" s="25" t="str">
        <x:v>L2024-00001-1/붙임 2. 입찰서류 (최종)/Section 2 - Bid Data Sheet (BDS).docx</x:v>
      </x:c>
      <x:c r="AK112" s="25" t="str">
        <x:v>표 5 행 3</x:v>
      </x:c>
      <x:c r="AL112" s="25" t="str">
        <x:v>f the Site: National Textile University, Faisalabad *Scope of Service: Design Service a) Design : Two(2) Storey Building, Total Floor Area: 2,551 ㎡ (Square Meter) b) Relevant Documents -Priced BoQ , Specification, Qua</x:v>
      </x:c>
      <x:c r="AM112" s="25" t="str">
        <x:v>https://nebid.koica.go.kr/oep/lobi/localBidManageDetail.do?P_LOAZ_BID_PBLANC_NO=L2024-00001&amp;P_PBLANC_ODR=1</x:v>
      </x:c>
    </x:row>
    <x:row r="113">
      <x:c r="A113" s="22" t="str">
        <x:v>C?</x:v>
      </x:c>
      <x:c r="B113" s="22" t="str">
        <x:v>2021-00018</x:v>
      </x:c>
      <x:c r="C113" s="22" t="str">
        <x:v>L2023-00075-1</x:v>
      </x:c>
      <x:c r="D113" s="22" t="str">
        <x:v>L2023-00075</x:v>
      </x:c>
      <x:c r="E113" s="22" t="str">
        <x:v>2024-01-22</x:v>
      </x:c>
      <x:c r="F113" s="22" t="str">
        <x:v>몽골</x:v>
      </x:c>
      <x:c r="G113" s="25" t="str">
        <x:v>몽골 철도교통관제센터(RTCC) 건립 시공 입찰</x:v>
      </x:c>
      <x:c r="H113" s="22" t="str">
        <x:v>공사</x:v>
      </x:c>
      <x:c r="I113" s="22" t="str">
        <x:v>WORKS</x:v>
      </x:c>
      <x:c r="J113" s="22" t="str">
        <x:v>WORKS_CEILING</x:v>
      </x:c>
      <x:c r="K113" s="22" t="str">
        <x:v>MATCH</x:v>
      </x:c>
      <x:c r="L113" s="22" t="str">
        <x:v>MATCH</x:v>
      </x:c>
      <x:c r="M113" s="34" t="n">
        <x:v>3454118</x:v>
      </x:c>
      <x:c r="N113" s="34" t="n">
        <x:v>3454118</x:v>
      </x:c>
      <x:c r="O113" s="22" t="str">
        <x:v>NOTICE_EXECUTION_CEILING</x:v>
      </x:c>
      <x:c r="P113" s="37" t="str">
        <x:f>IF(AND(M113&lt;&gt;"",N113&lt;&gt;"",O113&lt;&gt;"NOTICE_EXECUTION_CEILING"),M113/N113-1,"")</x:f>
      </x:c>
      <x:c r="Q113" s="31" t="n">
        <x:v>3131</x:v>
      </x:c>
      <x:c r="R113" s="22" t="str">
        <x:v>BUILDING_OR_CONSTRUCTION_AREA</x:v>
      </x:c>
      <x:c r="S113" s="22" t="str">
        <x:v>AUTO_SELECTED_SINGLE_OR_TOTAL</x:v>
      </x:c>
      <x:c r="T113" s="34" t="n">
        <x:f>IFERROR(N113/Q113,"")</x:f>
        <x:v>1103.199616735867</x:v>
      </x:c>
      <x:c r="U113" s="22" t="str">
        <x:v>V2R_HUMAN_REVIEWED_EXTRACTION</x:v>
      </x:c>
      <x:c r="V113" s="22" t="str">
        <x:v>초기 스크리닝만</x:v>
      </x:c>
      <x:c r="W113" s="28" t="n">
        <x:v>1</x:v>
      </x:c>
      <x:c r="X113" s="28" t="n">
        <x:v>1</x:v>
      </x:c>
      <x:c r="Y113" s="28" t="n">
        <x:v>0</x:v>
      </x:c>
      <x:c r="Z113" s="28" t="n">
        <x:v>0</x:v>
      </x:c>
      <x:c r="AA113" s="28" t="n">
        <x:v>3</x:v>
      </x:c>
      <x:c r="AB113" s="28" t="n">
        <x:v>0</x:v>
      </x:c>
      <x:c r="AC113" s="28" t="n">
        <x:v>0</x:v>
      </x:c>
      <x:c r="AD113" s="28" t="n">
        <x:v>0</x:v>
      </x:c>
      <x:c r="AE113" s="28" t="n">
        <x:v>0</x:v>
      </x:c>
      <x:c r="AF113" s="25" t="str">
        <x:v>범위 일치 잠정확인; 원본 V3 확인 전 직접 사용 금지</x:v>
      </x:c>
      <x:c r="AG113" s="25" t="str"/>
      <x:c r="AH113" s="25" t="str">
        <x:v>KOICA 입찰 상세페이지</x:v>
      </x:c>
      <x:c r="AI113" s="25" t="str">
        <x:v>집행한도금액(달러)</x:v>
      </x:c>
      <x:c r="AJ113" s="25" t="str">
        <x:v>L2023-00075-1/RTCC 시공 Terms of Reference for NIFS Construction(2023.12.14).docx</x:v>
      </x:c>
      <x:c r="AK113" s="25" t="str">
        <x:v>표 1 행 3</x:v>
      </x:c>
      <x:c r="AL113" s="25" t="str">
        <x:v>Total Construction Area | 3,131 ㎡</x:v>
      </x:c>
      <x:c r="AM113" s="25" t="str">
        <x:v>https://nebid.koica.go.kr/oep/lobi/localBidManageDetail.do?P_LOAZ_BID_PBLANC_NO=L2023-00075&amp;P_PBLANC_ODR=1</x:v>
      </x:c>
    </x:row>
    <x:row r="114">
      <x:c r="A114" s="22" t="str">
        <x:v>C</x:v>
      </x:c>
      <x:c r="B114" s="22" t="str">
        <x:v>2014-00016</x:v>
      </x:c>
      <x:c r="C114" s="22" t="str">
        <x:v>L2024-00039-1</x:v>
      </x:c>
      <x:c r="D114" s="22" t="str">
        <x:v>L2024-00039</x:v>
      </x:c>
      <x:c r="E114" s="22" t="str">
        <x:v>2024-05-12</x:v>
      </x:c>
      <x:c r="F114" s="22" t="str">
        <x:v>이라크</x:v>
      </x:c>
      <x:c r="G114" s="25" t="str">
        <x:v>한-이라크 직업훈련원 2차 지원사업 리노베이션 시공업체선정 현지입찰</x:v>
      </x:c>
      <x:c r="H114" s="22" t="str">
        <x:v>공사</x:v>
      </x:c>
      <x:c r="I114" s="22" t="str">
        <x:v>WORKS</x:v>
      </x:c>
      <x:c r="J114" s="22" t="str">
        <x:v>WORKS_CEILING</x:v>
      </x:c>
      <x:c r="K114" s="22" t="str">
        <x:v>MATCH</x:v>
      </x:c>
      <x:c r="L114" s="22" t="str">
        <x:v>MATCH</x:v>
      </x:c>
      <x:c r="M114" s="34" t="n">
        <x:v>1811491</x:v>
      </x:c>
      <x:c r="N114" s="34" t="n">
        <x:v>1811491</x:v>
      </x:c>
      <x:c r="O114" s="22" t="str">
        <x:v>NOTICE_EXECUTION_CEILING</x:v>
      </x:c>
      <x:c r="P114" s="37" t="str">
        <x:f>IF(AND(M114&lt;&gt;"",N114&lt;&gt;"",O114&lt;&gt;"NOTICE_EXECUTION_CEILING"),M114/N114-1,"")</x:f>
      </x:c>
      <x:c r="Q114" s="31" t="n">
        <x:v>8217</x:v>
      </x:c>
      <x:c r="R114" s="22" t="str">
        <x:v>GFA</x:v>
      </x:c>
      <x:c r="S114" s="22" t="str">
        <x:v>SINGLE_OR_TOTAL</x:v>
      </x:c>
      <x:c r="T114" s="34" t="n">
        <x:f>IFERROR(N114/Q114,"")</x:f>
        <x:v>220.45649263721552</x:v>
      </x:c>
      <x:c r="U114" s="22" t="str">
        <x:v>V3_CURATED_AREA_COST_RECHECK</x:v>
      </x:c>
      <x:c r="V114" s="22" t="str">
        <x:v>초기 스크리닝만</x:v>
      </x:c>
      <x:c r="W114" s="28" t="n">
        <x:v>1</x:v>
      </x:c>
      <x:c r="X114" s="28" t="n">
        <x:v>1</x:v>
      </x:c>
      <x:c r="Y114" s="28" t="n">
        <x:v>1</x:v>
      </x:c>
      <x:c r="Z114" s="28" t="n">
        <x:v>0</x:v>
      </x:c>
      <x:c r="AA114" s="28" t="n">
        <x:v>39</x:v>
      </x:c>
      <x:c r="AB114" s="28" t="n">
        <x:v>3</x:v>
      </x:c>
      <x:c r="AC114" s="28" t="n">
        <x:v>5</x:v>
      </x:c>
      <x:c r="AD114" s="28" t="n">
        <x:v>3</x:v>
      </x:c>
      <x:c r="AE114" s="28" t="n">
        <x:v>0</x:v>
      </x:c>
      <x:c r="AF114" s="25" t="str">
        <x:v>동일/제한 범위 공사금액÷면적 스크리닝 근거</x:v>
      </x:c>
      <x:c r="AG114" s="25" t="str"/>
      <x:c r="AH114" s="25" t="str">
        <x:v>L2024-00039-1/붙임3. Bidding Documents_20240702/Section 2 - Bid Data Sheet_20240701.docx</x:v>
      </x:c>
      <x:c r="AI114" s="25" t="str">
        <x:v>표 4 행 8</x:v>
      </x:c>
      <x:c r="AJ114" s="25" t="str">
        <x:v>L2024-00039-1/붙임3. Bidding Documents_20240702/Section 2 - Bid Data Sheet_20240701.docx</x:v>
      </x:c>
      <x:c r="AK114" s="25" t="str">
        <x:v>표 4 행 8</x:v>
      </x:c>
      <x:c r="AL114" s="25" t="str">
        <x:v>대상 연면적 8,217.00㎡; 상세페이지 집행한도 USD 1,811,491; 산출단가 USD 220/㎡.</x:v>
      </x:c>
      <x:c r="AM114" s="25" t="str">
        <x:v>https://nebid.koica.go.kr/oep/lobi/localBidManageDetail.do?P_LOAZ_BID_PBLANC_NO=L2024-00039&amp;P_PBLANC_ODR=1</x:v>
      </x:c>
    </x:row>
    <x:row r="115">
      <x:c r="A115" s="22" t="str">
        <x:v>X</x:v>
      </x:c>
      <x:c r="B115" s="22" t="str">
        <x:v>2020-00023</x:v>
      </x:c>
      <x:c r="C115" s="22" t="str">
        <x:v>L2024-00024-1</x:v>
      </x:c>
      <x:c r="D115" s="22" t="str">
        <x:v>L2024-00024</x:v>
      </x:c>
      <x:c r="E115" s="22" t="str">
        <x:v>2024-05-21</x:v>
      </x:c>
      <x:c r="F115" s="22" t="str">
        <x:v>라오스</x:v>
      </x:c>
      <x:c r="G115" s="25" t="str">
        <x:v>라오스 남부 3개주 농촌개발사업 남부농업기술훈련원 건축 설계 및 시공감리 용역</x:v>
      </x:c>
      <x:c r="H115" s="22" t="str">
        <x:v>용역</x:v>
      </x:c>
      <x:c r="I115" s="22" t="str">
        <x:v>DESIGN_OR_SUPERVISION_SERVICE</x:v>
      </x:c>
      <x:c r="J115" s="22" t="str">
        <x:v>SERVICE_FEE_OR_MIXED</x:v>
      </x:c>
      <x:c r="K115" s="22" t="str">
        <x:v>NO_MATCH</x:v>
      </x:c>
      <x:c r="L115" s="22" t="str">
        <x:v>NO_MATCH</x:v>
      </x:c>
      <x:c r="M115" s="34" t="n">
        <x:v>65000</x:v>
      </x:c>
      <x:c r="N115" s="34"/>
      <x:c r="O115" s="22" t="str">
        <x:v>SERVICE_OR_GOODS_CEILING</x:v>
      </x:c>
      <x:c r="P115" s="37" t="str">
        <x:f>IF(AND(M115&lt;&gt;"",N115&lt;&gt;"",O115&lt;&gt;"NOTICE_EXECUTION_CEILING"),M115/N115-1,"")</x:f>
      </x:c>
      <x:c r="Q115" s="31" t="n">
        <x:v>700</x:v>
      </x:c>
      <x:c r="R115" s="22" t="str">
        <x:v>GFA</x:v>
      </x:c>
      <x:c r="S115" s="22" t="str">
        <x:v>AUTO_SELECTED_SINGLE_OR_TOTAL</x:v>
      </x:c>
      <x:c r="T115" s="34" t="n">
        <x:f>IFERROR(N115/Q115,"")</x:f>
        <x:v>0</x:v>
      </x:c>
      <x:c r="U115" s="22" t="str">
        <x:v>V3_SCOPE_REVIEW</x:v>
      </x:c>
      <x:c r="V115" s="22" t="str">
        <x:v>계산 금지</x:v>
      </x:c>
      <x:c r="W115" s="28" t="n">
        <x:v>1</x:v>
      </x:c>
      <x:c r="X115" s="28" t="n">
        <x:v>0</x:v>
      </x:c>
      <x:c r="Y115" s="28" t="n">
        <x:v>0</x:v>
      </x:c>
      <x:c r="Z115" s="28" t="n">
        <x:v>0</x:v>
      </x:c>
      <x:c r="AA115" s="28" t="n">
        <x:v>14</x:v>
      </x:c>
      <x:c r="AB115" s="28" t="n">
        <x:v>0</x:v>
      </x:c>
      <x:c r="AC115" s="28" t="n">
        <x:v>0</x:v>
      </x:c>
      <x:c r="AD115" s="28" t="n">
        <x:v>0</x:v>
      </x:c>
      <x:c r="AE115" s="28" t="n">
        <x:v>0</x:v>
      </x:c>
      <x:c r="AF115" s="25" t="str">
        <x:v>설계·감리·기타 용역 집행한도는 건축공사비가 아님</x:v>
      </x:c>
      <x:c r="AG115" s="25" t="str"/>
      <x:c r="AH115" s="25" t="str">
        <x:v>KOICA 입찰 상세페이지</x:v>
      </x:c>
      <x:c r="AI115" s="25" t="str">
        <x:v>집행한도금액(달러)</x:v>
      </x:c>
      <x:c r="AJ115" s="25" t="str">
        <x:v>L2024-00024-1/★Section 2 - Bid Data Sheet (BDS).pdf</x:v>
      </x:c>
      <x:c r="AK115" s="25" t="str">
        <x:v>페이지 9</x:v>
      </x:c>
      <x:c r="AL115" s="25" t="str">
        <x:v>services for educational or business building projects within the last three years as of the bidding announcement date (total floor area of 700㎡ ) - Other documents required in this bid. 2. Inquires ○ To provide th</x:v>
      </x:c>
      <x:c r="AM115" s="25" t="str">
        <x:v>https://nebid.koica.go.kr/oep/lobi/localBidManageDetail.do?P_LOAZ_BID_PBLANC_NO=L2024-00024&amp;P_PBLANC_ODR=1</x:v>
      </x:c>
    </x:row>
    <x:row r="116">
      <x:c r="A116" s="22" t="str">
        <x:v>C</x:v>
      </x:c>
      <x:c r="B116" s="22" t="str">
        <x:v>2022-00009</x:v>
      </x:c>
      <x:c r="C116" s="22" t="str">
        <x:v>L2024-00031-1</x:v>
      </x:c>
      <x:c r="D116" s="22" t="str">
        <x:v>L2024-00031</x:v>
      </x:c>
      <x:c r="E116" s="22" t="str">
        <x:v>2024-05-29</x:v>
      </x:c>
      <x:c r="F116" s="22" t="str">
        <x:v>네팔</x:v>
      </x:c>
      <x:c r="G116" s="25" t="str">
        <x:v>네팔 박타푸르 취약지역의 빈곤층 건강수준 향상을 위한 역량강화 및 의료인프라 개선사업</x:v>
      </x:c>
      <x:c r="H116" s="22" t="str">
        <x:v>공사</x:v>
      </x:c>
      <x:c r="I116" s="22" t="str">
        <x:v>WORKS</x:v>
      </x:c>
      <x:c r="J116" s="22" t="str">
        <x:v>WORKS_CEILING</x:v>
      </x:c>
      <x:c r="K116" s="22" t="str">
        <x:v>MATCH</x:v>
      </x:c>
      <x:c r="L116" s="22" t="str">
        <x:v>MATCH</x:v>
      </x:c>
      <x:c r="M116" s="34" t="n">
        <x:v>4653720</x:v>
      </x:c>
      <x:c r="N116" s="34" t="n">
        <x:v>4653720</x:v>
      </x:c>
      <x:c r="O116" s="22" t="str">
        <x:v>NOTICE_EXECUTION_CEILING</x:v>
      </x:c>
      <x:c r="P116" s="37" t="str">
        <x:f>IF(AND(M116&lt;&gt;"",N116&lt;&gt;"",O116&lt;&gt;"NOTICE_EXECUTION_CEILING"),M116/N116-1,"")</x:f>
      </x:c>
      <x:c r="Q116" s="31" t="n">
        <x:v>5898.25</x:v>
      </x:c>
      <x:c r="R116" s="22" t="str">
        <x:v>GFA</x:v>
      </x:c>
      <x:c r="S116" s="22" t="str">
        <x:v>SINGLE_OR_TOTAL</x:v>
      </x:c>
      <x:c r="T116" s="34" t="n">
        <x:f>IFERROR(N116/Q116,"")</x:f>
        <x:v>789.0001271563599</x:v>
      </x:c>
      <x:c r="U116" s="22" t="str">
        <x:v>V3_CURATED_AREA_COST_RECHECK</x:v>
      </x:c>
      <x:c r="V116" s="22" t="str">
        <x:v>초기 스크리닝만</x:v>
      </x:c>
      <x:c r="W116" s="28" t="n">
        <x:v>1</x:v>
      </x:c>
      <x:c r="X116" s="28" t="n">
        <x:v>1</x:v>
      </x:c>
      <x:c r="Y116" s="28" t="n">
        <x:v>1</x:v>
      </x:c>
      <x:c r="Z116" s="28" t="n">
        <x:v>0</x:v>
      </x:c>
      <x:c r="AA116" s="28" t="n">
        <x:v>9</x:v>
      </x:c>
      <x:c r="AB116" s="28" t="n">
        <x:v>1</x:v>
      </x:c>
      <x:c r="AC116" s="28" t="n">
        <x:v>4</x:v>
      </x:c>
      <x:c r="AD116" s="28" t="n">
        <x:v>0</x:v>
      </x:c>
      <x:c r="AE116" s="28" t="n">
        <x:v>0</x:v>
      </x:c>
      <x:c r="AF116" s="25" t="str">
        <x:v>동일/제한 범위 공사금액÷면적 스크리닝 근거</x:v>
      </x:c>
      <x:c r="AG116" s="25" t="str"/>
      <x:c r="AH116" s="25" t="str">
        <x:v>L2024-00031-1/1-2. BID DOCUMENTS-Project for Universal Health Coverage for the poor in vulnerable area in Bha.docx</x:v>
      </x:c>
      <x:c r="AI116" s="25" t="str">
        <x:v>표 5 행 8</x:v>
      </x:c>
      <x:c r="AJ116" s="25" t="str">
        <x:v>L2024-00031-1/1-2. BID DOCUMENTS-Project for Universal Health Coverage for the poor in vulnerable area in Bha.docx</x:v>
      </x:c>
      <x:c r="AK116" s="25" t="str">
        <x:v>표 5 행 8</x:v>
      </x:c>
      <x:c r="AL116" s="25" t="str">
        <x:v>총연면적 5,898.25㎡; 상세페이지 집행한도 USD 4,653,720; 산출단가 USD 789/㎡.</x:v>
      </x:c>
      <x:c r="AM116" s="25" t="str">
        <x:v>https://nebid.koica.go.kr/oep/lobi/localBidManageDetail.do?P_LOAZ_BID_PBLANC_NO=L2024-00031&amp;P_PBLANC_ODR=1</x:v>
      </x:c>
    </x:row>
    <x:row r="117">
      <x:c r="A117" s="22" t="str">
        <x:v>X</x:v>
      </x:c>
      <x:c r="B117" s="22" t="str">
        <x:v>2023-00030</x:v>
      </x:c>
      <x:c r="C117" s="22" t="str">
        <x:v>L2024-00041-1</x:v>
      </x:c>
      <x:c r="D117" s="22" t="str">
        <x:v>L2024-00041</x:v>
      </x:c>
      <x:c r="E117" s="22" t="str">
        <x:v>2024-06-18</x:v>
      </x:c>
      <x:c r="F117" s="22" t="str">
        <x:v>키르기즈</x:v>
      </x:c>
      <x:c r="G117" s="25" t="str">
        <x:v>키르기즈공화국 가축 품종개량 및 인공수정인력 역량강화사업 연수센터 신축, 바이오센터 리모델링 설계 및 저작권감리용역</x:v>
      </x:c>
      <x:c r="H117" s="22" t="str">
        <x:v>용역</x:v>
      </x:c>
      <x:c r="I117" s="22" t="str">
        <x:v>DESIGN_OR_SUPERVISION_SERVICE</x:v>
      </x:c>
      <x:c r="J117" s="22" t="str">
        <x:v>SERVICE_FEE_OR_MIXED</x:v>
      </x:c>
      <x:c r="K117" s="22" t="str">
        <x:v>NO_MATCH</x:v>
      </x:c>
      <x:c r="L117" s="22" t="str">
        <x:v>NO_MATCH</x:v>
      </x:c>
      <x:c r="M117" s="34" t="n">
        <x:v>166600</x:v>
      </x:c>
      <x:c r="N117" s="34"/>
      <x:c r="O117" s="22" t="str">
        <x:v>SERVICE_OR_GOODS_CEILING</x:v>
      </x:c>
      <x:c r="P117" s="37" t="str">
        <x:f>IF(AND(M117&lt;&gt;"",N117&lt;&gt;"",O117&lt;&gt;"NOTICE_EXECUTION_CEILING"),M117/N117-1,"")</x:f>
      </x:c>
      <x:c r="Q117" s="31" t="n">
        <x:v>1825</x:v>
      </x:c>
      <x:c r="R117" s="22" t="str">
        <x:v>GFA</x:v>
      </x:c>
      <x:c r="S117" s="22" t="str">
        <x:v>AUTO_SELECTED_SINGLE_OR_TOTAL</x:v>
      </x:c>
      <x:c r="T117" s="34" t="n">
        <x:f>IFERROR(N117/Q117,"")</x:f>
        <x:v>0</x:v>
      </x:c>
      <x:c r="U117" s="22" t="str">
        <x:v>V3_SCOPE_REVIEW</x:v>
      </x:c>
      <x:c r="V117" s="22" t="str">
        <x:v>계산 금지</x:v>
      </x:c>
      <x:c r="W117" s="28" t="n">
        <x:v>1</x:v>
      </x:c>
      <x:c r="X117" s="28" t="n">
        <x:v>1</x:v>
      </x:c>
      <x:c r="Y117" s="28" t="n">
        <x:v>0</x:v>
      </x:c>
      <x:c r="Z117" s="28" t="n">
        <x:v>0</x:v>
      </x:c>
      <x:c r="AA117" s="28" t="n">
        <x:v>19</x:v>
      </x:c>
      <x:c r="AB117" s="28" t="n">
        <x:v>0</x:v>
      </x:c>
      <x:c r="AC117" s="28" t="n">
        <x:v>0</x:v>
      </x:c>
      <x:c r="AD117" s="28" t="n">
        <x:v>0</x:v>
      </x:c>
      <x:c r="AE117" s="28" t="n">
        <x:v>0</x:v>
      </x:c>
      <x:c r="AF117" s="25" t="str">
        <x:v>설계·감리·기타 용역 집행한도는 건축공사비가 아님</x:v>
      </x:c>
      <x:c r="AG117" s="25" t="str"/>
      <x:c r="AH117" s="25" t="str">
        <x:v>KOICA 입찰 상세페이지</x:v>
      </x:c>
      <x:c r="AI117" s="25" t="str">
        <x:v>집행한도금액(달러)</x:v>
      </x:c>
      <x:c r="AJ117" s="25" t="str">
        <x:v>L2024-00041-1/Section 2 - Bid Data Sheet (BDS)_v5_0604.docx</x:v>
      </x:c>
      <x:c r="AK117" s="25" t="str">
        <x:v>표 5 행 3</x:v>
      </x:c>
      <x:c r="AL117" s="25" t="str">
        <x:v>of the services for the construction of the project mentioned below: - New Construction of Training Center in Chuy Oblast: Total Floor Area 1,825 M2. One(1) Admin/Training Building and One(1) Dormitory Building. The Pr</x:v>
      </x:c>
      <x:c r="AM117" s="25" t="str">
        <x:v>https://nebid.koica.go.kr/oep/lobi/localBidManageDetail.do?P_LOAZ_BID_PBLANC_NO=L2024-00041&amp;P_PBLANC_ODR=1</x:v>
      </x:c>
    </x:row>
    <x:row r="118">
      <x:c r="A118" s="22" t="str">
        <x:v>X</x:v>
      </x:c>
      <x:c r="B118" s="22" t="str">
        <x:v>2021-00126</x:v>
      </x:c>
      <x:c r="C118" s="22" t="str">
        <x:v>L2024-00035-1</x:v>
      </x:c>
      <x:c r="D118" s="22" t="str">
        <x:v>L2024-00035</x:v>
      </x:c>
      <x:c r="E118" s="22" t="str">
        <x:v>2024-06-28</x:v>
      </x:c>
      <x:c r="F118" s="22" t="str">
        <x:v>케냐</x:v>
      </x:c>
      <x:c r="G118" s="25" t="str">
        <x:v>케냐 카지아도주 보건시스템 강화를 위한 모성 및 신생아 보건 개선사업 설계 및 감리용역</x:v>
      </x:c>
      <x:c r="H118" s="22" t="str">
        <x:v>용역</x:v>
      </x:c>
      <x:c r="I118" s="22" t="str">
        <x:v>DESIGN_OR_SUPERVISION_SERVICE</x:v>
      </x:c>
      <x:c r="J118" s="22" t="str">
        <x:v>SERVICE_FEE_OR_MIXED</x:v>
      </x:c>
      <x:c r="K118" s="22" t="str">
        <x:v>NO_MATCH</x:v>
      </x:c>
      <x:c r="L118" s="22" t="str">
        <x:v>NO_MATCH</x:v>
      </x:c>
      <x:c r="M118" s="34" t="n">
        <x:v>57500</x:v>
      </x:c>
      <x:c r="N118" s="34"/>
      <x:c r="O118" s="22" t="str">
        <x:v>SERVICE_OR_GOODS_CEILING</x:v>
      </x:c>
      <x:c r="P118" s="37" t="str">
        <x:f>IF(AND(M118&lt;&gt;"",N118&lt;&gt;"",O118&lt;&gt;"NOTICE_EXECUTION_CEILING"),M118/N118-1,"")</x:f>
      </x:c>
      <x:c r="Q118" s="31"/>
      <x:c r="R118" s="22" t="str">
        <x:v>AMBIGUOUS_AREA</x:v>
      </x:c>
      <x:c r="S118" s="22" t="str">
        <x:v>UNKNOWN</x:v>
      </x:c>
      <x:c r="T118" s="34" t="str">
        <x:f>IFERROR(N118/Q118,"")</x:f>
      </x:c>
      <x:c r="U118" s="22" t="str">
        <x:v>V3_SCOPE_REVIEW</x:v>
      </x:c>
      <x:c r="V118" s="22" t="str">
        <x:v>계산 금지</x:v>
      </x:c>
      <x:c r="W118" s="28" t="n">
        <x:v>1</x:v>
      </x:c>
      <x:c r="X118" s="28" t="n">
        <x:v>0</x:v>
      </x:c>
      <x:c r="Y118" s="28" t="n">
        <x:v>0</x:v>
      </x:c>
      <x:c r="Z118" s="28" t="n">
        <x:v>0</x:v>
      </x:c>
      <x:c r="AA118" s="28" t="n">
        <x:v>18</x:v>
      </x:c>
      <x:c r="AB118" s="28" t="n">
        <x:v>0</x:v>
      </x:c>
      <x:c r="AC118" s="28" t="n">
        <x:v>0</x:v>
      </x:c>
      <x:c r="AD118" s="28" t="n">
        <x:v>0</x:v>
      </x:c>
      <x:c r="AE118" s="28" t="n">
        <x:v>0</x:v>
      </x:c>
      <x:c r="AF118" s="25" t="str">
        <x:v>설계·감리·기타 용역 집행한도는 건축공사비가 아님</x:v>
      </x:c>
      <x:c r="AG118" s="25" t="str"/>
      <x:c r="AH118" s="25" t="str">
        <x:v>KOICA 입찰 상세페이지</x:v>
      </x:c>
      <x:c r="AI118" s="25" t="str">
        <x:v>집행한도금액(달러)</x:v>
      </x:c>
      <x:c r="AJ118" s="25" t="str">
        <x:v>L2024-00035-1/Section 4 - Request for Proposal_kenya_0620.docx</x:v>
      </x:c>
      <x:c r="AK118" s="25" t="str">
        <x:v>표 7 행 10</x:v>
      </x:c>
      <x:c r="AL118" s="25" t="str">
        <x:v>SUM | 109.6 ㎡</x:v>
      </x:c>
      <x:c r="AM118" s="25" t="str">
        <x:v>https://nebid.koica.go.kr/oep/lobi/localBidManageDetail.do?P_LOAZ_BID_PBLANC_NO=L2024-00035&amp;P_PBLANC_ODR=1</x:v>
      </x:c>
    </x:row>
    <x:row r="119">
      <x:c r="A119" s="22" t="str">
        <x:v>X</x:v>
      </x:c>
      <x:c r="B119" s="22" t="str">
        <x:v>2023-00067</x:v>
      </x:c>
      <x:c r="C119" s="22" t="str">
        <x:v>L2024-00048-1</x:v>
      </x:c>
      <x:c r="D119" s="22" t="str">
        <x:v>L2024-00048</x:v>
      </x:c>
      <x:c r="E119" s="22" t="str">
        <x:v>2024-08-30</x:v>
      </x:c>
      <x:c r="F119" s="22" t="str">
        <x:v>코트디부아르</x:v>
      </x:c>
      <x:c r="G119" s="25" t="str">
        <x:v>코트디부아르 펠릭스우푸에부아니대학교 ICT 고등교육 역량강화 및 디지털 교육 개선사업 설계 및 감리용역</x:v>
      </x:c>
      <x:c r="H119" s="22" t="str">
        <x:v>용역</x:v>
      </x:c>
      <x:c r="I119" s="22" t="str">
        <x:v>DESIGN_OR_SUPERVISION_SERVICE</x:v>
      </x:c>
      <x:c r="J119" s="22" t="str">
        <x:v>SERVICE_FEE_OR_MIXED</x:v>
      </x:c>
      <x:c r="K119" s="22" t="str">
        <x:v>NO_MATCH</x:v>
      </x:c>
      <x:c r="L119" s="22" t="str">
        <x:v>NO_MATCH</x:v>
      </x:c>
      <x:c r="M119" s="34" t="n">
        <x:v>220000</x:v>
      </x:c>
      <x:c r="N119" s="34"/>
      <x:c r="O119" s="22" t="str">
        <x:v>SERVICE_OR_GOODS_CEILING</x:v>
      </x:c>
      <x:c r="P119" s="37" t="str">
        <x:f>IF(AND(M119&lt;&gt;"",N119&lt;&gt;"",O119&lt;&gt;"NOTICE_EXECUTION_CEILING"),M119/N119-1,"")</x:f>
      </x:c>
      <x:c r="Q119" s="31"/>
      <x:c r="R119" s="22" t="str">
        <x:v>AMBIGUOUS_OR_WORK_ITEM</x:v>
      </x:c>
      <x:c r="S119" s="22" t="str">
        <x:v>NOT_APPLICABLE</x:v>
      </x:c>
      <x:c r="T119" s="34" t="str">
        <x:f>IFERROR(N119/Q119,"")</x:f>
      </x:c>
      <x:c r="U119" s="22" t="str">
        <x:v>V3_SCOPE_REVIEW</x:v>
      </x:c>
      <x:c r="V119" s="22" t="str">
        <x:v>계산 금지</x:v>
      </x:c>
      <x:c r="W119" s="28" t="n">
        <x:v>1</x:v>
      </x:c>
      <x:c r="X119" s="28" t="n">
        <x:v>0</x:v>
      </x:c>
      <x:c r="Y119" s="28" t="n">
        <x:v>0</x:v>
      </x:c>
      <x:c r="Z119" s="28" t="n">
        <x:v>0</x:v>
      </x:c>
      <x:c r="AA119" s="28" t="n">
        <x:v>20</x:v>
      </x:c>
      <x:c r="AB119" s="28" t="n">
        <x:v>0</x:v>
      </x:c>
      <x:c r="AC119" s="28" t="n">
        <x:v>0</x:v>
      </x:c>
      <x:c r="AD119" s="28" t="n">
        <x:v>0</x:v>
      </x:c>
      <x:c r="AE119" s="28" t="n">
        <x:v>0</x:v>
      </x:c>
      <x:c r="AF119" s="25" t="str">
        <x:v>설계·감리·기타 용역 집행한도는 건축공사비가 아님</x:v>
      </x:c>
      <x:c r="AG119" s="25" t="str">
        <x:v>2·7㎡/person 공간계획 기준이며 대상 GFA가 아님</x:v>
      </x:c>
      <x:c r="AH119" s="25" t="str">
        <x:v>KOICA 입찰 상세페이지</x:v>
      </x:c>
      <x:c r="AI119" s="25" t="str">
        <x:v>집행한도금액(달러)</x:v>
      </x:c>
      <x:c r="AJ119" s="25" t="str">
        <x:v>L2024-00048-1/Section 4 - Request for Proposal_코트디_ver.1.2_수정.docx</x:v>
      </x:c>
      <x:c r="AK119" s="25" t="str">
        <x:v>표 7 행 5</x:v>
      </x:c>
      <x:c r="AL119" s="25" t="str">
        <x:v>2·7㎡/person 공간계획 기준이며 대상 GFA가 아님</x:v>
      </x:c>
      <x:c r="AM119" s="25" t="str">
        <x:v>https://nebid.koica.go.kr/oep/lobi/localBidManageDetail.do?P_LOAZ_BID_PBLANC_NO=L2024-00048&amp;P_PBLANC_ODR=1</x:v>
      </x:c>
    </x:row>
    <x:row r="120">
      <x:c r="A120" s="22" t="str">
        <x:v>C?</x:v>
      </x:c>
      <x:c r="B120" s="22" t="str">
        <x:v>2021-00111</x:v>
      </x:c>
      <x:c r="C120" s="22" t="str">
        <x:v>L2024-00049-1</x:v>
      </x:c>
      <x:c r="D120" s="22" t="str">
        <x:v>L2024-00049</x:v>
      </x:c>
      <x:c r="E120" s="22" t="str">
        <x:v>2024-09-09</x:v>
      </x:c>
      <x:c r="F120" s="22" t="str">
        <x:v>엘살바도르</x:v>
      </x:c>
      <x:c r="G120" s="25" t="str">
        <x:v>엘살바도르 ITCA 공학교육역량 강화사업 시공사 선정 현지입찰</x:v>
      </x:c>
      <x:c r="H120" s="22" t="str">
        <x:v>공사</x:v>
      </x:c>
      <x:c r="I120" s="22" t="str">
        <x:v>WORKS</x:v>
      </x:c>
      <x:c r="J120" s="22" t="str">
        <x:v>WORKS_CEILING</x:v>
      </x:c>
      <x:c r="K120" s="22" t="str">
        <x:v>MATCH</x:v>
      </x:c>
      <x:c r="L120" s="22" t="str">
        <x:v>MATCH</x:v>
      </x:c>
      <x:c r="M120" s="34" t="n">
        <x:v>965000</x:v>
      </x:c>
      <x:c r="N120" s="34" t="n">
        <x:v>965000</x:v>
      </x:c>
      <x:c r="O120" s="22" t="str">
        <x:v>NOTICE_EXECUTION_CEILING</x:v>
      </x:c>
      <x:c r="P120" s="37" t="str">
        <x:f>IF(AND(M120&lt;&gt;"",N120&lt;&gt;"",O120&lt;&gt;"NOTICE_EXECUTION_CEILING"),M120/N120-1,"")</x:f>
      </x:c>
      <x:c r="Q120" s="31" t="n">
        <x:v>788.12</x:v>
      </x:c>
      <x:c r="R120" s="22" t="str">
        <x:v>GFA</x:v>
      </x:c>
      <x:c r="S120" s="22" t="str">
        <x:v>AUTO_SELECTED_SINGLE_OR_TOTAL</x:v>
      </x:c>
      <x:c r="T120" s="34" t="n">
        <x:f>IFERROR(N120/Q120,"")</x:f>
        <x:v>1224.4328274881998</x:v>
      </x:c>
      <x:c r="U120" s="22" t="str">
        <x:v>V2R_HUMAN_REVIEWED_EXTRACTION</x:v>
      </x:c>
      <x:c r="V120" s="22" t="str">
        <x:v>초기 스크리닝만</x:v>
      </x:c>
      <x:c r="W120" s="28" t="n">
        <x:v>0</x:v>
      </x:c>
      <x:c r="X120" s="28" t="n">
        <x:v>0</x:v>
      </x:c>
      <x:c r="Y120" s="28" t="n">
        <x:v>0</x:v>
      </x:c>
      <x:c r="Z120" s="28" t="n">
        <x:v>0</x:v>
      </x:c>
      <x:c r="AA120" s="28" t="n">
        <x:v>11</x:v>
      </x:c>
      <x:c r="AB120" s="28" t="n">
        <x:v>0</x:v>
      </x:c>
      <x:c r="AC120" s="28" t="n">
        <x:v>0</x:v>
      </x:c>
      <x:c r="AD120" s="28" t="n">
        <x:v>0</x:v>
      </x:c>
      <x:c r="AE120" s="28" t="n">
        <x:v>0</x:v>
      </x:c>
      <x:c r="AF120" s="25" t="str">
        <x:v>범위 일치 잠정확인; 원본 V3 확인 전 직접 사용 금지</x:v>
      </x:c>
      <x:c r="AG120" s="25" t="str"/>
      <x:c r="AH120" s="25" t="str">
        <x:v>KOICA 입찰 상세페이지</x:v>
      </x:c>
      <x:c r="AI120" s="25" t="str">
        <x:v>집행한도금액(달러)</x:v>
      </x:c>
      <x:c r="AJ120" s="25" t="str">
        <x:v>L2024-00049-1/Bidding Document_ITCA(Construction)_Final/Section 2 Bid data sheet_ITCA Construction_(202409).docx</x:v>
      </x:c>
      <x:c r="AK120" s="25" t="str">
        <x:v>표 2 행 7</x:v>
      </x:c>
      <x:c r="AL120" s="25" t="str">
        <x:v>Gross floor area | 788.12 ㎡</x:v>
      </x:c>
      <x:c r="AM120" s="25" t="str">
        <x:v>https://nebid.koica.go.kr/oep/lobi/localBidManageDetail.do?P_LOAZ_BID_PBLANC_NO=L2024-00049&amp;P_PBLANC_ODR=1</x:v>
      </x:c>
    </x:row>
    <x:row r="121">
      <x:c r="A121" s="22" t="str">
        <x:v>C</x:v>
      </x:c>
      <x:c r="B121" s="22" t="str">
        <x:v>2021-00042</x:v>
      </x:c>
      <x:c r="C121" s="22" t="str">
        <x:v>L2024-00050-1</x:v>
      </x:c>
      <x:c r="D121" s="22" t="str">
        <x:v>L2024-00050</x:v>
      </x:c>
      <x:c r="E121" s="22" t="str">
        <x:v>2024-09-16</x:v>
      </x:c>
      <x:c r="F121" s="22" t="str">
        <x:v>우간다</x:v>
      </x:c>
      <x:c r="G121" s="25" t="str">
        <x:v>우간다 농업지도자 연수원 자립적 운영체계구축 및 연수역량 강화사업 공사</x:v>
      </x:c>
      <x:c r="H121" s="22" t="str">
        <x:v>공사</x:v>
      </x:c>
      <x:c r="I121" s="22" t="str">
        <x:v>WORKS</x:v>
      </x:c>
      <x:c r="J121" s="22" t="str">
        <x:v>WORKS_CEILING</x:v>
      </x:c>
      <x:c r="K121" s="22" t="str">
        <x:v>MATCH</x:v>
      </x:c>
      <x:c r="L121" s="22" t="str">
        <x:v>MATCH</x:v>
      </x:c>
      <x:c r="M121" s="34" t="n">
        <x:v>3910000</x:v>
      </x:c>
      <x:c r="N121" s="34" t="n">
        <x:v>3910000</x:v>
      </x:c>
      <x:c r="O121" s="22" t="str">
        <x:v>NOTICE_EXECUTION_CEILING</x:v>
      </x:c>
      <x:c r="P121" s="37" t="str">
        <x:f>IF(AND(M121&lt;&gt;"",N121&lt;&gt;"",O121&lt;&gt;"NOTICE_EXECUTION_CEILING"),M121/N121-1,"")</x:f>
      </x:c>
      <x:c r="Q121" s="31" t="n">
        <x:v>4032</x:v>
      </x:c>
      <x:c r="R121" s="22" t="str">
        <x:v>FACILITY_OR_CAMPUS_AREA</x:v>
      </x:c>
      <x:c r="S121" s="22" t="str">
        <x:v>SUM_OR_MULTI</x:v>
      </x:c>
      <x:c r="T121" s="34" t="n">
        <x:f>IFERROR(N121/Q121,"")</x:f>
        <x:v>969.7420634920635</x:v>
      </x:c>
      <x:c r="U121" s="22" t="str">
        <x:v>V3_CURATED_AREA_COST_RECHECK</x:v>
      </x:c>
      <x:c r="V121" s="22" t="str">
        <x:v>초기 스크리닝만</x:v>
      </x:c>
      <x:c r="W121" s="28" t="n">
        <x:v>1</x:v>
      </x:c>
      <x:c r="X121" s="28" t="n">
        <x:v>0</x:v>
      </x:c>
      <x:c r="Y121" s="28" t="n">
        <x:v>1</x:v>
      </x:c>
      <x:c r="Z121" s="28" t="n">
        <x:v>0</x:v>
      </x:c>
      <x:c r="AA121" s="28" t="n">
        <x:v>18</x:v>
      </x:c>
      <x:c r="AB121" s="28" t="n">
        <x:v>0</x:v>
      </x:c>
      <x:c r="AC121" s="28" t="n">
        <x:v>0</x:v>
      </x:c>
      <x:c r="AD121" s="28" t="n">
        <x:v>0</x:v>
      </x:c>
      <x:c r="AE121" s="28" t="n">
        <x:v>0</x:v>
      </x:c>
      <x:c r="AF121" s="25" t="str">
        <x:v>동일/제한 범위 공사금액÷면적 스크리닝 근거</x:v>
      </x:c>
      <x:c r="AG121" s="25" t="str"/>
      <x:c r="AH121" s="25" t="str">
        <x:v>L2024-00050-1/입찰계획안(영문)_240912.docx</x:v>
      </x:c>
      <x:c r="AI121" s="25" t="str">
        <x:v>표 4 행 8</x:v>
      </x:c>
      <x:c r="AJ121" s="25" t="str">
        <x:v>L2024-00050-1/입찰계획안(영문)_240912.docx</x:v>
      </x:c>
      <x:c r="AK121" s="25" t="str">
        <x:v>표 4 행 8</x:v>
      </x:c>
      <x:c r="AL121" s="25" t="str">
        <x:v>동별 면적 합계 4,032.00㎡; 상세페이지 집행한도 USD 3,910,000; 산출단가 USD 970/㎡.</x:v>
      </x:c>
      <x:c r="AM121" s="25" t="str">
        <x:v>https://nebid.koica.go.kr/oep/lobi/localBidManageDetail.do?P_LOAZ_BID_PBLANC_NO=L2024-00050&amp;P_PBLANC_ODR=1</x:v>
      </x:c>
    </x:row>
    <x:row r="122">
      <x:c r="A122" s="22" t="str">
        <x:v>X</x:v>
      </x:c>
      <x:c r="B122" s="22" t="str">
        <x:v>2021-00111</x:v>
      </x:c>
      <x:c r="C122" s="22" t="str">
        <x:v>L2024-00054-1</x:v>
      </x:c>
      <x:c r="D122" s="22" t="str">
        <x:v>L2024-00054</x:v>
      </x:c>
      <x:c r="E122" s="22" t="str">
        <x:v>2024-09-23</x:v>
      </x:c>
      <x:c r="F122" s="22" t="str">
        <x:v>엘살바도르</x:v>
      </x:c>
      <x:c r="G122" s="25" t="str">
        <x:v>엘살바도르 ITCA 공학교육역량 강화사업 감리사 선정 현지입찰</x:v>
      </x:c>
      <x:c r="H122" s="22" t="str">
        <x:v>용역</x:v>
      </x:c>
      <x:c r="I122" s="22" t="str">
        <x:v>DESIGN_OR_SUPERVISION_SERVICE</x:v>
      </x:c>
      <x:c r="J122" s="22" t="str">
        <x:v>SERVICE_FEE_OR_MIXED</x:v>
      </x:c>
      <x:c r="K122" s="22" t="str">
        <x:v>NO_MATCH</x:v>
      </x:c>
      <x:c r="L122" s="22" t="str">
        <x:v>NO_MATCH</x:v>
      </x:c>
      <x:c r="M122" s="34" t="n">
        <x:v>76000</x:v>
      </x:c>
      <x:c r="N122" s="34"/>
      <x:c r="O122" s="22" t="str">
        <x:v>SERVICE_OR_GOODS_CEILING</x:v>
      </x:c>
      <x:c r="P122" s="37" t="str">
        <x:f>IF(AND(M122&lt;&gt;"",N122&lt;&gt;"",O122&lt;&gt;"NOTICE_EXECUTION_CEILING"),M122/N122-1,"")</x:f>
      </x:c>
      <x:c r="Q122" s="31" t="n">
        <x:v>788.12</x:v>
      </x:c>
      <x:c r="R122" s="22" t="str">
        <x:v>GFA</x:v>
      </x:c>
      <x:c r="S122" s="22" t="str">
        <x:v>AUTO_SELECTED_SINGLE_OR_TOTAL</x:v>
      </x:c>
      <x:c r="T122" s="34" t="n">
        <x:f>IFERROR(N122/Q122,"")</x:f>
        <x:v>0</x:v>
      </x:c>
      <x:c r="U122" s="22" t="str">
        <x:v>V3_SCOPE_REVIEW</x:v>
      </x:c>
      <x:c r="V122" s="22" t="str">
        <x:v>계산 금지</x:v>
      </x:c>
      <x:c r="W122" s="28" t="n">
        <x:v>0</x:v>
      </x:c>
      <x:c r="X122" s="28" t="n">
        <x:v>0</x:v>
      </x:c>
      <x:c r="Y122" s="28" t="n">
        <x:v>0</x:v>
      </x:c>
      <x:c r="Z122" s="28" t="n">
        <x:v>0</x:v>
      </x:c>
      <x:c r="AA122" s="28" t="n">
        <x:v>10</x:v>
      </x:c>
      <x:c r="AB122" s="28" t="n">
        <x:v>0</x:v>
      </x:c>
      <x:c r="AC122" s="28" t="n">
        <x:v>0</x:v>
      </x:c>
      <x:c r="AD122" s="28" t="n">
        <x:v>0</x:v>
      </x:c>
      <x:c r="AE122" s="28" t="n">
        <x:v>0</x:v>
      </x:c>
      <x:c r="AF122" s="25" t="str">
        <x:v>설계·감리·기타 용역 집행한도는 건축공사비가 아님</x:v>
      </x:c>
      <x:c r="AG122" s="25" t="str"/>
      <x:c r="AH122" s="25" t="str">
        <x:v>KOICA 입찰 상세페이지</x:v>
      </x:c>
      <x:c r="AI122" s="25" t="str">
        <x:v>집행한도금액(달러)</x:v>
      </x:c>
      <x:c r="AJ122" s="25" t="str">
        <x:v>L2024-00054-1/Bidding Document_ITCA (Supervision)_(202409)/Section 2 - Bid Data Sheet (BDS)_ITCA Supervision_(202409).docx</x:v>
      </x:c>
      <x:c r="AK122" s="25" t="str">
        <x:v>표 2 행 6</x:v>
      </x:c>
      <x:c r="AL122" s="25" t="str">
        <x:v>Gross Floor Area | 788.12 ㎡</x:v>
      </x:c>
      <x:c r="AM122" s="25" t="str">
        <x:v>https://nebid.koica.go.kr/oep/lobi/localBidManageDetail.do?P_LOAZ_BID_PBLANC_NO=L2024-00054&amp;P_PBLANC_ODR=1</x:v>
      </x:c>
    </x:row>
    <x:row r="123">
      <x:c r="A123" s="22" t="str">
        <x:v>X</x:v>
      </x:c>
      <x:c r="B123" s="22" t="str">
        <x:v>2023-00067</x:v>
      </x:c>
      <x:c r="C123" s="22" t="str">
        <x:v>L2024-00056-1</x:v>
      </x:c>
      <x:c r="D123" s="22" t="str">
        <x:v>L2024-00056</x:v>
      </x:c>
      <x:c r="E123" s="22" t="str">
        <x:v>2024-09-26</x:v>
      </x:c>
      <x:c r="F123" s="22" t="str">
        <x:v>코트디부아르</x:v>
      </x:c>
      <x:c r="G123" s="25" t="str">
        <x:v>[긴급] 코트디부아르 펠릭스우푸에부아니대학교 ICT 고등교육 역량강화 및 디지털 교육 개선사업 설계 및 감리용역</x:v>
      </x:c>
      <x:c r="H123" s="22" t="str">
        <x:v>용역</x:v>
      </x:c>
      <x:c r="I123" s="22" t="str">
        <x:v>DESIGN_OR_SUPERVISION_SERVICE</x:v>
      </x:c>
      <x:c r="J123" s="22" t="str">
        <x:v>SERVICE_FEE_OR_MIXED</x:v>
      </x:c>
      <x:c r="K123" s="22" t="str">
        <x:v>NO_MATCH</x:v>
      </x:c>
      <x:c r="L123" s="22" t="str">
        <x:v>NO_MATCH</x:v>
      </x:c>
      <x:c r="M123" s="34" t="n">
        <x:v>220000</x:v>
      </x:c>
      <x:c r="N123" s="34"/>
      <x:c r="O123" s="22" t="str">
        <x:v>SERVICE_OR_GOODS_CEILING</x:v>
      </x:c>
      <x:c r="P123" s="37" t="str">
        <x:f>IF(AND(M123&lt;&gt;"",N123&lt;&gt;"",O123&lt;&gt;"NOTICE_EXECUTION_CEILING"),M123/N123-1,"")</x:f>
      </x:c>
      <x:c r="Q123" s="31"/>
      <x:c r="R123" s="22" t="str">
        <x:v>AMBIGUOUS_OR_WORK_ITEM</x:v>
      </x:c>
      <x:c r="S123" s="22" t="str">
        <x:v>NOT_APPLICABLE</x:v>
      </x:c>
      <x:c r="T123" s="34" t="str">
        <x:f>IFERROR(N123/Q123,"")</x:f>
      </x:c>
      <x:c r="U123" s="22" t="str">
        <x:v>V3_SCOPE_REVIEW</x:v>
      </x:c>
      <x:c r="V123" s="22" t="str">
        <x:v>계산 금지</x:v>
      </x:c>
      <x:c r="W123" s="28" t="n">
        <x:v>0</x:v>
      </x:c>
      <x:c r="X123" s="28" t="n">
        <x:v>0</x:v>
      </x:c>
      <x:c r="Y123" s="28" t="n">
        <x:v>0</x:v>
      </x:c>
      <x:c r="Z123" s="28" t="n">
        <x:v>0</x:v>
      </x:c>
      <x:c r="AA123" s="28" t="n">
        <x:v>10</x:v>
      </x:c>
      <x:c r="AB123" s="28" t="n">
        <x:v>1</x:v>
      </x:c>
      <x:c r="AC123" s="28" t="n">
        <x:v>0</x:v>
      </x:c>
      <x:c r="AD123" s="28" t="n">
        <x:v>0</x:v>
      </x:c>
      <x:c r="AE123" s="28" t="n">
        <x:v>0</x:v>
      </x:c>
      <x:c r="AF123" s="25" t="str">
        <x:v>설계·감리·기타 용역 집행한도는 건축공사비가 아님</x:v>
      </x:c>
      <x:c r="AG123" s="25" t="str">
        <x:v>2·7㎡/person 공간계획 기준이며 대상 GFA가 아님</x:v>
      </x:c>
      <x:c r="AH123" s="25" t="str">
        <x:v>KOICA 입찰 상세페이지</x:v>
      </x:c>
      <x:c r="AI123" s="25" t="str">
        <x:v>집행한도금액(달러)</x:v>
      </x:c>
      <x:c r="AJ123" s="25" t="str">
        <x:v>L2024-00056-1/Section 4 - Request for Proposal_코트디_ver.1.2_수정.docx</x:v>
      </x:c>
      <x:c r="AK123" s="25" t="str">
        <x:v>표 7 행 5</x:v>
      </x:c>
      <x:c r="AL123" s="25" t="str">
        <x:v>2·7㎡/person 공간계획 기준이며 대상 GFA가 아님</x:v>
      </x:c>
      <x:c r="AM123" s="25" t="str">
        <x:v>https://nebid.koica.go.kr/oep/lobi/localBidManageDetail.do?P_LOAZ_BID_PBLANC_NO=L2024-00056&amp;P_PBLANC_ODR=1</x:v>
      </x:c>
    </x:row>
    <x:row r="124">
      <x:c r="A124" s="22" t="str">
        <x:v>X</x:v>
      </x:c>
      <x:c r="B124" s="22" t="str">
        <x:v>2022-00058</x:v>
      </x:c>
      <x:c r="C124" s="22" t="str">
        <x:v>L2024-00055-1</x:v>
      </x:c>
      <x:c r="D124" s="22" t="str">
        <x:v>L2024-00055</x:v>
      </x:c>
      <x:c r="E124" s="22" t="str">
        <x:v>2024-09-30</x:v>
      </x:c>
      <x:c r="F124" s="22" t="str">
        <x:v>페루</x:v>
      </x:c>
      <x:c r="G124" s="25" t="str">
        <x:v>페루 쿠스코시 폐기물 통합관리 및 순환경제 구축사업 퇴비화 시범 플랜트 설계용역</x:v>
      </x:c>
      <x:c r="H124" s="22" t="str">
        <x:v>용역</x:v>
      </x:c>
      <x:c r="I124" s="22" t="str">
        <x:v>DESIGN_OR_SUPERVISION_SERVICE</x:v>
      </x:c>
      <x:c r="J124" s="22" t="str">
        <x:v>SERVICE_FEE_OR_MIXED</x:v>
      </x:c>
      <x:c r="K124" s="22" t="str">
        <x:v>NO_MATCH</x:v>
      </x:c>
      <x:c r="L124" s="22" t="str">
        <x:v>NO_MATCH</x:v>
      </x:c>
      <x:c r="M124" s="34" t="n">
        <x:v>52000</x:v>
      </x:c>
      <x:c r="N124" s="34"/>
      <x:c r="O124" s="22" t="str">
        <x:v>SERVICE_OR_GOODS_CEILING</x:v>
      </x:c>
      <x:c r="P124" s="37" t="str">
        <x:f>IF(AND(M124&lt;&gt;"",N124&lt;&gt;"",O124&lt;&gt;"NOTICE_EXECUTION_CEILING"),M124/N124-1,"")</x:f>
      </x:c>
      <x:c r="Q124" s="31" t="n">
        <x:v>4283</x:v>
      </x:c>
      <x:c r="R124" s="22" t="str">
        <x:v>GFA</x:v>
      </x:c>
      <x:c r="S124" s="22" t="str">
        <x:v>AUTO_SELECTED_SINGLE_OR_TOTAL</x:v>
      </x:c>
      <x:c r="T124" s="34" t="n">
        <x:f>IFERROR(N124/Q124,"")</x:f>
        <x:v>0</x:v>
      </x:c>
      <x:c r="U124" s="22" t="str">
        <x:v>V3_SCOPE_REVIEW</x:v>
      </x:c>
      <x:c r="V124" s="22" t="str">
        <x:v>계산 금지</x:v>
      </x:c>
      <x:c r="W124" s="28" t="n">
        <x:v>1</x:v>
      </x:c>
      <x:c r="X124" s="28" t="n">
        <x:v>0</x:v>
      </x:c>
      <x:c r="Y124" s="28" t="n">
        <x:v>0</x:v>
      </x:c>
      <x:c r="Z124" s="28" t="n">
        <x:v>0</x:v>
      </x:c>
      <x:c r="AA124" s="28" t="n">
        <x:v>7</x:v>
      </x:c>
      <x:c r="AB124" s="28" t="n">
        <x:v>0</x:v>
      </x:c>
      <x:c r="AC124" s="28" t="n">
        <x:v>0</x:v>
      </x:c>
      <x:c r="AD124" s="28" t="n">
        <x:v>0</x:v>
      </x:c>
      <x:c r="AE124" s="28" t="n">
        <x:v>0</x:v>
      </x:c>
      <x:c r="AF124" s="25" t="str">
        <x:v>설계·감리·기타 용역 집행한도는 건축공사비가 아님</x:v>
      </x:c>
      <x:c r="AG124" s="25" t="str"/>
      <x:c r="AH124" s="25" t="str">
        <x:v>KOICA 입찰 상세페이지</x:v>
      </x:c>
      <x:c r="AI124" s="25" t="str">
        <x:v>집행한도금액(달러)</x:v>
      </x:c>
      <x:c r="AJ124" s="25" t="str">
        <x:v>L2024-00055-1/Section 2 - Bid Data Sheet (BDS)_Peru Pilot Compost Plant.docx</x:v>
      </x:c>
      <x:c r="AK124" s="25" t="str">
        <x:v>표 5 행 3</x:v>
      </x:c>
      <x:c r="AL124" s="25" t="str">
        <x:v>․ Project Summary | Site area: 8,200 ㎡ , gross floor area: 4,283 ㎡ T o build Pilot Composting Plant in Cusco to minimize landfill waste </x:v>
      </x:c>
      <x:c r="AM124" s="25" t="str">
        <x:v>https://nebid.koica.go.kr/oep/lobi/localBidManageDetail.do?P_LOAZ_BID_PBLANC_NO=L2024-00055&amp;P_PBLANC_ODR=1</x:v>
      </x:c>
    </x:row>
    <x:row r="125">
      <x:c r="A125" s="22" t="str">
        <x:v>X</x:v>
      </x:c>
      <x:c r="B125" s="22" t="str">
        <x:v>2022-00064</x:v>
      </x:c>
      <x:c r="C125" s="22" t="str">
        <x:v>L2024-00072-1</x:v>
      </x:c>
      <x:c r="D125" s="22" t="str">
        <x:v>L2024-00072</x:v>
      </x:c>
      <x:c r="E125" s="22" t="str">
        <x:v>2024-10-08</x:v>
      </x:c>
      <x:c r="F125" s="22" t="str">
        <x:v>우간다</x:v>
      </x:c>
      <x:c r="G125" s="25" t="str">
        <x:v>우간다 마케레레 대학 원격교육센터 설계 및 감리용역 입찰</x:v>
      </x:c>
      <x:c r="H125" s="22" t="str">
        <x:v>용역</x:v>
      </x:c>
      <x:c r="I125" s="22" t="str">
        <x:v>DESIGN_OR_SUPERVISION_SERVICE</x:v>
      </x:c>
      <x:c r="J125" s="22" t="str">
        <x:v>SERVICE_FEE_OR_MIXED</x:v>
      </x:c>
      <x:c r="K125" s="22" t="str">
        <x:v>NO_MATCH</x:v>
      </x:c>
      <x:c r="L125" s="22" t="str">
        <x:v>NO_MATCH</x:v>
      </x:c>
      <x:c r="M125" s="34" t="n">
        <x:v>390500</x:v>
      </x:c>
      <x:c r="N125" s="34"/>
      <x:c r="O125" s="22" t="str">
        <x:v>SERVICE_OR_GOODS_CEILING</x:v>
      </x:c>
      <x:c r="P125" s="37" t="str">
        <x:f>IF(AND(M125&lt;&gt;"",N125&lt;&gt;"",O125&lt;&gt;"NOTICE_EXECUTION_CEILING"),M125/N125-1,"")</x:f>
      </x:c>
      <x:c r="Q125" s="31" t="n">
        <x:v>3270</x:v>
      </x:c>
      <x:c r="R125" s="22" t="str">
        <x:v>GFA</x:v>
      </x:c>
      <x:c r="S125" s="22" t="str">
        <x:v>AUTO_SELECTED_SINGLE_OR_TOTAL</x:v>
      </x:c>
      <x:c r="T125" s="34" t="n">
        <x:f>IFERROR(N125/Q125,"")</x:f>
        <x:v>0</x:v>
      </x:c>
      <x:c r="U125" s="22" t="str">
        <x:v>V3_SCOPE_REVIEW</x:v>
      </x:c>
      <x:c r="V125" s="22" t="str">
        <x:v>계산 금지</x:v>
      </x:c>
      <x:c r="W125" s="28" t="n">
        <x:v>1</x:v>
      </x:c>
      <x:c r="X125" s="28" t="n">
        <x:v>0</x:v>
      </x:c>
      <x:c r="Y125" s="28" t="n">
        <x:v>0</x:v>
      </x:c>
      <x:c r="Z125" s="28" t="n">
        <x:v>0</x:v>
      </x:c>
      <x:c r="AA125" s="28" t="n">
        <x:v>19</x:v>
      </x:c>
      <x:c r="AB125" s="28" t="n">
        <x:v>0</x:v>
      </x:c>
      <x:c r="AC125" s="28" t="n">
        <x:v>0</x:v>
      </x:c>
      <x:c r="AD125" s="28" t="n">
        <x:v>0</x:v>
      </x:c>
      <x:c r="AE125" s="28" t="n">
        <x:v>0</x:v>
      </x:c>
      <x:c r="AF125" s="25" t="str">
        <x:v>설계·감리·기타 용역 집행한도는 건축공사비가 아님</x:v>
      </x:c>
      <x:c r="AG125" s="25" t="str"/>
      <x:c r="AH125" s="25" t="str">
        <x:v>KOICA 입찰 상세페이지</x:v>
      </x:c>
      <x:c r="AI125" s="25" t="str">
        <x:v>집행한도금액(달러)</x:v>
      </x:c>
      <x:c r="AJ125" s="25" t="str">
        <x:v>L2024-00072-1/2. 입찰문서 각 1부 우간다 마케레레/Section 4 - Request for Proposal.docx</x:v>
      </x:c>
      <x:c r="AK125" s="25" t="str">
        <x:v>표 1 행 4</x:v>
      </x:c>
      <x:c r="AL125" s="25" t="str">
        <x:v>Gross Floor Area | 3,270 ㎡ |</x:v>
      </x:c>
      <x:c r="AM125" s="25" t="str">
        <x:v>https://nebid.koica.go.kr/oep/lobi/localBidManageDetail.do?P_LOAZ_BID_PBLANC_NO=L2024-00072&amp;P_PBLANC_ODR=1</x:v>
      </x:c>
    </x:row>
    <x:row r="126">
      <x:c r="A126" s="22" t="str">
        <x:v>X</x:v>
      </x:c>
      <x:c r="B126" s="22" t="str">
        <x:v>2023-00067</x:v>
      </x:c>
      <x:c r="C126" s="22" t="str">
        <x:v>L2024-00056-2</x:v>
      </x:c>
      <x:c r="D126" s="22" t="str">
        <x:v>L2024-00056</x:v>
      </x:c>
      <x:c r="E126" s="22" t="str">
        <x:v>2024-10-14</x:v>
      </x:c>
      <x:c r="F126" s="22" t="str">
        <x:v>코트디부아르</x:v>
      </x:c>
      <x:c r="G126" s="25" t="str">
        <x:v>[긴급] 코트디부아르 펠릭스우푸에부아니대학교 ICT 고등교육 역량강화 및 디지털 교육 개선사업 설계 및 감리용역</x:v>
      </x:c>
      <x:c r="H126" s="22" t="str">
        <x:v>용역</x:v>
      </x:c>
      <x:c r="I126" s="22" t="str">
        <x:v>DESIGN_OR_SUPERVISION_SERVICE</x:v>
      </x:c>
      <x:c r="J126" s="22" t="str">
        <x:v>SERVICE_FEE_OR_MIXED</x:v>
      </x:c>
      <x:c r="K126" s="22" t="str">
        <x:v>NO_MATCH</x:v>
      </x:c>
      <x:c r="L126" s="22" t="str">
        <x:v>NO_MATCH</x:v>
      </x:c>
      <x:c r="M126" s="34" t="n">
        <x:v>220000</x:v>
      </x:c>
      <x:c r="N126" s="34"/>
      <x:c r="O126" s="22" t="str">
        <x:v>SERVICE_OR_GOODS_CEILING</x:v>
      </x:c>
      <x:c r="P126" s="37" t="str">
        <x:f>IF(AND(M126&lt;&gt;"",N126&lt;&gt;"",O126&lt;&gt;"NOTICE_EXECUTION_CEILING"),M126/N126-1,"")</x:f>
      </x:c>
      <x:c r="Q126" s="31"/>
      <x:c r="R126" s="22" t="str">
        <x:v>AMBIGUOUS_OR_WORK_ITEM</x:v>
      </x:c>
      <x:c r="S126" s="22" t="str">
        <x:v>NOT_APPLICABLE</x:v>
      </x:c>
      <x:c r="T126" s="34" t="str">
        <x:f>IFERROR(N126/Q126,"")</x:f>
      </x:c>
      <x:c r="U126" s="22" t="str">
        <x:v>V3_SCOPE_REVIEW</x:v>
      </x:c>
      <x:c r="V126" s="22" t="str">
        <x:v>계산 금지</x:v>
      </x:c>
      <x:c r="W126" s="28" t="n">
        <x:v>1</x:v>
      </x:c>
      <x:c r="X126" s="28" t="n">
        <x:v>0</x:v>
      </x:c>
      <x:c r="Y126" s="28" t="n">
        <x:v>0</x:v>
      </x:c>
      <x:c r="Z126" s="28" t="n">
        <x:v>0</x:v>
      </x:c>
      <x:c r="AA126" s="28" t="n">
        <x:v>18</x:v>
      </x:c>
      <x:c r="AB126" s="28" t="n">
        <x:v>1</x:v>
      </x:c>
      <x:c r="AC126" s="28" t="n">
        <x:v>0</x:v>
      </x:c>
      <x:c r="AD126" s="28" t="n">
        <x:v>0</x:v>
      </x:c>
      <x:c r="AE126" s="28" t="n">
        <x:v>0</x:v>
      </x:c>
      <x:c r="AF126" s="25" t="str">
        <x:v>설계·감리·기타 용역 집행한도는 건축공사비가 아님</x:v>
      </x:c>
      <x:c r="AG126" s="25" t="str">
        <x:v>2·7㎡/person 공간계획 기준이며 대상 GFA가 아님</x:v>
      </x:c>
      <x:c r="AH126" s="25" t="str">
        <x:v>KOICA 입찰 상세페이지</x:v>
      </x:c>
      <x:c r="AI126" s="25" t="str">
        <x:v>집행한도금액(달러)</x:v>
      </x:c>
      <x:c r="AJ126" s="25" t="str">
        <x:v>L2024-00056-2/Section 4 - Request for Proposal_코트디_ver.1.2_수정.docx</x:v>
      </x:c>
      <x:c r="AK126" s="25" t="str">
        <x:v>표 7 행 5</x:v>
      </x:c>
      <x:c r="AL126" s="25" t="str">
        <x:v>2·7㎡/person 공간계획 기준이며 대상 GFA가 아님</x:v>
      </x:c>
      <x:c r="AM126" s="25" t="str">
        <x:v>https://nebid.koica.go.kr/oep/lobi/localBidManageDetail.do?P_LOAZ_BID_PBLANC_NO=L2024-00056&amp;P_PBLANC_ODR=2</x:v>
      </x:c>
    </x:row>
    <x:row r="127">
      <x:c r="A127" s="22" t="str">
        <x:v>U</x:v>
      </x:c>
      <x:c r="B127" s="22" t="str">
        <x:v>2020-00048</x:v>
      </x:c>
      <x:c r="C127" s="22" t="str">
        <x:v>L2024-00062-1</x:v>
      </x:c>
      <x:c r="D127" s="22" t="str">
        <x:v>L2024-00062</x:v>
      </x:c>
      <x:c r="E127" s="22" t="str">
        <x:v>2024-10-21</x:v>
      </x:c>
      <x:c r="F127" s="22" t="str">
        <x:v>세네갈</x:v>
      </x:c>
      <x:c r="G127" s="25" t="str">
        <x:v>세네갈 미곡가치사슬 역량강화 2차사업 미곡종합처리장(RPC)/농기계서비스센터 건축 시공사 선정 현지입찰</x:v>
      </x:c>
      <x:c r="H127" s="22" t="str">
        <x:v>공사</x:v>
      </x:c>
      <x:c r="I127" s="22" t="str">
        <x:v>WORKS</x:v>
      </x:c>
      <x:c r="J127" s="22" t="str">
        <x:v>WORKS_CEILING</x:v>
      </x:c>
      <x:c r="K127" s="22" t="str">
        <x:v>MATCH</x:v>
      </x:c>
      <x:c r="L127" s="22" t="str">
        <x:v>MATCH</x:v>
      </x:c>
      <x:c r="M127" s="34" t="n">
        <x:v>1910000</x:v>
      </x:c>
      <x:c r="N127" s="34" t="n">
        <x:v>1910000</x:v>
      </x:c>
      <x:c r="O127" s="22" t="str">
        <x:v>NOTICE_EXECUTION_CEILING</x:v>
      </x:c>
      <x:c r="P127" s="37" t="str">
        <x:f>IF(AND(M127&lt;&gt;"",N127&lt;&gt;"",O127&lt;&gt;"NOTICE_EXECUTION_CEILING"),M127/N127-1,"")</x:f>
      </x:c>
      <x:c r="Q127" s="31"/>
      <x:c r="R127" s="22" t="str">
        <x:v>AMBIGUOUS_AREA</x:v>
      </x:c>
      <x:c r="S127" s="22" t="str">
        <x:v>UNKNOWN</x:v>
      </x:c>
      <x:c r="T127" s="34" t="str">
        <x:f>IFERROR(N127/Q127,"")</x:f>
      </x:c>
      <x:c r="U127" s="22" t="str">
        <x:v>V2R_HUMAN_REVIEWED_EXTRACTION</x:v>
      </x:c>
      <x:c r="V127" s="22" t="str">
        <x:v>계산 금지</x:v>
      </x:c>
      <x:c r="W127" s="28" t="n">
        <x:v>1</x:v>
      </x:c>
      <x:c r="X127" s="28" t="n">
        <x:v>1</x:v>
      </x:c>
      <x:c r="Y127" s="28" t="n">
        <x:v>0</x:v>
      </x:c>
      <x:c r="Z127" s="28" t="n">
        <x:v>0</x:v>
      </x:c>
      <x:c r="AA127" s="28" t="n">
        <x:v>1</x:v>
      </x:c>
      <x:c r="AB127" s="28" t="n">
        <x:v>0</x:v>
      </x:c>
      <x:c r="AC127" s="28" t="n">
        <x:v>0</x:v>
      </x:c>
      <x:c r="AD127" s="28" t="n">
        <x:v>0</x:v>
      </x:c>
      <x:c r="AE127" s="28" t="n">
        <x:v>0</x:v>
      </x:c>
      <x:c r="AF127" s="25" t="str">
        <x:v>유효 면적과 공사금액 결합요건 미충족</x:v>
      </x:c>
      <x:c r="AG127" s="25" t="str"/>
      <x:c r="AH127" s="25" t="str">
        <x:v>KOICA 입찰 상세페이지</x:v>
      </x:c>
      <x:c r="AI127" s="25" t="str">
        <x:v>집행한도금액(달러)</x:v>
      </x:c>
      <x:c r="AJ127" s="25" t="str">
        <x:v>L2024-00062-1/1. 현지입찰 계획서(세네갈 미곡2차 시공)_최종.hwp</x:v>
      </x:c>
      <x:c r="AK127" s="25" t="str">
        <x:v>문단 67</x:v>
      </x:c>
      <x:c r="AL127" s="25" t="str">
        <x:v>20,000 ㎡,</x:v>
      </x:c>
      <x:c r="AM127" s="25" t="str">
        <x:v>https://nebid.koica.go.kr/oep/lobi/localBidManageDetail.do?P_LOAZ_BID_PBLANC_NO=L2024-00062&amp;P_PBLANC_ODR=1</x:v>
      </x:c>
    </x:row>
    <x:row r="128">
      <x:c r="A128" s="22" t="str">
        <x:v>C</x:v>
      </x:c>
      <x:c r="B128" s="22" t="str">
        <x:v>2023-00032</x:v>
      </x:c>
      <x:c r="C128" s="22" t="str">
        <x:v>L2024-00066-1</x:v>
      </x:c>
      <x:c r="D128" s="22" t="str">
        <x:v>L2024-00066</x:v>
      </x:c>
      <x:c r="E128" s="22" t="str">
        <x:v>2024-10-25</x:v>
      </x:c>
      <x:c r="F128" s="22" t="str">
        <x:v>피지</x:v>
      </x:c>
      <x:c r="G128" s="25" t="str">
        <x:v>피지국립의과대학 의료인력 역량강화사업 설계 및 감리용역</x:v>
      </x:c>
      <x:c r="H128" s="22" t="str">
        <x:v>용역</x:v>
      </x:c>
      <x:c r="I128" s="22" t="str">
        <x:v>DESIGN_OR_SUPERVISION_SERVICE</x:v>
      </x:c>
      <x:c r="J128" s="22" t="str">
        <x:v>SERVICE_FEE_OR_MIXED</x:v>
      </x:c>
      <x:c r="K128" s="22" t="str">
        <x:v>NO_MATCH</x:v>
      </x:c>
      <x:c r="L128" s="22" t="str">
        <x:v>MATCH_ATTACHMENT_CONSTRUCTION_BUDGET</x:v>
      </x:c>
      <x:c r="M128" s="34" t="n">
        <x:v>216571</x:v>
      </x:c>
      <x:c r="N128" s="34" t="n">
        <x:v>2406346</x:v>
      </x:c>
      <x:c r="O128" s="22" t="str">
        <x:v>DESIGN_ESTIMATE</x:v>
      </x:c>
      <x:c r="P128" s="37" t="n">
        <x:f>IF(AND(M128&lt;&gt;"",N128&lt;&gt;"",O128&lt;&gt;"NOTICE_EXECUTION_CEILING"),M128/N128-1,"")</x:f>
        <x:v>-0.910000058179497</x:v>
      </x:c>
      <x:c r="Q128" s="31" t="n">
        <x:v>1060</x:v>
      </x:c>
      <x:c r="R128" s="22" t="str">
        <x:v>GFA</x:v>
      </x:c>
      <x:c r="S128" s="22" t="str">
        <x:v>SINGLE_OR_TOTAL</x:v>
      </x:c>
      <x:c r="T128" s="34" t="n">
        <x:f>IFERROR(N128/Q128,"")</x:f>
        <x:v>2270.1377358490568</x:v>
      </x:c>
      <x:c r="U128" s="22" t="str">
        <x:v>V3_CURATED_AREA_COST_RECHECK</x:v>
      </x:c>
      <x:c r="V128" s="22" t="str">
        <x:v>초기 스크리닝만</x:v>
      </x:c>
      <x:c r="W128" s="28" t="n">
        <x:v>1</x:v>
      </x:c>
      <x:c r="X128" s="28" t="n">
        <x:v>1</x:v>
      </x:c>
      <x:c r="Y128" s="28" t="n">
        <x:v>1</x:v>
      </x:c>
      <x:c r="Z128" s="28" t="n">
        <x:v>0</x:v>
      </x:c>
      <x:c r="AA128" s="28" t="n">
        <x:v>16</x:v>
      </x:c>
      <x:c r="AB128" s="28" t="n">
        <x:v>0</x:v>
      </x:c>
      <x:c r="AC128" s="28" t="n">
        <x:v>0</x:v>
      </x:c>
      <x:c r="AD128" s="28" t="n">
        <x:v>0</x:v>
      </x:c>
      <x:c r="AE128" s="28" t="n">
        <x:v>0</x:v>
      </x:c>
      <x:c r="AF128" s="25" t="str">
        <x:v>동일/제한 범위 공사금액÷면적 스크리닝 근거</x:v>
      </x:c>
      <x:c r="AG128" s="25" t="str"/>
      <x:c r="AH128" s="25" t="str">
        <x:v>L2024-00066-1/Section 5 - Terms of Reference (ToR) R1.doc</x:v>
      </x:c>
      <x:c r="AI128" s="25" t="str">
        <x:v>문단 46</x:v>
      </x:c>
      <x:c r="AJ128" s="25" t="str">
        <x:v>L2024-00066-1/Section 5 - Terms of Reference (ToR) R1.doc</x:v>
      </x:c>
      <x:c r="AK128" s="25" t="str">
        <x:v>문단 46</x:v>
      </x:c>
      <x:c r="AL128" s="25" t="str">
        <x:v>3층, 총연면적 약 1,060㎡, 공사비 예산 약 USD 2,406,346.</x:v>
      </x:c>
      <x:c r="AM128" s="25" t="str">
        <x:v>https://nebid.koica.go.kr/oep/lobi/localBidManageDetail.do?P_LOAZ_BID_PBLANC_NO=L2024-00066&amp;P_PBLANC_ODR=1</x:v>
      </x:c>
    </x:row>
    <x:row r="129">
      <x:c r="A129" s="22" t="str">
        <x:v>U</x:v>
      </x:c>
      <x:c r="B129" s="22" t="str">
        <x:v>2021-00104</x:v>
      </x:c>
      <x:c r="C129" s="22" t="str">
        <x:v>L2024-00068-1</x:v>
      </x:c>
      <x:c r="D129" s="22" t="str">
        <x:v>L2024-00068</x:v>
      </x:c>
      <x:c r="E129" s="22" t="str">
        <x:v>2024-10-25</x:v>
      </x:c>
      <x:c r="F129" s="22" t="str">
        <x:v>코트디부아르</x:v>
      </x:c>
      <x:c r="G129" s="25" t="str">
        <x:v>[긴급] 코트디부아르 국립직업기술교육원 교사 ICT기반 교수역량강화사업 리모델링 공사</x:v>
      </x:c>
      <x:c r="H129" s="22" t="str">
        <x:v>공사</x:v>
      </x:c>
      <x:c r="I129" s="22" t="str">
        <x:v>WORKS</x:v>
      </x:c>
      <x:c r="J129" s="22" t="str">
        <x:v>WORKS_CEILING</x:v>
      </x:c>
      <x:c r="K129" s="22" t="str">
        <x:v>PARTIAL_SCOPE</x:v>
      </x:c>
      <x:c r="L129" s="22" t="str">
        <x:v>PARTIAL_SCOPE</x:v>
      </x:c>
      <x:c r="M129" s="34" t="n">
        <x:v>440000</x:v>
      </x:c>
      <x:c r="N129" s="34" t="n">
        <x:v>440000</x:v>
      </x:c>
      <x:c r="O129" s="22" t="str">
        <x:v>NOTICE_EXECUTION_CEILING</x:v>
      </x:c>
      <x:c r="P129" s="37" t="str">
        <x:f>IF(AND(M129&lt;&gt;"",N129&lt;&gt;"",O129&lt;&gt;"NOTICE_EXECUTION_CEILING"),M129/N129-1,"")</x:f>
      </x:c>
      <x:c r="Q129" s="31"/>
      <x:c r="R129" s="22" t="str">
        <x:v>AMBIGUOUS_OR_WORK_ITEM</x:v>
      </x:c>
      <x:c r="S129" s="22" t="str">
        <x:v>NOT_APPLICABLE</x:v>
      </x:c>
      <x:c r="T129" s="34" t="str">
        <x:f>IFERROR(N129/Q129,"")</x:f>
      </x:c>
      <x:c r="U129" s="22" t="str">
        <x:v>V3_SCOPE_REVIEW</x:v>
      </x:c>
      <x:c r="V129" s="22" t="str">
        <x:v>계산 금지</x:v>
      </x:c>
      <x:c r="W129" s="28" t="n">
        <x:v>0</x:v>
      </x:c>
      <x:c r="X129" s="28" t="n">
        <x:v>0</x:v>
      </x:c>
      <x:c r="Y129" s="28" t="n">
        <x:v>0</x:v>
      </x:c>
      <x:c r="Z129" s="28" t="n">
        <x:v>0</x:v>
      </x:c>
      <x:c r="AA129" s="28" t="n">
        <x:v>48</x:v>
      </x:c>
      <x:c r="AB129" s="28" t="n">
        <x:v>1</x:v>
      </x:c>
      <x:c r="AC129" s="28" t="n">
        <x:v>0</x:v>
      </x:c>
      <x:c r="AD129" s="28" t="n">
        <x:v>0</x:v>
      </x:c>
      <x:c r="AE129" s="28" t="n">
        <x:v>0</x:v>
      </x:c>
      <x:c r="AF129" s="25" t="str">
        <x:v>면적과 금액 범위가 부분·혼합되어 계산 금지</x:v>
      </x:c>
      <x:c r="AG129" s="25" t="str">
        <x:v>방·벽·방수·도장 면적이 중첩되어 단일 GFA를 만들 수 없음</x:v>
      </x:c>
      <x:c r="AH129" s="25" t="str">
        <x:v>KOICA 입찰 상세페이지</x:v>
      </x:c>
      <x:c r="AI129" s="25" t="str">
        <x:v>집행한도금액(달러)</x:v>
      </x:c>
      <x:c r="AJ129" s="25" t="str">
        <x:v>L2024-00068-1/Section 6 - Scope of Work.docx</x:v>
      </x:c>
      <x:c r="AK129" s="25" t="str">
        <x:v>문단 391</x:v>
      </x:c>
      <x:c r="AL129" s="25" t="str">
        <x:v>방·벽·방수·도장 면적이 중첩되어 단일 GFA를 만들 수 없음</x:v>
      </x:c>
      <x:c r="AM129" s="25" t="str">
        <x:v>https://nebid.koica.go.kr/oep/lobi/localBidManageDetail.do?P_LOAZ_BID_PBLANC_NO=L2024-00068&amp;P_PBLANC_ODR=1</x:v>
      </x:c>
    </x:row>
    <x:row r="130">
      <x:c r="A130" s="22" t="str">
        <x:v>C</x:v>
      </x:c>
      <x:c r="B130" s="22" t="str">
        <x:v>2021-00111</x:v>
      </x:c>
      <x:c r="C130" s="22" t="str">
        <x:v>L2024-00049-2</x:v>
      </x:c>
      <x:c r="D130" s="22" t="str">
        <x:v>L2024-00049</x:v>
      </x:c>
      <x:c r="E130" s="22" t="str">
        <x:v>2024-11-01</x:v>
      </x:c>
      <x:c r="F130" s="22" t="str">
        <x:v>엘살바도르</x:v>
      </x:c>
      <x:c r="G130" s="25" t="str">
        <x:v>엘살바도르 ITCA 공학교육역량 강화사업 시공사 선정 현지 재입찰</x:v>
      </x:c>
      <x:c r="H130" s="22" t="str">
        <x:v>공사</x:v>
      </x:c>
      <x:c r="I130" s="22" t="str">
        <x:v>WORKS</x:v>
      </x:c>
      <x:c r="J130" s="22" t="str">
        <x:v>WORKS_CEILING</x:v>
      </x:c>
      <x:c r="K130" s="22" t="str">
        <x:v>MATCH</x:v>
      </x:c>
      <x:c r="L130" s="22" t="str">
        <x:v>MATCH</x:v>
      </x:c>
      <x:c r="M130" s="34" t="n">
        <x:v>965000</x:v>
      </x:c>
      <x:c r="N130" s="34" t="n">
        <x:v>965000</x:v>
      </x:c>
      <x:c r="O130" s="22" t="str">
        <x:v>NOTICE_EXECUTION_CEILING</x:v>
      </x:c>
      <x:c r="P130" s="37" t="str">
        <x:f>IF(AND(M130&lt;&gt;"",N130&lt;&gt;"",O130&lt;&gt;"NOTICE_EXECUTION_CEILING"),M130/N130-1,"")</x:f>
      </x:c>
      <x:c r="Q130" s="31" t="n">
        <x:v>788.12</x:v>
      </x:c>
      <x:c r="R130" s="22" t="str">
        <x:v>GFA</x:v>
      </x:c>
      <x:c r="S130" s="22" t="str">
        <x:v>SINGLE_OR_TOTAL</x:v>
      </x:c>
      <x:c r="T130" s="34" t="n">
        <x:f>IFERROR(N130/Q130,"")</x:f>
        <x:v>1224.4328274881998</x:v>
      </x:c>
      <x:c r="U130" s="22" t="str">
        <x:v>V3_CURATED_AREA_COST_RECHECK</x:v>
      </x:c>
      <x:c r="V130" s="22" t="str">
        <x:v>초기 스크리닝만</x:v>
      </x:c>
      <x:c r="W130" s="28" t="n">
        <x:v>1</x:v>
      </x:c>
      <x:c r="X130" s="28" t="n">
        <x:v>1</x:v>
      </x:c>
      <x:c r="Y130" s="28" t="n">
        <x:v>1</x:v>
      </x:c>
      <x:c r="Z130" s="28" t="n">
        <x:v>0</x:v>
      </x:c>
      <x:c r="AA130" s="28" t="n">
        <x:v>16</x:v>
      </x:c>
      <x:c r="AB130" s="28" t="n">
        <x:v>0</x:v>
      </x:c>
      <x:c r="AC130" s="28" t="n">
        <x:v>0</x:v>
      </x:c>
      <x:c r="AD130" s="28" t="n">
        <x:v>0</x:v>
      </x:c>
      <x:c r="AE130" s="28" t="n">
        <x:v>0</x:v>
      </x:c>
      <x:c r="AF130" s="25" t="str">
        <x:v>동일/제한 범위 공사금액÷면적 스크리닝 근거</x:v>
      </x:c>
      <x:c r="AG130" s="25" t="str"/>
      <x:c r="AH130" s="25" t="str">
        <x:v>L2024-00049-2/3. Bidding Document_ITCA (Construction)/Attachment 6. Scope of Works_ITCA Construction.docx</x:v>
      </x:c>
      <x:c r="AI130" s="25" t="str">
        <x:v>문단 15</x:v>
      </x:c>
      <x:c r="AJ130" s="25" t="str">
        <x:v>L2024-00049-2/3. Bidding Document_ITCA (Construction)/Attachment 6. Scope of Works_ITCA Construction.docx</x:v>
      </x:c>
      <x:c r="AK130" s="25" t="str">
        <x:v>문단 15</x:v>
      </x:c>
      <x:c r="AL130" s="25" t="str">
        <x:v>총연면적 788.12㎡; 상세페이지 집행한도 USD 965,000; 산출단가 USD 1,224/㎡.</x:v>
      </x:c>
      <x:c r="AM130" s="25" t="str">
        <x:v>https://nebid.koica.go.kr/oep/lobi/localBidManageDetail.do?P_LOAZ_BID_PBLANC_NO=L2024-00049&amp;P_PBLANC_ODR=2</x:v>
      </x:c>
    </x:row>
    <x:row r="131">
      <x:c r="A131" s="22" t="str">
        <x:v>X</x:v>
      </x:c>
      <x:c r="B131" s="22" t="str">
        <x:v>2019-00027</x:v>
      </x:c>
      <x:c r="C131" s="22" t="str">
        <x:v>L2024-00074-1</x:v>
      </x:c>
      <x:c r="D131" s="22" t="str">
        <x:v>L2024-00074</x:v>
      </x:c>
      <x:c r="E131" s="22" t="str">
        <x:v>2024-11-08</x:v>
      </x:c>
      <x:c r="F131" s="22" t="str">
        <x:v>알제리</x:v>
      </x:c>
      <x:c r="G131" s="25" t="str">
        <x:v>알제리 사이버보안센터 건립사업 기자재 및 가구</x:v>
      </x:c>
      <x:c r="H131" s="22" t="str">
        <x:v>물품</x:v>
      </x:c>
      <x:c r="I131" s="22" t="str">
        <x:v>GOODS</x:v>
      </x:c>
      <x:c r="J131" s="22" t="str">
        <x:v>GOODS_CEILING</x:v>
      </x:c>
      <x:c r="K131" s="22" t="str">
        <x:v>NO_MATCH</x:v>
      </x:c>
      <x:c r="L131" s="22" t="str">
        <x:v>NO_MATCH</x:v>
      </x:c>
      <x:c r="M131" s="34" t="n">
        <x:v>103630</x:v>
      </x:c>
      <x:c r="N131" s="34"/>
      <x:c r="O131" s="22" t="str">
        <x:v>SERVICE_OR_GOODS_CEILING</x:v>
      </x:c>
      <x:c r="P131" s="37" t="str">
        <x:f>IF(AND(M131&lt;&gt;"",N131&lt;&gt;"",O131&lt;&gt;"NOTICE_EXECUTION_CEILING"),M131/N131-1,"")</x:f>
      </x:c>
      <x:c r="Q131" s="31"/>
      <x:c r="R131" s="22" t="str">
        <x:v>AMBIGUOUS_OR_WORK_ITEM</x:v>
      </x:c>
      <x:c r="S131" s="22" t="str">
        <x:v>NOT_APPLICABLE</x:v>
      </x:c>
      <x:c r="T131" s="34" t="str">
        <x:f>IFERROR(N131/Q131,"")</x:f>
      </x:c>
      <x:c r="U131" s="22" t="str">
        <x:v>V3_SCOPE_REVIEW</x:v>
      </x:c>
      <x:c r="V131" s="22" t="str">
        <x:v>계산 금지</x:v>
      </x:c>
      <x:c r="W131" s="28" t="n">
        <x:v>1</x:v>
      </x:c>
      <x:c r="X131" s="28" t="n">
        <x:v>1</x:v>
      </x:c>
      <x:c r="Y131" s="28" t="n">
        <x:v>0</x:v>
      </x:c>
      <x:c r="Z131" s="28" t="n">
        <x:v>0</x:v>
      </x:c>
      <x:c r="AA131" s="28" t="n">
        <x:v>19</x:v>
      </x:c>
      <x:c r="AB131" s="28" t="n">
        <x:v>1</x:v>
      </x:c>
      <x:c r="AC131" s="28" t="n">
        <x:v>0</x:v>
      </x:c>
      <x:c r="AD131" s="28" t="n">
        <x:v>0</x:v>
      </x:c>
      <x:c r="AE131" s="28" t="n">
        <x:v>0</x:v>
      </x:c>
      <x:c r="AF131" s="25" t="str">
        <x:v>물품·비건축 또는 GFA 오탐으로 건축공사비 표본 제외</x:v>
      </x:c>
      <x:c r="AG131" s="25" t="str">
        <x:v>기자재 조달용 바닥타일 면적이며 건축공사 GFA가 아님</x:v>
      </x:c>
      <x:c r="AH131" s="25" t="str">
        <x:v>KOICA 입찰 상세페이지</x:v>
      </x:c>
      <x:c r="AI131" s="25" t="str">
        <x:v>집행한도금액(달러)</x:v>
      </x:c>
      <x:c r="AJ131" s="25" t="str"/>
      <x:c r="AK131" s="25" t="str"/>
      <x:c r="AL131" s="25" t="str">
        <x:v>기자재 조달용 바닥타일 면적이며 건축공사 GFA가 아님</x:v>
      </x:c>
      <x:c r="AM131" s="25" t="str">
        <x:v>https://nebid.koica.go.kr/oep/lobi/localBidManageDetail.do?P_LOAZ_BID_PBLANC_NO=L2024-00074&amp;P_PBLANC_ODR=1</x:v>
      </x:c>
    </x:row>
    <x:row r="132">
      <x:c r="A132" s="22" t="str">
        <x:v>X</x:v>
      </x:c>
      <x:c r="B132" s="22" t="str">
        <x:v>2021-00111</x:v>
      </x:c>
      <x:c r="C132" s="22" t="str">
        <x:v>L2024-00054-2</x:v>
      </x:c>
      <x:c r="D132" s="22" t="str">
        <x:v>L2024-00054</x:v>
      </x:c>
      <x:c r="E132" s="22" t="str">
        <x:v>2024-11-13</x:v>
      </x:c>
      <x:c r="F132" s="22" t="str">
        <x:v>엘살바도르</x:v>
      </x:c>
      <x:c r="G132" s="25" t="str">
        <x:v>엘살바도르 ITCA 공학교육역량 강화사업 감리사 선정 현지 재입찰</x:v>
      </x:c>
      <x:c r="H132" s="22" t="str">
        <x:v>용역</x:v>
      </x:c>
      <x:c r="I132" s="22" t="str">
        <x:v>DESIGN_OR_SUPERVISION_SERVICE</x:v>
      </x:c>
      <x:c r="J132" s="22" t="str">
        <x:v>SERVICE_FEE_OR_MIXED</x:v>
      </x:c>
      <x:c r="K132" s="22" t="str">
        <x:v>NO_MATCH</x:v>
      </x:c>
      <x:c r="L132" s="22" t="str">
        <x:v>NO_MATCH</x:v>
      </x:c>
      <x:c r="M132" s="34" t="n">
        <x:v>76000</x:v>
      </x:c>
      <x:c r="N132" s="34"/>
      <x:c r="O132" s="22" t="str">
        <x:v>SERVICE_OR_GOODS_CEILING</x:v>
      </x:c>
      <x:c r="P132" s="37" t="str">
        <x:f>IF(AND(M132&lt;&gt;"",N132&lt;&gt;"",O132&lt;&gt;"NOTICE_EXECUTION_CEILING"),M132/N132-1,"")</x:f>
      </x:c>
      <x:c r="Q132" s="31" t="n">
        <x:v>788.12</x:v>
      </x:c>
      <x:c r="R132" s="22" t="str">
        <x:v>GFA</x:v>
      </x:c>
      <x:c r="S132" s="22" t="str">
        <x:v>AUTO_SELECTED_SINGLE_OR_TOTAL</x:v>
      </x:c>
      <x:c r="T132" s="34" t="n">
        <x:f>IFERROR(N132/Q132,"")</x:f>
        <x:v>0</x:v>
      </x:c>
      <x:c r="U132" s="22" t="str">
        <x:v>V3_SCOPE_REVIEW</x:v>
      </x:c>
      <x:c r="V132" s="22" t="str">
        <x:v>계산 금지</x:v>
      </x:c>
      <x:c r="W132" s="28" t="n">
        <x:v>1</x:v>
      </x:c>
      <x:c r="X132" s="28" t="n">
        <x:v>0</x:v>
      </x:c>
      <x:c r="Y132" s="28" t="n">
        <x:v>0</x:v>
      </x:c>
      <x:c r="Z132" s="28" t="n">
        <x:v>0</x:v>
      </x:c>
      <x:c r="AA132" s="28" t="n">
        <x:v>9</x:v>
      </x:c>
      <x:c r="AB132" s="28" t="n">
        <x:v>0</x:v>
      </x:c>
      <x:c r="AC132" s="28" t="n">
        <x:v>0</x:v>
      </x:c>
      <x:c r="AD132" s="28" t="n">
        <x:v>0</x:v>
      </x:c>
      <x:c r="AE132" s="28" t="n">
        <x:v>0</x:v>
      </x:c>
      <x:c r="AF132" s="25" t="str">
        <x:v>설계·감리·기타 용역 집행한도는 건축공사비가 아님</x:v>
      </x:c>
      <x:c r="AG132" s="25" t="str"/>
      <x:c r="AH132" s="25" t="str">
        <x:v>KOICA 입찰 상세페이지</x:v>
      </x:c>
      <x:c r="AI132" s="25" t="str">
        <x:v>집행한도금액(달러)</x:v>
      </x:c>
      <x:c r="AJ132" s="25" t="str">
        <x:v>L2024-00054-2/2. 영문 입찰서류 각 1부/INGLES/Section 2 - Bid Data Sheet (BDS)_ITCA Supervision_(20241108).docx</x:v>
      </x:c>
      <x:c r="AK132" s="25" t="str">
        <x:v>표 2 행 6</x:v>
      </x:c>
      <x:c r="AL132" s="25" t="str">
        <x:v>Gross Floor Area | 788.12 ㎡</x:v>
      </x:c>
      <x:c r="AM132" s="25" t="str">
        <x:v>https://nebid.koica.go.kr/oep/lobi/localBidManageDetail.do?P_LOAZ_BID_PBLANC_NO=L2024-00054&amp;P_PBLANC_ODR=2</x:v>
      </x:c>
    </x:row>
    <x:row r="133">
      <x:c r="A133" s="22" t="str">
        <x:v>U</x:v>
      </x:c>
      <x:c r="B133" s="22" t="str">
        <x:v>2021-00104</x:v>
      </x:c>
      <x:c r="C133" s="22" t="str">
        <x:v>L2024-00068-2</x:v>
      </x:c>
      <x:c r="D133" s="22" t="str">
        <x:v>L2024-00068</x:v>
      </x:c>
      <x:c r="E133" s="22" t="str">
        <x:v>2024-11-14</x:v>
      </x:c>
      <x:c r="F133" s="22" t="str">
        <x:v>코트디부아르</x:v>
      </x:c>
      <x:c r="G133" s="25" t="str">
        <x:v>[긴급] 코트디부아르 국립직업기술교육원 교사 ICT기반 교수역량강화사업 리모델링 공사</x:v>
      </x:c>
      <x:c r="H133" s="22" t="str">
        <x:v>공사</x:v>
      </x:c>
      <x:c r="I133" s="22" t="str">
        <x:v>WORKS</x:v>
      </x:c>
      <x:c r="J133" s="22" t="str">
        <x:v>WORKS_CEILING</x:v>
      </x:c>
      <x:c r="K133" s="22" t="str">
        <x:v>PARTIAL_SCOPE</x:v>
      </x:c>
      <x:c r="L133" s="22" t="str">
        <x:v>PARTIAL_SCOPE</x:v>
      </x:c>
      <x:c r="M133" s="34" t="n">
        <x:v>440000</x:v>
      </x:c>
      <x:c r="N133" s="34" t="n">
        <x:v>440000</x:v>
      </x:c>
      <x:c r="O133" s="22" t="str">
        <x:v>NOTICE_EXECUTION_CEILING</x:v>
      </x:c>
      <x:c r="P133" s="37" t="str">
        <x:f>IF(AND(M133&lt;&gt;"",N133&lt;&gt;"",O133&lt;&gt;"NOTICE_EXECUTION_CEILING"),M133/N133-1,"")</x:f>
      </x:c>
      <x:c r="Q133" s="31"/>
      <x:c r="R133" s="22" t="str">
        <x:v>AMBIGUOUS_OR_WORK_ITEM</x:v>
      </x:c>
      <x:c r="S133" s="22" t="str">
        <x:v>NOT_APPLICABLE</x:v>
      </x:c>
      <x:c r="T133" s="34" t="str">
        <x:f>IFERROR(N133/Q133,"")</x:f>
      </x:c>
      <x:c r="U133" s="22" t="str">
        <x:v>V3_SCOPE_REVIEW</x:v>
      </x:c>
      <x:c r="V133" s="22" t="str">
        <x:v>계산 금지</x:v>
      </x:c>
      <x:c r="W133" s="28" t="n">
        <x:v>1</x:v>
      </x:c>
      <x:c r="X133" s="28" t="n">
        <x:v>1</x:v>
      </x:c>
      <x:c r="Y133" s="28" t="n">
        <x:v>0</x:v>
      </x:c>
      <x:c r="Z133" s="28" t="n">
        <x:v>0</x:v>
      </x:c>
      <x:c r="AA133" s="28" t="n">
        <x:v>47</x:v>
      </x:c>
      <x:c r="AB133" s="28" t="n">
        <x:v>1</x:v>
      </x:c>
      <x:c r="AC133" s="28" t="n">
        <x:v>0</x:v>
      </x:c>
      <x:c r="AD133" s="28" t="n">
        <x:v>0</x:v>
      </x:c>
      <x:c r="AE133" s="28" t="n">
        <x:v>0</x:v>
      </x:c>
      <x:c r="AF133" s="25" t="str">
        <x:v>면적과 금액 범위가 부분·혼합되어 계산 금지</x:v>
      </x:c>
      <x:c r="AG133" s="25" t="str">
        <x:v>방·벽·방수·도장 면적이 중첩되어 단일 GFA를 만들 수 없음</x:v>
      </x:c>
      <x:c r="AH133" s="25" t="str">
        <x:v>KOICA 입찰 상세페이지</x:v>
      </x:c>
      <x:c r="AI133" s="25" t="str">
        <x:v>집행한도금액(달러)</x:v>
      </x:c>
      <x:c r="AJ133" s="25" t="str">
        <x:v>L2024-00068-2/Section 6 - Scope of Work.docx</x:v>
      </x:c>
      <x:c r="AK133" s="25" t="str">
        <x:v>문단 391</x:v>
      </x:c>
      <x:c r="AL133" s="25" t="str">
        <x:v>방·벽·방수·도장 면적이 중첩되어 단일 GFA를 만들 수 없음</x:v>
      </x:c>
      <x:c r="AM133" s="25" t="str">
        <x:v>https://nebid.koica.go.kr/oep/lobi/localBidManageDetail.do?P_LOAZ_BID_PBLANC_NO=L2024-00068&amp;P_PBLANC_ODR=2</x:v>
      </x:c>
    </x:row>
    <x:row r="134">
      <x:c r="A134" s="22" t="str">
        <x:v>C</x:v>
      </x:c>
      <x:c r="B134" s="22" t="str">
        <x:v>2020-00023</x:v>
      </x:c>
      <x:c r="C134" s="22" t="str">
        <x:v>L2024-00075-1</x:v>
      </x:c>
      <x:c r="D134" s="22" t="str">
        <x:v>L2024-00075</x:v>
      </x:c>
      <x:c r="E134" s="22" t="str">
        <x:v>2024-11-20</x:v>
      </x:c>
      <x:c r="F134" s="22" t="str">
        <x:v>라오스</x:v>
      </x:c>
      <x:c r="G134" s="25" t="str">
        <x:v>라오스 남부 3개주 농촌종합개발사업 남부농촌개발연수원 공사</x:v>
      </x:c>
      <x:c r="H134" s="22" t="str">
        <x:v>공사</x:v>
      </x:c>
      <x:c r="I134" s="22" t="str">
        <x:v>WORKS</x:v>
      </x:c>
      <x:c r="J134" s="22" t="str">
        <x:v>WORKS_CEILING</x:v>
      </x:c>
      <x:c r="K134" s="22" t="str">
        <x:v>MATCH</x:v>
      </x:c>
      <x:c r="L134" s="22" t="str">
        <x:v>MATCH</x:v>
      </x:c>
      <x:c r="M134" s="34" t="n">
        <x:v>624034</x:v>
      </x:c>
      <x:c r="N134" s="34" t="n">
        <x:v>624034</x:v>
      </x:c>
      <x:c r="O134" s="22" t="str">
        <x:v>CONSTRUCTION_BUDGET</x:v>
      </x:c>
      <x:c r="P134" s="37" t="n">
        <x:f>IF(AND(M134&lt;&gt;"",N134&lt;&gt;"",O134&lt;&gt;"NOTICE_EXECUTION_CEILING"),M134/N134-1,"")</x:f>
        <x:v>0</x:v>
      </x:c>
      <x:c r="Q134" s="31" t="n">
        <x:v>700</x:v>
      </x:c>
      <x:c r="R134" s="22" t="str">
        <x:v>GFA</x:v>
      </x:c>
      <x:c r="S134" s="22" t="str">
        <x:v>SINGLE_OR_TOTAL</x:v>
      </x:c>
      <x:c r="T134" s="34" t="n">
        <x:f>IFERROR(N134/Q134,"")</x:f>
        <x:v>891.4771428571429</x:v>
      </x:c>
      <x:c r="U134" s="22" t="str">
        <x:v>V3_CURATED_AREA_COST_RECHECK</x:v>
      </x:c>
      <x:c r="V134" s="22" t="str">
        <x:v>초기 스크리닝만</x:v>
      </x:c>
      <x:c r="W134" s="28" t="n">
        <x:v>1</x:v>
      </x:c>
      <x:c r="X134" s="28" t="n">
        <x:v>1</x:v>
      </x:c>
      <x:c r="Y134" s="28" t="n">
        <x:v>1</x:v>
      </x:c>
      <x:c r="Z134" s="28" t="n">
        <x:v>0</x:v>
      </x:c>
      <x:c r="AA134" s="28" t="n">
        <x:v>13</x:v>
      </x:c>
      <x:c r="AB134" s="28" t="n">
        <x:v>0</x:v>
      </x:c>
      <x:c r="AC134" s="28" t="n">
        <x:v>0</x:v>
      </x:c>
      <x:c r="AD134" s="28" t="n">
        <x:v>0</x:v>
      </x:c>
      <x:c r="AE134" s="28" t="n">
        <x:v>0</x:v>
      </x:c>
      <x:c r="AF134" s="25" t="str">
        <x:v>동일/제한 범위 공사금액÷면적 스크리닝 근거</x:v>
      </x:c>
      <x:c r="AG134" s="25" t="str"/>
      <x:c r="AH134" s="25" t="str">
        <x:v>L2024-00075-1/Section 2 - Bid Data Sheet_1120.pdf</x:v>
      </x:c>
      <x:c r="AI134" s="25" t="str">
        <x:v>페이지 5</x:v>
      </x:c>
      <x:c r="AJ134" s="25" t="str">
        <x:v>L2024-00075-1/Section 2 - Bid Data Sheet_1120.pdf</x:v>
      </x:c>
      <x:c r="AK134" s="25" t="str">
        <x:v>페이지 5</x:v>
      </x:c>
      <x:c r="AL134" s="25" t="str">
        <x:v>GFA 700㎡, Project Budget USD 624,034; 예정가격 USD 608,433.</x:v>
      </x:c>
      <x:c r="AM134" s="25" t="str">
        <x:v>https://nebid.koica.go.kr/oep/lobi/localBidManageDetail.do?P_LOAZ_BID_PBLANC_NO=L2024-00075&amp;P_PBLANC_ODR=1</x:v>
      </x:c>
    </x:row>
    <x:row r="135">
      <x:c r="A135" s="22" t="str">
        <x:v>X</x:v>
      </x:c>
      <x:c r="B135" s="22" t="str">
        <x:v>2022-00058</x:v>
      </x:c>
      <x:c r="C135" s="22" t="str">
        <x:v>L2024-00076-1</x:v>
      </x:c>
      <x:c r="D135" s="22" t="str">
        <x:v>L2024-00076</x:v>
      </x:c>
      <x:c r="E135" s="22" t="str">
        <x:v>2024-11-25</x:v>
      </x:c>
      <x:c r="F135" s="22" t="str">
        <x:v>페루</x:v>
      </x:c>
      <x:c r="G135" s="25" t="str">
        <x:v>페루 쿠스코시 폐기물 통합관리 및 순환경제 구축사업 퇴비화 시범 플랜트 설계용역</x:v>
      </x:c>
      <x:c r="H135" s="22" t="str">
        <x:v>공사</x:v>
      </x:c>
      <x:c r="I135" s="22" t="str">
        <x:v>DESIGN_SERVICE</x:v>
      </x:c>
      <x:c r="J135" s="22" t="str">
        <x:v>SERVICE_FEE_OR_MIXED</x:v>
      </x:c>
      <x:c r="K135" s="22" t="str">
        <x:v>NO_MATCH</x:v>
      </x:c>
      <x:c r="L135" s="22" t="str">
        <x:v>NO_MATCH</x:v>
      </x:c>
      <x:c r="M135" s="34" t="n">
        <x:v>52000</x:v>
      </x:c>
      <x:c r="N135" s="34"/>
      <x:c r="O135" s="22" t="str">
        <x:v>SERVICE_OR_GOODS_CEILING</x:v>
      </x:c>
      <x:c r="P135" s="37" t="str">
        <x:f>IF(AND(M135&lt;&gt;"",N135&lt;&gt;"",O135&lt;&gt;"NOTICE_EXECUTION_CEILING"),M135/N135-1,"")</x:f>
      </x:c>
      <x:c r="Q135" s="31"/>
      <x:c r="R135" s="22" t="str">
        <x:v>SITE_OR_FOOTPRINT_ONLY</x:v>
      </x:c>
      <x:c r="S135" s="22" t="str">
        <x:v>NOT_APPLICABLE</x:v>
      </x:c>
      <x:c r="T135" s="34" t="str">
        <x:f>IFERROR(N135/Q135,"")</x:f>
      </x:c>
      <x:c r="U135" s="22" t="str">
        <x:v>V3_SCOPE_REVIEW</x:v>
      </x:c>
      <x:c r="V135" s="22" t="str">
        <x:v>계산 금지</x:v>
      </x:c>
      <x:c r="W135" s="28" t="n">
        <x:v>1</x:v>
      </x:c>
      <x:c r="X135" s="28" t="n">
        <x:v>1</x:v>
      </x:c>
      <x:c r="Y135" s="28" t="n">
        <x:v>0</x:v>
      </x:c>
      <x:c r="Z135" s="28" t="n">
        <x:v>0</x:v>
      </x:c>
      <x:c r="AA135" s="28" t="n">
        <x:v>1</x:v>
      </x:c>
      <x:c r="AB135" s="28" t="n">
        <x:v>0</x:v>
      </x:c>
      <x:c r="AC135" s="28" t="n">
        <x:v>0</x:v>
      </x:c>
      <x:c r="AD135" s="28" t="n">
        <x:v>0</x:v>
      </x:c>
      <x:c r="AE135" s="28" t="n">
        <x:v>0</x:v>
      </x:c>
      <x:c r="AF135" s="25" t="str">
        <x:v>설계·감리·기타 용역 집행한도는 건축공사비가 아님</x:v>
      </x:c>
      <x:c r="AG135" s="25" t="str">
        <x:v>DB는 공사이나 실제 퇴비화 플랜트 설계용역; 대지·footprint만 확인</x:v>
      </x:c>
      <x:c r="AH135" s="25" t="str">
        <x:v>KOICA 입찰 상세페이지</x:v>
      </x:c>
      <x:c r="AI135" s="25" t="str">
        <x:v>집행한도금액(달러)</x:v>
      </x:c>
      <x:c r="AJ135" s="25" t="str">
        <x:v>L2024-00076-1/1. 페루 시험 퇴비화 플랜트 국문입찰공고문.hwp</x:v>
      </x:c>
      <x:c r="AK135" s="25" t="str">
        <x:v>문단 61</x:v>
      </x:c>
      <x:c r="AL135" s="25" t="str">
        <x:v>DB는 공사이나 실제 퇴비화 플랜트 설계용역; 대지·footprint만 확인</x:v>
      </x:c>
      <x:c r="AM135" s="25" t="str">
        <x:v>https://nebid.koica.go.kr/oep/lobi/localBidManageDetail.do?P_LOAZ_BID_PBLANC_NO=L2024-00076&amp;P_PBLANC_ODR=1</x:v>
      </x:c>
    </x:row>
    <x:row r="136">
      <x:c r="A136" s="22" t="str">
        <x:v>B-부분</x:v>
      </x:c>
      <x:c r="B136" s="22" t="str">
        <x:v>2020-00070</x:v>
      </x:c>
      <x:c r="C136" s="22" t="str">
        <x:v>L2024-00078-1</x:v>
      </x:c>
      <x:c r="D136" s="22" t="str">
        <x:v>L2024-00078</x:v>
      </x:c>
      <x:c r="E136" s="22" t="str">
        <x:v>2024-12-20</x:v>
      </x:c>
      <x:c r="F136" s="22" t="str">
        <x:v>도미니카</x:v>
      </x:c>
      <x:c r="G136" s="25" t="str">
        <x:v>도미니카공화국 몬테 크리스티 직업훈련센터 (MVC) 시공사 선정</x:v>
      </x:c>
      <x:c r="H136" s="22" t="str">
        <x:v>공사</x:v>
      </x:c>
      <x:c r="I136" s="22" t="str">
        <x:v>WORKS</x:v>
      </x:c>
      <x:c r="J136" s="22" t="str">
        <x:v>WORKS_CEILING</x:v>
      </x:c>
      <x:c r="K136" s="22" t="str">
        <x:v>MATCH</x:v>
      </x:c>
      <x:c r="L136" s="22" t="str">
        <x:v>MATCH</x:v>
      </x:c>
      <x:c r="M136" s="34" t="n">
        <x:v>1187000</x:v>
      </x:c>
      <x:c r="N136" s="34" t="n">
        <x:v>1187000</x:v>
      </x:c>
      <x:c r="O136" s="22" t="str">
        <x:v>NOTICE_EXECUTION_CEILING</x:v>
      </x:c>
      <x:c r="P136" s="37" t="str">
        <x:f>IF(AND(M136&lt;&gt;"",N136&lt;&gt;"",O136&lt;&gt;"NOTICE_EXECUTION_CEILING"),M136/N136-1,"")</x:f>
      </x:c>
      <x:c r="Q136" s="31" t="n">
        <x:v>936.2</x:v>
      </x:c>
      <x:c r="R136" s="22" t="str">
        <x:v>GFA</x:v>
      </x:c>
      <x:c r="S136" s="22" t="str">
        <x:v>SINGLE_OR_TOTAL</x:v>
      </x:c>
      <x:c r="T136" s="34" t="n">
        <x:f>IFERROR(N136/Q136,"")</x:f>
        <x:v>1267.8914761803032</x:v>
      </x:c>
      <x:c r="U136" s="22" t="str">
        <x:v>V3_ORIGINAL_MANUAL</x:v>
      </x:c>
      <x:c r="V136" s="22" t="str">
        <x:v>현지단가 결합 수량모델</x:v>
      </x:c>
      <x:c r="W136" s="28" t="n">
        <x:v>1</x:v>
      </x:c>
      <x:c r="X136" s="28" t="n">
        <x:v>1</x:v>
      </x:c>
      <x:c r="Y136" s="28" t="n">
        <x:v>1</x:v>
      </x:c>
      <x:c r="Z136" s="28" t="n">
        <x:v>1</x:v>
      </x:c>
      <x:c r="AA136" s="28" t="n">
        <x:v>24</x:v>
      </x:c>
      <x:c r="AB136" s="28" t="n">
        <x:v>1</x:v>
      </x:c>
      <x:c r="AC136" s="28" t="n">
        <x:v>0</x:v>
      </x:c>
      <x:c r="AD136" s="28" t="n">
        <x:v>1</x:v>
      </x:c>
      <x:c r="AE136" s="28" t="n">
        <x:v>0</x:v>
      </x:c>
      <x:c r="AF136" s="25" t="str">
        <x:v>몬테크리스티 직업훈련센터 899행 blank BOQ</x:v>
      </x:c>
      <x:c r="AG136" s="25" t="str"/>
      <x:c r="AH136" s="25" t="str">
        <x:v>L2024-00078-1/Section 2 Bid data sheet_MVC Construction_v05_CLEAN.docx</x:v>
      </x:c>
      <x:c r="AI136" s="25" t="str">
        <x:v>표 2 행 7</x:v>
      </x:c>
      <x:c r="AJ136" s="25" t="str">
        <x:v>L2024-00078-1/Section 2 Bid data sheet_MVC Construction_v05_CLEAN.docx</x:v>
      </x:c>
      <x:c r="AK136" s="25" t="str">
        <x:v>표 2 행 7</x:v>
      </x:c>
      <x:c r="AL136" s="25" t="str">
        <x:v>총연면적 936.20㎡; 상세페이지 집행한도 USD 1,187,000; 산출단가 USD 1,268/㎡.</x:v>
      </x:c>
      <x:c r="AM136" s="25" t="str">
        <x:v>https://nebid.koica.go.kr/oep/lobi/localBidManageDetail.do?P_LOAZ_BID_PBLANC_NO=L2024-00078&amp;P_PBLANC_ODR=1</x:v>
      </x:c>
    </x:row>
    <x:row r="137">
      <x:c r="A137" s="22" t="str">
        <x:v>C</x:v>
      </x:c>
      <x:c r="B137" s="22" t="str">
        <x:v>2023-00052</x:v>
      </x:c>
      <x:c r="C137" s="22" t="str">
        <x:v>L2024-00079-1</x:v>
      </x:c>
      <x:c r="D137" s="22" t="str">
        <x:v>L2024-00079</x:v>
      </x:c>
      <x:c r="E137" s="22" t="str">
        <x:v>2024-12-23</x:v>
      </x:c>
      <x:c r="F137" s="22" t="str">
        <x:v>네팔</x:v>
      </x:c>
      <x:c r="G137" s="25" t="str">
        <x:v>네팔 포카라시 리사이클/업사이클 플랫폼 및 친환경 시범마을 구축을 통한 녹색일자리 창출사업(23~29/980만불) 시공업체 선정</x:v>
      </x:c>
      <x:c r="H137" s="22" t="str">
        <x:v>공사</x:v>
      </x:c>
      <x:c r="I137" s="22" t="str">
        <x:v>WORKS</x:v>
      </x:c>
      <x:c r="J137" s="22" t="str">
        <x:v>WORKS_CEILING</x:v>
      </x:c>
      <x:c r="K137" s="22" t="str">
        <x:v>MATCH</x:v>
      </x:c>
      <x:c r="L137" s="22" t="str">
        <x:v>MATCH</x:v>
      </x:c>
      <x:c r="M137" s="34" t="n">
        <x:v>3534542</x:v>
      </x:c>
      <x:c r="N137" s="34" t="n">
        <x:v>3534542</x:v>
      </x:c>
      <x:c r="O137" s="22" t="str">
        <x:v>NOTICE_EXECUTION_CEILING</x:v>
      </x:c>
      <x:c r="P137" s="37" t="str">
        <x:f>IF(AND(M137&lt;&gt;"",N137&lt;&gt;"",O137&lt;&gt;"NOTICE_EXECUTION_CEILING"),M137/N137-1,"")</x:f>
      </x:c>
      <x:c r="Q137" s="31" t="n">
        <x:v>4996.62</x:v>
      </x:c>
      <x:c r="R137" s="22" t="str">
        <x:v>GFA</x:v>
      </x:c>
      <x:c r="S137" s="22" t="str">
        <x:v>SINGLE_OR_TOTAL</x:v>
      </x:c>
      <x:c r="T137" s="34" t="n">
        <x:f>IFERROR(N137/Q137,"")</x:f>
        <x:v>707.3865933370959</x:v>
      </x:c>
      <x:c r="U137" s="22" t="str">
        <x:v>V3_CURATED_AREA_COST_RECHECK</x:v>
      </x:c>
      <x:c r="V137" s="22" t="str">
        <x:v>초기 스크리닝만</x:v>
      </x:c>
      <x:c r="W137" s="28" t="n">
        <x:v>1</x:v>
      </x:c>
      <x:c r="X137" s="28" t="n">
        <x:v>1</x:v>
      </x:c>
      <x:c r="Y137" s="28" t="n">
        <x:v>1</x:v>
      </x:c>
      <x:c r="Z137" s="28" t="n">
        <x:v>0</x:v>
      </x:c>
      <x:c r="AA137" s="28" t="n">
        <x:v>1</x:v>
      </x:c>
      <x:c r="AB137" s="28" t="n">
        <x:v>0</x:v>
      </x:c>
      <x:c r="AC137" s="28" t="n">
        <x:v>0</x:v>
      </x:c>
      <x:c r="AD137" s="28" t="n">
        <x:v>0</x:v>
      </x:c>
      <x:c r="AE137" s="28" t="n">
        <x:v>0</x:v>
      </x:c>
      <x:c r="AF137" s="25" t="str">
        <x:v>동일/제한 범위 공사금액÷면적 스크리닝 근거</x:v>
      </x:c>
      <x:c r="AG137" s="25" t="str"/>
      <x:c r="AH137" s="25" t="str">
        <x:v>L2024-00079-1/2. 포카라시 녹색일자리 창출사업 시공사 선정 BID DOCUMENTS(영문)_241217.docx</x:v>
      </x:c>
      <x:c r="AI137" s="25" t="str">
        <x:v>표 5 행 8</x:v>
      </x:c>
      <x:c r="AJ137" s="25" t="str">
        <x:v>L2024-00079-1/2. 포카라시 녹색일자리 창출사업 시공사 선정 BID DOCUMENTS(영문)_241217.docx</x:v>
      </x:c>
      <x:c r="AK137" s="25" t="str">
        <x:v>표 5 행 8</x:v>
      </x:c>
      <x:c r="AL137" s="25" t="str">
        <x:v>총연면적 4,996.62㎡(지하 1층 포함); 첨부 추정가격 USD 3,446,170(약 USD 690/㎡), 상세페이지 집행한도 USD 3,534,542(약 USD 707/㎡); VAT 제외.</x:v>
      </x:c>
      <x:c r="AM137" s="25" t="str">
        <x:v>https://nebid.koica.go.kr/oep/lobi/localBidManageDetail.do?P_LOAZ_BID_PBLANC_NO=L2024-00079&amp;P_PBLANC_ODR=1</x:v>
      </x:c>
    </x:row>
    <x:row r="138">
      <x:c r="A138" s="22" t="str">
        <x:v>C</x:v>
      </x:c>
      <x:c r="B138" s="22" t="str">
        <x:v>2022-00079</x:v>
      </x:c>
      <x:c r="C138" s="22" t="str">
        <x:v>L2025-00002-1</x:v>
      </x:c>
      <x:c r="D138" s="22" t="str">
        <x:v>L2025-00002</x:v>
      </x:c>
      <x:c r="E138" s="22" t="str">
        <x:v>2025-01-10</x:v>
      </x:c>
      <x:c r="F138" s="22" t="str">
        <x:v>인도네시아</x:v>
      </x:c>
      <x:c r="G138" s="25" t="str">
        <x:v>인도네시아 사이버보안 훈련센터 신축공사 시공사 선정</x:v>
      </x:c>
      <x:c r="H138" s="22" t="str">
        <x:v>공사</x:v>
      </x:c>
      <x:c r="I138" s="22" t="str">
        <x:v>WORKS</x:v>
      </x:c>
      <x:c r="J138" s="22" t="str">
        <x:v>WORKS_CEILING</x:v>
      </x:c>
      <x:c r="K138" s="22" t="str">
        <x:v>MATCH</x:v>
      </x:c>
      <x:c r="L138" s="22" t="str">
        <x:v>MATCH</x:v>
      </x:c>
      <x:c r="M138" s="34" t="n">
        <x:v>2361000</x:v>
      </x:c>
      <x:c r="N138" s="34" t="n">
        <x:v>2361000</x:v>
      </x:c>
      <x:c r="O138" s="22" t="str">
        <x:v>NOTICE_EXECUTION_CEILING</x:v>
      </x:c>
      <x:c r="P138" s="37" t="str">
        <x:f>IF(AND(M138&lt;&gt;"",N138&lt;&gt;"",O138&lt;&gt;"NOTICE_EXECUTION_CEILING"),M138/N138-1,"")</x:f>
      </x:c>
      <x:c r="Q138" s="31" t="n">
        <x:v>2457.53</x:v>
      </x:c>
      <x:c r="R138" s="22" t="str">
        <x:v>GFA</x:v>
      </x:c>
      <x:c r="S138" s="22" t="str">
        <x:v>SINGLE_OR_TOTAL</x:v>
      </x:c>
      <x:c r="T138" s="34" t="n">
        <x:f>IFERROR(N138/Q138,"")</x:f>
        <x:v>960.7207236534243</x:v>
      </x:c>
      <x:c r="U138" s="22" t="str">
        <x:v>V3_CURATED_AREA_COST_RECHECK</x:v>
      </x:c>
      <x:c r="V138" s="22" t="str">
        <x:v>초기 스크리닝만</x:v>
      </x:c>
      <x:c r="W138" s="28" t="n">
        <x:v>1</x:v>
      </x:c>
      <x:c r="X138" s="28" t="n">
        <x:v>1</x:v>
      </x:c>
      <x:c r="Y138" s="28" t="n">
        <x:v>1</x:v>
      </x:c>
      <x:c r="Z138" s="28" t="n">
        <x:v>0</x:v>
      </x:c>
      <x:c r="AA138" s="28" t="n">
        <x:v>12</x:v>
      </x:c>
      <x:c r="AB138" s="28" t="n">
        <x:v>0</x:v>
      </x:c>
      <x:c r="AC138" s="28" t="n">
        <x:v>0</x:v>
      </x:c>
      <x:c r="AD138" s="28" t="n">
        <x:v>0</x:v>
      </x:c>
      <x:c r="AE138" s="28" t="n">
        <x:v>0</x:v>
      </x:c>
      <x:c r="AF138" s="25" t="str">
        <x:v>동일/제한 범위 공사금액÷면적 스크리닝 근거</x:v>
      </x:c>
      <x:c r="AG138" s="25" t="str"/>
      <x:c r="AH138" s="25" t="str">
        <x:v>L2025-00002-1/Section 2 - Bid Data Sheet_Final.docx</x:v>
      </x:c>
      <x:c r="AI138" s="25" t="str">
        <x:v>표 4 행 8</x:v>
      </x:c>
      <x:c r="AJ138" s="25" t="str">
        <x:v>L2025-00002-1/Section 2 - Bid Data Sheet_Final.docx</x:v>
      </x:c>
      <x:c r="AK138" s="25" t="str">
        <x:v>표 4 행 8</x:v>
      </x:c>
      <x:c r="AL138" s="25" t="str">
        <x:v>총연면적 2,457.53㎡; 상세페이지 집행한도 USD 2,361,000; 산출단가 USD 961/㎡.</x:v>
      </x:c>
      <x:c r="AM138" s="25" t="str">
        <x:v>https://nebid.koica.go.kr/oep/lobi/localBidManageDetail.do?P_LOAZ_BID_PBLANC_NO=L2025-00002&amp;P_PBLANC_ODR=1</x:v>
      </x:c>
    </x:row>
    <x:row r="139">
      <x:c r="A139" s="22" t="str">
        <x:v>C</x:v>
      </x:c>
      <x:c r="B139" s="22" t="str">
        <x:v>2021-00126</x:v>
      </x:c>
      <x:c r="C139" s="22" t="str">
        <x:v>L2025-00008-1</x:v>
      </x:c>
      <x:c r="D139" s="22" t="str">
        <x:v>L2025-00008</x:v>
      </x:c>
      <x:c r="E139" s="22" t="str">
        <x:v>2025-02-14</x:v>
      </x:c>
      <x:c r="F139" s="22" t="str">
        <x:v>케냐</x:v>
      </x:c>
      <x:c r="G139" s="25" t="str">
        <x:v>케냐 카지아도주 보건시스템 강화를 위한 모성 및 신생아 보건 개선사업 시공</x:v>
      </x:c>
      <x:c r="H139" s="22" t="str">
        <x:v>공사</x:v>
      </x:c>
      <x:c r="I139" s="22" t="str">
        <x:v>WORKS</x:v>
      </x:c>
      <x:c r="J139" s="22" t="str">
        <x:v>WORKS_CEILING</x:v>
      </x:c>
      <x:c r="K139" s="22" t="str">
        <x:v>MATCH</x:v>
      </x:c>
      <x:c r="L139" s="22" t="str">
        <x:v>MATCH</x:v>
      </x:c>
      <x:c r="M139" s="34" t="n">
        <x:v>555810</x:v>
      </x:c>
      <x:c r="N139" s="34" t="n">
        <x:v>555810</x:v>
      </x:c>
      <x:c r="O139" s="22" t="str">
        <x:v>NOTICE_EXECUTION_CEILING</x:v>
      </x:c>
      <x:c r="P139" s="37" t="str">
        <x:f>IF(AND(M139&lt;&gt;"",N139&lt;&gt;"",O139&lt;&gt;"NOTICE_EXECUTION_CEILING"),M139/N139-1,"")</x:f>
      </x:c>
      <x:c r="Q139" s="31" t="n">
        <x:v>404.94</x:v>
      </x:c>
      <x:c r="R139" s="22" t="str">
        <x:v>GFA</x:v>
      </x:c>
      <x:c r="S139" s="22" t="str">
        <x:v>SINGLE_OR_TOTAL</x:v>
      </x:c>
      <x:c r="T139" s="34" t="n">
        <x:f>IFERROR(N139/Q139,"")</x:f>
        <x:v>1372.573714624389</x:v>
      </x:c>
      <x:c r="U139" s="22" t="str">
        <x:v>V3_CURATED_AREA_COST_RECHECK</x:v>
      </x:c>
      <x:c r="V139" s="22" t="str">
        <x:v>초기 스크리닝만</x:v>
      </x:c>
      <x:c r="W139" s="28" t="n">
        <x:v>1</x:v>
      </x:c>
      <x:c r="X139" s="28" t="n">
        <x:v>1</x:v>
      </x:c>
      <x:c r="Y139" s="28" t="n">
        <x:v>1</x:v>
      </x:c>
      <x:c r="Z139" s="28" t="n">
        <x:v>0</x:v>
      </x:c>
      <x:c r="AA139" s="28" t="n">
        <x:v>12</x:v>
      </x:c>
      <x:c r="AB139" s="28" t="n">
        <x:v>0</x:v>
      </x:c>
      <x:c r="AC139" s="28" t="n">
        <x:v>0</x:v>
      </x:c>
      <x:c r="AD139" s="28" t="n">
        <x:v>0</x:v>
      </x:c>
      <x:c r="AE139" s="28" t="n">
        <x:v>0</x:v>
      </x:c>
      <x:c r="AF139" s="25" t="str">
        <x:v>동일/제한 범위 공사금액÷면적 스크리닝 근거</x:v>
      </x:c>
      <x:c r="AG139" s="25" t="str"/>
      <x:c r="AH139" s="25" t="str">
        <x:v>L2025-00008-1/Tender document full set_Kajiado_0219 rev/Section 2 - Bid Data Sheet (eng)_0219.docx</x:v>
      </x:c>
      <x:c r="AI139" s="25" t="str">
        <x:v>표 4 행 8</x:v>
      </x:c>
      <x:c r="AJ139" s="25" t="str">
        <x:v>L2025-00008-1/Tender document full set_Kajiado_0219 rev/Section 2 - Bid Data Sheet (eng)_0219.docx</x:v>
      </x:c>
      <x:c r="AK139" s="25" t="str">
        <x:v>표 4 행 8</x:v>
      </x:c>
      <x:c r="AL139" s="25" t="str">
        <x:v>총연면적 404.94㎡; 상세페이지 집행한도 USD 555,810; 산출단가 USD 1,373/㎡.</x:v>
      </x:c>
      <x:c r="AM139" s="25" t="str">
        <x:v>https://nebid.koica.go.kr/oep/lobi/localBidManageDetail.do?P_LOAZ_BID_PBLANC_NO=L2025-00008&amp;P_PBLANC_ODR=1</x:v>
      </x:c>
    </x:row>
    <x:row r="140">
      <x:c r="A140" s="22" t="str">
        <x:v>X</x:v>
      </x:c>
      <x:c r="B140" s="22" t="str">
        <x:v>2020-00024</x:v>
      </x:c>
      <x:c r="C140" s="22" t="str">
        <x:v>L2025-00019-1</x:v>
      </x:c>
      <x:c r="D140" s="22" t="str">
        <x:v>L2025-00019</x:v>
      </x:c>
      <x:c r="E140" s="22" t="str">
        <x:v>2025-02-25</x:v>
      </x:c>
      <x:c r="F140" s="22" t="str">
        <x:v>가나</x:v>
      </x:c>
      <x:c r="G140" s="25" t="str">
        <x:v>가나 관개지구 공사(아베이만, 아세이만 관개시설 토목공사 및 태양광,양수장 설치 공사)</x:v>
      </x:c>
      <x:c r="H140" s="22" t="str">
        <x:v>공사</x:v>
      </x:c>
      <x:c r="I140" s="22" t="str">
        <x:v>NONBUILDING_OR_FALSE_AREA</x:v>
      </x:c>
      <x:c r="J140" s="22" t="str">
        <x:v>WORKS_CEILING</x:v>
      </x:c>
      <x:c r="K140" s="22" t="str">
        <x:v>NO_MATCH</x:v>
      </x:c>
      <x:c r="L140" s="22" t="str">
        <x:v>NO_MATCH</x:v>
      </x:c>
      <x:c r="M140" s="34" t="n">
        <x:v>2028932</x:v>
      </x:c>
      <x:c r="N140" s="34"/>
      <x:c r="O140" s="22" t="str">
        <x:v>SERVICE_OR_GOODS_CEILING</x:v>
      </x:c>
      <x:c r="P140" s="37" t="str">
        <x:f>IF(AND(M140&lt;&gt;"",N140&lt;&gt;"",O140&lt;&gt;"NOTICE_EXECUTION_CEILING"),M140/N140-1,"")</x:f>
      </x:c>
      <x:c r="Q140" s="31"/>
      <x:c r="R140" s="22" t="str">
        <x:v>AMBIGUOUS_OR_WORK_ITEM</x:v>
      </x:c>
      <x:c r="S140" s="22" t="str">
        <x:v>NOT_APPLICABLE</x:v>
      </x:c>
      <x:c r="T140" s="34" t="str">
        <x:f>IFERROR(N140/Q140,"")</x:f>
      </x:c>
      <x:c r="U140" s="22" t="str">
        <x:v>V3_SCOPE_REVIEW</x:v>
      </x:c>
      <x:c r="V140" s="22" t="str">
        <x:v>계산 금지</x:v>
      </x:c>
      <x:c r="W140" s="28" t="n">
        <x:v>1</x:v>
      </x:c>
      <x:c r="X140" s="28" t="n">
        <x:v>1</x:v>
      </x:c>
      <x:c r="Y140" s="28" t="n">
        <x:v>0</x:v>
      </x:c>
      <x:c r="Z140" s="28" t="n">
        <x:v>0</x:v>
      </x:c>
      <x:c r="AA140" s="28" t="n">
        <x:v>15</x:v>
      </x:c>
      <x:c r="AB140" s="28" t="n">
        <x:v>2</x:v>
      </x:c>
      <x:c r="AC140" s="28" t="n">
        <x:v>2</x:v>
      </x:c>
      <x:c r="AD140" s="28" t="n">
        <x:v>2</x:v>
      </x:c>
      <x:c r="AE140" s="28" t="n">
        <x:v>0</x:v>
      </x:c>
      <x:c r="AF140" s="25" t="str">
        <x:v>물품·비건축 또는 GFA 오탐으로 건축공사비 표본 제외</x:v>
      </x:c>
      <x:c r="AG140" s="25" t="str">
        <x:v>도장 샘플 면적과 소화기 이동거리 OCR값이며 관개공사 GFA가 아님</x:v>
      </x:c>
      <x:c r="AH140" s="25" t="str">
        <x:v>KOICA 입찰 상세페이지</x:v>
      </x:c>
      <x:c r="AI140" s="25" t="str">
        <x:v>집행한도금액(달러)</x:v>
      </x:c>
      <x:c r="AJ140" s="25" t="str">
        <x:v>L2025-00019-1/3. 입찰 관련 자료/3. 입찰 관련 자료/5-1. 시방서_아샤이만.pdf</x:v>
      </x:c>
      <x:c r="AK140" s="25" t="str">
        <x:v>페이지 246</x:v>
      </x:c>
      <x:c r="AL140" s="25" t="str">
        <x:v>도장 샘플 면적과 소화기 이동거리 OCR값이며 관개공사 GFA가 아님</x:v>
      </x:c>
      <x:c r="AM140" s="25" t="str">
        <x:v>https://nebid.koica.go.kr/oep/lobi/localBidManageDetail.do?P_LOAZ_BID_PBLANC_NO=L2025-00019&amp;P_PBLANC_ODR=1</x:v>
      </x:c>
    </x:row>
    <x:row r="141">
      <x:c r="A141" s="22" t="str">
        <x:v>B</x:v>
      </x:c>
      <x:c r="B141" s="22" t="str">
        <x:v>2013-00064</x:v>
      </x:c>
      <x:c r="C141" s="22" t="str">
        <x:v>L2025-00012-1</x:v>
      </x:c>
      <x:c r="D141" s="22" t="str">
        <x:v>L2025-00012</x:v>
      </x:c>
      <x:c r="E141" s="22" t="str">
        <x:v>2025-02-28</x:v>
      </x:c>
      <x:c r="F141" s="22" t="str">
        <x:v>볼리비아</x:v>
      </x:c>
      <x:c r="G141" s="25" t="str">
        <x:v>볼리비아 고원 지역 농업 기계화 및 농민역량 강화를 통한 생산성 증대 사업 퀴노아 연구센터 차칼라 건립 공사 시공사 선정 현지 입찰</x:v>
      </x:c>
      <x:c r="H141" s="22" t="str">
        <x:v>공사</x:v>
      </x:c>
      <x:c r="I141" s="22" t="str">
        <x:v>WORKS</x:v>
      </x:c>
      <x:c r="J141" s="22" t="str">
        <x:v>WORKS_CEILING</x:v>
      </x:c>
      <x:c r="K141" s="22" t="str">
        <x:v>MATCH</x:v>
      </x:c>
      <x:c r="L141" s="22" t="str">
        <x:v>MATCH</x:v>
      </x:c>
      <x:c r="M141" s="34" t="n">
        <x:v>98954</x:v>
      </x:c>
      <x:c r="N141" s="34" t="n">
        <x:v>98954</x:v>
      </x:c>
      <x:c r="O141" s="22" t="str">
        <x:v>NOTICE_EXECUTION_CEILING</x:v>
      </x:c>
      <x:c r="P141" s="37" t="str">
        <x:f>IF(AND(M141&lt;&gt;"",N141&lt;&gt;"",O141&lt;&gt;"NOTICE_EXECUTION_CEILING"),M141/N141-1,"")</x:f>
      </x:c>
      <x:c r="Q141" s="31" t="n">
        <x:v>1000</x:v>
      </x:c>
      <x:c r="R141" s="22" t="str">
        <x:v>GFA</x:v>
      </x:c>
      <x:c r="S141" s="22" t="str">
        <x:v>AUTO_SELECTED_SINGLE_OR_TOTAL</x:v>
      </x:c>
      <x:c r="T141" s="34" t="n">
        <x:f>IFERROR(N141/Q141,"")</x:f>
        <x:v>98.954</x:v>
      </x:c>
      <x:c r="U141" s="22" t="str">
        <x:v>V3_ORIGINAL_MANUAL</x:v>
      </x:c>
      <x:c r="V141" s="22" t="str">
        <x:v>현지단가 결합 수량모델</x:v>
      </x:c>
      <x:c r="W141" s="28" t="n">
        <x:v>0</x:v>
      </x:c>
      <x:c r="X141" s="28" t="n">
        <x:v>0</x:v>
      </x:c>
      <x:c r="Y141" s="28" t="n">
        <x:v>0</x:v>
      </x:c>
      <x:c r="Z141" s="28" t="n">
        <x:v>1</x:v>
      </x:c>
      <x:c r="AA141" s="28" t="n">
        <x:v>57</x:v>
      </x:c>
      <x:c r="AB141" s="28" t="n">
        <x:v>6</x:v>
      </x:c>
      <x:c r="AC141" s="28" t="n">
        <x:v>0</x:v>
      </x:c>
      <x:c r="AD141" s="28" t="n">
        <x:v>3</x:v>
      </x:c>
      <x:c r="AE141" s="28" t="n">
        <x:v>0</x:v>
      </x:c>
      <x:c r="AF141" s="25" t="str">
        <x:v>건축·구조·전기·위생·조경 blank BOQ 수동검증</x:v>
      </x:c>
      <x:c r="AG141" s="25" t="str"/>
      <x:c r="AH141" s="25" t="str">
        <x:v>KOICA 입찰 상세페이지</x:v>
      </x:c>
      <x:c r="AI141" s="25" t="str">
        <x:v>집행한도금액(달러)</x:v>
      </x:c>
      <x:c r="AJ141" s="25" t="str">
        <x:v>L2025-00012-1/(붙임2) 입찰 관련 부속서류/Q-Lab_Chacala_Bidding Doc/Attachment02_KOICA Bidding Regulations and Guidelines/Attachment 5. KOICA Safety Management Manual(ENG).pdf</x:v>
      </x:c>
      <x:c r="AK141" s="25" t="str">
        <x:v>페이지 6</x:v>
      </x:c>
      <x:c r="AL141" s="25" t="str">
        <x:v>ruction Technology Promotion Act. 1) Projects containing constructions with a budget of USD 1 million or more or with a gross floor area of 1,000 m² or more 2) Construction projects other than those in Paragraph 1 abov</x:v>
      </x:c>
      <x:c r="AM141" s="25" t="str">
        <x:v>https://nebid.koica.go.kr/oep/lobi/localBidManageDetail.do?P_LOAZ_BID_PBLANC_NO=L2025-00012&amp;P_PBLANC_ODR=1</x:v>
      </x:c>
    </x:row>
    <x:row r="142">
      <x:c r="A142" s="22" t="str">
        <x:v>X</x:v>
      </x:c>
      <x:c r="B142" s="22" t="str">
        <x:v>2020-00070</x:v>
      </x:c>
      <x:c r="C142" s="22" t="str">
        <x:v>L2025-00007-1</x:v>
      </x:c>
      <x:c r="D142" s="22" t="str">
        <x:v>L2025-00007</x:v>
      </x:c>
      <x:c r="E142" s="22" t="str">
        <x:v>2025-03-03</x:v>
      </x:c>
      <x:c r="F142" s="22" t="str">
        <x:v>도미니카</x:v>
      </x:c>
      <x:c r="G142" s="25" t="str">
        <x:v>도미니카공화국 몬테 크리스티 직업훈련센터 (MVC) 감리사 선정</x:v>
      </x:c>
      <x:c r="H142" s="22" t="str">
        <x:v>용역</x:v>
      </x:c>
      <x:c r="I142" s="22" t="str">
        <x:v>DESIGN_OR_SUPERVISION_SERVICE</x:v>
      </x:c>
      <x:c r="J142" s="22" t="str">
        <x:v>SERVICE_FEE_OR_MIXED</x:v>
      </x:c>
      <x:c r="K142" s="22" t="str">
        <x:v>NO_MATCH</x:v>
      </x:c>
      <x:c r="L142" s="22" t="str">
        <x:v>NO_MATCH</x:v>
      </x:c>
      <x:c r="M142" s="34" t="n">
        <x:v>83100</x:v>
      </x:c>
      <x:c r="N142" s="34"/>
      <x:c r="O142" s="22" t="str">
        <x:v>SERVICE_OR_GOODS_CEILING</x:v>
      </x:c>
      <x:c r="P142" s="37" t="str">
        <x:f>IF(AND(M142&lt;&gt;"",N142&lt;&gt;"",O142&lt;&gt;"NOTICE_EXECUTION_CEILING"),M142/N142-1,"")</x:f>
      </x:c>
      <x:c r="Q142" s="31" t="n">
        <x:v>936.2</x:v>
      </x:c>
      <x:c r="R142" s="22" t="str">
        <x:v>GFA</x:v>
      </x:c>
      <x:c r="S142" s="22" t="str">
        <x:v>AUTO_SELECTED_SINGLE_OR_TOTAL</x:v>
      </x:c>
      <x:c r="T142" s="34" t="n">
        <x:f>IFERROR(N142/Q142,"")</x:f>
        <x:v>0</x:v>
      </x:c>
      <x:c r="U142" s="22" t="str">
        <x:v>V3_SCOPE_REVIEW</x:v>
      </x:c>
      <x:c r="V142" s="22" t="str">
        <x:v>계산 금지</x:v>
      </x:c>
      <x:c r="W142" s="28" t="n">
        <x:v>0</x:v>
      </x:c>
      <x:c r="X142" s="28" t="n">
        <x:v>0</x:v>
      </x:c>
      <x:c r="Y142" s="28" t="n">
        <x:v>0</x:v>
      </x:c>
      <x:c r="Z142" s="28" t="n">
        <x:v>0</x:v>
      </x:c>
      <x:c r="AA142" s="28" t="n">
        <x:v>10</x:v>
      </x:c>
      <x:c r="AB142" s="28" t="n">
        <x:v>0</x:v>
      </x:c>
      <x:c r="AC142" s="28" t="n">
        <x:v>0</x:v>
      </x:c>
      <x:c r="AD142" s="28" t="n">
        <x:v>0</x:v>
      </x:c>
      <x:c r="AE142" s="28" t="n">
        <x:v>0</x:v>
      </x:c>
      <x:c r="AF142" s="25" t="str">
        <x:v>설계·감리·기타 용역 집행한도는 건축공사비가 아님</x:v>
      </x:c>
      <x:c r="AG142" s="25" t="str"/>
      <x:c r="AH142" s="25" t="str">
        <x:v>KOICA 입찰 상세페이지</x:v>
      </x:c>
      <x:c r="AI142" s="25" t="str">
        <x:v>집행한도금액(달러)</x:v>
      </x:c>
      <x:c r="AJ142" s="25" t="str">
        <x:v>L2025-00007-1/붙임 1. 입찰 계획서(국문).hwp</x:v>
      </x:c>
      <x:c r="AK142" s="25" t="str">
        <x:v>문단 82</x:v>
      </x:c>
      <x:c r="AL142" s="25" t="str">
        <x:v>ㅇ 연면적: 936.2㎡</x:v>
      </x:c>
      <x:c r="AM142" s="25" t="str">
        <x:v>https://nebid.koica.go.kr/oep/lobi/localBidManageDetail.do?P_LOAZ_BID_PBLANC_NO=L2025-00007&amp;P_PBLANC_ODR=1</x:v>
      </x:c>
    </x:row>
    <x:row r="143">
      <x:c r="A143" s="22" t="str">
        <x:v>X</x:v>
      </x:c>
      <x:c r="B143" s="22" t="str">
        <x:v>2017-14639</x:v>
      </x:c>
      <x:c r="C143" s="22" t="str">
        <x:v>L2025-00009-1</x:v>
      </x:c>
      <x:c r="D143" s="22" t="str">
        <x:v>L2025-00009</x:v>
      </x:c>
      <x:c r="E143" s="22" t="str">
        <x:v>2025-03-03</x:v>
      </x:c>
      <x:c r="F143" s="22" t="str">
        <x:v>페루</x:v>
      </x:c>
      <x:c r="G143" s="25" t="str">
        <x:v>페루 제3 한·페 의료센터 건립사업 리모델링 설계용역 입찰</x:v>
      </x:c>
      <x:c r="H143" s="22" t="str">
        <x:v>용역</x:v>
      </x:c>
      <x:c r="I143" s="22" t="str">
        <x:v>DESIGN_OR_SUPERVISION_SERVICE</x:v>
      </x:c>
      <x:c r="J143" s="22" t="str">
        <x:v>SERVICE_FEE_OR_MIXED</x:v>
      </x:c>
      <x:c r="K143" s="22" t="str">
        <x:v>NO_MATCH</x:v>
      </x:c>
      <x:c r="L143" s="22" t="str">
        <x:v>NO_MATCH</x:v>
      </x:c>
      <x:c r="M143" s="34" t="n">
        <x:v>130000</x:v>
      </x:c>
      <x:c r="N143" s="34"/>
      <x:c r="O143" s="22" t="str">
        <x:v>SERVICE_OR_GOODS_CEILING</x:v>
      </x:c>
      <x:c r="P143" s="37" t="str">
        <x:f>IF(AND(M143&lt;&gt;"",N143&lt;&gt;"",O143&lt;&gt;"NOTICE_EXECUTION_CEILING"),M143/N143-1,"")</x:f>
      </x:c>
      <x:c r="Q143" s="31" t="n">
        <x:v>1656.9</x:v>
      </x:c>
      <x:c r="R143" s="22" t="str">
        <x:v>GFA</x:v>
      </x:c>
      <x:c r="S143" s="22" t="str">
        <x:v>AUTO_SELECTED_SINGLE_OR_TOTAL</x:v>
      </x:c>
      <x:c r="T143" s="34" t="n">
        <x:f>IFERROR(N143/Q143,"")</x:f>
        <x:v>0</x:v>
      </x:c>
      <x:c r="U143" s="22" t="str">
        <x:v>V3_SCOPE_REVIEW</x:v>
      </x:c>
      <x:c r="V143" s="22" t="str">
        <x:v>계산 금지</x:v>
      </x:c>
      <x:c r="W143" s="28" t="n">
        <x:v>1</x:v>
      </x:c>
      <x:c r="X143" s="28" t="n">
        <x:v>0</x:v>
      </x:c>
      <x:c r="Y143" s="28" t="n">
        <x:v>0</x:v>
      </x:c>
      <x:c r="Z143" s="28" t="n">
        <x:v>0</x:v>
      </x:c>
      <x:c r="AA143" s="28" t="n">
        <x:v>16</x:v>
      </x:c>
      <x:c r="AB143" s="28" t="n">
        <x:v>0</x:v>
      </x:c>
      <x:c r="AC143" s="28" t="n">
        <x:v>0</x:v>
      </x:c>
      <x:c r="AD143" s="28" t="n">
        <x:v>0</x:v>
      </x:c>
      <x:c r="AE143" s="28" t="n">
        <x:v>0</x:v>
      </x:c>
      <x:c r="AF143" s="25" t="str">
        <x:v>설계·감리·기타 용역 집행한도는 건축공사비가 아님</x:v>
      </x:c>
      <x:c r="AG143" s="25" t="str"/>
      <x:c r="AH143" s="25" t="str">
        <x:v>KOICA 입찰 상세페이지</x:v>
      </x:c>
      <x:c r="AI143" s="25" t="str">
        <x:v>집행한도금액(달러)</x:v>
      </x:c>
      <x:c r="AJ143" s="25" t="str">
        <x:v>L2025-00009-1/(붙임3) 입찰제반서류_공고문/Section 4 - Terms of Reference (TOR)_Peru San Juan Health Center_250303.docx</x:v>
      </x:c>
      <x:c r="AK143" s="25" t="str">
        <x:v>문단 25</x:v>
      </x:c>
      <x:c r="AL143" s="25" t="str">
        <x:v>Gross floor area: 1,656.90 ㎡</x:v>
      </x:c>
      <x:c r="AM143" s="25" t="str">
        <x:v>https://nebid.koica.go.kr/oep/lobi/localBidManageDetail.do?P_LOAZ_BID_PBLANC_NO=L2025-00009&amp;P_PBLANC_ODR=1</x:v>
      </x:c>
    </x:row>
    <x:row r="144">
      <x:c r="A144" s="22" t="str">
        <x:v>C?</x:v>
      </x:c>
      <x:c r="B144" s="22" t="str">
        <x:v>2022-00598</x:v>
      </x:c>
      <x:c r="C144" s="22" t="str">
        <x:v>L2025-00011-1</x:v>
      </x:c>
      <x:c r="D144" s="22" t="str">
        <x:v>L2025-00011</x:v>
      </x:c>
      <x:c r="E144" s="22" t="str">
        <x:v>2025-03-08</x:v>
      </x:c>
      <x:c r="F144" s="22" t="str">
        <x:v>파키스탄</x:v>
      </x:c>
      <x:c r="G144" s="25" t="str">
        <x:v>파키스탄 국립섬유대학 산업용 섬유센터 설립사업 2차사업 공사</x:v>
      </x:c>
      <x:c r="H144" s="22" t="str">
        <x:v>공사</x:v>
      </x:c>
      <x:c r="I144" s="22" t="str">
        <x:v>WORKS</x:v>
      </x:c>
      <x:c r="J144" s="22" t="str">
        <x:v>WORKS_CEILING</x:v>
      </x:c>
      <x:c r="K144" s="22" t="str">
        <x:v>MATCH</x:v>
      </x:c>
      <x:c r="L144" s="22" t="str">
        <x:v>MATCH</x:v>
      </x:c>
      <x:c r="M144" s="34" t="n">
        <x:v>1964270</x:v>
      </x:c>
      <x:c r="N144" s="34" t="n">
        <x:v>1964270</x:v>
      </x:c>
      <x:c r="O144" s="22" t="str">
        <x:v>NOTICE_EXECUTION_CEILING</x:v>
      </x:c>
      <x:c r="P144" s="37" t="str">
        <x:f>IF(AND(M144&lt;&gt;"",N144&lt;&gt;"",O144&lt;&gt;"NOTICE_EXECUTION_CEILING"),M144/N144-1,"")</x:f>
      </x:c>
      <x:c r="Q144" s="31" t="n">
        <x:v>1000</x:v>
      </x:c>
      <x:c r="R144" s="22" t="str">
        <x:v>GFA</x:v>
      </x:c>
      <x:c r="S144" s="22" t="str">
        <x:v>AUTO_SELECTED_SINGLE_OR_TOTAL</x:v>
      </x:c>
      <x:c r="T144" s="34" t="n">
        <x:f>IFERROR(N144/Q144,"")</x:f>
        <x:v>1964.27</x:v>
      </x:c>
      <x:c r="U144" s="22" t="str">
        <x:v>V2R_HUMAN_REVIEWED_EXTRACTION</x:v>
      </x:c>
      <x:c r="V144" s="22" t="str">
        <x:v>초기 스크리닝만</x:v>
      </x:c>
      <x:c r="W144" s="28" t="n">
        <x:v>1</x:v>
      </x:c>
      <x:c r="X144" s="28" t="n">
        <x:v>0</x:v>
      </x:c>
      <x:c r="Y144" s="28" t="n">
        <x:v>0</x:v>
      </x:c>
      <x:c r="Z144" s="28" t="n">
        <x:v>0</x:v>
      </x:c>
      <x:c r="AA144" s="28" t="n">
        <x:v>34</x:v>
      </x:c>
      <x:c r="AB144" s="28" t="n">
        <x:v>0</x:v>
      </x:c>
      <x:c r="AC144" s="28" t="n">
        <x:v>0</x:v>
      </x:c>
      <x:c r="AD144" s="28" t="n">
        <x:v>0</x:v>
      </x:c>
      <x:c r="AE144" s="28" t="n">
        <x:v>0</x:v>
      </x:c>
      <x:c r="AF144" s="25" t="str">
        <x:v>범위 일치 잠정확인; 원본 V3 확인 전 직접 사용 금지</x:v>
      </x:c>
      <x:c r="AG144" s="25" t="str"/>
      <x:c r="AH144" s="25" t="str">
        <x:v>KOICA 입찰 상세페이지</x:v>
      </x:c>
      <x:c r="AI144" s="25" t="str">
        <x:v>집행한도금액(달러)</x:v>
      </x:c>
      <x:c r="AJ144" s="25" t="str">
        <x:v>L2025-00011-1/2. 영문 입찰서류(수정)/Section 8.1 - KOICA Safety Management Manual(ENG).pdf</x:v>
      </x:c>
      <x:c r="AK144" s="25" t="str">
        <x:v>페이지 6</x:v>
      </x:c>
      <x:c r="AL144" s="25" t="str">
        <x:v>ruction Technology Promotion Act. 1) Projects containing constructions with a budget of USD 1 million or more or with a gross floor area of 1,000 m² or more 2) Construction projects other than those in Paragraph 1 abov</x:v>
      </x:c>
      <x:c r="AM144" s="25" t="str">
        <x:v>https://nebid.koica.go.kr/oep/lobi/localBidManageDetail.do?P_LOAZ_BID_PBLANC_NO=L2025-00011&amp;P_PBLANC_ODR=1</x:v>
      </x:c>
    </x:row>
    <x:row r="145">
      <x:c r="A145" s="22" t="str">
        <x:v>X</x:v>
      </x:c>
      <x:c r="B145" s="22" t="str">
        <x:v>2022-00598</x:v>
      </x:c>
      <x:c r="C145" s="22" t="str">
        <x:v>L2025-00014-1</x:v>
      </x:c>
      <x:c r="D145" s="22" t="str">
        <x:v>L2025-00014</x:v>
      </x:c>
      <x:c r="E145" s="22" t="str">
        <x:v>2025-03-15</x:v>
      </x:c>
      <x:c r="F145" s="22" t="str">
        <x:v>파키스탄</x:v>
      </x:c>
      <x:c r="G145" s="25" t="str">
        <x:v>파키스탄 국립섬유대학 산업용 섬유센터 설립사업 2차사업 감리용역</x:v>
      </x:c>
      <x:c r="H145" s="22" t="str">
        <x:v>용역</x:v>
      </x:c>
      <x:c r="I145" s="22" t="str">
        <x:v>DESIGN_OR_SUPERVISION_SERVICE</x:v>
      </x:c>
      <x:c r="J145" s="22" t="str">
        <x:v>SERVICE_FEE_OR_MIXED</x:v>
      </x:c>
      <x:c r="K145" s="22" t="str">
        <x:v>NO_MATCH</x:v>
      </x:c>
      <x:c r="L145" s="22" t="str">
        <x:v>NO_MATCH</x:v>
      </x:c>
      <x:c r="M145" s="34" t="n">
        <x:v>60000</x:v>
      </x:c>
      <x:c r="N145" s="34"/>
      <x:c r="O145" s="22" t="str">
        <x:v>SERVICE_OR_GOODS_CEILING</x:v>
      </x:c>
      <x:c r="P145" s="37" t="str">
        <x:f>IF(AND(M145&lt;&gt;"",N145&lt;&gt;"",O145&lt;&gt;"NOTICE_EXECUTION_CEILING"),M145/N145-1,"")</x:f>
      </x:c>
      <x:c r="Q145" s="31" t="n">
        <x:v>2554</x:v>
      </x:c>
      <x:c r="R145" s="22" t="str">
        <x:v>GFA</x:v>
      </x:c>
      <x:c r="S145" s="22" t="str">
        <x:v>AUTO_SELECTED_SINGLE_OR_TOTAL</x:v>
      </x:c>
      <x:c r="T145" s="34" t="n">
        <x:f>IFERROR(N145/Q145,"")</x:f>
        <x:v>0</x:v>
      </x:c>
      <x:c r="U145" s="22" t="str">
        <x:v>V3_SCOPE_REVIEW</x:v>
      </x:c>
      <x:c r="V145" s="22" t="str">
        <x:v>계산 금지</x:v>
      </x:c>
      <x:c r="W145" s="28" t="n">
        <x:v>1</x:v>
      </x:c>
      <x:c r="X145" s="28" t="n">
        <x:v>0</x:v>
      </x:c>
      <x:c r="Y145" s="28" t="n">
        <x:v>0</x:v>
      </x:c>
      <x:c r="Z145" s="28" t="n">
        <x:v>0</x:v>
      </x:c>
      <x:c r="AA145" s="28" t="n">
        <x:v>16</x:v>
      </x:c>
      <x:c r="AB145" s="28" t="n">
        <x:v>1</x:v>
      </x:c>
      <x:c r="AC145" s="28" t="n">
        <x:v>1</x:v>
      </x:c>
      <x:c r="AD145" s="28" t="n">
        <x:v>1</x:v>
      </x:c>
      <x:c r="AE145" s="28" t="n">
        <x:v>0</x:v>
      </x:c>
      <x:c r="AF145" s="25" t="str">
        <x:v>설계·감리·기타 용역 집행한도는 건축공사비가 아님</x:v>
      </x:c>
      <x:c r="AG145" s="25" t="str"/>
      <x:c r="AH145" s="25" t="str">
        <x:v>KOICA 입찰 상세페이지</x:v>
      </x:c>
      <x:c r="AI145" s="25" t="str">
        <x:v>집행한도금액(달러)</x:v>
      </x:c>
      <x:c r="AJ145" s="25" t="str">
        <x:v>L2025-00014-1/Section 8-Special Conditions of Contract-게시.docx</x:v>
      </x:c>
      <x:c r="AK145" s="25" t="str">
        <x:v>표 1 행 2</x:v>
      </x:c>
      <x:c r="AL145" s="25" t="str">
        <x:v>, Faisalabad * Construction Supervision Service : -Building :2 Main Buildings (Academic, Laboratory) and ther annexes. - Total Floor Area : 2,554 M2</x:v>
      </x:c>
      <x:c r="AM145" s="25" t="str">
        <x:v>https://nebid.koica.go.kr/oep/lobi/localBidManageDetail.do?P_LOAZ_BID_PBLANC_NO=L2025-00014&amp;P_PBLANC_ODR=1</x:v>
      </x:c>
    </x:row>
    <x:row r="146">
      <x:c r="A146" s="22" t="str">
        <x:v>A</x:v>
      </x:c>
      <x:c r="B146" s="22" t="str">
        <x:v>2021-00016</x:v>
      </x:c>
      <x:c r="C146" s="22" t="str">
        <x:v>L2025-00018-1</x:v>
      </x:c>
      <x:c r="D146" s="22" t="str">
        <x:v>L2025-00018</x:v>
      </x:c>
      <x:c r="E146" s="22" t="str">
        <x:v>2025-04-02</x:v>
      </x:c>
      <x:c r="F146" s="22" t="str">
        <x:v>가나</x:v>
      </x:c>
      <x:c r="G146" s="25" t="str">
        <x:v>가나대학교 한-가나 연구 및 ICT 혁신센터 건립사업 공사</x:v>
      </x:c>
      <x:c r="H146" s="22" t="str">
        <x:v>공사</x:v>
      </x:c>
      <x:c r="I146" s="22" t="str">
        <x:v>WORKS</x:v>
      </x:c>
      <x:c r="J146" s="22" t="str">
        <x:v>WORKS_CEILING</x:v>
      </x:c>
      <x:c r="K146" s="22" t="str">
        <x:v>MATCH</x:v>
      </x:c>
      <x:c r="L146" s="22" t="str">
        <x:v>MATCH</x:v>
      </x:c>
      <x:c r="M146" s="34" t="n">
        <x:v>4333427</x:v>
      </x:c>
      <x:c r="N146" s="34" t="n">
        <x:v>4333427</x:v>
      </x:c>
      <x:c r="O146" s="22" t="str">
        <x:v>NOTICE_EXECUTION_CEILING</x:v>
      </x:c>
      <x:c r="P146" s="37" t="str">
        <x:f>IF(AND(M146&lt;&gt;"",N146&lt;&gt;"",O146&lt;&gt;"NOTICE_EXECUTION_CEILING"),M146/N146-1,"")</x:f>
      </x:c>
      <x:c r="Q146" s="31" t="n">
        <x:v>2684.36</x:v>
      </x:c>
      <x:c r="R146" s="22" t="str">
        <x:v>GFA</x:v>
      </x:c>
      <x:c r="S146" s="22" t="str">
        <x:v>SINGLE_OR_TOTAL</x:v>
      </x:c>
      <x:c r="T146" s="34" t="n">
        <x:f>IFERROR(N146/Q146,"")</x:f>
        <x:v>1614.3240846980284</x:v>
      </x:c>
      <x:c r="U146" s="22" t="str">
        <x:v>V3_ORIGINAL_MANUAL</x:v>
      </x:c>
      <x:c r="V146" s="22" t="str">
        <x:v>품목·검증범위 산정</x:v>
      </x:c>
      <x:c r="W146" s="28" t="n">
        <x:v>1</x:v>
      </x:c>
      <x:c r="X146" s="28" t="n">
        <x:v>1</x:v>
      </x:c>
      <x:c r="Y146" s="28" t="n">
        <x:v>1</x:v>
      </x:c>
      <x:c r="Z146" s="28" t="n">
        <x:v>1</x:v>
      </x:c>
      <x:c r="AA146" s="28" t="n">
        <x:v>4</x:v>
      </x:c>
      <x:c r="AB146" s="28" t="n">
        <x:v>1</x:v>
      </x:c>
      <x:c r="AC146" s="28" t="n">
        <x:v>0</x:v>
      </x:c>
      <x:c r="AD146" s="28" t="n">
        <x:v>1</x:v>
      </x:c>
      <x:c r="AE146" s="28" t="n">
        <x:v>1</x:v>
      </x:c>
      <x:c r="AF146" s="25" t="str">
        <x:v>가격 있는 설계 BOQ 수량·단가·금액 수동검증</x:v>
      </x:c>
      <x:c r="AG146" s="25" t="str"/>
      <x:c r="AH146" s="25" t="str">
        <x:v>L2025-00018-1/1-2. Bid Data Sheet _영문.docx</x:v>
      </x:c>
      <x:c r="AI146" s="25" t="str">
        <x:v>표 4 행 8</x:v>
      </x:c>
      <x:c r="AJ146" s="25" t="str">
        <x:v>L2025-00018-1/1-2. Bid Data Sheet _영문.docx</x:v>
      </x:c>
      <x:c r="AK146" s="25" t="str">
        <x:v>표 4 행 8</x:v>
      </x:c>
      <x:c r="AL146" s="25" t="str">
        <x:v>총연면적 2,684.36㎡; 상세페이지 집행한도 USD 4,333,427; 산출단가 USD 1,614/㎡.</x:v>
      </x:c>
      <x:c r="AM146" s="25" t="str">
        <x:v>https://nebid.koica.go.kr/oep/lobi/localBidManageDetail.do?P_LOAZ_BID_PBLANC_NO=L2025-00018&amp;P_PBLANC_ODR=1</x:v>
      </x:c>
    </x:row>
    <x:row r="147">
      <x:c r="A147" s="22" t="str">
        <x:v>X</x:v>
      </x:c>
      <x:c r="B147" s="22" t="str">
        <x:v>2020-00048</x:v>
      </x:c>
      <x:c r="C147" s="22" t="str">
        <x:v>L2025-00021-1</x:v>
      </x:c>
      <x:c r="D147" s="22" t="str">
        <x:v>L2025-00021</x:v>
      </x:c>
      <x:c r="E147" s="22" t="str">
        <x:v>2025-04-02</x:v>
      </x:c>
      <x:c r="F147" s="22" t="str">
        <x:v>세네갈</x:v>
      </x:c>
      <x:c r="G147" s="25" t="str">
        <x:v>세네갈 미곡가치사슬 2차사업 미곡종합처리장(RPC)/농기계 서비스센터 건축시공 감리용역 입찰</x:v>
      </x:c>
      <x:c r="H147" s="22" t="str">
        <x:v>용역</x:v>
      </x:c>
      <x:c r="I147" s="22" t="str">
        <x:v>DESIGN_OR_SUPERVISION_SERVICE</x:v>
      </x:c>
      <x:c r="J147" s="22" t="str">
        <x:v>SERVICE_FEE_OR_MIXED</x:v>
      </x:c>
      <x:c r="K147" s="22" t="str">
        <x:v>NO_MATCH</x:v>
      </x:c>
      <x:c r="L147" s="22" t="str">
        <x:v>NO_MATCH</x:v>
      </x:c>
      <x:c r="M147" s="34" t="n">
        <x:v>100000</x:v>
      </x:c>
      <x:c r="N147" s="34"/>
      <x:c r="O147" s="22" t="str">
        <x:v>SERVICE_OR_GOODS_CEILING</x:v>
      </x:c>
      <x:c r="P147" s="37" t="str">
        <x:f>IF(AND(M147&lt;&gt;"",N147&lt;&gt;"",O147&lt;&gt;"NOTICE_EXECUTION_CEILING"),M147/N147-1,"")</x:f>
      </x:c>
      <x:c r="Q147" s="31" t="n">
        <x:v>4951</x:v>
      </x:c>
      <x:c r="R147" s="22" t="str">
        <x:v>GFA</x:v>
      </x:c>
      <x:c r="S147" s="22" t="str">
        <x:v>AUTO_SELECTED_SINGLE_OR_TOTAL</x:v>
      </x:c>
      <x:c r="T147" s="34" t="n">
        <x:f>IFERROR(N147/Q147,"")</x:f>
        <x:v>0</x:v>
      </x:c>
      <x:c r="U147" s="22" t="str">
        <x:v>V3_SCOPE_REVIEW</x:v>
      </x:c>
      <x:c r="V147" s="22" t="str">
        <x:v>계산 금지</x:v>
      </x:c>
      <x:c r="W147" s="28" t="n">
        <x:v>1</x:v>
      </x:c>
      <x:c r="X147" s="28" t="n">
        <x:v>0</x:v>
      </x:c>
      <x:c r="Y147" s="28" t="n">
        <x:v>0</x:v>
      </x:c>
      <x:c r="Z147" s="28" t="n">
        <x:v>0</x:v>
      </x:c>
      <x:c r="AA147" s="28" t="n">
        <x:v>18</x:v>
      </x:c>
      <x:c r="AB147" s="28" t="n">
        <x:v>0</x:v>
      </x:c>
      <x:c r="AC147" s="28" t="n">
        <x:v>0</x:v>
      </x:c>
      <x:c r="AD147" s="28" t="n">
        <x:v>0</x:v>
      </x:c>
      <x:c r="AE147" s="28" t="n">
        <x:v>0</x:v>
      </x:c>
      <x:c r="AF147" s="25" t="str">
        <x:v>설계·감리·기타 용역 집행한도는 건축공사비가 아님</x:v>
      </x:c>
      <x:c r="AG147" s="25" t="str"/>
      <x:c r="AH147" s="25" t="str">
        <x:v>KOICA 입찰 상세페이지</x:v>
      </x:c>
      <x:c r="AI147" s="25" t="str">
        <x:v>집행한도금액(달러)</x:v>
      </x:c>
      <x:c r="AJ147" s="25" t="str">
        <x:v>L2025-00021-1/2. (세네갈) 입찰서류 일체/2. (세네갈) 입찰서류 일체/Section 2 - Bid Data Sheet (BDS)_최종수정(250321).docx</x:v>
      </x:c>
      <x:c r="AK147" s="25" t="str">
        <x:v>표 5 행 6</x:v>
      </x:c>
      <x:c r="AL147" s="25" t="str">
        <x:v>- Gross floor area | 4,951 ㎡</x:v>
      </x:c>
      <x:c r="AM147" s="25" t="str">
        <x:v>https://nebid.koica.go.kr/oep/lobi/localBidManageDetail.do?P_LOAZ_BID_PBLANC_NO=L2025-00021&amp;P_PBLANC_ODR=1</x:v>
      </x:c>
    </x:row>
    <x:row r="148">
      <x:c r="A148" s="22" t="str">
        <x:v>C?-부분</x:v>
      </x:c>
      <x:c r="B148" s="22" t="str">
        <x:v>2018-56501</x:v>
      </x:c>
      <x:c r="C148" s="22" t="str">
        <x:v>L2025-00016-1</x:v>
      </x:c>
      <x:c r="D148" s="22" t="str">
        <x:v>L2025-00016</x:v>
      </x:c>
      <x:c r="E148" s="22" t="str">
        <x:v>2025-04-09</x:v>
      </x:c>
      <x:c r="F148" s="22" t="str">
        <x:v>모잠비크</x:v>
      </x:c>
      <x:c r="G148" s="25" t="str">
        <x:v>모잠비크 마톨라 산업학교 역량강화사업 사후지원 보수 공사</x:v>
      </x:c>
      <x:c r="H148" s="22" t="str">
        <x:v>공사</x:v>
      </x:c>
      <x:c r="I148" s="22" t="str">
        <x:v>WORKS</x:v>
      </x:c>
      <x:c r="J148" s="22" t="str">
        <x:v>WORKS_CEILING</x:v>
      </x:c>
      <x:c r="K148" s="22" t="str">
        <x:v>PARTIAL_SCOPE</x:v>
      </x:c>
      <x:c r="L148" s="22" t="str">
        <x:v>PARTIAL_SCOPE</x:v>
      </x:c>
      <x:c r="M148" s="34" t="n">
        <x:v>230586</x:v>
      </x:c>
      <x:c r="N148" s="34" t="n">
        <x:v>230586</x:v>
      </x:c>
      <x:c r="O148" s="22" t="str">
        <x:v>NOTICE_EXECUTION_CEILING</x:v>
      </x:c>
      <x:c r="P148" s="37" t="str">
        <x:f>IF(AND(M148&lt;&gt;"",N148&lt;&gt;"",O148&lt;&gt;"NOTICE_EXECUTION_CEILING"),M148/N148-1,"")</x:f>
      </x:c>
      <x:c r="Q148" s="31" t="n">
        <x:v>15500</x:v>
      </x:c>
      <x:c r="R148" s="22" t="str">
        <x:v>GFA</x:v>
      </x:c>
      <x:c r="S148" s="22" t="str">
        <x:v>AUTO_SELECTED_SINGLE_OR_TOTAL</x:v>
      </x:c>
      <x:c r="T148" s="34" t="n">
        <x:f>IFERROR(N148/Q148,"")</x:f>
        <x:v>14.876516129032257</x:v>
      </x:c>
      <x:c r="U148" s="22" t="str">
        <x:v>V2R_HUMAN_REVIEWED_EXTRACTION</x:v>
      </x:c>
      <x:c r="V148" s="22" t="str">
        <x:v>초기 스크리닝만</x:v>
      </x:c>
      <x:c r="W148" s="28" t="n">
        <x:v>0</x:v>
      </x:c>
      <x:c r="X148" s="28" t="n">
        <x:v>0</x:v>
      </x:c>
      <x:c r="Y148" s="28" t="n">
        <x:v>0</x:v>
      </x:c>
      <x:c r="Z148" s="28" t="n">
        <x:v>0</x:v>
      </x:c>
      <x:c r="AA148" s="28" t="n">
        <x:v>24</x:v>
      </x:c>
      <x:c r="AB148" s="28" t="n">
        <x:v>1</x:v>
      </x:c>
      <x:c r="AC148" s="28" t="n">
        <x:v>0</x:v>
      </x:c>
      <x:c r="AD148" s="28" t="n">
        <x:v>1</x:v>
      </x:c>
      <x:c r="AE148" s="28" t="n">
        <x:v>0</x:v>
      </x:c>
      <x:c r="AF148" s="25" t="str">
        <x:v>범위 일치 잠정확인; 원본 V3 확인 전 직접 사용 금지</x:v>
      </x:c>
      <x:c r="AG148" s="25" t="str">
        <x:v>캠퍼스 GFA 15,500㎡ 대비 공사는 조명·창살·경비실·지붕·화장실 일부 보수</x:v>
      </x:c>
      <x:c r="AH148" s="25" t="str">
        <x:v>KOICA 입찰 상세페이지</x:v>
      </x:c>
      <x:c r="AI148" s="25" t="str">
        <x:v>집행한도금액(달러)</x:v>
      </x:c>
      <x:c r="AJ148" s="25" t="str">
        <x:v>L2025-00016-1/Section 2 - Bid Data Sheet (eng).docx</x:v>
      </x:c>
      <x:c r="AK148" s="25" t="str">
        <x:v>표 4 행 8</x:v>
      </x:c>
      <x:c r="AL148" s="25" t="str">
        <x:v>- Gross floor area | App. 15,500m2</x:v>
      </x:c>
      <x:c r="AM148" s="25" t="str">
        <x:v>https://nebid.koica.go.kr/oep/lobi/localBidManageDetail.do?P_LOAZ_BID_PBLANC_NO=L2025-00016&amp;P_PBLANC_ODR=1</x:v>
      </x:c>
    </x:row>
    <x:row r="149">
      <x:c r="A149" s="22" t="str">
        <x:v>X</x:v>
      </x:c>
      <x:c r="B149" s="22" t="str">
        <x:v>2020-00070</x:v>
      </x:c>
      <x:c r="C149" s="22" t="str">
        <x:v>L2025-00007-2</x:v>
      </x:c>
      <x:c r="D149" s="22" t="str">
        <x:v>L2025-00007</x:v>
      </x:c>
      <x:c r="E149" s="22" t="str">
        <x:v>2025-04-11</x:v>
      </x:c>
      <x:c r="F149" s="22" t="str">
        <x:v>도미니카</x:v>
      </x:c>
      <x:c r="G149" s="25" t="str">
        <x:v>도미니카공화국 몬테 크리스티 직업훈련센터 (MVC) 감리사 선정</x:v>
      </x:c>
      <x:c r="H149" s="22" t="str">
        <x:v>용역</x:v>
      </x:c>
      <x:c r="I149" s="22" t="str">
        <x:v>DESIGN_OR_SUPERVISION_SERVICE</x:v>
      </x:c>
      <x:c r="J149" s="22" t="str">
        <x:v>SERVICE_FEE_OR_MIXED</x:v>
      </x:c>
      <x:c r="K149" s="22" t="str">
        <x:v>NO_MATCH</x:v>
      </x:c>
      <x:c r="L149" s="22" t="str">
        <x:v>NO_MATCH</x:v>
      </x:c>
      <x:c r="M149" s="34" t="n">
        <x:v>83100</x:v>
      </x:c>
      <x:c r="N149" s="34"/>
      <x:c r="O149" s="22" t="str">
        <x:v>SERVICE_OR_GOODS_CEILING</x:v>
      </x:c>
      <x:c r="P149" s="37" t="str">
        <x:f>IF(AND(M149&lt;&gt;"",N149&lt;&gt;"",O149&lt;&gt;"NOTICE_EXECUTION_CEILING"),M149/N149-1,"")</x:f>
      </x:c>
      <x:c r="Q149" s="31" t="n">
        <x:v>936.2</x:v>
      </x:c>
      <x:c r="R149" s="22" t="str">
        <x:v>GFA</x:v>
      </x:c>
      <x:c r="S149" s="22" t="str">
        <x:v>AUTO_SELECTED_SINGLE_OR_TOTAL</x:v>
      </x:c>
      <x:c r="T149" s="34" t="n">
        <x:f>IFERROR(N149/Q149,"")</x:f>
        <x:v>0</x:v>
      </x:c>
      <x:c r="U149" s="22" t="str">
        <x:v>V3_SCOPE_REVIEW</x:v>
      </x:c>
      <x:c r="V149" s="22" t="str">
        <x:v>계산 금지</x:v>
      </x:c>
      <x:c r="W149" s="28" t="n">
        <x:v>1</x:v>
      </x:c>
      <x:c r="X149" s="28" t="n">
        <x:v>0</x:v>
      </x:c>
      <x:c r="Y149" s="28" t="n">
        <x:v>0</x:v>
      </x:c>
      <x:c r="Z149" s="28" t="n">
        <x:v>0</x:v>
      </x:c>
      <x:c r="AA149" s="28" t="n">
        <x:v>11</x:v>
      </x:c>
      <x:c r="AB149" s="28" t="n">
        <x:v>0</x:v>
      </x:c>
      <x:c r="AC149" s="28" t="n">
        <x:v>0</x:v>
      </x:c>
      <x:c r="AD149" s="28" t="n">
        <x:v>0</x:v>
      </x:c>
      <x:c r="AE149" s="28" t="n">
        <x:v>0</x:v>
      </x:c>
      <x:c r="AF149" s="25" t="str">
        <x:v>설계·감리·기타 용역 집행한도는 건축공사비가 아님</x:v>
      </x:c>
      <x:c r="AG149" s="25" t="str"/>
      <x:c r="AH149" s="25" t="str">
        <x:v>KOICA 입찰 상세페이지</x:v>
      </x:c>
      <x:c r="AI149" s="25" t="str">
        <x:v>집행한도금액(달러)</x:v>
      </x:c>
      <x:c r="AJ149" s="25" t="str">
        <x:v>L2025-00007-2/붙임 1. 입찰 계획서(국문).hwp</x:v>
      </x:c>
      <x:c r="AK149" s="25" t="str">
        <x:v>문단 82</x:v>
      </x:c>
      <x:c r="AL149" s="25" t="str">
        <x:v>ㅇ 연면적: 936.2㎡</x:v>
      </x:c>
      <x:c r="AM149" s="25" t="str">
        <x:v>https://nebid.koica.go.kr/oep/lobi/localBidManageDetail.do?P_LOAZ_BID_PBLANC_NO=L2025-00007&amp;P_PBLANC_ODR=2</x:v>
      </x:c>
    </x:row>
    <x:row r="150">
      <x:c r="A150" s="22" t="str">
        <x:v>X</x:v>
      </x:c>
      <x:c r="B150" s="22" t="str">
        <x:v>2017-14639</x:v>
      </x:c>
      <x:c r="C150" s="22" t="str">
        <x:v>L2025-00025-1</x:v>
      </x:c>
      <x:c r="D150" s="22" t="str">
        <x:v>L2025-00025</x:v>
      </x:c>
      <x:c r="E150" s="22" t="str">
        <x:v>2025-04-23</x:v>
      </x:c>
      <x:c r="F150" s="22" t="str">
        <x:v>페루</x:v>
      </x:c>
      <x:c r="G150" s="25" t="str">
        <x:v>페루 제3 한·페 의료센터 건립사업 리모델링 설계용역 입찰(재공고)</x:v>
      </x:c>
      <x:c r="H150" s="22" t="str">
        <x:v>용역</x:v>
      </x:c>
      <x:c r="I150" s="22" t="str">
        <x:v>DESIGN_OR_SUPERVISION_SERVICE</x:v>
      </x:c>
      <x:c r="J150" s="22" t="str">
        <x:v>SERVICE_FEE_OR_MIXED</x:v>
      </x:c>
      <x:c r="K150" s="22" t="str">
        <x:v>NO_MATCH</x:v>
      </x:c>
      <x:c r="L150" s="22" t="str">
        <x:v>NO_MATCH</x:v>
      </x:c>
      <x:c r="M150" s="34" t="n">
        <x:v>130000</x:v>
      </x:c>
      <x:c r="N150" s="34"/>
      <x:c r="O150" s="22" t="str">
        <x:v>SERVICE_OR_GOODS_CEILING</x:v>
      </x:c>
      <x:c r="P150" s="37" t="str">
        <x:f>IF(AND(M150&lt;&gt;"",N150&lt;&gt;"",O150&lt;&gt;"NOTICE_EXECUTION_CEILING"),M150/N150-1,"")</x:f>
      </x:c>
      <x:c r="Q150" s="31" t="n">
        <x:v>1656.9</x:v>
      </x:c>
      <x:c r="R150" s="22" t="str">
        <x:v>GFA</x:v>
      </x:c>
      <x:c r="S150" s="22" t="str">
        <x:v>AUTO_SELECTED_SINGLE_OR_TOTAL</x:v>
      </x:c>
      <x:c r="T150" s="34" t="n">
        <x:f>IFERROR(N150/Q150,"")</x:f>
        <x:v>0</x:v>
      </x:c>
      <x:c r="U150" s="22" t="str">
        <x:v>V3_SCOPE_REVIEW</x:v>
      </x:c>
      <x:c r="V150" s="22" t="str">
        <x:v>계산 금지</x:v>
      </x:c>
      <x:c r="W150" s="28" t="n">
        <x:v>1</x:v>
      </x:c>
      <x:c r="X150" s="28" t="n">
        <x:v>1</x:v>
      </x:c>
      <x:c r="Y150" s="28" t="n">
        <x:v>0</x:v>
      </x:c>
      <x:c r="Z150" s="28" t="n">
        <x:v>0</x:v>
      </x:c>
      <x:c r="AA150" s="28" t="n">
        <x:v>14</x:v>
      </x:c>
      <x:c r="AB150" s="28" t="n">
        <x:v>0</x:v>
      </x:c>
      <x:c r="AC150" s="28" t="n">
        <x:v>0</x:v>
      </x:c>
      <x:c r="AD150" s="28" t="n">
        <x:v>0</x:v>
      </x:c>
      <x:c r="AE150" s="28" t="n">
        <x:v>0</x:v>
      </x:c>
      <x:c r="AF150" s="25" t="str">
        <x:v>설계·감리·기타 용역 집행한도는 건축공사비가 아님</x:v>
      </x:c>
      <x:c r="AG150" s="25" t="str"/>
      <x:c r="AH150" s="25" t="str">
        <x:v>KOICA 입찰 상세페이지</x:v>
      </x:c>
      <x:c r="AI150" s="25" t="str">
        <x:v>집행한도금액(달러)</x:v>
      </x:c>
      <x:c r="AJ150" s="25" t="str">
        <x:v>L2025-00025-1/Attach02_(붙임2) 입찰제반서류_공고문/Section 4 - Terms of Reference (TOR)_Peru San Juan Health Center_250303.docx</x:v>
      </x:c>
      <x:c r="AK150" s="25" t="str">
        <x:v>문단 25</x:v>
      </x:c>
      <x:c r="AL150" s="25" t="str">
        <x:v>Gross floor area: 1,656.90 ㎡</x:v>
      </x:c>
      <x:c r="AM150" s="25" t="str">
        <x:v>https://nebid.koica.go.kr/oep/lobi/localBidManageDetail.do?P_LOAZ_BID_PBLANC_NO=L2025-00025&amp;P_PBLANC_ODR=1</x:v>
      </x:c>
    </x:row>
    <x:row r="151">
      <x:c r="A151" s="22" t="str">
        <x:v>X</x:v>
      </x:c>
      <x:c r="B151" s="22" t="str">
        <x:v>2020-00070</x:v>
      </x:c>
      <x:c r="C151" s="22" t="str">
        <x:v>L2025-00010-1</x:v>
      </x:c>
      <x:c r="D151" s="22" t="str">
        <x:v>L2025-00010</x:v>
      </x:c>
      <x:c r="E151" s="22" t="str">
        <x:v>2025-04-30</x:v>
      </x:c>
      <x:c r="F151" s="22" t="str">
        <x:v>도미니카</x:v>
      </x:c>
      <x:c r="G151" s="25" t="str">
        <x:v>도미니카공화국 여성 중심 취약계층 사회경제적 역량강화사업 하이나 직업훈련센터 리모델링 설계용역</x:v>
      </x:c>
      <x:c r="H151" s="22" t="str">
        <x:v>용역</x:v>
      </x:c>
      <x:c r="I151" s="22" t="str">
        <x:v>DESIGN_OR_SUPERVISION_SERVICE</x:v>
      </x:c>
      <x:c r="J151" s="22" t="str">
        <x:v>SERVICE_FEE_OR_MIXED</x:v>
      </x:c>
      <x:c r="K151" s="22" t="str">
        <x:v>NO_MATCH</x:v>
      </x:c>
      <x:c r="L151" s="22" t="str">
        <x:v>NO_MATCH</x:v>
      </x:c>
      <x:c r="M151" s="34" t="n">
        <x:v>89787</x:v>
      </x:c>
      <x:c r="N151" s="34"/>
      <x:c r="O151" s="22" t="str">
        <x:v>SERVICE_OR_GOODS_CEILING</x:v>
      </x:c>
      <x:c r="P151" s="37" t="str">
        <x:f>IF(AND(M151&lt;&gt;"",N151&lt;&gt;"",O151&lt;&gt;"NOTICE_EXECUTION_CEILING"),M151/N151-1,"")</x:f>
      </x:c>
      <x:c r="Q151" s="31" t="n">
        <x:v>750</x:v>
      </x:c>
      <x:c r="R151" s="22" t="str">
        <x:v>GFA</x:v>
      </x:c>
      <x:c r="S151" s="22" t="str">
        <x:v>AUTO_SELECTED_SINGLE_OR_TOTAL</x:v>
      </x:c>
      <x:c r="T151" s="34" t="n">
        <x:f>IFERROR(N151/Q151,"")</x:f>
        <x:v>0</x:v>
      </x:c>
      <x:c r="U151" s="22" t="str">
        <x:v>V3_SCOPE_REVIEW</x:v>
      </x:c>
      <x:c r="V151" s="22" t="str">
        <x:v>계산 금지</x:v>
      </x:c>
      <x:c r="W151" s="28" t="n">
        <x:v>1</x:v>
      </x:c>
      <x:c r="X151" s="28" t="n">
        <x:v>0</x:v>
      </x:c>
      <x:c r="Y151" s="28" t="n">
        <x:v>0</x:v>
      </x:c>
      <x:c r="Z151" s="28" t="n">
        <x:v>0</x:v>
      </x:c>
      <x:c r="AA151" s="28" t="n">
        <x:v>12</x:v>
      </x:c>
      <x:c r="AB151" s="28" t="n">
        <x:v>0</x:v>
      </x:c>
      <x:c r="AC151" s="28" t="n">
        <x:v>0</x:v>
      </x:c>
      <x:c r="AD151" s="28" t="n">
        <x:v>0</x:v>
      </x:c>
      <x:c r="AE151" s="28" t="n">
        <x:v>0</x:v>
      </x:c>
      <x:c r="AF151" s="25" t="str">
        <x:v>설계·감리·기타 용역 집행한도는 건축공사비가 아님</x:v>
      </x:c>
      <x:c r="AG151" s="25" t="str"/>
      <x:c r="AH151" s="25" t="str">
        <x:v>KOICA 입찰 상세페이지</x:v>
      </x:c>
      <x:c r="AI151" s="25" t="str">
        <x:v>집행한도금액(달러)</x:v>
      </x:c>
      <x:c r="AJ151" s="25" t="str">
        <x:v>L2025-00010-1/붙임 1. 입찰 계획서_하이나 리모델링_fin.hwp</x:v>
      </x:c>
      <x:c r="AK151" s="25" t="str">
        <x:v>문단 72</x:v>
      </x:c>
      <x:c r="AL151" s="25" t="str">
        <x:v>대지면적 721m2, 연면적 750m2</x:v>
      </x:c>
      <x:c r="AM151" s="25" t="str">
        <x:v>https://nebid.koica.go.kr/oep/lobi/localBidManageDetail.do?P_LOAZ_BID_PBLANC_NO=L2025-00010&amp;P_PBLANC_ODR=1</x:v>
      </x:c>
    </x:row>
    <x:row r="152">
      <x:c r="A152" s="22" t="str">
        <x:v>B</x:v>
      </x:c>
      <x:c r="B152" s="22" t="str">
        <x:v>2013-00064</x:v>
      </x:c>
      <x:c r="C152" s="22" t="str">
        <x:v>L2025-00012-2</x:v>
      </x:c>
      <x:c r="D152" s="22" t="str">
        <x:v>L2025-00012</x:v>
      </x:c>
      <x:c r="E152" s="22" t="str">
        <x:v>2025-05-09</x:v>
      </x:c>
      <x:c r="F152" s="22" t="str">
        <x:v>볼리비아</x:v>
      </x:c>
      <x:c r="G152" s="25" t="str">
        <x:v>볼리비아 고원 지역 농업 기계화 및 농민역량 강화를 통한 생산성 증대 사업 퀴노아 연구센터 차칼라 건립 공사 시공사 선정 현지 입찰 재공고</x:v>
      </x:c>
      <x:c r="H152" s="22" t="str">
        <x:v>공사</x:v>
      </x:c>
      <x:c r="I152" s="22" t="str">
        <x:v>WORKS</x:v>
      </x:c>
      <x:c r="J152" s="22" t="str">
        <x:v>WORKS_CEILING</x:v>
      </x:c>
      <x:c r="K152" s="22" t="str">
        <x:v>MATCH</x:v>
      </x:c>
      <x:c r="L152" s="22" t="str">
        <x:v>MATCH</x:v>
      </x:c>
      <x:c r="M152" s="34" t="n">
        <x:v>98954</x:v>
      </x:c>
      <x:c r="N152" s="34" t="n">
        <x:v>98954</x:v>
      </x:c>
      <x:c r="O152" s="22" t="str">
        <x:v>NOTICE_EXECUTION_CEILING</x:v>
      </x:c>
      <x:c r="P152" s="37" t="str">
        <x:f>IF(AND(M152&lt;&gt;"",N152&lt;&gt;"",O152&lt;&gt;"NOTICE_EXECUTION_CEILING"),M152/N152-1,"")</x:f>
      </x:c>
      <x:c r="Q152" s="31" t="n">
        <x:v>87.22</x:v>
      </x:c>
      <x:c r="R152" s="22" t="str">
        <x:v>GFA</x:v>
      </x:c>
      <x:c r="S152" s="22" t="str">
        <x:v>SINGLE_OR_TOTAL</x:v>
      </x:c>
      <x:c r="T152" s="34" t="n">
        <x:f>IFERROR(N152/Q152,"")</x:f>
        <x:v>1134.5333639073608</x:v>
      </x:c>
      <x:c r="U152" s="22" t="str">
        <x:v>V3_ORIGINAL_MANUAL</x:v>
      </x:c>
      <x:c r="V152" s="22" t="str">
        <x:v>현지단가 결합 수량모델</x:v>
      </x:c>
      <x:c r="W152" s="28" t="n">
        <x:v>1</x:v>
      </x:c>
      <x:c r="X152" s="28" t="n">
        <x:v>1</x:v>
      </x:c>
      <x:c r="Y152" s="28" t="n">
        <x:v>1</x:v>
      </x:c>
      <x:c r="Z152" s="28" t="n">
        <x:v>1</x:v>
      </x:c>
      <x:c r="AA152" s="28" t="n">
        <x:v>57</x:v>
      </x:c>
      <x:c r="AB152" s="28" t="n">
        <x:v>6</x:v>
      </x:c>
      <x:c r="AC152" s="28" t="n">
        <x:v>0</x:v>
      </x:c>
      <x:c r="AD152" s="28" t="n">
        <x:v>3</x:v>
      </x:c>
      <x:c r="AE152" s="28" t="n">
        <x:v>0</x:v>
      </x:c>
      <x:c r="AF152" s="25" t="str">
        <x:v>재공고의 동일 차칼라 blank BOQ; 한 표본으로 처리</x:v>
      </x:c>
      <x:c r="AG152" s="25" t="str"/>
      <x:c r="AH152" s="25" t="str">
        <x:v>L2025-00012-2/(붙임1-2) 영문입찰계획서_Q-Lab_Chacala_Bid Data Sheet (BDS)_20250502.docx</x:v>
      </x:c>
      <x:c r="AI152" s="25" t="str">
        <x:v>표 3 행 7</x:v>
      </x:c>
      <x:c r="AJ152" s="25" t="str">
        <x:v>L2025-00012-2/(붙임1-2) 영문입찰계획서_Q-Lab_Chacala_Bid Data Sheet (BDS)_20250502.docx</x:v>
      </x:c>
      <x:c r="AK152" s="25" t="str">
        <x:v>표 3 행 7</x:v>
      </x:c>
      <x:c r="AL152" s="25" t="str">
        <x:v>총연면적 87.22㎡; 상세페이지 집행한도 USD 98,954; 산출단가 USD 1,135/㎡.</x:v>
      </x:c>
      <x:c r="AM152" s="25" t="str">
        <x:v>https://nebid.koica.go.kr/oep/lobi/localBidManageDetail.do?P_LOAZ_BID_PBLANC_NO=L2025-00012&amp;P_PBLANC_ODR=2</x:v>
      </x:c>
    </x:row>
    <x:row r="153">
      <x:c r="A153" s="22" t="str">
        <x:v>C-부분</x:v>
      </x:c>
      <x:c r="B153" s="22" t="str">
        <x:v>2018-56501</x:v>
      </x:c>
      <x:c r="C153" s="22" t="str">
        <x:v>L2025-00016-2</x:v>
      </x:c>
      <x:c r="D153" s="22" t="str">
        <x:v>L2025-00016</x:v>
      </x:c>
      <x:c r="E153" s="22" t="str">
        <x:v>2025-05-29</x:v>
      </x:c>
      <x:c r="F153" s="22" t="str">
        <x:v>모잠비크</x:v>
      </x:c>
      <x:c r="G153" s="25" t="str">
        <x:v>(재공고) 모잠비크 마톨라 산업학교 역량강화사업 사후지원 보수 공사</x:v>
      </x:c>
      <x:c r="H153" s="22" t="str">
        <x:v>공사</x:v>
      </x:c>
      <x:c r="I153" s="22" t="str">
        <x:v>WORKS</x:v>
      </x:c>
      <x:c r="J153" s="22" t="str">
        <x:v>WORKS_CEILING</x:v>
      </x:c>
      <x:c r="K153" s="22" t="str">
        <x:v>PARTIAL_SCOPE</x:v>
      </x:c>
      <x:c r="L153" s="22" t="str">
        <x:v>PARTIAL_SCOPE</x:v>
      </x:c>
      <x:c r="M153" s="34" t="n">
        <x:v>230586</x:v>
      </x:c>
      <x:c r="N153" s="34" t="n">
        <x:v>230586</x:v>
      </x:c>
      <x:c r="O153" s="22" t="str">
        <x:v>NOTICE_EXECUTION_CEILING</x:v>
      </x:c>
      <x:c r="P153" s="37" t="str">
        <x:f>IF(AND(M153&lt;&gt;"",N153&lt;&gt;"",O153&lt;&gt;"NOTICE_EXECUTION_CEILING"),M153/N153-1,"")</x:f>
      </x:c>
      <x:c r="Q153" s="31" t="n">
        <x:v>15500</x:v>
      </x:c>
      <x:c r="R153" s="22" t="str">
        <x:v>FACILITY_OR_CAMPUS_AREA</x:v>
      </x:c>
      <x:c r="S153" s="22" t="str">
        <x:v>SINGLE_OR_TOTAL</x:v>
      </x:c>
      <x:c r="T153" s="34" t="n">
        <x:f>IFERROR(N153/Q153,"")</x:f>
        <x:v>14.876516129032257</x:v>
      </x:c>
      <x:c r="U153" s="22" t="str">
        <x:v>V3_CURATED_AREA_COST_RECHECK</x:v>
      </x:c>
      <x:c r="V153" s="22" t="str">
        <x:v>초기 스크리닝만</x:v>
      </x:c>
      <x:c r="W153" s="28" t="n">
        <x:v>1</x:v>
      </x:c>
      <x:c r="X153" s="28" t="n">
        <x:v>1</x:v>
      </x:c>
      <x:c r="Y153" s="28" t="n">
        <x:v>1</x:v>
      </x:c>
      <x:c r="Z153" s="28" t="n">
        <x:v>0</x:v>
      </x:c>
      <x:c r="AA153" s="28" t="n">
        <x:v>27</x:v>
      </x:c>
      <x:c r="AB153" s="28" t="n">
        <x:v>1</x:v>
      </x:c>
      <x:c r="AC153" s="28" t="n">
        <x:v>0</x:v>
      </x:c>
      <x:c r="AD153" s="28" t="n">
        <x:v>1</x:v>
      </x:c>
      <x:c r="AE153" s="28" t="n">
        <x:v>0</x:v>
      </x:c>
      <x:c r="AF153" s="25" t="str">
        <x:v>동일/제한 범위 공사금액÷면적 스크리닝 근거</x:v>
      </x:c>
      <x:c r="AG153" s="25" t="str">
        <x:v>캠퍼스 GFA 15,500㎡ 대비 공사는 조명·창살·경비실·지붕·화장실 일부 보수</x:v>
      </x:c>
      <x:c r="AH153" s="25" t="str">
        <x:v>L2025-00016-2/Section 2 - Bid Data Sheet (eng).docx</x:v>
      </x:c>
      <x:c r="AI153" s="25" t="str">
        <x:v>표 4 행 8</x:v>
      </x:c>
      <x:c r="AJ153" s="25" t="str">
        <x:v>L2025-00016-2/Section 2 - Bid Data Sheet (eng).docx</x:v>
      </x:c>
      <x:c r="AK153" s="25" t="str">
        <x:v>표 4 행 8</x:v>
      </x:c>
      <x:c r="AL153" s="25" t="str">
        <x:v>대상 캠퍼스 면적 15,500.00㎡; 상세페이지 집행한도 USD 230,586; 산출단가 USD 15/㎡.</x:v>
      </x:c>
      <x:c r="AM153" s="25" t="str">
        <x:v>https://nebid.koica.go.kr/oep/lobi/localBidManageDetail.do?P_LOAZ_BID_PBLANC_NO=L2025-00016&amp;P_PBLANC_ODR=2</x:v>
      </x:c>
    </x:row>
    <x:row r="154">
      <x:c r="A154" s="22" t="str">
        <x:v>C</x:v>
      </x:c>
      <x:c r="B154" s="22" t="str">
        <x:v>2024-00015</x:v>
      </x:c>
      <x:c r="C154" s="22" t="str">
        <x:v>L2025-00036-1</x:v>
      </x:c>
      <x:c r="D154" s="22" t="str">
        <x:v>L2025-00036</x:v>
      </x:c>
      <x:c r="E154" s="22" t="str">
        <x:v>2025-05-30</x:v>
      </x:c>
      <x:c r="F154" s="22" t="str">
        <x:v>캄보디아</x:v>
      </x:c>
      <x:c r="G154" s="25" t="str">
        <x:v>캄보디아 당까오 후송병원 공공의료서비스 개선사업 병원신축 설계감리용역</x:v>
      </x:c>
      <x:c r="H154" s="22" t="str">
        <x:v>용역</x:v>
      </x:c>
      <x:c r="I154" s="22" t="str">
        <x:v>DESIGN_OR_SUPERVISION_SERVICE</x:v>
      </x:c>
      <x:c r="J154" s="22" t="str">
        <x:v>SERVICE_FEE_OR_MIXED</x:v>
      </x:c>
      <x:c r="K154" s="22" t="str">
        <x:v>NO_MATCH</x:v>
      </x:c>
      <x:c r="L154" s="22" t="str">
        <x:v>MATCH_ATTACHMENT_CONSTRUCTION_BUDGET</x:v>
      </x:c>
      <x:c r="M154" s="34" t="n">
        <x:v>500000</x:v>
      </x:c>
      <x:c r="N154" s="34" t="n">
        <x:v>6600000</x:v>
      </x:c>
      <x:c r="O154" s="22" t="str">
        <x:v>DESIGN_ESTIMATE</x:v>
      </x:c>
      <x:c r="P154" s="37" t="n">
        <x:f>IF(AND(M154&lt;&gt;"",N154&lt;&gt;"",O154&lt;&gt;"NOTICE_EXECUTION_CEILING"),M154/N154-1,"")</x:f>
        <x:v>-0.9242424242424242</x:v>
      </x:c>
      <x:c r="Q154" s="31" t="n">
        <x:v>3700</x:v>
      </x:c>
      <x:c r="R154" s="22" t="str">
        <x:v>GFA</x:v>
      </x:c>
      <x:c r="S154" s="22" t="str">
        <x:v>SINGLE_OR_TOTAL</x:v>
      </x:c>
      <x:c r="T154" s="34" t="n">
        <x:f>IFERROR(N154/Q154,"")</x:f>
        <x:v>1783.7837837837837</x:v>
      </x:c>
      <x:c r="U154" s="22" t="str">
        <x:v>V3_CURATED_AREA_COST_RECHECK</x:v>
      </x:c>
      <x:c r="V154" s="22" t="str">
        <x:v>초기 스크리닝만</x:v>
      </x:c>
      <x:c r="W154" s="28" t="n">
        <x:v>1</x:v>
      </x:c>
      <x:c r="X154" s="28" t="n">
        <x:v>1</x:v>
      </x:c>
      <x:c r="Y154" s="28" t="n">
        <x:v>1</x:v>
      </x:c>
      <x:c r="Z154" s="28" t="n">
        <x:v>0</x:v>
      </x:c>
      <x:c r="AA154" s="28" t="n">
        <x:v>19</x:v>
      </x:c>
      <x:c r="AB154" s="28" t="n">
        <x:v>0</x:v>
      </x:c>
      <x:c r="AC154" s="28" t="n">
        <x:v>0</x:v>
      </x:c>
      <x:c r="AD154" s="28" t="n">
        <x:v>0</x:v>
      </x:c>
      <x:c r="AE154" s="28" t="n">
        <x:v>0</x:v>
      </x:c>
      <x:c r="AF154" s="25" t="str">
        <x:v>동일/제한 범위 공사금액÷면적 스크리닝 근거</x:v>
      </x:c>
      <x:c r="AG154" s="25" t="str"/>
      <x:c r="AH154" s="25" t="str">
        <x:v>L2025-00036-1/붙임2. 입찰서류 영문본 일체/Section 6 - Related Project Information of RFP.pdf</x:v>
      </x:c>
      <x:c r="AI154" s="25" t="str">
        <x:v>페이지 3</x:v>
      </x:c>
      <x:c r="AJ154" s="25" t="str">
        <x:v>L2025-00036-1/붙임2. 입찰서류 영문본 일체/Section 6 - Related Project Information of RFP.pdf</x:v>
      </x:c>
      <x:c r="AK154" s="25" t="str">
        <x:v>페이지 3</x:v>
      </x:c>
      <x:c r="AL154" s="25" t="str">
        <x:v>3층, GFA 3,700㎡, Construction Cost USD 6.6 million.</x:v>
      </x:c>
      <x:c r="AM154" s="25" t="str">
        <x:v>https://nebid.koica.go.kr/oep/lobi/localBidManageDetail.do?P_LOAZ_BID_PBLANC_NO=L2025-00036&amp;P_PBLANC_ODR=1</x:v>
      </x:c>
    </x:row>
    <x:row r="155">
      <x:c r="A155" s="22" t="str">
        <x:v>X</x:v>
      </x:c>
      <x:c r="B155" s="22" t="str">
        <x:v>2020-00070</x:v>
      </x:c>
      <x:c r="C155" s="22" t="str">
        <x:v>L2025-00038-1</x:v>
      </x:c>
      <x:c r="D155" s="22" t="str">
        <x:v>L2025-00038</x:v>
      </x:c>
      <x:c r="E155" s="22" t="str">
        <x:v>2025-06-09</x:v>
      </x:c>
      <x:c r="F155" s="22" t="str">
        <x:v>도미니카</x:v>
      </x:c>
      <x:c r="G155" s="25" t="str">
        <x:v>도미니카공화국 몬테 크리스티 직업훈련센터 (MVC) 감리사 선정</x:v>
      </x:c>
      <x:c r="H155" s="22" t="str">
        <x:v>용역</x:v>
      </x:c>
      <x:c r="I155" s="22" t="str">
        <x:v>DESIGN_OR_SUPERVISION_SERVICE</x:v>
      </x:c>
      <x:c r="J155" s="22" t="str">
        <x:v>SERVICE_FEE_OR_MIXED</x:v>
      </x:c>
      <x:c r="K155" s="22" t="str">
        <x:v>NO_MATCH</x:v>
      </x:c>
      <x:c r="L155" s="22" t="str">
        <x:v>NO_MATCH</x:v>
      </x:c>
      <x:c r="M155" s="34" t="n">
        <x:v>94880</x:v>
      </x:c>
      <x:c r="N155" s="34"/>
      <x:c r="O155" s="22" t="str">
        <x:v>SERVICE_OR_GOODS_CEILING</x:v>
      </x:c>
      <x:c r="P155" s="37" t="str">
        <x:f>IF(AND(M155&lt;&gt;"",N155&lt;&gt;"",O155&lt;&gt;"NOTICE_EXECUTION_CEILING"),M155/N155-1,"")</x:f>
      </x:c>
      <x:c r="Q155" s="31" t="n">
        <x:v>936.2</x:v>
      </x:c>
      <x:c r="R155" s="22" t="str">
        <x:v>GFA</x:v>
      </x:c>
      <x:c r="S155" s="22" t="str">
        <x:v>AUTO_SELECTED_SINGLE_OR_TOTAL</x:v>
      </x:c>
      <x:c r="T155" s="34" t="n">
        <x:f>IFERROR(N155/Q155,"")</x:f>
        <x:v>0</x:v>
      </x:c>
      <x:c r="U155" s="22" t="str">
        <x:v>V3_SCOPE_REVIEW</x:v>
      </x:c>
      <x:c r="V155" s="22" t="str">
        <x:v>계산 금지</x:v>
      </x:c>
      <x:c r="W155" s="28" t="n">
        <x:v>1</x:v>
      </x:c>
      <x:c r="X155" s="28" t="n">
        <x:v>0</x:v>
      </x:c>
      <x:c r="Y155" s="28" t="n">
        <x:v>0</x:v>
      </x:c>
      <x:c r="Z155" s="28" t="n">
        <x:v>0</x:v>
      </x:c>
      <x:c r="AA155" s="28" t="n">
        <x:v>9</x:v>
      </x:c>
      <x:c r="AB155" s="28" t="n">
        <x:v>0</x:v>
      </x:c>
      <x:c r="AC155" s="28" t="n">
        <x:v>0</x:v>
      </x:c>
      <x:c r="AD155" s="28" t="n">
        <x:v>0</x:v>
      </x:c>
      <x:c r="AE155" s="28" t="n">
        <x:v>0</x:v>
      </x:c>
      <x:c r="AF155" s="25" t="str">
        <x:v>설계·감리·기타 용역 집행한도는 건축공사비가 아님</x:v>
      </x:c>
      <x:c r="AG155" s="25" t="str"/>
      <x:c r="AH155" s="25" t="str">
        <x:v>KOICA 입찰 상세페이지</x:v>
      </x:c>
      <x:c r="AI155" s="25" t="str">
        <x:v>집행한도금액(달러)</x:v>
      </x:c>
      <x:c r="AJ155" s="25" t="str">
        <x:v>L2025-00038-1/MVC (긴급) 입찰 계획서(국문)_20250526.hwp</x:v>
      </x:c>
      <x:c r="AK155" s="25" t="str">
        <x:v>문단 84</x:v>
      </x:c>
      <x:c r="AL155" s="25" t="str">
        <x:v>ㅇ 연면적: 936.2㎡</x:v>
      </x:c>
      <x:c r="AM155" s="25" t="str">
        <x:v>https://nebid.koica.go.kr/oep/lobi/localBidManageDetail.do?P_LOAZ_BID_PBLANC_NO=L2025-00038&amp;P_PBLANC_ODR=1</x:v>
      </x:c>
    </x:row>
    <x:row r="156">
      <x:c r="A156" s="22" t="str">
        <x:v>X</x:v>
      </x:c>
      <x:c r="B156" s="22" t="str">
        <x:v>2023-00087</x:v>
      </x:c>
      <x:c r="C156" s="22" t="str">
        <x:v>L2025-00045-1</x:v>
      </x:c>
      <x:c r="D156" s="22" t="str">
        <x:v>L2025-00045</x:v>
      </x:c>
      <x:c r="E156" s="22" t="str">
        <x:v>2025-06-15</x:v>
      </x:c>
      <x:c r="F156" s="22" t="str">
        <x:v>이라크</x:v>
      </x:c>
      <x:c r="G156" s="25" t="str">
        <x:v>“이라크 쿠르드 지역학교 내 난민통합교육 강화사업” 선도학교 및 교사연수센터 신축을 위한 설계 및 시공감리 업체 선정</x:v>
      </x:c>
      <x:c r="H156" s="22" t="str">
        <x:v>용역</x:v>
      </x:c>
      <x:c r="I156" s="22" t="str">
        <x:v>DESIGN_OR_SUPERVISION_SERVICE</x:v>
      </x:c>
      <x:c r="J156" s="22" t="str">
        <x:v>SERVICE_FEE_OR_MIXED</x:v>
      </x:c>
      <x:c r="K156" s="22" t="str">
        <x:v>NO_MATCH</x:v>
      </x:c>
      <x:c r="L156" s="22" t="str">
        <x:v>NO_MATCH</x:v>
      </x:c>
      <x:c r="M156" s="34" t="n">
        <x:v>411000</x:v>
      </x:c>
      <x:c r="N156" s="34"/>
      <x:c r="O156" s="22" t="str">
        <x:v>SERVICE_OR_GOODS_CEILING</x:v>
      </x:c>
      <x:c r="P156" s="37" t="str">
        <x:f>IF(AND(M156&lt;&gt;"",N156&lt;&gt;"",O156&lt;&gt;"NOTICE_EXECUTION_CEILING"),M156/N156-1,"")</x:f>
      </x:c>
      <x:c r="Q156" s="31" t="n">
        <x:v>6000</x:v>
      </x:c>
      <x:c r="R156" s="22" t="str">
        <x:v>GFA</x:v>
      </x:c>
      <x:c r="S156" s="22" t="str">
        <x:v>AUTO_SELECTED_SINGLE_OR_TOTAL</x:v>
      </x:c>
      <x:c r="T156" s="34" t="n">
        <x:f>IFERROR(N156/Q156,"")</x:f>
        <x:v>0</x:v>
      </x:c>
      <x:c r="U156" s="22" t="str">
        <x:v>V3_SCOPE_REVIEW</x:v>
      </x:c>
      <x:c r="V156" s="22" t="str">
        <x:v>계산 금지</x:v>
      </x:c>
      <x:c r="W156" s="28" t="n">
        <x:v>0</x:v>
      </x:c>
      <x:c r="X156" s="28" t="n">
        <x:v>0</x:v>
      </x:c>
      <x:c r="Y156" s="28" t="n">
        <x:v>0</x:v>
      </x:c>
      <x:c r="Z156" s="28" t="n">
        <x:v>0</x:v>
      </x:c>
      <x:c r="AA156" s="28" t="n">
        <x:v>21</x:v>
      </x:c>
      <x:c r="AB156" s="28" t="n">
        <x:v>0</x:v>
      </x:c>
      <x:c r="AC156" s="28" t="n">
        <x:v>0</x:v>
      </x:c>
      <x:c r="AD156" s="28" t="n">
        <x:v>0</x:v>
      </x:c>
      <x:c r="AE156" s="28" t="n">
        <x:v>0</x:v>
      </x:c>
      <x:c r="AF156" s="25" t="str">
        <x:v>설계·감리·기타 용역 집행한도는 건축공사비가 아님</x:v>
      </x:c>
      <x:c r="AG156" s="25" t="str"/>
      <x:c r="AH156" s="25" t="str">
        <x:v>KOICA 입찰 상세페이지</x:v>
      </x:c>
      <x:c r="AI156" s="25" t="str">
        <x:v>집행한도금액(달러)</x:v>
      </x:c>
      <x:c r="AJ156" s="25" t="str">
        <x:v>L2025-00045-1/붙임3. 입찰서류(영문) 일체/Section 2 - Bid Data Sheet (BDS).docx</x:v>
      </x:c>
      <x:c r="AK156" s="25" t="str">
        <x:v>표 5 행 3</x:v>
      </x:c>
      <x:c r="AL156" s="25" t="str">
        <x:v>ist of the services for the construction of the project mentioned below: - New Construction of a Model School in Daratoo : Total Floor Area 6 , 000 M2. 42 class rooms . The Project site area is 27 , 500 M2 - New Construc</x:v>
      </x:c>
      <x:c r="AM156" s="25" t="str">
        <x:v>https://nebid.koica.go.kr/oep/lobi/localBidManageDetail.do?P_LOAZ_BID_PBLANC_NO=L2025-00045&amp;P_PBLANC_ODR=1</x:v>
      </x:c>
    </x:row>
    <x:row r="157">
      <x:c r="A157" s="22" t="str">
        <x:v>C</x:v>
      </x:c>
      <x:c r="B157" s="22" t="str">
        <x:v>2022-00598</x:v>
      </x:c>
      <x:c r="C157" s="22" t="str">
        <x:v>L2025-00047-1</x:v>
      </x:c>
      <x:c r="D157" s="22" t="str">
        <x:v>L2025-00047</x:v>
      </x:c>
      <x:c r="E157" s="22" t="str">
        <x:v>2025-06-21</x:v>
      </x:c>
      <x:c r="F157" s="22" t="str">
        <x:v>파키스탄</x:v>
      </x:c>
      <x:c r="G157" s="25" t="str">
        <x:v>파키스탄 국립섬유대학 산업용 섬유센터 설립사업 2차사업 공사</x:v>
      </x:c>
      <x:c r="H157" s="22" t="str">
        <x:v>공사</x:v>
      </x:c>
      <x:c r="I157" s="22" t="str">
        <x:v>WORKS</x:v>
      </x:c>
      <x:c r="J157" s="22" t="str">
        <x:v>WORKS_CEILING</x:v>
      </x:c>
      <x:c r="K157" s="22" t="str">
        <x:v>MATCH</x:v>
      </x:c>
      <x:c r="L157" s="22" t="str">
        <x:v>MATCH</x:v>
      </x:c>
      <x:c r="M157" s="34" t="n">
        <x:v>1964270</x:v>
      </x:c>
      <x:c r="N157" s="34" t="n">
        <x:v>1964270</x:v>
      </x:c>
      <x:c r="O157" s="22" t="str">
        <x:v>NOTICE_EXECUTION_CEILING</x:v>
      </x:c>
      <x:c r="P157" s="37" t="str">
        <x:f>IF(AND(M157&lt;&gt;"",N157&lt;&gt;"",O157&lt;&gt;"NOTICE_EXECUTION_CEILING"),M157/N157-1,"")</x:f>
      </x:c>
      <x:c r="Q157" s="31" t="n">
        <x:v>1980</x:v>
      </x:c>
      <x:c r="R157" s="22" t="str">
        <x:v>GFA</x:v>
      </x:c>
      <x:c r="S157" s="22" t="str">
        <x:v>SINGLE_OR_TOTAL</x:v>
      </x:c>
      <x:c r="T157" s="34" t="n">
        <x:f>IFERROR(N157/Q157,"")</x:f>
        <x:v>992.0555555555555</x:v>
      </x:c>
      <x:c r="U157" s="22" t="str">
        <x:v>V3_CURATED_AREA_COST_RECHECK</x:v>
      </x:c>
      <x:c r="V157" s="22" t="str">
        <x:v>초기 스크리닝만</x:v>
      </x:c>
      <x:c r="W157" s="28" t="n">
        <x:v>1</x:v>
      </x:c>
      <x:c r="X157" s="28" t="n">
        <x:v>1</x:v>
      </x:c>
      <x:c r="Y157" s="28" t="n">
        <x:v>1</x:v>
      </x:c>
      <x:c r="Z157" s="28" t="n">
        <x:v>0</x:v>
      </x:c>
      <x:c r="AA157" s="28" t="n">
        <x:v>27</x:v>
      </x:c>
      <x:c r="AB157" s="28" t="n">
        <x:v>1</x:v>
      </x:c>
      <x:c r="AC157" s="28" t="n">
        <x:v>1</x:v>
      </x:c>
      <x:c r="AD157" s="28" t="n">
        <x:v>1</x:v>
      </x:c>
      <x:c r="AE157" s="28" t="n">
        <x:v>0</x:v>
      </x:c>
      <x:c r="AF157" s="25" t="str">
        <x:v>동일/제한 범위 공사금액÷면적 스크리닝 근거</x:v>
      </x:c>
      <x:c r="AG157" s="25" t="str"/>
      <x:c r="AH157" s="25" t="str">
        <x:v>L2025-00014-1/Section 2-Bid Data Sheet.docx</x:v>
      </x:c>
      <x:c r="AI157" s="25" t="str">
        <x:v>표 4 행 7</x:v>
      </x:c>
      <x:c r="AJ157" s="25" t="str">
        <x:v>L2025-00014-1/Section 2-Bid Data Sheet.docx</x:v>
      </x:c>
      <x:c r="AK157" s="25" t="str">
        <x:v>표 4 행 7</x:v>
      </x:c>
      <x:c r="AL157" s="25" t="str">
        <x:v>동일 사업 감리공고 연면적 1,980.00㎡; 상세페이지 집행한도 USD 1,964,270; 산출단가 USD 992/㎡.</x:v>
      </x:c>
      <x:c r="AM157" s="25" t="str">
        <x:v>https://nebid.koica.go.kr/oep/lobi/localBidManageDetail.do?P_LOAZ_BID_PBLANC_NO=L2025-00047&amp;P_PBLANC_ODR=1</x:v>
      </x:c>
    </x:row>
    <x:row r="158">
      <x:c r="A158" s="22" t="str">
        <x:v>C</x:v>
      </x:c>
      <x:c r="B158" s="22" t="str">
        <x:v>2023-00067</x:v>
      </x:c>
      <x:c r="C158" s="22" t="str">
        <x:v>L2025-00052-1</x:v>
      </x:c>
      <x:c r="D158" s="22" t="str">
        <x:v>L2025-00052</x:v>
      </x:c>
      <x:c r="E158" s="22" t="str">
        <x:v>2025-07-04</x:v>
      </x:c>
      <x:c r="F158" s="22" t="str">
        <x:v>코트디부아르</x:v>
      </x:c>
      <x:c r="G158" s="25" t="str">
        <x:v>코트디부아르 펠릭스 우푸에 부아니대학교 ICT 교육역량 강화 및 ICT 혁신센터 설립사업 PETROCI 건물 리모델링 공사</x:v>
      </x:c>
      <x:c r="H158" s="22" t="str">
        <x:v>공사</x:v>
      </x:c>
      <x:c r="I158" s="22" t="str">
        <x:v>WORKS</x:v>
      </x:c>
      <x:c r="J158" s="22" t="str">
        <x:v>WORKS_CEILING</x:v>
      </x:c>
      <x:c r="K158" s="22" t="str">
        <x:v>MATCH</x:v>
      </x:c>
      <x:c r="L158" s="22" t="str">
        <x:v>MATCH</x:v>
      </x:c>
      <x:c r="M158" s="34" t="n">
        <x:v>1963286</x:v>
      </x:c>
      <x:c r="N158" s="34" t="n">
        <x:v>1963286</x:v>
      </x:c>
      <x:c r="O158" s="22" t="str">
        <x:v>NOTICE_EXECUTION_CEILING</x:v>
      </x:c>
      <x:c r="P158" s="37" t="str">
        <x:f>IF(AND(M158&lt;&gt;"",N158&lt;&gt;"",O158&lt;&gt;"NOTICE_EXECUTION_CEILING"),M158/N158-1,"")</x:f>
      </x:c>
      <x:c r="Q158" s="31" t="n">
        <x:v>1500</x:v>
      </x:c>
      <x:c r="R158" s="22" t="str">
        <x:v>GFA</x:v>
      </x:c>
      <x:c r="S158" s="22" t="str">
        <x:v>SINGLE_OR_TOTAL</x:v>
      </x:c>
      <x:c r="T158" s="34" t="n">
        <x:f>IFERROR(N158/Q158,"")</x:f>
        <x:v>1308.8573333333334</x:v>
      </x:c>
      <x:c r="U158" s="22" t="str">
        <x:v>V3_CURATED_AREA_COST_RECHECK</x:v>
      </x:c>
      <x:c r="V158" s="22" t="str">
        <x:v>초기 스크리닝만</x:v>
      </x:c>
      <x:c r="W158" s="28" t="n">
        <x:v>1</x:v>
      </x:c>
      <x:c r="X158" s="28" t="n">
        <x:v>1</x:v>
      </x:c>
      <x:c r="Y158" s="28" t="n">
        <x:v>1</x:v>
      </x:c>
      <x:c r="Z158" s="28" t="n">
        <x:v>0</x:v>
      </x:c>
      <x:c r="AA158" s="28" t="n">
        <x:v>27</x:v>
      </x:c>
      <x:c r="AB158" s="28" t="n">
        <x:v>1</x:v>
      </x:c>
      <x:c r="AC158" s="28" t="n">
        <x:v>0</x:v>
      </x:c>
      <x:c r="AD158" s="28" t="n">
        <x:v>0</x:v>
      </x:c>
      <x:c r="AE158" s="28" t="n">
        <x:v>0</x:v>
      </x:c>
      <x:c r="AF158" s="25" t="str">
        <x:v>동일/제한 범위 공사금액÷면적 스크리닝 근거</x:v>
      </x:c>
      <x:c r="AG158" s="25" t="str"/>
      <x:c r="AH158" s="25" t="str">
        <x:v>L2024-00056-2/Section 4 - Request for Proposal_코트디_ver.1.2_수정.docx</x:v>
      </x:c>
      <x:c r="AI158" s="25" t="str">
        <x:v>표 1 행 4</x:v>
      </x:c>
      <x:c r="AJ158" s="25" t="str">
        <x:v>L2024-00056-2/Section 4 - Request for Proposal_코트디_ver.1.2_수정.docx</x:v>
      </x:c>
      <x:c r="AK158" s="25" t="str">
        <x:v>표 1 행 4</x:v>
      </x:c>
      <x:c r="AL158" s="25" t="str">
        <x:v>동일 사업 선행공고 연면적 1,500.00㎡; 상세페이지 집행한도 USD 1,963,286; 산출단가 USD 1,309/㎡.</x:v>
      </x:c>
      <x:c r="AM158" s="25" t="str">
        <x:v>https://nebid.koica.go.kr/oep/lobi/localBidManageDetail.do?P_LOAZ_BID_PBLANC_NO=L2025-00052&amp;P_PBLANC_ODR=1</x:v>
      </x:c>
    </x:row>
    <x:row r="159">
      <x:c r="A159" s="22" t="str">
        <x:v>C?</x:v>
      </x:c>
      <x:c r="B159" s="22" t="str">
        <x:v>2020-00119</x:v>
      </x:c>
      <x:c r="C159" s="22" t="str">
        <x:v>L2025-00070-1</x:v>
      </x:c>
      <x:c r="D159" s="22" t="str">
        <x:v>L2025-00070</x:v>
      </x:c>
      <x:c r="E159" s="22" t="str">
        <x:v>2025-07-10</x:v>
      </x:c>
      <x:c r="F159" s="22" t="str">
        <x:v>이라크</x:v>
      </x:c>
      <x:c r="G159" s="25" t="str">
        <x:v>한-이라크 심장병 어린이 전문병원 신축공사</x:v>
      </x:c>
      <x:c r="H159" s="22" t="str">
        <x:v>공사</x:v>
      </x:c>
      <x:c r="I159" s="22" t="str">
        <x:v>WORKS</x:v>
      </x:c>
      <x:c r="J159" s="22" t="str">
        <x:v>WORKS_CEILING</x:v>
      </x:c>
      <x:c r="K159" s="22" t="str">
        <x:v>MATCH</x:v>
      </x:c>
      <x:c r="L159" s="22" t="str">
        <x:v>MATCH</x:v>
      </x:c>
      <x:c r="M159" s="34" t="n">
        <x:v>13292831</x:v>
      </x:c>
      <x:c r="N159" s="34" t="n">
        <x:v>13292831</x:v>
      </x:c>
      <x:c r="O159" s="22" t="str">
        <x:v>NOTICE_EXECUTION_CEILING</x:v>
      </x:c>
      <x:c r="P159" s="37" t="str">
        <x:f>IF(AND(M159&lt;&gt;"",N159&lt;&gt;"",O159&lt;&gt;"NOTICE_EXECUTION_CEILING"),M159/N159-1,"")</x:f>
      </x:c>
      <x:c r="Q159" s="31" t="n">
        <x:v>5486</x:v>
      </x:c>
      <x:c r="R159" s="22" t="str">
        <x:v>GFA</x:v>
      </x:c>
      <x:c r="S159" s="22" t="str">
        <x:v>AUTO_SELECTED_SINGLE_OR_TOTAL</x:v>
      </x:c>
      <x:c r="T159" s="34" t="n">
        <x:f>IFERROR(N159/Q159,"")</x:f>
        <x:v>2423.0461173897193</x:v>
      </x:c>
      <x:c r="U159" s="22" t="str">
        <x:v>V2R_HUMAN_REVIEWED_EXTRACTION</x:v>
      </x:c>
      <x:c r="V159" s="22" t="str">
        <x:v>초기 스크리닝만</x:v>
      </x:c>
      <x:c r="W159" s="28" t="n">
        <x:v>1</x:v>
      </x:c>
      <x:c r="X159" s="28" t="n">
        <x:v>0</x:v>
      </x:c>
      <x:c r="Y159" s="28" t="n">
        <x:v>0</x:v>
      </x:c>
      <x:c r="Z159" s="28" t="n">
        <x:v>0</x:v>
      </x:c>
      <x:c r="AA159" s="28" t="n">
        <x:v>40</x:v>
      </x:c>
      <x:c r="AB159" s="28" t="n">
        <x:v>31</x:v>
      </x:c>
      <x:c r="AC159" s="28" t="n">
        <x:v>33</x:v>
      </x:c>
      <x:c r="AD159" s="28" t="n">
        <x:v>25</x:v>
      </x:c>
      <x:c r="AE159" s="28" t="n">
        <x:v>8</x:v>
      </x:c>
      <x:c r="AF159" s="25" t="str">
        <x:v>범위 일치 잠정확인; 원본 V3 확인 전 직접 사용 금지</x:v>
      </x:c>
      <x:c r="AG159" s="25" t="str"/>
      <x:c r="AH159" s="25" t="str">
        <x:v>KOICA 입찰 상세페이지</x:v>
      </x:c>
      <x:c r="AI159" s="25" t="str">
        <x:v>집행한도금액(달러)</x:v>
      </x:c>
      <x:c r="AJ159" s="25" t="str">
        <x:v>L2025-00070-1/붙임3. 현지입찰 서류 및 계약서류(안)/IKHCC Section 2 - Bid Data Sheet (ITB) (English) revised final 250702.docx</x:v>
      </x:c>
      <x:c r="AK159" s="25" t="str">
        <x:v>표 2 행 7</x:v>
      </x:c>
      <x:c r="AL159" s="25" t="str">
        <x:v>- Gross floor area | 5,486 m2</x:v>
      </x:c>
      <x:c r="AM159" s="25" t="str">
        <x:v>https://nebid.koica.go.kr/oep/lobi/localBidManageDetail.do?P_LOAZ_BID_PBLANC_NO=L2025-00070&amp;P_PBLANC_ODR=1</x:v>
      </x:c>
    </x:row>
    <x:row r="160">
      <x:c r="A160" s="22" t="str">
        <x:v>B</x:v>
      </x:c>
      <x:c r="B160" s="22" t="str">
        <x:v>2022-00076</x:v>
      </x:c>
      <x:c r="C160" s="22" t="str">
        <x:v>L2025-00051-1</x:v>
      </x:c>
      <x:c r="D160" s="22" t="str">
        <x:v>L2025-00051</x:v>
      </x:c>
      <x:c r="E160" s="22" t="str">
        <x:v>2025-07-11</x:v>
      </x:c>
      <x:c r="F160" s="22" t="str">
        <x:v>피지</x:v>
      </x:c>
      <x:c r="G160" s="25" t="str">
        <x:v>피지 국립재활센터 신축 공사</x:v>
      </x:c>
      <x:c r="H160" s="22" t="str">
        <x:v>공사</x:v>
      </x:c>
      <x:c r="I160" s="22" t="str">
        <x:v>WORKS</x:v>
      </x:c>
      <x:c r="J160" s="22" t="str">
        <x:v>WORKS_CEILING</x:v>
      </x:c>
      <x:c r="K160" s="22" t="str">
        <x:v>PARTIAL_SCOPE</x:v>
      </x:c>
      <x:c r="L160" s="22" t="str">
        <x:v>PARTIAL_SCOPE</x:v>
      </x:c>
      <x:c r="M160" s="34" t="n">
        <x:v>6767312</x:v>
      </x:c>
      <x:c r="N160" s="34" t="n">
        <x:v>6767312</x:v>
      </x:c>
      <x:c r="O160" s="22" t="str">
        <x:v>NOTICE_EXECUTION_CEILING</x:v>
      </x:c>
      <x:c r="P160" s="37" t="str">
        <x:f>IF(AND(M160&lt;&gt;"",N160&lt;&gt;"",O160&lt;&gt;"NOTICE_EXECUTION_CEILING"),M160/N160-1,"")</x:f>
      </x:c>
      <x:c r="Q160" s="31" t="n">
        <x:v>2399</x:v>
      </x:c>
      <x:c r="R160" s="22" t="str">
        <x:v>GFA</x:v>
      </x:c>
      <x:c r="S160" s="22" t="str">
        <x:v>AUTO_SELECTED_SINGLE_OR_TOTAL</x:v>
      </x:c>
      <x:c r="T160" s="34" t="n">
        <x:f>IFERROR(N160/Q160,"")</x:f>
        <x:v>2820.888703626511</x:v>
      </x:c>
      <x:c r="U160" s="22" t="str">
        <x:v>V3_ORIGINAL_MANUAL</x:v>
      </x:c>
      <x:c r="V160" s="22" t="str">
        <x:v>현지단가 결합 수량모델</x:v>
      </x:c>
      <x:c r="W160" s="28" t="n">
        <x:v>0</x:v>
      </x:c>
      <x:c r="X160" s="28" t="n">
        <x:v>0</x:v>
      </x:c>
      <x:c r="Y160" s="28" t="n">
        <x:v>0</x:v>
      </x:c>
      <x:c r="Z160" s="28" t="n">
        <x:v>1</x:v>
      </x:c>
      <x:c r="AA160" s="28" t="n">
        <x:v>14</x:v>
      </x:c>
      <x:c r="AB160" s="28" t="n">
        <x:v>1</x:v>
      </x:c>
      <x:c r="AC160" s="28" t="n">
        <x:v>1</x:v>
      </x:c>
      <x:c r="AD160" s="28" t="n">
        <x:v>1</x:v>
      </x:c>
      <x:c r="AE160" s="28" t="n">
        <x:v>0</x:v>
      </x:c>
      <x:c r="AF160" s="25" t="str">
        <x:v>피지 국립재활센터 공종별 blank BOQ</x:v>
      </x:c>
      <x:c r="AG160" s="25" t="str">
        <x:v>Internal Area 2,399㎡ 외 부속시설 면적이 도면 참조로 미완성</x:v>
      </x:c>
      <x:c r="AH160" s="25" t="str">
        <x:v>KOICA 입찰 상세페이지</x:v>
      </x:c>
      <x:c r="AI160" s="25" t="str">
        <x:v>집행한도금액(달러)</x:v>
      </x:c>
      <x:c r="AJ160" s="25" t="str">
        <x:v>L2025-00051-1/Section 2 - Bid Data Sheet (BDS).hwp</x:v>
      </x:c>
      <x:c r="AK160" s="25" t="str">
        <x:v>문단 64</x:v>
      </x:c>
      <x:c r="AL160" s="25" t="str">
        <x:v>Internal Area 2,399㎡ + Ancillary facilities (refer to Drawings)</x:v>
      </x:c>
      <x:c r="AM160" s="25" t="str">
        <x:v>https://nebid.koica.go.kr/oep/lobi/localBidManageDetail.do?P_LOAZ_BID_PBLANC_NO=L2025-00051&amp;P_PBLANC_ODR=1</x:v>
      </x:c>
    </x:row>
    <x:row r="161">
      <x:c r="A161" s="22" t="str">
        <x:v>U</x:v>
      </x:c>
      <x:c r="B161" s="22" t="str">
        <x:v>2023-00008</x:v>
      </x:c>
      <x:c r="C161" s="22" t="str">
        <x:v>L2025-00056-1</x:v>
      </x:c>
      <x:c r="D161" s="22" t="str">
        <x:v>L2025-00056</x:v>
      </x:c>
      <x:c r="E161" s="22" t="str">
        <x:v>2025-08-01</x:v>
      </x:c>
      <x:c r="F161" s="22" t="str">
        <x:v>캄보디아</x:v>
      </x:c>
      <x:c r="G161" s="25" t="str">
        <x:v>캄보디아 직원훈련기관(TVET기관) ICT Lab 리모델링 설계·시공</x:v>
      </x:c>
      <x:c r="H161" s="22" t="str">
        <x:v>공사</x:v>
      </x:c>
      <x:c r="I161" s="22" t="str">
        <x:v>DESIGN_BUILD_WORKS</x:v>
      </x:c>
      <x:c r="J161" s="22" t="str">
        <x:v>WORKS_CEILING</x:v>
      </x:c>
      <x:c r="K161" s="22" t="str">
        <x:v>NO_MATCH</x:v>
      </x:c>
      <x:c r="L161" s="22" t="str">
        <x:v>NO_MATCH</x:v>
      </x:c>
      <x:c r="M161" s="34" t="n">
        <x:v>1343000</x:v>
      </x:c>
      <x:c r="N161" s="34" t="n">
        <x:v>1343000</x:v>
      </x:c>
      <x:c r="O161" s="22" t="str">
        <x:v>NOTICE_EXECUTION_CEILING</x:v>
      </x:c>
      <x:c r="P161" s="37" t="str">
        <x:f>IF(AND(M161&lt;&gt;"",N161&lt;&gt;"",O161&lt;&gt;"NOTICE_EXECUTION_CEILING"),M161/N161-1,"")</x:f>
      </x:c>
      <x:c r="Q161" s="31"/>
      <x:c r="R161" s="22" t="str">
        <x:v>QUALIFICATION_OR_OTHER_PROJECT</x:v>
      </x:c>
      <x:c r="S161" s="22" t="str">
        <x:v>NOT_APPLICABLE</x:v>
      </x:c>
      <x:c r="T161" s="34" t="str">
        <x:f>IFERROR(N161/Q161,"")</x:f>
      </x:c>
      <x:c r="U161" s="22" t="str">
        <x:v>V3_SCOPE_REVIEW</x:v>
      </x:c>
      <x:c r="V161" s="22" t="str">
        <x:v>계산 금지</x:v>
      </x:c>
      <x:c r="W161" s="28" t="n">
        <x:v>1</x:v>
      </x:c>
      <x:c r="X161" s="28" t="n">
        <x:v>1</x:v>
      </x:c>
      <x:c r="Y161" s="28" t="n">
        <x:v>0</x:v>
      </x:c>
      <x:c r="Z161" s="28" t="n">
        <x:v>0</x:v>
      </x:c>
      <x:c r="AA161" s="28" t="n">
        <x:v>25</x:v>
      </x:c>
      <x:c r="AB161" s="28" t="n">
        <x:v>0</x:v>
      </x:c>
      <x:c r="AC161" s="28" t="n">
        <x:v>0</x:v>
      </x:c>
      <x:c r="AD161" s="28" t="n">
        <x:v>0</x:v>
      </x:c>
      <x:c r="AE161" s="28" t="n">
        <x:v>0</x:v>
      </x:c>
      <x:c r="AF161" s="25" t="str">
        <x:v>공사 후보이나 유효 GFA 또는 같은 범위 금액이 없음</x:v>
      </x:c>
      <x:c r="AG161" s="25" t="str">
        <x:v>입찰업체 Company Profile의 타 사업 포트폴리오 면적</x:v>
      </x:c>
      <x:c r="AH161" s="25" t="str">
        <x:v>KOICA 입찰 상세페이지</x:v>
      </x:c>
      <x:c r="AI161" s="25" t="str">
        <x:v>집행한도금액(달러)</x:v>
      </x:c>
      <x:c r="AJ161" s="25" t="str">
        <x:v>L2025-00056-1/2-CACPM/2-CACPM/2.CACPM Company Profile.pdf</x:v>
      </x:c>
      <x:c r="AK161" s="25" t="str">
        <x:v>페이지 5</x:v>
      </x:c>
      <x:c r="AL161" s="25" t="str">
        <x:v>입찰업체 Company Profile의 타 사업 포트폴리오 면적</x:v>
      </x:c>
      <x:c r="AM161" s="25" t="str">
        <x:v>https://nebid.koica.go.kr/oep/lobi/localBidManageDetail.do?P_LOAZ_BID_PBLANC_NO=L2025-00056&amp;P_PBLANC_ODR=1</x:v>
      </x:c>
    </x:row>
    <x:row r="162">
      <x:c r="A162" s="22" t="str">
        <x:v>C</x:v>
      </x:c>
      <x:c r="B162" s="22" t="str">
        <x:v>2021-00042</x:v>
      </x:c>
      <x:c r="C162" s="22" t="str">
        <x:v>L2025-00062-1</x:v>
      </x:c>
      <x:c r="D162" s="22" t="str">
        <x:v>L2025-00062</x:v>
      </x:c>
      <x:c r="E162" s="22" t="str">
        <x:v>2025-08-06</x:v>
      </x:c>
      <x:c r="F162" s="22" t="str">
        <x:v>우간다</x:v>
      </x:c>
      <x:c r="G162" s="25" t="str">
        <x:v>우간다 농업지도자 연수원 자립적 운영체계구축 및 연수역량 강화사업 시범농장 신축 공사</x:v>
      </x:c>
      <x:c r="H162" s="22" t="str">
        <x:v>공사</x:v>
      </x:c>
      <x:c r="I162" s="22" t="str">
        <x:v>WORKS</x:v>
      </x:c>
      <x:c r="J162" s="22" t="str">
        <x:v>WORKS_CEILING</x:v>
      </x:c>
      <x:c r="K162" s="22" t="str">
        <x:v>MATCH</x:v>
      </x:c>
      <x:c r="L162" s="22" t="str">
        <x:v>MATCH</x:v>
      </x:c>
      <x:c r="M162" s="34" t="n">
        <x:v>1123590</x:v>
      </x:c>
      <x:c r="N162" s="34" t="n">
        <x:v>1123590</x:v>
      </x:c>
      <x:c r="O162" s="22" t="str">
        <x:v>NOTICE_EXECUTION_CEILING</x:v>
      </x:c>
      <x:c r="P162" s="37" t="str">
        <x:f>IF(AND(M162&lt;&gt;"",N162&lt;&gt;"",O162&lt;&gt;"NOTICE_EXECUTION_CEILING"),M162/N162-1,"")</x:f>
      </x:c>
      <x:c r="Q162" s="31" t="n">
        <x:v>2378.8</x:v>
      </x:c>
      <x:c r="R162" s="22" t="str">
        <x:v>FACILITY_OR_CAMPUS_AREA</x:v>
      </x:c>
      <x:c r="S162" s="22" t="str">
        <x:v>SUM_OR_MULTI</x:v>
      </x:c>
      <x:c r="T162" s="34" t="n">
        <x:f>IFERROR(N162/Q162,"")</x:f>
        <x:v>472.33479065074823</x:v>
      </x:c>
      <x:c r="U162" s="22" t="str">
        <x:v>V3_CURATED_AREA_COST_RECHECK</x:v>
      </x:c>
      <x:c r="V162" s="22" t="str">
        <x:v>초기 스크리닝만</x:v>
      </x:c>
      <x:c r="W162" s="28" t="n">
        <x:v>1</x:v>
      </x:c>
      <x:c r="X162" s="28" t="n">
        <x:v>1</x:v>
      </x:c>
      <x:c r="Y162" s="28" t="n">
        <x:v>1</x:v>
      </x:c>
      <x:c r="Z162" s="28" t="n">
        <x:v>0</x:v>
      </x:c>
      <x:c r="AA162" s="28" t="n">
        <x:v>17</x:v>
      </x:c>
      <x:c r="AB162" s="28" t="n">
        <x:v>0</x:v>
      </x:c>
      <x:c r="AC162" s="28" t="n">
        <x:v>0</x:v>
      </x:c>
      <x:c r="AD162" s="28" t="n">
        <x:v>0</x:v>
      </x:c>
      <x:c r="AE162" s="28" t="n">
        <x:v>0</x:v>
      </x:c>
      <x:c r="AF162" s="25" t="str">
        <x:v>동일/제한 범위 공사금액÷면적 스크리닝 근거</x:v>
      </x:c>
      <x:c r="AG162" s="25" t="str"/>
      <x:c r="AH162" s="25" t="str">
        <x:v>L2025-00062-1/1-2. 입찰공고문(영문)_시범농장 신축.docx</x:v>
      </x:c>
      <x:c r="AI162" s="25" t="str">
        <x:v>표 4 행 8</x:v>
      </x:c>
      <x:c r="AJ162" s="25" t="str">
        <x:v>L2025-00062-1/1-2. 입찰공고문(영문)_시범농장 신축.docx</x:v>
      </x:c>
      <x:c r="AK162" s="25" t="str">
        <x:v>표 4 행 8</x:v>
      </x:c>
      <x:c r="AL162" s="25" t="str">
        <x:v>동별 면적 합계 2,378.80㎡; 상세페이지 집행한도 USD 1,123,590; 산출단가 USD 472/㎡.</x:v>
      </x:c>
      <x:c r="AM162" s="25" t="str">
        <x:v>https://nebid.koica.go.kr/oep/lobi/localBidManageDetail.do?P_LOAZ_BID_PBLANC_NO=L2025-00062&amp;P_PBLANC_ODR=1</x:v>
      </x:c>
    </x:row>
    <x:row r="163">
      <x:c r="A163" s="22" t="str">
        <x:v>X</x:v>
      </x:c>
      <x:c r="B163" s="22" t="str">
        <x:v>2023-00087</x:v>
      </x:c>
      <x:c r="C163" s="22" t="str">
        <x:v>L2025-00045-2</x:v>
      </x:c>
      <x:c r="D163" s="22" t="str">
        <x:v>L2025-00045</x:v>
      </x:c>
      <x:c r="E163" s="22" t="str">
        <x:v>2025-08-28</x:v>
      </x:c>
      <x:c r="F163" s="22" t="str">
        <x:v>이라크</x:v>
      </x:c>
      <x:c r="G163" s="25" t="str">
        <x:v>“이라크 쿠르드 지역학교 내 난민통합교육 강화사업” 선도학교 및 교사연수센터 신축을 위한 설계 및 시공감리 업체 선정</x:v>
      </x:c>
      <x:c r="H163" s="22" t="str">
        <x:v>용역</x:v>
      </x:c>
      <x:c r="I163" s="22" t="str">
        <x:v>DESIGN_OR_SUPERVISION_SERVICE</x:v>
      </x:c>
      <x:c r="J163" s="22" t="str">
        <x:v>SERVICE_FEE_OR_MIXED</x:v>
      </x:c>
      <x:c r="K163" s="22" t="str">
        <x:v>NO_MATCH</x:v>
      </x:c>
      <x:c r="L163" s="22" t="str">
        <x:v>NO_MATCH</x:v>
      </x:c>
      <x:c r="M163" s="34" t="n">
        <x:v>411000</x:v>
      </x:c>
      <x:c r="N163" s="34"/>
      <x:c r="O163" s="22" t="str">
        <x:v>SERVICE_OR_GOODS_CEILING</x:v>
      </x:c>
      <x:c r="P163" s="37" t="str">
        <x:f>IF(AND(M163&lt;&gt;"",N163&lt;&gt;"",O163&lt;&gt;"NOTICE_EXECUTION_CEILING"),M163/N163-1,"")</x:f>
      </x:c>
      <x:c r="Q163" s="31" t="n">
        <x:v>6000</x:v>
      </x:c>
      <x:c r="R163" s="22" t="str">
        <x:v>GFA</x:v>
      </x:c>
      <x:c r="S163" s="22" t="str">
        <x:v>AUTO_SELECTED_SINGLE_OR_TOTAL</x:v>
      </x:c>
      <x:c r="T163" s="34" t="n">
        <x:f>IFERROR(N163/Q163,"")</x:f>
        <x:v>0</x:v>
      </x:c>
      <x:c r="U163" s="22" t="str">
        <x:v>V3_SCOPE_REVIEW</x:v>
      </x:c>
      <x:c r="V163" s="22" t="str">
        <x:v>계산 금지</x:v>
      </x:c>
      <x:c r="W163" s="28" t="n">
        <x:v>1</x:v>
      </x:c>
      <x:c r="X163" s="28" t="n">
        <x:v>1</x:v>
      </x:c>
      <x:c r="Y163" s="28" t="n">
        <x:v>0</x:v>
      </x:c>
      <x:c r="Z163" s="28" t="n">
        <x:v>0</x:v>
      </x:c>
      <x:c r="AA163" s="28" t="n">
        <x:v>15</x:v>
      </x:c>
      <x:c r="AB163" s="28" t="n">
        <x:v>0</x:v>
      </x:c>
      <x:c r="AC163" s="28" t="n">
        <x:v>0</x:v>
      </x:c>
      <x:c r="AD163" s="28" t="n">
        <x:v>0</x:v>
      </x:c>
      <x:c r="AE163" s="28" t="n">
        <x:v>0</x:v>
      </x:c>
      <x:c r="AF163" s="25" t="str">
        <x:v>설계·감리·기타 용역 집행한도는 건축공사비가 아님</x:v>
      </x:c>
      <x:c r="AG163" s="25" t="str"/>
      <x:c r="AH163" s="25" t="str">
        <x:v>KOICA 입찰 상세페이지</x:v>
      </x:c>
      <x:c r="AI163" s="25" t="str">
        <x:v>집행한도금액(달러)</x:v>
      </x:c>
      <x:c r="AJ163" s="25" t="str">
        <x:v>L2025-00045-2/붙임3. 영문 입찰서류(양식 등 포함)/Section 2 - Bid Data Sheet (BDS)_v2_250827(└╧┴ñ╝÷┴ñ).docx</x:v>
      </x:c>
      <x:c r="AK163" s="25" t="str">
        <x:v>표 5 행 3</x:v>
      </x:c>
      <x:c r="AL163" s="25" t="str">
        <x:v>ist of the services for the construction of the project mentioned below: - New Construction of a Model School in Daratoo : Total Floor Area 6 , 000 M2. 42 class rooms . The Project site area is 27 , 500 M2 - New Construc</x:v>
      </x:c>
      <x:c r="AM163" s="25" t="str">
        <x:v>https://nebid.koica.go.kr/oep/lobi/localBidManageDetail.do?P_LOAZ_BID_PBLANC_NO=L2025-00045&amp;P_PBLANC_ODR=2</x:v>
      </x:c>
    </x:row>
    <x:row r="164">
      <x:c r="A164" s="22" t="str">
        <x:v>C</x:v>
      </x:c>
      <x:c r="B164" s="22" t="str">
        <x:v>2020-00119</x:v>
      </x:c>
      <x:c r="C164" s="22" t="str">
        <x:v>L2025-00071-1</x:v>
      </x:c>
      <x:c r="D164" s="22" t="str">
        <x:v>L2025-00071</x:v>
      </x:c>
      <x:c r="E164" s="22" t="str">
        <x:v>2025-09-08</x:v>
      </x:c>
      <x:c r="F164" s="22" t="str">
        <x:v>이라크</x:v>
      </x:c>
      <x:c r="G164" s="25" t="str">
        <x:v>한-이라크 심장병 어린이 전문병원 신축공사(재공고)</x:v>
      </x:c>
      <x:c r="H164" s="22" t="str">
        <x:v>공사</x:v>
      </x:c>
      <x:c r="I164" s="22" t="str">
        <x:v>WORKS</x:v>
      </x:c>
      <x:c r="J164" s="22" t="str">
        <x:v>WORKS_CEILING</x:v>
      </x:c>
      <x:c r="K164" s="22" t="str">
        <x:v>MATCH</x:v>
      </x:c>
      <x:c r="L164" s="22" t="str">
        <x:v>MATCH</x:v>
      </x:c>
      <x:c r="M164" s="34" t="n">
        <x:v>13292831</x:v>
      </x:c>
      <x:c r="N164" s="34" t="n">
        <x:v>13292831</x:v>
      </x:c>
      <x:c r="O164" s="22" t="str">
        <x:v>NOTICE_EXECUTION_CEILING</x:v>
      </x:c>
      <x:c r="P164" s="37" t="str">
        <x:f>IF(AND(M164&lt;&gt;"",N164&lt;&gt;"",O164&lt;&gt;"NOTICE_EXECUTION_CEILING"),M164/N164-1,"")</x:f>
      </x:c>
      <x:c r="Q164" s="31" t="n">
        <x:v>5486</x:v>
      </x:c>
      <x:c r="R164" s="22" t="str">
        <x:v>GFA</x:v>
      </x:c>
      <x:c r="S164" s="22" t="str">
        <x:v>SINGLE_OR_TOTAL</x:v>
      </x:c>
      <x:c r="T164" s="34" t="n">
        <x:f>IFERROR(N164/Q164,"")</x:f>
        <x:v>2423.0461173897193</x:v>
      </x:c>
      <x:c r="U164" s="22" t="str">
        <x:v>V3_CURATED_AREA_COST_RECHECK</x:v>
      </x:c>
      <x:c r="V164" s="22" t="str">
        <x:v>초기 스크리닝만</x:v>
      </x:c>
      <x:c r="W164" s="28" t="n">
        <x:v>1</x:v>
      </x:c>
      <x:c r="X164" s="28" t="n">
        <x:v>0</x:v>
      </x:c>
      <x:c r="Y164" s="28" t="n">
        <x:v>1</x:v>
      </x:c>
      <x:c r="Z164" s="28" t="n">
        <x:v>0</x:v>
      </x:c>
      <x:c r="AA164" s="28" t="n">
        <x:v>39</x:v>
      </x:c>
      <x:c r="AB164" s="28" t="n">
        <x:v>30</x:v>
      </x:c>
      <x:c r="AC164" s="28" t="n">
        <x:v>32</x:v>
      </x:c>
      <x:c r="AD164" s="28" t="n">
        <x:v>24</x:v>
      </x:c>
      <x:c r="AE164" s="28" t="n">
        <x:v>13</x:v>
      </x:c>
      <x:c r="AF164" s="25" t="str">
        <x:v>동일/제한 범위 공사금액÷면적 스크리닝 근거</x:v>
      </x:c>
      <x:c r="AG164" s="25" t="str"/>
      <x:c r="AH164" s="25" t="str">
        <x:v>L2025-00071-1/붙임2. 현지입찰(재공고입찰) 서류 및 계약서류(안)/IKHCC Section 2 - Bid Data Sheet (ITB) (English) 250903_final.docx</x:v>
      </x:c>
      <x:c r="AI164" s="25" t="str">
        <x:v>표 2 행 7</x:v>
      </x:c>
      <x:c r="AJ164" s="25" t="str">
        <x:v>L2025-00071-1/붙임2. 현지입찰(재공고입찰) 서류 및 계약서류(안)/IKHCC Section 2 - Bid Data Sheet (ITB) (English) 250903_final.docx</x:v>
      </x:c>
      <x:c r="AK164" s="25" t="str">
        <x:v>표 2 행 7</x:v>
      </x:c>
      <x:c r="AL164" s="25" t="str">
        <x:v>총연면적 5,486.00㎡; 상세페이지 집행한도 USD 13,292,831; 산출단가 USD 2,423/㎡.</x:v>
      </x:c>
      <x:c r="AM164" s="25" t="str">
        <x:v>https://nebid.koica.go.kr/oep/lobi/localBidManageDetail.do?P_LOAZ_BID_PBLANC_NO=L2025-00071&amp;P_PBLANC_ODR=1</x:v>
      </x:c>
    </x:row>
    <x:row r="165">
      <x:c r="A165" s="22" t="str">
        <x:v>B</x:v>
      </x:c>
      <x:c r="B165" s="22" t="str">
        <x:v>2022-00027</x:v>
      </x:c>
      <x:c r="C165" s="22" t="str">
        <x:v>L2025-00073-1</x:v>
      </x:c>
      <x:c r="D165" s="22" t="str">
        <x:v>L2025-00073</x:v>
      </x:c>
      <x:c r="E165" s="22" t="str">
        <x:v>2025-09-08</x:v>
      </x:c>
      <x:c r="F165" s="22" t="str">
        <x:v>캄보디아</x:v>
      </x:c>
      <x:c r="G165" s="25" t="str">
        <x:v>캄보디아 국립어린이병원 내과계 병동건립 및 의료인력역량 강화사업 내과계 병동 신축공사 시공사 선정 입찰</x:v>
      </x:c>
      <x:c r="H165" s="22" t="str">
        <x:v>공사</x:v>
      </x:c>
      <x:c r="I165" s="22" t="str">
        <x:v>WORKS</x:v>
      </x:c>
      <x:c r="J165" s="22" t="str">
        <x:v>WORKS_CEILING</x:v>
      </x:c>
      <x:c r="K165" s="22" t="str">
        <x:v>MATCH</x:v>
      </x:c>
      <x:c r="L165" s="22" t="str">
        <x:v>MATCH</x:v>
      </x:c>
      <x:c r="M165" s="34" t="n">
        <x:v>11277000</x:v>
      </x:c>
      <x:c r="N165" s="34" t="n">
        <x:v>11277000</x:v>
      </x:c>
      <x:c r="O165" s="22" t="str">
        <x:v>NOTICE_EXECUTION_CEILING</x:v>
      </x:c>
      <x:c r="P165" s="37" t="str">
        <x:f>IF(AND(M165&lt;&gt;"",N165&lt;&gt;"",O165&lt;&gt;"NOTICE_EXECUTION_CEILING"),M165/N165-1,"")</x:f>
      </x:c>
      <x:c r="Q165" s="31" t="n">
        <x:v>9053</x:v>
      </x:c>
      <x:c r="R165" s="22" t="str">
        <x:v>GFA</x:v>
      </x:c>
      <x:c r="S165" s="22" t="str">
        <x:v>SINGLE_OR_TOTAL</x:v>
      </x:c>
      <x:c r="T165" s="34" t="n">
        <x:f>IFERROR(N165/Q165,"")</x:f>
        <x:v>1245.664420634044</x:v>
      </x:c>
      <x:c r="U165" s="22" t="str">
        <x:v>V3_ORIGINAL_MANUAL</x:v>
      </x:c>
      <x:c r="V165" s="22" t="str">
        <x:v>현지단가 결합 수량모델</x:v>
      </x:c>
      <x:c r="W165" s="28" t="n">
        <x:v>1</x:v>
      </x:c>
      <x:c r="X165" s="28" t="n">
        <x:v>1</x:v>
      </x:c>
      <x:c r="Y165" s="28" t="n">
        <x:v>1</x:v>
      </x:c>
      <x:c r="Z165" s="28" t="n">
        <x:v>1</x:v>
      </x:c>
      <x:c r="AA165" s="28" t="n">
        <x:v>9</x:v>
      </x:c>
      <x:c r="AB165" s="28" t="n">
        <x:v>1</x:v>
      </x:c>
      <x:c r="AC165" s="28" t="n">
        <x:v>1</x:v>
      </x:c>
      <x:c r="AD165" s="28" t="n">
        <x:v>1</x:v>
      </x:c>
      <x:c r="AE165" s="28" t="n">
        <x:v>0</x:v>
      </x:c>
      <x:c r="AF165" s="25" t="str">
        <x:v>국립소아병원 공종별 blank BOQ</x:v>
      </x:c>
      <x:c r="AG165" s="25" t="str"/>
      <x:c r="AH165" s="25" t="str">
        <x:v>L2025-00073-1/(붙임1) 입찰공고문(국문).pdf</x:v>
      </x:c>
      <x:c r="AI165" s="25" t="str">
        <x:v>페이지 5</x:v>
      </x:c>
      <x:c r="AJ165" s="25" t="str">
        <x:v>L2025-00073-1/(붙임1) 입찰공고문(국문).pdf</x:v>
      </x:c>
      <x:c r="AK165" s="25" t="str">
        <x:v>페이지 5</x:v>
      </x:c>
      <x:c r="AL165" s="25" t="str">
        <x:v>총연면적 9,053.00㎡; 상세페이지 집행한도 USD 11,277,000; 산출단가 USD 1,246/㎡.</x:v>
      </x:c>
      <x:c r="AM165" s="25" t="str">
        <x:v>https://nebid.koica.go.kr/oep/lobi/localBidManageDetail.do?P_LOAZ_BID_PBLANC_NO=L2025-00073&amp;P_PBLANC_ODR=1</x:v>
      </x:c>
    </x:row>
    <x:row r="166">
      <x:c r="A166" s="22" t="str">
        <x:v>B</x:v>
      </x:c>
      <x:c r="B166" s="22" t="str">
        <x:v>2022-00076</x:v>
      </x:c>
      <x:c r="C166" s="22" t="str">
        <x:v>L2025-00051-2</x:v>
      </x:c>
      <x:c r="D166" s="22" t="str">
        <x:v>L2025-00051</x:v>
      </x:c>
      <x:c r="E166" s="22" t="str">
        <x:v>2025-09-12</x:v>
      </x:c>
      <x:c r="F166" s="22" t="str">
        <x:v>피지</x:v>
      </x:c>
      <x:c r="G166" s="25" t="str">
        <x:v>피지 국립재활센터 신축 공사</x:v>
      </x:c>
      <x:c r="H166" s="22" t="str">
        <x:v>공사</x:v>
      </x:c>
      <x:c r="I166" s="22" t="str">
        <x:v>WORKS</x:v>
      </x:c>
      <x:c r="J166" s="22" t="str">
        <x:v>WORKS_CEILING</x:v>
      </x:c>
      <x:c r="K166" s="22" t="str">
        <x:v>PARTIAL_SCOPE</x:v>
      </x:c>
      <x:c r="L166" s="22" t="str">
        <x:v>PARTIAL_SCOPE</x:v>
      </x:c>
      <x:c r="M166" s="34" t="n">
        <x:v>6767312</x:v>
      </x:c>
      <x:c r="N166" s="34" t="n">
        <x:v>6767312</x:v>
      </x:c>
      <x:c r="O166" s="22" t="str">
        <x:v>NOTICE_EXECUTION_CEILING</x:v>
      </x:c>
      <x:c r="P166" s="37" t="str">
        <x:f>IF(AND(M166&lt;&gt;"",N166&lt;&gt;"",O166&lt;&gt;"NOTICE_EXECUTION_CEILING"),M166/N166-1,"")</x:f>
      </x:c>
      <x:c r="Q166" s="31" t="n">
        <x:v>2686.4</x:v>
      </x:c>
      <x:c r="R166" s="22" t="str">
        <x:v>GFA</x:v>
      </x:c>
      <x:c r="S166" s="22" t="str">
        <x:v>SUM_OR_MULTI</x:v>
      </x:c>
      <x:c r="T166" s="34" t="n">
        <x:f>IFERROR(N166/Q166,"")</x:f>
        <x:v>2519.1006551518763</x:v>
      </x:c>
      <x:c r="U166" s="22" t="str">
        <x:v>V3_ORIGINAL_MANUAL</x:v>
      </x:c>
      <x:c r="V166" s="22" t="str">
        <x:v>현지단가 결합 수량모델</x:v>
      </x:c>
      <x:c r="W166" s="28" t="n">
        <x:v>1</x:v>
      </x:c>
      <x:c r="X166" s="28" t="n">
        <x:v>1</x:v>
      </x:c>
      <x:c r="Y166" s="28" t="n">
        <x:v>1</x:v>
      </x:c>
      <x:c r="Z166" s="28" t="n">
        <x:v>1</x:v>
      </x:c>
      <x:c r="AA166" s="28" t="n">
        <x:v>16</x:v>
      </x:c>
      <x:c r="AB166" s="28" t="n">
        <x:v>2</x:v>
      </x:c>
      <x:c r="AC166" s="28" t="n">
        <x:v>1</x:v>
      </x:c>
      <x:c r="AD166" s="28" t="n">
        <x:v>1</x:v>
      </x:c>
      <x:c r="AE166" s="28" t="n">
        <x:v>0</x:v>
      </x:c>
      <x:c r="AF166" s="25" t="str">
        <x:v>재공고의 동일 피지 blank BOQ; 한 표본으로 처리</x:v>
      </x:c>
      <x:c r="AG166" s="25" t="str">
        <x:v>Internal Area 2,399㎡ 외 부속시설 면적이 도면 참조로 미완성</x:v>
      </x:c>
      <x:c r="AH166" s="25" t="str">
        <x:v>L2023-00038-1/2. 현지입찰 첨부문서 묶음/Addendum_No.1_Scope_of_the_services.docx</x:v>
      </x:c>
      <x:c r="AI166" s="25" t="str">
        <x:v>표 1 행 3</x:v>
      </x:c>
      <x:c r="AJ166" s="25" t="str">
        <x:v>L2023-00038-1/2. 현지입찰 첨부문서 묶음/Addendum_No.1_Scope_of_the_services.docx</x:v>
      </x:c>
      <x:c r="AK166" s="25" t="str">
        <x:v>표 1 행 3</x:v>
      </x:c>
      <x:c r="AL166" s="25" t="str">
        <x:v>상세 공간계획 합계 2,686.40㎡; 상세페이지 집행한도 USD 6,767,312; 산출단가 USD 2,519/㎡.</x:v>
      </x:c>
      <x:c r="AM166" s="25" t="str">
        <x:v>https://nebid.koica.go.kr/oep/lobi/localBidManageDetail.do?P_LOAZ_BID_PBLANC_NO=L2025-00051&amp;P_PBLANC_ODR=2</x:v>
      </x:c>
    </x:row>
    <x:row r="167">
      <x:c r="A167" s="22" t="str">
        <x:v>X</x:v>
      </x:c>
      <x:c r="B167" s="22" t="str">
        <x:v>2022-00069</x:v>
      </x:c>
      <x:c r="C167" s="22" t="str">
        <x:v>L2025-00075-1</x:v>
      </x:c>
      <x:c r="D167" s="22" t="str">
        <x:v>L2025-00075</x:v>
      </x:c>
      <x:c r="E167" s="22" t="str">
        <x:v>2025-09-13</x:v>
      </x:c>
      <x:c r="F167" s="22" t="str">
        <x:v>필리핀</x:v>
      </x:c>
      <x:c r="G167" s="25" t="str">
        <x:v>(긴급) 필리핀 기마라스주 해수양식센터 건립 설계 용역업체 선정</x:v>
      </x:c>
      <x:c r="H167" s="22" t="str">
        <x:v>용역</x:v>
      </x:c>
      <x:c r="I167" s="22" t="str">
        <x:v>DESIGN_OR_SUPERVISION_SERVICE</x:v>
      </x:c>
      <x:c r="J167" s="22" t="str">
        <x:v>SERVICE_FEE_OR_MIXED</x:v>
      </x:c>
      <x:c r="K167" s="22" t="str">
        <x:v>NO_MATCH</x:v>
      </x:c>
      <x:c r="L167" s="22" t="str">
        <x:v>NO_MATCH</x:v>
      </x:c>
      <x:c r="M167" s="34" t="n">
        <x:v>153695</x:v>
      </x:c>
      <x:c r="N167" s="34"/>
      <x:c r="O167" s="22" t="str">
        <x:v>SERVICE_OR_GOODS_CEILING</x:v>
      </x:c>
      <x:c r="P167" s="37" t="str">
        <x:f>IF(AND(M167&lt;&gt;"",N167&lt;&gt;"",O167&lt;&gt;"NOTICE_EXECUTION_CEILING"),M167/N167-1,"")</x:f>
      </x:c>
      <x:c r="Q167" s="31" t="n">
        <x:v>8722.56</x:v>
      </x:c>
      <x:c r="R167" s="22" t="str">
        <x:v>GFA</x:v>
      </x:c>
      <x:c r="S167" s="22" t="str">
        <x:v>AUTO_SELECTED_SINGLE_OR_TOTAL</x:v>
      </x:c>
      <x:c r="T167" s="34" t="n">
        <x:f>IFERROR(N167/Q167,"")</x:f>
        <x:v>0</x:v>
      </x:c>
      <x:c r="U167" s="22" t="str">
        <x:v>V3_SCOPE_REVIEW</x:v>
      </x:c>
      <x:c r="V167" s="22" t="str">
        <x:v>계산 금지</x:v>
      </x:c>
      <x:c r="W167" s="28" t="n">
        <x:v>1</x:v>
      </x:c>
      <x:c r="X167" s="28" t="n">
        <x:v>0</x:v>
      </x:c>
      <x:c r="Y167" s="28" t="n">
        <x:v>0</x:v>
      </x:c>
      <x:c r="Z167" s="28" t="n">
        <x:v>0</x:v>
      </x:c>
      <x:c r="AA167" s="28" t="n">
        <x:v>14</x:v>
      </x:c>
      <x:c r="AB167" s="28" t="n">
        <x:v>0</x:v>
      </x:c>
      <x:c r="AC167" s="28" t="n">
        <x:v>0</x:v>
      </x:c>
      <x:c r="AD167" s="28" t="n">
        <x:v>0</x:v>
      </x:c>
      <x:c r="AE167" s="28" t="n">
        <x:v>0</x:v>
      </x:c>
      <x:c r="AF167" s="25" t="str">
        <x:v>설계·감리·기타 용역 집행한도는 건축공사비가 아님</x:v>
      </x:c>
      <x:c r="AG167" s="25" t="str"/>
      <x:c r="AH167" s="25" t="str">
        <x:v>KOICA 입찰 상세페이지</x:v>
      </x:c>
      <x:c r="AI167" s="25" t="str">
        <x:v>집행한도금액(달러)</x:v>
      </x:c>
      <x:c r="AJ167" s="25" t="str">
        <x:v>L2025-00075-1/Section 2 - Bid Data Sheet (BDS)_20250913_fin.docx</x:v>
      </x:c>
      <x:c r="AK167" s="25" t="str">
        <x:v>표 4 행 3</x:v>
      </x:c>
      <x:c r="AL167" s="25" t="str">
        <x:v> DWGs) - CD (Construction DWGs) Work No2. Size of the Project - Total Floor Area: 2,040 ㎡ , a building of 3-storey - Total Pilot Pond Area: 8,722.56 ㎡ , Internal Dikes Work No3. Output - DWGs (Soft Copy &amp; 5 sets Hard Cop</x:v>
      </x:c>
      <x:c r="AM167" s="25" t="str">
        <x:v>https://nebid.koica.go.kr/oep/lobi/localBidManageDetail.do?P_LOAZ_BID_PBLANC_NO=L2025-00075&amp;P_PBLANC_ODR=1</x:v>
      </x:c>
    </x:row>
    <x:row r="168">
      <x:c r="A168" s="22" t="str">
        <x:v>C-부분</x:v>
      </x:c>
      <x:c r="B168" s="22" t="str">
        <x:v>2023-00004</x:v>
      </x:c>
      <x:c r="C168" s="22" t="str">
        <x:v>L2025-00078-1</x:v>
      </x:c>
      <x:c r="D168" s="22" t="str">
        <x:v>L2025-00078</x:v>
      </x:c>
      <x:c r="E168" s="22" t="str">
        <x:v>2025-09-26</x:v>
      </x:c>
      <x:c r="F168" s="22" t="str">
        <x:v>볼리비아</x:v>
      </x:c>
      <x:c r="G168" s="25" t="str">
        <x:v>볼리비아 엘알또 모성보건센터 신축/증축/보수 공사 설계사 선정</x:v>
      </x:c>
      <x:c r="H168" s="22" t="str">
        <x:v>용역</x:v>
      </x:c>
      <x:c r="I168" s="22" t="str">
        <x:v>DESIGN_OR_SUPERVISION_SERVICE</x:v>
      </x:c>
      <x:c r="J168" s="22" t="str">
        <x:v>SERVICE_FEE_OR_MIXED</x:v>
      </x:c>
      <x:c r="K168" s="22" t="str">
        <x:v>NO_MATCH</x:v>
      </x:c>
      <x:c r="L168" s="22" t="str">
        <x:v>PARTIAL_ATTACHMENT_CONSTRUCTION_BUDGET</x:v>
      </x:c>
      <x:c r="M168" s="34" t="n">
        <x:v>196500</x:v>
      </x:c>
      <x:c r="N168" s="34" t="n">
        <x:v>3226604</x:v>
      </x:c>
      <x:c r="O168" s="22" t="str">
        <x:v>DESIGN_ESTIMATE</x:v>
      </x:c>
      <x:c r="P168" s="37" t="n">
        <x:f>IF(AND(M168&lt;&gt;"",N168&lt;&gt;"",O168&lt;&gt;"NOTICE_EXECUTION_CEILING"),M168/N168-1,"")</x:f>
        <x:v>-0.9391000569019315</x:v>
      </x:c>
      <x:c r="Q168" s="31" t="n">
        <x:v>1600</x:v>
      </x:c>
      <x:c r="R168" s="22" t="str">
        <x:v>GFA</x:v>
      </x:c>
      <x:c r="S168" s="22" t="str">
        <x:v>SINGLE_OR_TOTAL</x:v>
      </x:c>
      <x:c r="T168" s="34" t="n">
        <x:f>IFERROR(N168/Q168,"")</x:f>
        <x:v>2016.6275</x:v>
      </x:c>
      <x:c r="U168" s="22" t="str">
        <x:v>V3_CURATED_AREA_COST_RECHECK</x:v>
      </x:c>
      <x:c r="V168" s="22" t="str">
        <x:v>초기 스크리닝만</x:v>
      </x:c>
      <x:c r="W168" s="28" t="n">
        <x:v>1</x:v>
      </x:c>
      <x:c r="X168" s="28" t="n">
        <x:v>1</x:v>
      </x:c>
      <x:c r="Y168" s="28" t="n">
        <x:v>1</x:v>
      </x:c>
      <x:c r="Z168" s="28" t="n">
        <x:v>0</x:v>
      </x:c>
      <x:c r="AA168" s="28" t="n">
        <x:v>3</x:v>
      </x:c>
      <x:c r="AB168" s="28" t="n">
        <x:v>0</x:v>
      </x:c>
      <x:c r="AC168" s="28" t="n">
        <x:v>0</x:v>
      </x:c>
      <x:c r="AD168" s="28" t="n">
        <x:v>0</x:v>
      </x:c>
      <x:c r="AE168" s="28" t="n">
        <x:v>0</x:v>
      </x:c>
      <x:c r="AF168" s="25" t="str">
        <x:v>동일/제한 범위 공사금액÷면적 스크리닝 근거</x:v>
      </x:c>
      <x:c r="AG168" s="25" t="str"/>
      <x:c r="AH168" s="25" t="str">
        <x:v>L2025-00078-1/1. 국문 입찰계획서.hwp</x:v>
      </x:c>
      <x:c r="AI168" s="25" t="str">
        <x:v>문단 14·16·80</x:v>
      </x:c>
      <x:c r="AJ168" s="25" t="str">
        <x:v>L2025-00078-1/1. 국문 입찰계획서.hwp</x:v>
      </x:c>
      <x:c r="AK168" s="25" t="str">
        <x:v>문단 14·16·80</x:v>
      </x:c>
      <x:c r="AL168" s="25" t="str">
        <x:v>두 시설 연면적 1,080㎡와 520㎡, 추정 건축공사비 USD 3,226,604.</x:v>
      </x:c>
      <x:c r="AM168" s="25" t="str">
        <x:v>https://nebid.koica.go.kr/oep/lobi/localBidManageDetail.do?P_LOAZ_BID_PBLANC_NO=L2025-00078&amp;P_PBLANC_ODR=1</x:v>
      </x:c>
    </x:row>
    <x:row r="169">
      <x:c r="A169" s="22" t="str">
        <x:v>C</x:v>
      </x:c>
      <x:c r="B169" s="22" t="str">
        <x:v>2022-00064</x:v>
      </x:c>
      <x:c r="C169" s="22" t="str">
        <x:v>L2025-00084-1</x:v>
      </x:c>
      <x:c r="D169" s="22" t="str">
        <x:v>L2025-00084</x:v>
      </x:c>
      <x:c r="E169" s="22" t="str">
        <x:v>2025-09-29</x:v>
      </x:c>
      <x:c r="F169" s="22" t="str">
        <x:v>우간다</x:v>
      </x:c>
      <x:c r="G169" s="25" t="str">
        <x:v>우간다 마케레레 대학 원격교육 조성사업 신축 공사</x:v>
      </x:c>
      <x:c r="H169" s="22" t="str">
        <x:v>공사</x:v>
      </x:c>
      <x:c r="I169" s="22" t="str">
        <x:v>WORKS</x:v>
      </x:c>
      <x:c r="J169" s="22" t="str">
        <x:v>WORKS_CEILING</x:v>
      </x:c>
      <x:c r="K169" s="22" t="str">
        <x:v>MATCH</x:v>
      </x:c>
      <x:c r="L169" s="22" t="str">
        <x:v>MATCH</x:v>
      </x:c>
      <x:c r="M169" s="34" t="n">
        <x:v>4383000</x:v>
      </x:c>
      <x:c r="N169" s="34" t="n">
        <x:v>4383000</x:v>
      </x:c>
      <x:c r="O169" s="22" t="str">
        <x:v>NOTICE_EXECUTION_CEILING</x:v>
      </x:c>
      <x:c r="P169" s="37" t="str">
        <x:f>IF(AND(M169&lt;&gt;"",N169&lt;&gt;"",O169&lt;&gt;"NOTICE_EXECUTION_CEILING"),M169/N169-1,"")</x:f>
      </x:c>
      <x:c r="Q169" s="31" t="n">
        <x:v>4040</x:v>
      </x:c>
      <x:c r="R169" s="22" t="str">
        <x:v>GFA</x:v>
      </x:c>
      <x:c r="S169" s="22" t="str">
        <x:v>SINGLE_OR_TOTAL</x:v>
      </x:c>
      <x:c r="T169" s="34" t="n">
        <x:f>IFERROR(N169/Q169,"")</x:f>
        <x:v>1084.90099009901</x:v>
      </x:c>
      <x:c r="U169" s="22" t="str">
        <x:v>V3_CURATED_AREA_COST_RECHECK</x:v>
      </x:c>
      <x:c r="V169" s="22" t="str">
        <x:v>초기 스크리닝만</x:v>
      </x:c>
      <x:c r="W169" s="28" t="n">
        <x:v>1</x:v>
      </x:c>
      <x:c r="X169" s="28" t="n">
        <x:v>1</x:v>
      </x:c>
      <x:c r="Y169" s="28" t="n">
        <x:v>1</x:v>
      </x:c>
      <x:c r="Z169" s="28" t="n">
        <x:v>0</x:v>
      </x:c>
      <x:c r="AA169" s="28" t="n">
        <x:v>1</x:v>
      </x:c>
      <x:c r="AB169" s="28" t="n">
        <x:v>0</x:v>
      </x:c>
      <x:c r="AC169" s="28" t="n">
        <x:v>0</x:v>
      </x:c>
      <x:c r="AD169" s="28" t="n">
        <x:v>0</x:v>
      </x:c>
      <x:c r="AE169" s="28" t="n">
        <x:v>0</x:v>
      </x:c>
      <x:c r="AF169" s="25" t="str">
        <x:v>동일/제한 범위 공사금액÷면적 스크리닝 근거</x:v>
      </x:c>
      <x:c r="AG169" s="25" t="str"/>
      <x:c r="AH169" s="25" t="str">
        <x:v>L2025-00084-1/Section 2 - Bid Data Sheet (EN)_vr8.docx</x:v>
      </x:c>
      <x:c r="AI169" s="25" t="str">
        <x:v>표 4 행 9</x:v>
      </x:c>
      <x:c r="AJ169" s="25" t="str">
        <x:v>L2025-00084-1/Section 2 - Bid Data Sheet (EN)_vr8.docx</x:v>
      </x:c>
      <x:c r="AK169" s="25" t="str">
        <x:v>표 4 행 9</x:v>
      </x:c>
      <x:c r="AL169" s="25" t="str">
        <x:v>총연면적 4,040.00㎡; 상세페이지 집행한도 USD 4,383,000; 산출단가 USD 1,085/㎡.</x:v>
      </x:c>
      <x:c r="AM169" s="25" t="str">
        <x:v>https://nebid.koica.go.kr/oep/lobi/localBidManageDetail.do?P_LOAZ_BID_PBLANC_NO=L2025-00084&amp;P_PBLANC_ODR=1</x:v>
      </x:c>
    </x:row>
    <x:row r="170">
      <x:c r="A170" s="22" t="str">
        <x:v>A-부분</x:v>
      </x:c>
      <x:c r="B170" s="22" t="str">
        <x:v>2020-00119</x:v>
      </x:c>
      <x:c r="C170" s="22" t="str">
        <x:v>L2025-00085-1</x:v>
      </x:c>
      <x:c r="D170" s="22" t="str">
        <x:v>L2025-00085</x:v>
      </x:c>
      <x:c r="E170" s="22" t="str">
        <x:v>2025-10-06</x:v>
      </x:c>
      <x:c r="F170" s="22" t="str">
        <x:v>이라크</x:v>
      </x:c>
      <x:c r="G170" s="25" t="str">
        <x:v>(긴급) 한-이라크 심장병 어린이 전문 병원 신축공사(신규입찰)</x:v>
      </x:c>
      <x:c r="H170" s="22" t="str">
        <x:v>공사</x:v>
      </x:c>
      <x:c r="I170" s="22" t="str">
        <x:v>WORKS</x:v>
      </x:c>
      <x:c r="J170" s="22" t="str">
        <x:v>WORKS_CEILING</x:v>
      </x:c>
      <x:c r="K170" s="22" t="str">
        <x:v>MATCH</x:v>
      </x:c>
      <x:c r="L170" s="22" t="str">
        <x:v>MATCH</x:v>
      </x:c>
      <x:c r="M170" s="34" t="n">
        <x:v>13292831</x:v>
      </x:c>
      <x:c r="N170" s="34" t="n">
        <x:v>13292831</x:v>
      </x:c>
      <x:c r="O170" s="22" t="str">
        <x:v>NOTICE_EXECUTION_CEILING</x:v>
      </x:c>
      <x:c r="P170" s="37" t="str">
        <x:f>IF(AND(M170&lt;&gt;"",N170&lt;&gt;"",O170&lt;&gt;"NOTICE_EXECUTION_CEILING"),M170/N170-1,"")</x:f>
      </x:c>
      <x:c r="Q170" s="31" t="n">
        <x:v>5486</x:v>
      </x:c>
      <x:c r="R170" s="22" t="str">
        <x:v>GFA</x:v>
      </x:c>
      <x:c r="S170" s="22" t="str">
        <x:v>AUTO_SELECTED_SINGLE_OR_TOTAL</x:v>
      </x:c>
      <x:c r="T170" s="34" t="n">
        <x:f>IFERROR(N170/Q170,"")</x:f>
        <x:v>2423.0461173897193</x:v>
      </x:c>
      <x:c r="U170" s="22" t="str">
        <x:v>V3_ORIGINAL_MANUAL</x:v>
      </x:c>
      <x:c r="V170" s="22" t="str">
        <x:v>검증된 부분 Bill만</x:v>
      </x:c>
      <x:c r="W170" s="28" t="n">
        <x:v>1</x:v>
      </x:c>
      <x:c r="X170" s="28" t="n">
        <x:v>1</x:v>
      </x:c>
      <x:c r="Y170" s="28" t="n">
        <x:v>0</x:v>
      </x:c>
      <x:c r="Z170" s="28" t="n">
        <x:v>1</x:v>
      </x:c>
      <x:c r="AA170" s="28" t="n">
        <x:v>40</x:v>
      </x:c>
      <x:c r="AB170" s="28" t="n">
        <x:v>30</x:v>
      </x:c>
      <x:c r="AC170" s="28" t="n">
        <x:v>32</x:v>
      </x:c>
      <x:c r="AD170" s="28" t="n">
        <x:v>24</x:v>
      </x:c>
      <x:c r="AE170" s="28" t="n">
        <x:v>13</x:v>
      </x:c>
      <x:c r="AF170" s="25" t="str">
        <x:v>건축 Bill No.01만 숨김 설계단가와 결합; 타 공종 제외</x:v>
      </x:c>
      <x:c r="AG170" s="25" t="str"/>
      <x:c r="AH170" s="25" t="str">
        <x:v>KOICA 입찰 상세페이지</x:v>
      </x:c>
      <x:c r="AI170" s="25" t="str">
        <x:v>집행한도금액(달러)</x:v>
      </x:c>
      <x:c r="AJ170" s="25" t="str">
        <x:v>L2025-00085-1/붙임2. 현지입찰(신규입찰) 서류 및 계약서류(안)/IKHCC Section 2 - Bid Data Sheet (ITB) (English) 250930 final★.docx</x:v>
      </x:c>
      <x:c r="AK170" s="25" t="str">
        <x:v>표 2 행 7</x:v>
      </x:c>
      <x:c r="AL170" s="25" t="str">
        <x:v>- Gross floor area | 5,486 m2</x:v>
      </x:c>
      <x:c r="AM170" s="25" t="str">
        <x:v>https://nebid.koica.go.kr/oep/lobi/localBidManageDetail.do?P_LOAZ_BID_PBLANC_NO=L2025-00085&amp;P_PBLANC_ODR=1</x:v>
      </x:c>
    </x:row>
    <x:row r="171">
      <x:c r="A171" s="22" t="str">
        <x:v>X</x:v>
      </x:c>
      <x:c r="B171" s="22" t="str">
        <x:v>2022-00069</x:v>
      </x:c>
      <x:c r="C171" s="22" t="str">
        <x:v>L2025-00094-1</x:v>
      </x:c>
      <x:c r="D171" s="22" t="str">
        <x:v>L2025-00094</x:v>
      </x:c>
      <x:c r="E171" s="22" t="str">
        <x:v>2025-10-22</x:v>
      </x:c>
      <x:c r="F171" s="22" t="str">
        <x:v>필리핀</x:v>
      </x:c>
      <x:c r="G171" s="25" t="str">
        <x:v>[재공고][긴급] 필리핀 기마라스주 해수양식센터 건립 설계 용역업체 선정</x:v>
      </x:c>
      <x:c r="H171" s="22" t="str">
        <x:v>용역</x:v>
      </x:c>
      <x:c r="I171" s="22" t="str">
        <x:v>DESIGN_OR_SUPERVISION_SERVICE</x:v>
      </x:c>
      <x:c r="J171" s="22" t="str">
        <x:v>SERVICE_FEE_OR_MIXED</x:v>
      </x:c>
      <x:c r="K171" s="22" t="str">
        <x:v>NO_MATCH</x:v>
      </x:c>
      <x:c r="L171" s="22" t="str">
        <x:v>NO_MATCH</x:v>
      </x:c>
      <x:c r="M171" s="34" t="n">
        <x:v>153695</x:v>
      </x:c>
      <x:c r="N171" s="34"/>
      <x:c r="O171" s="22" t="str">
        <x:v>SERVICE_OR_GOODS_CEILING</x:v>
      </x:c>
      <x:c r="P171" s="37" t="str">
        <x:f>IF(AND(M171&lt;&gt;"",N171&lt;&gt;"",O171&lt;&gt;"NOTICE_EXECUTION_CEILING"),M171/N171-1,"")</x:f>
      </x:c>
      <x:c r="Q171" s="31" t="n">
        <x:v>8722.56</x:v>
      </x:c>
      <x:c r="R171" s="22" t="str">
        <x:v>GFA</x:v>
      </x:c>
      <x:c r="S171" s="22" t="str">
        <x:v>AUTO_SELECTED_SINGLE_OR_TOTAL</x:v>
      </x:c>
      <x:c r="T171" s="34" t="n">
        <x:f>IFERROR(N171/Q171,"")</x:f>
        <x:v>0</x:v>
      </x:c>
      <x:c r="U171" s="22" t="str">
        <x:v>V3_SCOPE_REVIEW</x:v>
      </x:c>
      <x:c r="V171" s="22" t="str">
        <x:v>계산 금지</x:v>
      </x:c>
      <x:c r="W171" s="28" t="n">
        <x:v>1</x:v>
      </x:c>
      <x:c r="X171" s="28" t="n">
        <x:v>1</x:v>
      </x:c>
      <x:c r="Y171" s="28" t="n">
        <x:v>0</x:v>
      </x:c>
      <x:c r="Z171" s="28" t="n">
        <x:v>0</x:v>
      </x:c>
      <x:c r="AA171" s="28" t="n">
        <x:v>15</x:v>
      </x:c>
      <x:c r="AB171" s="28" t="n">
        <x:v>0</x:v>
      </x:c>
      <x:c r="AC171" s="28" t="n">
        <x:v>0</x:v>
      </x:c>
      <x:c r="AD171" s="28" t="n">
        <x:v>0</x:v>
      </x:c>
      <x:c r="AE171" s="28" t="n">
        <x:v>0</x:v>
      </x:c>
      <x:c r="AF171" s="25" t="str">
        <x:v>설계·감리·기타 용역 집행한도는 건축공사비가 아님</x:v>
      </x:c>
      <x:c r="AG171" s="25" t="str"/>
      <x:c r="AH171" s="25" t="str">
        <x:v>KOICA 입찰 상세페이지</x:v>
      </x:c>
      <x:c r="AI171" s="25" t="str">
        <x:v>집행한도금액(달러)</x:v>
      </x:c>
      <x:c r="AJ171" s="25" t="str">
        <x:v>L2025-00094-1/ReBidding Documents (Guimaras_Design) 1022v2/ReBidding Documents (Guimaras_Design) 1022/Section 2 - Bid Data Sheet (BDS)_20251020v5.docx</x:v>
      </x:c>
      <x:c r="AK171" s="25" t="str">
        <x:v>표 4 행 3</x:v>
      </x:c>
      <x:c r="AL171" s="25" t="str">
        <x:v> DWGs) - CD (Construction DWGs) Work No2. Size of the Project - Total Floor Area: 2,040 ㎡ , a building of 3-storey - Total Pilot Pond Area: 8,722.56 ㎡ , Internal Dikes Work No3. Output - DWGs (Soft Copy &amp; 5 sets Hard Cop</x:v>
      </x:c>
      <x:c r="AM171" s="25" t="str">
        <x:v>https://nebid.koica.go.kr/oep/lobi/localBidManageDetail.do?P_LOAZ_BID_PBLANC_NO=L2025-00094&amp;P_PBLANC_ODR=1</x:v>
      </x:c>
    </x:row>
    <x:row r="172">
      <x:c r="A172" s="22" t="str">
        <x:v>X</x:v>
      </x:c>
      <x:c r="B172" s="22" t="str">
        <x:v>2022-00003</x:v>
      </x:c>
      <x:c r="C172" s="22" t="str">
        <x:v>L2025-00106-1</x:v>
      </x:c>
      <x:c r="D172" s="22" t="str">
        <x:v>L2025-00106</x:v>
      </x:c>
      <x:c r="E172" s="22" t="str">
        <x:v>2025-10-23</x:v>
      </x:c>
      <x:c r="F172" s="22" t="str">
        <x:v>세네갈</x:v>
      </x:c>
      <x:c r="G172" s="25" t="str">
        <x:v>세네갈 실험실 리모델링 사업 Control Office 계약</x:v>
      </x:c>
      <x:c r="H172" s="22" t="str">
        <x:v>용역</x:v>
      </x:c>
      <x:c r="I172" s="22" t="str">
        <x:v>DESIGN_OR_SUPERVISION_SERVICE</x:v>
      </x:c>
      <x:c r="J172" s="22" t="str">
        <x:v>SERVICE_FEE_OR_MIXED</x:v>
      </x:c>
      <x:c r="K172" s="22" t="str">
        <x:v>NO_MATCH</x:v>
      </x:c>
      <x:c r="L172" s="22" t="str">
        <x:v>NO_MATCH</x:v>
      </x:c>
      <x:c r="M172" s="34" t="n">
        <x:v>13000</x:v>
      </x:c>
      <x:c r="N172" s="34"/>
      <x:c r="O172" s="22" t="str">
        <x:v>SERVICE_OR_GOODS_CEILING</x:v>
      </x:c>
      <x:c r="P172" s="37" t="str">
        <x:f>IF(AND(M172&lt;&gt;"",N172&lt;&gt;"",O172&lt;&gt;"NOTICE_EXECUTION_CEILING"),M172/N172-1,"")</x:f>
      </x:c>
      <x:c r="Q172" s="31"/>
      <x:c r="R172" s="22" t="str">
        <x:v>AMBIGUOUS_AREA</x:v>
      </x:c>
      <x:c r="S172" s="22" t="str">
        <x:v>UNKNOWN</x:v>
      </x:c>
      <x:c r="T172" s="34" t="str">
        <x:f>IFERROR(N172/Q172,"")</x:f>
      </x:c>
      <x:c r="U172" s="22" t="str">
        <x:v>V3_SCOPE_REVIEW</x:v>
      </x:c>
      <x:c r="V172" s="22" t="str">
        <x:v>계산 금지</x:v>
      </x:c>
      <x:c r="W172" s="28" t="n">
        <x:v>1</x:v>
      </x:c>
      <x:c r="X172" s="28" t="n">
        <x:v>1</x:v>
      </x:c>
      <x:c r="Y172" s="28" t="n">
        <x:v>0</x:v>
      </x:c>
      <x:c r="Z172" s="28" t="n">
        <x:v>0</x:v>
      </x:c>
      <x:c r="AA172" s="28" t="n">
        <x:v>5</x:v>
      </x:c>
      <x:c r="AB172" s="28" t="n">
        <x:v>0</x:v>
      </x:c>
      <x:c r="AC172" s="28" t="n">
        <x:v>0</x:v>
      </x:c>
      <x:c r="AD172" s="28" t="n">
        <x:v>0</x:v>
      </x:c>
      <x:c r="AE172" s="28" t="n">
        <x:v>0</x:v>
      </x:c>
      <x:c r="AF172" s="25" t="str">
        <x:v>설계·감리·기타 용역 집행한도는 건축공사비가 아님</x:v>
      </x:c>
      <x:c r="AG172" s="25" t="str"/>
      <x:c r="AH172" s="25" t="str">
        <x:v>KOICA 입찰 상세페이지</x:v>
      </x:c>
      <x:c r="AI172" s="25" t="str">
        <x:v>집행한도금액(달러)</x:v>
      </x:c>
      <x:c r="AJ172" s="25" t="str">
        <x:v>L2025-00106-1/실험실 Control office_최종/Control office_최종/RFP for Controll office_CM_clean.docx</x:v>
      </x:c>
      <x:c r="AK172" s="25" t="str">
        <x:v>문단 18</x:v>
      </x:c>
      <x:c r="AL172" s="25" t="str">
        <x:v>The works focus on renovation and functional upgrade of three existing buildings (approx. 1,737 m² total):</x:v>
      </x:c>
      <x:c r="AM172" s="25" t="str">
        <x:v>https://nebid.koica.go.kr/oep/lobi/localBidManageDetail.do?P_LOAZ_BID_PBLANC_NO=L2025-00106&amp;P_PBLANC_ODR=1</x:v>
      </x:c>
    </x:row>
    <x:row r="173">
      <x:c r="A173" s="22" t="str">
        <x:v>C</x:v>
      </x:c>
      <x:c r="B173" s="22" t="str">
        <x:v>2024-00105</x:v>
      </x:c>
      <x:c r="C173" s="22" t="str">
        <x:v>L2025-00097-1</x:v>
      </x:c>
      <x:c r="D173" s="22" t="str">
        <x:v>L2025-00097</x:v>
      </x:c>
      <x:c r="E173" s="22" t="str">
        <x:v>2025-10-29</x:v>
      </x:c>
      <x:c r="F173" s="22" t="str">
        <x:v>키르기스스탄</x:v>
      </x:c>
      <x:c r="G173" s="25" t="str">
        <x:v>키르기스스탄 디지털 전환을 위한 국가 정보화 역량 강화 사업 ICT 교육센터 신축공사를 위한 설계 및 저작권감리용역</x:v>
      </x:c>
      <x:c r="H173" s="22" t="str">
        <x:v>용역</x:v>
      </x:c>
      <x:c r="I173" s="22" t="str">
        <x:v>DESIGN_OR_SUPERVISION_SERVICE</x:v>
      </x:c>
      <x:c r="J173" s="22" t="str">
        <x:v>SERVICE_FEE_OR_MIXED</x:v>
      </x:c>
      <x:c r="K173" s="22" t="str">
        <x:v>NO_MATCH</x:v>
      </x:c>
      <x:c r="L173" s="22" t="str">
        <x:v>MATCH_ATTACHMENT_CONSTRUCTION_BUDGET</x:v>
      </x:c>
      <x:c r="M173" s="34" t="n">
        <x:v>110763</x:v>
      </x:c>
      <x:c r="N173" s="34" t="n">
        <x:v>1704050</x:v>
      </x:c>
      <x:c r="O173" s="22" t="str">
        <x:v>DESIGN_ESTIMATE</x:v>
      </x:c>
      <x:c r="P173" s="37" t="n">
        <x:f>IF(AND(M173&lt;&gt;"",N173&lt;&gt;"",O173&lt;&gt;"NOTICE_EXECUTION_CEILING"),M173/N173-1,"")</x:f>
        <x:v>-0.9350001467093102</x:v>
      </x:c>
      <x:c r="Q173" s="31" t="n">
        <x:v>1179</x:v>
      </x:c>
      <x:c r="R173" s="22" t="str">
        <x:v>GFA</x:v>
      </x:c>
      <x:c r="S173" s="22" t="str">
        <x:v>SINGLE_OR_TOTAL</x:v>
      </x:c>
      <x:c r="T173" s="34" t="n">
        <x:f>IFERROR(N173/Q173,"")</x:f>
        <x:v>1445.3350296861747</x:v>
      </x:c>
      <x:c r="U173" s="22" t="str">
        <x:v>V3_CURATED_AREA_COST_RECHECK</x:v>
      </x:c>
      <x:c r="V173" s="22" t="str">
        <x:v>초기 스크리닝만</x:v>
      </x:c>
      <x:c r="W173" s="28" t="n">
        <x:v>1</x:v>
      </x:c>
      <x:c r="X173" s="28" t="n">
        <x:v>1</x:v>
      </x:c>
      <x:c r="Y173" s="28" t="n">
        <x:v>1</x:v>
      </x:c>
      <x:c r="Z173" s="28" t="n">
        <x:v>0</x:v>
      </x:c>
      <x:c r="AA173" s="28" t="n">
        <x:v>27</x:v>
      </x:c>
      <x:c r="AB173" s="28" t="n">
        <x:v>0</x:v>
      </x:c>
      <x:c r="AC173" s="28" t="n">
        <x:v>0</x:v>
      </x:c>
      <x:c r="AD173" s="28" t="n">
        <x:v>0</x:v>
      </x:c>
      <x:c r="AE173" s="28" t="n">
        <x:v>0</x:v>
      </x:c>
      <x:c r="AF173" s="25" t="str">
        <x:v>동일/제한 범위 공사금액÷면적 스크리닝 근거</x:v>
      </x:c>
      <x:c r="AG173" s="25" t="str"/>
      <x:c r="AH173" s="25" t="str">
        <x:v>L2025-00097-1/붙임1. 공고내역 (KG-2025-10)/ENG - final/Section 2 - Bid Data Sheet (BDS).docx</x:v>
      </x:c>
      <x:c r="AI173" s="25" t="str">
        <x:v>표 5 행 3</x:v>
      </x:c>
      <x:c r="AJ173" s="25" t="str">
        <x:v>L2025-00097-1/붙임1. 공고내역 (KG-2025-10)/ENG - final/Section 2 - Bid Data Sheet (BDS).docx</x:v>
      </x:c>
      <x:c r="AK173" s="25" t="str">
        <x:v>표 5 행 3</x:v>
      </x:c>
      <x:c r="AL173" s="25" t="str">
        <x:v>2층 GFA 1,179㎡, 공사예산 한도 USD 1,704,050(비상발전기 포함).</x:v>
      </x:c>
      <x:c r="AM173" s="25" t="str">
        <x:v>https://nebid.koica.go.kr/oep/lobi/localBidManageDetail.do?P_LOAZ_BID_PBLANC_NO=L2025-00097&amp;P_PBLANC_ODR=1</x:v>
      </x:c>
    </x:row>
    <x:row r="174">
      <x:c r="A174" s="23" t="str">
        <x:v>C</x:v>
      </x:c>
      <x:c r="B174" s="23" t="str">
        <x:v>2019-03655</x:v>
      </x:c>
      <x:c r="C174" s="23" t="str">
        <x:v>L2025-00099-1</x:v>
      </x:c>
      <x:c r="D174" s="23" t="str">
        <x:v>L2025-00099</x:v>
      </x:c>
      <x:c r="E174" s="23" t="str">
        <x:v>2025-11-13</x:v>
      </x:c>
      <x:c r="F174" s="23" t="str">
        <x:v>키르기스스탄</x:v>
      </x:c>
      <x:c r="G174" s="26" t="str">
        <x:v>키르기스스탄 추이 주 교내 위생환경 개선 사업(프로젝트봉사단) 리모델링 시공업체 선정 현지 입찰</x:v>
      </x:c>
      <x:c r="H174" s="23" t="str">
        <x:v>공사</x:v>
      </x:c>
      <x:c r="I174" s="23" t="str">
        <x:v>WORKS</x:v>
      </x:c>
      <x:c r="J174" s="23" t="str">
        <x:v>WORKS_CEILING</x:v>
      </x:c>
      <x:c r="K174" s="23" t="str">
        <x:v>MATCH</x:v>
      </x:c>
      <x:c r="L174" s="23" t="str">
        <x:v>MATCH</x:v>
      </x:c>
      <x:c r="M174" s="35" t="n">
        <x:v>200000</x:v>
      </x:c>
      <x:c r="N174" s="35" t="n">
        <x:v>200000</x:v>
      </x:c>
      <x:c r="O174" s="23" t="str">
        <x:v>NOTICE_EXECUTION_CEILING</x:v>
      </x:c>
      <x:c r="P174" s="38" t="str">
        <x:f>IF(AND(M174&lt;&gt;"",N174&lt;&gt;"",O174&lt;&gt;"NOTICE_EXECUTION_CEILING"),M174/N174-1,"")</x:f>
      </x:c>
      <x:c r="Q174" s="32" t="n">
        <x:v>255.52</x:v>
      </x:c>
      <x:c r="R174" s="23" t="str">
        <x:v>FACILITY_OR_CAMPUS_AREA</x:v>
      </x:c>
      <x:c r="S174" s="23" t="str">
        <x:v>SUM_OR_MULTI</x:v>
      </x:c>
      <x:c r="T174" s="35" t="n">
        <x:f>IFERROR(N174/Q174,"")</x:f>
        <x:v>782.7175954915466</x:v>
      </x:c>
      <x:c r="U174" s="23" t="str">
        <x:v>V3_CURATED_AREA_COST_RECHECK</x:v>
      </x:c>
      <x:c r="V174" s="23" t="str">
        <x:v>초기 스크리닝만</x:v>
      </x:c>
      <x:c r="W174" s="29" t="n">
        <x:v>1</x:v>
      </x:c>
      <x:c r="X174" s="29" t="n">
        <x:v>1</x:v>
      </x:c>
      <x:c r="Y174" s="29" t="n">
        <x:v>1</x:v>
      </x:c>
      <x:c r="Z174" s="29" t="n">
        <x:v>0</x:v>
      </x:c>
      <x:c r="AA174" s="29" t="n">
        <x:v>9</x:v>
      </x:c>
      <x:c r="AB174" s="29" t="n">
        <x:v>0</x:v>
      </x:c>
      <x:c r="AC174" s="29" t="n">
        <x:v>0</x:v>
      </x:c>
      <x:c r="AD174" s="29" t="n">
        <x:v>0</x:v>
      </x:c>
      <x:c r="AE174" s="29" t="n">
        <x:v>0</x:v>
      </x:c>
      <x:c r="AF174" s="26" t="str">
        <x:v>동일/제한 범위 공사금액÷면적 스크리닝 근거</x:v>
      </x:c>
      <x:c r="AG174" s="26" t="str"/>
      <x:c r="AH174" s="26" t="str">
        <x:v>L2025-00099-1/KG-2025-11/KG-2025-11/Section 2 - Bid Data Sheet (영문)_WaSH.docx</x:v>
      </x:c>
      <x:c r="AI174" s="26" t="str">
        <x:v>표 4 행 8</x:v>
      </x:c>
      <x:c r="AJ174" s="26" t="str">
        <x:v>L2025-00099-1/KG-2025-11/KG-2025-11/Section 2 - Bid Data Sheet (영문)_WaSH.docx</x:v>
      </x:c>
      <x:c r="AK174" s="26" t="str">
        <x:v>표 4 행 8</x:v>
      </x:c>
      <x:c r="AL174" s="26" t="str">
        <x:v>대상 시설 합계 255.52㎡; 상세페이지 집행한도 USD 200,000; 산출단가 USD 783/㎡.</x:v>
      </x:c>
      <x:c r="AM174" s="26" t="str">
        <x:v>https://nebid.koica.go.kr/oep/lobi/localBidManageDetail.do?P_LOAZ_BID_PBLANC_NO=L2025-00099&amp;P_PBLANC_ODR=1</x:v>
      </x:c>
    </x:row>
  </x:sheetData>
  <x:mergeCells>
    <x:mergeCell ref="A1:AM1"/>
    <x:mergeCell ref="A2:AM2"/>
  </x:mergeCells>
  <x:conditionalFormatting sqref="A5:A174">
    <x:cfRule type="beginsWith" dxfId="5" priority="1" operator="beginsWith" text="A"/>
    <x:cfRule type="beginsWith" dxfId="6" priority="2" operator="beginsWith" text="B"/>
    <x:cfRule type="beginsWith" dxfId="7" priority="3" operator="beginsWith" text="C"/>
    <x:cfRule type="beginsWith" dxfId="8" priority="4" operator="beginsWith" text="U"/>
    <x:cfRule type="beginsWith" dxfId="9" priority="5" operator="beginsWith" text="X"/>
  </x:conditionalFormatting>
  <x:pageMargins left="0.7" right="0.7" top="0.75" bottom="0.75" header="0.3" footer="0.3"/>
  <x:tableParts count="1">
    <x:tablePart xmlns:r="http://schemas.openxmlformats.org/officeDocument/2006/relationships" r:id="R0fda200b92964f5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9" hidden="0" customWidth="1"/>
    <x:col min="5" max="5" width="34" hidden="0" customWidth="1"/>
    <x:col min="6" max="6" width="16" hidden="0" customWidth="1"/>
    <x:col min="7" max="7" width="12" hidden="0" customWidth="1"/>
    <x:col min="8" max="8" width="42" hidden="0" customWidth="1"/>
    <x:col min="9" max="9" width="10" hidden="0" customWidth="1"/>
    <x:col min="10" max="10" width="23" hidden="0" customWidth="1"/>
    <x:col min="11" max="11" width="26" hidden="0" customWidth="1"/>
    <x:col min="12" max="12" width="14" hidden="0" customWidth="1"/>
    <x:col min="13" max="13" width="17" hidden="0" customWidth="1"/>
    <x:col min="14" max="14" width="14" hidden="0" customWidth="1"/>
    <x:col min="15" max="15" width="45" hidden="0" customWidth="1"/>
    <x:col min="16" max="16" width="10" hidden="0" customWidth="1"/>
  </x:cols>
  <x:sheetData>
    <x:row r="1" ht="34" customHeight="1">
      <x:c r="A1" s="3" t="str">
        <x:v>KOICA 154개 공고군</x:v>
      </x:c>
    </x:row>
    <x:row r="2" ht="42" customHeight="1">
      <x:c r="A2" s="7" t="str">
        <x:v>동일 bid_base_no의 재공고를 묶었습니다. 다른 공고번호라도 같은 패키지일 수 있으므로 사업표의 경고를 함께 확인하십시오.</x:v>
      </x:c>
    </x:row>
    <x:row r="4" ht="32" customHeight="1">
      <x:c r="A4" s="13" t="str">
        <x:v>공고군</x:v>
      </x:c>
      <x:c r="B4" s="13" t="str">
        <x:v>사업번호</x:v>
      </x:c>
      <x:c r="C4" s="13" t="str">
        <x:v>국가</x:v>
      </x:c>
      <x:c r="D4" s="13" t="str">
        <x:v>공고수</x:v>
      </x:c>
      <x:c r="E4" s="13" t="str">
        <x:v>공고번호</x:v>
      </x:c>
      <x:c r="F4" s="13" t="str">
        <x:v>대표공고</x:v>
      </x:c>
      <x:c r="G4" s="13" t="str">
        <x:v>최신일</x:v>
      </x:c>
      <x:c r="H4" s="13" t="str">
        <x:v>대표제목</x:v>
      </x:c>
      <x:c r="I4" s="13" t="str">
        <x:v>등급</x:v>
      </x:c>
      <x:c r="J4" s="13" t="str">
        <x:v>역할</x:v>
      </x:c>
      <x:c r="K4" s="13" t="str">
        <x:v>범위</x:v>
      </x:c>
      <x:c r="L4" s="13" t="str">
        <x:v>면적㎡</x:v>
      </x:c>
      <x:c r="M4" s="13" t="str">
        <x:v>공사금액USD</x:v>
      </x:c>
      <x:c r="N4" s="13" t="str">
        <x:v>명목USD/㎡</x:v>
      </x:c>
      <x:c r="O4" s="13" t="str">
        <x:v>중복규칙</x:v>
      </x:c>
      <x:c r="P4" s="13" t="str">
        <x:v>표본가중치</x:v>
      </x:c>
    </x:row>
    <x:row r="5">
      <x:c r="A5" s="21" t="str">
        <x:v>L2023-00068</x:v>
      </x:c>
      <x:c r="B5" s="21" t="str">
        <x:v>2011-00008</x:v>
      </x:c>
      <x:c r="C5" s="21" t="str">
        <x:v>캄보디아</x:v>
      </x:c>
      <x:c r="D5" s="21" t="n">
        <x:v>1</x:v>
      </x:c>
      <x:c r="E5" s="24" t="str">
        <x:v>L2023-00068-1</x:v>
      </x:c>
      <x:c r="F5" s="24" t="str">
        <x:v>L2023-00068-1</x:v>
      </x:c>
      <x:c r="G5" s="24" t="str">
        <x:v>2023-11-21</x:v>
      </x:c>
      <x:c r="H5" s="24" t="str">
        <x:v>캄보디아 앙두엉 안과전문병원 설립사업 리모델링 공사</x:v>
      </x:c>
      <x:c r="I5" s="21" t="str">
        <x:v>C</x:v>
      </x:c>
      <x:c r="J5" s="21" t="str">
        <x:v>WORKS</x:v>
      </x:c>
      <x:c r="K5" s="21" t="str">
        <x:v>MATCH</x:v>
      </x:c>
      <x:c r="L5" s="30" t="n">
        <x:v>3500</x:v>
      </x:c>
      <x:c r="M5" s="33" t="n">
        <x:v>239882</x:v>
      </x:c>
      <x:c r="N5" s="33" t="n">
        <x:f>IFERROR(M5/L5,"")</x:f>
        <x:v>68.53771428571429</x:v>
      </x:c>
      <x:c r="O5" s="24" t="str">
        <x:v>동일 bid_base_no는 재공고군; 다른 base의 의미중복은 project sheet에서 별도 주의</x:v>
      </x:c>
      <x:c r="P5" s="21" t="n">
        <x:v>1</x:v>
      </x:c>
    </x:row>
    <x:row r="6">
      <x:c r="A6" s="22" t="str">
        <x:v>L2021-00017</x:v>
      </x:c>
      <x:c r="B6" s="22" t="str">
        <x:v>2012-00016</x:v>
      </x:c>
      <x:c r="C6" s="22" t="str">
        <x:v>파키스탄</x:v>
      </x:c>
      <x:c r="D6" s="22" t="n">
        <x:v>1</x:v>
      </x:c>
      <x:c r="E6" s="25" t="str">
        <x:v>L2021-00017-1</x:v>
      </x:c>
      <x:c r="F6" s="25" t="str">
        <x:v>L2021-00017-1</x:v>
      </x:c>
      <x:c r="G6" s="25" t="str">
        <x:v>2021-05-17</x:v>
      </x:c>
      <x:c r="H6" s="25" t="str">
        <x:v>건조농대 농축산 역량강화센터 및 수자원 연수센터 사후관리를 위한 시공업체 선정입찰</x:v>
      </x:c>
      <x:c r="I6" s="22" t="str">
        <x:v>U</x:v>
      </x:c>
      <x:c r="J6" s="22" t="str">
        <x:v>WORKS</x:v>
      </x:c>
      <x:c r="K6" s="22" t="str">
        <x:v>PARTIAL_SCOPE</x:v>
      </x:c>
      <x:c r="L6" s="31"/>
      <x:c r="M6" s="34" t="n">
        <x:v>731618</x:v>
      </x:c>
      <x:c r="N6" s="34" t="str">
        <x:f>IFERROR(M6/L6,"")</x:f>
      </x:c>
      <x:c r="O6" s="25" t="str">
        <x:v>동일 bid_base_no는 재공고군; 다른 base의 의미중복은 project sheet에서 별도 주의</x:v>
      </x:c>
      <x:c r="P6" s="22" t="n">
        <x:v>1</x:v>
      </x:c>
    </x:row>
    <x:row r="7">
      <x:c r="A7" s="22" t="str">
        <x:v>L2018-00025</x:v>
      </x:c>
      <x:c r="B7" s="22" t="str">
        <x:v>2013-00007</x:v>
      </x:c>
      <x:c r="C7" s="22" t="str">
        <x:v>볼리비아</x:v>
      </x:c>
      <x:c r="D7" s="22" t="n">
        <x:v>2</x:v>
      </x:c>
      <x:c r="E7" s="25" t="str">
        <x:v>L2018-00025-1;L2018-00025-2</x:v>
      </x:c>
      <x:c r="F7" s="25" t="str">
        <x:v>L2018-00025-2</x:v>
      </x:c>
      <x:c r="G7" s="25" t="str">
        <x:v>2018-12-14</x:v>
      </x:c>
      <x:c r="H7" s="25" t="str">
        <x:v>(재입찰)볼리비아 엘알토 한국병원 3차 지원사업 감리업체 선정</x:v>
      </x:c>
      <x:c r="I7" s="22" t="str">
        <x:v>X</x:v>
      </x:c>
      <x:c r="J7" s="22" t="str">
        <x:v>DESIGN_OR_SUPERVISION_SERVICE</x:v>
      </x:c>
      <x:c r="K7" s="22" t="str">
        <x:v>NO_MATCH</x:v>
      </x:c>
      <x:c r="L7" s="31" t="n">
        <x:v>2879.23</x:v>
      </x:c>
      <x:c r="M7" s="34"/>
      <x:c r="N7" s="34" t="n">
        <x:f>IFERROR(M7/L7,"")</x:f>
        <x:v>0</x:v>
      </x:c>
      <x:c r="O7" s="25" t="str">
        <x:v>동일 bid_base_no는 재공고군; 다른 base의 의미중복은 project sheet에서 별도 주의</x:v>
      </x:c>
      <x:c r="P7" s="22" t="n">
        <x:v>1</x:v>
      </x:c>
    </x:row>
    <x:row r="8">
      <x:c r="A8" s="22" t="str">
        <x:v>L2018-00026</x:v>
      </x:c>
      <x:c r="B8" s="22" t="str">
        <x:v>2013-00007</x:v>
      </x:c>
      <x:c r="C8" s="22" t="str">
        <x:v>볼리비아</x:v>
      </x:c>
      <x:c r="D8" s="22" t="n">
        <x:v>1</x:v>
      </x:c>
      <x:c r="E8" s="25" t="str">
        <x:v>L2018-00026-1</x:v>
      </x:c>
      <x:c r="F8" s="25" t="str">
        <x:v>L2018-00026-1</x:v>
      </x:c>
      <x:c r="G8" s="25" t="str">
        <x:v>2018-10-07</x:v>
      </x:c>
      <x:c r="H8" s="25" t="str">
        <x:v>볼리비아 엘알토 병원 3차 지원사업 시공 현지입찰</x:v>
      </x:c>
      <x:c r="I8" s="22" t="str">
        <x:v>C?</x:v>
      </x:c>
      <x:c r="J8" s="22" t="str">
        <x:v>WORKS</x:v>
      </x:c>
      <x:c r="K8" s="22" t="str">
        <x:v>MATCH</x:v>
      </x:c>
      <x:c r="L8" s="31" t="n">
        <x:v>2879.23</x:v>
      </x:c>
      <x:c r="M8" s="34" t="n">
        <x:v>4114500</x:v>
      </x:c>
      <x:c r="N8" s="34" t="n">
        <x:f>IFERROR(M8/L8,"")</x:f>
        <x:v>1429.027899820438</x:v>
      </x:c>
      <x:c r="O8" s="25" t="str">
        <x:v>동일 bid_base_no는 재공고군; 다른 base의 의미중복은 project sheet에서 별도 주의</x:v>
      </x:c>
      <x:c r="P8" s="22" t="n">
        <x:v>1</x:v>
      </x:c>
    </x:row>
    <x:row r="9">
      <x:c r="A9" s="22" t="str">
        <x:v>L2018-00029</x:v>
      </x:c>
      <x:c r="B9" s="22" t="str">
        <x:v>2013-00007</x:v>
      </x:c>
      <x:c r="C9" s="22" t="str">
        <x:v>볼리비아</x:v>
      </x:c>
      <x:c r="D9" s="22" t="n">
        <x:v>1</x:v>
      </x:c>
      <x:c r="E9" s="25" t="str">
        <x:v>L2018-00029-1</x:v>
      </x:c>
      <x:c r="F9" s="25" t="str">
        <x:v>L2018-00029-1</x:v>
      </x:c>
      <x:c r="G9" s="25" t="str">
        <x:v>2018-11-23</x:v>
      </x:c>
      <x:c r="H9" s="25" t="str">
        <x:v>(재입찰)볼리비아 El-Alto 한국병원 3차 지원사업 시공업체선정</x:v>
      </x:c>
      <x:c r="I9" s="22" t="str">
        <x:v>C</x:v>
      </x:c>
      <x:c r="J9" s="22" t="str">
        <x:v>WORKS</x:v>
      </x:c>
      <x:c r="K9" s="22" t="str">
        <x:v>MATCH</x:v>
      </x:c>
      <x:c r="L9" s="31" t="n">
        <x:v>2879.23</x:v>
      </x:c>
      <x:c r="M9" s="34" t="n">
        <x:v>4114500</x:v>
      </x:c>
      <x:c r="N9" s="34" t="n">
        <x:f>IFERROR(M9/L9,"")</x:f>
        <x:v>1429.027899820438</x:v>
      </x:c>
      <x:c r="O9" s="25" t="str">
        <x:v>동일 bid_base_no는 재공고군; 다른 base의 의미중복은 project sheet에서 별도 주의</x:v>
      </x:c>
      <x:c r="P9" s="22" t="n">
        <x:v>1</x:v>
      </x:c>
    </x:row>
    <x:row r="10">
      <x:c r="A10" s="22" t="str">
        <x:v>L2025-00012</x:v>
      </x:c>
      <x:c r="B10" s="22" t="str">
        <x:v>2013-00064</x:v>
      </x:c>
      <x:c r="C10" s="22" t="str">
        <x:v>볼리비아</x:v>
      </x:c>
      <x:c r="D10" s="22" t="n">
        <x:v>2</x:v>
      </x:c>
      <x:c r="E10" s="25" t="str">
        <x:v>L2025-00012-1;L2025-00012-2</x:v>
      </x:c>
      <x:c r="F10" s="25" t="str">
        <x:v>L2025-00012-2</x:v>
      </x:c>
      <x:c r="G10" s="25" t="str">
        <x:v>2025-05-09</x:v>
      </x:c>
      <x:c r="H10" s="25" t="str">
        <x:v>볼리비아 고원 지역 농업 기계화 및 농민역량 강화를 통한 생산성 증대 사업 퀴노아 연구센터 차칼라 건립 공사 시공사 선정 현지 입찰 재공고</x:v>
      </x:c>
      <x:c r="I10" s="22" t="str">
        <x:v>B</x:v>
      </x:c>
      <x:c r="J10" s="22" t="str">
        <x:v>WORKS</x:v>
      </x:c>
      <x:c r="K10" s="22" t="str">
        <x:v>MATCH</x:v>
      </x:c>
      <x:c r="L10" s="31" t="n">
        <x:v>87.22</x:v>
      </x:c>
      <x:c r="M10" s="34" t="n">
        <x:v>98954</x:v>
      </x:c>
      <x:c r="N10" s="34" t="n">
        <x:f>IFERROR(M10/L10,"")</x:f>
        <x:v>1134.5333639073608</x:v>
      </x:c>
      <x:c r="O10" s="25" t="str">
        <x:v>동일 bid_base_no는 재공고군; 다른 base의 의미중복은 project sheet에서 별도 주의</x:v>
      </x:c>
      <x:c r="P10" s="22" t="n">
        <x:v>1</x:v>
      </x:c>
    </x:row>
    <x:row r="11">
      <x:c r="A11" s="22" t="str">
        <x:v>L2024-00039</x:v>
      </x:c>
      <x:c r="B11" s="22" t="str">
        <x:v>2014-00016</x:v>
      </x:c>
      <x:c r="C11" s="22" t="str">
        <x:v>이라크</x:v>
      </x:c>
      <x:c r="D11" s="22" t="n">
        <x:v>1</x:v>
      </x:c>
      <x:c r="E11" s="25" t="str">
        <x:v>L2024-00039-1</x:v>
      </x:c>
      <x:c r="F11" s="25" t="str">
        <x:v>L2024-00039-1</x:v>
      </x:c>
      <x:c r="G11" s="25" t="str">
        <x:v>2024-05-12</x:v>
      </x:c>
      <x:c r="H11" s="25" t="str">
        <x:v>한-이라크 직업훈련원 2차 지원사업 리노베이션 시공업체선정 현지입찰</x:v>
      </x:c>
      <x:c r="I11" s="22" t="str">
        <x:v>C</x:v>
      </x:c>
      <x:c r="J11" s="22" t="str">
        <x:v>WORKS</x:v>
      </x:c>
      <x:c r="K11" s="22" t="str">
        <x:v>MATCH</x:v>
      </x:c>
      <x:c r="L11" s="31" t="n">
        <x:v>8217</x:v>
      </x:c>
      <x:c r="M11" s="34" t="n">
        <x:v>1811491</x:v>
      </x:c>
      <x:c r="N11" s="34" t="n">
        <x:f>IFERROR(M11/L11,"")</x:f>
        <x:v>220.45649263721552</x:v>
      </x:c>
      <x:c r="O11" s="25" t="str">
        <x:v>동일 bid_base_no는 재공고군; 다른 base의 의미중복은 project sheet에서 별도 주의</x:v>
      </x:c>
      <x:c r="P11" s="22" t="n">
        <x:v>1</x:v>
      </x:c>
    </x:row>
    <x:row r="12">
      <x:c r="A12" s="22" t="str">
        <x:v>L2017-00011</x:v>
      </x:c>
      <x:c r="B12" s="22" t="str">
        <x:v>2014-00024</x:v>
      </x:c>
      <x:c r="C12" s="22" t="str">
        <x:v>투르크메니스탄</x:v>
      </x:c>
      <x:c r="D12" s="22" t="n">
        <x:v>1</x:v>
      </x:c>
      <x:c r="E12" s="25" t="str">
        <x:v>L2017-00011-1</x:v>
      </x:c>
      <x:c r="F12" s="25" t="str">
        <x:v>L2017-00011-1</x:v>
      </x:c>
      <x:c r="G12" s="25" t="str">
        <x:v>2017-12-27</x:v>
      </x:c>
      <x:c r="H12" s="25" t="str">
        <x:v>투르크메니스탄 가스직업훈련원 역량강화사업 설계시공입찰</x:v>
      </x:c>
      <x:c r="I12" s="22" t="str">
        <x:v>C</x:v>
      </x:c>
      <x:c r="J12" s="22" t="str">
        <x:v>DESIGN_BUILD_WORKS</x:v>
      </x:c>
      <x:c r="K12" s="22" t="str">
        <x:v>MATCH</x:v>
      </x:c>
      <x:c r="L12" s="31" t="n">
        <x:v>2250</x:v>
      </x:c>
      <x:c r="M12" s="34" t="n">
        <x:v>2550000</x:v>
      </x:c>
      <x:c r="N12" s="34" t="n">
        <x:f>IFERROR(M12/L12,"")</x:f>
        <x:v>1133.3333333333333</x:v>
      </x:c>
      <x:c r="O12" s="25" t="str">
        <x:v>동일 bid_base_no는 재공고군; 다른 base의 의미중복은 project sheet에서 별도 주의</x:v>
      </x:c>
      <x:c r="P12" s="22" t="n">
        <x:v>1</x:v>
      </x:c>
    </x:row>
    <x:row r="13">
      <x:c r="A13" s="22" t="str">
        <x:v>L2019-00044</x:v>
      </x:c>
      <x:c r="B13" s="22" t="str">
        <x:v>2014-00031</x:v>
      </x:c>
      <x:c r="C13" s="22" t="str">
        <x:v>엘살바도르</x:v>
      </x:c>
      <x:c r="D13" s="22" t="n">
        <x:v>1</x:v>
      </x:c>
      <x:c r="E13" s="25" t="str">
        <x:v>L2019-00044-1</x:v>
      </x:c>
      <x:c r="F13" s="25" t="str">
        <x:v>L2019-00044-1</x:v>
      </x:c>
      <x:c r="G13" s="25" t="str">
        <x:v>2019-11-01</x:v>
      </x:c>
      <x:c r="H13" s="25" t="str">
        <x:v>엘살바도르 치안강화를 위한 차량 자동인식시스템 구축사업, CCTV 역량강화센터 2층 리모델링 시공업체 선정</x:v>
      </x:c>
      <x:c r="I13" s="22" t="str">
        <x:v>U</x:v>
      </x:c>
      <x:c r="J13" s="22" t="str">
        <x:v>WORKS</x:v>
      </x:c>
      <x:c r="K13" s="22" t="str">
        <x:v>NO_MATCH</x:v>
      </x:c>
      <x:c r="L13" s="31"/>
      <x:c r="M13" s="34" t="n">
        <x:v>235960</x:v>
      </x:c>
      <x:c r="N13" s="34" t="str">
        <x:f>IFERROR(M13/L13,"")</x:f>
      </x:c>
      <x:c r="O13" s="25" t="str">
        <x:v>동일 bid_base_no는 재공고군; 다른 base의 의미중복은 project sheet에서 별도 주의</x:v>
      </x:c>
      <x:c r="P13" s="22" t="n">
        <x:v>1</x:v>
      </x:c>
    </x:row>
    <x:row r="14">
      <x:c r="A14" s="22" t="str">
        <x:v>L2019-00034</x:v>
      </x:c>
      <x:c r="B14" s="22" t="str">
        <x:v>2015-00006</x:v>
      </x:c>
      <x:c r="C14" s="22" t="str">
        <x:v>에티오피아</x:v>
      </x:c>
      <x:c r="D14" s="22" t="n">
        <x:v>1</x:v>
      </x:c>
      <x:c r="E14" s="25" t="str">
        <x:v>L2019-00034-1</x:v>
      </x:c>
      <x:c r="F14" s="25" t="str">
        <x:v>L2019-00034-1</x:v>
      </x:c>
      <x:c r="G14" s="25" t="str">
        <x:v>2019-08-07</x:v>
      </x:c>
      <x:c r="H14" s="25" t="str">
        <x:v>에티오피아 오로미아주 모자보건 및 가족계획 역량 강화사업 헤토사 1차 병원 설계 및 시공 감리 용역</x:v>
      </x:c>
      <x:c r="I14" s="22" t="str">
        <x:v>X</x:v>
      </x:c>
      <x:c r="J14" s="22" t="str">
        <x:v>DESIGN_OR_SUPERVISION_SERVICE</x:v>
      </x:c>
      <x:c r="K14" s="22" t="str">
        <x:v>NO_MATCH</x:v>
      </x:c>
      <x:c r="L14" s="31" t="n">
        <x:v>3997</x:v>
      </x:c>
      <x:c r="M14" s="34"/>
      <x:c r="N14" s="34" t="n">
        <x:f>IFERROR(M14/L14,"")</x:f>
        <x:v>0</x:v>
      </x:c>
      <x:c r="O14" s="25" t="str">
        <x:v>동일 bid_base_no는 재공고군; 다른 base의 의미중복은 project sheet에서 별도 주의</x:v>
      </x:c>
      <x:c r="P14" s="22" t="n">
        <x:v>1</x:v>
      </x:c>
    </x:row>
    <x:row r="15">
      <x:c r="A15" s="22" t="str">
        <x:v>L2019-00037</x:v>
      </x:c>
      <x:c r="B15" s="22" t="str">
        <x:v>2015-00006</x:v>
      </x:c>
      <x:c r="C15" s="22" t="str">
        <x:v>에티오피아</x:v>
      </x:c>
      <x:c r="D15" s="22" t="n">
        <x:v>1</x:v>
      </x:c>
      <x:c r="E15" s="25" t="str">
        <x:v>L2019-00037-1</x:v>
      </x:c>
      <x:c r="F15" s="25" t="str">
        <x:v>L2019-00037-1</x:v>
      </x:c>
      <x:c r="G15" s="25" t="str">
        <x:v>2019-08-11</x:v>
      </x:c>
      <x:c r="H15" s="25" t="str">
        <x:v>에티오피아 오로미아주 모자보건 및 가족계획 1차 병원 건립 설계 및 시공감리 용역업체 선정 현지입찰</x:v>
      </x:c>
      <x:c r="I15" s="22" t="str">
        <x:v>X</x:v>
      </x:c>
      <x:c r="J15" s="22" t="str">
        <x:v>DESIGN_OR_SUPERVISION_SERVICE</x:v>
      </x:c>
      <x:c r="K15" s="22" t="str">
        <x:v>NO_MATCH</x:v>
      </x:c>
      <x:c r="L15" s="31" t="n">
        <x:v>3997</x:v>
      </x:c>
      <x:c r="M15" s="34"/>
      <x:c r="N15" s="34" t="n">
        <x:f>IFERROR(M15/L15,"")</x:f>
        <x:v>0</x:v>
      </x:c>
      <x:c r="O15" s="25" t="str">
        <x:v>동일 bid_base_no는 재공고군; 다른 base의 의미중복은 project sheet에서 별도 주의</x:v>
      </x:c>
      <x:c r="P15" s="22" t="n">
        <x:v>1</x:v>
      </x:c>
    </x:row>
    <x:row r="16">
      <x:c r="A16" s="22" t="str">
        <x:v>L2020-00022</x:v>
      </x:c>
      <x:c r="B16" s="22" t="str">
        <x:v>2015-00006</x:v>
      </x:c>
      <x:c r="C16" s="22" t="str">
        <x:v>에티오피아</x:v>
      </x:c>
      <x:c r="D16" s="22" t="n">
        <x:v>2</x:v>
      </x:c>
      <x:c r="E16" s="25" t="str">
        <x:v>L2020-00022-1;L2020-00022-2</x:v>
      </x:c>
      <x:c r="F16" s="25" t="str">
        <x:v>L2020-00022-2</x:v>
      </x:c>
      <x:c r="G16" s="25" t="str">
        <x:v>2020-11-26</x:v>
      </x:c>
      <x:c r="H16" s="25" t="str">
        <x:v>에티오피아 오로미아주 모자보건 및 가족계획 역량강화사업 헤토사 1차 병원 현지시공 국제입찰</x:v>
      </x:c>
      <x:c r="I16" s="22" t="str">
        <x:v>C</x:v>
      </x:c>
      <x:c r="J16" s="22" t="str">
        <x:v>WORKS</x:v>
      </x:c>
      <x:c r="K16" s="22" t="str">
        <x:v>MATCH</x:v>
      </x:c>
      <x:c r="L16" s="31" t="n">
        <x:v>4916</x:v>
      </x:c>
      <x:c r="M16" s="34" t="n">
        <x:v>3116205</x:v>
      </x:c>
      <x:c r="N16" s="34" t="n">
        <x:f>IFERROR(M16/L16,"")</x:f>
        <x:v>633.890358014646</x:v>
      </x:c>
      <x:c r="O16" s="25" t="str">
        <x:v>동일 bid_base_no는 재공고군; 다른 base의 의미중복은 project sheet에서 별도 주의</x:v>
      </x:c>
      <x:c r="P16" s="22" t="n">
        <x:v>1</x:v>
      </x:c>
    </x:row>
    <x:row r="17">
      <x:c r="A17" s="22" t="str">
        <x:v>L2018-00008</x:v>
      </x:c>
      <x:c r="B17" s="22" t="str">
        <x:v>2015-00011</x:v>
      </x:c>
      <x:c r="C17" s="22" t="str">
        <x:v>스리랑카</x:v>
      </x:c>
      <x:c r="D17" s="22" t="n">
        <x:v>1</x:v>
      </x:c>
      <x:c r="E17" s="25" t="str">
        <x:v>L2018-00008-1</x:v>
      </x:c>
      <x:c r="F17" s="25" t="str">
        <x:v>L2018-00008-1</x:v>
      </x:c>
      <x:c r="G17" s="25" t="str">
        <x:v>2018-05-16</x:v>
      </x:c>
      <x:c r="H17" s="25" t="str">
        <x:v>스리랑카 기술계 교사양성 및 재교육 사업 신축 설계 및 CA용역 입찰</x:v>
      </x:c>
      <x:c r="I17" s="22" t="str">
        <x:v>X</x:v>
      </x:c>
      <x:c r="J17" s="22" t="str">
        <x:v>DESIGN_OR_SUPERVISION_SERVICE</x:v>
      </x:c>
      <x:c r="K17" s="22" t="str">
        <x:v>NO_MATCH</x:v>
      </x:c>
      <x:c r="L17" s="31" t="n">
        <x:v>12960</x:v>
      </x:c>
      <x:c r="M17" s="34"/>
      <x:c r="N17" s="34" t="n">
        <x:f>IFERROR(M17/L17,"")</x:f>
        <x:v>0</x:v>
      </x:c>
      <x:c r="O17" s="25" t="str">
        <x:v>동일 bid_base_no는 재공고군; 다른 base의 의미중복은 project sheet에서 별도 주의</x:v>
      </x:c>
      <x:c r="P17" s="22" t="n">
        <x:v>1</x:v>
      </x:c>
    </x:row>
    <x:row r="18">
      <x:c r="A18" s="22" t="str">
        <x:v>L2019-00024</x:v>
      </x:c>
      <x:c r="B18" s="22" t="str">
        <x:v>2015-00011</x:v>
      </x:c>
      <x:c r="C18" s="22" t="str">
        <x:v>스리랑카</x:v>
      </x:c>
      <x:c r="D18" s="22" t="n">
        <x:v>1</x:v>
      </x:c>
      <x:c r="E18" s="25" t="str">
        <x:v>L2019-00024-1</x:v>
      </x:c>
      <x:c r="F18" s="25" t="str">
        <x:v>L2019-00024-1</x:v>
      </x:c>
      <x:c r="G18" s="25" t="str">
        <x:v>2019-06-28</x:v>
      </x:c>
      <x:c r="H18" s="25" t="str">
        <x:v>스리랑카 기술계 교사양성 및 재교육 사업 현지시공 국제입찰</x:v>
      </x:c>
      <x:c r="I18" s="22" t="str">
        <x:v>C</x:v>
      </x:c>
      <x:c r="J18" s="22" t="str">
        <x:v>WORKS</x:v>
      </x:c>
      <x:c r="K18" s="22" t="str">
        <x:v>MATCH</x:v>
      </x:c>
      <x:c r="L18" s="31" t="n">
        <x:v>12974</x:v>
      </x:c>
      <x:c r="M18" s="34" t="n">
        <x:v>7161000</x:v>
      </x:c>
      <x:c r="N18" s="34" t="n">
        <x:f>IFERROR(M18/L18,"")</x:f>
        <x:v>551.950053954062</x:v>
      </x:c>
      <x:c r="O18" s="25" t="str">
        <x:v>동일 bid_base_no는 재공고군; 다른 base의 의미중복은 project sheet에서 별도 주의</x:v>
      </x:c>
      <x:c r="P18" s="22" t="n">
        <x:v>1</x:v>
      </x:c>
    </x:row>
    <x:row r="19">
      <x:c r="A19" s="22" t="str">
        <x:v>L2019-00010</x:v>
      </x:c>
      <x:c r="B19" s="22" t="str">
        <x:v>2015-00012</x:v>
      </x:c>
      <x:c r="C19" s="22" t="str">
        <x:v>네팔</x:v>
      </x:c>
      <x:c r="D19" s="22" t="n">
        <x:v>1</x:v>
      </x:c>
      <x:c r="E19" s="25" t="str">
        <x:v>L2019-00010-1</x:v>
      </x:c>
      <x:c r="F19" s="25" t="str">
        <x:v>L2019-00010-1</x:v>
      </x:c>
      <x:c r="G19" s="25" t="str">
        <x:v>2019-02-01</x:v>
      </x:c>
      <x:c r="H19" s="25" t="str">
        <x:v>네팔 기술교사 역량강화를 통한 기술직업교육훈련 질적 제고 사업 IT 강의동 시공업체 선정 현지 입찰</x:v>
      </x:c>
      <x:c r="I19" s="22" t="str">
        <x:v>C</x:v>
      </x:c>
      <x:c r="J19" s="22" t="str">
        <x:v>WORKS</x:v>
      </x:c>
      <x:c r="K19" s="22" t="str">
        <x:v>MATCH</x:v>
      </x:c>
      <x:c r="L19" s="31" t="n">
        <x:v>1549.83</x:v>
      </x:c>
      <x:c r="M19" s="34" t="n">
        <x:v>1200000</x:v>
      </x:c>
      <x:c r="N19" s="34" t="n">
        <x:f>IFERROR(M19/L19,"")</x:f>
        <x:v>774.2784692514663</x:v>
      </x:c>
      <x:c r="O19" s="25" t="str">
        <x:v>동일 bid_base_no는 재공고군; 다른 base의 의미중복은 project sheet에서 별도 주의</x:v>
      </x:c>
      <x:c r="P19" s="22" t="n">
        <x:v>1</x:v>
      </x:c>
    </x:row>
    <x:row r="20">
      <x:c r="A20" s="22" t="str">
        <x:v>L2018-00011</x:v>
      </x:c>
      <x:c r="B20" s="22" t="str">
        <x:v>2016-00002</x:v>
      </x:c>
      <x:c r="C20" s="22" t="str">
        <x:v>파라과이</x:v>
      </x:c>
      <x:c r="D20" s="22" t="n">
        <x:v>1</x:v>
      </x:c>
      <x:c r="E20" s="25" t="str">
        <x:v>L2018-00011-1</x:v>
      </x:c>
      <x:c r="F20" s="25" t="str">
        <x:v>L2018-00011-1</x:v>
      </x:c>
      <x:c r="G20" s="25" t="str">
        <x:v>2018-07-18</x:v>
      </x:c>
      <x:c r="H20" s="25" t="str">
        <x:v>파라과이 센트럴주 림삐오시 보건의료체계 형성 및 의료강화사업/ 보건소 신축 1단계 공사</x:v>
      </x:c>
      <x:c r="I20" s="22" t="str">
        <x:v>C</x:v>
      </x:c>
      <x:c r="J20" s="22" t="str">
        <x:v>WORKS</x:v>
      </x:c>
      <x:c r="K20" s="22" t="str">
        <x:v>MATCH</x:v>
      </x:c>
      <x:c r="L20" s="31" t="n">
        <x:v>1987</x:v>
      </x:c>
      <x:c r="M20" s="34" t="n">
        <x:v>1623300</x:v>
      </x:c>
      <x:c r="N20" s="34" t="n">
        <x:f>IFERROR(M20/L20,"")</x:f>
        <x:v>816.9602415702063</x:v>
      </x:c>
      <x:c r="O20" s="25" t="str">
        <x:v>동일 bid_base_no는 재공고군; 다른 base의 의미중복은 project sheet에서 별도 주의</x:v>
      </x:c>
      <x:c r="P20" s="22" t="n">
        <x:v>1</x:v>
      </x:c>
    </x:row>
    <x:row r="21">
      <x:c r="A21" s="22" t="str">
        <x:v>L2018-00014</x:v>
      </x:c>
      <x:c r="B21" s="22" t="str">
        <x:v>2016-00003</x:v>
      </x:c>
      <x:c r="C21" s="22" t="str">
        <x:v>파라과이</x:v>
      </x:c>
      <x:c r="D21" s="22" t="n">
        <x:v>1</x:v>
      </x:c>
      <x:c r="E21" s="25" t="str">
        <x:v>L2018-00014-1</x:v>
      </x:c>
      <x:c r="F21" s="25" t="str">
        <x:v>L2018-00014-1</x:v>
      </x:c>
      <x:c r="G21" s="25" t="str">
        <x:v>2018-08-14</x:v>
      </x:c>
      <x:c r="H21" s="25" t="str">
        <x:v>파라과이 취약계층 노인 보건의료복지센터 정책수립 지원사업 산토 도밍고 노인 보인의료복지센터 신축 공사 시공자 선정 현지국제입찰</x:v>
      </x:c>
      <x:c r="I21" s="22" t="str">
        <x:v>C</x:v>
      </x:c>
      <x:c r="J21" s="22" t="str">
        <x:v>WORKS</x:v>
      </x:c>
      <x:c r="K21" s="22" t="str">
        <x:v>MATCH</x:v>
      </x:c>
      <x:c r="L21" s="31" t="n">
        <x:v>6428</x:v>
      </x:c>
      <x:c r="M21" s="34" t="n">
        <x:v>4466261</x:v>
      </x:c>
      <x:c r="N21" s="34" t="n">
        <x:f>IFERROR(M21/L21,"")</x:f>
        <x:v>694.8134723086497</x:v>
      </x:c>
      <x:c r="O21" s="25" t="str">
        <x:v>동일 bid_base_no는 재공고군; 다른 base의 의미중복은 project sheet에서 별도 주의</x:v>
      </x:c>
      <x:c r="P21" s="22" t="n">
        <x:v>1</x:v>
      </x:c>
    </x:row>
    <x:row r="22">
      <x:c r="A22" s="22" t="str">
        <x:v>L2020-00023</x:v>
      </x:c>
      <x:c r="B22" s="22" t="str">
        <x:v>2016-00005</x:v>
      </x:c>
      <x:c r="C22" s="22" t="str">
        <x:v>이라크</x:v>
      </x:c>
      <x:c r="D22" s="22" t="n">
        <x:v>1</x:v>
      </x:c>
      <x:c r="E22" s="25" t="str">
        <x:v>L2020-00023-1</x:v>
      </x:c>
      <x:c r="F22" s="25" t="str">
        <x:v>L2020-00023-1</x:v>
      </x:c>
      <x:c r="G22" s="25" t="str">
        <x:v>2020-10-19</x:v>
      </x:c>
      <x:c r="H22" s="25" t="str">
        <x:v>이라크 중환자 전문병원 신축공사 시공업체 선정 입찰</x:v>
      </x:c>
      <x:c r="I22" s="22" t="str">
        <x:v>C</x:v>
      </x:c>
      <x:c r="J22" s="22" t="str">
        <x:v>WORKS</x:v>
      </x:c>
      <x:c r="K22" s="22" t="str">
        <x:v>MATCH</x:v>
      </x:c>
      <x:c r="L22" s="31" t="n">
        <x:v>6906</x:v>
      </x:c>
      <x:c r="M22" s="34" t="n">
        <x:v>16029000</x:v>
      </x:c>
      <x:c r="N22" s="34" t="n">
        <x:f>IFERROR(M22/L22,"")</x:f>
        <x:v>2321.0251954821892</x:v>
      </x:c>
      <x:c r="O22" s="25" t="str">
        <x:v>동일 bid_base_no는 재공고군; 다른 base의 의미중복은 project sheet에서 별도 주의</x:v>
      </x:c>
      <x:c r="P22" s="22" t="n">
        <x:v>1</x:v>
      </x:c>
    </x:row>
    <x:row r="23">
      <x:c r="A23" s="22" t="str">
        <x:v>L2017-00007</x:v>
      </x:c>
      <x:c r="B23" s="22" t="str">
        <x:v>2016-00028</x:v>
      </x:c>
      <x:c r="C23" s="22" t="str">
        <x:v>라오스</x:v>
      </x:c>
      <x:c r="D23" s="22" t="n">
        <x:v>1</x:v>
      </x:c>
      <x:c r="E23" s="25" t="str">
        <x:v>L2017-00007-1</x:v>
      </x:c>
      <x:c r="F23" s="25" t="str">
        <x:v>L2017-00007-1</x:v>
      </x:c>
      <x:c r="G23" s="25" t="str">
        <x:v>2017-09-11</x:v>
      </x:c>
      <x:c r="H23" s="25" t="str">
        <x:v>라오스 청년동맹 IT센터 역량강화사업 시공업체 선정</x:v>
      </x:c>
      <x:c r="I23" s="22" t="str">
        <x:v>C</x:v>
      </x:c>
      <x:c r="J23" s="22" t="str">
        <x:v>WORKS</x:v>
      </x:c>
      <x:c r="K23" s="22" t="str">
        <x:v>MATCH</x:v>
      </x:c>
      <x:c r="L23" s="31" t="n">
        <x:v>1562.68</x:v>
      </x:c>
      <x:c r="M23" s="34" t="n">
        <x:v>1197640</x:v>
      </x:c>
      <x:c r="N23" s="34" t="n">
        <x:f>IFERROR(M23/L23,"")</x:f>
        <x:v>766.4013105690224</x:v>
      </x:c>
      <x:c r="O23" s="25" t="str">
        <x:v>동일 bid_base_no는 재공고군; 다른 base의 의미중복은 project sheet에서 별도 주의</x:v>
      </x:c>
      <x:c r="P23" s="22" t="n">
        <x:v>1</x:v>
      </x:c>
    </x:row>
    <x:row r="24">
      <x:c r="A24" s="22" t="str">
        <x:v>L2019-00019</x:v>
      </x:c>
      <x:c r="B24" s="22" t="str">
        <x:v>2016-00029</x:v>
      </x:c>
      <x:c r="C24" s="22" t="str">
        <x:v>네팔</x:v>
      </x:c>
      <x:c r="D24" s="22" t="n">
        <x:v>1</x:v>
      </x:c>
      <x:c r="E24" s="25" t="str">
        <x:v>L2019-00019-1</x:v>
      </x:c>
      <x:c r="F24" s="25" t="str">
        <x:v>L2019-00019-1</x:v>
      </x:c>
      <x:c r="G24" s="25" t="str">
        <x:v>2019-05-14</x:v>
      </x:c>
      <x:c r="H24" s="25" t="str">
        <x:v>네팔 카트만두대학 둘리켈 캠퍼스 내 “네팔기술혁신센터 건립사업” 설계 및 감리업체 선정 현지입찰 계획(안)</x:v>
      </x:c>
      <x:c r="I24" s="22" t="str">
        <x:v>X</x:v>
      </x:c>
      <x:c r="J24" s="22" t="str">
        <x:v>DESIGN_OR_SUPERVISION_SERVICE</x:v>
      </x:c>
      <x:c r="K24" s="22" t="str">
        <x:v>NO_MATCH</x:v>
      </x:c>
      <x:c r="L24" s="31" t="n">
        <x:v>3024</x:v>
      </x:c>
      <x:c r="M24" s="34"/>
      <x:c r="N24" s="34" t="n">
        <x:f>IFERROR(M24/L24,"")</x:f>
        <x:v>0</x:v>
      </x:c>
      <x:c r="O24" s="25" t="str">
        <x:v>동일 bid_base_no는 재공고군; 다른 base의 의미중복은 project sheet에서 별도 주의</x:v>
      </x:c>
      <x:c r="P24" s="22" t="n">
        <x:v>1</x:v>
      </x:c>
    </x:row>
    <x:row r="25">
      <x:c r="A25" s="22" t="str">
        <x:v>L2020-00003</x:v>
      </x:c>
      <x:c r="B25" s="22" t="str">
        <x:v>2016-00029</x:v>
      </x:c>
      <x:c r="C25" s="22" t="str">
        <x:v>네팔</x:v>
      </x:c>
      <x:c r="D25" s="22" t="n">
        <x:v>1</x:v>
      </x:c>
      <x:c r="E25" s="25" t="str">
        <x:v>L2020-00003-1</x:v>
      </x:c>
      <x:c r="F25" s="25" t="str">
        <x:v>L2020-00003-1</x:v>
      </x:c>
      <x:c r="G25" s="25" t="str">
        <x:v>2020-05-25</x:v>
      </x:c>
      <x:c r="H25" s="25" t="str">
        <x:v>네팔 통합적 지역개발을 위한 연구개발 인프라구축사업 연구혁신센터 시공업체 선정 입찰</x:v>
      </x:c>
      <x:c r="I25" s="22" t="str">
        <x:v>C?</x:v>
      </x:c>
      <x:c r="J25" s="22" t="str">
        <x:v>WORKS</x:v>
      </x:c>
      <x:c r="K25" s="22" t="str">
        <x:v>MATCH</x:v>
      </x:c>
      <x:c r="L25" s="31" t="n">
        <x:v>3117</x:v>
      </x:c>
      <x:c r="M25" s="34" t="n">
        <x:v>2910000</x:v>
      </x:c>
      <x:c r="N25" s="34" t="n">
        <x:f>IFERROR(M25/L25,"")</x:f>
        <x:v>933.5899903753609</x:v>
      </x:c>
      <x:c r="O25" s="25" t="str">
        <x:v>동일 bid_base_no는 재공고군; 다른 base의 의미중복은 project sheet에서 별도 주의</x:v>
      </x:c>
      <x:c r="P25" s="22" t="n">
        <x:v>1</x:v>
      </x:c>
    </x:row>
    <x:row r="26">
      <x:c r="A26" s="22" t="str">
        <x:v>L2020-00009</x:v>
      </x:c>
      <x:c r="B26" s="22" t="str">
        <x:v>2016-00067</x:v>
      </x:c>
      <x:c r="C26" s="22" t="str">
        <x:v>미얀마</x:v>
      </x:c>
      <x:c r="D26" s="22" t="n">
        <x:v>1</x:v>
      </x:c>
      <x:c r="E26" s="25" t="str">
        <x:v>L2020-00009-1</x:v>
      </x:c>
      <x:c r="F26" s="25" t="str">
        <x:v>L2020-00009-1</x:v>
      </x:c>
      <x:c r="G26" s="25" t="str">
        <x:v>2020-08-05</x:v>
      </x:c>
      <x:c r="H26" s="25" t="str">
        <x:v>미얀마 농산물 유통센터 설립사업 시공업체 선정 입찰</x:v>
      </x:c>
      <x:c r="I26" s="22" t="str">
        <x:v>C</x:v>
      </x:c>
      <x:c r="J26" s="22" t="str">
        <x:v>WORKS</x:v>
      </x:c>
      <x:c r="K26" s="22" t="str">
        <x:v>MATCH</x:v>
      </x:c>
      <x:c r="L26" s="31" t="n">
        <x:v>7450</x:v>
      </x:c>
      <x:c r="M26" s="34" t="n">
        <x:v>3685199</x:v>
      </x:c>
      <x:c r="N26" s="34" t="n">
        <x:f>IFERROR(M26/L26,"")</x:f>
        <x:v>494.6575838926174</x:v>
      </x:c>
      <x:c r="O26" s="25" t="str">
        <x:v>동일 bid_base_no는 재공고군; 다른 base의 의미중복은 project sheet에서 별도 주의</x:v>
      </x:c>
      <x:c r="P26" s="22" t="n">
        <x:v>1</x:v>
      </x:c>
    </x:row>
    <x:row r="27">
      <x:c r="A27" s="22" t="str">
        <x:v>L2019-00011</x:v>
      </x:c>
      <x:c r="B27" s="22" t="str">
        <x:v>2016-00202</x:v>
      </x:c>
      <x:c r="C27" s="22" t="str">
        <x:v>라오스</x:v>
      </x:c>
      <x:c r="D27" s="22" t="n">
        <x:v>1</x:v>
      </x:c>
      <x:c r="E27" s="25" t="str">
        <x:v>L2019-00011-1</x:v>
      </x:c>
      <x:c r="F27" s="25" t="str">
        <x:v>L2019-00011-1</x:v>
      </x:c>
      <x:c r="G27" s="25" t="str">
        <x:v>2019-03-07</x:v>
      </x:c>
      <x:c r="H27" s="25" t="str">
        <x:v>라오스 이민국 신청사 건축 시공용역 현지입찰</x:v>
      </x:c>
      <x:c r="I27" s="22" t="str">
        <x:v>C</x:v>
      </x:c>
      <x:c r="J27" s="22" t="str">
        <x:v>WORKS</x:v>
      </x:c>
      <x:c r="K27" s="22" t="str">
        <x:v>MATCH</x:v>
      </x:c>
      <x:c r="L27" s="31" t="n">
        <x:v>5625</x:v>
      </x:c>
      <x:c r="M27" s="34" t="n">
        <x:v>5600000</x:v>
      </x:c>
      <x:c r="N27" s="34" t="n">
        <x:f>IFERROR(M27/L27,"")</x:f>
        <x:v>995.5555555555555</x:v>
      </x:c>
      <x:c r="O27" s="25" t="str">
        <x:v>동일 bid_base_no는 재공고군; 다른 base의 의미중복은 project sheet에서 별도 주의</x:v>
      </x:c>
      <x:c r="P27" s="22" t="n">
        <x:v>1</x:v>
      </x:c>
    </x:row>
    <x:row r="28">
      <x:c r="A28" s="22" t="str">
        <x:v>L2018-00005</x:v>
      </x:c>
      <x:c r="B28" s="22" t="str">
        <x:v>2016-00206</x:v>
      </x:c>
      <x:c r="C28" s="22" t="str">
        <x:v>요르단</x:v>
      </x:c>
      <x:c r="D28" s="22" t="n">
        <x:v>1</x:v>
      </x:c>
      <x:c r="E28" s="25" t="str">
        <x:v>L2018-00005-1</x:v>
      </x:c>
      <x:c r="F28" s="25" t="str">
        <x:v>L2018-00005-1</x:v>
      </x:c>
      <x:c r="G28" s="25" t="str">
        <x:v>2017-10-03</x:v>
      </x:c>
      <x:c r="H28" s="25" t="str">
        <x:v>요르단 시리아 난민 밀집지역 취약계층 아동을 위한 3개 학교 건립사업 설계감리 용역 선정</x:v>
      </x:c>
      <x:c r="I28" s="22" t="str">
        <x:v>X</x:v>
      </x:c>
      <x:c r="J28" s="22" t="str">
        <x:v>DESIGN_OR_SUPERVISION_SERVICE</x:v>
      </x:c>
      <x:c r="K28" s="22" t="str">
        <x:v>NO_MATCH</x:v>
      </x:c>
      <x:c r="L28" s="31" t="n">
        <x:v>3492</x:v>
      </x:c>
      <x:c r="M28" s="34"/>
      <x:c r="N28" s="34" t="n">
        <x:f>IFERROR(M28/L28,"")</x:f>
        <x:v>0</x:v>
      </x:c>
      <x:c r="O28" s="25" t="str">
        <x:v>동일 bid_base_no는 재공고군; 다른 base의 의미중복은 project sheet에서 별도 주의</x:v>
      </x:c>
      <x:c r="P28" s="22" t="n">
        <x:v>1</x:v>
      </x:c>
    </x:row>
    <x:row r="29">
      <x:c r="A29" s="22" t="str">
        <x:v>L2018-00020</x:v>
      </x:c>
      <x:c r="B29" s="22" t="str">
        <x:v>2016-00206</x:v>
      </x:c>
      <x:c r="C29" s="22" t="str">
        <x:v>요르단</x:v>
      </x:c>
      <x:c r="D29" s="22" t="n">
        <x:v>1</x:v>
      </x:c>
      <x:c r="E29" s="25" t="str">
        <x:v>L2018-00020-1</x:v>
      </x:c>
      <x:c r="F29" s="25" t="str">
        <x:v>L2018-00020-1</x:v>
      </x:c>
      <x:c r="G29" s="25" t="str">
        <x:v>2018-10-02</x:v>
      </x:c>
      <x:c r="H29" s="25" t="str">
        <x:v>요르단 시리아 난민밀집지역 취약계층 아동을 위한 3개 학교 건립사업 2개 학교 시공업체 선정 입찰</x:v>
      </x:c>
      <x:c r="I29" s="22" t="str">
        <x:v>C</x:v>
      </x:c>
      <x:c r="J29" s="22" t="str">
        <x:v>WORKS</x:v>
      </x:c>
      <x:c r="K29" s="22" t="str">
        <x:v>MATCH</x:v>
      </x:c>
      <x:c r="L29" s="31" t="n">
        <x:v>7599</x:v>
      </x:c>
      <x:c r="M29" s="34" t="n">
        <x:v>5354000</x:v>
      </x:c>
      <x:c r="N29" s="34" t="n">
        <x:f>IFERROR(M29/L29,"")</x:f>
        <x:v>704.566390314515</x:v>
      </x:c>
      <x:c r="O29" s="25" t="str">
        <x:v>동일 bid_base_no는 재공고군; 다른 base의 의미중복은 project sheet에서 별도 주의</x:v>
      </x:c>
      <x:c r="P29" s="22" t="n">
        <x:v>1</x:v>
      </x:c>
    </x:row>
    <x:row r="30">
      <x:c r="A30" s="22" t="str">
        <x:v>L2019-00043</x:v>
      </x:c>
      <x:c r="B30" s="22" t="str">
        <x:v>2016-00206</x:v>
      </x:c>
      <x:c r="C30" s="22" t="str">
        <x:v>요르단</x:v>
      </x:c>
      <x:c r="D30" s="22" t="n">
        <x:v>1</x:v>
      </x:c>
      <x:c r="E30" s="25" t="str">
        <x:v>L2019-00043-1</x:v>
      </x:c>
      <x:c r="F30" s="25" t="str">
        <x:v>L2019-00043-1</x:v>
      </x:c>
      <x:c r="G30" s="25" t="str">
        <x:v>2019-10-17</x:v>
      </x:c>
      <x:c r="H30" s="25" t="str">
        <x:v>요르단 시리아 난민 밀집지역 취약계층 아동을 위한 3개 학교 건립사업 자르카 학교 시공사 선정 입찰</x:v>
      </x:c>
      <x:c r="I30" s="22" t="str">
        <x:v>C</x:v>
      </x:c>
      <x:c r="J30" s="22" t="str">
        <x:v>WORKS</x:v>
      </x:c>
      <x:c r="K30" s="22" t="str">
        <x:v>MATCH</x:v>
      </x:c>
      <x:c r="L30" s="31" t="n">
        <x:v>3944.3</x:v>
      </x:c>
      <x:c r="M30" s="34" t="n">
        <x:v>2654320</x:v>
      </x:c>
      <x:c r="N30" s="34" t="n">
        <x:f>IFERROR(M30/L30,"")</x:f>
        <x:v>672.9508404533124</x:v>
      </x:c>
      <x:c r="O30" s="25" t="str">
        <x:v>동일 bid_base_no는 재공고군; 다른 base의 의미중복은 project sheet에서 별도 주의</x:v>
      </x:c>
      <x:c r="P30" s="22" t="n">
        <x:v>1</x:v>
      </x:c>
    </x:row>
    <x:row r="31">
      <x:c r="A31" s="22" t="str">
        <x:v>L2020-00007</x:v>
      </x:c>
      <x:c r="B31" s="22" t="str">
        <x:v>2016-00206</x:v>
      </x:c>
      <x:c r="C31" s="22" t="str">
        <x:v>요르단</x:v>
      </x:c>
      <x:c r="D31" s="22" t="n">
        <x:v>1</x:v>
      </x:c>
      <x:c r="E31" s="25" t="str">
        <x:v>L2020-00007-1</x:v>
      </x:c>
      <x:c r="F31" s="25" t="str">
        <x:v>L2020-00007-1</x:v>
      </x:c>
      <x:c r="G31" s="25" t="str">
        <x:v>2020-07-15</x:v>
      </x:c>
      <x:c r="H31" s="25" t="str">
        <x:v>요르단 시리아난민 밀집지역 취약계층 아동을 위한 3개 학교 건립사업 시공감리사 신규 선정 입찰</x:v>
      </x:c>
      <x:c r="I31" s="22" t="str">
        <x:v>X</x:v>
      </x:c>
      <x:c r="J31" s="22" t="str">
        <x:v>DESIGN_OR_SUPERVISION_SERVICE</x:v>
      </x:c>
      <x:c r="K31" s="22" t="str">
        <x:v>NO_MATCH</x:v>
      </x:c>
      <x:c r="L31" s="31" t="n">
        <x:v>10364</x:v>
      </x:c>
      <x:c r="M31" s="34"/>
      <x:c r="N31" s="34" t="n">
        <x:f>IFERROR(M31/L31,"")</x:f>
        <x:v>0</x:v>
      </x:c>
      <x:c r="O31" s="25" t="str">
        <x:v>동일 bid_base_no는 재공고군; 다른 base의 의미중복은 project sheet에서 별도 주의</x:v>
      </x:c>
      <x:c r="P31" s="22" t="n">
        <x:v>1</x:v>
      </x:c>
    </x:row>
    <x:row r="32">
      <x:c r="A32" s="22" t="str">
        <x:v>L2018-00019</x:v>
      </x:c>
      <x:c r="B32" s="22" t="str">
        <x:v>2016-00213</x:v>
      </x:c>
      <x:c r="C32" s="22" t="str">
        <x:v>라오스</x:v>
      </x:c>
      <x:c r="D32" s="22" t="n">
        <x:v>1</x:v>
      </x:c>
      <x:c r="E32" s="25" t="str">
        <x:v>L2018-00019-1</x:v>
      </x:c>
      <x:c r="F32" s="25" t="str">
        <x:v>L2018-00019-1</x:v>
      </x:c>
      <x:c r="G32" s="25" t="str">
        <x:v>2018-10-02</x:v>
      </x:c>
      <x:c r="H32" s="25" t="str">
        <x:v>라오스 한라 직업기술개발원 역량강화사업 건축 공사 설계 및 시공 일괄 입찰</x:v>
      </x:c>
      <x:c r="I32" s="22" t="str">
        <x:v>C?</x:v>
      </x:c>
      <x:c r="J32" s="22" t="str">
        <x:v>DESIGN_BUILD_WORKS</x:v>
      </x:c>
      <x:c r="K32" s="22" t="str">
        <x:v>MATCH</x:v>
      </x:c>
      <x:c r="L32" s="31" t="n">
        <x:v>6186</x:v>
      </x:c>
      <x:c r="M32" s="34" t="n">
        <x:v>2063987</x:v>
      </x:c>
      <x:c r="N32" s="34" t="n">
        <x:f>IFERROR(M32/L32,"")</x:f>
        <x:v>333.65454251535726</x:v>
      </x:c>
      <x:c r="O32" s="25" t="str">
        <x:v>동일 bid_base_no는 재공고군; 다른 base의 의미중복은 project sheet에서 별도 주의</x:v>
      </x:c>
      <x:c r="P32" s="22" t="n">
        <x:v>1</x:v>
      </x:c>
    </x:row>
    <x:row r="33">
      <x:c r="A33" s="22" t="str">
        <x:v>L2019-00040</x:v>
      </x:c>
      <x:c r="B33" s="22" t="str">
        <x:v>2016-00220</x:v>
      </x:c>
      <x:c r="C33" s="22" t="str">
        <x:v>엘살바도르</x:v>
      </x:c>
      <x:c r="D33" s="22" t="n">
        <x:v>2</x:v>
      </x:c>
      <x:c r="E33" s="25" t="str">
        <x:v>L2019-00040-1;L2019-00040-2</x:v>
      </x:c>
      <x:c r="F33" s="25" t="str">
        <x:v>L2019-00040-2</x:v>
      </x:c>
      <x:c r="G33" s="25" t="str">
        <x:v>2019-09-11</x:v>
      </x:c>
      <x:c r="H33" s="25" t="str">
        <x:v>엘살바도르 동부건조지역 수계 복원력증대를 통한 기후변화대응사업(17-20/800만불) 산림복원 시행업체(PC) 선정</x:v>
      </x:c>
      <x:c r="I33" s="22" t="str">
        <x:v>X</x:v>
      </x:c>
      <x:c r="J33" s="22" t="str">
        <x:v>NONBUILDING_OR_FALSE_AREA</x:v>
      </x:c>
      <x:c r="K33" s="22" t="str">
        <x:v>NO_MATCH</x:v>
      </x:c>
      <x:c r="L33" s="31"/>
      <x:c r="M33" s="34"/>
      <x:c r="N33" s="34" t="str">
        <x:f>IFERROR(M33/L33,"")</x:f>
      </x:c>
      <x:c r="O33" s="25" t="str">
        <x:v>동일 bid_base_no는 재공고군; 다른 base의 의미중복은 project sheet에서 별도 주의</x:v>
      </x:c>
      <x:c r="P33" s="22" t="n">
        <x:v>1</x:v>
      </x:c>
    </x:row>
    <x:row r="34">
      <x:c r="A34" s="22" t="str">
        <x:v>L2019-00041</x:v>
      </x:c>
      <x:c r="B34" s="22" t="str">
        <x:v>2016-00220</x:v>
      </x:c>
      <x:c r="C34" s="22" t="str">
        <x:v>엘살바도르</x:v>
      </x:c>
      <x:c r="D34" s="22" t="n">
        <x:v>1</x:v>
      </x:c>
      <x:c r="E34" s="25" t="str">
        <x:v>L2019-00041-1</x:v>
      </x:c>
      <x:c r="F34" s="25" t="str">
        <x:v>L2019-00041-1</x:v>
      </x:c>
      <x:c r="G34" s="25" t="str">
        <x:v>2019-04-12</x:v>
      </x:c>
      <x:c r="H34" s="25" t="str">
        <x:v>엘살바도르 동부건조지역 수계 복원력증대를 통한 기후변화대응사업('17-'20/800만불) 수자원확보 시행업체(PC) 선정</x:v>
      </x:c>
      <x:c r="I34" s="22" t="str">
        <x:v>X</x:v>
      </x:c>
      <x:c r="J34" s="22" t="str">
        <x:v>NONBUILDING_OR_FALSE_AREA</x:v>
      </x:c>
      <x:c r="K34" s="22" t="str">
        <x:v>NO_MATCH</x:v>
      </x:c>
      <x:c r="L34" s="31"/>
      <x:c r="M34" s="34"/>
      <x:c r="N34" s="34" t="str">
        <x:f>IFERROR(M34/L34,"")</x:f>
      </x:c>
      <x:c r="O34" s="25" t="str">
        <x:v>동일 bid_base_no는 재공고군; 다른 base의 의미중복은 project sheet에서 별도 주의</x:v>
      </x:c>
      <x:c r="P34" s="22" t="n">
        <x:v>1</x:v>
      </x:c>
    </x:row>
    <x:row r="35">
      <x:c r="A35" s="22" t="str">
        <x:v>L2019-00042</x:v>
      </x:c>
      <x:c r="B35" s="22" t="str">
        <x:v>2016-00220</x:v>
      </x:c>
      <x:c r="C35" s="22" t="str">
        <x:v>엘살바도르</x:v>
      </x:c>
      <x:c r="D35" s="22" t="n">
        <x:v>1</x:v>
      </x:c>
      <x:c r="E35" s="25" t="str">
        <x:v>L2019-00042-1</x:v>
      </x:c>
      <x:c r="F35" s="25" t="str">
        <x:v>L2019-00042-1</x:v>
      </x:c>
      <x:c r="G35" s="25" t="str">
        <x:v>2019-04-12</x:v>
      </x:c>
      <x:c r="H35" s="25" t="str">
        <x:v>엘살바도르 동부건조지역 수계 복원력증대를 통한 기후변화대응사업(17-20/800만불) 수자원복원 시행업체(PC) 선정</x:v>
      </x:c>
      <x:c r="I35" s="22" t="str">
        <x:v>X</x:v>
      </x:c>
      <x:c r="J35" s="22" t="str">
        <x:v>NONBUILDING_OR_FALSE_AREA</x:v>
      </x:c>
      <x:c r="K35" s="22" t="str">
        <x:v>NO_MATCH</x:v>
      </x:c>
      <x:c r="L35" s="31"/>
      <x:c r="M35" s="34"/>
      <x:c r="N35" s="34" t="str">
        <x:f>IFERROR(M35/L35,"")</x:f>
      </x:c>
      <x:c r="O35" s="25" t="str">
        <x:v>동일 bid_base_no는 재공고군; 다른 base의 의미중복은 project sheet에서 별도 주의</x:v>
      </x:c>
      <x:c r="P35" s="22" t="n">
        <x:v>1</x:v>
      </x:c>
    </x:row>
    <x:row r="36">
      <x:c r="A36" s="22" t="str">
        <x:v>L2022-00007</x:v>
      </x:c>
      <x:c r="B36" s="22" t="str">
        <x:v>2016-20098</x:v>
      </x:c>
      <x:c r="C36" s="22" t="str">
        <x:v>인도네시아</x:v>
      </x:c>
      <x:c r="D36" s="22" t="n">
        <x:v>2</x:v>
      </x:c>
      <x:c r="E36" s="25" t="str">
        <x:v>L2022-00007-1;L2022-00007-2</x:v>
      </x:c>
      <x:c r="F36" s="25" t="str">
        <x:v>L2022-00007-2</x:v>
      </x:c>
      <x:c r="G36" s="25" t="str">
        <x:v>2022-05-30</x:v>
      </x:c>
      <x:c r="H36" s="25" t="str">
        <x:v>인도네시아 경찰청 사이버범죄수사 교육센터 프로젝트 리모델링업체 선정 입찰</x:v>
      </x:c>
      <x:c r="I36" s="22" t="str">
        <x:v>C</x:v>
      </x:c>
      <x:c r="J36" s="22" t="str">
        <x:v>WORKS</x:v>
      </x:c>
      <x:c r="K36" s="22" t="str">
        <x:v>MATCH</x:v>
      </x:c>
      <x:c r="L36" s="31" t="n">
        <x:v>1458</x:v>
      </x:c>
      <x:c r="M36" s="34" t="n">
        <x:v>275400</x:v>
      </x:c>
      <x:c r="N36" s="34" t="n">
        <x:f>IFERROR(M36/L36,"")</x:f>
        <x:v>188.88888888888889</x:v>
      </x:c>
      <x:c r="O36" s="25" t="str">
        <x:v>동일 bid_base_no는 재공고군; 다른 base의 의미중복은 project sheet에서 별도 주의</x:v>
      </x:c>
      <x:c r="P36" s="22" t="n">
        <x:v>1</x:v>
      </x:c>
    </x:row>
    <x:row r="37">
      <x:c r="A37" s="22" t="str">
        <x:v>L2018-00012</x:v>
      </x:c>
      <x:c r="B37" s="22" t="str">
        <x:v>2016-20150</x:v>
      </x:c>
      <x:c r="C37" s="22" t="str">
        <x:v>필리핀</x:v>
      </x:c>
      <x:c r="D37" s="22" t="n">
        <x:v>1</x:v>
      </x:c>
      <x:c r="E37" s="25" t="str">
        <x:v>L2018-00012-1</x:v>
      </x:c>
      <x:c r="F37" s="25" t="str">
        <x:v>L2018-00012-1</x:v>
      </x:c>
      <x:c r="G37" s="25" t="str">
        <x:v>2018-08-07</x:v>
      </x:c>
      <x:c r="H37" s="25" t="str">
        <x:v>필리핀 퀴리노주 농촌종합개발 2차 사업 설계 및 시공 일괄용역</x:v>
      </x:c>
      <x:c r="I37" s="22" t="str">
        <x:v>C</x:v>
      </x:c>
      <x:c r="J37" s="22" t="str">
        <x:v>DESIGN_BUILD_WORKS</x:v>
      </x:c>
      <x:c r="K37" s="22" t="str">
        <x:v>MATCH</x:v>
      </x:c>
      <x:c r="L37" s="31" t="n">
        <x:v>6615</x:v>
      </x:c>
      <x:c r="M37" s="34" t="n">
        <x:v>4374688</x:v>
      </x:c>
      <x:c r="N37" s="34" t="n">
        <x:f>IFERROR(M37/L37,"")</x:f>
        <x:v>661.3284958427815</x:v>
      </x:c>
      <x:c r="O37" s="25" t="str">
        <x:v>동일 bid_base_no는 재공고군; 다른 base의 의미중복은 project sheet에서 별도 주의</x:v>
      </x:c>
      <x:c r="P37" s="22" t="n">
        <x:v>1</x:v>
      </x:c>
    </x:row>
    <x:row r="38">
      <x:c r="A38" s="22" t="str">
        <x:v>L2022-00042</x:v>
      </x:c>
      <x:c r="B38" s="22" t="str">
        <x:v>2016-20150</x:v>
      </x:c>
      <x:c r="C38" s="22" t="str">
        <x:v>필리핀</x:v>
      </x:c>
      <x:c r="D38" s="22" t="n">
        <x:v>1</x:v>
      </x:c>
      <x:c r="E38" s="25" t="str">
        <x:v>L2022-00042-1</x:v>
      </x:c>
      <x:c r="F38" s="25" t="str">
        <x:v>L2022-00042-1</x:v>
      </x:c>
      <x:c r="G38" s="25" t="str">
        <x:v>2022-08-19</x:v>
      </x:c>
      <x:c r="H38" s="25" t="str">
        <x:v>필리핀 퀴리노주 농촌종합개발 2차사업 잔여공사 시공사 선정</x:v>
      </x:c>
      <x:c r="I38" s="22" t="str">
        <x:v>C?</x:v>
      </x:c>
      <x:c r="J38" s="22" t="str">
        <x:v>WORKS</x:v>
      </x:c>
      <x:c r="K38" s="22" t="str">
        <x:v>MATCH</x:v>
      </x:c>
      <x:c r="L38" s="31" t="n">
        <x:v>6635</x:v>
      </x:c>
      <x:c r="M38" s="34" t="n">
        <x:v>1406000</x:v>
      </x:c>
      <x:c r="N38" s="34" t="n">
        <x:f>IFERROR(M38/L38,"")</x:f>
        <x:v>211.90655614167295</x:v>
      </x:c>
      <x:c r="O38" s="25" t="str">
        <x:v>동일 bid_base_no는 재공고군; 다른 base의 의미중복은 project sheet에서 별도 주의</x:v>
      </x:c>
      <x:c r="P38" s="22" t="n">
        <x:v>1</x:v>
      </x:c>
    </x:row>
    <x:row r="39">
      <x:c r="A39" s="22" t="str">
        <x:v>L2021-00011</x:v>
      </x:c>
      <x:c r="B39" s="22" t="str">
        <x:v>2016-20176</x:v>
      </x:c>
      <x:c r="C39" s="22" t="str">
        <x:v>도미니카</x:v>
      </x:c>
      <x:c r="D39" s="22" t="n">
        <x:v>1</x:v>
      </x:c>
      <x:c r="E39" s="25" t="str">
        <x:v>L2021-00011-1</x:v>
      </x:c>
      <x:c r="F39" s="25" t="str">
        <x:v>L2021-00011-1</x:v>
      </x:c>
      <x:c r="G39" s="25" t="str">
        <x:v>2021-04-16</x:v>
      </x:c>
      <x:c r="H39" s="25" t="str">
        <x:v>도미니카(공) 미성년자 임신방지 및 여성보건환경 개선 3차사업 산후안 성보건센터 현지 설계업체 선정</x:v>
      </x:c>
      <x:c r="I39" s="22" t="str">
        <x:v>X</x:v>
      </x:c>
      <x:c r="J39" s="22" t="str">
        <x:v>DESIGN_OR_SUPERVISION_SERVICE</x:v>
      </x:c>
      <x:c r="K39" s="22" t="str">
        <x:v>NO_MATCH</x:v>
      </x:c>
      <x:c r="L39" s="31" t="n">
        <x:v>850</x:v>
      </x:c>
      <x:c r="M39" s="34"/>
      <x:c r="N39" s="34" t="n">
        <x:f>IFERROR(M39/L39,"")</x:f>
        <x:v>0</x:v>
      </x:c>
      <x:c r="O39" s="25" t="str">
        <x:v>동일 bid_base_no는 재공고군; 다른 base의 의미중복은 project sheet에서 별도 주의</x:v>
      </x:c>
      <x:c r="P39" s="22" t="n">
        <x:v>1</x:v>
      </x:c>
    </x:row>
    <x:row r="40">
      <x:c r="A40" s="22" t="str">
        <x:v>L2022-00032</x:v>
      </x:c>
      <x:c r="B40" s="22" t="str">
        <x:v>2016-20176</x:v>
      </x:c>
      <x:c r="C40" s="22" t="str">
        <x:v>도미니카</x:v>
      </x:c>
      <x:c r="D40" s="22" t="n">
        <x:v>1</x:v>
      </x:c>
      <x:c r="E40" s="25" t="str">
        <x:v>L2022-00032-1</x:v>
      </x:c>
      <x:c r="F40" s="25" t="str">
        <x:v>L2022-00032-1</x:v>
      </x:c>
      <x:c r="G40" s="25" t="str">
        <x:v>2022-06-29</x:v>
      </x:c>
      <x:c r="H40" s="25" t="str">
        <x:v>도미니카공화국 미성년자 임신방지 및 여성보건환경개선 3차사업_산후안 성보건센터 건립 시공사 선정 현지입찰</x:v>
      </x:c>
      <x:c r="I40" s="22" t="str">
        <x:v>C?</x:v>
      </x:c>
      <x:c r="J40" s="22" t="str">
        <x:v>WORKS</x:v>
      </x:c>
      <x:c r="K40" s="22" t="str">
        <x:v>MATCH</x:v>
      </x:c>
      <x:c r="L40" s="31" t="n">
        <x:v>858</x:v>
      </x:c>
      <x:c r="M40" s="34" t="n">
        <x:v>1507000</x:v>
      </x:c>
      <x:c r="N40" s="34" t="n">
        <x:f>IFERROR(M40/L40,"")</x:f>
        <x:v>1756.4102564102564</x:v>
      </x:c>
      <x:c r="O40" s="25" t="str">
        <x:v>동일 bid_base_no는 재공고군; 다른 base의 의미중복은 project sheet에서 별도 주의</x:v>
      </x:c>
      <x:c r="P40" s="22" t="n">
        <x:v>1</x:v>
      </x:c>
    </x:row>
    <x:row r="41">
      <x:c r="A41" s="22" t="str">
        <x:v>L2022-00040</x:v>
      </x:c>
      <x:c r="B41" s="22" t="str">
        <x:v>2016-20176</x:v>
      </x:c>
      <x:c r="C41" s="22" t="str">
        <x:v>도미니카</x:v>
      </x:c>
      <x:c r="D41" s="22" t="n">
        <x:v>1</x:v>
      </x:c>
      <x:c r="E41" s="25" t="str">
        <x:v>L2022-00040-1</x:v>
      </x:c>
      <x:c r="F41" s="25" t="str">
        <x:v>L2022-00040-1</x:v>
      </x:c>
      <x:c r="G41" s="25" t="str">
        <x:v>2022-08-10</x:v>
      </x:c>
      <x:c r="H41" s="25" t="str">
        <x:v>도미니카공화국 미성년자 임신방지 및 여성보건환경개선 3차사업_산후안 성보건센터 건립 감리사 선정 현지입찰</x:v>
      </x:c>
      <x:c r="I41" s="22" t="str">
        <x:v>X</x:v>
      </x:c>
      <x:c r="J41" s="22" t="str">
        <x:v>DESIGN_OR_SUPERVISION_SERVICE</x:v>
      </x:c>
      <x:c r="K41" s="22" t="str">
        <x:v>NO_MATCH</x:v>
      </x:c>
      <x:c r="L41" s="31" t="n">
        <x:v>1000</x:v>
      </x:c>
      <x:c r="M41" s="34"/>
      <x:c r="N41" s="34" t="n">
        <x:f>IFERROR(M41/L41,"")</x:f>
        <x:v>0</x:v>
      </x:c>
      <x:c r="O41" s="25" t="str">
        <x:v>동일 bid_base_no는 재공고군; 다른 base의 의미중복은 project sheet에서 별도 주의</x:v>
      </x:c>
      <x:c r="P41" s="22" t="n">
        <x:v>1</x:v>
      </x:c>
    </x:row>
    <x:row r="42">
      <x:c r="A42" s="22" t="str">
        <x:v>L2022-00046</x:v>
      </x:c>
      <x:c r="B42" s="22" t="str">
        <x:v>2016-20176</x:v>
      </x:c>
      <x:c r="C42" s="22" t="str">
        <x:v>도미니카</x:v>
      </x:c>
      <x:c r="D42" s="22" t="n">
        <x:v>1</x:v>
      </x:c>
      <x:c r="E42" s="25" t="str">
        <x:v>L2022-00046-1</x:v>
      </x:c>
      <x:c r="F42" s="25" t="str">
        <x:v>L2022-00046-1</x:v>
      </x:c>
      <x:c r="G42" s="25" t="str">
        <x:v>2022-09-13</x:v>
      </x:c>
      <x:c r="H42" s="25" t="str">
        <x:v>도미니카공화국 미성년자 임신방지 및 여성보건환경개선 3차사업_산후안 성보건센터 건립 시공사 선정 현지입찰</x:v>
      </x:c>
      <x:c r="I42" s="22" t="str">
        <x:v>C</x:v>
      </x:c>
      <x:c r="J42" s="22" t="str">
        <x:v>WORKS</x:v>
      </x:c>
      <x:c r="K42" s="22" t="str">
        <x:v>MATCH</x:v>
      </x:c>
      <x:c r="L42" s="31" t="n">
        <x:v>858</x:v>
      </x:c>
      <x:c r="M42" s="34" t="n">
        <x:v>1507000</x:v>
      </x:c>
      <x:c r="N42" s="34" t="n">
        <x:f>IFERROR(M42/L42,"")</x:f>
        <x:v>1756.4102564102564</x:v>
      </x:c>
      <x:c r="O42" s="25" t="str">
        <x:v>동일 bid_base_no는 재공고군; 다른 base의 의미중복은 project sheet에서 별도 주의</x:v>
      </x:c>
      <x:c r="P42" s="22" t="n">
        <x:v>1</x:v>
      </x:c>
    </x:row>
    <x:row r="43">
      <x:c r="A43" s="22" t="str">
        <x:v>L2022-00060</x:v>
      </x:c>
      <x:c r="B43" s="22" t="str">
        <x:v>2016-20176</x:v>
      </x:c>
      <x:c r="C43" s="22" t="str">
        <x:v>도미니카</x:v>
      </x:c>
      <x:c r="D43" s="22" t="n">
        <x:v>1</x:v>
      </x:c>
      <x:c r="E43" s="25" t="str">
        <x:v>L2022-00060-1</x:v>
      </x:c>
      <x:c r="F43" s="25" t="str">
        <x:v>L2022-00060-1</x:v>
      </x:c>
      <x:c r="G43" s="25" t="str">
        <x:v>2022-10-10</x:v>
      </x:c>
      <x:c r="H43" s="25" t="str">
        <x:v>도미니카공화국 미성년자 임신방지 및 여성보건환경개선 3차사업_산후안 성보건센터 건립 감리사 선정 현지입찰</x:v>
      </x:c>
      <x:c r="I43" s="22" t="str">
        <x:v>X</x:v>
      </x:c>
      <x:c r="J43" s="22" t="str">
        <x:v>DESIGN_OR_SUPERVISION_SERVICE</x:v>
      </x:c>
      <x:c r="K43" s="22" t="str">
        <x:v>NO_MATCH</x:v>
      </x:c>
      <x:c r="L43" s="31" t="n">
        <x:v>858</x:v>
      </x:c>
      <x:c r="M43" s="34"/>
      <x:c r="N43" s="34" t="n">
        <x:f>IFERROR(M43/L43,"")</x:f>
        <x:v>0</x:v>
      </x:c>
      <x:c r="O43" s="25" t="str">
        <x:v>동일 bid_base_no는 재공고군; 다른 base의 의미중복은 project sheet에서 별도 주의</x:v>
      </x:c>
      <x:c r="P43" s="22" t="n">
        <x:v>1</x:v>
      </x:c>
    </x:row>
    <x:row r="44">
      <x:c r="A44" s="22" t="str">
        <x:v>L2018-00015</x:v>
      </x:c>
      <x:c r="B44" s="22" t="str">
        <x:v>2017-07115</x:v>
      </x:c>
      <x:c r="C44" s="22" t="str">
        <x:v>우즈베키스탄</x:v>
      </x:c>
      <x:c r="D44" s="22" t="n">
        <x:v>1</x:v>
      </x:c>
      <x:c r="E44" s="25" t="str">
        <x:v>L2018-00015-1</x:v>
      </x:c>
      <x:c r="F44" s="25" t="str">
        <x:v>L2018-00015-1</x:v>
      </x:c>
      <x:c r="G44" s="25" t="str">
        <x:v>2018-09-14</x:v>
      </x:c>
      <x:c r="H44" s="25" t="str">
        <x:v>우즈베키스탄 페르가나 직업훈련원 건축 설계/감리업체 현지입찰</x:v>
      </x:c>
      <x:c r="I44" s="22" t="str">
        <x:v>X</x:v>
      </x:c>
      <x:c r="J44" s="22" t="str">
        <x:v>DESIGN_OR_SUPERVISION_SERVICE</x:v>
      </x:c>
      <x:c r="K44" s="22" t="str">
        <x:v>NO_MATCH</x:v>
      </x:c>
      <x:c r="L44" s="31" t="n">
        <x:v>5000</x:v>
      </x:c>
      <x:c r="M44" s="34"/>
      <x:c r="N44" s="34" t="n">
        <x:f>IFERROR(M44/L44,"")</x:f>
        <x:v>0</x:v>
      </x:c>
      <x:c r="O44" s="25" t="str">
        <x:v>동일 bid_base_no는 재공고군; 다른 base의 의미중복은 project sheet에서 별도 주의</x:v>
      </x:c>
      <x:c r="P44" s="22" t="n">
        <x:v>1</x:v>
      </x:c>
    </x:row>
    <x:row r="45">
      <x:c r="A45" s="22" t="str">
        <x:v>L2019-00021</x:v>
      </x:c>
      <x:c r="B45" s="22" t="str">
        <x:v>2017-07115</x:v>
      </x:c>
      <x:c r="C45" s="22" t="str">
        <x:v>우즈베키스탄</x:v>
      </x:c>
      <x:c r="D45" s="22" t="n">
        <x:v>1</x:v>
      </x:c>
      <x:c r="E45" s="25" t="str">
        <x:v>L2019-00021-1</x:v>
      </x:c>
      <x:c r="F45" s="25" t="str">
        <x:v>L2019-00021-1</x:v>
      </x:c>
      <x:c r="G45" s="25" t="str">
        <x:v>2019-05-15</x:v>
      </x:c>
      <x:c r="H45" s="25" t="str">
        <x:v>우즈베키스탄 페르가나 직업훈련원 건립 신축공사 시공업체 선정 현지입찰</x:v>
      </x:c>
      <x:c r="I45" s="22" t="str">
        <x:v>C</x:v>
      </x:c>
      <x:c r="J45" s="22" t="str">
        <x:v>WORKS</x:v>
      </x:c>
      <x:c r="K45" s="22" t="str">
        <x:v>MATCH</x:v>
      </x:c>
      <x:c r="L45" s="31" t="n">
        <x:v>5455</x:v>
      </x:c>
      <x:c r="M45" s="34" t="n">
        <x:v>5350000</x:v>
      </x:c>
      <x:c r="N45" s="34" t="n">
        <x:f>IFERROR(M45/L45,"")</x:f>
        <x:v>980.7516040329973</x:v>
      </x:c>
      <x:c r="O45" s="25" t="str">
        <x:v>동일 bid_base_no는 재공고군; 다른 base의 의미중복은 project sheet에서 별도 주의</x:v>
      </x:c>
      <x:c r="P45" s="22" t="n">
        <x:v>1</x:v>
      </x:c>
    </x:row>
    <x:row r="46">
      <x:c r="A46" s="22" t="str">
        <x:v>L2020-00001</x:v>
      </x:c>
      <x:c r="B46" s="22" t="str">
        <x:v>2017-07192</x:v>
      </x:c>
      <x:c r="C46" s="22" t="str">
        <x:v>캄보디아</x:v>
      </x:c>
      <x:c r="D46" s="22" t="n">
        <x:v>2</x:v>
      </x:c>
      <x:c r="E46" s="25" t="str">
        <x:v>L2020-00001-1;L2020-00001-2</x:v>
      </x:c>
      <x:c r="F46" s="25" t="str">
        <x:v>L2020-00001-2</x:v>
      </x:c>
      <x:c r="G46" s="25" t="str">
        <x:v>2020-02-07</x:v>
      </x:c>
      <x:c r="H46" s="25" t="str">
        <x:v>캄보디아 앙두엉 이비인후과(ENT)병원 역량강화사업 시공업체 선정 입찰</x:v>
      </x:c>
      <x:c r="I46" s="22" t="str">
        <x:v>C</x:v>
      </x:c>
      <x:c r="J46" s="22" t="str">
        <x:v>WORKS</x:v>
      </x:c>
      <x:c r="K46" s="22" t="str">
        <x:v>MATCH</x:v>
      </x:c>
      <x:c r="L46" s="31" t="n">
        <x:v>4177.94</x:v>
      </x:c>
      <x:c r="M46" s="34" t="n">
        <x:v>4080000</x:v>
      </x:c>
      <x:c r="N46" s="34" t="n">
        <x:f>IFERROR(M46/L46,"")</x:f>
        <x:v>976.5578251482789</x:v>
      </x:c>
      <x:c r="O46" s="25" t="str">
        <x:v>동일 bid_base_no는 재공고군; 다른 base의 의미중복은 project sheet에서 별도 주의</x:v>
      </x:c>
      <x:c r="P46" s="22" t="n">
        <x:v>1</x:v>
      </x:c>
    </x:row>
    <x:row r="47">
      <x:c r="A47" s="22" t="str">
        <x:v>L2025-00009</x:v>
      </x:c>
      <x:c r="B47" s="22" t="str">
        <x:v>2017-14639</x:v>
      </x:c>
      <x:c r="C47" s="22" t="str">
        <x:v>페루</x:v>
      </x:c>
      <x:c r="D47" s="22" t="n">
        <x:v>1</x:v>
      </x:c>
      <x:c r="E47" s="25" t="str">
        <x:v>L2025-00009-1</x:v>
      </x:c>
      <x:c r="F47" s="25" t="str">
        <x:v>L2025-00009-1</x:v>
      </x:c>
      <x:c r="G47" s="25" t="str">
        <x:v>2025-03-03</x:v>
      </x:c>
      <x:c r="H47" s="25" t="str">
        <x:v>페루 제3 한·페 의료센터 건립사업 리모델링 설계용역 입찰</x:v>
      </x:c>
      <x:c r="I47" s="22" t="str">
        <x:v>X</x:v>
      </x:c>
      <x:c r="J47" s="22" t="str">
        <x:v>DESIGN_OR_SUPERVISION_SERVICE</x:v>
      </x:c>
      <x:c r="K47" s="22" t="str">
        <x:v>NO_MATCH</x:v>
      </x:c>
      <x:c r="L47" s="31" t="n">
        <x:v>1656.9</x:v>
      </x:c>
      <x:c r="M47" s="34"/>
      <x:c r="N47" s="34" t="n">
        <x:f>IFERROR(M47/L47,"")</x:f>
        <x:v>0</x:v>
      </x:c>
      <x:c r="O47" s="25" t="str">
        <x:v>동일 bid_base_no는 재공고군; 다른 base의 의미중복은 project sheet에서 별도 주의</x:v>
      </x:c>
      <x:c r="P47" s="22" t="n">
        <x:v>1</x:v>
      </x:c>
    </x:row>
    <x:row r="48">
      <x:c r="A48" s="22" t="str">
        <x:v>L2025-00025</x:v>
      </x:c>
      <x:c r="B48" s="22" t="str">
        <x:v>2017-14639</x:v>
      </x:c>
      <x:c r="C48" s="22" t="str">
        <x:v>페루</x:v>
      </x:c>
      <x:c r="D48" s="22" t="n">
        <x:v>1</x:v>
      </x:c>
      <x:c r="E48" s="25" t="str">
        <x:v>L2025-00025-1</x:v>
      </x:c>
      <x:c r="F48" s="25" t="str">
        <x:v>L2025-00025-1</x:v>
      </x:c>
      <x:c r="G48" s="25" t="str">
        <x:v>2025-04-23</x:v>
      </x:c>
      <x:c r="H48" s="25" t="str">
        <x:v>페루 제3 한·페 의료센터 건립사업 리모델링 설계용역 입찰(재공고)</x:v>
      </x:c>
      <x:c r="I48" s="22" t="str">
        <x:v>X</x:v>
      </x:c>
      <x:c r="J48" s="22" t="str">
        <x:v>DESIGN_OR_SUPERVISION_SERVICE</x:v>
      </x:c>
      <x:c r="K48" s="22" t="str">
        <x:v>NO_MATCH</x:v>
      </x:c>
      <x:c r="L48" s="31" t="n">
        <x:v>1656.9</x:v>
      </x:c>
      <x:c r="M48" s="34"/>
      <x:c r="N48" s="34" t="n">
        <x:f>IFERROR(M48/L48,"")</x:f>
        <x:v>0</x:v>
      </x:c>
      <x:c r="O48" s="25" t="str">
        <x:v>동일 bid_base_no는 재공고군; 다른 base의 의미중복은 project sheet에서 별도 주의</x:v>
      </x:c>
      <x:c r="P48" s="22" t="n">
        <x:v>1</x:v>
      </x:c>
    </x:row>
    <x:row r="49">
      <x:c r="A49" s="22" t="str">
        <x:v>L2019-00046</x:v>
      </x:c>
      <x:c r="B49" s="22" t="str">
        <x:v>2017-15267</x:v>
      </x:c>
      <x:c r="C49" s="22" t="str">
        <x:v>필리핀</x:v>
      </x:c>
      <x:c r="D49" s="22" t="n">
        <x:v>1</x:v>
      </x:c>
      <x:c r="E49" s="25" t="str">
        <x:v>L2019-00046-1</x:v>
      </x:c>
      <x:c r="F49" s="25" t="str">
        <x:v>L2019-00046-1</x:v>
      </x:c>
      <x:c r="G49" s="25" t="str">
        <x:v>2019-11-22</x:v>
      </x:c>
      <x:c r="H49" s="25" t="str">
        <x:v>필리핀 사무소 이전 관련 마감공사</x:v>
      </x:c>
      <x:c r="I49" s="22" t="str">
        <x:v>U</x:v>
      </x:c>
      <x:c r="J49" s="22" t="str">
        <x:v>MIXED_FITOUT_WORKS</x:v>
      </x:c>
      <x:c r="K49" s="22" t="str">
        <x:v>PARTIAL_MIXED_COST</x:v>
      </x:c>
      <x:c r="L49" s="31" t="n">
        <x:v>679</x:v>
      </x:c>
      <x:c r="M49" s="34"/>
      <x:c r="N49" s="34" t="n">
        <x:f>IFERROR(M49/L49,"")</x:f>
        <x:v>0</x:v>
      </x:c>
      <x:c r="O49" s="25" t="str">
        <x:v>동일 bid_base_no는 재공고군; 다른 base의 의미중복은 project sheet에서 별도 주의</x:v>
      </x:c>
      <x:c r="P49" s="22" t="n">
        <x:v>1</x:v>
      </x:c>
    </x:row>
    <x:row r="50">
      <x:c r="A50" s="22" t="str">
        <x:v>L2017-00001</x:v>
      </x:c>
      <x:c r="B50" s="22" t="str">
        <x:v>201701</x:v>
      </x:c>
      <x:c r="C50" s="22" t="str">
        <x:v>세네갈</x:v>
      </x:c>
      <x:c r="D50" s="22" t="n">
        <x:v>1</x:v>
      </x:c>
      <x:c r="E50" s="25" t="str">
        <x:v>L2017-00001-1</x:v>
      </x:c>
      <x:c r="F50" s="25" t="str">
        <x:v>L2017-00001-1</x:v>
      </x:c>
      <x:c r="G50" s="25" t="str">
        <x:v>2017-01-23</x:v>
      </x:c>
      <x:c r="H50" s="25" t="str">
        <x:v>세네갈 고등기술전문대학(ISEP) 설립사업 및 농업기술학교(CIPA) 역량강화사업 시공업체 선정</x:v>
      </x:c>
      <x:c r="I50" s="22" t="str">
        <x:v>C</x:v>
      </x:c>
      <x:c r="J50" s="22" t="str">
        <x:v>WORKS</x:v>
      </x:c>
      <x:c r="K50" s="22" t="str">
        <x:v>MATCH</x:v>
      </x:c>
      <x:c r="L50" s="31" t="n">
        <x:v>8694</x:v>
      </x:c>
      <x:c r="M50" s="34" t="n">
        <x:v>5664262.66</x:v>
      </x:c>
      <x:c r="N50" s="34" t="n">
        <x:f>IFERROR(M50/L50,"")</x:f>
        <x:v>651.5139935587762</x:v>
      </x:c>
      <x:c r="O50" s="25" t="str">
        <x:v>동일 bid_base_no는 재공고군; 다른 base의 의미중복은 project sheet에서 별도 주의</x:v>
      </x:c>
      <x:c r="P50" s="22" t="n">
        <x:v>1</x:v>
      </x:c>
    </x:row>
    <x:row r="51">
      <x:c r="A51" s="22" t="str">
        <x:v>L2025-00016</x:v>
      </x:c>
      <x:c r="B51" s="22" t="str">
        <x:v>2018-56501</x:v>
      </x:c>
      <x:c r="C51" s="22" t="str">
        <x:v>모잠비크</x:v>
      </x:c>
      <x:c r="D51" s="22" t="n">
        <x:v>2</x:v>
      </x:c>
      <x:c r="E51" s="25" t="str">
        <x:v>L2025-00016-1;L2025-00016-2</x:v>
      </x:c>
      <x:c r="F51" s="25" t="str">
        <x:v>L2025-00016-2</x:v>
      </x:c>
      <x:c r="G51" s="25" t="str">
        <x:v>2025-05-29</x:v>
      </x:c>
      <x:c r="H51" s="25" t="str">
        <x:v>(재공고) 모잠비크 마톨라 산업학교 역량강화사업 사후지원 보수 공사</x:v>
      </x:c>
      <x:c r="I51" s="22" t="str">
        <x:v>C-부분</x:v>
      </x:c>
      <x:c r="J51" s="22" t="str">
        <x:v>WORKS</x:v>
      </x:c>
      <x:c r="K51" s="22" t="str">
        <x:v>PARTIAL_SCOPE</x:v>
      </x:c>
      <x:c r="L51" s="31" t="n">
        <x:v>15500</x:v>
      </x:c>
      <x:c r="M51" s="34" t="n">
        <x:v>230586</x:v>
      </x:c>
      <x:c r="N51" s="34" t="n">
        <x:f>IFERROR(M51/L51,"")</x:f>
        <x:v>14.876516129032257</x:v>
      </x:c>
      <x:c r="O51" s="25" t="str">
        <x:v>동일 bid_base_no는 재공고군; 다른 base의 의미중복은 project sheet에서 별도 주의</x:v>
      </x:c>
      <x:c r="P51" s="22" t="n">
        <x:v>1</x:v>
      </x:c>
    </x:row>
    <x:row r="52">
      <x:c r="A52" s="22" t="str">
        <x:v>L2020-00015</x:v>
      </x:c>
      <x:c r="B52" s="22" t="str">
        <x:v>2019-00005</x:v>
      </x:c>
      <x:c r="C52" s="22" t="str">
        <x:v>우간다</x:v>
      </x:c>
      <x:c r="D52" s="22" t="n">
        <x:v>1</x:v>
      </x:c>
      <x:c r="E52" s="25" t="str">
        <x:v>L2020-00015-1</x:v>
      </x:c>
      <x:c r="F52" s="25" t="str">
        <x:v>L2020-00015-1</x:v>
      </x:c>
      <x:c r="G52" s="25" t="str">
        <x:v>2020-09-01</x:v>
      </x:c>
      <x:c r="H52" s="25" t="str">
        <x:v>우간다 2020년 Mityana District 2개 Parish 전기 공급 공사</x:v>
      </x:c>
      <x:c r="I52" s="22" t="str">
        <x:v>X</x:v>
      </x:c>
      <x:c r="J52" s="22" t="str">
        <x:v>NONBUILDING_OR_FALSE_AREA</x:v>
      </x:c>
      <x:c r="K52" s="22" t="str">
        <x:v>NO_MATCH</x:v>
      </x:c>
      <x:c r="L52" s="31"/>
      <x:c r="M52" s="34"/>
      <x:c r="N52" s="34" t="str">
        <x:f>IFERROR(M52/L52,"")</x:f>
      </x:c>
      <x:c r="O52" s="25" t="str">
        <x:v>동일 bid_base_no는 재공고군; 다른 base의 의미중복은 project sheet에서 별도 주의</x:v>
      </x:c>
      <x:c r="P52" s="22" t="n">
        <x:v>1</x:v>
      </x:c>
    </x:row>
    <x:row r="53">
      <x:c r="A53" s="22" t="str">
        <x:v>L2023-00009</x:v>
      </x:c>
      <x:c r="B53" s="22" t="str">
        <x:v>2019-00005</x:v>
      </x:c>
      <x:c r="C53" s="22" t="str">
        <x:v>우간다</x:v>
      </x:c>
      <x:c r="D53" s="22" t="n">
        <x:v>1</x:v>
      </x:c>
      <x:c r="E53" s="25" t="str">
        <x:v>L2023-00009-1</x:v>
      </x:c>
      <x:c r="F53" s="25" t="str">
        <x:v>L2023-00009-1</x:v>
      </x:c>
      <x:c r="G53" s="25" t="str">
        <x:v>2023-03-20</x:v>
      </x:c>
      <x:c r="H53" s="25" t="str">
        <x:v>우간다 지속가능 농촌개발 시범마을 확산사업 옥수수 가공시설 및 여성친화적 시장 건축 공사</x:v>
      </x:c>
      <x:c r="I53" s="22" t="str">
        <x:v>C</x:v>
      </x:c>
      <x:c r="J53" s="22" t="str">
        <x:v>WORKS</x:v>
      </x:c>
      <x:c r="K53" s="22" t="str">
        <x:v>MATCH</x:v>
      </x:c>
      <x:c r="L53" s="31" t="n">
        <x:v>835.67</x:v>
      </x:c>
      <x:c r="M53" s="34" t="n">
        <x:v>272603</x:v>
      </x:c>
      <x:c r="N53" s="34" t="n">
        <x:f>IFERROR(M53/L53,"")</x:f>
        <x:v>326.20891021575505</x:v>
      </x:c>
      <x:c r="O53" s="25" t="str">
        <x:v>동일 bid_base_no는 재공고군; 다른 base의 의미중복은 project sheet에서 별도 주의</x:v>
      </x:c>
      <x:c r="P53" s="22" t="n">
        <x:v>1</x:v>
      </x:c>
    </x:row>
    <x:row r="54">
      <x:c r="A54" s="22" t="str">
        <x:v>L2020-00004</x:v>
      </x:c>
      <x:c r="B54" s="22" t="str">
        <x:v>2019-00011</x:v>
      </x:c>
      <x:c r="C54" s="22" t="str">
        <x:v>모잠비크</x:v>
      </x:c>
      <x:c r="D54" s="22" t="n">
        <x:v>1</x:v>
      </x:c>
      <x:c r="E54" s="25" t="str">
        <x:v>L2020-00004-1</x:v>
      </x:c>
      <x:c r="F54" s="25" t="str">
        <x:v>L2020-00004-1</x:v>
      </x:c>
      <x:c r="G54" s="25" t="str">
        <x:v>2020-06-09</x:v>
      </x:c>
      <x:c r="H54" s="25" t="str">
        <x:v>모잠비크 직업훈련교육 역량강화사업 설계 및 시공감리 용역사 선정</x:v>
      </x:c>
      <x:c r="I54" s="22" t="str">
        <x:v>X</x:v>
      </x:c>
      <x:c r="J54" s="22" t="str">
        <x:v>DESIGN_OR_SUPERVISION_SERVICE</x:v>
      </x:c>
      <x:c r="K54" s="22" t="str">
        <x:v>NO_MATCH</x:v>
      </x:c>
      <x:c r="L54" s="31"/>
      <x:c r="M54" s="34"/>
      <x:c r="N54" s="34" t="str">
        <x:f>IFERROR(M54/L54,"")</x:f>
      </x:c>
      <x:c r="O54" s="25" t="str">
        <x:v>동일 bid_base_no는 재공고군; 다른 base의 의미중복은 project sheet에서 별도 주의</x:v>
      </x:c>
      <x:c r="P54" s="22" t="n">
        <x:v>1</x:v>
      </x:c>
    </x:row>
    <x:row r="55">
      <x:c r="A55" s="22" t="str">
        <x:v>L2022-00001</x:v>
      </x:c>
      <x:c r="B55" s="22" t="str">
        <x:v>2019-00011</x:v>
      </x:c>
      <x:c r="C55" s="22" t="str">
        <x:v>모잠비크</x:v>
      </x:c>
      <x:c r="D55" s="22" t="n">
        <x:v>1</x:v>
      </x:c>
      <x:c r="E55" s="25" t="str">
        <x:v>L2022-00001-1</x:v>
      </x:c>
      <x:c r="F55" s="25" t="str">
        <x:v>L2022-00001-1</x:v>
      </x:c>
      <x:c r="G55" s="25" t="str">
        <x:v>2022-01-14</x:v>
      </x:c>
      <x:c r="H55" s="25" t="str">
        <x:v>모잠비크 직업훈련교육 역량강화사업 시공업체 선정 국제 경쟁입찰</x:v>
      </x:c>
      <x:c r="I55" s="22" t="str">
        <x:v>U</x:v>
      </x:c>
      <x:c r="J55" s="22" t="str">
        <x:v>WORKS</x:v>
      </x:c>
      <x:c r="K55" s="22" t="str">
        <x:v>PARTIAL_SCOPE</x:v>
      </x:c>
      <x:c r="L55" s="31"/>
      <x:c r="M55" s="34" t="n">
        <x:v>2200000</x:v>
      </x:c>
      <x:c r="N55" s="34" t="str">
        <x:f>IFERROR(M55/L55,"")</x:f>
      </x:c>
      <x:c r="O55" s="25" t="str">
        <x:v>동일 bid_base_no는 재공고군; 다른 base의 의미중복은 project sheet에서 별도 주의</x:v>
      </x:c>
      <x:c r="P55" s="22" t="n">
        <x:v>1</x:v>
      </x:c>
    </x:row>
    <x:row r="56">
      <x:c r="A56" s="22" t="str">
        <x:v>L2021-00036</x:v>
      </x:c>
      <x:c r="B56" s="22" t="str">
        <x:v>2019-00015</x:v>
      </x:c>
      <x:c r="C56" s="22" t="str">
        <x:v>키르기즈</x:v>
      </x:c>
      <x:c r="D56" s="22" t="n">
        <x:v>1</x:v>
      </x:c>
      <x:c r="E56" s="25" t="str">
        <x:v>L2021-00036-1</x:v>
      </x:c>
      <x:c r="F56" s="25" t="str">
        <x:v>L2021-00036-1</x:v>
      </x:c>
      <x:c r="G56" s="25" t="str">
        <x:v>2021-11-01</x:v>
      </x:c>
      <x:c r="H56" s="25" t="str">
        <x:v>키르기즈공화국 유기농업 정책이행지원 및 역량강화사업 유기농 로컬푸드마켓 현지 설계 및 감리업체 선정</x:v>
      </x:c>
      <x:c r="I56" s="22" t="str">
        <x:v>X</x:v>
      </x:c>
      <x:c r="J56" s="22" t="str">
        <x:v>DESIGN_OR_SUPERVISION_SERVICE</x:v>
      </x:c>
      <x:c r="K56" s="22" t="str">
        <x:v>NO_MATCH</x:v>
      </x:c>
      <x:c r="L56" s="31" t="n">
        <x:v>487</x:v>
      </x:c>
      <x:c r="M56" s="34"/>
      <x:c r="N56" s="34" t="n">
        <x:f>IFERROR(M56/L56,"")</x:f>
        <x:v>0</x:v>
      </x:c>
      <x:c r="O56" s="25" t="str">
        <x:v>동일 bid_base_no는 재공고군; 다른 base의 의미중복은 project sheet에서 별도 주의</x:v>
      </x:c>
      <x:c r="P56" s="22" t="n">
        <x:v>1</x:v>
      </x:c>
    </x:row>
    <x:row r="57">
      <x:c r="A57" s="22" t="str">
        <x:v>L2022-00055</x:v>
      </x:c>
      <x:c r="B57" s="22" t="str">
        <x:v>2019-00015</x:v>
      </x:c>
      <x:c r="C57" s="22" t="str">
        <x:v>키르기즈</x:v>
      </x:c>
      <x:c r="D57" s="22" t="n">
        <x:v>1</x:v>
      </x:c>
      <x:c r="E57" s="25" t="str">
        <x:v>L2022-00055-1</x:v>
      </x:c>
      <x:c r="F57" s="25" t="str">
        <x:v>L2022-00055-1</x:v>
      </x:c>
      <x:c r="G57" s="25" t="str">
        <x:v>2022-09-22</x:v>
      </x:c>
      <x:c r="H57" s="25" t="str">
        <x:v>키르기즈공화국 유기농업정책 이행지원 및 역량강화 사업 약초건조장 신축공사 시공업체 선정 현지입찰</x:v>
      </x:c>
      <x:c r="I57" s="22" t="str">
        <x:v>C</x:v>
      </x:c>
      <x:c r="J57" s="22" t="str">
        <x:v>WORKS</x:v>
      </x:c>
      <x:c r="K57" s="22" t="str">
        <x:v>MATCH</x:v>
      </x:c>
      <x:c r="L57" s="31" t="n">
        <x:v>449.72</x:v>
      </x:c>
      <x:c r="M57" s="34" t="n">
        <x:v>420285</x:v>
      </x:c>
      <x:c r="N57" s="34" t="n">
        <x:f>IFERROR(M57/L57,"")</x:f>
        <x:v>934.5481633016099</x:v>
      </x:c>
      <x:c r="O57" s="25" t="str">
        <x:v>동일 bid_base_no는 재공고군; 다른 base의 의미중복은 project sheet에서 별도 주의</x:v>
      </x:c>
      <x:c r="P57" s="22" t="n">
        <x:v>1</x:v>
      </x:c>
    </x:row>
    <x:row r="58">
      <x:c r="A58" s="22" t="str">
        <x:v>L2023-00035</x:v>
      </x:c>
      <x:c r="B58" s="22" t="str">
        <x:v>2019-00015</x:v>
      </x:c>
      <x:c r="C58" s="22" t="str">
        <x:v>키르기즈</x:v>
      </x:c>
      <x:c r="D58" s="22" t="n">
        <x:v>1</x:v>
      </x:c>
      <x:c r="E58" s="25" t="str">
        <x:v>L2023-00035-1</x:v>
      </x:c>
      <x:c r="F58" s="25" t="str">
        <x:v>L2023-00035-1</x:v>
      </x:c>
      <x:c r="G58" s="25" t="str">
        <x:v>2023-07-07</x:v>
      </x:c>
      <x:c r="H58" s="25" t="str">
        <x:v>(긴급) 키르기스스탄 OPSC 개보수 공사 시공업체 선정 현지 입찰</x:v>
      </x:c>
      <x:c r="I58" s="22" t="str">
        <x:v>C</x:v>
      </x:c>
      <x:c r="J58" s="22" t="str">
        <x:v>WORKS</x:v>
      </x:c>
      <x:c r="K58" s="22" t="str">
        <x:v>MATCH</x:v>
      </x:c>
      <x:c r="L58" s="31" t="n">
        <x:v>1739.82</x:v>
      </x:c>
      <x:c r="M58" s="34" t="n">
        <x:v>388511</x:v>
      </x:c>
      <x:c r="N58" s="34" t="n">
        <x:f>IFERROR(M58/L58,"")</x:f>
        <x:v>223.30528445471373</x:v>
      </x:c>
      <x:c r="O58" s="25" t="str">
        <x:v>동일 bid_base_no는 재공고군; 다른 base의 의미중복은 project sheet에서 별도 주의</x:v>
      </x:c>
      <x:c r="P58" s="22" t="n">
        <x:v>1</x:v>
      </x:c>
    </x:row>
    <x:row r="59">
      <x:c r="A59" s="22" t="str">
        <x:v>L2024-00074</x:v>
      </x:c>
      <x:c r="B59" s="22" t="str">
        <x:v>2019-00027</x:v>
      </x:c>
      <x:c r="C59" s="22" t="str">
        <x:v>알제리</x:v>
      </x:c>
      <x:c r="D59" s="22" t="n">
        <x:v>1</x:v>
      </x:c>
      <x:c r="E59" s="25" t="str">
        <x:v>L2024-00074-1</x:v>
      </x:c>
      <x:c r="F59" s="25" t="str">
        <x:v>L2024-00074-1</x:v>
      </x:c>
      <x:c r="G59" s="25" t="str">
        <x:v>2024-11-08</x:v>
      </x:c>
      <x:c r="H59" s="25" t="str">
        <x:v>알제리 사이버보안센터 건립사업 기자재 및 가구</x:v>
      </x:c>
      <x:c r="I59" s="22" t="str">
        <x:v>X</x:v>
      </x:c>
      <x:c r="J59" s="22" t="str">
        <x:v>GOODS</x:v>
      </x:c>
      <x:c r="K59" s="22" t="str">
        <x:v>NO_MATCH</x:v>
      </x:c>
      <x:c r="L59" s="31"/>
      <x:c r="M59" s="34"/>
      <x:c r="N59" s="34" t="str">
        <x:f>IFERROR(M59/L59,"")</x:f>
      </x:c>
      <x:c r="O59" s="25" t="str">
        <x:v>동일 bid_base_no는 재공고군; 다른 base의 의미중복은 project sheet에서 별도 주의</x:v>
      </x:c>
      <x:c r="P59" s="22" t="n">
        <x:v>1</x:v>
      </x:c>
    </x:row>
    <x:row r="60">
      <x:c r="A60" s="22" t="str">
        <x:v>L2021-00030</x:v>
      </x:c>
      <x:c r="B60" s="22" t="str">
        <x:v>2019-00032</x:v>
      </x:c>
      <x:c r="C60" s="22" t="str">
        <x:v>파라과이</x:v>
      </x:c>
      <x:c r="D60" s="22" t="n">
        <x:v>1</x:v>
      </x:c>
      <x:c r="E60" s="25" t="str">
        <x:v>L2021-00030-1</x:v>
      </x:c>
      <x:c r="F60" s="25" t="str">
        <x:v>L2021-00030-1</x:v>
      </x:c>
      <x:c r="G60" s="25" t="str">
        <x:v>2021-10-20</x:v>
      </x:c>
      <x:c r="H60" s="25" t="str">
        <x:v>파라과이 항공 전문인력 역량강화사업 격납고 현지 시공사 선정 국제경쟁 입찰</x:v>
      </x:c>
      <x:c r="I60" s="22" t="str">
        <x:v>C</x:v>
      </x:c>
      <x:c r="J60" s="22" t="str">
        <x:v>WORKS</x:v>
      </x:c>
      <x:c r="K60" s="22" t="str">
        <x:v>MATCH</x:v>
      </x:c>
      <x:c r="L60" s="31" t="n">
        <x:v>945</x:v>
      </x:c>
      <x:c r="M60" s="34" t="n">
        <x:v>892000</x:v>
      </x:c>
      <x:c r="N60" s="34" t="n">
        <x:f>IFERROR(M60/L60,"")</x:f>
        <x:v>943.9153439153439</x:v>
      </x:c>
      <x:c r="O60" s="25" t="str">
        <x:v>동일 bid_base_no는 재공고군; 다른 base의 의미중복은 project sheet에서 별도 주의</x:v>
      </x:c>
      <x:c r="P60" s="22" t="n">
        <x:v>1</x:v>
      </x:c>
    </x:row>
    <x:row r="61">
      <x:c r="A61" s="22" t="str">
        <x:v>L2021-00042</x:v>
      </x:c>
      <x:c r="B61" s="22" t="str">
        <x:v>2019-00032</x:v>
      </x:c>
      <x:c r="C61" s="22" t="str">
        <x:v>파라과이</x:v>
      </x:c>
      <x:c r="D61" s="22" t="n">
        <x:v>1</x:v>
      </x:c>
      <x:c r="E61" s="25" t="str">
        <x:v>L2021-00042-1</x:v>
      </x:c>
      <x:c r="F61" s="25" t="str">
        <x:v>L2021-00042-1</x:v>
      </x:c>
      <x:c r="G61" s="25" t="str">
        <x:v>2021-11-17</x:v>
      </x:c>
      <x:c r="H61" s="25" t="str">
        <x:v>파라과이 항공 전문인력 역량강화사업 격납고 현지 감리사 선정 국제경쟁 입찰</x:v>
      </x:c>
      <x:c r="I61" s="22" t="str">
        <x:v>X</x:v>
      </x:c>
      <x:c r="J61" s="22" t="str">
        <x:v>DESIGN_OR_SUPERVISION_SERVICE</x:v>
      </x:c>
      <x:c r="K61" s="22" t="str">
        <x:v>NO_MATCH</x:v>
      </x:c>
      <x:c r="L61" s="31" t="n">
        <x:v>945</x:v>
      </x:c>
      <x:c r="M61" s="34"/>
      <x:c r="N61" s="34" t="n">
        <x:f>IFERROR(M61/L61,"")</x:f>
        <x:v>0</x:v>
      </x:c>
      <x:c r="O61" s="25" t="str">
        <x:v>동일 bid_base_no는 재공고군; 다른 base의 의미중복은 project sheet에서 별도 주의</x:v>
      </x:c>
      <x:c r="P61" s="22" t="n">
        <x:v>1</x:v>
      </x:c>
    </x:row>
    <x:row r="62">
      <x:c r="A62" s="22" t="str">
        <x:v>L2021-00045</x:v>
      </x:c>
      <x:c r="B62" s="22" t="str">
        <x:v>2019-00032</x:v>
      </x:c>
      <x:c r="C62" s="22" t="str">
        <x:v>파라과이</x:v>
      </x:c>
      <x:c r="D62" s="22" t="n">
        <x:v>1</x:v>
      </x:c>
      <x:c r="E62" s="25" t="str">
        <x:v>L2021-00045-1</x:v>
      </x:c>
      <x:c r="F62" s="25" t="str">
        <x:v>L2021-00045-1</x:v>
      </x:c>
      <x:c r="G62" s="25" t="str">
        <x:v>2021-12-28</x:v>
      </x:c>
      <x:c r="H62" s="25" t="str">
        <x:v>파라과이 항공 전문인력 역량강화사업 항공훈련센터 현지 시공사 선정 국제경쟁 입찰</x:v>
      </x:c>
      <x:c r="I62" s="22" t="str">
        <x:v>C</x:v>
      </x:c>
      <x:c r="J62" s="22" t="str">
        <x:v>WORKS</x:v>
      </x:c>
      <x:c r="K62" s="22" t="str">
        <x:v>MATCH</x:v>
      </x:c>
      <x:c r="L62" s="31" t="n">
        <x:v>2866.41</x:v>
      </x:c>
      <x:c r="M62" s="34" t="n">
        <x:v>2415000</x:v>
      </x:c>
      <x:c r="N62" s="34" t="n">
        <x:f>IFERROR(M62/L62,"")</x:f>
        <x:v>842.5172951531707</x:v>
      </x:c>
      <x:c r="O62" s="25" t="str">
        <x:v>동일 bid_base_no는 재공고군; 다른 base의 의미중복은 project sheet에서 별도 주의</x:v>
      </x:c>
      <x:c r="P62" s="22" t="n">
        <x:v>1</x:v>
      </x:c>
    </x:row>
    <x:row r="63">
      <x:c r="A63" s="22" t="str">
        <x:v>L2022-00002</x:v>
      </x:c>
      <x:c r="B63" s="22" t="str">
        <x:v>2019-00032</x:v>
      </x:c>
      <x:c r="C63" s="22" t="str">
        <x:v>파라과이</x:v>
      </x:c>
      <x:c r="D63" s="22" t="n">
        <x:v>1</x:v>
      </x:c>
      <x:c r="E63" s="25" t="str">
        <x:v>L2022-00002-1</x:v>
      </x:c>
      <x:c r="F63" s="25" t="str">
        <x:v>L2022-00002-1</x:v>
      </x:c>
      <x:c r="G63" s="25" t="str">
        <x:v>2022-01-20</x:v>
      </x:c>
      <x:c r="H63" s="25" t="str">
        <x:v>파라과이 항공 전문인력 역량강화사업 항공훈련센터 현지 감리사 선정 국제경쟁 입찰</x:v>
      </x:c>
      <x:c r="I63" s="22" t="str">
        <x:v>X</x:v>
      </x:c>
      <x:c r="J63" s="22" t="str">
        <x:v>DESIGN_OR_SUPERVISION_SERVICE</x:v>
      </x:c>
      <x:c r="K63" s="22" t="str">
        <x:v>NO_MATCH</x:v>
      </x:c>
      <x:c r="L63" s="31" t="n">
        <x:v>2866.41</x:v>
      </x:c>
      <x:c r="M63" s="34"/>
      <x:c r="N63" s="34" t="n">
        <x:f>IFERROR(M63/L63,"")</x:f>
        <x:v>0</x:v>
      </x:c>
      <x:c r="O63" s="25" t="str">
        <x:v>동일 bid_base_no는 재공고군; 다른 base의 의미중복은 project sheet에서 별도 주의</x:v>
      </x:c>
      <x:c r="P63" s="22" t="n">
        <x:v>1</x:v>
      </x:c>
    </x:row>
    <x:row r="64">
      <x:c r="A64" s="22" t="str">
        <x:v>L2023-00027</x:v>
      </x:c>
      <x:c r="B64" s="22" t="str">
        <x:v>2019-00037</x:v>
      </x:c>
      <x:c r="C64" s="22" t="str">
        <x:v>엘살바도르</x:v>
      </x:c>
      <x:c r="D64" s="22" t="n">
        <x:v>1</x:v>
      </x:c>
      <x:c r="E64" s="25" t="str">
        <x:v>L2023-00027-1</x:v>
      </x:c>
      <x:c r="F64" s="25" t="str">
        <x:v>L2023-00027-1</x:v>
      </x:c>
      <x:c r="G64" s="25" t="str">
        <x:v>2023-06-21</x:v>
      </x:c>
      <x:c r="H64" s="25" t="str">
        <x:v>엘살바도르 국립보건교육센터 설립 및 보건교육 강화사업 시공사 선정 입찰</x:v>
      </x:c>
      <x:c r="I64" s="22" t="str">
        <x:v>C?</x:v>
      </x:c>
      <x:c r="J64" s="22" t="str">
        <x:v>WORKS</x:v>
      </x:c>
      <x:c r="K64" s="22" t="str">
        <x:v>MATCH</x:v>
      </x:c>
      <x:c r="L64" s="31" t="n">
        <x:v>2983</x:v>
      </x:c>
      <x:c r="M64" s="34" t="n">
        <x:v>3875000</x:v>
      </x:c>
      <x:c r="N64" s="34" t="n">
        <x:f>IFERROR(M64/L64,"")</x:f>
        <x:v>1299.0278243379148</x:v>
      </x:c>
      <x:c r="O64" s="25" t="str">
        <x:v>동일 bid_base_no는 재공고군; 다른 base의 의미중복은 project sheet에서 별도 주의</x:v>
      </x:c>
      <x:c r="P64" s="22" t="n">
        <x:v>1</x:v>
      </x:c>
    </x:row>
    <x:row r="65">
      <x:c r="A65" s="22" t="str">
        <x:v>L2023-00037</x:v>
      </x:c>
      <x:c r="B65" s="22" t="str">
        <x:v>2019-00037</x:v>
      </x:c>
      <x:c r="C65" s="22" t="str">
        <x:v>엘살바도르</x:v>
      </x:c>
      <x:c r="D65" s="22" t="n">
        <x:v>1</x:v>
      </x:c>
      <x:c r="E65" s="25" t="str">
        <x:v>L2023-00037-1</x:v>
      </x:c>
      <x:c r="F65" s="25" t="str">
        <x:v>L2023-00037-1</x:v>
      </x:c>
      <x:c r="G65" s="25" t="str">
        <x:v>2023-07-18</x:v>
      </x:c>
      <x:c r="H65" s="25" t="str">
        <x:v>엘살바도르 국립보건교육센터 설립 및 보건교육 강화사업 감리 용역 현지 입찰</x:v>
      </x:c>
      <x:c r="I65" s="22" t="str">
        <x:v>X</x:v>
      </x:c>
      <x:c r="J65" s="22" t="str">
        <x:v>DESIGN_OR_SUPERVISION_SERVICE</x:v>
      </x:c>
      <x:c r="K65" s="22" t="str">
        <x:v>NO_MATCH</x:v>
      </x:c>
      <x:c r="L65" s="31" t="n">
        <x:v>2983</x:v>
      </x:c>
      <x:c r="M65" s="34"/>
      <x:c r="N65" s="34" t="n">
        <x:f>IFERROR(M65/L65,"")</x:f>
        <x:v>0</x:v>
      </x:c>
      <x:c r="O65" s="25" t="str">
        <x:v>동일 bid_base_no는 재공고군; 다른 base의 의미중복은 project sheet에서 별도 주의</x:v>
      </x:c>
      <x:c r="P65" s="22" t="n">
        <x:v>1</x:v>
      </x:c>
    </x:row>
    <x:row r="66">
      <x:c r="A66" s="22" t="str">
        <x:v>L2023-00057</x:v>
      </x:c>
      <x:c r="B66" s="22" t="str">
        <x:v>2019-00037</x:v>
      </x:c>
      <x:c r="C66" s="22" t="str">
        <x:v>엘살바도르</x:v>
      </x:c>
      <x:c r="D66" s="22" t="n">
        <x:v>1</x:v>
      </x:c>
      <x:c r="E66" s="25" t="str">
        <x:v>L2023-00057-1</x:v>
      </x:c>
      <x:c r="F66" s="25" t="str">
        <x:v>L2023-00057-1</x:v>
      </x:c>
      <x:c r="G66" s="25" t="str">
        <x:v>2023-09-08</x:v>
      </x:c>
      <x:c r="H66" s="25" t="str">
        <x:v>엘살바도르 국립보건교육센터 설립 및 보건교육 강화사업 감리 용역 현지 입찰 (재공고)</x:v>
      </x:c>
      <x:c r="I66" s="22" t="str">
        <x:v>X</x:v>
      </x:c>
      <x:c r="J66" s="22" t="str">
        <x:v>DESIGN_OR_SUPERVISION_SERVICE</x:v>
      </x:c>
      <x:c r="K66" s="22" t="str">
        <x:v>NO_MATCH</x:v>
      </x:c>
      <x:c r="L66" s="31" t="n">
        <x:v>2983</x:v>
      </x:c>
      <x:c r="M66" s="34"/>
      <x:c r="N66" s="34" t="n">
        <x:f>IFERROR(M66/L66,"")</x:f>
        <x:v>0</x:v>
      </x:c>
      <x:c r="O66" s="25" t="str">
        <x:v>동일 bid_base_no는 재공고군; 다른 base의 의미중복은 project sheet에서 별도 주의</x:v>
      </x:c>
      <x:c r="P66" s="22" t="n">
        <x:v>1</x:v>
      </x:c>
    </x:row>
    <x:row r="67">
      <x:c r="A67" s="22" t="str">
        <x:v>L2023-00058</x:v>
      </x:c>
      <x:c r="B67" s="22" t="str">
        <x:v>2019-00037</x:v>
      </x:c>
      <x:c r="C67" s="22" t="str">
        <x:v>엘살바도르</x:v>
      </x:c>
      <x:c r="D67" s="22" t="n">
        <x:v>1</x:v>
      </x:c>
      <x:c r="E67" s="25" t="str">
        <x:v>L2023-00058-1</x:v>
      </x:c>
      <x:c r="F67" s="25" t="str">
        <x:v>L2023-00058-1</x:v>
      </x:c>
      <x:c r="G67" s="25" t="str">
        <x:v>2023-08-07</x:v>
      </x:c>
      <x:c r="H67" s="25" t="str">
        <x:v>엘살바도르 국립보건교육센터 설립 및 보건교육 강화사업 시공사 선정 입찰(재공고)</x:v>
      </x:c>
      <x:c r="I67" s="22" t="str">
        <x:v>C?</x:v>
      </x:c>
      <x:c r="J67" s="22" t="str">
        <x:v>WORKS</x:v>
      </x:c>
      <x:c r="K67" s="22" t="str">
        <x:v>MATCH</x:v>
      </x:c>
      <x:c r="L67" s="31" t="n">
        <x:v>2983</x:v>
      </x:c>
      <x:c r="M67" s="34" t="n">
        <x:v>3875000</x:v>
      </x:c>
      <x:c r="N67" s="34" t="n">
        <x:f>IFERROR(M67/L67,"")</x:f>
        <x:v>1299.0278243379148</x:v>
      </x:c>
      <x:c r="O67" s="25" t="str">
        <x:v>동일 bid_base_no는 재공고군; 다른 base의 의미중복은 project sheet에서 별도 주의</x:v>
      </x:c>
      <x:c r="P67" s="22" t="n">
        <x:v>1</x:v>
      </x:c>
    </x:row>
    <x:row r="68">
      <x:c r="A68" s="22" t="str">
        <x:v>L2023-00060</x:v>
      </x:c>
      <x:c r="B68" s="22" t="str">
        <x:v>2019-00037</x:v>
      </x:c>
      <x:c r="C68" s="22" t="str">
        <x:v>엘살바도르</x:v>
      </x:c>
      <x:c r="D68" s="22" t="n">
        <x:v>1</x:v>
      </x:c>
      <x:c r="E68" s="25" t="str">
        <x:v>L2023-00060-1</x:v>
      </x:c>
      <x:c r="F68" s="25" t="str">
        <x:v>L2023-00060-1</x:v>
      </x:c>
      <x:c r="G68" s="25" t="str">
        <x:v>2023-10-09</x:v>
      </x:c>
      <x:c r="H68" s="25" t="str">
        <x:v>엘살바도르 국립보건교육센터 설립 및 보건교육 강화사업 시공사 선정 입찰</x:v>
      </x:c>
      <x:c r="I68" s="22" t="str">
        <x:v>C</x:v>
      </x:c>
      <x:c r="J68" s="22" t="str">
        <x:v>WORKS</x:v>
      </x:c>
      <x:c r="K68" s="22" t="str">
        <x:v>MATCH</x:v>
      </x:c>
      <x:c r="L68" s="31" t="n">
        <x:v>2983</x:v>
      </x:c>
      <x:c r="M68" s="34" t="n">
        <x:v>3875000</x:v>
      </x:c>
      <x:c r="N68" s="34" t="n">
        <x:f>IFERROR(M68/L68,"")</x:f>
        <x:v>1299.0278243379148</x:v>
      </x:c>
      <x:c r="O68" s="25" t="str">
        <x:v>동일 bid_base_no는 재공고군; 다른 base의 의미중복은 project sheet에서 별도 주의</x:v>
      </x:c>
      <x:c r="P68" s="22" t="n">
        <x:v>1</x:v>
      </x:c>
    </x:row>
    <x:row r="69">
      <x:c r="A69" s="22" t="str">
        <x:v>L2021-00031</x:v>
      </x:c>
      <x:c r="B69" s="22" t="str">
        <x:v>2019-00045</x:v>
      </x:c>
      <x:c r="C69" s="22" t="str">
        <x:v>파키스탄</x:v>
      </x:c>
      <x:c r="D69" s="22" t="n">
        <x:v>1</x:v>
      </x:c>
      <x:c r="E69" s="25" t="str">
        <x:v>L2021-00031-1</x:v>
      </x:c>
      <x:c r="F69" s="25" t="str">
        <x:v>L2021-00031-1</x:v>
      </x:c>
      <x:c r="G69" s="25" t="str">
        <x:v>2021-10-22</x:v>
      </x:c>
      <x:c r="H69" s="25" t="str">
        <x:v>파키스탄 태양전지모듈 인증시험소 설립사업 시험소 신축공사 시공업체 선정 입찰</x:v>
      </x:c>
      <x:c r="I69" s="22" t="str">
        <x:v>C</x:v>
      </x:c>
      <x:c r="J69" s="22" t="str">
        <x:v>WORKS</x:v>
      </x:c>
      <x:c r="K69" s="22" t="str">
        <x:v>MATCH</x:v>
      </x:c>
      <x:c r="L69" s="31" t="n">
        <x:v>2349.2</x:v>
      </x:c>
      <x:c r="M69" s="34" t="n">
        <x:v>1839007</x:v>
      </x:c>
      <x:c r="N69" s="34" t="n">
        <x:f>IFERROR(M69/L69,"")</x:f>
        <x:v>782.8226630342244</x:v>
      </x:c>
      <x:c r="O69" s="25" t="str">
        <x:v>동일 bid_base_no는 재공고군; 다른 base의 의미중복은 project sheet에서 별도 주의</x:v>
      </x:c>
      <x:c r="P69" s="22" t="n">
        <x:v>1</x:v>
      </x:c>
    </x:row>
    <x:row r="70">
      <x:c r="A70" s="22" t="str">
        <x:v>L2021-00015</x:v>
      </x:c>
      <x:c r="B70" s="22" t="str">
        <x:v>2019-00064</x:v>
      </x:c>
      <x:c r="C70" s="22" t="str">
        <x:v>캄보디아</x:v>
      </x:c>
      <x:c r="D70" s="22" t="n">
        <x:v>1</x:v>
      </x:c>
      <x:c r="E70" s="25" t="str">
        <x:v>L2021-00015-1</x:v>
      </x:c>
      <x:c r="F70" s="25" t="str">
        <x:v>L2021-00015-1</x:v>
      </x:c>
      <x:c r="G70" s="25" t="str">
        <x:v>2021-05-10</x:v>
      </x:c>
      <x:c r="H70" s="25" t="str">
        <x:v>캄보디아 산학연계 비즈니스 인큐베이팅 체계 구축사업 시공업체 선정</x:v>
      </x:c>
      <x:c r="I70" s="22" t="str">
        <x:v>C</x:v>
      </x:c>
      <x:c r="J70" s="22" t="str">
        <x:v>WORKS</x:v>
      </x:c>
      <x:c r="K70" s="22" t="str">
        <x:v>MATCH</x:v>
      </x:c>
      <x:c r="L70" s="31" t="n">
        <x:v>2299.26</x:v>
      </x:c>
      <x:c r="M70" s="34" t="n">
        <x:v>2746477</x:v>
      </x:c>
      <x:c r="N70" s="34" t="n">
        <x:f>IFERROR(M70/L70,"")</x:f>
        <x:v>1194.5047537033654</x:v>
      </x:c>
      <x:c r="O70" s="25" t="str">
        <x:v>동일 bid_base_no는 재공고군; 다른 base의 의미중복은 project sheet에서 별도 주의</x:v>
      </x:c>
      <x:c r="P70" s="22" t="n">
        <x:v>1</x:v>
      </x:c>
    </x:row>
    <x:row r="71">
      <x:c r="A71" s="22" t="str">
        <x:v>L2021-00016</x:v>
      </x:c>
      <x:c r="B71" s="22" t="str">
        <x:v>2019-00066</x:v>
      </x:c>
      <x:c r="C71" s="22" t="str">
        <x:v>캄보디아</x:v>
      </x:c>
      <x:c r="D71" s="22" t="n">
        <x:v>2</x:v>
      </x:c>
      <x:c r="E71" s="25" t="str">
        <x:v>L2021-00016-1;L2021-00016-2</x:v>
      </x:c>
      <x:c r="F71" s="25" t="str">
        <x:v>L2021-00016-1</x:v>
      </x:c>
      <x:c r="G71" s="25" t="str">
        <x:v>2021-06-18</x:v>
      </x:c>
      <x:c r="H71" s="25" t="str">
        <x:v>캄보디아 동북부 소외지역 모자보건 프로그램 시공업체 선정</x:v>
      </x:c>
      <x:c r="I71" s="22" t="str">
        <x:v>C</x:v>
      </x:c>
      <x:c r="J71" s="22" t="str">
        <x:v>WORKS</x:v>
      </x:c>
      <x:c r="K71" s="22" t="str">
        <x:v>MATCH</x:v>
      </x:c>
      <x:c r="L71" s="31" t="n">
        <x:v>1325.32</x:v>
      </x:c>
      <x:c r="M71" s="34" t="n">
        <x:v>1022588</x:v>
      </x:c>
      <x:c r="N71" s="34" t="n">
        <x:f>IFERROR(M71/L71,"")</x:f>
        <x:v>771.5781848911961</x:v>
      </x:c>
      <x:c r="O71" s="25" t="str">
        <x:v>동일 bid_base_no는 재공고군; 다른 base의 의미중복은 project sheet에서 별도 주의</x:v>
      </x:c>
      <x:c r="P71" s="22" t="n">
        <x:v>1</x:v>
      </x:c>
    </x:row>
    <x:row r="72">
      <x:c r="A72" s="22" t="str">
        <x:v>L2021-00025</x:v>
      </x:c>
      <x:c r="B72" s="22" t="str">
        <x:v>2019-00066</x:v>
      </x:c>
      <x:c r="C72" s="22" t="str">
        <x:v>캄보디아</x:v>
      </x:c>
      <x:c r="D72" s="22" t="n">
        <x:v>1</x:v>
      </x:c>
      <x:c r="E72" s="25" t="str">
        <x:v>L2021-00025-1</x:v>
      </x:c>
      <x:c r="F72" s="25" t="str">
        <x:v>L2021-00025-1</x:v>
      </x:c>
      <x:c r="G72" s="25" t="str">
        <x:v>2021-08-27</x:v>
      </x:c>
      <x:c r="H72" s="25" t="str">
        <x:v>캄보디아 동북부 소외지역 모자보건 프로그램 시공업체 선정 현지입찰(3차 신규)</x:v>
      </x:c>
      <x:c r="I72" s="22" t="str">
        <x:v>C?</x:v>
      </x:c>
      <x:c r="J72" s="22" t="str">
        <x:v>WORKS</x:v>
      </x:c>
      <x:c r="K72" s="22" t="str">
        <x:v>MATCH</x:v>
      </x:c>
      <x:c r="L72" s="31" t="n">
        <x:v>1325.32</x:v>
      </x:c>
      <x:c r="M72" s="34" t="n">
        <x:v>1074976</x:v>
      </x:c>
      <x:c r="N72" s="34" t="n">
        <x:f>IFERROR(M72/L72,"")</x:f>
        <x:v>811.1067515769777</x:v>
      </x:c>
      <x:c r="O72" s="25" t="str">
        <x:v>동일 bid_base_no는 재공고군; 다른 base의 의미중복은 project sheet에서 별도 주의</x:v>
      </x:c>
      <x:c r="P72" s="22" t="n">
        <x:v>1</x:v>
      </x:c>
    </x:row>
    <x:row r="73">
      <x:c r="A73" s="22" t="str">
        <x:v>L2021-00037</x:v>
      </x:c>
      <x:c r="B73" s="22" t="str">
        <x:v>2019-00066</x:v>
      </x:c>
      <x:c r="C73" s="22" t="str">
        <x:v>캄보디아</x:v>
      </x:c>
      <x:c r="D73" s="22" t="n">
        <x:v>1</x:v>
      </x:c>
      <x:c r="E73" s="25" t="str">
        <x:v>L2021-00037-1</x:v>
      </x:c>
      <x:c r="F73" s="25" t="str">
        <x:v>L2021-00037-1</x:v>
      </x:c>
      <x:c r="G73" s="25" t="str">
        <x:v>2021-11-04</x:v>
      </x:c>
      <x:c r="H73" s="25" t="str">
        <x:v>캄보디아 동북부 소외지역 모자보건 프로그램 시공업체 선정 현지입찰(4차 신규)</x:v>
      </x:c>
      <x:c r="I73" s="22" t="str">
        <x:v>C?</x:v>
      </x:c>
      <x:c r="J73" s="22" t="str">
        <x:v>WORKS</x:v>
      </x:c>
      <x:c r="K73" s="22" t="str">
        <x:v>MATCH</x:v>
      </x:c>
      <x:c r="L73" s="31" t="n">
        <x:v>1325.32</x:v>
      </x:c>
      <x:c r="M73" s="34" t="n">
        <x:v>1074976</x:v>
      </x:c>
      <x:c r="N73" s="34" t="n">
        <x:f>IFERROR(M73/L73,"")</x:f>
        <x:v>811.1067515769777</x:v>
      </x:c>
      <x:c r="O73" s="25" t="str">
        <x:v>동일 bid_base_no는 재공고군; 다른 base의 의미중복은 project sheet에서 별도 주의</x:v>
      </x:c>
      <x:c r="P73" s="22" t="n">
        <x:v>1</x:v>
      </x:c>
    </x:row>
    <x:row r="74">
      <x:c r="A74" s="22" t="str">
        <x:v>L2022-00019</x:v>
      </x:c>
      <x:c r="B74" s="22" t="str">
        <x:v>2019-00071</x:v>
      </x:c>
      <x:c r="C74" s="22" t="str">
        <x:v>라오스</x:v>
      </x:c>
      <x:c r="D74" s="22" t="n">
        <x:v>1</x:v>
      </x:c>
      <x:c r="E74" s="25" t="str">
        <x:v>L2022-00019-1</x:v>
      </x:c>
      <x:c r="F74" s="25" t="str">
        <x:v>L2022-00019-1</x:v>
      </x:c>
      <x:c r="G74" s="25" t="str">
        <x:v>2022-05-24</x:v>
      </x:c>
      <x:c r="H74" s="25" t="str">
        <x:v>라오스 성생식 모자보건 RMNCH센터 및 여성폭력 예방대응 EVAW센터 시공업체 선정</x:v>
      </x:c>
      <x:c r="I74" s="22" t="str">
        <x:v>C?</x:v>
      </x:c>
      <x:c r="J74" s="22" t="str">
        <x:v>WORKS</x:v>
      </x:c>
      <x:c r="K74" s="22" t="str">
        <x:v>MATCH</x:v>
      </x:c>
      <x:c r="L74" s="31" t="n">
        <x:v>989</x:v>
      </x:c>
      <x:c r="M74" s="34" t="n">
        <x:v>1447700</x:v>
      </x:c>
      <x:c r="N74" s="34" t="n">
        <x:f>IFERROR(M74/L74,"")</x:f>
        <x:v>1463.8018200202225</x:v>
      </x:c>
      <x:c r="O74" s="25" t="str">
        <x:v>동일 bid_base_no는 재공고군; 다른 base의 의미중복은 project sheet에서 별도 주의</x:v>
      </x:c>
      <x:c r="P74" s="22" t="n">
        <x:v>1</x:v>
      </x:c>
    </x:row>
    <x:row r="75">
      <x:c r="A75" s="22" t="str">
        <x:v>L2025-00099</x:v>
      </x:c>
      <x:c r="B75" s="22" t="str">
        <x:v>2019-03655</x:v>
      </x:c>
      <x:c r="C75" s="22" t="str">
        <x:v>키르기스스탄</x:v>
      </x:c>
      <x:c r="D75" s="22" t="n">
        <x:v>1</x:v>
      </x:c>
      <x:c r="E75" s="25" t="str">
        <x:v>L2025-00099-1</x:v>
      </x:c>
      <x:c r="F75" s="25" t="str">
        <x:v>L2025-00099-1</x:v>
      </x:c>
      <x:c r="G75" s="25" t="str">
        <x:v>2025-11-13</x:v>
      </x:c>
      <x:c r="H75" s="25" t="str">
        <x:v>키르기스스탄 추이 주 교내 위생환경 개선 사업(프로젝트봉사단) 리모델링 시공업체 선정 현지 입찰</x:v>
      </x:c>
      <x:c r="I75" s="22" t="str">
        <x:v>C</x:v>
      </x:c>
      <x:c r="J75" s="22" t="str">
        <x:v>WORKS</x:v>
      </x:c>
      <x:c r="K75" s="22" t="str">
        <x:v>MATCH</x:v>
      </x:c>
      <x:c r="L75" s="31" t="n">
        <x:v>255.52</x:v>
      </x:c>
      <x:c r="M75" s="34" t="n">
        <x:v>200000</x:v>
      </x:c>
      <x:c r="N75" s="34" t="n">
        <x:f>IFERROR(M75/L75,"")</x:f>
        <x:v>782.7175954915466</x:v>
      </x:c>
      <x:c r="O75" s="25" t="str">
        <x:v>동일 bid_base_no는 재공고군; 다른 base의 의미중복은 project sheet에서 별도 주의</x:v>
      </x:c>
      <x:c r="P75" s="22" t="n">
        <x:v>1</x:v>
      </x:c>
    </x:row>
    <x:row r="76">
      <x:c r="A76" s="22" t="str">
        <x:v>L2024-00024</x:v>
      </x:c>
      <x:c r="B76" s="22" t="str">
        <x:v>2020-00023</x:v>
      </x:c>
      <x:c r="C76" s="22" t="str">
        <x:v>라오스</x:v>
      </x:c>
      <x:c r="D76" s="22" t="n">
        <x:v>1</x:v>
      </x:c>
      <x:c r="E76" s="25" t="str">
        <x:v>L2024-00024-1</x:v>
      </x:c>
      <x:c r="F76" s="25" t="str">
        <x:v>L2024-00024-1</x:v>
      </x:c>
      <x:c r="G76" s="25" t="str">
        <x:v>2024-05-21</x:v>
      </x:c>
      <x:c r="H76" s="25" t="str">
        <x:v>라오스 남부 3개주 농촌개발사업 남부농업기술훈련원 건축 설계 및 시공감리 용역</x:v>
      </x:c>
      <x:c r="I76" s="22" t="str">
        <x:v>X</x:v>
      </x:c>
      <x:c r="J76" s="22" t="str">
        <x:v>DESIGN_OR_SUPERVISION_SERVICE</x:v>
      </x:c>
      <x:c r="K76" s="22" t="str">
        <x:v>NO_MATCH</x:v>
      </x:c>
      <x:c r="L76" s="31" t="n">
        <x:v>700</x:v>
      </x:c>
      <x:c r="M76" s="34"/>
      <x:c r="N76" s="34" t="n">
        <x:f>IFERROR(M76/L76,"")</x:f>
        <x:v>0</x:v>
      </x:c>
      <x:c r="O76" s="25" t="str">
        <x:v>동일 bid_base_no는 재공고군; 다른 base의 의미중복은 project sheet에서 별도 주의</x:v>
      </x:c>
      <x:c r="P76" s="22" t="n">
        <x:v>1</x:v>
      </x:c>
    </x:row>
    <x:row r="77">
      <x:c r="A77" s="22" t="str">
        <x:v>L2024-00075</x:v>
      </x:c>
      <x:c r="B77" s="22" t="str">
        <x:v>2020-00023</x:v>
      </x:c>
      <x:c r="C77" s="22" t="str">
        <x:v>라오스</x:v>
      </x:c>
      <x:c r="D77" s="22" t="n">
        <x:v>1</x:v>
      </x:c>
      <x:c r="E77" s="25" t="str">
        <x:v>L2024-00075-1</x:v>
      </x:c>
      <x:c r="F77" s="25" t="str">
        <x:v>L2024-00075-1</x:v>
      </x:c>
      <x:c r="G77" s="25" t="str">
        <x:v>2024-11-20</x:v>
      </x:c>
      <x:c r="H77" s="25" t="str">
        <x:v>라오스 남부 3개주 농촌종합개발사업 남부농촌개발연수원 공사</x:v>
      </x:c>
      <x:c r="I77" s="22" t="str">
        <x:v>C</x:v>
      </x:c>
      <x:c r="J77" s="22" t="str">
        <x:v>WORKS</x:v>
      </x:c>
      <x:c r="K77" s="22" t="str">
        <x:v>MATCH</x:v>
      </x:c>
      <x:c r="L77" s="31" t="n">
        <x:v>700</x:v>
      </x:c>
      <x:c r="M77" s="34" t="n">
        <x:v>624034</x:v>
      </x:c>
      <x:c r="N77" s="34" t="n">
        <x:f>IFERROR(M77/L77,"")</x:f>
        <x:v>891.4771428571429</x:v>
      </x:c>
      <x:c r="O77" s="25" t="str">
        <x:v>동일 bid_base_no는 재공고군; 다른 base의 의미중복은 project sheet에서 별도 주의</x:v>
      </x:c>
      <x:c r="P77" s="22" t="n">
        <x:v>1</x:v>
      </x:c>
    </x:row>
    <x:row r="78">
      <x:c r="A78" s="22" t="str">
        <x:v>L2025-00019</x:v>
      </x:c>
      <x:c r="B78" s="22" t="str">
        <x:v>2020-00024</x:v>
      </x:c>
      <x:c r="C78" s="22" t="str">
        <x:v>가나</x:v>
      </x:c>
      <x:c r="D78" s="22" t="n">
        <x:v>1</x:v>
      </x:c>
      <x:c r="E78" s="25" t="str">
        <x:v>L2025-00019-1</x:v>
      </x:c>
      <x:c r="F78" s="25" t="str">
        <x:v>L2025-00019-1</x:v>
      </x:c>
      <x:c r="G78" s="25" t="str">
        <x:v>2025-02-25</x:v>
      </x:c>
      <x:c r="H78" s="25" t="str">
        <x:v>가나 관개지구 공사(아베이만, 아세이만 관개시설 토목공사 및 태양광,양수장 설치 공사)</x:v>
      </x:c>
      <x:c r="I78" s="22" t="str">
        <x:v>X</x:v>
      </x:c>
      <x:c r="J78" s="22" t="str">
        <x:v>NONBUILDING_OR_FALSE_AREA</x:v>
      </x:c>
      <x:c r="K78" s="22" t="str">
        <x:v>NO_MATCH</x:v>
      </x:c>
      <x:c r="L78" s="31"/>
      <x:c r="M78" s="34"/>
      <x:c r="N78" s="34" t="str">
        <x:f>IFERROR(M78/L78,"")</x:f>
      </x:c>
      <x:c r="O78" s="25" t="str">
        <x:v>동일 bid_base_no는 재공고군; 다른 base의 의미중복은 project sheet에서 별도 주의</x:v>
      </x:c>
      <x:c r="P78" s="22" t="n">
        <x:v>1</x:v>
      </x:c>
    </x:row>
    <x:row r="79">
      <x:c r="A79" s="22" t="str">
        <x:v>L2023-00032</x:v>
      </x:c>
      <x:c r="B79" s="22" t="str">
        <x:v>2020-00046</x:v>
      </x:c>
      <x:c r="C79" s="22" t="str">
        <x:v>모잠비크</x:v>
      </x:c>
      <x:c r="D79" s="22" t="n">
        <x:v>1</x:v>
      </x:c>
      <x:c r="E79" s="25" t="str">
        <x:v>L2023-00032-1</x:v>
      </x:c>
      <x:c r="F79" s="25" t="str">
        <x:v>L2023-00032-1</x:v>
      </x:c>
      <x:c r="G79" s="25" t="str">
        <x:v>2023-06-30</x:v>
      </x:c>
      <x:c r="H79" s="25" t="str">
        <x:v>모잠비크 도로안전 시범개선사업 시공업체 선정 입찰</x:v>
      </x:c>
      <x:c r="I79" s="22" t="str">
        <x:v>X</x:v>
      </x:c>
      <x:c r="J79" s="22" t="str">
        <x:v>NONBUILDING_OR_FALSE_AREA</x:v>
      </x:c>
      <x:c r="K79" s="22" t="str">
        <x:v>NO_MATCH</x:v>
      </x:c>
      <x:c r="L79" s="31"/>
      <x:c r="M79" s="34"/>
      <x:c r="N79" s="34" t="str">
        <x:f>IFERROR(M79/L79,"")</x:f>
      </x:c>
      <x:c r="O79" s="25" t="str">
        <x:v>동일 bid_base_no는 재공고군; 다른 base의 의미중복은 project sheet에서 별도 주의</x:v>
      </x:c>
      <x:c r="P79" s="22" t="n">
        <x:v>1</x:v>
      </x:c>
    </x:row>
    <x:row r="80">
      <x:c r="A80" s="22" t="str">
        <x:v>L2024-00062</x:v>
      </x:c>
      <x:c r="B80" s="22" t="str">
        <x:v>2020-00048</x:v>
      </x:c>
      <x:c r="C80" s="22" t="str">
        <x:v>세네갈</x:v>
      </x:c>
      <x:c r="D80" s="22" t="n">
        <x:v>1</x:v>
      </x:c>
      <x:c r="E80" s="25" t="str">
        <x:v>L2024-00062-1</x:v>
      </x:c>
      <x:c r="F80" s="25" t="str">
        <x:v>L2024-00062-1</x:v>
      </x:c>
      <x:c r="G80" s="25" t="str">
        <x:v>2024-10-21</x:v>
      </x:c>
      <x:c r="H80" s="25" t="str">
        <x:v>세네갈 미곡가치사슬 역량강화 2차사업 미곡종합처리장(RPC)/농기계서비스센터 건축 시공사 선정 현지입찰</x:v>
      </x:c>
      <x:c r="I80" s="22" t="str">
        <x:v>U</x:v>
      </x:c>
      <x:c r="J80" s="22" t="str">
        <x:v>WORKS</x:v>
      </x:c>
      <x:c r="K80" s="22" t="str">
        <x:v>MATCH</x:v>
      </x:c>
      <x:c r="L80" s="31"/>
      <x:c r="M80" s="34" t="n">
        <x:v>1910000</x:v>
      </x:c>
      <x:c r="N80" s="34" t="str">
        <x:f>IFERROR(M80/L80,"")</x:f>
      </x:c>
      <x:c r="O80" s="25" t="str">
        <x:v>동일 bid_base_no는 재공고군; 다른 base의 의미중복은 project sheet에서 별도 주의</x:v>
      </x:c>
      <x:c r="P80" s="22" t="n">
        <x:v>1</x:v>
      </x:c>
    </x:row>
    <x:row r="81">
      <x:c r="A81" s="22" t="str">
        <x:v>L2025-00021</x:v>
      </x:c>
      <x:c r="B81" s="22" t="str">
        <x:v>2020-00048</x:v>
      </x:c>
      <x:c r="C81" s="22" t="str">
        <x:v>세네갈</x:v>
      </x:c>
      <x:c r="D81" s="22" t="n">
        <x:v>1</x:v>
      </x:c>
      <x:c r="E81" s="25" t="str">
        <x:v>L2025-00021-1</x:v>
      </x:c>
      <x:c r="F81" s="25" t="str">
        <x:v>L2025-00021-1</x:v>
      </x:c>
      <x:c r="G81" s="25" t="str">
        <x:v>2025-04-02</x:v>
      </x:c>
      <x:c r="H81" s="25" t="str">
        <x:v>세네갈 미곡가치사슬 2차사업 미곡종합처리장(RPC)/농기계 서비스센터 건축시공 감리용역 입찰</x:v>
      </x:c>
      <x:c r="I81" s="22" t="str">
        <x:v>X</x:v>
      </x:c>
      <x:c r="J81" s="22" t="str">
        <x:v>DESIGN_OR_SUPERVISION_SERVICE</x:v>
      </x:c>
      <x:c r="K81" s="22" t="str">
        <x:v>NO_MATCH</x:v>
      </x:c>
      <x:c r="L81" s="31" t="n">
        <x:v>4951</x:v>
      </x:c>
      <x:c r="M81" s="34"/>
      <x:c r="N81" s="34" t="n">
        <x:f>IFERROR(M81/L81,"")</x:f>
        <x:v>0</x:v>
      </x:c>
      <x:c r="O81" s="25" t="str">
        <x:v>동일 bid_base_no는 재공고군; 다른 base의 의미중복은 project sheet에서 별도 주의</x:v>
      </x:c>
      <x:c r="P81" s="22" t="n">
        <x:v>1</x:v>
      </x:c>
    </x:row>
    <x:row r="82">
      <x:c r="A82" s="22" t="str">
        <x:v>L2022-00068</x:v>
      </x:c>
      <x:c r="B82" s="22" t="str">
        <x:v>2020-00053</x:v>
      </x:c>
      <x:c r="C82" s="22" t="str">
        <x:v>에티오피아</x:v>
      </x:c>
      <x:c r="D82" s="22" t="n">
        <x:v>1</x:v>
      </x:c>
      <x:c r="E82" s="25" t="str">
        <x:v>L2022-00068-1</x:v>
      </x:c>
      <x:c r="F82" s="25" t="str">
        <x:v>L2022-00068-1</x:v>
      </x:c>
      <x:c r="G82" s="25" t="str">
        <x:v>2022-11-25</x:v>
      </x:c>
      <x:c r="H82" s="25" t="str">
        <x:v>에티오피아 양질의 일자리 창출을 위한 ICT기반의 창업 및 중소기업(SME)육성 지원사업 ICT 센터 리모델링 공사</x:v>
      </x:c>
      <x:c r="I82" s="22" t="str">
        <x:v>C?</x:v>
      </x:c>
      <x:c r="J82" s="22" t="str">
        <x:v>WORKS</x:v>
      </x:c>
      <x:c r="K82" s="22" t="str">
        <x:v>MATCH</x:v>
      </x:c>
      <x:c r="L82" s="31" t="n">
        <x:v>2443</x:v>
      </x:c>
      <x:c r="M82" s="34" t="n">
        <x:v>704431</x:v>
      </x:c>
      <x:c r="N82" s="34" t="n">
        <x:f>IFERROR(M82/L82,"")</x:f>
        <x:v>288.3467048710602</x:v>
      </x:c>
      <x:c r="O82" s="25" t="str">
        <x:v>동일 bid_base_no는 재공고군; 다른 base의 의미중복은 project sheet에서 별도 주의</x:v>
      </x:c>
      <x:c r="P82" s="22" t="n">
        <x:v>1</x:v>
      </x:c>
    </x:row>
    <x:row r="83">
      <x:c r="A83" s="22" t="str">
        <x:v>L2023-00004</x:v>
      </x:c>
      <x:c r="B83" s="22" t="str">
        <x:v>2020-00053</x:v>
      </x:c>
      <x:c r="C83" s="22" t="str">
        <x:v>에티오피아</x:v>
      </x:c>
      <x:c r="D83" s="22" t="n">
        <x:v>1</x:v>
      </x:c>
      <x:c r="E83" s="25" t="str">
        <x:v>L2023-00004-1</x:v>
      </x:c>
      <x:c r="F83" s="25" t="str">
        <x:v>L2023-00004-1</x:v>
      </x:c>
      <x:c r="G83" s="25" t="str">
        <x:v>2023-02-10</x:v>
      </x:c>
      <x:c r="H83" s="25" t="str">
        <x:v>에티오피아 양질의 일자리 창출을 위한 ICT기반의 창업 및 중소기업(SME)육성 지원사업 ICT 센터 리모델링 공사</x:v>
      </x:c>
      <x:c r="I83" s="22" t="str">
        <x:v>C?</x:v>
      </x:c>
      <x:c r="J83" s="22" t="str">
        <x:v>WORKS</x:v>
      </x:c>
      <x:c r="K83" s="22" t="str">
        <x:v>MATCH</x:v>
      </x:c>
      <x:c r="L83" s="31" t="n">
        <x:v>2443</x:v>
      </x:c>
      <x:c r="M83" s="34" t="n">
        <x:v>704431</x:v>
      </x:c>
      <x:c r="N83" s="34" t="n">
        <x:f>IFERROR(M83/L83,"")</x:f>
        <x:v>288.3467048710602</x:v>
      </x:c>
      <x:c r="O83" s="25" t="str">
        <x:v>동일 bid_base_no는 재공고군; 다른 base의 의미중복은 project sheet에서 별도 주의</x:v>
      </x:c>
      <x:c r="P83" s="22" t="n">
        <x:v>1</x:v>
      </x:c>
    </x:row>
    <x:row r="84">
      <x:c r="A84" s="22" t="str">
        <x:v>L2022-00059</x:v>
      </x:c>
      <x:c r="B84" s="22" t="str">
        <x:v>2020-00070</x:v>
      </x:c>
      <x:c r="C84" s="22" t="str">
        <x:v>도미니카</x:v>
      </x:c>
      <x:c r="D84" s="22" t="n">
        <x:v>1</x:v>
      </x:c>
      <x:c r="E84" s="25" t="str">
        <x:v>L2022-00059-1</x:v>
      </x:c>
      <x:c r="F84" s="25" t="str">
        <x:v>L2022-00059-1</x:v>
      </x:c>
      <x:c r="G84" s="25" t="str">
        <x:v>2022-10-04</x:v>
      </x:c>
      <x:c r="H84" s="25" t="str">
        <x:v>도미니카(공) 여성 중심 취약계층 사회경제적 역량강화사업 - 하이나 및 몬테크리스티 직업훈련센터 설계용역 입찰</x:v>
      </x:c>
      <x:c r="I84" s="22" t="str">
        <x:v>X</x:v>
      </x:c>
      <x:c r="J84" s="22" t="str">
        <x:v>DESIGN_OR_SUPERVISION_SERVICE</x:v>
      </x:c>
      <x:c r="K84" s="22" t="str">
        <x:v>NO_MATCH</x:v>
      </x:c>
      <x:c r="L84" s="31" t="n">
        <x:v>920</x:v>
      </x:c>
      <x:c r="M84" s="34"/>
      <x:c r="N84" s="34" t="n">
        <x:f>IFERROR(M84/L84,"")</x:f>
        <x:v>0</x:v>
      </x:c>
      <x:c r="O84" s="25" t="str">
        <x:v>동일 bid_base_no는 재공고군; 다른 base의 의미중복은 project sheet에서 별도 주의</x:v>
      </x:c>
      <x:c r="P84" s="22" t="n">
        <x:v>1</x:v>
      </x:c>
    </x:row>
    <x:row r="85">
      <x:c r="A85" s="22" t="str">
        <x:v>L2023-00040</x:v>
      </x:c>
      <x:c r="B85" s="22" t="str">
        <x:v>2020-00070</x:v>
      </x:c>
      <x:c r="C85" s="22" t="str">
        <x:v>도미니카</x:v>
      </x:c>
      <x:c r="D85" s="22" t="n">
        <x:v>1</x:v>
      </x:c>
      <x:c r="E85" s="25" t="str">
        <x:v>L2023-00040-1</x:v>
      </x:c>
      <x:c r="F85" s="25" t="str">
        <x:v>L2023-00040-1</x:v>
      </x:c>
      <x:c r="G85" s="25" t="str">
        <x:v>2023-08-08</x:v>
      </x:c>
      <x:c r="H85" s="25" t="str">
        <x:v>도미니카공화국 여성 중심 취약계층 사회경제적 역량강화사업 - 몬테크리스티 직업훈련센터 설계용역 입찰</x:v>
      </x:c>
      <x:c r="I85" s="22" t="str">
        <x:v>X</x:v>
      </x:c>
      <x:c r="J85" s="22" t="str">
        <x:v>DESIGN_OR_SUPERVISION_SERVICE</x:v>
      </x:c>
      <x:c r="K85" s="22" t="str">
        <x:v>NO_MATCH</x:v>
      </x:c>
      <x:c r="L85" s="31" t="n">
        <x:v>900</x:v>
      </x:c>
      <x:c r="M85" s="34"/>
      <x:c r="N85" s="34" t="n">
        <x:f>IFERROR(M85/L85,"")</x:f>
        <x:v>0</x:v>
      </x:c>
      <x:c r="O85" s="25" t="str">
        <x:v>동일 bid_base_no는 재공고군; 다른 base의 의미중복은 project sheet에서 별도 주의</x:v>
      </x:c>
      <x:c r="P85" s="22" t="n">
        <x:v>1</x:v>
      </x:c>
    </x:row>
    <x:row r="86">
      <x:c r="A86" s="22" t="str">
        <x:v>L2024-00078</x:v>
      </x:c>
      <x:c r="B86" s="22" t="str">
        <x:v>2020-00070</x:v>
      </x:c>
      <x:c r="C86" s="22" t="str">
        <x:v>도미니카</x:v>
      </x:c>
      <x:c r="D86" s="22" t="n">
        <x:v>1</x:v>
      </x:c>
      <x:c r="E86" s="25" t="str">
        <x:v>L2024-00078-1</x:v>
      </x:c>
      <x:c r="F86" s="25" t="str">
        <x:v>L2024-00078-1</x:v>
      </x:c>
      <x:c r="G86" s="25" t="str">
        <x:v>2024-12-20</x:v>
      </x:c>
      <x:c r="H86" s="25" t="str">
        <x:v>도미니카공화국 몬테 크리스티 직업훈련센터 (MVC) 시공사 선정</x:v>
      </x:c>
      <x:c r="I86" s="22" t="str">
        <x:v>B-부분</x:v>
      </x:c>
      <x:c r="J86" s="22" t="str">
        <x:v>WORKS</x:v>
      </x:c>
      <x:c r="K86" s="22" t="str">
        <x:v>MATCH</x:v>
      </x:c>
      <x:c r="L86" s="31" t="n">
        <x:v>936.2</x:v>
      </x:c>
      <x:c r="M86" s="34" t="n">
        <x:v>1187000</x:v>
      </x:c>
      <x:c r="N86" s="34" t="n">
        <x:f>IFERROR(M86/L86,"")</x:f>
        <x:v>1267.8914761803032</x:v>
      </x:c>
      <x:c r="O86" s="25" t="str">
        <x:v>동일 bid_base_no는 재공고군; 다른 base의 의미중복은 project sheet에서 별도 주의</x:v>
      </x:c>
      <x:c r="P86" s="22" t="n">
        <x:v>1</x:v>
      </x:c>
    </x:row>
    <x:row r="87">
      <x:c r="A87" s="22" t="str">
        <x:v>L2025-00007</x:v>
      </x:c>
      <x:c r="B87" s="22" t="str">
        <x:v>2020-00070</x:v>
      </x:c>
      <x:c r="C87" s="22" t="str">
        <x:v>도미니카</x:v>
      </x:c>
      <x:c r="D87" s="22" t="n">
        <x:v>2</x:v>
      </x:c>
      <x:c r="E87" s="25" t="str">
        <x:v>L2025-00007-1;L2025-00007-2</x:v>
      </x:c>
      <x:c r="F87" s="25" t="str">
        <x:v>L2025-00007-2</x:v>
      </x:c>
      <x:c r="G87" s="25" t="str">
        <x:v>2025-04-11</x:v>
      </x:c>
      <x:c r="H87" s="25" t="str">
        <x:v>도미니카공화국 몬테 크리스티 직업훈련센터 (MVC) 감리사 선정</x:v>
      </x:c>
      <x:c r="I87" s="22" t="str">
        <x:v>X</x:v>
      </x:c>
      <x:c r="J87" s="22" t="str">
        <x:v>DESIGN_OR_SUPERVISION_SERVICE</x:v>
      </x:c>
      <x:c r="K87" s="22" t="str">
        <x:v>NO_MATCH</x:v>
      </x:c>
      <x:c r="L87" s="31" t="n">
        <x:v>936.2</x:v>
      </x:c>
      <x:c r="M87" s="34"/>
      <x:c r="N87" s="34" t="n">
        <x:f>IFERROR(M87/L87,"")</x:f>
        <x:v>0</x:v>
      </x:c>
      <x:c r="O87" s="25" t="str">
        <x:v>동일 bid_base_no는 재공고군; 다른 base의 의미중복은 project sheet에서 별도 주의</x:v>
      </x:c>
      <x:c r="P87" s="22" t="n">
        <x:v>1</x:v>
      </x:c>
    </x:row>
    <x:row r="88">
      <x:c r="A88" s="22" t="str">
        <x:v>L2025-00010</x:v>
      </x:c>
      <x:c r="B88" s="22" t="str">
        <x:v>2020-00070</x:v>
      </x:c>
      <x:c r="C88" s="22" t="str">
        <x:v>도미니카</x:v>
      </x:c>
      <x:c r="D88" s="22" t="n">
        <x:v>1</x:v>
      </x:c>
      <x:c r="E88" s="25" t="str">
        <x:v>L2025-00010-1</x:v>
      </x:c>
      <x:c r="F88" s="25" t="str">
        <x:v>L2025-00010-1</x:v>
      </x:c>
      <x:c r="G88" s="25" t="str">
        <x:v>2025-04-30</x:v>
      </x:c>
      <x:c r="H88" s="25" t="str">
        <x:v>도미니카공화국 여성 중심 취약계층 사회경제적 역량강화사업 하이나 직업훈련센터 리모델링 설계용역</x:v>
      </x:c>
      <x:c r="I88" s="22" t="str">
        <x:v>X</x:v>
      </x:c>
      <x:c r="J88" s="22" t="str">
        <x:v>DESIGN_OR_SUPERVISION_SERVICE</x:v>
      </x:c>
      <x:c r="K88" s="22" t="str">
        <x:v>NO_MATCH</x:v>
      </x:c>
      <x:c r="L88" s="31" t="n">
        <x:v>750</x:v>
      </x:c>
      <x:c r="M88" s="34"/>
      <x:c r="N88" s="34" t="n">
        <x:f>IFERROR(M88/L88,"")</x:f>
        <x:v>0</x:v>
      </x:c>
      <x:c r="O88" s="25" t="str">
        <x:v>동일 bid_base_no는 재공고군; 다른 base의 의미중복은 project sheet에서 별도 주의</x:v>
      </x:c>
      <x:c r="P88" s="22" t="n">
        <x:v>1</x:v>
      </x:c>
    </x:row>
    <x:row r="89">
      <x:c r="A89" s="22" t="str">
        <x:v>L2025-00038</x:v>
      </x:c>
      <x:c r="B89" s="22" t="str">
        <x:v>2020-00070</x:v>
      </x:c>
      <x:c r="C89" s="22" t="str">
        <x:v>도미니카</x:v>
      </x:c>
      <x:c r="D89" s="22" t="n">
        <x:v>1</x:v>
      </x:c>
      <x:c r="E89" s="25" t="str">
        <x:v>L2025-00038-1</x:v>
      </x:c>
      <x:c r="F89" s="25" t="str">
        <x:v>L2025-00038-1</x:v>
      </x:c>
      <x:c r="G89" s="25" t="str">
        <x:v>2025-06-09</x:v>
      </x:c>
      <x:c r="H89" s="25" t="str">
        <x:v>도미니카공화국 몬테 크리스티 직업훈련센터 (MVC) 감리사 선정</x:v>
      </x:c>
      <x:c r="I89" s="22" t="str">
        <x:v>X</x:v>
      </x:c>
      <x:c r="J89" s="22" t="str">
        <x:v>DESIGN_OR_SUPERVISION_SERVICE</x:v>
      </x:c>
      <x:c r="K89" s="22" t="str">
        <x:v>NO_MATCH</x:v>
      </x:c>
      <x:c r="L89" s="31" t="n">
        <x:v>936.2</x:v>
      </x:c>
      <x:c r="M89" s="34"/>
      <x:c r="N89" s="34" t="n">
        <x:f>IFERROR(M89/L89,"")</x:f>
        <x:v>0</x:v>
      </x:c>
      <x:c r="O89" s="25" t="str">
        <x:v>동일 bid_base_no는 재공고군; 다른 base의 의미중복은 project sheet에서 별도 주의</x:v>
      </x:c>
      <x:c r="P89" s="22" t="n">
        <x:v>1</x:v>
      </x:c>
    </x:row>
    <x:row r="90">
      <x:c r="A90" s="22" t="str">
        <x:v>L2022-00027</x:v>
      </x:c>
      <x:c r="B90" s="22" t="str">
        <x:v>2020-00073</x:v>
      </x:c>
      <x:c r="C90" s="22" t="str">
        <x:v>에콰도르</x:v>
      </x:c>
      <x:c r="D90" s="22" t="n">
        <x:v>1</x:v>
      </x:c>
      <x:c r="E90" s="25" t="str">
        <x:v>L2022-00027-1</x:v>
      </x:c>
      <x:c r="F90" s="25" t="str">
        <x:v>L2022-00027-1</x:v>
      </x:c>
      <x:c r="G90" s="25" t="str">
        <x:v>2022-06-06</x:v>
      </x:c>
      <x:c r="H90" s="25" t="str">
        <x:v>에콰도르 키토시 혁신센터 건립을 통한 창업 및 기업혁신 지원체계 강화사업 리모델링 설계 용역</x:v>
      </x:c>
      <x:c r="I90" s="22" t="str">
        <x:v>C</x:v>
      </x:c>
      <x:c r="J90" s="22" t="str">
        <x:v>DESIGN_OR_SUPERVISION_SERVICE</x:v>
      </x:c>
      <x:c r="K90" s="22" t="str">
        <x:v>MATCH_ATTACHMENT_CONSTRUCTION_BUDGET</x:v>
      </x:c>
      <x:c r="L90" s="31" t="n">
        <x:v>3100</x:v>
      </x:c>
      <x:c r="M90" s="34" t="n">
        <x:v>2670000</x:v>
      </x:c>
      <x:c r="N90" s="34" t="n">
        <x:f>IFERROR(M90/L90,"")</x:f>
        <x:v>861.2903225806451</x:v>
      </x:c>
      <x:c r="O90" s="25" t="str">
        <x:v>동일 bid_base_no는 재공고군; 다른 base의 의미중복은 project sheet에서 별도 주의</x:v>
      </x:c>
      <x:c r="P90" s="22" t="n">
        <x:v>1</x:v>
      </x:c>
    </x:row>
    <x:row r="91">
      <x:c r="A91" s="22" t="str">
        <x:v>L2022-00003</x:v>
      </x:c>
      <x:c r="B91" s="22" t="str">
        <x:v>2020-00086</x:v>
      </x:c>
      <x:c r="C91" s="22" t="str">
        <x:v>우즈베키스탄</x:v>
      </x:c>
      <x:c r="D91" s="22" t="n">
        <x:v>1</x:v>
      </x:c>
      <x:c r="E91" s="25" t="str">
        <x:v>L2022-00003-1</x:v>
      </x:c>
      <x:c r="F91" s="25" t="str">
        <x:v>L2022-00003-1</x:v>
      </x:c>
      <x:c r="G91" s="25" t="str">
        <x:v>2022-02-21</x:v>
      </x:c>
      <x:c r="H91" s="25" t="str">
        <x:v>우즈베키스탄 우르겐치 직업훈련원 및 직업훈련제도 역량공고화 지원사업 설계 및 감리업체 선정</x:v>
      </x:c>
      <x:c r="I91" s="22" t="str">
        <x:v>X</x:v>
      </x:c>
      <x:c r="J91" s="22" t="str">
        <x:v>DESIGN_OR_SUPERVISION_SERVICE</x:v>
      </x:c>
      <x:c r="K91" s="22" t="str">
        <x:v>NO_MATCH</x:v>
      </x:c>
      <x:c r="L91" s="31" t="n">
        <x:v>7021</x:v>
      </x:c>
      <x:c r="M91" s="34"/>
      <x:c r="N91" s="34" t="n">
        <x:f>IFERROR(M91/L91,"")</x:f>
        <x:v>0</x:v>
      </x:c>
      <x:c r="O91" s="25" t="str">
        <x:v>동일 bid_base_no는 재공고군; 다른 base의 의미중복은 project sheet에서 별도 주의</x:v>
      </x:c>
      <x:c r="P91" s="22" t="n">
        <x:v>1</x:v>
      </x:c>
    </x:row>
    <x:row r="92">
      <x:c r="A92" s="22" t="str">
        <x:v>L2023-00007</x:v>
      </x:c>
      <x:c r="B92" s="22" t="str">
        <x:v>2020-00086</x:v>
      </x:c>
      <x:c r="C92" s="22" t="str">
        <x:v>우즈베키스탄</x:v>
      </x:c>
      <x:c r="D92" s="22" t="n">
        <x:v>1</x:v>
      </x:c>
      <x:c r="E92" s="25" t="str">
        <x:v>L2023-00007-1</x:v>
      </x:c>
      <x:c r="F92" s="25" t="str">
        <x:v>L2023-00007-1</x:v>
      </x:c>
      <x:c r="G92" s="25" t="str">
        <x:v>2023-02-28</x:v>
      </x:c>
      <x:c r="H92" s="25" t="str">
        <x:v>우즈베키스탄 우르겐치 직업훈련원 건립 및 타슈켄트 교사연수센터 건립사업 시공업체선정 현지입찰</x:v>
      </x:c>
      <x:c r="I92" s="22" t="str">
        <x:v>C?</x:v>
      </x:c>
      <x:c r="J92" s="22" t="str">
        <x:v>WORKS</x:v>
      </x:c>
      <x:c r="K92" s="22" t="str">
        <x:v>MATCH</x:v>
      </x:c>
      <x:c r="L92" s="31" t="n">
        <x:v>6963</x:v>
      </x:c>
      <x:c r="M92" s="34" t="n">
        <x:v>5361576</x:v>
      </x:c>
      <x:c r="N92" s="34" t="n">
        <x:f>IFERROR(M92/L92,"")</x:f>
        <x:v>770.0094786729858</x:v>
      </x:c>
      <x:c r="O92" s="25" t="str">
        <x:v>동일 bid_base_no는 재공고군; 다른 base의 의미중복은 project sheet에서 별도 주의</x:v>
      </x:c>
      <x:c r="P92" s="22" t="n">
        <x:v>1</x:v>
      </x:c>
    </x:row>
    <x:row r="93">
      <x:c r="A93" s="22" t="str">
        <x:v>L2023-00036</x:v>
      </x:c>
      <x:c r="B93" s="22" t="str">
        <x:v>2020-00086</x:v>
      </x:c>
      <x:c r="C93" s="22" t="str">
        <x:v>우즈베키스탄</x:v>
      </x:c>
      <x:c r="D93" s="22" t="n">
        <x:v>1</x:v>
      </x:c>
      <x:c r="E93" s="25" t="str">
        <x:v>L2023-00036-1</x:v>
      </x:c>
      <x:c r="F93" s="25" t="str">
        <x:v>L2023-00036-1</x:v>
      </x:c>
      <x:c r="G93" s="25" t="str">
        <x:v>2023-07-17</x:v>
      </x:c>
      <x:c r="H93" s="25" t="str">
        <x:v>우즈베키스탄 우르겐치 직업훈련원 건립 및 타슈켄트 교사연수센터 건립사업 시공업체선정 현지입찰</x:v>
      </x:c>
      <x:c r="I93" s="22" t="str">
        <x:v>B</x:v>
      </x:c>
      <x:c r="J93" s="22" t="str">
        <x:v>WORKS</x:v>
      </x:c>
      <x:c r="K93" s="22" t="str">
        <x:v>MATCH</x:v>
      </x:c>
      <x:c r="L93" s="31" t="n">
        <x:v>6963</x:v>
      </x:c>
      <x:c r="M93" s="34" t="n">
        <x:v>5361576</x:v>
      </x:c>
      <x:c r="N93" s="34" t="n">
        <x:f>IFERROR(M93/L93,"")</x:f>
        <x:v>770.0094786729858</x:v>
      </x:c>
      <x:c r="O93" s="25" t="str">
        <x:v>동일 bid_base_no는 재공고군; 다른 base의 의미중복은 project sheet에서 별도 주의</x:v>
      </x:c>
      <x:c r="P93" s="22" t="n">
        <x:v>1</x:v>
      </x:c>
    </x:row>
    <x:row r="94">
      <x:c r="A94" s="22" t="str">
        <x:v>L2023-00053</x:v>
      </x:c>
      <x:c r="B94" s="22" t="str">
        <x:v>2020-00086</x:v>
      </x:c>
      <x:c r="C94" s="22" t="str">
        <x:v>우즈베키스탄</x:v>
      </x:c>
      <x:c r="D94" s="22" t="n">
        <x:v>1</x:v>
      </x:c>
      <x:c r="E94" s="25" t="str">
        <x:v>L2023-00053-1</x:v>
      </x:c>
      <x:c r="F94" s="25" t="str">
        <x:v>L2023-00053-1</x:v>
      </x:c>
      <x:c r="G94" s="25" t="str">
        <x:v>2023-07-17</x:v>
      </x:c>
      <x:c r="H94" s="25" t="str">
        <x:v>우즈베키스탄 직업훈련원 및 타슈켄트 교사연수센터 건립 시공업체 선정 현지입찰</x:v>
      </x:c>
      <x:c r="I94" s="22" t="str">
        <x:v>C</x:v>
      </x:c>
      <x:c r="J94" s="22" t="str">
        <x:v>WORKS</x:v>
      </x:c>
      <x:c r="K94" s="22" t="str">
        <x:v>MATCH</x:v>
      </x:c>
      <x:c r="L94" s="31" t="n">
        <x:v>6963</x:v>
      </x:c>
      <x:c r="M94" s="34" t="n">
        <x:v>5361576</x:v>
      </x:c>
      <x:c r="N94" s="34" t="n">
        <x:f>IFERROR(M94/L94,"")</x:f>
        <x:v>770.0094786729858</x:v>
      </x:c>
      <x:c r="O94" s="25" t="str">
        <x:v>동일 bid_base_no는 재공고군; 다른 base의 의미중복은 project sheet에서 별도 주의</x:v>
      </x:c>
      <x:c r="P94" s="22" t="n">
        <x:v>1</x:v>
      </x:c>
    </x:row>
    <x:row r="95">
      <x:c r="A95" s="22" t="str">
        <x:v>L2023-00018</x:v>
      </x:c>
      <x:c r="B95" s="22" t="str">
        <x:v>2020-00087</x:v>
      </x:c>
      <x:c r="C95" s="22" t="str">
        <x:v>인도네시아</x:v>
      </x:c>
      <x:c r="D95" s="22" t="n">
        <x:v>1</x:v>
      </x:c>
      <x:c r="E95" s="25" t="str">
        <x:v>L2023-00018-1</x:v>
      </x:c>
      <x:c r="F95" s="25" t="str">
        <x:v>L2023-00018-1</x:v>
      </x:c>
      <x:c r="G95" s="25" t="str">
        <x:v>2023-04-18</x:v>
      </x:c>
      <x:c r="H95" s="25" t="str">
        <x:v>인도네시아 취약계층 청소년 사회복귀 지원사업 리모델링 시공업체 선정</x:v>
      </x:c>
      <x:c r="I95" s="22" t="str">
        <x:v>C</x:v>
      </x:c>
      <x:c r="J95" s="22" t="str">
        <x:v>WORKS</x:v>
      </x:c>
      <x:c r="K95" s="22" t="str">
        <x:v>MATCH</x:v>
      </x:c>
      <x:c r="L95" s="31" t="n">
        <x:v>6149</x:v>
      </x:c>
      <x:c r="M95" s="34" t="n">
        <x:v>2355000</x:v>
      </x:c>
      <x:c r="N95" s="34" t="n">
        <x:f>IFERROR(M95/L95,"")</x:f>
        <x:v>382.98910391933646</x:v>
      </x:c>
      <x:c r="O95" s="25" t="str">
        <x:v>동일 bid_base_no는 재공고군; 다른 base의 의미중복은 project sheet에서 별도 주의</x:v>
      </x:c>
      <x:c r="P95" s="22" t="n">
        <x:v>1</x:v>
      </x:c>
    </x:row>
    <x:row r="96">
      <x:c r="A96" s="22" t="str">
        <x:v>L2021-00014</x:v>
      </x:c>
      <x:c r="B96" s="22" t="str">
        <x:v>2020-00094</x:v>
      </x:c>
      <x:c r="C96" s="22" t="str">
        <x:v>필리핀</x:v>
      </x:c>
      <x:c r="D96" s="22" t="n">
        <x:v>1</x:v>
      </x:c>
      <x:c r="E96" s="25" t="str">
        <x:v>L2021-00014-1</x:v>
      </x:c>
      <x:c r="F96" s="25" t="str">
        <x:v>L2021-00014-1</x:v>
      </x:c>
      <x:c r="G96" s="25" t="str">
        <x:v>2021-05-20</x:v>
      </x:c>
      <x:c r="H96" s="25" t="str">
        <x:v>필리핀 농기계현대화센터 구축 및 역량강화 사업 건축 설계용역</x:v>
      </x:c>
      <x:c r="I96" s="22" t="str">
        <x:v>X</x:v>
      </x:c>
      <x:c r="J96" s="22" t="str">
        <x:v>DESIGN_OR_SUPERVISION_SERVICE</x:v>
      </x:c>
      <x:c r="K96" s="22" t="str">
        <x:v>NO_MATCH</x:v>
      </x:c>
      <x:c r="L96" s="31" t="n">
        <x:v>2000</x:v>
      </x:c>
      <x:c r="M96" s="34"/>
      <x:c r="N96" s="34" t="n">
        <x:f>IFERROR(M96/L96,"")</x:f>
        <x:v>0</x:v>
      </x:c>
      <x:c r="O96" s="25" t="str">
        <x:v>동일 bid_base_no는 재공고군; 다른 base의 의미중복은 project sheet에서 별도 주의</x:v>
      </x:c>
      <x:c r="P96" s="22" t="n">
        <x:v>1</x:v>
      </x:c>
    </x:row>
    <x:row r="97">
      <x:c r="A97" s="22" t="str">
        <x:v>L2022-00009</x:v>
      </x:c>
      <x:c r="B97" s="22" t="str">
        <x:v>2020-00094</x:v>
      </x:c>
      <x:c r="C97" s="22" t="str">
        <x:v>필리핀</x:v>
      </x:c>
      <x:c r="D97" s="22" t="n">
        <x:v>1</x:v>
      </x:c>
      <x:c r="E97" s="25" t="str">
        <x:v>L2022-00009-1</x:v>
      </x:c>
      <x:c r="F97" s="25" t="str">
        <x:v>L2022-00009-1</x:v>
      </x:c>
      <x:c r="G97" s="25" t="str">
        <x:v>2022-04-26</x:v>
      </x:c>
      <x:c r="H97" s="25" t="str">
        <x:v>필리핀 국립대학교 로스바뇨스 첨단농업연구센터 건축 설계 용역</x:v>
      </x:c>
      <x:c r="I97" s="22" t="str">
        <x:v>X</x:v>
      </x:c>
      <x:c r="J97" s="22" t="str">
        <x:v>DESIGN_OR_SUPERVISION_SERVICE</x:v>
      </x:c>
      <x:c r="K97" s="22" t="str">
        <x:v>NO_MATCH</x:v>
      </x:c>
      <x:c r="L97" s="31"/>
      <x:c r="M97" s="34"/>
      <x:c r="N97" s="34" t="str">
        <x:f>IFERROR(M97/L97,"")</x:f>
      </x:c>
      <x:c r="O97" s="25" t="str">
        <x:v>동일 bid_base_no는 재공고군; 다른 base의 의미중복은 project sheet에서 별도 주의</x:v>
      </x:c>
      <x:c r="P97" s="22" t="n">
        <x:v>1</x:v>
      </x:c>
    </x:row>
    <x:row r="98">
      <x:c r="A98" s="22" t="str">
        <x:v>L2023-00067</x:v>
      </x:c>
      <x:c r="B98" s="22" t="str">
        <x:v>2020-00099</x:v>
      </x:c>
      <x:c r="C98" s="22" t="str">
        <x:v>키르기즈</x:v>
      </x:c>
      <x:c r="D98" s="22" t="n">
        <x:v>1</x:v>
      </x:c>
      <x:c r="E98" s="25" t="str">
        <x:v>L2023-00067-1</x:v>
      </x:c>
      <x:c r="F98" s="25" t="str">
        <x:v>L2023-00067-1</x:v>
      </x:c>
      <x:c r="G98" s="25" t="str">
        <x:v>2023-11-21</x:v>
      </x:c>
      <x:c r="H98" s="25" t="str">
        <x:v>키르기스스탄 G-cloud 센터 인테리어 리모델링 시공 입찰</x:v>
      </x:c>
      <x:c r="I98" s="22" t="str">
        <x:v>C</x:v>
      </x:c>
      <x:c r="J98" s="22" t="str">
        <x:v>WORKS</x:v>
      </x:c>
      <x:c r="K98" s="22" t="str">
        <x:v>MATCH</x:v>
      </x:c>
      <x:c r="L98" s="31" t="n">
        <x:v>420</x:v>
      </x:c>
      <x:c r="M98" s="34" t="n">
        <x:v>280621</x:v>
      </x:c>
      <x:c r="N98" s="34" t="n">
        <x:f>IFERROR(M98/L98,"")</x:f>
        <x:v>668.1452380952381</x:v>
      </x:c>
      <x:c r="O98" s="25" t="str">
        <x:v>동일 bid_base_no는 재공고군; 다른 base의 의미중복은 project sheet에서 별도 주의</x:v>
      </x:c>
      <x:c r="P98" s="22" t="n">
        <x:v>1</x:v>
      </x:c>
    </x:row>
    <x:row r="99">
      <x:c r="A99" s="22" t="str">
        <x:v>L2021-00012</x:v>
      </x:c>
      <x:c r="B99" s="22" t="str">
        <x:v>2020-00104</x:v>
      </x:c>
      <x:c r="C99" s="22" t="str">
        <x:v>파키스탄</x:v>
      </x:c>
      <x:c r="D99" s="22" t="n">
        <x:v>1</x:v>
      </x:c>
      <x:c r="E99" s="25" t="str">
        <x:v>L2021-00012-1</x:v>
      </x:c>
      <x:c r="F99" s="25" t="str">
        <x:v>L2021-00012-1</x:v>
      </x:c>
      <x:c r="G99" s="25" t="str">
        <x:v>2021-04-28</x:v>
      </x:c>
      <x:c r="H99" s="25" t="str">
        <x:v>파키스탄 아동 및 지역 영양 개선을 위한 영양교육센터 설립사업 설계 및 감리용역</x:v>
      </x:c>
      <x:c r="I99" s="22" t="str">
        <x:v>X</x:v>
      </x:c>
      <x:c r="J99" s="22" t="str">
        <x:v>DESIGN_OR_SUPERVISION_SERVICE</x:v>
      </x:c>
      <x:c r="K99" s="22" t="str">
        <x:v>NO_MATCH</x:v>
      </x:c>
      <x:c r="L99" s="31" t="n">
        <x:v>3047</x:v>
      </x:c>
      <x:c r="M99" s="34"/>
      <x:c r="N99" s="34" t="n">
        <x:f>IFERROR(M99/L99,"")</x:f>
        <x:v>0</x:v>
      </x:c>
      <x:c r="O99" s="25" t="str">
        <x:v>동일 bid_base_no는 재공고군; 다른 base의 의미중복은 project sheet에서 별도 주의</x:v>
      </x:c>
      <x:c r="P99" s="22" t="n">
        <x:v>1</x:v>
      </x:c>
    </x:row>
    <x:row r="100">
      <x:c r="A100" s="22" t="str">
        <x:v>L2022-00034</x:v>
      </x:c>
      <x:c r="B100" s="22" t="str">
        <x:v>2020-00104</x:v>
      </x:c>
      <x:c r="C100" s="22" t="str">
        <x:v>파키스탄</x:v>
      </x:c>
      <x:c r="D100" s="22" t="n">
        <x:v>1</x:v>
      </x:c>
      <x:c r="E100" s="25" t="str">
        <x:v>L2022-00034-1</x:v>
      </x:c>
      <x:c r="F100" s="25" t="str">
        <x:v>L2022-00034-1</x:v>
      </x:c>
      <x:c r="G100" s="25" t="str">
        <x:v>2022-06-30</x:v>
      </x:c>
      <x:c r="H100" s="25" t="str">
        <x:v>파키스탄 아동 및 지역 영양개선을 위한 영양교육센터 신축공사 공사입찰설명서</x:v>
      </x:c>
      <x:c r="I100" s="22" t="str">
        <x:v>C?</x:v>
      </x:c>
      <x:c r="J100" s="22" t="str">
        <x:v>WORKS</x:v>
      </x:c>
      <x:c r="K100" s="22" t="str">
        <x:v>MATCH</x:v>
      </x:c>
      <x:c r="L100" s="31" t="n">
        <x:v>3046.75</x:v>
      </x:c>
      <x:c r="M100" s="34" t="n">
        <x:v>2462409</x:v>
      </x:c>
      <x:c r="N100" s="34" t="n">
        <x:f>IFERROR(M100/L100,"")</x:f>
        <x:v>808.2084188069255</x:v>
      </x:c>
      <x:c r="O100" s="25" t="str">
        <x:v>동일 bid_base_no는 재공고군; 다른 base의 의미중복은 project sheet에서 별도 주의</x:v>
      </x:c>
      <x:c r="P100" s="22" t="n">
        <x:v>1</x:v>
      </x:c>
    </x:row>
    <x:row r="101">
      <x:c r="A101" s="22" t="str">
        <x:v>L2022-00043</x:v>
      </x:c>
      <x:c r="B101" s="22" t="str">
        <x:v>2020-00113</x:v>
      </x:c>
      <x:c r="C101" s="22" t="str">
        <x:v>방글라데시</x:v>
      </x:c>
      <x:c r="D101" s="22" t="n">
        <x:v>1</x:v>
      </x:c>
      <x:c r="E101" s="25" t="str">
        <x:v>L2022-00043-1</x:v>
      </x:c>
      <x:c r="F101" s="25" t="str">
        <x:v>L2022-00043-1</x:v>
      </x:c>
      <x:c r="G101" s="25" t="str">
        <x:v>2022-09-01</x:v>
      </x:c>
      <x:c r="H101" s="25" t="str">
        <x:v>방글라데시 사이버안전을 위한 디지털수사역량 확산사업 챠토그램 사이버경찰센터 시공</x:v>
      </x:c>
      <x:c r="I101" s="22" t="str">
        <x:v>C</x:v>
      </x:c>
      <x:c r="J101" s="22" t="str">
        <x:v>WORKS</x:v>
      </x:c>
      <x:c r="K101" s="22" t="str">
        <x:v>MATCH</x:v>
      </x:c>
      <x:c r="L101" s="31" t="n">
        <x:v>2194</x:v>
      </x:c>
      <x:c r="M101" s="34" t="n">
        <x:v>1575000</x:v>
      </x:c>
      <x:c r="N101" s="34" t="n">
        <x:f>IFERROR(M101/L101,"")</x:f>
        <x:v>717.8669097538742</x:v>
      </x:c>
      <x:c r="O101" s="25" t="str">
        <x:v>동일 bid_base_no는 재공고군; 다른 base의 의미중복은 project sheet에서 별도 주의</x:v>
      </x:c>
      <x:c r="P101" s="22" t="n">
        <x:v>1</x:v>
      </x:c>
    </x:row>
    <x:row r="102">
      <x:c r="A102" s="22" t="str">
        <x:v>L2021-00004</x:v>
      </x:c>
      <x:c r="B102" s="22" t="str">
        <x:v>2020-00114</x:v>
      </x:c>
      <x:c r="C102" s="22" t="str">
        <x:v>네팔</x:v>
      </x:c>
      <x:c r="D102" s="22" t="n">
        <x:v>1</x:v>
      </x:c>
      <x:c r="E102" s="25" t="str">
        <x:v>L2021-00004-1</x:v>
      </x:c>
      <x:c r="F102" s="25" t="str">
        <x:v>L2021-00004-1</x:v>
      </x:c>
      <x:c r="G102" s="25" t="str">
        <x:v>2021-02-08</x:v>
      </x:c>
      <x:c r="H102" s="25" t="str">
        <x:v>네팔 보건 및 소득증대를 통한 통합적 농촌지역 역량강화사업 아웃리치 센터 설계 및 감리업체 선정 현지입찰 계획</x:v>
      </x:c>
      <x:c r="I102" s="22" t="str">
        <x:v>X</x:v>
      </x:c>
      <x:c r="J102" s="22" t="str">
        <x:v>DESIGN_OR_SUPERVISION_SERVICE</x:v>
      </x:c>
      <x:c r="K102" s="22" t="str">
        <x:v>NO_MATCH</x:v>
      </x:c>
      <x:c r="L102" s="31" t="n">
        <x:v>1500</x:v>
      </x:c>
      <x:c r="M102" s="34"/>
      <x:c r="N102" s="34" t="n">
        <x:f>IFERROR(M102/L102,"")</x:f>
        <x:v>0</x:v>
      </x:c>
      <x:c r="O102" s="25" t="str">
        <x:v>동일 bid_base_no는 재공고군; 다른 base의 의미중복은 project sheet에서 별도 주의</x:v>
      </x:c>
      <x:c r="P102" s="22" t="n">
        <x:v>1</x:v>
      </x:c>
    </x:row>
    <x:row r="103">
      <x:c r="A103" s="22" t="str">
        <x:v>L2021-00029</x:v>
      </x:c>
      <x:c r="B103" s="22" t="str">
        <x:v>2020-00114</x:v>
      </x:c>
      <x:c r="C103" s="22" t="str">
        <x:v>네팔</x:v>
      </x:c>
      <x:c r="D103" s="22" t="n">
        <x:v>1</x:v>
      </x:c>
      <x:c r="E103" s="25" t="str">
        <x:v>L2021-00029-1</x:v>
      </x:c>
      <x:c r="F103" s="25" t="str">
        <x:v>L2021-00029-1</x:v>
      </x:c>
      <x:c r="G103" s="25" t="str">
        <x:v>2021-10-11</x:v>
      </x:c>
      <x:c r="H103" s="25" t="str">
        <x:v>네팔 보건 및 소득증대를 통한 통합적 농촌지역 역량강화사업 시공업체 선정 현지 입찰</x:v>
      </x:c>
      <x:c r="I103" s="22" t="str">
        <x:v>C</x:v>
      </x:c>
      <x:c r="J103" s="22" t="str">
        <x:v>WORKS</x:v>
      </x:c>
      <x:c r="K103" s="22" t="str">
        <x:v>MATCH</x:v>
      </x:c>
      <x:c r="L103" s="31" t="n">
        <x:v>1120.3</x:v>
      </x:c>
      <x:c r="M103" s="34" t="n">
        <x:v>929600</x:v>
      </x:c>
      <x:c r="N103" s="34" t="n">
        <x:f>IFERROR(M103/L103,"")</x:f>
        <x:v>829.7777381058645</x:v>
      </x:c>
      <x:c r="O103" s="25" t="str">
        <x:v>동일 bid_base_no는 재공고군; 다른 base의 의미중복은 project sheet에서 별도 주의</x:v>
      </x:c>
      <x:c r="P103" s="22" t="n">
        <x:v>1</x:v>
      </x:c>
    </x:row>
    <x:row r="104">
      <x:c r="A104" s="22" t="str">
        <x:v>L2025-00070</x:v>
      </x:c>
      <x:c r="B104" s="22" t="str">
        <x:v>2020-00119</x:v>
      </x:c>
      <x:c r="C104" s="22" t="str">
        <x:v>이라크</x:v>
      </x:c>
      <x:c r="D104" s="22" t="n">
        <x:v>1</x:v>
      </x:c>
      <x:c r="E104" s="25" t="str">
        <x:v>L2025-00070-1</x:v>
      </x:c>
      <x:c r="F104" s="25" t="str">
        <x:v>L2025-00070-1</x:v>
      </x:c>
      <x:c r="G104" s="25" t="str">
        <x:v>2025-07-10</x:v>
      </x:c>
      <x:c r="H104" s="25" t="str">
        <x:v>한-이라크 심장병 어린이 전문병원 신축공사</x:v>
      </x:c>
      <x:c r="I104" s="22" t="str">
        <x:v>C?</x:v>
      </x:c>
      <x:c r="J104" s="22" t="str">
        <x:v>WORKS</x:v>
      </x:c>
      <x:c r="K104" s="22" t="str">
        <x:v>MATCH</x:v>
      </x:c>
      <x:c r="L104" s="31" t="n">
        <x:v>5486</x:v>
      </x:c>
      <x:c r="M104" s="34" t="n">
        <x:v>13292831</x:v>
      </x:c>
      <x:c r="N104" s="34" t="n">
        <x:f>IFERROR(M104/L104,"")</x:f>
        <x:v>2423.0461173897193</x:v>
      </x:c>
      <x:c r="O104" s="25" t="str">
        <x:v>동일 bid_base_no는 재공고군; 다른 base의 의미중복은 project sheet에서 별도 주의</x:v>
      </x:c>
      <x:c r="P104" s="22" t="n">
        <x:v>1</x:v>
      </x:c>
    </x:row>
    <x:row r="105">
      <x:c r="A105" s="22" t="str">
        <x:v>L2025-00071</x:v>
      </x:c>
      <x:c r="B105" s="22" t="str">
        <x:v>2020-00119</x:v>
      </x:c>
      <x:c r="C105" s="22" t="str">
        <x:v>이라크</x:v>
      </x:c>
      <x:c r="D105" s="22" t="n">
        <x:v>1</x:v>
      </x:c>
      <x:c r="E105" s="25" t="str">
        <x:v>L2025-00071-1</x:v>
      </x:c>
      <x:c r="F105" s="25" t="str">
        <x:v>L2025-00071-1</x:v>
      </x:c>
      <x:c r="G105" s="25" t="str">
        <x:v>2025-09-08</x:v>
      </x:c>
      <x:c r="H105" s="25" t="str">
        <x:v>한-이라크 심장병 어린이 전문병원 신축공사(재공고)</x:v>
      </x:c>
      <x:c r="I105" s="22" t="str">
        <x:v>C</x:v>
      </x:c>
      <x:c r="J105" s="22" t="str">
        <x:v>WORKS</x:v>
      </x:c>
      <x:c r="K105" s="22" t="str">
        <x:v>MATCH</x:v>
      </x:c>
      <x:c r="L105" s="31" t="n">
        <x:v>5486</x:v>
      </x:c>
      <x:c r="M105" s="34" t="n">
        <x:v>13292831</x:v>
      </x:c>
      <x:c r="N105" s="34" t="n">
        <x:f>IFERROR(M105/L105,"")</x:f>
        <x:v>2423.0461173897193</x:v>
      </x:c>
      <x:c r="O105" s="25" t="str">
        <x:v>동일 bid_base_no는 재공고군; 다른 base의 의미중복은 project sheet에서 별도 주의</x:v>
      </x:c>
      <x:c r="P105" s="22" t="n">
        <x:v>1</x:v>
      </x:c>
    </x:row>
    <x:row r="106">
      <x:c r="A106" s="22" t="str">
        <x:v>L2025-00085</x:v>
      </x:c>
      <x:c r="B106" s="22" t="str">
        <x:v>2020-00119</x:v>
      </x:c>
      <x:c r="C106" s="22" t="str">
        <x:v>이라크</x:v>
      </x:c>
      <x:c r="D106" s="22" t="n">
        <x:v>1</x:v>
      </x:c>
      <x:c r="E106" s="25" t="str">
        <x:v>L2025-00085-1</x:v>
      </x:c>
      <x:c r="F106" s="25" t="str">
        <x:v>L2025-00085-1</x:v>
      </x:c>
      <x:c r="G106" s="25" t="str">
        <x:v>2025-10-06</x:v>
      </x:c>
      <x:c r="H106" s="25" t="str">
        <x:v>(긴급) 한-이라크 심장병 어린이 전문 병원 신축공사(신규입찰)</x:v>
      </x:c>
      <x:c r="I106" s="22" t="str">
        <x:v>A-부분</x:v>
      </x:c>
      <x:c r="J106" s="22" t="str">
        <x:v>WORKS</x:v>
      </x:c>
      <x:c r="K106" s="22" t="str">
        <x:v>MATCH</x:v>
      </x:c>
      <x:c r="L106" s="31" t="n">
        <x:v>5486</x:v>
      </x:c>
      <x:c r="M106" s="34" t="n">
        <x:v>13292831</x:v>
      </x:c>
      <x:c r="N106" s="34" t="n">
        <x:f>IFERROR(M106/L106,"")</x:f>
        <x:v>2423.0461173897193</x:v>
      </x:c>
      <x:c r="O106" s="25" t="str">
        <x:v>동일 bid_base_no는 재공고군; 다른 base의 의미중복은 project sheet에서 별도 주의</x:v>
      </x:c>
      <x:c r="P106" s="22" t="n">
        <x:v>1</x:v>
      </x:c>
    </x:row>
    <x:row r="107">
      <x:c r="A107" s="22" t="str">
        <x:v>L2025-00018</x:v>
      </x:c>
      <x:c r="B107" s="22" t="str">
        <x:v>2021-00016</x:v>
      </x:c>
      <x:c r="C107" s="22" t="str">
        <x:v>가나</x:v>
      </x:c>
      <x:c r="D107" s="22" t="n">
        <x:v>1</x:v>
      </x:c>
      <x:c r="E107" s="25" t="str">
        <x:v>L2025-00018-1</x:v>
      </x:c>
      <x:c r="F107" s="25" t="str">
        <x:v>L2025-00018-1</x:v>
      </x:c>
      <x:c r="G107" s="25" t="str">
        <x:v>2025-04-02</x:v>
      </x:c>
      <x:c r="H107" s="25" t="str">
        <x:v>가나대학교 한-가나 연구 및 ICT 혁신센터 건립사업 공사</x:v>
      </x:c>
      <x:c r="I107" s="22" t="str">
        <x:v>A</x:v>
      </x:c>
      <x:c r="J107" s="22" t="str">
        <x:v>WORKS</x:v>
      </x:c>
      <x:c r="K107" s="22" t="str">
        <x:v>MATCH</x:v>
      </x:c>
      <x:c r="L107" s="31" t="n">
        <x:v>2684.36</x:v>
      </x:c>
      <x:c r="M107" s="34" t="n">
        <x:v>4333427</x:v>
      </x:c>
      <x:c r="N107" s="34" t="n">
        <x:f>IFERROR(M107/L107,"")</x:f>
        <x:v>1614.3240846980284</x:v>
      </x:c>
      <x:c r="O107" s="25" t="str">
        <x:v>동일 bid_base_no는 재공고군; 다른 base의 의미중복은 project sheet에서 별도 주의</x:v>
      </x:c>
      <x:c r="P107" s="22" t="n">
        <x:v>1</x:v>
      </x:c>
    </x:row>
    <x:row r="108">
      <x:c r="A108" s="22" t="str">
        <x:v>L2023-00075</x:v>
      </x:c>
      <x:c r="B108" s="22" t="str">
        <x:v>2021-00018</x:v>
      </x:c>
      <x:c r="C108" s="22" t="str">
        <x:v>몽골</x:v>
      </x:c>
      <x:c r="D108" s="22" t="n">
        <x:v>1</x:v>
      </x:c>
      <x:c r="E108" s="25" t="str">
        <x:v>L2023-00075-1</x:v>
      </x:c>
      <x:c r="F108" s="25" t="str">
        <x:v>L2023-00075-1</x:v>
      </x:c>
      <x:c r="G108" s="25" t="str">
        <x:v>2024-01-22</x:v>
      </x:c>
      <x:c r="H108" s="25" t="str">
        <x:v>몽골 철도교통관제센터(RTCC) 건립 시공 입찰</x:v>
      </x:c>
      <x:c r="I108" s="22" t="str">
        <x:v>C?</x:v>
      </x:c>
      <x:c r="J108" s="22" t="str">
        <x:v>WORKS</x:v>
      </x:c>
      <x:c r="K108" s="22" t="str">
        <x:v>MATCH</x:v>
      </x:c>
      <x:c r="L108" s="31" t="n">
        <x:v>3131</x:v>
      </x:c>
      <x:c r="M108" s="34" t="n">
        <x:v>3454118</x:v>
      </x:c>
      <x:c r="N108" s="34" t="n">
        <x:f>IFERROR(M108/L108,"")</x:f>
        <x:v>1103.199616735867</x:v>
      </x:c>
      <x:c r="O108" s="25" t="str">
        <x:v>동일 bid_base_no는 재공고군; 다른 base의 의미중복은 project sheet에서 별도 주의</x:v>
      </x:c>
      <x:c r="P108" s="22" t="n">
        <x:v>1</x:v>
      </x:c>
    </x:row>
    <x:row r="109">
      <x:c r="A109" s="22" t="str">
        <x:v>L2023-00028</x:v>
      </x:c>
      <x:c r="B109" s="22" t="str">
        <x:v>2021-00042</x:v>
      </x:c>
      <x:c r="C109" s="22" t="str">
        <x:v>우간다</x:v>
      </x:c>
      <x:c r="D109" s="22" t="n">
        <x:v>1</x:v>
      </x:c>
      <x:c r="E109" s="25" t="str">
        <x:v>L2023-00028-1</x:v>
      </x:c>
      <x:c r="F109" s="25" t="str">
        <x:v>L2023-00028-1</x:v>
      </x:c>
      <x:c r="G109" s="25" t="str">
        <x:v>2023-06-27</x:v>
      </x:c>
      <x:c r="H109" s="25" t="str">
        <x:v>우간다 농업지도자연수원 자립적 운영체계 구축 및 연수역량강화 사업을 위한 설계 및 감리 용역</x:v>
      </x:c>
      <x:c r="I109" s="22" t="str">
        <x:v>X</x:v>
      </x:c>
      <x:c r="J109" s="22" t="str">
        <x:v>DESIGN_OR_SUPERVISION_SERVICE</x:v>
      </x:c>
      <x:c r="K109" s="22" t="str">
        <x:v>NO_MATCH</x:v>
      </x:c>
      <x:c r="L109" s="31" t="n">
        <x:v>3772</x:v>
      </x:c>
      <x:c r="M109" s="34"/>
      <x:c r="N109" s="34" t="n">
        <x:f>IFERROR(M109/L109,"")</x:f>
        <x:v>0</x:v>
      </x:c>
      <x:c r="O109" s="25" t="str">
        <x:v>동일 bid_base_no는 재공고군; 다른 base의 의미중복은 project sheet에서 별도 주의</x:v>
      </x:c>
      <x:c r="P109" s="22" t="n">
        <x:v>1</x:v>
      </x:c>
    </x:row>
    <x:row r="110">
      <x:c r="A110" s="22" t="str">
        <x:v>L2024-00050</x:v>
      </x:c>
      <x:c r="B110" s="22" t="str">
        <x:v>2021-00042</x:v>
      </x:c>
      <x:c r="C110" s="22" t="str">
        <x:v>우간다</x:v>
      </x:c>
      <x:c r="D110" s="22" t="n">
        <x:v>1</x:v>
      </x:c>
      <x:c r="E110" s="25" t="str">
        <x:v>L2024-00050-1</x:v>
      </x:c>
      <x:c r="F110" s="25" t="str">
        <x:v>L2024-00050-1</x:v>
      </x:c>
      <x:c r="G110" s="25" t="str">
        <x:v>2024-09-16</x:v>
      </x:c>
      <x:c r="H110" s="25" t="str">
        <x:v>우간다 농업지도자 연수원 자립적 운영체계구축 및 연수역량 강화사업 공사</x:v>
      </x:c>
      <x:c r="I110" s="22" t="str">
        <x:v>C</x:v>
      </x:c>
      <x:c r="J110" s="22" t="str">
        <x:v>WORKS</x:v>
      </x:c>
      <x:c r="K110" s="22" t="str">
        <x:v>MATCH</x:v>
      </x:c>
      <x:c r="L110" s="31" t="n">
        <x:v>4032</x:v>
      </x:c>
      <x:c r="M110" s="34" t="n">
        <x:v>3910000</x:v>
      </x:c>
      <x:c r="N110" s="34" t="n">
        <x:f>IFERROR(M110/L110,"")</x:f>
        <x:v>969.7420634920635</x:v>
      </x:c>
      <x:c r="O110" s="25" t="str">
        <x:v>동일 bid_base_no는 재공고군; 다른 base의 의미중복은 project sheet에서 별도 주의</x:v>
      </x:c>
      <x:c r="P110" s="22" t="n">
        <x:v>1</x:v>
      </x:c>
    </x:row>
    <x:row r="111">
      <x:c r="A111" s="22" t="str">
        <x:v>L2025-00062</x:v>
      </x:c>
      <x:c r="B111" s="22" t="str">
        <x:v>2021-00042</x:v>
      </x:c>
      <x:c r="C111" s="22" t="str">
        <x:v>우간다</x:v>
      </x:c>
      <x:c r="D111" s="22" t="n">
        <x:v>1</x:v>
      </x:c>
      <x:c r="E111" s="25" t="str">
        <x:v>L2025-00062-1</x:v>
      </x:c>
      <x:c r="F111" s="25" t="str">
        <x:v>L2025-00062-1</x:v>
      </x:c>
      <x:c r="G111" s="25" t="str">
        <x:v>2025-08-06</x:v>
      </x:c>
      <x:c r="H111" s="25" t="str">
        <x:v>우간다 농업지도자 연수원 자립적 운영체계구축 및 연수역량 강화사업 시범농장 신축 공사</x:v>
      </x:c>
      <x:c r="I111" s="22" t="str">
        <x:v>C</x:v>
      </x:c>
      <x:c r="J111" s="22" t="str">
        <x:v>WORKS</x:v>
      </x:c>
      <x:c r="K111" s="22" t="str">
        <x:v>MATCH</x:v>
      </x:c>
      <x:c r="L111" s="31" t="n">
        <x:v>2378.8</x:v>
      </x:c>
      <x:c r="M111" s="34" t="n">
        <x:v>1123590</x:v>
      </x:c>
      <x:c r="N111" s="34" t="n">
        <x:f>IFERROR(M111/L111,"")</x:f>
        <x:v>472.33479065074823</x:v>
      </x:c>
      <x:c r="O111" s="25" t="str">
        <x:v>동일 bid_base_no는 재공고군; 다른 base의 의미중복은 project sheet에서 별도 주의</x:v>
      </x:c>
      <x:c r="P111" s="22" t="n">
        <x:v>1</x:v>
      </x:c>
    </x:row>
    <x:row r="112">
      <x:c r="A112" s="22" t="str">
        <x:v>L2023-00011</x:v>
      </x:c>
      <x:c r="B112" s="22" t="str">
        <x:v>2021-00043</x:v>
      </x:c>
      <x:c r="C112" s="22" t="str">
        <x:v>우간다</x:v>
      </x:c>
      <x:c r="D112" s="22" t="n">
        <x:v>1</x:v>
      </x:c>
      <x:c r="E112" s="25" t="str">
        <x:v>L2023-00011-1</x:v>
      </x:c>
      <x:c r="F112" s="25" t="str">
        <x:v>L2023-00011-1</x:v>
      </x:c>
      <x:c r="G112" s="25" t="str">
        <x:v>2023-03-28</x:v>
      </x:c>
      <x:c r="H112" s="25" t="str">
        <x:v>우간다 주요 채소작물 종자 가치사슬 역량강화사업 Wakiso, Mukono 및 Luwero지역 온실, 토목 및 수도 건축공사</x:v>
      </x:c>
      <x:c r="I112" s="22" t="str">
        <x:v>C</x:v>
      </x:c>
      <x:c r="J112" s="22" t="str">
        <x:v>WORKS</x:v>
      </x:c>
      <x:c r="K112" s="22" t="str">
        <x:v>MATCH</x:v>
      </x:c>
      <x:c r="L112" s="31" t="n">
        <x:v>6456</x:v>
      </x:c>
      <x:c r="M112" s="34" t="n">
        <x:v>1540000</x:v>
      </x:c>
      <x:c r="N112" s="34" t="n">
        <x:f>IFERROR(M112/L112,"")</x:f>
        <x:v>238.53779429987608</x:v>
      </x:c>
      <x:c r="O112" s="25" t="str">
        <x:v>동일 bid_base_no는 재공고군; 다른 base의 의미중복은 project sheet에서 별도 주의</x:v>
      </x:c>
      <x:c r="P112" s="22" t="n">
        <x:v>1</x:v>
      </x:c>
    </x:row>
    <x:row r="113">
      <x:c r="A113" s="22" t="str">
        <x:v>L2023-00077</x:v>
      </x:c>
      <x:c r="B113" s="22" t="str">
        <x:v>2021-00054</x:v>
      </x:c>
      <x:c r="C113" s="22" t="str">
        <x:v>세네갈</x:v>
      </x:c>
      <x:c r="D113" s="22" t="n">
        <x:v>1</x:v>
      </x:c>
      <x:c r="E113" s="25" t="str">
        <x:v>L2023-00077-1</x:v>
      </x:c>
      <x:c r="F113" s="25" t="str">
        <x:v>L2023-00077-1</x:v>
      </x:c>
      <x:c r="G113" s="25" t="str">
        <x:v>2023-11-14</x:v>
      </x:c>
      <x:c r="H113" s="25" t="str">
        <x:v>세네갈 대국민 소통증진을 위한 국회의정활동시스템 현대화사업 리모델링 업체 선정 입</x:v>
      </x:c>
      <x:c r="I113" s="22" t="str">
        <x:v>X</x:v>
      </x:c>
      <x:c r="J113" s="22" t="str">
        <x:v>GOODS</x:v>
      </x:c>
      <x:c r="K113" s="22" t="str">
        <x:v>NO_MATCH</x:v>
      </x:c>
      <x:c r="L113" s="31"/>
      <x:c r="M113" s="34"/>
      <x:c r="N113" s="34" t="str">
        <x:f>IFERROR(M113/L113,"")</x:f>
      </x:c>
      <x:c r="O113" s="25" t="str">
        <x:v>동일 bid_base_no는 재공고군; 다른 base의 의미중복은 project sheet에서 별도 주의</x:v>
      </x:c>
      <x:c r="P113" s="22" t="n">
        <x:v>1</x:v>
      </x:c>
    </x:row>
    <x:row r="114">
      <x:c r="A114" s="22" t="str">
        <x:v>L2023-00045</x:v>
      </x:c>
      <x:c r="B114" s="22" t="str">
        <x:v>2021-00055</x:v>
      </x:c>
      <x:c r="C114" s="22" t="str">
        <x:v>세네갈</x:v>
      </x:c>
      <x:c r="D114" s="22" t="n">
        <x:v>1</x:v>
      </x:c>
      <x:c r="E114" s="25" t="str">
        <x:v>L2023-00045-1</x:v>
      </x:c>
      <x:c r="F114" s="25" t="str">
        <x:v>L2023-00045-1</x:v>
      </x:c>
      <x:c r="G114" s="25" t="str">
        <x:v>2023-06-16</x:v>
      </x:c>
      <x:c r="H114" s="25" t="str">
        <x:v>세네갈 ISEPDD 메이커스페이스 및 카페테리아 리모델링 공사 계약</x:v>
      </x:c>
      <x:c r="I114" s="22" t="str">
        <x:v>C</x:v>
      </x:c>
      <x:c r="J114" s="22" t="str">
        <x:v>WORKS</x:v>
      </x:c>
      <x:c r="K114" s="22" t="str">
        <x:v>MATCH</x:v>
      </x:c>
      <x:c r="L114" s="31" t="n">
        <x:v>453</x:v>
      </x:c>
      <x:c r="M114" s="34" t="n">
        <x:v>297000</x:v>
      </x:c>
      <x:c r="N114" s="34" t="n">
        <x:f>IFERROR(M114/L114,"")</x:f>
        <x:v>655.6291390728477</x:v>
      </x:c>
      <x:c r="O114" s="25" t="str">
        <x:v>동일 bid_base_no는 재공고군; 다른 base의 의미중복은 project sheet에서 별도 주의</x:v>
      </x:c>
      <x:c r="P114" s="22" t="n">
        <x:v>1</x:v>
      </x:c>
    </x:row>
    <x:row r="115">
      <x:c r="A115" s="22" t="str">
        <x:v>L2023-00021</x:v>
      </x:c>
      <x:c r="B115" s="22" t="str">
        <x:v>2021-00064</x:v>
      </x:c>
      <x:c r="C115" s="22" t="str">
        <x:v>파라과이</x:v>
      </x:c>
      <x:c r="D115" s="22" t="n">
        <x:v>1</x:v>
      </x:c>
      <x:c r="E115" s="25" t="str">
        <x:v>L2023-00021-1</x:v>
      </x:c>
      <x:c r="F115" s="25" t="str">
        <x:v>L2023-00021-1</x:v>
      </x:c>
      <x:c r="G115" s="25" t="str">
        <x:v>2023-02-06</x:v>
      </x:c>
      <x:c r="H115" s="25" t="str">
        <x:v>파라과이 멀티미디어 교육지원센터 설립을 통한 교육접근성 향상사업(설계 용역 입찰)</x:v>
      </x:c>
      <x:c r="I115" s="22" t="str">
        <x:v>X</x:v>
      </x:c>
      <x:c r="J115" s="22" t="str">
        <x:v>DESIGN_OR_SUPERVISION_SERVICE</x:v>
      </x:c>
      <x:c r="K115" s="22" t="str">
        <x:v>NO_MATCH</x:v>
      </x:c>
      <x:c r="L115" s="31" t="n">
        <x:v>1000</x:v>
      </x:c>
      <x:c r="M115" s="34"/>
      <x:c r="N115" s="34" t="n">
        <x:f>IFERROR(M115/L115,"")</x:f>
        <x:v>0</x:v>
      </x:c>
      <x:c r="O115" s="25" t="str">
        <x:v>동일 bid_base_no는 재공고군; 다른 base의 의미중복은 project sheet에서 별도 주의</x:v>
      </x:c>
      <x:c r="P115" s="22" t="n">
        <x:v>1</x:v>
      </x:c>
    </x:row>
    <x:row r="116">
      <x:c r="A116" s="22" t="str">
        <x:v>L2023-00054</x:v>
      </x:c>
      <x:c r="B116" s="22" t="str">
        <x:v>2021-00072</x:v>
      </x:c>
      <x:c r="C116" s="22" t="str">
        <x:v>필리핀</x:v>
      </x:c>
      <x:c r="D116" s="22" t="n">
        <x:v>1</x:v>
      </x:c>
      <x:c r="E116" s="25" t="str">
        <x:v>L2023-00054-2</x:v>
      </x:c>
      <x:c r="F116" s="25" t="str">
        <x:v>L2023-00054-2</x:v>
      </x:c>
      <x:c r="G116" s="25" t="str">
        <x:v>2023-11-03</x:v>
      </x:c>
      <x:c r="H116" s="25" t="str">
        <x:v>(재공고) 필리핀 국립대학교 로스바뇨스(UPLB) 첨단농업연구센터 신축공사</x:v>
      </x:c>
      <x:c r="I116" s="22" t="str">
        <x:v>C?</x:v>
      </x:c>
      <x:c r="J116" s="22" t="str">
        <x:v>WORKS</x:v>
      </x:c>
      <x:c r="K116" s="22" t="str">
        <x:v>MATCH</x:v>
      </x:c>
      <x:c r="L116" s="31" t="n">
        <x:v>6682.62</x:v>
      </x:c>
      <x:c r="M116" s="34" t="n">
        <x:v>5107200</x:v>
      </x:c>
      <x:c r="N116" s="34" t="n">
        <x:f>IFERROR(M116/L116,"")</x:f>
        <x:v>764.2511470052166</x:v>
      </x:c>
      <x:c r="O116" s="25" t="str">
        <x:v>동일 bid_base_no는 재공고군; 다른 base의 의미중복은 project sheet에서 별도 주의</x:v>
      </x:c>
      <x:c r="P116" s="22" t="n">
        <x:v>1</x:v>
      </x:c>
    </x:row>
    <x:row r="117">
      <x:c r="A117" s="22" t="str">
        <x:v>L2023-00006</x:v>
      </x:c>
      <x:c r="B117" s="22" t="str">
        <x:v>2021-00075</x:v>
      </x:c>
      <x:c r="C117" s="22" t="str">
        <x:v>동티모르</x:v>
      </x:c>
      <x:c r="D117" s="22" t="n">
        <x:v>1</x:v>
      </x:c>
      <x:c r="E117" s="25" t="str">
        <x:v>L2023-00006-1</x:v>
      </x:c>
      <x:c r="F117" s="25" t="str">
        <x:v>L2023-00006-1</x:v>
      </x:c>
      <x:c r="G117" s="25" t="str">
        <x:v>2023-02-23</x:v>
      </x:c>
      <x:c r="H117" s="25" t="str">
        <x:v>동티모르 농민참여형 가치사슬 개선사업 농업용 인프라 시공</x:v>
      </x:c>
      <x:c r="I117" s="22" t="str">
        <x:v>C?</x:v>
      </x:c>
      <x:c r="J117" s="22" t="str">
        <x:v>WORKS</x:v>
      </x:c>
      <x:c r="K117" s="22" t="str">
        <x:v>MATCH</x:v>
      </x:c>
      <x:c r="L117" s="31" t="n">
        <x:v>826.8</x:v>
      </x:c>
      <x:c r="M117" s="34" t="n">
        <x:v>1570000</x:v>
      </x:c>
      <x:c r="N117" s="34" t="n">
        <x:f>IFERROR(M117/L117,"")</x:f>
        <x:v>1898.887276245767</x:v>
      </x:c>
      <x:c r="O117" s="25" t="str">
        <x:v>동일 bid_base_no는 재공고군; 다른 base의 의미중복은 project sheet에서 별도 주의</x:v>
      </x:c>
      <x:c r="P117" s="22" t="n">
        <x:v>1</x:v>
      </x:c>
    </x:row>
    <x:row r="118">
      <x:c r="A118" s="22" t="str">
        <x:v>L2023-00019</x:v>
      </x:c>
      <x:c r="B118" s="22" t="str">
        <x:v>2021-00075</x:v>
      </x:c>
      <x:c r="C118" s="22" t="str">
        <x:v>동티모르</x:v>
      </x:c>
      <x:c r="D118" s="22" t="n">
        <x:v>1</x:v>
      </x:c>
      <x:c r="E118" s="25" t="str">
        <x:v>L2023-00019-1</x:v>
      </x:c>
      <x:c r="F118" s="25" t="str">
        <x:v>L2023-00019-1</x:v>
      </x:c>
      <x:c r="G118" s="25" t="str">
        <x:v>2023-04-12</x:v>
      </x:c>
      <x:c r="H118" s="25" t="str">
        <x:v>(신규재입찰) 동티모르 농민참여형 가치사슬 개선사업 농업용 인프라 시공</x:v>
      </x:c>
      <x:c r="I118" s="22" t="str">
        <x:v>C?</x:v>
      </x:c>
      <x:c r="J118" s="22" t="str">
        <x:v>WORKS</x:v>
      </x:c>
      <x:c r="K118" s="22" t="str">
        <x:v>MATCH</x:v>
      </x:c>
      <x:c r="L118" s="31" t="n">
        <x:v>826.8</x:v>
      </x:c>
      <x:c r="M118" s="34" t="n">
        <x:v>1570000</x:v>
      </x:c>
      <x:c r="N118" s="34" t="n">
        <x:f>IFERROR(M118/L118,"")</x:f>
        <x:v>1898.887276245767</x:v>
      </x:c>
      <x:c r="O118" s="25" t="str">
        <x:v>동일 bid_base_no는 재공고군; 다른 base의 의미중복은 project sheet에서 별도 주의</x:v>
      </x:c>
      <x:c r="P118" s="22" t="n">
        <x:v>1</x:v>
      </x:c>
    </x:row>
    <x:row r="119">
      <x:c r="A119" s="22" t="str">
        <x:v>L2023-00022</x:v>
      </x:c>
      <x:c r="B119" s="22" t="str">
        <x:v>2021-00075</x:v>
      </x:c>
      <x:c r="C119" s="22" t="str">
        <x:v>동티모르</x:v>
      </x:c>
      <x:c r="D119" s="22" t="n">
        <x:v>1</x:v>
      </x:c>
      <x:c r="E119" s="25" t="str">
        <x:v>L2023-00022-1</x:v>
      </x:c>
      <x:c r="F119" s="25" t="str">
        <x:v>L2023-00022-1</x:v>
      </x:c>
      <x:c r="G119" s="25" t="str">
        <x:v>2023-05-04</x:v>
      </x:c>
      <x:c r="H119" s="25" t="str">
        <x:v>동티모르 농민참여형 가치사슬 개선사업 농업용 인프라 시공업체 선정</x:v>
      </x:c>
      <x:c r="I119" s="22" t="str">
        <x:v>C</x:v>
      </x:c>
      <x:c r="J119" s="22" t="str">
        <x:v>WORKS</x:v>
      </x:c>
      <x:c r="K119" s="22" t="str">
        <x:v>MATCH</x:v>
      </x:c>
      <x:c r="L119" s="31" t="n">
        <x:v>826.8</x:v>
      </x:c>
      <x:c r="M119" s="34" t="n">
        <x:v>1570000</x:v>
      </x:c>
      <x:c r="N119" s="34" t="n">
        <x:f>IFERROR(M119/L119,"")</x:f>
        <x:v>1898.887276245767</x:v>
      </x:c>
      <x:c r="O119" s="25" t="str">
        <x:v>동일 bid_base_no는 재공고군; 다른 base의 의미중복은 project sheet에서 별도 주의</x:v>
      </x:c>
      <x:c r="P119" s="22" t="n">
        <x:v>1</x:v>
      </x:c>
    </x:row>
    <x:row r="120">
      <x:c r="A120" s="22" t="str">
        <x:v>L2023-00030</x:v>
      </x:c>
      <x:c r="B120" s="22" t="str">
        <x:v>2021-00097</x:v>
      </x:c>
      <x:c r="C120" s="22" t="str">
        <x:v>피지</x:v>
      </x:c>
      <x:c r="D120" s="22" t="n">
        <x:v>1</x:v>
      </x:c>
      <x:c r="E120" s="25" t="str">
        <x:v>L2023-00030-1</x:v>
      </x:c>
      <x:c r="F120" s="25" t="str">
        <x:v>L2023-00030-1</x:v>
      </x:c>
      <x:c r="G120" s="25" t="str">
        <x:v>2023-06-08</x:v>
      </x:c>
      <x:c r="H120" s="25" t="str">
        <x:v>피지 농업공존형 태양광 발전사업(GCF) 영농기술센터 및 농기자재 보관창고 신축 설계 및 감리용역</x:v>
      </x:c>
      <x:c r="I120" s="22" t="str">
        <x:v>X</x:v>
      </x:c>
      <x:c r="J120" s="22" t="str">
        <x:v>DESIGN_OR_SUPERVISION_SERVICE</x:v>
      </x:c>
      <x:c r="K120" s="22" t="str">
        <x:v>NO_MATCH</x:v>
      </x:c>
      <x:c r="L120" s="31" t="n">
        <x:v>1100</x:v>
      </x:c>
      <x:c r="M120" s="34"/>
      <x:c r="N120" s="34" t="n">
        <x:f>IFERROR(M120/L120,"")</x:f>
        <x:v>0</x:v>
      </x:c>
      <x:c r="O120" s="25" t="str">
        <x:v>동일 bid_base_no는 재공고군; 다른 base의 의미중복은 project sheet에서 별도 주의</x:v>
      </x:c>
      <x:c r="P120" s="22" t="n">
        <x:v>1</x:v>
      </x:c>
    </x:row>
    <x:row r="121">
      <x:c r="A121" s="22" t="str">
        <x:v>L2024-00068</x:v>
      </x:c>
      <x:c r="B121" s="22" t="str">
        <x:v>2021-00104</x:v>
      </x:c>
      <x:c r="C121" s="22" t="str">
        <x:v>코트디부아르</x:v>
      </x:c>
      <x:c r="D121" s="22" t="n">
        <x:v>2</x:v>
      </x:c>
      <x:c r="E121" s="25" t="str">
        <x:v>L2024-00068-1;L2024-00068-2</x:v>
      </x:c>
      <x:c r="F121" s="25" t="str">
        <x:v>L2024-00068-2</x:v>
      </x:c>
      <x:c r="G121" s="25" t="str">
        <x:v>2024-11-14</x:v>
      </x:c>
      <x:c r="H121" s="25" t="str">
        <x:v>[긴급] 코트디부아르 국립직업기술교육원 교사 ICT기반 교수역량강화사업 리모델링 공사</x:v>
      </x:c>
      <x:c r="I121" s="22" t="str">
        <x:v>U</x:v>
      </x:c>
      <x:c r="J121" s="22" t="str">
        <x:v>WORKS</x:v>
      </x:c>
      <x:c r="K121" s="22" t="str">
        <x:v>PARTIAL_SCOPE</x:v>
      </x:c>
      <x:c r="L121" s="31"/>
      <x:c r="M121" s="34" t="n">
        <x:v>440000</x:v>
      </x:c>
      <x:c r="N121" s="34" t="str">
        <x:f>IFERROR(M121/L121,"")</x:f>
      </x:c>
      <x:c r="O121" s="25" t="str">
        <x:v>동일 bid_base_no는 재공고군; 다른 base의 의미중복은 project sheet에서 별도 주의</x:v>
      </x:c>
      <x:c r="P121" s="22" t="n">
        <x:v>1</x:v>
      </x:c>
    </x:row>
    <x:row r="122">
      <x:c r="A122" s="22" t="str">
        <x:v>L2024-00049</x:v>
      </x:c>
      <x:c r="B122" s="22" t="str">
        <x:v>2021-00111</x:v>
      </x:c>
      <x:c r="C122" s="22" t="str">
        <x:v>엘살바도르</x:v>
      </x:c>
      <x:c r="D122" s="22" t="n">
        <x:v>2</x:v>
      </x:c>
      <x:c r="E122" s="25" t="str">
        <x:v>L2024-00049-1;L2024-00049-2</x:v>
      </x:c>
      <x:c r="F122" s="25" t="str">
        <x:v>L2024-00049-2</x:v>
      </x:c>
      <x:c r="G122" s="25" t="str">
        <x:v>2024-11-01</x:v>
      </x:c>
      <x:c r="H122" s="25" t="str">
        <x:v>엘살바도르 ITCA 공학교육역량 강화사업 시공사 선정 현지 재입찰</x:v>
      </x:c>
      <x:c r="I122" s="22" t="str">
        <x:v>C</x:v>
      </x:c>
      <x:c r="J122" s="22" t="str">
        <x:v>WORKS</x:v>
      </x:c>
      <x:c r="K122" s="22" t="str">
        <x:v>MATCH</x:v>
      </x:c>
      <x:c r="L122" s="31" t="n">
        <x:v>788.12</x:v>
      </x:c>
      <x:c r="M122" s="34" t="n">
        <x:v>965000</x:v>
      </x:c>
      <x:c r="N122" s="34" t="n">
        <x:f>IFERROR(M122/L122,"")</x:f>
        <x:v>1224.4328274881998</x:v>
      </x:c>
      <x:c r="O122" s="25" t="str">
        <x:v>동일 bid_base_no는 재공고군; 다른 base의 의미중복은 project sheet에서 별도 주의</x:v>
      </x:c>
      <x:c r="P122" s="22" t="n">
        <x:v>1</x:v>
      </x:c>
    </x:row>
    <x:row r="123">
      <x:c r="A123" s="22" t="str">
        <x:v>L2024-00054</x:v>
      </x:c>
      <x:c r="B123" s="22" t="str">
        <x:v>2021-00111</x:v>
      </x:c>
      <x:c r="C123" s="22" t="str">
        <x:v>엘살바도르</x:v>
      </x:c>
      <x:c r="D123" s="22" t="n">
        <x:v>2</x:v>
      </x:c>
      <x:c r="E123" s="25" t="str">
        <x:v>L2024-00054-1;L2024-00054-2</x:v>
      </x:c>
      <x:c r="F123" s="25" t="str">
        <x:v>L2024-00054-2</x:v>
      </x:c>
      <x:c r="G123" s="25" t="str">
        <x:v>2024-11-13</x:v>
      </x:c>
      <x:c r="H123" s="25" t="str">
        <x:v>엘살바도르 ITCA 공학교육역량 강화사업 감리사 선정 현지 재입찰</x:v>
      </x:c>
      <x:c r="I123" s="22" t="str">
        <x:v>X</x:v>
      </x:c>
      <x:c r="J123" s="22" t="str">
        <x:v>DESIGN_OR_SUPERVISION_SERVICE</x:v>
      </x:c>
      <x:c r="K123" s="22" t="str">
        <x:v>NO_MATCH</x:v>
      </x:c>
      <x:c r="L123" s="31" t="n">
        <x:v>788.12</x:v>
      </x:c>
      <x:c r="M123" s="34"/>
      <x:c r="N123" s="34" t="n">
        <x:f>IFERROR(M123/L123,"")</x:f>
        <x:v>0</x:v>
      </x:c>
      <x:c r="O123" s="25" t="str">
        <x:v>동일 bid_base_no는 재공고군; 다른 base의 의미중복은 project sheet에서 별도 주의</x:v>
      </x:c>
      <x:c r="P123" s="22" t="n">
        <x:v>1</x:v>
      </x:c>
    </x:row>
    <x:row r="124">
      <x:c r="A124" s="22" t="str">
        <x:v>L2024-00035</x:v>
      </x:c>
      <x:c r="B124" s="22" t="str">
        <x:v>2021-00126</x:v>
      </x:c>
      <x:c r="C124" s="22" t="str">
        <x:v>케냐</x:v>
      </x:c>
      <x:c r="D124" s="22" t="n">
        <x:v>1</x:v>
      </x:c>
      <x:c r="E124" s="25" t="str">
        <x:v>L2024-00035-1</x:v>
      </x:c>
      <x:c r="F124" s="25" t="str">
        <x:v>L2024-00035-1</x:v>
      </x:c>
      <x:c r="G124" s="25" t="str">
        <x:v>2024-06-28</x:v>
      </x:c>
      <x:c r="H124" s="25" t="str">
        <x:v>케냐 카지아도주 보건시스템 강화를 위한 모성 및 신생아 보건 개선사업 설계 및 감리용역</x:v>
      </x:c>
      <x:c r="I124" s="22" t="str">
        <x:v>X</x:v>
      </x:c>
      <x:c r="J124" s="22" t="str">
        <x:v>DESIGN_OR_SUPERVISION_SERVICE</x:v>
      </x:c>
      <x:c r="K124" s="22" t="str">
        <x:v>NO_MATCH</x:v>
      </x:c>
      <x:c r="L124" s="31"/>
      <x:c r="M124" s="34"/>
      <x:c r="N124" s="34" t="str">
        <x:f>IFERROR(M124/L124,"")</x:f>
      </x:c>
      <x:c r="O124" s="25" t="str">
        <x:v>동일 bid_base_no는 재공고군; 다른 base의 의미중복은 project sheet에서 별도 주의</x:v>
      </x:c>
      <x:c r="P124" s="22" t="n">
        <x:v>1</x:v>
      </x:c>
    </x:row>
    <x:row r="125">
      <x:c r="A125" s="22" t="str">
        <x:v>L2025-00008</x:v>
      </x:c>
      <x:c r="B125" s="22" t="str">
        <x:v>2021-00126</x:v>
      </x:c>
      <x:c r="C125" s="22" t="str">
        <x:v>케냐</x:v>
      </x:c>
      <x:c r="D125" s="22" t="n">
        <x:v>1</x:v>
      </x:c>
      <x:c r="E125" s="25" t="str">
        <x:v>L2025-00008-1</x:v>
      </x:c>
      <x:c r="F125" s="25" t="str">
        <x:v>L2025-00008-1</x:v>
      </x:c>
      <x:c r="G125" s="25" t="str">
        <x:v>2025-02-14</x:v>
      </x:c>
      <x:c r="H125" s="25" t="str">
        <x:v>케냐 카지아도주 보건시스템 강화를 위한 모성 및 신생아 보건 개선사업 시공</x:v>
      </x:c>
      <x:c r="I125" s="22" t="str">
        <x:v>C</x:v>
      </x:c>
      <x:c r="J125" s="22" t="str">
        <x:v>WORKS</x:v>
      </x:c>
      <x:c r="K125" s="22" t="str">
        <x:v>MATCH</x:v>
      </x:c>
      <x:c r="L125" s="31" t="n">
        <x:v>404.94</x:v>
      </x:c>
      <x:c r="M125" s="34" t="n">
        <x:v>555810</x:v>
      </x:c>
      <x:c r="N125" s="34" t="n">
        <x:f>IFERROR(M125/L125,"")</x:f>
        <x:v>1372.573714624389</x:v>
      </x:c>
      <x:c r="O125" s="25" t="str">
        <x:v>동일 bid_base_no는 재공고군; 다른 base의 의미중복은 project sheet에서 별도 주의</x:v>
      </x:c>
      <x:c r="P125" s="22" t="n">
        <x:v>1</x:v>
      </x:c>
    </x:row>
    <x:row r="126">
      <x:c r="A126" s="22" t="str">
        <x:v>L2021-00013</x:v>
      </x:c>
      <x:c r="B126" s="22" t="str">
        <x:v>2021-00139</x:v>
      </x:c>
      <x:c r="C126" s="22" t="str">
        <x:v>네팔</x:v>
      </x:c>
      <x:c r="D126" s="22" t="n">
        <x:v>1</x:v>
      </x:c>
      <x:c r="E126" s="25" t="str">
        <x:v>L2021-00013-1</x:v>
      </x:c>
      <x:c r="F126" s="25" t="str">
        <x:v>L2021-00013-1</x:v>
      </x:c>
      <x:c r="G126" s="25" t="str">
        <x:v>2021-04-23</x:v>
      </x:c>
      <x:c r="H126" s="25" t="str">
        <x:v>네팔 Province 2 지역 건설기술인력 양성을 위한 모델 폴리텍 설립사업” 모델 폴리텍 설계 및 감리업체 선정</x:v>
      </x:c>
      <x:c r="I126" s="22" t="str">
        <x:v>X</x:v>
      </x:c>
      <x:c r="J126" s="22" t="str">
        <x:v>DESIGN_OR_SUPERVISION_SERVICE</x:v>
      </x:c>
      <x:c r="K126" s="22" t="str">
        <x:v>NO_MATCH</x:v>
      </x:c>
      <x:c r="L126" s="31" t="n">
        <x:v>30000</x:v>
      </x:c>
      <x:c r="M126" s="34"/>
      <x:c r="N126" s="34" t="n">
        <x:f>IFERROR(M126/L126,"")</x:f>
        <x:v>0</x:v>
      </x:c>
      <x:c r="O126" s="25" t="str">
        <x:v>동일 bid_base_no는 재공고군; 다른 base의 의미중복은 project sheet에서 별도 주의</x:v>
      </x:c>
      <x:c r="P126" s="22" t="n">
        <x:v>1</x:v>
      </x:c>
    </x:row>
    <x:row r="127">
      <x:c r="A127" s="22" t="str">
        <x:v>L2022-00029</x:v>
      </x:c>
      <x:c r="B127" s="22" t="str">
        <x:v>2021-00139</x:v>
      </x:c>
      <x:c r="C127" s="22" t="str">
        <x:v>네팔</x:v>
      </x:c>
      <x:c r="D127" s="22" t="n">
        <x:v>1</x:v>
      </x:c>
      <x:c r="E127" s="25" t="str">
        <x:v>L2022-00029-1</x:v>
      </x:c>
      <x:c r="F127" s="25" t="str">
        <x:v>L2022-00029-1</x:v>
      </x:c>
      <x:c r="G127" s="25" t="str">
        <x:v>2022-06-06</x:v>
      </x:c>
      <x:c r="H127" s="25" t="str">
        <x:v>네팔 Province 2 지역 건설기술인력 양성을 위한 모델 폴리텍 설립사업 시공업체 선정</x:v>
      </x:c>
      <x:c r="I127" s="22" t="str">
        <x:v>C</x:v>
      </x:c>
      <x:c r="J127" s="22" t="str">
        <x:v>WORKS</x:v>
      </x:c>
      <x:c r="K127" s="22" t="str">
        <x:v>MATCH</x:v>
      </x:c>
      <x:c r="L127" s="31" t="n">
        <x:v>5640.1</x:v>
      </x:c>
      <x:c r="M127" s="34" t="n">
        <x:v>3744400</x:v>
      </x:c>
      <x:c r="N127" s="34" t="n">
        <x:f>IFERROR(M127/L127,"")</x:f>
        <x:v>663.8889381393947</x:v>
      </x:c>
      <x:c r="O127" s="25" t="str">
        <x:v>동일 bid_base_no는 재공고군; 다른 base의 의미중복은 project sheet에서 별도 주의</x:v>
      </x:c>
      <x:c r="P127" s="22" t="n">
        <x:v>1</x:v>
      </x:c>
    </x:row>
    <x:row r="128">
      <x:c r="A128" s="22" t="str">
        <x:v>L2022-00006</x:v>
      </x:c>
      <x:c r="B128" s="22" t="str">
        <x:v>2021-00141</x:v>
      </x:c>
      <x:c r="C128" s="22" t="str">
        <x:v>네팔</x:v>
      </x:c>
      <x:c r="D128" s="22" t="n">
        <x:v>1</x:v>
      </x:c>
      <x:c r="E128" s="25" t="str">
        <x:v>L2022-00006-1</x:v>
      </x:c>
      <x:c r="F128" s="25" t="str">
        <x:v>L2022-00006-1</x:v>
      </x:c>
      <x:c r="G128" s="25" t="str">
        <x:v>2022-04-04</x:v>
      </x:c>
      <x:c r="H128" s="25" t="str">
        <x:v>네팔 경찰 역량강화를 위한 사이버안전국 설립사업 설계 및 감리업체 선정 현지입찰</x:v>
      </x:c>
      <x:c r="I128" s="22" t="str">
        <x:v>X</x:v>
      </x:c>
      <x:c r="J128" s="22" t="str">
        <x:v>DESIGN_OR_SUPERVISION_SERVICE</x:v>
      </x:c>
      <x:c r="K128" s="22" t="str">
        <x:v>NO_MATCH</x:v>
      </x:c>
      <x:c r="L128" s="31" t="n">
        <x:v>4563</x:v>
      </x:c>
      <x:c r="M128" s="34"/>
      <x:c r="N128" s="34" t="n">
        <x:f>IFERROR(M128/L128,"")</x:f>
        <x:v>0</x:v>
      </x:c>
      <x:c r="O128" s="25" t="str">
        <x:v>동일 bid_base_no는 재공고군; 다른 base의 의미중복은 project sheet에서 별도 주의</x:v>
      </x:c>
      <x:c r="P128" s="22" t="n">
        <x:v>1</x:v>
      </x:c>
    </x:row>
    <x:row r="129">
      <x:c r="A129" s="22" t="str">
        <x:v>L2025-00106</x:v>
      </x:c>
      <x:c r="B129" s="22" t="str">
        <x:v>2022-00003</x:v>
      </x:c>
      <x:c r="C129" s="22" t="str">
        <x:v>세네갈</x:v>
      </x:c>
      <x:c r="D129" s="22" t="n">
        <x:v>1</x:v>
      </x:c>
      <x:c r="E129" s="25" t="str">
        <x:v>L2025-00106-1</x:v>
      </x:c>
      <x:c r="F129" s="25" t="str">
        <x:v>L2025-00106-1</x:v>
      </x:c>
      <x:c r="G129" s="25" t="str">
        <x:v>2025-10-23</x:v>
      </x:c>
      <x:c r="H129" s="25" t="str">
        <x:v>세네갈 실험실 리모델링 사업 Control Office 계약</x:v>
      </x:c>
      <x:c r="I129" s="22" t="str">
        <x:v>X</x:v>
      </x:c>
      <x:c r="J129" s="22" t="str">
        <x:v>DESIGN_OR_SUPERVISION_SERVICE</x:v>
      </x:c>
      <x:c r="K129" s="22" t="str">
        <x:v>NO_MATCH</x:v>
      </x:c>
      <x:c r="L129" s="31"/>
      <x:c r="M129" s="34"/>
      <x:c r="N129" s="34" t="str">
        <x:f>IFERROR(M129/L129,"")</x:f>
      </x:c>
      <x:c r="O129" s="25" t="str">
        <x:v>동일 bid_base_no는 재공고군; 다른 base의 의미중복은 project sheet에서 별도 주의</x:v>
      </x:c>
      <x:c r="P129" s="22" t="n">
        <x:v>1</x:v>
      </x:c>
    </x:row>
    <x:row r="130">
      <x:c r="A130" s="22" t="str">
        <x:v>L2024-00031</x:v>
      </x:c>
      <x:c r="B130" s="22" t="str">
        <x:v>2022-00009</x:v>
      </x:c>
      <x:c r="C130" s="22" t="str">
        <x:v>네팔</x:v>
      </x:c>
      <x:c r="D130" s="22" t="n">
        <x:v>1</x:v>
      </x:c>
      <x:c r="E130" s="25" t="str">
        <x:v>L2024-00031-1</x:v>
      </x:c>
      <x:c r="F130" s="25" t="str">
        <x:v>L2024-00031-1</x:v>
      </x:c>
      <x:c r="G130" s="25" t="str">
        <x:v>2024-05-29</x:v>
      </x:c>
      <x:c r="H130" s="25" t="str">
        <x:v>네팔 박타푸르 취약지역의 빈곤층 건강수준 향상을 위한 역량강화 및 의료인프라 개선사업</x:v>
      </x:c>
      <x:c r="I130" s="22" t="str">
        <x:v>C</x:v>
      </x:c>
      <x:c r="J130" s="22" t="str">
        <x:v>WORKS</x:v>
      </x:c>
      <x:c r="K130" s="22" t="str">
        <x:v>MATCH</x:v>
      </x:c>
      <x:c r="L130" s="31" t="n">
        <x:v>5898.25</x:v>
      </x:c>
      <x:c r="M130" s="34" t="n">
        <x:v>4653720</x:v>
      </x:c>
      <x:c r="N130" s="34" t="n">
        <x:f>IFERROR(M130/L130,"")</x:f>
        <x:v>789.0001271563599</x:v>
      </x:c>
      <x:c r="O130" s="25" t="str">
        <x:v>동일 bid_base_no는 재공고군; 다른 base의 의미중복은 project sheet에서 별도 주의</x:v>
      </x:c>
      <x:c r="P130" s="22" t="n">
        <x:v>1</x:v>
      </x:c>
    </x:row>
    <x:row r="131">
      <x:c r="A131" s="22" t="str">
        <x:v>L2025-00073</x:v>
      </x:c>
      <x:c r="B131" s="22" t="str">
        <x:v>2022-00027</x:v>
      </x:c>
      <x:c r="C131" s="22" t="str">
        <x:v>캄보디아</x:v>
      </x:c>
      <x:c r="D131" s="22" t="n">
        <x:v>1</x:v>
      </x:c>
      <x:c r="E131" s="25" t="str">
        <x:v>L2025-00073-1</x:v>
      </x:c>
      <x:c r="F131" s="25" t="str">
        <x:v>L2025-00073-1</x:v>
      </x:c>
      <x:c r="G131" s="25" t="str">
        <x:v>2025-09-08</x:v>
      </x:c>
      <x:c r="H131" s="25" t="str">
        <x:v>캄보디아 국립어린이병원 내과계 병동건립 및 의료인력역량 강화사업 내과계 병동 신축공사 시공사 선정 입찰</x:v>
      </x:c>
      <x:c r="I131" s="22" t="str">
        <x:v>B</x:v>
      </x:c>
      <x:c r="J131" s="22" t="str">
        <x:v>WORKS</x:v>
      </x:c>
      <x:c r="K131" s="22" t="str">
        <x:v>MATCH</x:v>
      </x:c>
      <x:c r="L131" s="31" t="n">
        <x:v>9053</x:v>
      </x:c>
      <x:c r="M131" s="34" t="n">
        <x:v>11277000</x:v>
      </x:c>
      <x:c r="N131" s="34" t="n">
        <x:f>IFERROR(M131/L131,"")</x:f>
        <x:v>1245.664420634044</x:v>
      </x:c>
      <x:c r="O131" s="25" t="str">
        <x:v>동일 bid_base_no는 재공고군; 다른 base의 의미중복은 project sheet에서 별도 주의</x:v>
      </x:c>
      <x:c r="P131" s="22" t="n">
        <x:v>1</x:v>
      </x:c>
    </x:row>
    <x:row r="132">
      <x:c r="A132" s="22" t="str">
        <x:v>L2023-00061</x:v>
      </x:c>
      <x:c r="B132" s="22" t="str">
        <x:v>2022-00036</x:v>
      </x:c>
      <x:c r="C132" s="22" t="str">
        <x:v>에티오피아</x:v>
      </x:c>
      <x:c r="D132" s="22" t="n">
        <x:v>1</x:v>
      </x:c>
      <x:c r="E132" s="25" t="str">
        <x:v>L2023-00061-1</x:v>
      </x:c>
      <x:c r="F132" s="25" t="str">
        <x:v>L2023-00061-1</x:v>
      </x:c>
      <x:c r="G132" s="25" t="str">
        <x:v>2023-10-17</x:v>
      </x:c>
      <x:c r="H132" s="25" t="str">
        <x:v>에티오피아 가죽 및 가죽제품 강화 사업 신발 라스트 생산 공장 신축 및 보수 공사 설계, 감리 용역</x:v>
      </x:c>
      <x:c r="I132" s="22" t="str">
        <x:v>X</x:v>
      </x:c>
      <x:c r="J132" s="22" t="str">
        <x:v>DESIGN_OR_SUPERVISION_SERVICE</x:v>
      </x:c>
      <x:c r="K132" s="22" t="str">
        <x:v>NO_MATCH</x:v>
      </x:c>
      <x:c r="L132" s="31" t="n">
        <x:v>1250</x:v>
      </x:c>
      <x:c r="M132" s="34"/>
      <x:c r="N132" s="34" t="n">
        <x:f>IFERROR(M132/L132,"")</x:f>
        <x:v>0</x:v>
      </x:c>
      <x:c r="O132" s="25" t="str">
        <x:v>동일 bid_base_no는 재공고군; 다른 base의 의미중복은 project sheet에서 별도 주의</x:v>
      </x:c>
      <x:c r="P132" s="22" t="n">
        <x:v>1</x:v>
      </x:c>
    </x:row>
    <x:row r="133">
      <x:c r="A133" s="22" t="str">
        <x:v>L2023-00070</x:v>
      </x:c>
      <x:c r="B133" s="22" t="str">
        <x:v>2022-00038</x:v>
      </x:c>
      <x:c r="C133" s="22" t="str">
        <x:v>볼리비아</x:v>
      </x:c>
      <x:c r="D133" s="22" t="n">
        <x:v>2</x:v>
      </x:c>
      <x:c r="E133" s="25" t="str">
        <x:v>L2023-00070-1;L2023-00070-2</x:v>
      </x:c>
      <x:c r="F133" s="25" t="str">
        <x:v>L2023-00070-2</x:v>
      </x:c>
      <x:c r="G133" s="25" t="str">
        <x:v>2023-11-03</x:v>
      </x:c>
      <x:c r="H133" s="25" t="str">
        <x:v>볼리비아 라파스 주 임상병리검사실 체계 강화사업 현지 설계입찰</x:v>
      </x:c>
      <x:c r="I133" s="22" t="str">
        <x:v>X</x:v>
      </x:c>
      <x:c r="J133" s="22" t="str">
        <x:v>DESIGN_OR_SUPERVISION_SERVICE</x:v>
      </x:c>
      <x:c r="K133" s="22" t="str">
        <x:v>NO_MATCH</x:v>
      </x:c>
      <x:c r="L133" s="31" t="n">
        <x:v>2500</x:v>
      </x:c>
      <x:c r="M133" s="34"/>
      <x:c r="N133" s="34" t="n">
        <x:f>IFERROR(M133/L133,"")</x:f>
        <x:v>0</x:v>
      </x:c>
      <x:c r="O133" s="25" t="str">
        <x:v>동일 bid_base_no는 재공고군; 다른 base의 의미중복은 project sheet에서 별도 주의</x:v>
      </x:c>
      <x:c r="P133" s="22" t="n">
        <x:v>1</x:v>
      </x:c>
    </x:row>
    <x:row r="134">
      <x:c r="A134" s="22" t="str">
        <x:v>L2024-00055</x:v>
      </x:c>
      <x:c r="B134" s="22" t="str">
        <x:v>2022-00058</x:v>
      </x:c>
      <x:c r="C134" s="22" t="str">
        <x:v>페루</x:v>
      </x:c>
      <x:c r="D134" s="22" t="n">
        <x:v>1</x:v>
      </x:c>
      <x:c r="E134" s="25" t="str">
        <x:v>L2024-00055-1</x:v>
      </x:c>
      <x:c r="F134" s="25" t="str">
        <x:v>L2024-00055-1</x:v>
      </x:c>
      <x:c r="G134" s="25" t="str">
        <x:v>2024-09-30</x:v>
      </x:c>
      <x:c r="H134" s="25" t="str">
        <x:v>페루 쿠스코시 폐기물 통합관리 및 순환경제 구축사업 퇴비화 시범 플랜트 설계용역</x:v>
      </x:c>
      <x:c r="I134" s="22" t="str">
        <x:v>X</x:v>
      </x:c>
      <x:c r="J134" s="22" t="str">
        <x:v>DESIGN_OR_SUPERVISION_SERVICE</x:v>
      </x:c>
      <x:c r="K134" s="22" t="str">
        <x:v>NO_MATCH</x:v>
      </x:c>
      <x:c r="L134" s="31" t="n">
        <x:v>4283</x:v>
      </x:c>
      <x:c r="M134" s="34"/>
      <x:c r="N134" s="34" t="n">
        <x:f>IFERROR(M134/L134,"")</x:f>
        <x:v>0</x:v>
      </x:c>
      <x:c r="O134" s="25" t="str">
        <x:v>동일 bid_base_no는 재공고군; 다른 base의 의미중복은 project sheet에서 별도 주의</x:v>
      </x:c>
      <x:c r="P134" s="22" t="n">
        <x:v>1</x:v>
      </x:c>
    </x:row>
    <x:row r="135">
      <x:c r="A135" s="22" t="str">
        <x:v>L2024-00076</x:v>
      </x:c>
      <x:c r="B135" s="22" t="str">
        <x:v>2022-00058</x:v>
      </x:c>
      <x:c r="C135" s="22" t="str">
        <x:v>페루</x:v>
      </x:c>
      <x:c r="D135" s="22" t="n">
        <x:v>1</x:v>
      </x:c>
      <x:c r="E135" s="25" t="str">
        <x:v>L2024-00076-1</x:v>
      </x:c>
      <x:c r="F135" s="25" t="str">
        <x:v>L2024-00076-1</x:v>
      </x:c>
      <x:c r="G135" s="25" t="str">
        <x:v>2024-11-25</x:v>
      </x:c>
      <x:c r="H135" s="25" t="str">
        <x:v>페루 쿠스코시 폐기물 통합관리 및 순환경제 구축사업 퇴비화 시범 플랜트 설계용역</x:v>
      </x:c>
      <x:c r="I135" s="22" t="str">
        <x:v>X</x:v>
      </x:c>
      <x:c r="J135" s="22" t="str">
        <x:v>DESIGN_SERVICE</x:v>
      </x:c>
      <x:c r="K135" s="22" t="str">
        <x:v>NO_MATCH</x:v>
      </x:c>
      <x:c r="L135" s="31"/>
      <x:c r="M135" s="34"/>
      <x:c r="N135" s="34" t="str">
        <x:f>IFERROR(M135/L135,"")</x:f>
      </x:c>
      <x:c r="O135" s="25" t="str">
        <x:v>동일 bid_base_no는 재공고군; 다른 base의 의미중복은 project sheet에서 별도 주의</x:v>
      </x:c>
      <x:c r="P135" s="22" t="n">
        <x:v>1</x:v>
      </x:c>
    </x:row>
    <x:row r="136">
      <x:c r="A136" s="22" t="str">
        <x:v>L2024-00072</x:v>
      </x:c>
      <x:c r="B136" s="22" t="str">
        <x:v>2022-00064</x:v>
      </x:c>
      <x:c r="C136" s="22" t="str">
        <x:v>우간다</x:v>
      </x:c>
      <x:c r="D136" s="22" t="n">
        <x:v>1</x:v>
      </x:c>
      <x:c r="E136" s="25" t="str">
        <x:v>L2024-00072-1</x:v>
      </x:c>
      <x:c r="F136" s="25" t="str">
        <x:v>L2024-00072-1</x:v>
      </x:c>
      <x:c r="G136" s="25" t="str">
        <x:v>2024-10-08</x:v>
      </x:c>
      <x:c r="H136" s="25" t="str">
        <x:v>우간다 마케레레 대학 원격교육센터 설계 및 감리용역 입찰</x:v>
      </x:c>
      <x:c r="I136" s="22" t="str">
        <x:v>X</x:v>
      </x:c>
      <x:c r="J136" s="22" t="str">
        <x:v>DESIGN_OR_SUPERVISION_SERVICE</x:v>
      </x:c>
      <x:c r="K136" s="22" t="str">
        <x:v>NO_MATCH</x:v>
      </x:c>
      <x:c r="L136" s="31" t="n">
        <x:v>3270</x:v>
      </x:c>
      <x:c r="M136" s="34"/>
      <x:c r="N136" s="34" t="n">
        <x:f>IFERROR(M136/L136,"")</x:f>
        <x:v>0</x:v>
      </x:c>
      <x:c r="O136" s="25" t="str">
        <x:v>동일 bid_base_no는 재공고군; 다른 base의 의미중복은 project sheet에서 별도 주의</x:v>
      </x:c>
      <x:c r="P136" s="22" t="n">
        <x:v>1</x:v>
      </x:c>
    </x:row>
    <x:row r="137">
      <x:c r="A137" s="22" t="str">
        <x:v>L2025-00084</x:v>
      </x:c>
      <x:c r="B137" s="22" t="str">
        <x:v>2022-00064</x:v>
      </x:c>
      <x:c r="C137" s="22" t="str">
        <x:v>우간다</x:v>
      </x:c>
      <x:c r="D137" s="22" t="n">
        <x:v>1</x:v>
      </x:c>
      <x:c r="E137" s="25" t="str">
        <x:v>L2025-00084-1</x:v>
      </x:c>
      <x:c r="F137" s="25" t="str">
        <x:v>L2025-00084-1</x:v>
      </x:c>
      <x:c r="G137" s="25" t="str">
        <x:v>2025-09-29</x:v>
      </x:c>
      <x:c r="H137" s="25" t="str">
        <x:v>우간다 마케레레 대학 원격교육 조성사업 신축 공사</x:v>
      </x:c>
      <x:c r="I137" s="22" t="str">
        <x:v>C</x:v>
      </x:c>
      <x:c r="J137" s="22" t="str">
        <x:v>WORKS</x:v>
      </x:c>
      <x:c r="K137" s="22" t="str">
        <x:v>MATCH</x:v>
      </x:c>
      <x:c r="L137" s="31" t="n">
        <x:v>4040</x:v>
      </x:c>
      <x:c r="M137" s="34" t="n">
        <x:v>4383000</x:v>
      </x:c>
      <x:c r="N137" s="34" t="n">
        <x:f>IFERROR(M137/L137,"")</x:f>
        <x:v>1084.90099009901</x:v>
      </x:c>
      <x:c r="O137" s="25" t="str">
        <x:v>동일 bid_base_no는 재공고군; 다른 base의 의미중복은 project sheet에서 별도 주의</x:v>
      </x:c>
      <x:c r="P137" s="22" t="n">
        <x:v>1</x:v>
      </x:c>
    </x:row>
    <x:row r="138">
      <x:c r="A138" s="22" t="str">
        <x:v>L2025-00075</x:v>
      </x:c>
      <x:c r="B138" s="22" t="str">
        <x:v>2022-00069</x:v>
      </x:c>
      <x:c r="C138" s="22" t="str">
        <x:v>필리핀</x:v>
      </x:c>
      <x:c r="D138" s="22" t="n">
        <x:v>1</x:v>
      </x:c>
      <x:c r="E138" s="25" t="str">
        <x:v>L2025-00075-1</x:v>
      </x:c>
      <x:c r="F138" s="25" t="str">
        <x:v>L2025-00075-1</x:v>
      </x:c>
      <x:c r="G138" s="25" t="str">
        <x:v>2025-09-13</x:v>
      </x:c>
      <x:c r="H138" s="25" t="str">
        <x:v>(긴급) 필리핀 기마라스주 해수양식센터 건립 설계 용역업체 선정</x:v>
      </x:c>
      <x:c r="I138" s="22" t="str">
        <x:v>X</x:v>
      </x:c>
      <x:c r="J138" s="22" t="str">
        <x:v>DESIGN_OR_SUPERVISION_SERVICE</x:v>
      </x:c>
      <x:c r="K138" s="22" t="str">
        <x:v>NO_MATCH</x:v>
      </x:c>
      <x:c r="L138" s="31" t="n">
        <x:v>8722.56</x:v>
      </x:c>
      <x:c r="M138" s="34"/>
      <x:c r="N138" s="34" t="n">
        <x:f>IFERROR(M138/L138,"")</x:f>
        <x:v>0</x:v>
      </x:c>
      <x:c r="O138" s="25" t="str">
        <x:v>동일 bid_base_no는 재공고군; 다른 base의 의미중복은 project sheet에서 별도 주의</x:v>
      </x:c>
      <x:c r="P138" s="22" t="n">
        <x:v>1</x:v>
      </x:c>
    </x:row>
    <x:row r="139">
      <x:c r="A139" s="22" t="str">
        <x:v>L2025-00094</x:v>
      </x:c>
      <x:c r="B139" s="22" t="str">
        <x:v>2022-00069</x:v>
      </x:c>
      <x:c r="C139" s="22" t="str">
        <x:v>필리핀</x:v>
      </x:c>
      <x:c r="D139" s="22" t="n">
        <x:v>1</x:v>
      </x:c>
      <x:c r="E139" s="25" t="str">
        <x:v>L2025-00094-1</x:v>
      </x:c>
      <x:c r="F139" s="25" t="str">
        <x:v>L2025-00094-1</x:v>
      </x:c>
      <x:c r="G139" s="25" t="str">
        <x:v>2025-10-22</x:v>
      </x:c>
      <x:c r="H139" s="25" t="str">
        <x:v>[재공고][긴급] 필리핀 기마라스주 해수양식센터 건립 설계 용역업체 선정</x:v>
      </x:c>
      <x:c r="I139" s="22" t="str">
        <x:v>X</x:v>
      </x:c>
      <x:c r="J139" s="22" t="str">
        <x:v>DESIGN_OR_SUPERVISION_SERVICE</x:v>
      </x:c>
      <x:c r="K139" s="22" t="str">
        <x:v>NO_MATCH</x:v>
      </x:c>
      <x:c r="L139" s="31" t="n">
        <x:v>8722.56</x:v>
      </x:c>
      <x:c r="M139" s="34"/>
      <x:c r="N139" s="34" t="n">
        <x:f>IFERROR(M139/L139,"")</x:f>
        <x:v>0</x:v>
      </x:c>
      <x:c r="O139" s="25" t="str">
        <x:v>동일 bid_base_no는 재공고군; 다른 base의 의미중복은 project sheet에서 별도 주의</x:v>
      </x:c>
      <x:c r="P139" s="22" t="n">
        <x:v>1</x:v>
      </x:c>
    </x:row>
    <x:row r="140">
      <x:c r="A140" s="22" t="str">
        <x:v>L2023-00038</x:v>
      </x:c>
      <x:c r="B140" s="22" t="str">
        <x:v>2022-00076</x:v>
      </x:c>
      <x:c r="C140" s="22" t="str">
        <x:v>피지</x:v>
      </x:c>
      <x:c r="D140" s="22" t="n">
        <x:v>1</x:v>
      </x:c>
      <x:c r="E140" s="25" t="str">
        <x:v>L2023-00038-1</x:v>
      </x:c>
      <x:c r="F140" s="25" t="str">
        <x:v>L2023-00038-1</x:v>
      </x:c>
      <x:c r="G140" s="25" t="str">
        <x:v>2023-07-22</x:v>
      </x:c>
      <x:c r="H140" s="25" t="str">
        <x:v>피지 국립재활센터 건립사업 설계 및 감리용역 현지입찰계획</x:v>
      </x:c>
      <x:c r="I140" s="22" t="str">
        <x:v>C-부분</x:v>
      </x:c>
      <x:c r="J140" s="22" t="str">
        <x:v>DESIGN_OR_SUPERVISION_SERVICE</x:v>
      </x:c>
      <x:c r="K140" s="22" t="str">
        <x:v>PARTIAL_ATTACHMENT_CONSTRUCTION_BUDGET</x:v>
      </x:c>
      <x:c r="L140" s="31" t="n">
        <x:v>2700</x:v>
      </x:c>
      <x:c r="M140" s="34" t="n">
        <x:v>5627206</x:v>
      </x:c>
      <x:c r="N140" s="34" t="n">
        <x:f>IFERROR(M140/L140,"")</x:f>
        <x:v>2084.15037037037</x:v>
      </x:c>
      <x:c r="O140" s="25" t="str">
        <x:v>동일 bid_base_no는 재공고군; 다른 base의 의미중복은 project sheet에서 별도 주의</x:v>
      </x:c>
      <x:c r="P140" s="22" t="n">
        <x:v>1</x:v>
      </x:c>
    </x:row>
    <x:row r="141">
      <x:c r="A141" s="22" t="str">
        <x:v>L2025-00051</x:v>
      </x:c>
      <x:c r="B141" s="22" t="str">
        <x:v>2022-00076</x:v>
      </x:c>
      <x:c r="C141" s="22" t="str">
        <x:v>피지</x:v>
      </x:c>
      <x:c r="D141" s="22" t="n">
        <x:v>2</x:v>
      </x:c>
      <x:c r="E141" s="25" t="str">
        <x:v>L2025-00051-1;L2025-00051-2</x:v>
      </x:c>
      <x:c r="F141" s="25" t="str">
        <x:v>L2025-00051-2</x:v>
      </x:c>
      <x:c r="G141" s="25" t="str">
        <x:v>2025-09-12</x:v>
      </x:c>
      <x:c r="H141" s="25" t="str">
        <x:v>피지 국립재활센터 신축 공사</x:v>
      </x:c>
      <x:c r="I141" s="22" t="str">
        <x:v>B</x:v>
      </x:c>
      <x:c r="J141" s="22" t="str">
        <x:v>WORKS</x:v>
      </x:c>
      <x:c r="K141" s="22" t="str">
        <x:v>PARTIAL_SCOPE</x:v>
      </x:c>
      <x:c r="L141" s="31" t="n">
        <x:v>2686.4</x:v>
      </x:c>
      <x:c r="M141" s="34" t="n">
        <x:v>6767312</x:v>
      </x:c>
      <x:c r="N141" s="34" t="n">
        <x:f>IFERROR(M141/L141,"")</x:f>
        <x:v>2519.1006551518763</x:v>
      </x:c>
      <x:c r="O141" s="25" t="str">
        <x:v>동일 bid_base_no는 재공고군; 다른 base의 의미중복은 project sheet에서 별도 주의</x:v>
      </x:c>
      <x:c r="P141" s="22" t="n">
        <x:v>1</x:v>
      </x:c>
    </x:row>
    <x:row r="142">
      <x:c r="A142" s="22" t="str">
        <x:v>L2025-00002</x:v>
      </x:c>
      <x:c r="B142" s="22" t="str">
        <x:v>2022-00079</x:v>
      </x:c>
      <x:c r="C142" s="22" t="str">
        <x:v>인도네시아</x:v>
      </x:c>
      <x:c r="D142" s="22" t="n">
        <x:v>1</x:v>
      </x:c>
      <x:c r="E142" s="25" t="str">
        <x:v>L2025-00002-1</x:v>
      </x:c>
      <x:c r="F142" s="25" t="str">
        <x:v>L2025-00002-1</x:v>
      </x:c>
      <x:c r="G142" s="25" t="str">
        <x:v>2025-01-10</x:v>
      </x:c>
      <x:c r="H142" s="25" t="str">
        <x:v>인도네시아 사이버보안 훈련센터 신축공사 시공사 선정</x:v>
      </x:c>
      <x:c r="I142" s="22" t="str">
        <x:v>C</x:v>
      </x:c>
      <x:c r="J142" s="22" t="str">
        <x:v>WORKS</x:v>
      </x:c>
      <x:c r="K142" s="22" t="str">
        <x:v>MATCH</x:v>
      </x:c>
      <x:c r="L142" s="31" t="n">
        <x:v>2457.53</x:v>
      </x:c>
      <x:c r="M142" s="34" t="n">
        <x:v>2361000</x:v>
      </x:c>
      <x:c r="N142" s="34" t="n">
        <x:f>IFERROR(M142/L142,"")</x:f>
        <x:v>960.7207236534243</x:v>
      </x:c>
      <x:c r="O142" s="25" t="str">
        <x:v>동일 bid_base_no는 재공고군; 다른 base의 의미중복은 project sheet에서 별도 주의</x:v>
      </x:c>
      <x:c r="P142" s="22" t="n">
        <x:v>1</x:v>
      </x:c>
    </x:row>
    <x:row r="143">
      <x:c r="A143" s="22" t="str">
        <x:v>L2024-00001</x:v>
      </x:c>
      <x:c r="B143" s="22" t="str">
        <x:v>2022-00598</x:v>
      </x:c>
      <x:c r="C143" s="22" t="str">
        <x:v>파키스탄</x:v>
      </x:c>
      <x:c r="D143" s="22" t="n">
        <x:v>1</x:v>
      </x:c>
      <x:c r="E143" s="25" t="str">
        <x:v>L2024-00001-1</x:v>
      </x:c>
      <x:c r="F143" s="25" t="str">
        <x:v>L2024-00001-1</x:v>
      </x:c>
      <x:c r="G143" s="25" t="str">
        <x:v>2024-01-11</x:v>
      </x:c>
      <x:c r="H143" s="25" t="str">
        <x:v>파키스탄 국립섬유대학 산업용 섬유센터 설립사업 2차사업 설계용역</x:v>
      </x:c>
      <x:c r="I143" s="22" t="str">
        <x:v>X</x:v>
      </x:c>
      <x:c r="J143" s="22" t="str">
        <x:v>DESIGN_OR_SUPERVISION_SERVICE</x:v>
      </x:c>
      <x:c r="K143" s="22" t="str">
        <x:v>NO_MATCH</x:v>
      </x:c>
      <x:c r="L143" s="31" t="n">
        <x:v>2551</x:v>
      </x:c>
      <x:c r="M143" s="34"/>
      <x:c r="N143" s="34" t="n">
        <x:f>IFERROR(M143/L143,"")</x:f>
        <x:v>0</x:v>
      </x:c>
      <x:c r="O143" s="25" t="str">
        <x:v>동일 bid_base_no는 재공고군; 다른 base의 의미중복은 project sheet에서 별도 주의</x:v>
      </x:c>
      <x:c r="P143" s="22" t="n">
        <x:v>1</x:v>
      </x:c>
    </x:row>
    <x:row r="144">
      <x:c r="A144" s="22" t="str">
        <x:v>L2025-00011</x:v>
      </x:c>
      <x:c r="B144" s="22" t="str">
        <x:v>2022-00598</x:v>
      </x:c>
      <x:c r="C144" s="22" t="str">
        <x:v>파키스탄</x:v>
      </x:c>
      <x:c r="D144" s="22" t="n">
        <x:v>1</x:v>
      </x:c>
      <x:c r="E144" s="25" t="str">
        <x:v>L2025-00011-1</x:v>
      </x:c>
      <x:c r="F144" s="25" t="str">
        <x:v>L2025-00011-1</x:v>
      </x:c>
      <x:c r="G144" s="25" t="str">
        <x:v>2025-03-08</x:v>
      </x:c>
      <x:c r="H144" s="25" t="str">
        <x:v>파키스탄 국립섬유대학 산업용 섬유센터 설립사업 2차사업 공사</x:v>
      </x:c>
      <x:c r="I144" s="22" t="str">
        <x:v>C?</x:v>
      </x:c>
      <x:c r="J144" s="22" t="str">
        <x:v>WORKS</x:v>
      </x:c>
      <x:c r="K144" s="22" t="str">
        <x:v>MATCH</x:v>
      </x:c>
      <x:c r="L144" s="31" t="n">
        <x:v>1000</x:v>
      </x:c>
      <x:c r="M144" s="34" t="n">
        <x:v>1964270</x:v>
      </x:c>
      <x:c r="N144" s="34" t="n">
        <x:f>IFERROR(M144/L144,"")</x:f>
        <x:v>1964.27</x:v>
      </x:c>
      <x:c r="O144" s="25" t="str">
        <x:v>동일 bid_base_no는 재공고군; 다른 base의 의미중복은 project sheet에서 별도 주의</x:v>
      </x:c>
      <x:c r="P144" s="22" t="n">
        <x:v>1</x:v>
      </x:c>
    </x:row>
    <x:row r="145">
      <x:c r="A145" s="22" t="str">
        <x:v>L2025-00014</x:v>
      </x:c>
      <x:c r="B145" s="22" t="str">
        <x:v>2022-00598</x:v>
      </x:c>
      <x:c r="C145" s="22" t="str">
        <x:v>파키스탄</x:v>
      </x:c>
      <x:c r="D145" s="22" t="n">
        <x:v>1</x:v>
      </x:c>
      <x:c r="E145" s="25" t="str">
        <x:v>L2025-00014-1</x:v>
      </x:c>
      <x:c r="F145" s="25" t="str">
        <x:v>L2025-00014-1</x:v>
      </x:c>
      <x:c r="G145" s="25" t="str">
        <x:v>2025-03-15</x:v>
      </x:c>
      <x:c r="H145" s="25" t="str">
        <x:v>파키스탄 국립섬유대학 산업용 섬유센터 설립사업 2차사업 감리용역</x:v>
      </x:c>
      <x:c r="I145" s="22" t="str">
        <x:v>X</x:v>
      </x:c>
      <x:c r="J145" s="22" t="str">
        <x:v>DESIGN_OR_SUPERVISION_SERVICE</x:v>
      </x:c>
      <x:c r="K145" s="22" t="str">
        <x:v>NO_MATCH</x:v>
      </x:c>
      <x:c r="L145" s="31" t="n">
        <x:v>2554</x:v>
      </x:c>
      <x:c r="M145" s="34"/>
      <x:c r="N145" s="34" t="n">
        <x:f>IFERROR(M145/L145,"")</x:f>
        <x:v>0</x:v>
      </x:c>
      <x:c r="O145" s="25" t="str">
        <x:v>동일 bid_base_no는 재공고군; 다른 base의 의미중복은 project sheet에서 별도 주의</x:v>
      </x:c>
      <x:c r="P145" s="22" t="n">
        <x:v>1</x:v>
      </x:c>
    </x:row>
    <x:row r="146">
      <x:c r="A146" s="22" t="str">
        <x:v>L2025-00047</x:v>
      </x:c>
      <x:c r="B146" s="22" t="str">
        <x:v>2022-00598</x:v>
      </x:c>
      <x:c r="C146" s="22" t="str">
        <x:v>파키스탄</x:v>
      </x:c>
      <x:c r="D146" s="22" t="n">
        <x:v>1</x:v>
      </x:c>
      <x:c r="E146" s="25" t="str">
        <x:v>L2025-00047-1</x:v>
      </x:c>
      <x:c r="F146" s="25" t="str">
        <x:v>L2025-00047-1</x:v>
      </x:c>
      <x:c r="G146" s="25" t="str">
        <x:v>2025-06-21</x:v>
      </x:c>
      <x:c r="H146" s="25" t="str">
        <x:v>파키스탄 국립섬유대학 산업용 섬유센터 설립사업 2차사업 공사</x:v>
      </x:c>
      <x:c r="I146" s="22" t="str">
        <x:v>C</x:v>
      </x:c>
      <x:c r="J146" s="22" t="str">
        <x:v>WORKS</x:v>
      </x:c>
      <x:c r="K146" s="22" t="str">
        <x:v>MATCH</x:v>
      </x:c>
      <x:c r="L146" s="31" t="n">
        <x:v>1980</x:v>
      </x:c>
      <x:c r="M146" s="34" t="n">
        <x:v>1964270</x:v>
      </x:c>
      <x:c r="N146" s="34" t="n">
        <x:f>IFERROR(M146/L146,"")</x:f>
        <x:v>992.0555555555555</x:v>
      </x:c>
      <x:c r="O146" s="25" t="str">
        <x:v>동일 bid_base_no는 재공고군; 다른 base의 의미중복은 project sheet에서 별도 주의</x:v>
      </x:c>
      <x:c r="P146" s="22" t="n">
        <x:v>1</x:v>
      </x:c>
    </x:row>
    <x:row r="147">
      <x:c r="A147" s="22" t="str">
        <x:v>L2025-00078</x:v>
      </x:c>
      <x:c r="B147" s="22" t="str">
        <x:v>2023-00004</x:v>
      </x:c>
      <x:c r="C147" s="22" t="str">
        <x:v>볼리비아</x:v>
      </x:c>
      <x:c r="D147" s="22" t="n">
        <x:v>1</x:v>
      </x:c>
      <x:c r="E147" s="25" t="str">
        <x:v>L2025-00078-1</x:v>
      </x:c>
      <x:c r="F147" s="25" t="str">
        <x:v>L2025-00078-1</x:v>
      </x:c>
      <x:c r="G147" s="25" t="str">
        <x:v>2025-09-26</x:v>
      </x:c>
      <x:c r="H147" s="25" t="str">
        <x:v>볼리비아 엘알또 모성보건센터 신축/증축/보수 공사 설계사 선정</x:v>
      </x:c>
      <x:c r="I147" s="22" t="str">
        <x:v>C-부분</x:v>
      </x:c>
      <x:c r="J147" s="22" t="str">
        <x:v>DESIGN_OR_SUPERVISION_SERVICE</x:v>
      </x:c>
      <x:c r="K147" s="22" t="str">
        <x:v>PARTIAL_ATTACHMENT_CONSTRUCTION_BUDGET</x:v>
      </x:c>
      <x:c r="L147" s="31" t="n">
        <x:v>1600</x:v>
      </x:c>
      <x:c r="M147" s="34" t="n">
        <x:v>3226604</x:v>
      </x:c>
      <x:c r="N147" s="34" t="n">
        <x:f>IFERROR(M147/L147,"")</x:f>
        <x:v>2016.6275</x:v>
      </x:c>
      <x:c r="O147" s="25" t="str">
        <x:v>동일 bid_base_no는 재공고군; 다른 base의 의미중복은 project sheet에서 별도 주의</x:v>
      </x:c>
      <x:c r="P147" s="22" t="n">
        <x:v>1</x:v>
      </x:c>
    </x:row>
    <x:row r="148">
      <x:c r="A148" s="22" t="str">
        <x:v>L2025-00056</x:v>
      </x:c>
      <x:c r="B148" s="22" t="str">
        <x:v>2023-00008</x:v>
      </x:c>
      <x:c r="C148" s="22" t="str">
        <x:v>캄보디아</x:v>
      </x:c>
      <x:c r="D148" s="22" t="n">
        <x:v>1</x:v>
      </x:c>
      <x:c r="E148" s="25" t="str">
        <x:v>L2025-00056-1</x:v>
      </x:c>
      <x:c r="F148" s="25" t="str">
        <x:v>L2025-00056-1</x:v>
      </x:c>
      <x:c r="G148" s="25" t="str">
        <x:v>2025-08-01</x:v>
      </x:c>
      <x:c r="H148" s="25" t="str">
        <x:v>캄보디아 직원훈련기관(TVET기관) ICT Lab 리모델링 설계·시공</x:v>
      </x:c>
      <x:c r="I148" s="22" t="str">
        <x:v>U</x:v>
      </x:c>
      <x:c r="J148" s="22" t="str">
        <x:v>DESIGN_BUILD_WORKS</x:v>
      </x:c>
      <x:c r="K148" s="22" t="str">
        <x:v>NO_MATCH</x:v>
      </x:c>
      <x:c r="L148" s="31"/>
      <x:c r="M148" s="34" t="n">
        <x:v>1343000</x:v>
      </x:c>
      <x:c r="N148" s="34" t="str">
        <x:f>IFERROR(M148/L148,"")</x:f>
      </x:c>
      <x:c r="O148" s="25" t="str">
        <x:v>동일 bid_base_no는 재공고군; 다른 base의 의미중복은 project sheet에서 별도 주의</x:v>
      </x:c>
      <x:c r="P148" s="22" t="n">
        <x:v>1</x:v>
      </x:c>
    </x:row>
    <x:row r="149">
      <x:c r="A149" s="22" t="str">
        <x:v>L2024-00041</x:v>
      </x:c>
      <x:c r="B149" s="22" t="str">
        <x:v>2023-00030</x:v>
      </x:c>
      <x:c r="C149" s="22" t="str">
        <x:v>키르기즈</x:v>
      </x:c>
      <x:c r="D149" s="22" t="n">
        <x:v>1</x:v>
      </x:c>
      <x:c r="E149" s="25" t="str">
        <x:v>L2024-00041-1</x:v>
      </x:c>
      <x:c r="F149" s="25" t="str">
        <x:v>L2024-00041-1</x:v>
      </x:c>
      <x:c r="G149" s="25" t="str">
        <x:v>2024-06-18</x:v>
      </x:c>
      <x:c r="H149" s="25" t="str">
        <x:v>키르기즈공화국 가축 품종개량 및 인공수정인력 역량강화사업 연수센터 신축, 바이오센터 리모델링 설계 및 저작권감리용역</x:v>
      </x:c>
      <x:c r="I149" s="22" t="str">
        <x:v>X</x:v>
      </x:c>
      <x:c r="J149" s="22" t="str">
        <x:v>DESIGN_OR_SUPERVISION_SERVICE</x:v>
      </x:c>
      <x:c r="K149" s="22" t="str">
        <x:v>NO_MATCH</x:v>
      </x:c>
      <x:c r="L149" s="31" t="n">
        <x:v>1825</x:v>
      </x:c>
      <x:c r="M149" s="34"/>
      <x:c r="N149" s="34" t="n">
        <x:f>IFERROR(M149/L149,"")</x:f>
        <x:v>0</x:v>
      </x:c>
      <x:c r="O149" s="25" t="str">
        <x:v>동일 bid_base_no는 재공고군; 다른 base의 의미중복은 project sheet에서 별도 주의</x:v>
      </x:c>
      <x:c r="P149" s="22" t="n">
        <x:v>1</x:v>
      </x:c>
    </x:row>
    <x:row r="150">
      <x:c r="A150" s="22" t="str">
        <x:v>L2024-00066</x:v>
      </x:c>
      <x:c r="B150" s="22" t="str">
        <x:v>2023-00032</x:v>
      </x:c>
      <x:c r="C150" s="22" t="str">
        <x:v>피지</x:v>
      </x:c>
      <x:c r="D150" s="22" t="n">
        <x:v>1</x:v>
      </x:c>
      <x:c r="E150" s="25" t="str">
        <x:v>L2024-00066-1</x:v>
      </x:c>
      <x:c r="F150" s="25" t="str">
        <x:v>L2024-00066-1</x:v>
      </x:c>
      <x:c r="G150" s="25" t="str">
        <x:v>2024-10-25</x:v>
      </x:c>
      <x:c r="H150" s="25" t="str">
        <x:v>피지국립의과대학 의료인력 역량강화사업 설계 및 감리용역</x:v>
      </x:c>
      <x:c r="I150" s="22" t="str">
        <x:v>C</x:v>
      </x:c>
      <x:c r="J150" s="22" t="str">
        <x:v>DESIGN_OR_SUPERVISION_SERVICE</x:v>
      </x:c>
      <x:c r="K150" s="22" t="str">
        <x:v>MATCH_ATTACHMENT_CONSTRUCTION_BUDGET</x:v>
      </x:c>
      <x:c r="L150" s="31" t="n">
        <x:v>1060</x:v>
      </x:c>
      <x:c r="M150" s="34" t="n">
        <x:v>2406346</x:v>
      </x:c>
      <x:c r="N150" s="34" t="n">
        <x:f>IFERROR(M150/L150,"")</x:f>
        <x:v>2270.1377358490568</x:v>
      </x:c>
      <x:c r="O150" s="25" t="str">
        <x:v>동일 bid_base_no는 재공고군; 다른 base의 의미중복은 project sheet에서 별도 주의</x:v>
      </x:c>
      <x:c r="P150" s="22" t="n">
        <x:v>1</x:v>
      </x:c>
    </x:row>
    <x:row r="151">
      <x:c r="A151" s="22" t="str">
        <x:v>L2024-00079</x:v>
      </x:c>
      <x:c r="B151" s="22" t="str">
        <x:v>2023-00052</x:v>
      </x:c>
      <x:c r="C151" s="22" t="str">
        <x:v>네팔</x:v>
      </x:c>
      <x:c r="D151" s="22" t="n">
        <x:v>1</x:v>
      </x:c>
      <x:c r="E151" s="25" t="str">
        <x:v>L2024-00079-1</x:v>
      </x:c>
      <x:c r="F151" s="25" t="str">
        <x:v>L2024-00079-1</x:v>
      </x:c>
      <x:c r="G151" s="25" t="str">
        <x:v>2024-12-23</x:v>
      </x:c>
      <x:c r="H151" s="25" t="str">
        <x:v>네팔 포카라시 리사이클/업사이클 플랫폼 및 친환경 시범마을 구축을 통한 녹색일자리 창출사업(23~29/980만불) 시공업체 선정</x:v>
      </x:c>
      <x:c r="I151" s="22" t="str">
        <x:v>C</x:v>
      </x:c>
      <x:c r="J151" s="22" t="str">
        <x:v>WORKS</x:v>
      </x:c>
      <x:c r="K151" s="22" t="str">
        <x:v>MATCH</x:v>
      </x:c>
      <x:c r="L151" s="31" t="n">
        <x:v>4996.62</x:v>
      </x:c>
      <x:c r="M151" s="34" t="n">
        <x:v>3534542</x:v>
      </x:c>
      <x:c r="N151" s="34" t="n">
        <x:f>IFERROR(M151/L151,"")</x:f>
        <x:v>707.3865933370959</x:v>
      </x:c>
      <x:c r="O151" s="25" t="str">
        <x:v>동일 bid_base_no는 재공고군; 다른 base의 의미중복은 project sheet에서 별도 주의</x:v>
      </x:c>
      <x:c r="P151" s="22" t="n">
        <x:v>1</x:v>
      </x:c>
    </x:row>
    <x:row r="152">
      <x:c r="A152" s="22" t="str">
        <x:v>L2024-00048</x:v>
      </x:c>
      <x:c r="B152" s="22" t="str">
        <x:v>2023-00067</x:v>
      </x:c>
      <x:c r="C152" s="22" t="str">
        <x:v>코트디부아르</x:v>
      </x:c>
      <x:c r="D152" s="22" t="n">
        <x:v>1</x:v>
      </x:c>
      <x:c r="E152" s="25" t="str">
        <x:v>L2024-00048-1</x:v>
      </x:c>
      <x:c r="F152" s="25" t="str">
        <x:v>L2024-00048-1</x:v>
      </x:c>
      <x:c r="G152" s="25" t="str">
        <x:v>2024-08-30</x:v>
      </x:c>
      <x:c r="H152" s="25" t="str">
        <x:v>코트디부아르 펠릭스우푸에부아니대학교 ICT 고등교육 역량강화 및 디지털 교육 개선사업 설계 및 감리용역</x:v>
      </x:c>
      <x:c r="I152" s="22" t="str">
        <x:v>X</x:v>
      </x:c>
      <x:c r="J152" s="22" t="str">
        <x:v>DESIGN_OR_SUPERVISION_SERVICE</x:v>
      </x:c>
      <x:c r="K152" s="22" t="str">
        <x:v>NO_MATCH</x:v>
      </x:c>
      <x:c r="L152" s="31"/>
      <x:c r="M152" s="34"/>
      <x:c r="N152" s="34" t="str">
        <x:f>IFERROR(M152/L152,"")</x:f>
      </x:c>
      <x:c r="O152" s="25" t="str">
        <x:v>동일 bid_base_no는 재공고군; 다른 base의 의미중복은 project sheet에서 별도 주의</x:v>
      </x:c>
      <x:c r="P152" s="22" t="n">
        <x:v>1</x:v>
      </x:c>
    </x:row>
    <x:row r="153">
      <x:c r="A153" s="22" t="str">
        <x:v>L2024-00056</x:v>
      </x:c>
      <x:c r="B153" s="22" t="str">
        <x:v>2023-00067</x:v>
      </x:c>
      <x:c r="C153" s="22" t="str">
        <x:v>코트디부아르</x:v>
      </x:c>
      <x:c r="D153" s="22" t="n">
        <x:v>2</x:v>
      </x:c>
      <x:c r="E153" s="25" t="str">
        <x:v>L2024-00056-1;L2024-00056-2</x:v>
      </x:c>
      <x:c r="F153" s="25" t="str">
        <x:v>L2024-00056-2</x:v>
      </x:c>
      <x:c r="G153" s="25" t="str">
        <x:v>2024-10-14</x:v>
      </x:c>
      <x:c r="H153" s="25" t="str">
        <x:v>[긴급] 코트디부아르 펠릭스우푸에부아니대학교 ICT 고등교육 역량강화 및 디지털 교육 개선사업 설계 및 감리용역</x:v>
      </x:c>
      <x:c r="I153" s="22" t="str">
        <x:v>X</x:v>
      </x:c>
      <x:c r="J153" s="22" t="str">
        <x:v>DESIGN_OR_SUPERVISION_SERVICE</x:v>
      </x:c>
      <x:c r="K153" s="22" t="str">
        <x:v>NO_MATCH</x:v>
      </x:c>
      <x:c r="L153" s="31"/>
      <x:c r="M153" s="34"/>
      <x:c r="N153" s="34" t="str">
        <x:f>IFERROR(M153/L153,"")</x:f>
      </x:c>
      <x:c r="O153" s="25" t="str">
        <x:v>동일 bid_base_no는 재공고군; 다른 base의 의미중복은 project sheet에서 별도 주의</x:v>
      </x:c>
      <x:c r="P153" s="22" t="n">
        <x:v>1</x:v>
      </x:c>
    </x:row>
    <x:row r="154">
      <x:c r="A154" s="22" t="str">
        <x:v>L2025-00052</x:v>
      </x:c>
      <x:c r="B154" s="22" t="str">
        <x:v>2023-00067</x:v>
      </x:c>
      <x:c r="C154" s="22" t="str">
        <x:v>코트디부아르</x:v>
      </x:c>
      <x:c r="D154" s="22" t="n">
        <x:v>1</x:v>
      </x:c>
      <x:c r="E154" s="25" t="str">
        <x:v>L2025-00052-1</x:v>
      </x:c>
      <x:c r="F154" s="25" t="str">
        <x:v>L2025-00052-1</x:v>
      </x:c>
      <x:c r="G154" s="25" t="str">
        <x:v>2025-07-04</x:v>
      </x:c>
      <x:c r="H154" s="25" t="str">
        <x:v>코트디부아르 펠릭스 우푸에 부아니대학교 ICT 교육역량 강화 및 ICT 혁신센터 설립사업 PETROCI 건물 리모델링 공사</x:v>
      </x:c>
      <x:c r="I154" s="22" t="str">
        <x:v>C</x:v>
      </x:c>
      <x:c r="J154" s="22" t="str">
        <x:v>WORKS</x:v>
      </x:c>
      <x:c r="K154" s="22" t="str">
        <x:v>MATCH</x:v>
      </x:c>
      <x:c r="L154" s="31" t="n">
        <x:v>1500</x:v>
      </x:c>
      <x:c r="M154" s="34" t="n">
        <x:v>1963286</x:v>
      </x:c>
      <x:c r="N154" s="34" t="n">
        <x:f>IFERROR(M154/L154,"")</x:f>
        <x:v>1308.8573333333334</x:v>
      </x:c>
      <x:c r="O154" s="25" t="str">
        <x:v>동일 bid_base_no는 재공고군; 다른 base의 의미중복은 project sheet에서 별도 주의</x:v>
      </x:c>
      <x:c r="P154" s="22" t="n">
        <x:v>1</x:v>
      </x:c>
    </x:row>
    <x:row r="155">
      <x:c r="A155" s="22" t="str">
        <x:v>L2025-00045</x:v>
      </x:c>
      <x:c r="B155" s="22" t="str">
        <x:v>2023-00087</x:v>
      </x:c>
      <x:c r="C155" s="22" t="str">
        <x:v>이라크</x:v>
      </x:c>
      <x:c r="D155" s="22" t="n">
        <x:v>2</x:v>
      </x:c>
      <x:c r="E155" s="25" t="str">
        <x:v>L2025-00045-1;L2025-00045-2</x:v>
      </x:c>
      <x:c r="F155" s="25" t="str">
        <x:v>L2025-00045-2</x:v>
      </x:c>
      <x:c r="G155" s="25" t="str">
        <x:v>2025-08-28</x:v>
      </x:c>
      <x:c r="H155" s="25" t="str">
        <x:v>“이라크 쿠르드 지역학교 내 난민통합교육 강화사업” 선도학교 및 교사연수센터 신축을 위한 설계 및 시공감리 업체 선정</x:v>
      </x:c>
      <x:c r="I155" s="22" t="str">
        <x:v>X</x:v>
      </x:c>
      <x:c r="J155" s="22" t="str">
        <x:v>DESIGN_OR_SUPERVISION_SERVICE</x:v>
      </x:c>
      <x:c r="K155" s="22" t="str">
        <x:v>NO_MATCH</x:v>
      </x:c>
      <x:c r="L155" s="31" t="n">
        <x:v>6000</x:v>
      </x:c>
      <x:c r="M155" s="34"/>
      <x:c r="N155" s="34" t="n">
        <x:f>IFERROR(M155/L155,"")</x:f>
        <x:v>0</x:v>
      </x:c>
      <x:c r="O155" s="25" t="str">
        <x:v>동일 bid_base_no는 재공고군; 다른 base의 의미중복은 project sheet에서 별도 주의</x:v>
      </x:c>
      <x:c r="P155" s="22" t="n">
        <x:v>1</x:v>
      </x:c>
    </x:row>
    <x:row r="156">
      <x:c r="A156" s="22" t="str">
        <x:v>L2025-00036</x:v>
      </x:c>
      <x:c r="B156" s="22" t="str">
        <x:v>2024-00015</x:v>
      </x:c>
      <x:c r="C156" s="22" t="str">
        <x:v>캄보디아</x:v>
      </x:c>
      <x:c r="D156" s="22" t="n">
        <x:v>1</x:v>
      </x:c>
      <x:c r="E156" s="25" t="str">
        <x:v>L2025-00036-1</x:v>
      </x:c>
      <x:c r="F156" s="25" t="str">
        <x:v>L2025-00036-1</x:v>
      </x:c>
      <x:c r="G156" s="25" t="str">
        <x:v>2025-05-30</x:v>
      </x:c>
      <x:c r="H156" s="25" t="str">
        <x:v>캄보디아 당까오 후송병원 공공의료서비스 개선사업 병원신축 설계감리용역</x:v>
      </x:c>
      <x:c r="I156" s="22" t="str">
        <x:v>C</x:v>
      </x:c>
      <x:c r="J156" s="22" t="str">
        <x:v>DESIGN_OR_SUPERVISION_SERVICE</x:v>
      </x:c>
      <x:c r="K156" s="22" t="str">
        <x:v>MATCH_ATTACHMENT_CONSTRUCTION_BUDGET</x:v>
      </x:c>
      <x:c r="L156" s="31" t="n">
        <x:v>3700</x:v>
      </x:c>
      <x:c r="M156" s="34" t="n">
        <x:v>6600000</x:v>
      </x:c>
      <x:c r="N156" s="34" t="n">
        <x:f>IFERROR(M156/L156,"")</x:f>
        <x:v>1783.7837837837837</x:v>
      </x:c>
      <x:c r="O156" s="25" t="str">
        <x:v>동일 bid_base_no는 재공고군; 다른 base의 의미중복은 project sheet에서 별도 주의</x:v>
      </x:c>
      <x:c r="P156" s="22" t="n">
        <x:v>1</x:v>
      </x:c>
    </x:row>
    <x:row r="157">
      <x:c r="A157" s="22" t="str">
        <x:v>L2025-00097</x:v>
      </x:c>
      <x:c r="B157" s="22" t="str">
        <x:v>2024-00105</x:v>
      </x:c>
      <x:c r="C157" s="22" t="str">
        <x:v>키르기스스탄</x:v>
      </x:c>
      <x:c r="D157" s="22" t="n">
        <x:v>1</x:v>
      </x:c>
      <x:c r="E157" s="25" t="str">
        <x:v>L2025-00097-1</x:v>
      </x:c>
      <x:c r="F157" s="25" t="str">
        <x:v>L2025-00097-1</x:v>
      </x:c>
      <x:c r="G157" s="25" t="str">
        <x:v>2025-10-29</x:v>
      </x:c>
      <x:c r="H157" s="25" t="str">
        <x:v>키르기스스탄 디지털 전환을 위한 국가 정보화 역량 강화 사업 ICT 교육센터 신축공사를 위한 설계 및 저작권감리용역</x:v>
      </x:c>
      <x:c r="I157" s="22" t="str">
        <x:v>C</x:v>
      </x:c>
      <x:c r="J157" s="22" t="str">
        <x:v>DESIGN_OR_SUPERVISION_SERVICE</x:v>
      </x:c>
      <x:c r="K157" s="22" t="str">
        <x:v>MATCH_ATTACHMENT_CONSTRUCTION_BUDGET</x:v>
      </x:c>
      <x:c r="L157" s="31" t="n">
        <x:v>1179</x:v>
      </x:c>
      <x:c r="M157" s="34" t="n">
        <x:v>1704050</x:v>
      </x:c>
      <x:c r="N157" s="34" t="n">
        <x:f>IFERROR(M157/L157,"")</x:f>
        <x:v>1445.3350296861747</x:v>
      </x:c>
      <x:c r="O157" s="25" t="str">
        <x:v>동일 bid_base_no는 재공고군; 다른 base의 의미중복은 project sheet에서 별도 주의</x:v>
      </x:c>
      <x:c r="P157" s="22" t="n">
        <x:v>1</x:v>
      </x:c>
    </x:row>
    <x:row r="158">
      <x:c r="A158" s="23" t="str">
        <x:v>L2017-00005</x:v>
      </x:c>
      <x:c r="B158" s="23" t="str">
        <x:v>L2017-0004</x:v>
      </x:c>
      <x:c r="C158" s="23" t="str">
        <x:v>에콰도르</x:v>
      </x:c>
      <x:c r="D158" s="23" t="n">
        <x:v>1</x:v>
      </x:c>
      <x:c r="E158" s="26" t="str">
        <x:v>L2017-00005-1</x:v>
      </x:c>
      <x:c r="F158" s="26" t="str">
        <x:v>L2017-00005-1</x:v>
      </x:c>
      <x:c r="G158" s="26" t="str">
        <x:v>2017-08-15</x:v>
      </x:c>
      <x:c r="H158" s="26" t="str">
        <x:v>에콰도르 과야스주 보건의료센터 건립사업 시공사 선정 입찰</x:v>
      </x:c>
      <x:c r="I158" s="23" t="str">
        <x:v>C</x:v>
      </x:c>
      <x:c r="J158" s="23" t="str">
        <x:v>WORKS</x:v>
      </x:c>
      <x:c r="K158" s="23" t="str">
        <x:v>MATCH</x:v>
      </x:c>
      <x:c r="L158" s="32" t="n">
        <x:v>2541.35</x:v>
      </x:c>
      <x:c r="M158" s="35" t="n">
        <x:v>3572800</x:v>
      </x:c>
      <x:c r="N158" s="35" t="n">
        <x:f>IFERROR(M158/L158,"")</x:f>
        <x:v>1405.866960473764</x:v>
      </x:c>
      <x:c r="O158" s="26" t="str">
        <x:v>동일 bid_base_no는 재공고군; 다른 base의 의미중복은 project sheet에서 별도 주의</x:v>
      </x:c>
      <x:c r="P158" s="23" t="n">
        <x:v>1</x:v>
      </x:c>
    </x:row>
  </x:sheetData>
  <x:mergeCells>
    <x:mergeCell ref="A1:P1"/>
    <x:mergeCell ref="A2:P2"/>
  </x:mergeCells>
  <x:conditionalFormatting sqref="I5:I158">
    <x:cfRule type="beginsWith" dxfId="10" priority="1" operator="beginsWith" text="A"/>
    <x:cfRule type="beginsWith" dxfId="11" priority="2" operator="beginsWith" text="B"/>
    <x:cfRule type="beginsWith" dxfId="12" priority="3" operator="beginsWith" text="C"/>
    <x:cfRule type="beginsWith" dxfId="13" priority="4" operator="beginsWith" text="U"/>
    <x:cfRule type="beginsWith" dxfId="14" priority="5" operator="beginsWith" text="X"/>
  </x:conditionalFormatting>
  <x:pageMargins left="0.7" right="0.7" top="0.75" bottom="0.75" header="0.3" footer="0.3"/>
  <x:tableParts count="1">
    <x:tablePart xmlns:r="http://schemas.openxmlformats.org/officeDocument/2006/relationships" r:id="R0c02540b31dd4cf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23" hidden="0" customWidth="1"/>
    <x:col min="4" max="4" width="58" hidden="0" customWidth="1"/>
    <x:col min="5" max="5" width="9" hidden="0" customWidth="1"/>
    <x:col min="6" max="6" width="12" hidden="0" customWidth="1"/>
    <x:col min="7" max="7" width="22" hidden="0" customWidth="1"/>
    <x:col min="8" max="8" width="9" hidden="0" customWidth="1"/>
    <x:col min="9" max="9" width="10" hidden="0" customWidth="1"/>
    <x:col min="10" max="10" width="9" hidden="0" customWidth="1"/>
    <x:col min="11" max="11" width="11" hidden="0" customWidth="1"/>
    <x:col min="12" max="12" width="11" hidden="0" customWidth="1"/>
    <x:col min="13" max="13" width="10" hidden="0" customWidth="1"/>
    <x:col min="14" max="14" width="24" hidden="0" customWidth="1"/>
    <x:col min="15" max="15" width="11" hidden="0" customWidth="1"/>
    <x:col min="16" max="16" width="10" hidden="0" customWidth="1"/>
    <x:col min="17" max="17" width="12" hidden="0" customWidth="1"/>
    <x:col min="18" max="18" width="30" hidden="0" customWidth="1"/>
    <x:col min="19" max="19" width="13" hidden="0" customWidth="1"/>
    <x:col min="20" max="20" width="32" hidden="0" customWidth="1"/>
    <x:col min="21" max="21" width="12" hidden="0" customWidth="1"/>
  </x:cols>
  <x:sheetData>
    <x:row r="1" ht="34" customHeight="1">
      <x:c r="A1" s="3" t="str">
        <x:v>170공고 연결 첨부의 BOQ 표 신호</x:v>
      </x:c>
    </x:row>
    <x:row r="2" ht="42" customHeight="1">
      <x:c r="A2" s="7" t="str">
        <x:v>첨부는 공고와 1:N입니다. 가격표·수량표 자동검출은 상품표·감리 인력표를 포함할 수 있으므로 최종 A/B가 아닙니다.</x:v>
      </x:c>
    </x:row>
    <x:row r="4" ht="32" customHeight="1">
      <x:c r="A4" s="13" t="str">
        <x:v>사업번호</x:v>
      </x:c>
      <x:c r="B4" s="13" t="str">
        <x:v>공고번호</x:v>
      </x:c>
      <x:c r="C4" s="13" t="str">
        <x:v>역할</x:v>
      </x:c>
      <x:c r="D4" s="13" t="str">
        <x:v>파일</x:v>
      </x:c>
      <x:c r="E4" s="13" t="str">
        <x:v>확장자</x:v>
      </x:c>
      <x:c r="F4" s="13" t="str">
        <x:v>용량</x:v>
      </x:c>
      <x:c r="G4" s="13" t="str">
        <x:v>SHA256</x:v>
      </x:c>
      <x:c r="H4" s="13" t="str">
        <x:v>BOQ명칭</x:v>
      </x:c>
      <x:c r="I4" s="13" t="str">
        <x:v>blank명칭</x:v>
      </x:c>
      <x:c r="J4" s="13" t="str">
        <x:v>표수</x:v>
      </x:c>
      <x:c r="K4" s="13" t="str">
        <x:v>최대수량행</x:v>
      </x:c>
      <x:c r="L4" s="13" t="str">
        <x:v>최대가격행</x:v>
      </x:c>
      <x:c r="M4" s="13" t="str">
        <x:v>강한가격표</x:v>
      </x:c>
      <x:c r="N4" s="13" t="str">
        <x:v>최적시트</x:v>
      </x:c>
      <x:c r="O4" s="13" t="str">
        <x:v>시트상태</x:v>
      </x:c>
      <x:c r="P4" s="13" t="str">
        <x:v>헤더행</x:v>
      </x:c>
      <x:c r="Q4" s="13" t="str">
        <x:v>가격행비율</x:v>
      </x:c>
      <x:c r="R4" s="13" t="str">
        <x:v>스캔오류</x:v>
      </x:c>
      <x:c r="S4" s="13" t="str">
        <x:v>잠정파일신호</x:v>
      </x:c>
      <x:c r="T4" s="13" t="str">
        <x:v>최종승격규칙</x:v>
      </x:c>
      <x:c r="U4" s="13" t="str">
        <x:v>데이터기간</x:v>
      </x:c>
    </x:row>
    <x:row r="5">
      <x:c r="A5" s="21" t="str">
        <x:v>2015-00011</x:v>
      </x:c>
      <x:c r="B5" s="21" t="str">
        <x:v>L2019-00024-1</x:v>
      </x:c>
      <x:c r="C5" s="21" t="str">
        <x:v>WORKS</x:v>
      </x:c>
      <x:c r="D5" s="24" t="str">
        <x:v>L2019-00024-1/시공입찰 신문공고 견적서_Daily Mirror.xls</x:v>
      </x:c>
      <x:c r="E5" s="21" t="str">
        <x:v>.xls</x:v>
      </x:c>
      <x:c r="F5" s="27" t="n">
        <x:v>58368</x:v>
      </x:c>
      <x:c r="G5" s="27" t="str">
        <x:v>491ede084b59301c62a5c3b65146f2e6f7e371fadd7af6c299652c759d315f0d</x:v>
      </x:c>
      <x:c r="H5" s="27" t="n">
        <x:v>1</x:v>
      </x:c>
      <x:c r="I5" s="27" t="n">
        <x:v>0</x:v>
      </x:c>
      <x:c r="J5" s="27" t="n">
        <x:v>0</x:v>
      </x:c>
      <x:c r="K5" s="27" t="n">
        <x:v>0</x:v>
      </x:c>
      <x:c r="L5" s="27" t="n">
        <x:v>0</x:v>
      </x:c>
      <x:c r="M5" s="27" t="n">
        <x:v>0</x:v>
      </x:c>
      <x:c r="N5" s="21" t="str"/>
      <x:c r="O5" s="21" t="str"/>
      <x:c r="P5" s="21" t="str"/>
      <x:c r="Q5" s="39" t="n">
        <x:v>0</x:v>
      </x:c>
      <x:c r="R5" s="24" t="str"/>
      <x:c r="S5" s="24" t="str">
        <x:v>BOQ_NAME_ONLY</x:v>
      </x:c>
      <x:c r="T5" s="24" t="str">
        <x:v>자동 표 신호는 최종 A/B로 승격하지 않음</x:v>
      </x:c>
      <x:c r="U5" s="21" t="str">
        <x:v>2016-2020</x:v>
      </x:c>
    </x:row>
    <x:row r="6">
      <x:c r="A6" s="22" t="str">
        <x:v>2015-00011</x:v>
      </x:c>
      <x:c r="B6" s="22" t="str">
        <x:v>L2019-00024-1</x:v>
      </x:c>
      <x:c r="C6" s="22" t="str">
        <x:v>WORKS</x:v>
      </x:c>
      <x:c r="D6" s="25" t="str">
        <x:v>L2019-00024-1/시공입찰 신문공고 견적서_Ceylon Daily News.jpg</x:v>
      </x:c>
      <x:c r="E6" s="22" t="str">
        <x:v>.jpg</x:v>
      </x:c>
      <x:c r="F6" s="28" t="n">
        <x:v>661370</x:v>
      </x:c>
      <x:c r="G6" s="28" t="str">
        <x:v>fd11fd3655bd376e45a27229962b7fefe666500b61b8670f1a5a93c7fbe91a59</x:v>
      </x:c>
      <x:c r="H6" s="28" t="n">
        <x:v>1</x:v>
      </x:c>
      <x:c r="I6" s="28" t="n">
        <x:v>0</x:v>
      </x:c>
      <x:c r="J6" s="28" t="n">
        <x:v>0</x:v>
      </x:c>
      <x:c r="K6" s="28" t="n">
        <x:v>0</x:v>
      </x:c>
      <x:c r="L6" s="28" t="n">
        <x:v>0</x:v>
      </x:c>
      <x:c r="M6" s="28" t="n">
        <x:v>0</x:v>
      </x:c>
      <x:c r="N6" s="22" t="str"/>
      <x:c r="O6" s="22" t="str"/>
      <x:c r="P6" s="22" t="str"/>
      <x:c r="Q6" s="40" t="n">
        <x:v>0</x:v>
      </x:c>
      <x:c r="R6" s="25" t="str"/>
      <x:c r="S6" s="25" t="str">
        <x:v>BOQ_NAME_ONLY</x:v>
      </x:c>
      <x:c r="T6" s="25" t="str">
        <x:v>자동 표 신호는 최종 A/B로 승격하지 않음</x:v>
      </x:c>
      <x:c r="U6" s="22" t="str">
        <x:v>2016-2020</x:v>
      </x:c>
    </x:row>
    <x:row r="7">
      <x:c r="A7" s="22" t="str">
        <x:v>2017-15267</x:v>
      </x:c>
      <x:c r="B7" s="22" t="str">
        <x:v>L2019-00046-1</x:v>
      </x:c>
      <x:c r="C7" s="22" t="str">
        <x:v>MIXED_FITOUT_WORKS</x:v>
      </x:c>
      <x:c r="D7" s="25" t="str">
        <x:v>L2019-00046-1/붙임/Attachment 6. Quaries and Answers_┴·└╟╚╕╜┼.xls</x:v>
      </x:c>
      <x:c r="E7" s="22" t="str">
        <x:v>.xls</x:v>
      </x:c>
      <x:c r="F7" s="28" t="n">
        <x:v>33280</x:v>
      </x:c>
      <x:c r="G7" s="28" t="str">
        <x:v>ce382f710c5ef4a56495c245ba0ad657452be6c1d7c930c2bfc69d9e40165d3d</x:v>
      </x:c>
      <x:c r="H7" s="28" t="n">
        <x:v>0</x:v>
      </x:c>
      <x:c r="I7" s="28" t="n">
        <x:v>0</x:v>
      </x:c>
      <x:c r="J7" s="28" t="n">
        <x:v>0</x:v>
      </x:c>
      <x:c r="K7" s="28" t="n">
        <x:v>0</x:v>
      </x:c>
      <x:c r="L7" s="28" t="n">
        <x:v>0</x:v>
      </x:c>
      <x:c r="M7" s="28" t="n">
        <x:v>0</x:v>
      </x:c>
      <x:c r="N7" s="22" t="str"/>
      <x:c r="O7" s="22" t="str"/>
      <x:c r="P7" s="22" t="str"/>
      <x:c r="Q7" s="40" t="n">
        <x:v>0</x:v>
      </x:c>
      <x:c r="R7" s="25" t="str"/>
      <x:c r="S7" s="25" t="str">
        <x:v>NONE</x:v>
      </x:c>
      <x:c r="T7" s="25" t="str">
        <x:v>자동 표 신호는 최종 A/B로 승격하지 않음</x:v>
      </x:c>
      <x:c r="U7" s="22" t="str">
        <x:v>2016-2020</x:v>
      </x:c>
    </x:row>
    <x:row r="8">
      <x:c r="A8" s="22" t="str">
        <x:v>2015-00011</x:v>
      </x:c>
      <x:c r="B8" s="22" t="str">
        <x:v>L2019-00024-1</x:v>
      </x:c>
      <x:c r="C8" s="22" t="str">
        <x:v>WORKS</x:v>
      </x:c>
      <x:c r="D8" s="25" t="str">
        <x:v>L2019-00024-1/입찰서류_190626/Chapter 7. BOQ (CD)_to be distributed later.docx</x:v>
      </x:c>
      <x:c r="E8" s="22" t="str">
        <x:v>.docx</x:v>
      </x:c>
      <x:c r="F8" s="28" t="n">
        <x:v>17193</x:v>
      </x:c>
      <x:c r="G8" s="28" t="str">
        <x:v>44407b6e6a829370dbc74f960dc0979a92b195ff9251e859f54a85103b4f3c0f</x:v>
      </x:c>
      <x:c r="H8" s="28" t="n">
        <x:v>1</x:v>
      </x:c>
      <x:c r="I8" s="28" t="n">
        <x:v>0</x:v>
      </x:c>
      <x:c r="J8" s="28" t="n">
        <x:v>0</x:v>
      </x:c>
      <x:c r="K8" s="28" t="n">
        <x:v>0</x:v>
      </x:c>
      <x:c r="L8" s="28" t="n">
        <x:v>0</x:v>
      </x:c>
      <x:c r="M8" s="28" t="n">
        <x:v>0</x:v>
      </x:c>
      <x:c r="N8" s="22" t="str"/>
      <x:c r="O8" s="22" t="str"/>
      <x:c r="P8" s="22" t="str"/>
      <x:c r="Q8" s="40" t="n">
        <x:v>0</x:v>
      </x:c>
      <x:c r="R8" s="25" t="str"/>
      <x:c r="S8" s="25" t="str">
        <x:v>BOQ_NAME_ONLY</x:v>
      </x:c>
      <x:c r="T8" s="25" t="str">
        <x:v>자동 표 신호는 최종 A/B로 승격하지 않음</x:v>
      </x:c>
      <x:c r="U8" s="22" t="str">
        <x:v>2016-2020</x:v>
      </x:c>
    </x:row>
    <x:row r="9">
      <x:c r="A9" s="22" t="str">
        <x:v>2015-00011</x:v>
      </x:c>
      <x:c r="B9" s="22" t="str">
        <x:v>L2019-00024-1</x:v>
      </x:c>
      <x:c r="C9" s="22" t="str">
        <x:v>WORKS</x:v>
      </x:c>
      <x:c r="D9" s="25" t="str">
        <x:v>L2019-00024-1/입찰서류_190626/Bid Form/Attachment 6. Form of Queries and Answers.xls</x:v>
      </x:c>
      <x:c r="E9" s="22" t="str">
        <x:v>.xls</x:v>
      </x:c>
      <x:c r="F9" s="28" t="n">
        <x:v>32768</x:v>
      </x:c>
      <x:c r="G9" s="28" t="str">
        <x:v>2068ceca867ab09b7175d20679fa72fb6d037133435602d3c18c3d02a3e1e2de</x:v>
      </x:c>
      <x:c r="H9" s="28" t="n">
        <x:v>0</x:v>
      </x:c>
      <x:c r="I9" s="28" t="n">
        <x:v>0</x:v>
      </x:c>
      <x:c r="J9" s="28" t="n">
        <x:v>0</x:v>
      </x:c>
      <x:c r="K9" s="28" t="n">
        <x:v>0</x:v>
      </x:c>
      <x:c r="L9" s="28" t="n">
        <x:v>0</x:v>
      </x:c>
      <x:c r="M9" s="28" t="n">
        <x:v>0</x:v>
      </x:c>
      <x:c r="N9" s="22" t="str"/>
      <x:c r="O9" s="22" t="str"/>
      <x:c r="P9" s="22" t="str"/>
      <x:c r="Q9" s="40" t="n">
        <x:v>0</x:v>
      </x:c>
      <x:c r="R9" s="25" t="str"/>
      <x:c r="S9" s="25" t="str">
        <x:v>NONE</x:v>
      </x:c>
      <x:c r="T9" s="25" t="str">
        <x:v>자동 표 신호는 최종 A/B로 승격하지 않음</x:v>
      </x:c>
      <x:c r="U9" s="22" t="str">
        <x:v>2016-2020</x:v>
      </x:c>
    </x:row>
    <x:row r="10">
      <x:c r="A10" s="22" t="str">
        <x:v>2016-00206</x:v>
      </x:c>
      <x:c r="B10" s="22" t="str">
        <x:v>L2020-00007-1</x:v>
      </x:c>
      <x:c r="C10" s="22" t="str">
        <x:v>DESIGN_OR_SUPERVISION_SERVICE</x:v>
      </x:c>
      <x:c r="D10" s="25" t="str">
        <x:v>L2020-00007-1/Tender Documents_final rev 2. (15.7.2020)/Attachment 2-1_BOQ for the Consultant Services Rev3.xlsx</x:v>
      </x:c>
      <x:c r="E10" s="22" t="str">
        <x:v>.xlsx</x:v>
      </x:c>
      <x:c r="F10" s="28" t="n">
        <x:v>18774</x:v>
      </x:c>
      <x:c r="G10" s="28" t="str">
        <x:v>5e27e64712c2a6c8e3b9a22ed846d13b212530a87ced9d024f2f9a8fa596621b</x:v>
      </x:c>
      <x:c r="H10" s="28" t="n">
        <x:v>0</x:v>
      </x:c>
      <x:c r="I10" s="28" t="n">
        <x:v>0</x:v>
      </x:c>
      <x:c r="J10" s="28" t="n">
        <x:v>0</x:v>
      </x:c>
      <x:c r="K10" s="28" t="n">
        <x:v>0</x:v>
      </x:c>
      <x:c r="L10" s="28" t="n">
        <x:v>0</x:v>
      </x:c>
      <x:c r="M10" s="28" t="n">
        <x:v>0</x:v>
      </x:c>
      <x:c r="N10" s="22" t="str"/>
      <x:c r="O10" s="22" t="str"/>
      <x:c r="P10" s="22" t="str"/>
      <x:c r="Q10" s="40" t="n">
        <x:v>0</x:v>
      </x:c>
      <x:c r="R10" s="25" t="str"/>
      <x:c r="S10" s="25" t="str">
        <x:v>NONE</x:v>
      </x:c>
      <x:c r="T10" s="25" t="str">
        <x:v>자동 표 신호는 최종 A/B로 승격하지 않음</x:v>
      </x:c>
      <x:c r="U10" s="22" t="str">
        <x:v>2016-2020</x:v>
      </x:c>
    </x:row>
    <x:row r="11">
      <x:c r="A11" s="22" t="str">
        <x:v>2016-00206</x:v>
      </x:c>
      <x:c r="B11" s="22" t="str">
        <x:v>L2020-00007-1</x:v>
      </x:c>
      <x:c r="C11" s="22" t="str">
        <x:v>DESIGN_OR_SUPERVISION_SERVICE</x:v>
      </x:c>
      <x:c r="D11" s="25" t="str">
        <x:v>L2020-00007-1/Tender Documents_final rev 2. (15.7.2020)/Attachment 8. Queries and Answers(Form)_Rev2.xls</x:v>
      </x:c>
      <x:c r="E11" s="22" t="str">
        <x:v>.xls</x:v>
      </x:c>
      <x:c r="F11" s="28" t="n">
        <x:v>32768</x:v>
      </x:c>
      <x:c r="G11" s="28" t="str">
        <x:v>fe764a121b541ee1cbbd04afdd372b6465df7d2c193b717ef6dcd0281777f896</x:v>
      </x:c>
      <x:c r="H11" s="28" t="n">
        <x:v>0</x:v>
      </x:c>
      <x:c r="I11" s="28" t="n">
        <x:v>0</x:v>
      </x:c>
      <x:c r="J11" s="28" t="n">
        <x:v>0</x:v>
      </x:c>
      <x:c r="K11" s="28" t="n">
        <x:v>0</x:v>
      </x:c>
      <x:c r="L11" s="28" t="n">
        <x:v>0</x:v>
      </x:c>
      <x:c r="M11" s="28" t="n">
        <x:v>0</x:v>
      </x:c>
      <x:c r="N11" s="22" t="str"/>
      <x:c r="O11" s="22" t="str"/>
      <x:c r="P11" s="22" t="str"/>
      <x:c r="Q11" s="40" t="n">
        <x:v>0</x:v>
      </x:c>
      <x:c r="R11" s="25" t="str"/>
      <x:c r="S11" s="25" t="str">
        <x:v>NONE</x:v>
      </x:c>
      <x:c r="T11" s="25" t="str">
        <x:v>자동 표 신호는 최종 A/B로 승격하지 않음</x:v>
      </x:c>
      <x:c r="U11" s="22" t="str">
        <x:v>2016-2020</x:v>
      </x:c>
    </x:row>
    <x:row r="12">
      <x:c r="A12" s="22" t="str">
        <x:v>2020-00070</x:v>
      </x:c>
      <x:c r="B12" s="22" t="str">
        <x:v>L2024-00078-1</x:v>
      </x:c>
      <x:c r="C12" s="22" t="str">
        <x:v>WORKS</x:v>
      </x:c>
      <x:c r="D12" s="25" t="str">
        <x:v>L2024-00078-1/Section 4_BOQ (BLANK sin PRICE)- MVC PROJECT_fin.xlsx</x:v>
      </x:c>
      <x:c r="E12" s="22" t="str">
        <x:v>.xlsx</x:v>
      </x:c>
      <x:c r="F12" s="28" t="n">
        <x:v>65728</x:v>
      </x:c>
      <x:c r="G12" s="28" t="str">
        <x:v>2a926c9a26b8ff49065bbb52562ae8a7b51c534e04b3754a9237935e7d95fc7a</x:v>
      </x:c>
      <x:c r="H12" s="28" t="n">
        <x:v>0</x:v>
      </x:c>
      <x:c r="I12" s="28" t="n">
        <x:v>1</x:v>
      </x:c>
      <x:c r="J12" s="28" t="n">
        <x:v>1</x:v>
      </x:c>
      <x:c r="K12" s="28" t="n">
        <x:v>408</x:v>
      </x:c>
      <x:c r="L12" s="28" t="n">
        <x:v>0</x:v>
      </x:c>
      <x:c r="M12" s="28" t="n">
        <x:v>0</x:v>
      </x:c>
      <x:c r="N12" s="22" t="str">
        <x:v>Blank B.O.Q for distribution</x:v>
      </x:c>
      <x:c r="O12" s="22" t="str">
        <x:v>visible</x:v>
      </x:c>
      <x:c r="P12" s="22" t="n">
        <x:v>6</x:v>
      </x:c>
      <x:c r="Q12" s="40" t="n">
        <x:v>0</x:v>
      </x:c>
      <x:c r="R12" s="25" t="str"/>
      <x:c r="S12" s="25" t="str">
        <x:v>B?</x:v>
      </x:c>
      <x:c r="T12" s="25" t="str">
        <x:v>자동 표 신호는 최종 A/B로 승격하지 않음</x:v>
      </x:c>
      <x:c r="U12" s="22" t="str">
        <x:v>2021-2025</x:v>
      </x:c>
    </x:row>
    <x:row r="13">
      <x:c r="A13" s="22" t="str">
        <x:v>2019-00011</x:v>
      </x:c>
      <x:c r="B13" s="22" t="str">
        <x:v>L2022-00001-1</x:v>
      </x:c>
      <x:c r="C13" s="22" t="str">
        <x:v>WORKS</x:v>
      </x:c>
      <x:c r="D13" s="25" t="str">
        <x:v>L2022-00001-1/Section_08_BOQ_unpriced.docx</x:v>
      </x:c>
      <x:c r="E13" s="22" t="str">
        <x:v>.docx</x:v>
      </x:c>
      <x:c r="F13" s="28" t="n">
        <x:v>22122</x:v>
      </x:c>
      <x:c r="G13" s="28" t="str">
        <x:v>5afc968d5d913464aee1298ddb9d2dff4b27466b7dc41ddff1c88c6b3d93bc7b</x:v>
      </x:c>
      <x:c r="H13" s="28" t="n">
        <x:v>1</x:v>
      </x:c>
      <x:c r="I13" s="28" t="n">
        <x:v>1</x:v>
      </x:c>
      <x:c r="J13" s="28" t="n">
        <x:v>0</x:v>
      </x:c>
      <x:c r="K13" s="28" t="n">
        <x:v>0</x:v>
      </x:c>
      <x:c r="L13" s="28" t="n">
        <x:v>0</x:v>
      </x:c>
      <x:c r="M13" s="28" t="n">
        <x:v>0</x:v>
      </x:c>
      <x:c r="N13" s="22" t="str"/>
      <x:c r="O13" s="22" t="str"/>
      <x:c r="P13" s="22" t="str"/>
      <x:c r="Q13" s="40" t="n">
        <x:v>0</x:v>
      </x:c>
      <x:c r="R13" s="25" t="str"/>
      <x:c r="S13" s="25" t="str">
        <x:v>BOQ_NAME_ONLY</x:v>
      </x:c>
      <x:c r="T13" s="25" t="str">
        <x:v>자동 표 신호는 최종 A/B로 승격하지 않음</x:v>
      </x:c>
      <x:c r="U13" s="22" t="str">
        <x:v>2021-2025</x:v>
      </x:c>
    </x:row>
    <x:row r="14">
      <x:c r="A14" s="22" t="str">
        <x:v>2022-00076</x:v>
      </x:c>
      <x:c r="B14" s="22" t="str">
        <x:v>L2025-00051-2</x:v>
      </x:c>
      <x:c r="C14" s="22" t="str">
        <x:v>WORKS</x:v>
      </x:c>
      <x:c r="D14" s="25" t="str">
        <x:v>L2025-00051-2/Section 3-1. Annex 9 Self-Evaluation Table.xlsx</x:v>
      </x:c>
      <x:c r="E14" s="22" t="str">
        <x:v>.xlsx</x:v>
      </x:c>
      <x:c r="F14" s="28" t="n">
        <x:v>15221</x:v>
      </x:c>
      <x:c r="G14" s="28" t="str">
        <x:v>f29149292606184375f4e0391fdea0f9a7b1a4de7e74f7d7ebba994f6d88eedc</x:v>
      </x:c>
      <x:c r="H14" s="28" t="n">
        <x:v>0</x:v>
      </x:c>
      <x:c r="I14" s="28" t="n">
        <x:v>0</x:v>
      </x:c>
      <x:c r="J14" s="28" t="n">
        <x:v>0</x:v>
      </x:c>
      <x:c r="K14" s="28" t="n">
        <x:v>0</x:v>
      </x:c>
      <x:c r="L14" s="28" t="n">
        <x:v>0</x:v>
      </x:c>
      <x:c r="M14" s="28" t="n">
        <x:v>0</x:v>
      </x:c>
      <x:c r="N14" s="22" t="str"/>
      <x:c r="O14" s="22" t="str"/>
      <x:c r="P14" s="22" t="n">
        <x:v>0</x:v>
      </x:c>
      <x:c r="Q14" s="40" t="n">
        <x:v>0</x:v>
      </x:c>
      <x:c r="R14" s="25" t="str"/>
      <x:c r="S14" s="25" t="str">
        <x:v>NONE</x:v>
      </x:c>
      <x:c r="T14" s="25" t="str">
        <x:v>자동 표 신호는 최종 A/B로 승격하지 않음</x:v>
      </x:c>
      <x:c r="U14" s="22" t="str">
        <x:v>2021-2025</x:v>
      </x:c>
    </x:row>
    <x:row r="15">
      <x:c r="A15" s="22" t="str">
        <x:v>2022-00076</x:v>
      </x:c>
      <x:c r="B15" s="22" t="str">
        <x:v>L2025-00051-2</x:v>
      </x:c>
      <x:c r="C15" s="22" t="str">
        <x:v>WORKS</x:v>
      </x:c>
      <x:c r="D15" s="25" t="str">
        <x:v>L2025-00051-2/Section 4 - Bill of Quantity.xlsx</x:v>
      </x:c>
      <x:c r="E15" s="22" t="str">
        <x:v>.xlsx</x:v>
      </x:c>
      <x:c r="F15" s="28" t="n">
        <x:v>791666</x:v>
      </x:c>
      <x:c r="G15" s="28" t="str">
        <x:v>fdbb5bdceee51a500d8090d7ac47ab3d31ad8bb593aa9d322b6cfb899c69ad43</x:v>
      </x:c>
      <x:c r="H15" s="28" t="n">
        <x:v>1</x:v>
      </x:c>
      <x:c r="I15" s="28" t="n">
        <x:v>0</x:v>
      </x:c>
      <x:c r="J15" s="28" t="n">
        <x:v>13</x:v>
      </x:c>
      <x:c r="K15" s="28" t="n">
        <x:v>204</x:v>
      </x:c>
      <x:c r="L15" s="28" t="n">
        <x:v>0</x:v>
      </x:c>
      <x:c r="M15" s="28" t="n">
        <x:v>0</x:v>
      </x:c>
      <x:c r="N15" s="22" t="str">
        <x:v>Mechanical Services</x:v>
      </x:c>
      <x:c r="O15" s="22" t="str">
        <x:v>visible</x:v>
      </x:c>
      <x:c r="P15" s="22" t="n">
        <x:v>1</x:v>
      </x:c>
      <x:c r="Q15" s="40" t="n">
        <x:v>0</x:v>
      </x:c>
      <x:c r="R15" s="25" t="str"/>
      <x:c r="S15" s="25" t="str">
        <x:v>B?</x:v>
      </x:c>
      <x:c r="T15" s="25" t="str">
        <x:v>자동 표 신호는 최종 A/B로 승격하지 않음</x:v>
      </x:c>
      <x:c r="U15" s="22" t="str">
        <x:v>2021-2025</x:v>
      </x:c>
    </x:row>
    <x:row r="16">
      <x:c r="A16" s="22" t="str">
        <x:v>2021-00104</x:v>
      </x:c>
      <x:c r="B16" s="22" t="str">
        <x:v>L2024-00068-1</x:v>
      </x:c>
      <x:c r="C16" s="22" t="str">
        <x:v>WORKS</x:v>
      </x:c>
      <x:c r="D16" s="25" t="str">
        <x:v>L2024-00068-1/Section 11 - Bid Document Checklist_IPNETP Construction.xlsx</x:v>
      </x:c>
      <x:c r="E16" s="22" t="str">
        <x:v>.xlsx</x:v>
      </x:c>
      <x:c r="F16" s="28" t="n">
        <x:v>66999</x:v>
      </x:c>
      <x:c r="G16" s="28" t="str">
        <x:v>e15331263bc5dc63bf84f2ca35d387eaf12457b9bf40b571b979e4d1a44373e7</x:v>
      </x:c>
      <x:c r="H16" s="28" t="n">
        <x:v>0</x:v>
      </x:c>
      <x:c r="I16" s="28" t="n">
        <x:v>0</x:v>
      </x:c>
      <x:c r="J16" s="28" t="n">
        <x:v>0</x:v>
      </x:c>
      <x:c r="K16" s="28" t="n">
        <x:v>0</x:v>
      </x:c>
      <x:c r="L16" s="28" t="n">
        <x:v>0</x:v>
      </x:c>
      <x:c r="M16" s="28" t="n">
        <x:v>0</x:v>
      </x:c>
      <x:c r="N16" s="22" t="str"/>
      <x:c r="O16" s="22" t="str"/>
      <x:c r="P16" s="22" t="str"/>
      <x:c r="Q16" s="40" t="n">
        <x:v>0</x:v>
      </x:c>
      <x:c r="R16" s="25" t="str"/>
      <x:c r="S16" s="25" t="str">
        <x:v>NONE</x:v>
      </x:c>
      <x:c r="T16" s="25" t="str">
        <x:v>자동 표 신호는 최종 A/B로 승격하지 않음</x:v>
      </x:c>
      <x:c r="U16" s="22" t="str">
        <x:v>2021-2025</x:v>
      </x:c>
    </x:row>
    <x:row r="17">
      <x:c r="A17" s="22" t="str">
        <x:v>2021-00054</x:v>
      </x:c>
      <x:c r="B17" s="22" t="str">
        <x:v>L2023-00077-1</x:v>
      </x:c>
      <x:c r="C17" s="22" t="str">
        <x:v>GOODS</x:v>
      </x:c>
      <x:c r="D17" s="25" t="str">
        <x:v>L2023-00077-1/붙임5-2. 투찰내역서_1110.xlsx</x:v>
      </x:c>
      <x:c r="E17" s="22" t="str">
        <x:v>.xlsx</x:v>
      </x:c>
      <x:c r="F17" s="28" t="n">
        <x:v>55458</x:v>
      </x:c>
      <x:c r="G17" s="28" t="str">
        <x:v>71899f389f9e348861e2a95f1b03eeb116fedb6b75f99b02bedaafb9600b8747</x:v>
      </x:c>
      <x:c r="H17" s="28" t="n">
        <x:v>1</x:v>
      </x:c>
      <x:c r="I17" s="28" t="n">
        <x:v>0</x:v>
      </x:c>
      <x:c r="J17" s="28" t="n">
        <x:v>0</x:v>
      </x:c>
      <x:c r="K17" s="28" t="n">
        <x:v>0</x:v>
      </x:c>
      <x:c r="L17" s="28" t="n">
        <x:v>0</x:v>
      </x:c>
      <x:c r="M17" s="28" t="n">
        <x:v>0</x:v>
      </x:c>
      <x:c r="N17" s="22" t="str"/>
      <x:c r="O17" s="22" t="str"/>
      <x:c r="P17" s="22" t="str"/>
      <x:c r="Q17" s="40" t="n">
        <x:v>0</x:v>
      </x:c>
      <x:c r="R17" s="25" t="str"/>
      <x:c r="S17" s="25" t="str">
        <x:v>BOQ_NAME_ONLY</x:v>
      </x:c>
      <x:c r="T17" s="25" t="str">
        <x:v>자동 표 신호는 최종 A/B로 승격하지 않음</x:v>
      </x:c>
      <x:c r="U17" s="22" t="str">
        <x:v>2021-2025</x:v>
      </x:c>
    </x:row>
    <x:row r="18">
      <x:c r="A18" s="22" t="str">
        <x:v>2023-00067</x:v>
      </x:c>
      <x:c r="B18" s="22" t="str">
        <x:v>L2024-00056-2</x:v>
      </x:c>
      <x:c r="C18" s="22" t="str">
        <x:v>DESIGN_OR_SUPERVISION_SERVICE</x:v>
      </x:c>
      <x:c r="D18" s="25" t="str">
        <x:v>L2024-00056-2/Section 10 - Bid Document Checklist.xlsx</x:v>
      </x:c>
      <x:c r="E18" s="22" t="str">
        <x:v>.xlsx</x:v>
      </x:c>
      <x:c r="F18" s="28" t="n">
        <x:v>25005</x:v>
      </x:c>
      <x:c r="G18" s="28" t="str">
        <x:v>8de71448e9a0b1326043ea8a235afb18716db73322a6c5cd19fb20261c0ce1de</x:v>
      </x:c>
      <x:c r="H18" s="28" t="n">
        <x:v>0</x:v>
      </x:c>
      <x:c r="I18" s="28" t="n">
        <x:v>0</x:v>
      </x:c>
      <x:c r="J18" s="28" t="n">
        <x:v>0</x:v>
      </x:c>
      <x:c r="K18" s="28" t="n">
        <x:v>0</x:v>
      </x:c>
      <x:c r="L18" s="28" t="n">
        <x:v>0</x:v>
      </x:c>
      <x:c r="M18" s="28" t="n">
        <x:v>0</x:v>
      </x:c>
      <x:c r="N18" s="22" t="str"/>
      <x:c r="O18" s="22" t="str"/>
      <x:c r="P18" s="22" t="n">
        <x:v>0</x:v>
      </x:c>
      <x:c r="Q18" s="40" t="n">
        <x:v>0</x:v>
      </x:c>
      <x:c r="R18" s="25" t="str"/>
      <x:c r="S18" s="25" t="str">
        <x:v>NONE</x:v>
      </x:c>
      <x:c r="T18" s="25" t="str">
        <x:v>자동 표 신호는 최종 A/B로 승격하지 않음</x:v>
      </x:c>
      <x:c r="U18" s="22" t="str">
        <x:v>2021-2025</x:v>
      </x:c>
    </x:row>
    <x:row r="19">
      <x:c r="A19" s="22" t="str">
        <x:v>2022-00009</x:v>
      </x:c>
      <x:c r="B19" s="22" t="str">
        <x:v>L2024-00031-1</x:v>
      </x:c>
      <x:c r="C19" s="22" t="str">
        <x:v>WORKS</x:v>
      </x:c>
      <x:c r="D19" s="25" t="str">
        <x:v>L2024-00031-1/2-2. Lalitpur Link Media 견적서.jpg</x:v>
      </x:c>
      <x:c r="E19" s="22" t="str">
        <x:v>.jpg</x:v>
      </x:c>
      <x:c r="F19" s="28" t="n">
        <x:v>900118</x:v>
      </x:c>
      <x:c r="G19" s="28" t="str">
        <x:v>efc6ff4620c511b51ad0dc33683022177ecaa448c37c22a7eafd1d35d6afe8af</x:v>
      </x:c>
      <x:c r="H19" s="28" t="n">
        <x:v>1</x:v>
      </x:c>
      <x:c r="I19" s="28" t="n">
        <x:v>0</x:v>
      </x:c>
      <x:c r="J19" s="28" t="n">
        <x:v>0</x:v>
      </x:c>
      <x:c r="K19" s="28" t="n">
        <x:v>0</x:v>
      </x:c>
      <x:c r="L19" s="28" t="n">
        <x:v>0</x:v>
      </x:c>
      <x:c r="M19" s="28" t="n">
        <x:v>0</x:v>
      </x:c>
      <x:c r="N19" s="22" t="str"/>
      <x:c r="O19" s="22" t="str"/>
      <x:c r="P19" s="22" t="str"/>
      <x:c r="Q19" s="40" t="n">
        <x:v>0</x:v>
      </x:c>
      <x:c r="R19" s="25" t="str"/>
      <x:c r="S19" s="25" t="str">
        <x:v>BOQ_NAME_ONLY</x:v>
      </x:c>
      <x:c r="T19" s="25" t="str">
        <x:v>자동 표 신호는 최종 A/B로 승격하지 않음</x:v>
      </x:c>
      <x:c r="U19" s="22" t="str">
        <x:v>2021-2025</x:v>
      </x:c>
    </x:row>
    <x:row r="20">
      <x:c r="A20" s="22" t="str">
        <x:v>2022-00009</x:v>
      </x:c>
      <x:c r="B20" s="22" t="str">
        <x:v>L2024-00031-1</x:v>
      </x:c>
      <x:c r="C20" s="22" t="str">
        <x:v>WORKS</x:v>
      </x:c>
      <x:c r="D20" s="25" t="str">
        <x:v>L2024-00031-1/2-4. 견적서 비교결과표.xlsx</x:v>
      </x:c>
      <x:c r="E20" s="22" t="str">
        <x:v>.xlsx</x:v>
      </x:c>
      <x:c r="F20" s="28" t="n">
        <x:v>6363</x:v>
      </x:c>
      <x:c r="G20" s="28" t="str">
        <x:v>cbbe6e22369f0ea484519d6c1ad8507be06cdff5d989be9a24ad5913c67ee063</x:v>
      </x:c>
      <x:c r="H20" s="28" t="n">
        <x:v>1</x:v>
      </x:c>
      <x:c r="I20" s="28" t="n">
        <x:v>0</x:v>
      </x:c>
      <x:c r="J20" s="28" t="n">
        <x:v>0</x:v>
      </x:c>
      <x:c r="K20" s="28" t="n">
        <x:v>0</x:v>
      </x:c>
      <x:c r="L20" s="28" t="n">
        <x:v>0</x:v>
      </x:c>
      <x:c r="M20" s="28" t="n">
        <x:v>0</x:v>
      </x:c>
      <x:c r="N20" s="22" t="str"/>
      <x:c r="O20" s="22" t="str"/>
      <x:c r="P20" s="22" t="str"/>
      <x:c r="Q20" s="40" t="n">
        <x:v>0</x:v>
      </x:c>
      <x:c r="R20" s="25" t="str"/>
      <x:c r="S20" s="25" t="str">
        <x:v>BOQ_NAME_ONLY</x:v>
      </x:c>
      <x:c r="T20" s="25" t="str">
        <x:v>자동 표 신호는 최종 A/B로 승격하지 않음</x:v>
      </x:c>
      <x:c r="U20" s="22" t="str">
        <x:v>2021-2025</x:v>
      </x:c>
    </x:row>
    <x:row r="21">
      <x:c r="A21" s="22" t="str">
        <x:v>2022-00009</x:v>
      </x:c>
      <x:c r="B21" s="22" t="str">
        <x:v>L2024-00031-1</x:v>
      </x:c>
      <x:c r="C21" s="22" t="str">
        <x:v>WORKS</x:v>
      </x:c>
      <x:c r="D21" s="25" t="str">
        <x:v>L2024-00031-1/2-1. Beyond Media 견적서.pdf</x:v>
      </x:c>
      <x:c r="E21" s="22" t="str">
        <x:v>.pdf</x:v>
      </x:c>
      <x:c r="F21" s="28" t="n">
        <x:v>1695337</x:v>
      </x:c>
      <x:c r="G21" s="28" t="str">
        <x:v>87c3cda64fee850c6cc5f32fe50db0f6534233ff8ffec4a69e2403f10342a3a6</x:v>
      </x:c>
      <x:c r="H21" s="28" t="n">
        <x:v>1</x:v>
      </x:c>
      <x:c r="I21" s="28" t="n">
        <x:v>0</x:v>
      </x:c>
      <x:c r="J21" s="28" t="n">
        <x:v>0</x:v>
      </x:c>
      <x:c r="K21" s="28" t="n">
        <x:v>0</x:v>
      </x:c>
      <x:c r="L21" s="28" t="n">
        <x:v>0</x:v>
      </x:c>
      <x:c r="M21" s="28" t="n">
        <x:v>0</x:v>
      </x:c>
      <x:c r="N21" s="22" t="str"/>
      <x:c r="O21" s="22" t="str"/>
      <x:c r="P21" s="22" t="str"/>
      <x:c r="Q21" s="40" t="n">
        <x:v>0</x:v>
      </x:c>
      <x:c r="R21" s="25" t="str"/>
      <x:c r="S21" s="25" t="str">
        <x:v>BOQ_NAME_ONLY</x:v>
      </x:c>
      <x:c r="T21" s="25" t="str">
        <x:v>자동 표 신호는 최종 A/B로 승격하지 않음</x:v>
      </x:c>
      <x:c r="U21" s="22" t="str">
        <x:v>2021-2025</x:v>
      </x:c>
    </x:row>
    <x:row r="22">
      <x:c r="A22" s="22" t="str">
        <x:v>2022-00009</x:v>
      </x:c>
      <x:c r="B22" s="22" t="str">
        <x:v>L2024-00031-1</x:v>
      </x:c>
      <x:c r="C22" s="22" t="str">
        <x:v>WORKS</x:v>
      </x:c>
      <x:c r="D22" s="25" t="str">
        <x:v>L2024-00031-1/2-3. Milestone Media Service 견적서.jpg</x:v>
      </x:c>
      <x:c r="E22" s="22" t="str">
        <x:v>.jpg</x:v>
      </x:c>
      <x:c r="F22" s="28" t="n">
        <x:v>763751</x:v>
      </x:c>
      <x:c r="G22" s="28" t="str">
        <x:v>6a85ce90b8375c45580eb59eb26dbcad083b14c97bd1130d231cf263433bb1a1</x:v>
      </x:c>
      <x:c r="H22" s="28" t="n">
        <x:v>1</x:v>
      </x:c>
      <x:c r="I22" s="28" t="n">
        <x:v>0</x:v>
      </x:c>
      <x:c r="J22" s="28" t="n">
        <x:v>0</x:v>
      </x:c>
      <x:c r="K22" s="28" t="n">
        <x:v>0</x:v>
      </x:c>
      <x:c r="L22" s="28" t="n">
        <x:v>0</x:v>
      </x:c>
      <x:c r="M22" s="28" t="n">
        <x:v>0</x:v>
      </x:c>
      <x:c r="N22" s="22" t="str"/>
      <x:c r="O22" s="22" t="str"/>
      <x:c r="P22" s="22" t="str"/>
      <x:c r="Q22" s="40" t="n">
        <x:v>0</x:v>
      </x:c>
      <x:c r="R22" s="25" t="str"/>
      <x:c r="S22" s="25" t="str">
        <x:v>BOQ_NAME_ONLY</x:v>
      </x:c>
      <x:c r="T22" s="25" t="str">
        <x:v>자동 표 신호는 최종 A/B로 승격하지 않음</x:v>
      </x:c>
      <x:c r="U22" s="22" t="str">
        <x:v>2021-2025</x:v>
      </x:c>
    </x:row>
    <x:row r="23">
      <x:c r="A23" s="22" t="str">
        <x:v>2018-56501</x:v>
      </x:c>
      <x:c r="B23" s="22" t="str">
        <x:v>L2025-00016-2</x:v>
      </x:c>
      <x:c r="C23" s="22" t="str">
        <x:v>WORKS</x:v>
      </x:c>
      <x:c r="D23" s="25" t="str">
        <x:v>L2025-00016-2/Section 4 - BOQ_empty.xlsx</x:v>
      </x:c>
      <x:c r="E23" s="22" t="str">
        <x:v>.xlsx</x:v>
      </x:c>
      <x:c r="F23" s="28" t="n">
        <x:v>271278</x:v>
      </x:c>
      <x:c r="G23" s="28" t="str">
        <x:v>c0e6885f380545741de565dd0d4725ab278059f68dc34050886b3f62845b3d61</x:v>
      </x:c>
      <x:c r="H23" s="28" t="n">
        <x:v>0</x:v>
      </x:c>
      <x:c r="I23" s="28" t="n">
        <x:v>0</x:v>
      </x:c>
      <x:c r="J23" s="28" t="n">
        <x:v>15</x:v>
      </x:c>
      <x:c r="K23" s="28" t="n">
        <x:v>73</x:v>
      </x:c>
      <x:c r="L23" s="28" t="n">
        <x:v>0</x:v>
      </x:c>
      <x:c r="M23" s="28" t="n">
        <x:v>0</x:v>
      </x:c>
      <x:c r="N23" s="22" t="str">
        <x:v>No7-1_toilet repair_Mech</x:v>
      </x:c>
      <x:c r="O23" s="22" t="str">
        <x:v>visible</x:v>
      </x:c>
      <x:c r="P23" s="22" t="n">
        <x:v>1</x:v>
      </x:c>
      <x:c r="Q23" s="40" t="n">
        <x:v>0</x:v>
      </x:c>
      <x:c r="R23" s="25" t="str"/>
      <x:c r="S23" s="25" t="str">
        <x:v>B?</x:v>
      </x:c>
      <x:c r="T23" s="25" t="str">
        <x:v>자동 표 신호는 최종 A/B로 승격하지 않음</x:v>
      </x:c>
      <x:c r="U23" s="22" t="str">
        <x:v>2021-2025</x:v>
      </x:c>
    </x:row>
    <x:row r="24">
      <x:c r="A24" s="22" t="str">
        <x:v>2022-00598</x:v>
      </x:c>
      <x:c r="B24" s="22" t="str">
        <x:v>L2025-00014-1</x:v>
      </x:c>
      <x:c r="C24" s="22" t="str">
        <x:v>DESIGN_OR_SUPERVISION_SERVICE</x:v>
      </x:c>
      <x:c r="D24" s="25" t="str">
        <x:v>L2025-00014-1/Section 4-Bill Of Quantity.xls</x:v>
      </x:c>
      <x:c r="E24" s="22" t="str">
        <x:v>.xls</x:v>
      </x:c>
      <x:c r="F24" s="28" t="n">
        <x:v>470528</x:v>
      </x:c>
      <x:c r="G24" s="28" t="str">
        <x:v>2cff67596bebad4a08278ca50ac225bb47c891871d45b359597a9700e6088977</x:v>
      </x:c>
      <x:c r="H24" s="28" t="n">
        <x:v>1</x:v>
      </x:c>
      <x:c r="I24" s="28" t="n">
        <x:v>0</x:v>
      </x:c>
      <x:c r="J24" s="28" t="n">
        <x:v>10</x:v>
      </x:c>
      <x:c r="K24" s="28" t="n">
        <x:v>143</x:v>
      </x:c>
      <x:c r="L24" s="28" t="n">
        <x:v>15</x:v>
      </x:c>
      <x:c r="M24" s="28" t="n">
        <x:v>0</x:v>
      </x:c>
      <x:c r="N24" s="22" t="str">
        <x:v>ELECTRICAL </x:v>
      </x:c>
      <x:c r="O24" s="22" t="str">
        <x:v>visible</x:v>
      </x:c>
      <x:c r="P24" s="22" t="n">
        <x:v>2</x:v>
      </x:c>
      <x:c r="Q24" s="40" t="n">
        <x:v>0.006993006993006993</x:v>
      </x:c>
      <x:c r="R24" s="25" t="str"/>
      <x:c r="S24" s="25" t="str">
        <x:v>B?</x:v>
      </x:c>
      <x:c r="T24" s="25" t="str">
        <x:v>자동 표 신호는 최종 A/B로 승격하지 않음</x:v>
      </x:c>
      <x:c r="U24" s="22" t="str">
        <x:v>2021-2025</x:v>
      </x:c>
    </x:row>
    <x:row r="25">
      <x:c r="A25" s="22" t="str">
        <x:v>2019-00027</x:v>
      </x:c>
      <x:c r="B25" s="22" t="str">
        <x:v>L2024-00074-1</x:v>
      </x:c>
      <x:c r="C25" s="22" t="str">
        <x:v>GOODS</x:v>
      </x:c>
      <x:c r="D25" s="25" t="str">
        <x:v>L2024-00074-1/4_1.Summary for the list of items_241104.xlsx</x:v>
      </x:c>
      <x:c r="E25" s="22" t="str">
        <x:v>.xlsx</x:v>
      </x:c>
      <x:c r="F25" s="28" t="n">
        <x:v>22475</x:v>
      </x:c>
      <x:c r="G25" s="28" t="str">
        <x:v>34fc1cf74a3ce87abaefea5c1dea97a7544baac05ce371d8bea12def0cea6ce8</x:v>
      </x:c>
      <x:c r="H25" s="28" t="n">
        <x:v>0</x:v>
      </x:c>
      <x:c r="I25" s="28" t="n">
        <x:v>0</x:v>
      </x:c>
      <x:c r="J25" s="28" t="n">
        <x:v>0</x:v>
      </x:c>
      <x:c r="K25" s="28" t="n">
        <x:v>0</x:v>
      </x:c>
      <x:c r="L25" s="28" t="n">
        <x:v>0</x:v>
      </x:c>
      <x:c r="M25" s="28" t="n">
        <x:v>0</x:v>
      </x:c>
      <x:c r="N25" s="22" t="str"/>
      <x:c r="O25" s="22" t="str"/>
      <x:c r="P25" s="22" t="str"/>
      <x:c r="Q25" s="40" t="n">
        <x:v>0</x:v>
      </x:c>
      <x:c r="R25" s="25" t="str"/>
      <x:c r="S25" s="25" t="str">
        <x:v>NONE</x:v>
      </x:c>
      <x:c r="T25" s="25" t="str">
        <x:v>자동 표 신호는 최종 A/B로 승격하지 않음</x:v>
      </x:c>
      <x:c r="U25" s="22" t="str">
        <x:v>2021-2025</x:v>
      </x:c>
    </x:row>
    <x:row r="26">
      <x:c r="A26" s="22" t="str">
        <x:v>2022-00076</x:v>
      </x:c>
      <x:c r="B26" s="22" t="str">
        <x:v>L2025-00051-1</x:v>
      </x:c>
      <x:c r="C26" s="22" t="str">
        <x:v>WORKS</x:v>
      </x:c>
      <x:c r="D26" s="25" t="str">
        <x:v>L2025-00051-1/Section 4 - Bill of Quantity.xlsx</x:v>
      </x:c>
      <x:c r="E26" s="22" t="str">
        <x:v>.xlsx</x:v>
      </x:c>
      <x:c r="F26" s="28" t="n">
        <x:v>791666</x:v>
      </x:c>
      <x:c r="G26" s="28" t="str">
        <x:v>fdbb5bdceee51a500d8090d7ac47ab3d31ad8bb593aa9d322b6cfb899c69ad43</x:v>
      </x:c>
      <x:c r="H26" s="28" t="n">
        <x:v>1</x:v>
      </x:c>
      <x:c r="I26" s="28" t="n">
        <x:v>0</x:v>
      </x:c>
      <x:c r="J26" s="28" t="n">
        <x:v>13</x:v>
      </x:c>
      <x:c r="K26" s="28" t="n">
        <x:v>204</x:v>
      </x:c>
      <x:c r="L26" s="28" t="n">
        <x:v>0</x:v>
      </x:c>
      <x:c r="M26" s="28" t="n">
        <x:v>0</x:v>
      </x:c>
      <x:c r="N26" s="22" t="str">
        <x:v>Mechanical Services</x:v>
      </x:c>
      <x:c r="O26" s="22" t="str">
        <x:v>visible</x:v>
      </x:c>
      <x:c r="P26" s="22" t="n">
        <x:v>1</x:v>
      </x:c>
      <x:c r="Q26" s="40" t="n">
        <x:v>0</x:v>
      </x:c>
      <x:c r="R26" s="25" t="str"/>
      <x:c r="S26" s="25" t="str">
        <x:v>B?</x:v>
      </x:c>
      <x:c r="T26" s="25" t="str">
        <x:v>자동 표 신호는 최종 A/B로 승격하지 않음</x:v>
      </x:c>
      <x:c r="U26" s="22" t="str">
        <x:v>2021-2025</x:v>
      </x:c>
    </x:row>
    <x:row r="27">
      <x:c r="A27" s="22" t="str">
        <x:v>2021-00104</x:v>
      </x:c>
      <x:c r="B27" s="22" t="str">
        <x:v>L2024-00068-2</x:v>
      </x:c>
      <x:c r="C27" s="22" t="str">
        <x:v>WORKS</x:v>
      </x:c>
      <x:c r="D27" s="25" t="str">
        <x:v>L2024-00068-2/Section 11 - Bid Document Checklist_IPNETP Construction.xlsx</x:v>
      </x:c>
      <x:c r="E27" s="22" t="str">
        <x:v>.xlsx</x:v>
      </x:c>
      <x:c r="F27" s="28" t="n">
        <x:v>67399</x:v>
      </x:c>
      <x:c r="G27" s="28" t="str">
        <x:v>98007c42b1a6ef27ec8ee468f3e8412663a8625de470e779806190ce01a39a5c</x:v>
      </x:c>
      <x:c r="H27" s="28" t="n">
        <x:v>0</x:v>
      </x:c>
      <x:c r="I27" s="28" t="n">
        <x:v>0</x:v>
      </x:c>
      <x:c r="J27" s="28" t="n">
        <x:v>0</x:v>
      </x:c>
      <x:c r="K27" s="28" t="n">
        <x:v>0</x:v>
      </x:c>
      <x:c r="L27" s="28" t="n">
        <x:v>0</x:v>
      </x:c>
      <x:c r="M27" s="28" t="n">
        <x:v>0</x:v>
      </x:c>
      <x:c r="N27" s="22" t="str"/>
      <x:c r="O27" s="22" t="str"/>
      <x:c r="P27" s="22" t="str"/>
      <x:c r="Q27" s="40" t="n">
        <x:v>0</x:v>
      </x:c>
      <x:c r="R27" s="25" t="str"/>
      <x:c r="S27" s="25" t="str">
        <x:v>NONE</x:v>
      </x:c>
      <x:c r="T27" s="25" t="str">
        <x:v>자동 표 신호는 최종 A/B로 승격하지 않음</x:v>
      </x:c>
      <x:c r="U27" s="22" t="str">
        <x:v>2021-2025</x:v>
      </x:c>
    </x:row>
    <x:row r="28">
      <x:c r="A28" s="22" t="str">
        <x:v>2023-00067</x:v>
      </x:c>
      <x:c r="B28" s="22" t="str">
        <x:v>L2024-00056-1</x:v>
      </x:c>
      <x:c r="C28" s="22" t="str">
        <x:v>DESIGN_OR_SUPERVISION_SERVICE</x:v>
      </x:c>
      <x:c r="D28" s="25" t="str">
        <x:v>L2024-00056-1/Section 10 - Bid Document Checklist.xlsx</x:v>
      </x:c>
      <x:c r="E28" s="22" t="str">
        <x:v>.xlsx</x:v>
      </x:c>
      <x:c r="F28" s="28" t="n">
        <x:v>24788</x:v>
      </x:c>
      <x:c r="G28" s="28" t="str">
        <x:v>f0af688635c89a5cd1a44ba189ab51e5e004363bea937c3b7285bbf06b265ef8</x:v>
      </x:c>
      <x:c r="H28" s="28" t="n">
        <x:v>0</x:v>
      </x:c>
      <x:c r="I28" s="28" t="n">
        <x:v>0</x:v>
      </x:c>
      <x:c r="J28" s="28" t="n">
        <x:v>0</x:v>
      </x:c>
      <x:c r="K28" s="28" t="n">
        <x:v>0</x:v>
      </x:c>
      <x:c r="L28" s="28" t="n">
        <x:v>0</x:v>
      </x:c>
      <x:c r="M28" s="28" t="n">
        <x:v>0</x:v>
      </x:c>
      <x:c r="N28" s="22" t="str"/>
      <x:c r="O28" s="22" t="str"/>
      <x:c r="P28" s="22" t="n">
        <x:v>0</x:v>
      </x:c>
      <x:c r="Q28" s="40" t="n">
        <x:v>0</x:v>
      </x:c>
      <x:c r="R28" s="25" t="str"/>
      <x:c r="S28" s="25" t="str">
        <x:v>NONE</x:v>
      </x:c>
      <x:c r="T28" s="25" t="str">
        <x:v>자동 표 신호는 최종 A/B로 승격하지 않음</x:v>
      </x:c>
      <x:c r="U28" s="22" t="str">
        <x:v>2021-2025</x:v>
      </x:c>
    </x:row>
    <x:row r="29">
      <x:c r="A29" s="22" t="str">
        <x:v>2014-00016</x:v>
      </x:c>
      <x:c r="B29" s="22" t="str">
        <x:v>L2024-00039-1</x:v>
      </x:c>
      <x:c r="C29" s="22" t="str">
        <x:v>WORKS</x:v>
      </x:c>
      <x:c r="D29" s="25" t="str">
        <x:v>L2024-00039-1/붙임2. 시공예산산출내역서.xlsx</x:v>
      </x:c>
      <x:c r="E29" s="22" t="str">
        <x:v>.xlsx</x:v>
      </x:c>
      <x:c r="F29" s="28" t="n">
        <x:v>183092</x:v>
      </x:c>
      <x:c r="G29" s="28" t="str">
        <x:v>5853b6495d862bc94184a645cf2d6563ecd978ed1fb68e2227dffc2c10bb2036</x:v>
      </x:c>
      <x:c r="H29" s="28" t="n">
        <x:v>1</x:v>
      </x:c>
      <x:c r="I29" s="28" t="n">
        <x:v>0</x:v>
      </x:c>
      <x:c r="J29" s="28" t="n">
        <x:v>1</x:v>
      </x:c>
      <x:c r="K29" s="28" t="n">
        <x:v>506</x:v>
      </x:c>
      <x:c r="L29" s="28" t="n">
        <x:v>0</x:v>
      </x:c>
      <x:c r="M29" s="28" t="n">
        <x:v>0</x:v>
      </x:c>
      <x:c r="N29" s="22" t="str">
        <x:v>Sheet1</x:v>
      </x:c>
      <x:c r="O29" s="22" t="str">
        <x:v>visible</x:v>
      </x:c>
      <x:c r="P29" s="22" t="n">
        <x:v>1</x:v>
      </x:c>
      <x:c r="Q29" s="40" t="n">
        <x:v>0</x:v>
      </x:c>
      <x:c r="R29" s="25" t="str"/>
      <x:c r="S29" s="25" t="str">
        <x:v>B?</x:v>
      </x:c>
      <x:c r="T29" s="25" t="str">
        <x:v>자동 표 신호는 최종 A/B로 승격하지 않음</x:v>
      </x:c>
      <x:c r="U29" s="22" t="str">
        <x:v>2021-2025</x:v>
      </x:c>
    </x:row>
    <x:row r="30">
      <x:c r="A30" s="22" t="str">
        <x:v>2018-56501</x:v>
      </x:c>
      <x:c r="B30" s="22" t="str">
        <x:v>L2025-00016-1</x:v>
      </x:c>
      <x:c r="C30" s="22" t="str">
        <x:v>WORKS</x:v>
      </x:c>
      <x:c r="D30" s="25" t="str">
        <x:v>L2025-00016-1/Section 4 - BOQ_empty.xlsx</x:v>
      </x:c>
      <x:c r="E30" s="22" t="str">
        <x:v>.xlsx</x:v>
      </x:c>
      <x:c r="F30" s="28" t="n">
        <x:v>271278</x:v>
      </x:c>
      <x:c r="G30" s="28" t="str">
        <x:v>c0e6885f380545741de565dd0d4725ab278059f68dc34050886b3f62845b3d61</x:v>
      </x:c>
      <x:c r="H30" s="28" t="n">
        <x:v>0</x:v>
      </x:c>
      <x:c r="I30" s="28" t="n">
        <x:v>0</x:v>
      </x:c>
      <x:c r="J30" s="28" t="n">
        <x:v>15</x:v>
      </x:c>
      <x:c r="K30" s="28" t="n">
        <x:v>73</x:v>
      </x:c>
      <x:c r="L30" s="28" t="n">
        <x:v>0</x:v>
      </x:c>
      <x:c r="M30" s="28" t="n">
        <x:v>0</x:v>
      </x:c>
      <x:c r="N30" s="22" t="str">
        <x:v>No7-1_toilet repair_Mech</x:v>
      </x:c>
      <x:c r="O30" s="22" t="str">
        <x:v>visible</x:v>
      </x:c>
      <x:c r="P30" s="22" t="n">
        <x:v>1</x:v>
      </x:c>
      <x:c r="Q30" s="40" t="n">
        <x:v>0</x:v>
      </x:c>
      <x:c r="R30" s="25" t="str"/>
      <x:c r="S30" s="25" t="str">
        <x:v>B?</x:v>
      </x:c>
      <x:c r="T30" s="25" t="str">
        <x:v>자동 표 신호는 최종 A/B로 승격하지 않음</x:v>
      </x:c>
      <x:c r="U30" s="22" t="str">
        <x:v>2021-2025</x:v>
      </x:c>
    </x:row>
    <x:row r="31">
      <x:c r="A31" s="22" t="str">
        <x:v>2022-00036</x:v>
      </x:c>
      <x:c r="B31" s="22" t="str">
        <x:v>L2023-00061-1</x:v>
      </x:c>
      <x:c r="C31" s="22" t="str">
        <x:v>DESIGN_OR_SUPERVISION_SERVICE</x:v>
      </x:c>
      <x:c r="D31" s="25" t="str">
        <x:v>L2023-00061-1/붙임 4. 입찰 공고 견적.zip</x:v>
      </x:c>
      <x:c r="E31" s="22" t="str">
        <x:v>.zip</x:v>
      </x:c>
      <x:c r="F31" s="28" t="n">
        <x:v>1867235</x:v>
      </x:c>
      <x:c r="G31" s="28" t="str">
        <x:v>324894032d083d14060198dd4b0642706febe04c89a0989514911663d5b0f6a0</x:v>
      </x:c>
      <x:c r="H31" s="28" t="n">
        <x:v>1</x:v>
      </x:c>
      <x:c r="I31" s="28" t="n">
        <x:v>0</x:v>
      </x:c>
      <x:c r="J31" s="28" t="n">
        <x:v>0</x:v>
      </x:c>
      <x:c r="K31" s="28" t="n">
        <x:v>0</x:v>
      </x:c>
      <x:c r="L31" s="28" t="n">
        <x:v>0</x:v>
      </x:c>
      <x:c r="M31" s="28" t="n">
        <x:v>0</x:v>
      </x:c>
      <x:c r="N31" s="22" t="str"/>
      <x:c r="O31" s="22" t="str"/>
      <x:c r="P31" s="22" t="str"/>
      <x:c r="Q31" s="40" t="n">
        <x:v>0</x:v>
      </x:c>
      <x:c r="R31" s="25" t="str"/>
      <x:c r="S31" s="25" t="str">
        <x:v>BOQ_NAME_ONLY</x:v>
      </x:c>
      <x:c r="T31" s="25" t="str">
        <x:v>자동 표 신호는 최종 A/B로 승격하지 않음</x:v>
      </x:c>
      <x:c r="U31" s="22" t="str">
        <x:v>2021-2025</x:v>
      </x:c>
    </x:row>
    <x:row r="32">
      <x:c r="A32" s="22" t="str">
        <x:v>2020-00053</x:v>
      </x:c>
      <x:c r="B32" s="22" t="str">
        <x:v>L2023-00004-1</x:v>
      </x:c>
      <x:c r="C32" s="22" t="str">
        <x:v>WORKS</x:v>
      </x:c>
      <x:c r="D32" s="25" t="str">
        <x:v>L2023-00004-1/붙임 4. 입찰 공고 견적서.zip</x:v>
      </x:c>
      <x:c r="E32" s="22" t="str">
        <x:v>.zip</x:v>
      </x:c>
      <x:c r="F32" s="28" t="n">
        <x:v>2089989</x:v>
      </x:c>
      <x:c r="G32" s="28" t="str">
        <x:v>afc7d79d1a5fecd0e8eae00669fc997d740b04699b751b289842b2bd71f8e81c</x:v>
      </x:c>
      <x:c r="H32" s="28" t="n">
        <x:v>1</x:v>
      </x:c>
      <x:c r="I32" s="28" t="n">
        <x:v>0</x:v>
      </x:c>
      <x:c r="J32" s="28" t="n">
        <x:v>0</x:v>
      </x:c>
      <x:c r="K32" s="28" t="n">
        <x:v>0</x:v>
      </x:c>
      <x:c r="L32" s="28" t="n">
        <x:v>0</x:v>
      </x:c>
      <x:c r="M32" s="28" t="n">
        <x:v>0</x:v>
      </x:c>
      <x:c r="N32" s="22" t="str"/>
      <x:c r="O32" s="22" t="str"/>
      <x:c r="P32" s="22" t="str"/>
      <x:c r="Q32" s="40" t="n">
        <x:v>0</x:v>
      </x:c>
      <x:c r="R32" s="25" t="str"/>
      <x:c r="S32" s="25" t="str">
        <x:v>BOQ_NAME_ONLY</x:v>
      </x:c>
      <x:c r="T32" s="25" t="str">
        <x:v>자동 표 신호는 최종 A/B로 승격하지 않음</x:v>
      </x:c>
      <x:c r="U32" s="22" t="str">
        <x:v>2021-2025</x:v>
      </x:c>
    </x:row>
    <x:row r="33">
      <x:c r="A33" s="22" t="str">
        <x:v>2021-00016</x:v>
      </x:c>
      <x:c r="B33" s="22" t="str">
        <x:v>L2025-00018-1</x:v>
      </x:c>
      <x:c r="C33" s="22" t="str">
        <x:v>WORKS</x:v>
      </x:c>
      <x:c r="D33" s="25" t="str">
        <x:v>L2025-00018-1/3. 집행한도금액 예산(안).xlsx</x:v>
      </x:c>
      <x:c r="E33" s="22" t="str">
        <x:v>.xlsx</x:v>
      </x:c>
      <x:c r="F33" s="28" t="n">
        <x:v>113435</x:v>
      </x:c>
      <x:c r="G33" s="28" t="str">
        <x:v>00c7377ff4ade4d870b1d30cb6570d66c65b76a73618f2240cf857cbf59f13de</x:v>
      </x:c>
      <x:c r="H33" s="28" t="n">
        <x:v>0</x:v>
      </x:c>
      <x:c r="I33" s="28" t="n">
        <x:v>0</x:v>
      </x:c>
      <x:c r="J33" s="28" t="n">
        <x:v>6</x:v>
      </x:c>
      <x:c r="K33" s="28" t="n">
        <x:v>208</x:v>
      </x:c>
      <x:c r="L33" s="28" t="n">
        <x:v>208</x:v>
      </x:c>
      <x:c r="M33" s="28" t="n">
        <x:v>1</x:v>
      </x:c>
      <x:c r="N33" s="22" t="str">
        <x:v>MAIN BUILDING</x:v>
      </x:c>
      <x:c r="O33" s="22" t="str">
        <x:v>visible</x:v>
      </x:c>
      <x:c r="P33" s="22" t="n">
        <x:v>1</x:v>
      </x:c>
      <x:c r="Q33" s="40" t="n">
        <x:v>1</x:v>
      </x:c>
      <x:c r="R33" s="25" t="str"/>
      <x:c r="S33" s="25" t="str">
        <x:v>A?</x:v>
      </x:c>
      <x:c r="T33" s="25" t="str">
        <x:v>자동 표 신호는 최종 A/B로 승격하지 않음</x:v>
      </x:c>
      <x:c r="U33" s="22" t="str">
        <x:v>2021-2025</x:v>
      </x:c>
    </x:row>
    <x:row r="34">
      <x:c r="A34" s="22" t="str">
        <x:v>2013-00064</x:v>
      </x:c>
      <x:c r="B34" s="22" t="str">
        <x:v>L2025-00012-1</x:v>
      </x:c>
      <x:c r="C34" s="22" t="str">
        <x:v>WORKS</x:v>
      </x:c>
      <x:c r="D34" s="25" t="str">
        <x:v>L2025-00012-1/(붙임2) 입찰 관련 부속서류/Q-Lab_Chacala_Bidding Doc/Section 4. Q-Lab_Chacala_BOQ_blanked/G LAND SCAPE.xls</x:v>
      </x:c>
      <x:c r="E34" s="22" t="str">
        <x:v>.xls</x:v>
      </x:c>
      <x:c r="F34" s="28" t="n">
        <x:v>1558528</x:v>
      </x:c>
      <x:c r="G34" s="28" t="str">
        <x:v>ece87bec3c596a52b49808e23eaf8b7452691f478f3458db783f7a5925cc41dc</x:v>
      </x:c>
      <x:c r="H34" s="28" t="n">
        <x:v>0</x:v>
      </x:c>
      <x:c r="I34" s="28" t="n">
        <x:v>1</x:v>
      </x:c>
      <x:c r="J34" s="28" t="n">
        <x:v>0</x:v>
      </x:c>
      <x:c r="K34" s="28" t="n">
        <x:v>0</x:v>
      </x:c>
      <x:c r="L34" s="28" t="n">
        <x:v>0</x:v>
      </x:c>
      <x:c r="M34" s="28" t="n">
        <x:v>0</x:v>
      </x:c>
      <x:c r="N34" s="22" t="str"/>
      <x:c r="O34" s="22" t="str"/>
      <x:c r="P34" s="22" t="n">
        <x:v>0</x:v>
      </x:c>
      <x:c r="Q34" s="40" t="n">
        <x:v>0</x:v>
      </x:c>
      <x:c r="R34" s="25" t="str"/>
      <x:c r="S34" s="25" t="str">
        <x:v>NONE</x:v>
      </x:c>
      <x:c r="T34" s="25" t="str">
        <x:v>자동 표 신호는 최종 A/B로 승격하지 않음</x:v>
      </x:c>
      <x:c r="U34" s="22" t="str">
        <x:v>2021-2025</x:v>
      </x:c>
    </x:row>
    <x:row r="35">
      <x:c r="A35" s="22" t="str">
        <x:v>2013-00064</x:v>
      </x:c>
      <x:c r="B35" s="22" t="str">
        <x:v>L2025-00012-1</x:v>
      </x:c>
      <x:c r="C35" s="22" t="str">
        <x:v>WORKS</x:v>
      </x:c>
      <x:c r="D35" s="25" t="str">
        <x:v>L2025-00012-1/(붙임2) 입찰 관련 부속서류/Q-Lab_Chacala_Bidding Doc/Section 4. Q-Lab_Chacala_BOQ_blanked/A3 EM STRUCTURE.xls</x:v>
      </x:c>
      <x:c r="E35" s="22" t="str">
        <x:v>.xls</x:v>
      </x:c>
      <x:c r="F35" s="28" t="n">
        <x:v>1427456</x:v>
      </x:c>
      <x:c r="G35" s="28" t="str">
        <x:v>be4eb3ffac3c73f6eaf90474e2eddf0a2ffa149db63a257d36852c3adf6f913f</x:v>
      </x:c>
      <x:c r="H35" s="28" t="n">
        <x:v>0</x:v>
      </x:c>
      <x:c r="I35" s="28" t="n">
        <x:v>1</x:v>
      </x:c>
      <x:c r="J35" s="28" t="n">
        <x:v>0</x:v>
      </x:c>
      <x:c r="K35" s="28" t="n">
        <x:v>0</x:v>
      </x:c>
      <x:c r="L35" s="28" t="n">
        <x:v>0</x:v>
      </x:c>
      <x:c r="M35" s="28" t="n">
        <x:v>0</x:v>
      </x:c>
      <x:c r="N35" s="22" t="str"/>
      <x:c r="O35" s="22" t="str"/>
      <x:c r="P35" s="22" t="n">
        <x:v>0</x:v>
      </x:c>
      <x:c r="Q35" s="40" t="n">
        <x:v>0</x:v>
      </x:c>
      <x:c r="R35" s="25" t="str"/>
      <x:c r="S35" s="25" t="str">
        <x:v>NONE</x:v>
      </x:c>
      <x:c r="T35" s="25" t="str">
        <x:v>자동 표 신호는 최종 A/B로 승격하지 않음</x:v>
      </x:c>
      <x:c r="U35" s="22" t="str">
        <x:v>2021-2025</x:v>
      </x:c>
    </x:row>
    <x:row r="36">
      <x:c r="A36" s="22" t="str">
        <x:v>2013-00064</x:v>
      </x:c>
      <x:c r="B36" s="22" t="str">
        <x:v>L2025-00012-1</x:v>
      </x:c>
      <x:c r="C36" s="22" t="str">
        <x:v>WORKS</x:v>
      </x:c>
      <x:c r="D36" s="25" t="str">
        <x:v>L2025-00012-1/(붙임2) 입찰 관련 부속서류/Q-Lab_Chacala_Bidding Doc/Section 4. Q-Lab_Chacala_BOQ_blanked/F HYDRO SANITARY SYSTEM.xlsx</x:v>
      </x:c>
      <x:c r="E36" s="22" t="str">
        <x:v>.xlsx</x:v>
      </x:c>
      <x:c r="F36" s="28" t="n">
        <x:v>2229362</x:v>
      </x:c>
      <x:c r="G36" s="28" t="str">
        <x:v>6b11639d6fabaaa1823187ee5ba99fb4622ca894447107d8a88e8e14f09fefc9</x:v>
      </x:c>
      <x:c r="H36" s="28" t="n">
        <x:v>0</x:v>
      </x:c>
      <x:c r="I36" s="28" t="n">
        <x:v>1</x:v>
      </x:c>
      <x:c r="J36" s="28" t="n">
        <x:v>2</x:v>
      </x:c>
      <x:c r="K36" s="28" t="n">
        <x:v>191</x:v>
      </x:c>
      <x:c r="L36" s="28" t="n">
        <x:v>0</x:v>
      </x:c>
      <x:c r="M36" s="28" t="n">
        <x:v>0</x:v>
      </x:c>
      <x:c r="N36" s="22" t="str">
        <x:v>Computos Métricos Quinoa</x:v>
      </x:c>
      <x:c r="O36" s="22" t="str">
        <x:v>visible</x:v>
      </x:c>
      <x:c r="P36" s="22" t="n">
        <x:v>1</x:v>
      </x:c>
      <x:c r="Q36" s="40" t="n">
        <x:v>0</x:v>
      </x:c>
      <x:c r="R36" s="25" t="str"/>
      <x:c r="S36" s="25" t="str">
        <x:v>B?</x:v>
      </x:c>
      <x:c r="T36" s="25" t="str">
        <x:v>자동 표 신호는 최종 A/B로 승격하지 않음</x:v>
      </x:c>
      <x:c r="U36" s="22" t="str">
        <x:v>2021-2025</x:v>
      </x:c>
    </x:row>
    <x:row r="37">
      <x:c r="A37" s="22" t="str">
        <x:v>2013-00064</x:v>
      </x:c>
      <x:c r="B37" s="22" t="str">
        <x:v>L2025-00012-1</x:v>
      </x:c>
      <x:c r="C37" s="22" t="str">
        <x:v>WORKS</x:v>
      </x:c>
      <x:c r="D37" s="25" t="str">
        <x:v>L2025-00012-1/(붙임2) 입찰 관련 부속서류/Q-Lab_Chacala_Bidding Doc/Section 4. Q-Lab_Chacala_BOQ_blanked/A1 ARCHITECTURE CHACALA.xlsx</x:v>
      </x:c>
      <x:c r="E37" s="22" t="str">
        <x:v>.xlsx</x:v>
      </x:c>
      <x:c r="F37" s="28" t="n">
        <x:v>779128</x:v>
      </x:c>
      <x:c r="G37" s="28" t="str">
        <x:v>73623a71fe2a23883e5a998378b9fe9efc5451758aa4e066764c5555dda545a2</x:v>
      </x:c>
      <x:c r="H37" s="28" t="n">
        <x:v>0</x:v>
      </x:c>
      <x:c r="I37" s="28" t="n">
        <x:v>1</x:v>
      </x:c>
      <x:c r="J37" s="28" t="n">
        <x:v>1</x:v>
      </x:c>
      <x:c r="K37" s="28" t="n">
        <x:v>28</x:v>
      </x:c>
      <x:c r="L37" s="28" t="n">
        <x:v>0</x:v>
      </x:c>
      <x:c r="M37" s="28" t="n">
        <x:v>0</x:v>
      </x:c>
      <x:c r="N37" s="22" t="str">
        <x:v>PPTO-8 CHACALA</x:v>
      </x:c>
      <x:c r="O37" s="22" t="str">
        <x:v>visible</x:v>
      </x:c>
      <x:c r="P37" s="22" t="n">
        <x:v>13</x:v>
      </x:c>
      <x:c r="Q37" s="40" t="n">
        <x:v>0</x:v>
      </x:c>
      <x:c r="R37" s="25" t="str"/>
      <x:c r="S37" s="25" t="str">
        <x:v>B?</x:v>
      </x:c>
      <x:c r="T37" s="25" t="str">
        <x:v>자동 표 신호는 최종 A/B로 승격하지 않음</x:v>
      </x:c>
      <x:c r="U37" s="22" t="str">
        <x:v>2021-2025</x:v>
      </x:c>
    </x:row>
    <x:row r="38">
      <x:c r="A38" s="22" t="str">
        <x:v>2013-00064</x:v>
      </x:c>
      <x:c r="B38" s="22" t="str">
        <x:v>L2025-00012-1</x:v>
      </x:c>
      <x:c r="C38" s="22" t="str">
        <x:v>WORKS</x:v>
      </x:c>
      <x:c r="D38" s="25" t="str">
        <x:v>L2025-00012-1/(붙임2) 입찰 관련 부속서류/Q-Lab_Chacala_Bidding Doc/Section 4. Q-Lab_Chacala_BOQ_blanked/B ELECTRIC SYSTEM.xlsx</x:v>
      </x:c>
      <x:c r="E38" s="22" t="str">
        <x:v>.xlsx</x:v>
      </x:c>
      <x:c r="F38" s="28" t="n">
        <x:v>109607</x:v>
      </x:c>
      <x:c r="G38" s="28" t="str">
        <x:v>bc94e7a90dea8f9eecbdcfcf1792adf3d6d226fcfbf55c2e1a88c9df8fb25de3</x:v>
      </x:c>
      <x:c r="H38" s="28" t="n">
        <x:v>0</x:v>
      </x:c>
      <x:c r="I38" s="28" t="n">
        <x:v>1</x:v>
      </x:c>
      <x:c r="J38" s="28" t="n">
        <x:v>6</x:v>
      </x:c>
      <x:c r="K38" s="28" t="n">
        <x:v>18</x:v>
      </x:c>
      <x:c r="L38" s="28" t="n">
        <x:v>0</x:v>
      </x:c>
      <x:c r="M38" s="28" t="n">
        <x:v>0</x:v>
      </x:c>
      <x:c r="N38" s="22" t="str">
        <x:v>TDG-H</x:v>
      </x:c>
      <x:c r="O38" s="22" t="str">
        <x:v>visible</x:v>
      </x:c>
      <x:c r="P38" s="22" t="n">
        <x:v>16</x:v>
      </x:c>
      <x:c r="Q38" s="40" t="n">
        <x:v>0</x:v>
      </x:c>
      <x:c r="R38" s="25" t="str"/>
      <x:c r="S38" s="25" t="str">
        <x:v>B?</x:v>
      </x:c>
      <x:c r="T38" s="25" t="str">
        <x:v>자동 표 신호는 최종 A/B로 승격하지 않음</x:v>
      </x:c>
      <x:c r="U38" s="22" t="str">
        <x:v>2021-2025</x:v>
      </x:c>
    </x:row>
    <x:row r="39">
      <x:c r="A39" s="22" t="str">
        <x:v>2013-00064</x:v>
      </x:c>
      <x:c r="B39" s="22" t="str">
        <x:v>L2025-00012-1</x:v>
      </x:c>
      <x:c r="C39" s="22" t="str">
        <x:v>WORKS</x:v>
      </x:c>
      <x:c r="D39" s="25" t="str">
        <x:v>L2025-00012-1/(붙임2) 입찰 관련 부속서류/Q-Lab_Chacala_Bidding Doc/Section 4. Q-Lab_Chacala_BOQ_blanked/A2 HA STRUCTURE.xls</x:v>
      </x:c>
      <x:c r="E39" s="22" t="str">
        <x:v>.xls</x:v>
      </x:c>
      <x:c r="F39" s="28" t="n">
        <x:v>1555456</x:v>
      </x:c>
      <x:c r="G39" s="28" t="str">
        <x:v>335205a7ceb9965c6a3103b7052311eb56ae166668d1280f0de1e9c5d3686807</x:v>
      </x:c>
      <x:c r="H39" s="28" t="n">
        <x:v>0</x:v>
      </x:c>
      <x:c r="I39" s="28" t="n">
        <x:v>1</x:v>
      </x:c>
      <x:c r="J39" s="28" t="n">
        <x:v>0</x:v>
      </x:c>
      <x:c r="K39" s="28" t="n">
        <x:v>0</x:v>
      </x:c>
      <x:c r="L39" s="28" t="n">
        <x:v>0</x:v>
      </x:c>
      <x:c r="M39" s="28" t="n">
        <x:v>0</x:v>
      </x:c>
      <x:c r="N39" s="22" t="str"/>
      <x:c r="O39" s="22" t="str"/>
      <x:c r="P39" s="22" t="n">
        <x:v>0</x:v>
      </x:c>
      <x:c r="Q39" s="40" t="n">
        <x:v>0</x:v>
      </x:c>
      <x:c r="R39" s="25" t="str"/>
      <x:c r="S39" s="25" t="str">
        <x:v>NONE</x:v>
      </x:c>
      <x:c r="T39" s="25" t="str">
        <x:v>자동 표 신호는 최종 A/B로 승격하지 않음</x:v>
      </x:c>
      <x:c r="U39" s="22" t="str">
        <x:v>2021-2025</x:v>
      </x:c>
    </x:row>
    <x:row r="40">
      <x:c r="A40" s="22" t="str">
        <x:v>2022-00027</x:v>
      </x:c>
      <x:c r="B40" s="22" t="str">
        <x:v>L2025-00073-1</x:v>
      </x:c>
      <x:c r="C40" s="22" t="str">
        <x:v>WORKS</x:v>
      </x:c>
      <x:c r="D40" s="25" t="str">
        <x:v>L2025-00073-1/(붙임2) 입찰서류(영문)_도면, 시방서, 프로젝트리포트 제외/Section 4_BLANK BOQ.xlsx</x:v>
      </x:c>
      <x:c r="E40" s="22" t="str">
        <x:v>.xlsx</x:v>
      </x:c>
      <x:c r="F40" s="28" t="n">
        <x:v>875472</x:v>
      </x:c>
      <x:c r="G40" s="28" t="str">
        <x:v>95c1a9e61d364b09d02099a7f668a3a757b3cb9e9601e0a03ad252ce300ddae9</x:v>
      </x:c>
      <x:c r="H40" s="28" t="n">
        <x:v>1</x:v>
      </x:c>
      <x:c r="I40" s="28" t="n">
        <x:v>1</x:v>
      </x:c>
      <x:c r="J40" s="28" t="n">
        <x:v>16</x:v>
      </x:c>
      <x:c r="K40" s="28" t="n">
        <x:v>452</x:v>
      </x:c>
      <x:c r="L40" s="28" t="n">
        <x:v>0</x:v>
      </x:c>
      <x:c r="M40" s="28" t="n">
        <x:v>0</x:v>
      </x:c>
      <x:c r="N40" s="22" t="str">
        <x:v>Bill 4.3</x:v>
      </x:c>
      <x:c r="O40" s="22" t="str">
        <x:v>visible</x:v>
      </x:c>
      <x:c r="P40" s="22" t="n">
        <x:v>6</x:v>
      </x:c>
      <x:c r="Q40" s="40" t="n">
        <x:v>0</x:v>
      </x:c>
      <x:c r="R40" s="25" t="str"/>
      <x:c r="S40" s="25" t="str">
        <x:v>B?</x:v>
      </x:c>
      <x:c r="T40" s="25" t="str">
        <x:v>자동 표 신호는 최종 A/B로 승격하지 않음</x:v>
      </x:c>
      <x:c r="U40" s="22" t="str">
        <x:v>2021-2025</x:v>
      </x:c>
    </x:row>
    <x:row r="41">
      <x:c r="A41" s="22" t="str">
        <x:v>2020-00053</x:v>
      </x:c>
      <x:c r="B41" s="22" t="str">
        <x:v>L2023-00004-1</x:v>
      </x:c>
      <x:c r="C41" s="22" t="str">
        <x:v>WORKS</x:v>
      </x:c>
      <x:c r="D41" s="25" t="str">
        <x:v>L2023-00004-1/붙임 4. 입찰 공고 견적서/3. Reporter ░▀└√╝¡.pdf</x:v>
      </x:c>
      <x:c r="E41" s="22" t="str">
        <x:v>.pdf</x:v>
      </x:c>
      <x:c r="F41" s="28" t="n">
        <x:v>1385279</x:v>
      </x:c>
      <x:c r="G41" s="28" t="str">
        <x:v>c326d4442b6da4a9c7f6a7851935b19f15e7d5d4e3e4523e5d1f099fb221eacc</x:v>
      </x:c>
      <x:c r="H41" s="28" t="n">
        <x:v>1</x:v>
      </x:c>
      <x:c r="I41" s="28" t="n">
        <x:v>0</x:v>
      </x:c>
      <x:c r="J41" s="28" t="n">
        <x:v>0</x:v>
      </x:c>
      <x:c r="K41" s="28" t="n">
        <x:v>0</x:v>
      </x:c>
      <x:c r="L41" s="28" t="n">
        <x:v>0</x:v>
      </x:c>
      <x:c r="M41" s="28" t="n">
        <x:v>0</x:v>
      </x:c>
      <x:c r="N41" s="22" t="str"/>
      <x:c r="O41" s="22" t="str"/>
      <x:c r="P41" s="22" t="str"/>
      <x:c r="Q41" s="40" t="n">
        <x:v>0</x:v>
      </x:c>
      <x:c r="R41" s="25" t="str"/>
      <x:c r="S41" s="25" t="str">
        <x:v>BOQ_NAME_ONLY</x:v>
      </x:c>
      <x:c r="T41" s="25" t="str">
        <x:v>자동 표 신호는 최종 A/B로 승격하지 않음</x:v>
      </x:c>
      <x:c r="U41" s="22" t="str">
        <x:v>2021-2025</x:v>
      </x:c>
    </x:row>
    <x:row r="42">
      <x:c r="A42" s="22" t="str">
        <x:v>2020-00053</x:v>
      </x:c>
      <x:c r="B42" s="22" t="str">
        <x:v>L2023-00004-1</x:v>
      </x:c>
      <x:c r="C42" s="22" t="str">
        <x:v>WORKS</x:v>
      </x:c>
      <x:c r="D42" s="25" t="str">
        <x:v>L2023-00004-1/붙임 4. 입찰 공고 견적서/1. 2merkato.com ░▀└√╝¡.pdf</x:v>
      </x:c>
      <x:c r="E42" s="22" t="str">
        <x:v>.pdf</x:v>
      </x:c>
      <x:c r="F42" s="28" t="n">
        <x:v>543672</x:v>
      </x:c>
      <x:c r="G42" s="28" t="str">
        <x:v>339b21c988c315e02d3cd7f9b2ebe2322de72a9425c9cbc5517fdbf1c33522b4</x:v>
      </x:c>
      <x:c r="H42" s="28" t="n">
        <x:v>1</x:v>
      </x:c>
      <x:c r="I42" s="28" t="n">
        <x:v>0</x:v>
      </x:c>
      <x:c r="J42" s="28" t="n">
        <x:v>0</x:v>
      </x:c>
      <x:c r="K42" s="28" t="n">
        <x:v>0</x:v>
      </x:c>
      <x:c r="L42" s="28" t="n">
        <x:v>0</x:v>
      </x:c>
      <x:c r="M42" s="28" t="n">
        <x:v>0</x:v>
      </x:c>
      <x:c r="N42" s="22" t="str"/>
      <x:c r="O42" s="22" t="str"/>
      <x:c r="P42" s="22" t="str"/>
      <x:c r="Q42" s="40" t="n">
        <x:v>0</x:v>
      </x:c>
      <x:c r="R42" s="25" t="str"/>
      <x:c r="S42" s="25" t="str">
        <x:v>BOQ_NAME_ONLY</x:v>
      </x:c>
      <x:c r="T42" s="25" t="str">
        <x:v>자동 표 신호는 최종 A/B로 승격하지 않음</x:v>
      </x:c>
      <x:c r="U42" s="22" t="str">
        <x:v>2021-2025</x:v>
      </x:c>
    </x:row>
    <x:row r="43">
      <x:c r="A43" s="22" t="str">
        <x:v>2020-00053</x:v>
      </x:c>
      <x:c r="B43" s="22" t="str">
        <x:v>L2023-00004-1</x:v>
      </x:c>
      <x:c r="C43" s="22" t="str">
        <x:v>WORKS</x:v>
      </x:c>
      <x:c r="D43" s="25" t="str">
        <x:v>L2023-00004-1/붙임 4. 입찰 공고 견적서/╚»└▓ ▒Γ┴╪ 2023.02.01..xls</x:v>
      </x:c>
      <x:c r="E43" s="22" t="str">
        <x:v>.xls</x:v>
      </x:c>
      <x:c r="F43" s="28" t="n">
        <x:v>39936</x:v>
      </x:c>
      <x:c r="G43" s="28" t="str">
        <x:v>b75ef78bdcb726e21fde45f79e435912a863fc3e46b3e152939da73683d919ea</x:v>
      </x:c>
      <x:c r="H43" s="28" t="n">
        <x:v>1</x:v>
      </x:c>
      <x:c r="I43" s="28" t="n">
        <x:v>0</x:v>
      </x:c>
      <x:c r="J43" s="28" t="n">
        <x:v>0</x:v>
      </x:c>
      <x:c r="K43" s="28" t="n">
        <x:v>0</x:v>
      </x:c>
      <x:c r="L43" s="28" t="n">
        <x:v>0</x:v>
      </x:c>
      <x:c r="M43" s="28" t="n">
        <x:v>0</x:v>
      </x:c>
      <x:c r="N43" s="22" t="str"/>
      <x:c r="O43" s="22" t="str"/>
      <x:c r="P43" s="22" t="str"/>
      <x:c r="Q43" s="40" t="n">
        <x:v>0</x:v>
      </x:c>
      <x:c r="R43" s="25" t="str"/>
      <x:c r="S43" s="25" t="str">
        <x:v>BOQ_NAME_ONLY</x:v>
      </x:c>
      <x:c r="T43" s="25" t="str">
        <x:v>자동 표 신호는 최종 A/B로 승격하지 않음</x:v>
      </x:c>
      <x:c r="U43" s="22" t="str">
        <x:v>2021-2025</x:v>
      </x:c>
    </x:row>
    <x:row r="44">
      <x:c r="A44" s="22" t="str">
        <x:v>2020-00053</x:v>
      </x:c>
      <x:c r="B44" s="22" t="str">
        <x:v>L2023-00004-1</x:v>
      </x:c>
      <x:c r="C44" s="22" t="str">
        <x:v>WORKS</x:v>
      </x:c>
      <x:c r="D44" s="25" t="str">
        <x:v>L2023-00004-1/붙임 4. 입찰 공고 견적서/2. Ethiopian Herald.pdf</x:v>
      </x:c>
      <x:c r="E44" s="22" t="str">
        <x:v>.pdf</x:v>
      </x:c>
      <x:c r="F44" s="28" t="n">
        <x:v>243264</x:v>
      </x:c>
      <x:c r="G44" s="28" t="str">
        <x:v>1346d6412b936d07f8fce551add762252703494b97816a7b5dc3f14d53c8dba9</x:v>
      </x:c>
      <x:c r="H44" s="28" t="n">
        <x:v>1</x:v>
      </x:c>
      <x:c r="I44" s="28" t="n">
        <x:v>0</x:v>
      </x:c>
      <x:c r="J44" s="28" t="n">
        <x:v>0</x:v>
      </x:c>
      <x:c r="K44" s="28" t="n">
        <x:v>0</x:v>
      </x:c>
      <x:c r="L44" s="28" t="n">
        <x:v>0</x:v>
      </x:c>
      <x:c r="M44" s="28" t="n">
        <x:v>0</x:v>
      </x:c>
      <x:c r="N44" s="22" t="str"/>
      <x:c r="O44" s="22" t="str"/>
      <x:c r="P44" s="22" t="str"/>
      <x:c r="Q44" s="40" t="n">
        <x:v>0</x:v>
      </x:c>
      <x:c r="R44" s="25" t="str"/>
      <x:c r="S44" s="25" t="str">
        <x:v>BOQ_NAME_ONLY</x:v>
      </x:c>
      <x:c r="T44" s="25" t="str">
        <x:v>자동 표 신호는 최종 A/B로 승격하지 않음</x:v>
      </x:c>
      <x:c r="U44" s="22" t="str">
        <x:v>2021-2025</x:v>
      </x:c>
    </x:row>
    <x:row r="45">
      <x:c r="A45" s="22" t="str">
        <x:v>2020-00053</x:v>
      </x:c>
      <x:c r="B45" s="22" t="str">
        <x:v>L2023-00004-1</x:v>
      </x:c>
      <x:c r="C45" s="22" t="str">
        <x:v>WORKS</x:v>
      </x:c>
      <x:c r="D45" s="25" t="str">
        <x:v>L2023-00004-1/붙임 2. 입찰 서류/02_Part2(░·╛≈┴÷╜├╝¡)/Section_8_BOQ_unpriced/Section_08_BOQ_unpriced.docx</x:v>
      </x:c>
      <x:c r="E45" s="22" t="str">
        <x:v>.docx</x:v>
      </x:c>
      <x:c r="F45" s="28" t="n">
        <x:v>22122</x:v>
      </x:c>
      <x:c r="G45" s="28" t="str">
        <x:v>5afc968d5d913464aee1298ddb9d2dff4b27466b7dc41ddff1c88c6b3d93bc7b</x:v>
      </x:c>
      <x:c r="H45" s="28" t="n">
        <x:v>1</x:v>
      </x:c>
      <x:c r="I45" s="28" t="n">
        <x:v>1</x:v>
      </x:c>
      <x:c r="J45" s="28" t="n">
        <x:v>0</x:v>
      </x:c>
      <x:c r="K45" s="28" t="n">
        <x:v>0</x:v>
      </x:c>
      <x:c r="L45" s="28" t="n">
        <x:v>0</x:v>
      </x:c>
      <x:c r="M45" s="28" t="n">
        <x:v>0</x:v>
      </x:c>
      <x:c r="N45" s="22" t="str"/>
      <x:c r="O45" s="22" t="str"/>
      <x:c r="P45" s="22" t="str"/>
      <x:c r="Q45" s="40" t="n">
        <x:v>0</x:v>
      </x:c>
      <x:c r="R45" s="25" t="str"/>
      <x:c r="S45" s="25" t="str">
        <x:v>BOQ_NAME_ONLY</x:v>
      </x:c>
      <x:c r="T45" s="25" t="str">
        <x:v>자동 표 신호는 최종 A/B로 승격하지 않음</x:v>
      </x:c>
      <x:c r="U45" s="22" t="str">
        <x:v>2021-2025</x:v>
      </x:c>
    </x:row>
    <x:row r="46">
      <x:c r="A46" s="22" t="str">
        <x:v>2020-00053</x:v>
      </x:c>
      <x:c r="B46" s="22" t="str">
        <x:v>L2023-00004-1</x:v>
      </x:c>
      <x:c r="C46" s="22" t="str">
        <x:v>WORKS</x:v>
      </x:c>
      <x:c r="D46" s="25" t="str">
        <x:v>L2023-00004-1/붙임 2. 입찰 서류/02_Part2(░·╛≈┴÷╜├╝¡)/Section_8_BOQ_unpriced/ICT PROJECT ESTIMATION_empty.xlsx</x:v>
      </x:c>
      <x:c r="E46" s="22" t="str">
        <x:v>.xlsx</x:v>
      </x:c>
      <x:c r="F46" s="28" t="n">
        <x:v>302269</x:v>
      </x:c>
      <x:c r="G46" s="28" t="str">
        <x:v>7f217d93428791e3672733e5071aef7a85463f0b816f910282eba52219d3ff0e</x:v>
      </x:c>
      <x:c r="H46" s="28" t="n">
        <x:v>1</x:v>
      </x:c>
      <x:c r="I46" s="28" t="n">
        <x:v>1</x:v>
      </x:c>
      <x:c r="J46" s="28" t="n">
        <x:v>6</x:v>
      </x:c>
      <x:c r="K46" s="28" t="n">
        <x:v>72</x:v>
      </x:c>
      <x:c r="L46" s="28" t="n">
        <x:v>0</x:v>
      </x:c>
      <x:c r="M46" s="28" t="n">
        <x:v>0</x:v>
      </x:c>
      <x:c r="N46" s="22" t="str">
        <x:v>04_ELEC. SAFETY &amp; SE</x:v>
      </x:c>
      <x:c r="O46" s="22" t="str">
        <x:v>visible</x:v>
      </x:c>
      <x:c r="P46" s="22" t="n">
        <x:v>2</x:v>
      </x:c>
      <x:c r="Q46" s="40" t="n">
        <x:v>0</x:v>
      </x:c>
      <x:c r="R46" s="25" t="str"/>
      <x:c r="S46" s="25" t="str">
        <x:v>B?</x:v>
      </x:c>
      <x:c r="T46" s="25" t="str">
        <x:v>자동 표 신호는 최종 A/B로 승격하지 않음</x:v>
      </x:c>
      <x:c r="U46" s="22" t="str">
        <x:v>2021-2025</x:v>
      </x:c>
    </x:row>
    <x:row r="47">
      <x:c r="A47" s="22" t="str">
        <x:v>2020-00053</x:v>
      </x:c>
      <x:c r="B47" s="22" t="str">
        <x:v>L2023-00004-1</x:v>
      </x:c>
      <x:c r="C47" s="22" t="str">
        <x:v>WORKS</x:v>
      </x:c>
      <x:c r="D47" s="25" t="str">
        <x:v>L2023-00004-1/붙임 2. 입찰 서류/03_Part3(░Φ╛α╝¡ ╣╫ ▒Γ┼╕ └┌╖ß)/Section_12_Other Form/Reference3_Design Review.xlsx</x:v>
      </x:c>
      <x:c r="E47" s="22" t="str">
        <x:v>.xlsx</x:v>
      </x:c>
      <x:c r="F47" s="28" t="n">
        <x:v>486902</x:v>
      </x:c>
      <x:c r="G47" s="28" t="str">
        <x:v>08c77bec6c1ff43fbe8ea7a4beb3c8518b1ebab658d776bd6a8da3a60ba62715</x:v>
      </x:c>
      <x:c r="H47" s="28" t="n">
        <x:v>0</x:v>
      </x:c>
      <x:c r="I47" s="28" t="n">
        <x:v>0</x:v>
      </x:c>
      <x:c r="J47" s="28" t="n">
        <x:v>0</x:v>
      </x:c>
      <x:c r="K47" s="28" t="n">
        <x:v>0</x:v>
      </x:c>
      <x:c r="L47" s="28" t="n">
        <x:v>0</x:v>
      </x:c>
      <x:c r="M47" s="28" t="n">
        <x:v>0</x:v>
      </x:c>
      <x:c r="N47" s="22" t="str"/>
      <x:c r="O47" s="22" t="str"/>
      <x:c r="P47" s="22" t="str"/>
      <x:c r="Q47" s="40" t="n">
        <x:v>0</x:v>
      </x:c>
      <x:c r="R47" s="25" t="str"/>
      <x:c r="S47" s="25" t="str">
        <x:v>NONE</x:v>
      </x:c>
      <x:c r="T47" s="25" t="str">
        <x:v>자동 표 신호는 최종 A/B로 승격하지 않음</x:v>
      </x:c>
      <x:c r="U47" s="22" t="str">
        <x:v>2021-2025</x:v>
      </x:c>
    </x:row>
    <x:row r="48">
      <x:c r="A48" s="22" t="str">
        <x:v>2012-00016</x:v>
      </x:c>
      <x:c r="B48" s="22" t="str">
        <x:v>L2021-00017-1</x:v>
      </x:c>
      <x:c r="C48" s="22" t="str">
        <x:v>WORKS</x:v>
      </x:c>
      <x:c r="D48" s="25" t="str">
        <x:v>L2021-00017-1/Bidding Documents for Distribution AAUR PCRWR_0517/Attachment 7. List of Bid Documents_0504.xlsx</x:v>
      </x:c>
      <x:c r="E48" s="22" t="str">
        <x:v>.xlsx</x:v>
      </x:c>
      <x:c r="F48" s="28" t="n">
        <x:v>12812</x:v>
      </x:c>
      <x:c r="G48" s="28" t="str">
        <x:v>fb0d699baf054ed664d19f8550666ea145d63d0baa9631791b16ad62cdc0d669</x:v>
      </x:c>
      <x:c r="H48" s="28" t="n">
        <x:v>0</x:v>
      </x:c>
      <x:c r="I48" s="28" t="n">
        <x:v>0</x:v>
      </x:c>
      <x:c r="J48" s="28" t="n">
        <x:v>0</x:v>
      </x:c>
      <x:c r="K48" s="28" t="n">
        <x:v>0</x:v>
      </x:c>
      <x:c r="L48" s="28" t="n">
        <x:v>0</x:v>
      </x:c>
      <x:c r="M48" s="28" t="n">
        <x:v>0</x:v>
      </x:c>
      <x:c r="N48" s="22" t="str"/>
      <x:c r="O48" s="22" t="str"/>
      <x:c r="P48" s="22" t="str"/>
      <x:c r="Q48" s="40" t="n">
        <x:v>0</x:v>
      </x:c>
      <x:c r="R48" s="25" t="str"/>
      <x:c r="S48" s="25" t="str">
        <x:v>NONE</x:v>
      </x:c>
      <x:c r="T48" s="25" t="str">
        <x:v>자동 표 신호는 최종 A/B로 승격하지 않음</x:v>
      </x:c>
      <x:c r="U48" s="22" t="str">
        <x:v>2021-2025</x:v>
      </x:c>
    </x:row>
    <x:row r="49">
      <x:c r="A49" s="22" t="str">
        <x:v>2012-00016</x:v>
      </x:c>
      <x:c r="B49" s="22" t="str">
        <x:v>L2021-00017-1</x:v>
      </x:c>
      <x:c r="C49" s="22" t="str">
        <x:v>WORKS</x:v>
      </x:c>
      <x:c r="D49" s="25" t="str">
        <x:v>L2021-00017-1/Bidding Documents for Distribution AAUR PCRWR_0517/Chapter 3. Bid BoQ_0503.xlsx</x:v>
      </x:c>
      <x:c r="E49" s="22" t="str">
        <x:v>.xlsx</x:v>
      </x:c>
      <x:c r="F49" s="28" t="n">
        <x:v>39752</x:v>
      </x:c>
      <x:c r="G49" s="28" t="str">
        <x:v>39f98165ee4822612b34376ceeeeaeb1673f185f3b69b3e1ccaa57ee0f0fa1c0</x:v>
      </x:c>
      <x:c r="H49" s="28" t="n">
        <x:v>0</x:v>
      </x:c>
      <x:c r="I49" s="28" t="n">
        <x:v>0</x:v>
      </x:c>
      <x:c r="J49" s="28" t="n">
        <x:v>2</x:v>
      </x:c>
      <x:c r="K49" s="28" t="n">
        <x:v>126</x:v>
      </x:c>
      <x:c r="L49" s="28" t="n">
        <x:v>0</x:v>
      </x:c>
      <x:c r="M49" s="28" t="n">
        <x:v>0</x:v>
      </x:c>
      <x:c r="N49" s="22" t="str">
        <x:v>PCRWR</x:v>
      </x:c>
      <x:c r="O49" s="22" t="str">
        <x:v>visible</x:v>
      </x:c>
      <x:c r="P49" s="22" t="n">
        <x:v>2</x:v>
      </x:c>
      <x:c r="Q49" s="40" t="n">
        <x:v>0</x:v>
      </x:c>
      <x:c r="R49" s="25" t="str"/>
      <x:c r="S49" s="25" t="str">
        <x:v>B?</x:v>
      </x:c>
      <x:c r="T49" s="25" t="str">
        <x:v>자동 표 신호는 최종 A/B로 승격하지 않음</x:v>
      </x:c>
      <x:c r="U49" s="22" t="str">
        <x:v>2021-2025</x:v>
      </x:c>
    </x:row>
    <x:row r="50">
      <x:c r="A50" s="22" t="str">
        <x:v>2023-00067</x:v>
      </x:c>
      <x:c r="B50" s="22" t="str">
        <x:v>L2025-00052-1</x:v>
      </x:c>
      <x:c r="C50" s="22" t="str">
        <x:v>WORKS</x:v>
      </x:c>
      <x:c r="D50" s="25" t="str">
        <x:v>L2025-00052-1/(붙임 2) 영문 입찰 계획 서류_KOICA FHBU Construction_정정본/Section 11 - Bid Document Checklist_FHBU Construction_KOICA FHBU Construction.xlsx</x:v>
      </x:c>
      <x:c r="E50" s="22" t="str">
        <x:v>.xlsx</x:v>
      </x:c>
      <x:c r="F50" s="28" t="n">
        <x:v>63363</x:v>
      </x:c>
      <x:c r="G50" s="28" t="str">
        <x:v>66df9b7d0d9465979678f38ed6dea1582e262f16a8bf8cf038a0ddd78a0a657d</x:v>
      </x:c>
      <x:c r="H50" s="28" t="n">
        <x:v>0</x:v>
      </x:c>
      <x:c r="I50" s="28" t="n">
        <x:v>0</x:v>
      </x:c>
      <x:c r="J50" s="28" t="n">
        <x:v>0</x:v>
      </x:c>
      <x:c r="K50" s="28" t="n">
        <x:v>0</x:v>
      </x:c>
      <x:c r="L50" s="28" t="n">
        <x:v>0</x:v>
      </x:c>
      <x:c r="M50" s="28" t="n">
        <x:v>0</x:v>
      </x:c>
      <x:c r="N50" s="22" t="str"/>
      <x:c r="O50" s="22" t="str"/>
      <x:c r="P50" s="22" t="n">
        <x:v>0</x:v>
      </x:c>
      <x:c r="Q50" s="40" t="n">
        <x:v>0</x:v>
      </x:c>
      <x:c r="R50" s="25" t="str"/>
      <x:c r="S50" s="25" t="str">
        <x:v>NONE</x:v>
      </x:c>
      <x:c r="T50" s="25" t="str">
        <x:v>자동 표 신호는 최종 A/B로 승격하지 않음</x:v>
      </x:c>
      <x:c r="U50" s="22" t="str">
        <x:v>2021-2025</x:v>
      </x:c>
    </x:row>
    <x:row r="51">
      <x:c r="A51" s="22" t="str">
        <x:v>2022-00036</x:v>
      </x:c>
      <x:c r="B51" s="22" t="str">
        <x:v>L2023-00061-1</x:v>
      </x:c>
      <x:c r="C51" s="22" t="str">
        <x:v>DESIGN_OR_SUPERVISION_SERVICE</x:v>
      </x:c>
      <x:c r="D51" s="25" t="str">
        <x:v>L2023-00061-1/붙임 4. 입찰 공고 견적/2Merkato.pdf</x:v>
      </x:c>
      <x:c r="E51" s="22" t="str">
        <x:v>.pdf</x:v>
      </x:c>
      <x:c r="F51" s="28" t="n">
        <x:v>543672</x:v>
      </x:c>
      <x:c r="G51" s="28" t="str">
        <x:v>339b21c988c315e02d3cd7f9b2ebe2322de72a9425c9cbc5517fdbf1c33522b4</x:v>
      </x:c>
      <x:c r="H51" s="28" t="n">
        <x:v>1</x:v>
      </x:c>
      <x:c r="I51" s="28" t="n">
        <x:v>0</x:v>
      </x:c>
      <x:c r="J51" s="28" t="n">
        <x:v>0</x:v>
      </x:c>
      <x:c r="K51" s="28" t="n">
        <x:v>0</x:v>
      </x:c>
      <x:c r="L51" s="28" t="n">
        <x:v>0</x:v>
      </x:c>
      <x:c r="M51" s="28" t="n">
        <x:v>0</x:v>
      </x:c>
      <x:c r="N51" s="22" t="str"/>
      <x:c r="O51" s="22" t="str"/>
      <x:c r="P51" s="22" t="str"/>
      <x:c r="Q51" s="40" t="n">
        <x:v>0</x:v>
      </x:c>
      <x:c r="R51" s="25" t="str"/>
      <x:c r="S51" s="25" t="str">
        <x:v>BOQ_NAME_ONLY</x:v>
      </x:c>
      <x:c r="T51" s="25" t="str">
        <x:v>자동 표 신호는 최종 A/B로 승격하지 않음</x:v>
      </x:c>
      <x:c r="U51" s="22" t="str">
        <x:v>2021-2025</x:v>
      </x:c>
    </x:row>
    <x:row r="52">
      <x:c r="A52" s="22" t="str">
        <x:v>2022-00036</x:v>
      </x:c>
      <x:c r="B52" s="22" t="str">
        <x:v>L2023-00061-1</x:v>
      </x:c>
      <x:c r="C52" s="22" t="str">
        <x:v>DESIGN_OR_SUPERVISION_SERVICE</x:v>
      </x:c>
      <x:c r="D52" s="25" t="str">
        <x:v>L2023-00061-1/붙임 4. 입찰 공고 견적/The Reporter.pdf</x:v>
      </x:c>
      <x:c r="E52" s="22" t="str">
        <x:v>.pdf</x:v>
      </x:c>
      <x:c r="F52" s="28" t="n">
        <x:v>1405670</x:v>
      </x:c>
      <x:c r="G52" s="28" t="str">
        <x:v>14bcb20c3ff2a5c913a2ddec3144ec5dcac30d787d5210c33e8dd482b80dc55f</x:v>
      </x:c>
      <x:c r="H52" s="28" t="n">
        <x:v>1</x:v>
      </x:c>
      <x:c r="I52" s="28" t="n">
        <x:v>0</x:v>
      </x:c>
      <x:c r="J52" s="28" t="n">
        <x:v>0</x:v>
      </x:c>
      <x:c r="K52" s="28" t="n">
        <x:v>0</x:v>
      </x:c>
      <x:c r="L52" s="28" t="n">
        <x:v>0</x:v>
      </x:c>
      <x:c r="M52" s="28" t="n">
        <x:v>0</x:v>
      </x:c>
      <x:c r="N52" s="22" t="str"/>
      <x:c r="O52" s="22" t="str"/>
      <x:c r="P52" s="22" t="str"/>
      <x:c r="Q52" s="40" t="n">
        <x:v>0</x:v>
      </x:c>
      <x:c r="R52" s="25" t="str"/>
      <x:c r="S52" s="25" t="str">
        <x:v>BOQ_NAME_ONLY</x:v>
      </x:c>
      <x:c r="T52" s="25" t="str">
        <x:v>자동 표 신호는 최종 A/B로 승격하지 않음</x:v>
      </x:c>
      <x:c r="U52" s="22" t="str">
        <x:v>2021-2025</x:v>
      </x:c>
    </x:row>
    <x:row r="53">
      <x:c r="A53" s="22" t="str">
        <x:v>2014-00016</x:v>
      </x:c>
      <x:c r="B53" s="22" t="str">
        <x:v>L2024-00039-1</x:v>
      </x:c>
      <x:c r="C53" s="22" t="str">
        <x:v>WORKS</x:v>
      </x:c>
      <x:c r="D53" s="25" t="str">
        <x:v>L2024-00039-1/붙임3. Bidding Documents_20240702/Section 4 - BOQ.zip</x:v>
      </x:c>
      <x:c r="E53" s="22" t="str">
        <x:v>.zip</x:v>
      </x:c>
      <x:c r="F53" s="28" t="n">
        <x:v>165738</x:v>
      </x:c>
      <x:c r="G53" s="28" t="str">
        <x:v>92af7cd7905faba26c248661bfa8b8fa9fdb90336a5956e0398a51e1df6f827d</x:v>
      </x:c>
      <x:c r="H53" s="28" t="n">
        <x:v>1</x:v>
      </x:c>
      <x:c r="I53" s="28" t="n">
        <x:v>0</x:v>
      </x:c>
      <x:c r="J53" s="28" t="n">
        <x:v>0</x:v>
      </x:c>
      <x:c r="K53" s="28" t="n">
        <x:v>0</x:v>
      </x:c>
      <x:c r="L53" s="28" t="n">
        <x:v>0</x:v>
      </x:c>
      <x:c r="M53" s="28" t="n">
        <x:v>0</x:v>
      </x:c>
      <x:c r="N53" s="22" t="str"/>
      <x:c r="O53" s="22" t="str"/>
      <x:c r="P53" s="22" t="str"/>
      <x:c r="Q53" s="40" t="n">
        <x:v>0</x:v>
      </x:c>
      <x:c r="R53" s="25" t="str"/>
      <x:c r="S53" s="25" t="str">
        <x:v>BOQ_NAME_ONLY</x:v>
      </x:c>
      <x:c r="T53" s="25" t="str">
        <x:v>자동 표 신호는 최종 A/B로 승격하지 않음</x:v>
      </x:c>
      <x:c r="U53" s="22" t="str">
        <x:v>2021-2025</x:v>
      </x:c>
    </x:row>
    <x:row r="54">
      <x:c r="A54" s="22" t="str">
        <x:v>2014-00016</x:v>
      </x:c>
      <x:c r="B54" s="22" t="str">
        <x:v>L2024-00039-1</x:v>
      </x:c>
      <x:c r="C54" s="22" t="str">
        <x:v>WORKS</x:v>
      </x:c>
      <x:c r="D54" s="25" t="str">
        <x:v>L2024-00039-1/붙임3. 입찰서류 및 계약서류(안)_재공고(20240701)/Section 4 - BOQ.zip</x:v>
      </x:c>
      <x:c r="E54" s="22" t="str">
        <x:v>.zip</x:v>
      </x:c>
      <x:c r="F54" s="28" t="n">
        <x:v>165738</x:v>
      </x:c>
      <x:c r="G54" s="28" t="str">
        <x:v>92af7cd7905faba26c248661bfa8b8fa9fdb90336a5956e0398a51e1df6f827d</x:v>
      </x:c>
      <x:c r="H54" s="28" t="n">
        <x:v>1</x:v>
      </x:c>
      <x:c r="I54" s="28" t="n">
        <x:v>0</x:v>
      </x:c>
      <x:c r="J54" s="28" t="n">
        <x:v>0</x:v>
      </x:c>
      <x:c r="K54" s="28" t="n">
        <x:v>0</x:v>
      </x:c>
      <x:c r="L54" s="28" t="n">
        <x:v>0</x:v>
      </x:c>
      <x:c r="M54" s="28" t="n">
        <x:v>0</x:v>
      </x:c>
      <x:c r="N54" s="22" t="str"/>
      <x:c r="O54" s="22" t="str"/>
      <x:c r="P54" s="22" t="str"/>
      <x:c r="Q54" s="40" t="n">
        <x:v>0</x:v>
      </x:c>
      <x:c r="R54" s="25" t="str"/>
      <x:c r="S54" s="25" t="str">
        <x:v>BOQ_NAME_ONLY</x:v>
      </x:c>
      <x:c r="T54" s="25" t="str">
        <x:v>자동 표 신호는 최종 A/B로 승격하지 않음</x:v>
      </x:c>
      <x:c r="U54" s="22" t="str">
        <x:v>2021-2025</x:v>
      </x:c>
    </x:row>
    <x:row r="55">
      <x:c r="A55" s="22" t="str">
        <x:v>2014-00016</x:v>
      </x:c>
      <x:c r="B55" s="22" t="str">
        <x:v>L2024-00039-1</x:v>
      </x:c>
      <x:c r="C55" s="22" t="str">
        <x:v>WORKS</x:v>
      </x:c>
      <x:c r="D55" s="25" t="str">
        <x:v>L2024-00039-1/붙임3. 입찰서류 및 계약서류(안)_재공고(20240701)/Section 4 - BOQ/NEW BOQs (14-MAY-23)_공BOQ_20240416.xlsx</x:v>
      </x:c>
      <x:c r="E55" s="22" t="str">
        <x:v>.xlsx</x:v>
      </x:c>
      <x:c r="F55" s="28" t="n">
        <x:v>168572</x:v>
      </x:c>
      <x:c r="G55" s="28" t="str">
        <x:v>ce54a2d18a575e830ecd27ffd1c0c0342d39cefa17599004484a32c52a069740</x:v>
      </x:c>
      <x:c r="H55" s="28" t="n">
        <x:v>1</x:v>
      </x:c>
      <x:c r="I55" s="28" t="n">
        <x:v>0</x:v>
      </x:c>
      <x:c r="J55" s="28" t="n">
        <x:v>1</x:v>
      </x:c>
      <x:c r="K55" s="28" t="n">
        <x:v>504</x:v>
      </x:c>
      <x:c r="L55" s="28" t="n">
        <x:v>0</x:v>
      </x:c>
      <x:c r="M55" s="28" t="n">
        <x:v>0</x:v>
      </x:c>
      <x:c r="N55" s="22" t="str">
        <x:v>Sheet1</x:v>
      </x:c>
      <x:c r="O55" s="22" t="str">
        <x:v>visible</x:v>
      </x:c>
      <x:c r="P55" s="22" t="n">
        <x:v>1</x:v>
      </x:c>
      <x:c r="Q55" s="40" t="n">
        <x:v>0</x:v>
      </x:c>
      <x:c r="R55" s="25" t="str"/>
      <x:c r="S55" s="25" t="str">
        <x:v>B?</x:v>
      </x:c>
      <x:c r="T55" s="25" t="str">
        <x:v>자동 표 신호는 최종 A/B로 승격하지 않음</x:v>
      </x:c>
      <x:c r="U55" s="22" t="str">
        <x:v>2021-2025</x:v>
      </x:c>
    </x:row>
    <x:row r="56">
      <x:c r="A56" s="22" t="str">
        <x:v>2014-00016</x:v>
      </x:c>
      <x:c r="B56" s="22" t="str">
        <x:v>L2024-00039-1</x:v>
      </x:c>
      <x:c r="C56" s="22" t="str">
        <x:v>WORKS</x:v>
      </x:c>
      <x:c r="D56" s="25" t="str">
        <x:v>L2024-00039-1/붙임3. Bidding Documents_20240702/Section 4 - BOQ/NEW BOQs (14-MAY-23)_공BOQ_20240416.xlsx</x:v>
      </x:c>
      <x:c r="E56" s="22" t="str">
        <x:v>.xlsx</x:v>
      </x:c>
      <x:c r="F56" s="28" t="n">
        <x:v>168572</x:v>
      </x:c>
      <x:c r="G56" s="28" t="str">
        <x:v>ce54a2d18a575e830ecd27ffd1c0c0342d39cefa17599004484a32c52a069740</x:v>
      </x:c>
      <x:c r="H56" s="28" t="n">
        <x:v>1</x:v>
      </x:c>
      <x:c r="I56" s="28" t="n">
        <x:v>0</x:v>
      </x:c>
      <x:c r="J56" s="28" t="n">
        <x:v>1</x:v>
      </x:c>
      <x:c r="K56" s="28" t="n">
        <x:v>504</x:v>
      </x:c>
      <x:c r="L56" s="28" t="n">
        <x:v>0</x:v>
      </x:c>
      <x:c r="M56" s="28" t="n">
        <x:v>0</x:v>
      </x:c>
      <x:c r="N56" s="22" t="str">
        <x:v>Sheet1</x:v>
      </x:c>
      <x:c r="O56" s="22" t="str">
        <x:v>visible</x:v>
      </x:c>
      <x:c r="P56" s="22" t="n">
        <x:v>1</x:v>
      </x:c>
      <x:c r="Q56" s="40" t="n">
        <x:v>0</x:v>
      </x:c>
      <x:c r="R56" s="25" t="str"/>
      <x:c r="S56" s="25" t="str">
        <x:v>B?</x:v>
      </x:c>
      <x:c r="T56" s="25" t="str">
        <x:v>자동 표 신호는 최종 A/B로 승격하지 않음</x:v>
      </x:c>
      <x:c r="U56" s="22" t="str">
        <x:v>2021-2025</x:v>
      </x:c>
    </x:row>
    <x:row r="57">
      <x:c r="A57" s="22" t="str">
        <x:v>2016-20176</x:v>
      </x:c>
      <x:c r="B57" s="22" t="str">
        <x:v>L2022-00040-1</x:v>
      </x:c>
      <x:c r="C57" s="22" t="str">
        <x:v>DESIGN_OR_SUPERVISION_SERVICE</x:v>
      </x:c>
      <x:c r="D57" s="25" t="str">
        <x:v>L2022-00040-1/(붙임3) 설계 및 규정참고자료(영문)/Attachment (Design Documents) 3. BOQ (blanked).zip</x:v>
      </x:c>
      <x:c r="E57" s="22" t="str">
        <x:v>.zip</x:v>
      </x:c>
      <x:c r="F57" s="28" t="n">
        <x:v>478458</x:v>
      </x:c>
      <x:c r="G57" s="28" t="str">
        <x:v>27555e35067316196b079d46ba585966fd33c4f0c9d9f2594feafcbb1b282c57</x:v>
      </x:c>
      <x:c r="H57" s="28" t="n">
        <x:v>1</x:v>
      </x:c>
      <x:c r="I57" s="28" t="n">
        <x:v>1</x:v>
      </x:c>
      <x:c r="J57" s="28" t="n">
        <x:v>0</x:v>
      </x:c>
      <x:c r="K57" s="28" t="n">
        <x:v>0</x:v>
      </x:c>
      <x:c r="L57" s="28" t="n">
        <x:v>0</x:v>
      </x:c>
      <x:c r="M57" s="28" t="n">
        <x:v>0</x:v>
      </x:c>
      <x:c r="N57" s="22" t="str"/>
      <x:c r="O57" s="22" t="str"/>
      <x:c r="P57" s="22" t="str"/>
      <x:c r="Q57" s="40" t="n">
        <x:v>0</x:v>
      </x:c>
      <x:c r="R57" s="25" t="str"/>
      <x:c r="S57" s="25" t="str">
        <x:v>BOQ_NAME_ONLY</x:v>
      </x:c>
      <x:c r="T57" s="25" t="str">
        <x:v>자동 표 신호는 최종 A/B로 승격하지 않음</x:v>
      </x:c>
      <x:c r="U57" s="22" t="str">
        <x:v>2021-2025</x:v>
      </x:c>
    </x:row>
    <x:row r="58">
      <x:c r="A58" s="22" t="str">
        <x:v>2016-20176</x:v>
      </x:c>
      <x:c r="B58" s="22" t="str">
        <x:v>L2022-00040-1</x:v>
      </x:c>
      <x:c r="C58" s="22" t="str">
        <x:v>DESIGN_OR_SUPERVISION_SERVICE</x:v>
      </x:c>
      <x:c r="D58" s="25" t="str">
        <x:v>L2022-00040-1/(붙임3) 설계 및 규정참고자료(영문)/Attachment (Design Documents) 3. BOQ (blanked)/BOQ (unit price blanked).XLS</x:v>
      </x:c>
      <x:c r="E58" s="22" t="str">
        <x:v>.xls</x:v>
      </x:c>
      <x:c r="F58" s="28" t="n">
        <x:v>684544</x:v>
      </x:c>
      <x:c r="G58" s="28" t="str">
        <x:v>fab23ffb9dfc62c883c66d9d238996d0ee9d6715da53874d599ae18b7b2476ed</x:v>
      </x:c>
      <x:c r="H58" s="28" t="n">
        <x:v>1</x:v>
      </x:c>
      <x:c r="I58" s="28" t="n">
        <x:v>1</x:v>
      </x:c>
      <x:c r="J58" s="28" t="n">
        <x:v>1</x:v>
      </x:c>
      <x:c r="K58" s="28" t="n">
        <x:v>498</x:v>
      </x:c>
      <x:c r="L58" s="28" t="n">
        <x:v>0</x:v>
      </x:c>
      <x:c r="M58" s="28" t="n">
        <x:v>0</x:v>
      </x:c>
      <x:c r="N58" s="22" t="str">
        <x:v>LISTADO DE PARTIDAS </x:v>
      </x:c>
      <x:c r="O58" s="22" t="str">
        <x:v>visible</x:v>
      </x:c>
      <x:c r="P58" s="22" t="n">
        <x:v>5</x:v>
      </x:c>
      <x:c r="Q58" s="40" t="n">
        <x:v>0</x:v>
      </x:c>
      <x:c r="R58" s="25" t="str"/>
      <x:c r="S58" s="25" t="str">
        <x:v>B?</x:v>
      </x:c>
      <x:c r="T58" s="25" t="str">
        <x:v>자동 표 신호는 최종 A/B로 승격하지 않음</x:v>
      </x:c>
      <x:c r="U58" s="22" t="str">
        <x:v>2021-2025</x:v>
      </x:c>
    </x:row>
    <x:row r="59">
      <x:c r="A59" s="22" t="str">
        <x:v>2016-20176</x:v>
      </x:c>
      <x:c r="B59" s="22" t="str">
        <x:v>L2022-00040-1</x:v>
      </x:c>
      <x:c r="C59" s="22" t="str">
        <x:v>DESIGN_OR_SUPERVISION_SERVICE</x:v>
      </x:c>
      <x:c r="D59" s="25" t="str">
        <x:v>L2022-00040-1/(붙임3) 설계 및 규정참고자료(영문)/Attachment (Design Documents) 3. BOQ (blanked)/BOQ (unit price blanked).pdf</x:v>
      </x:c>
      <x:c r="E59" s="22" t="str">
        <x:v>.pdf</x:v>
      </x:c>
      <x:c r="F59" s="28" t="n">
        <x:v>505425</x:v>
      </x:c>
      <x:c r="G59" s="28" t="str">
        <x:v>2d363840a32ce088371547a50512c9d04dc45839c57554d35e0de7a8004ab8e8</x:v>
      </x:c>
      <x:c r="H59" s="28" t="n">
        <x:v>1</x:v>
      </x:c>
      <x:c r="I59" s="28" t="n">
        <x:v>1</x:v>
      </x:c>
      <x:c r="J59" s="28" t="n">
        <x:v>0</x:v>
      </x:c>
      <x:c r="K59" s="28" t="n">
        <x:v>0</x:v>
      </x:c>
      <x:c r="L59" s="28" t="n">
        <x:v>0</x:v>
      </x:c>
      <x:c r="M59" s="28" t="n">
        <x:v>0</x:v>
      </x:c>
      <x:c r="N59" s="22" t="str"/>
      <x:c r="O59" s="22" t="str"/>
      <x:c r="P59" s="22" t="str"/>
      <x:c r="Q59" s="40" t="n">
        <x:v>0</x:v>
      </x:c>
      <x:c r="R59" s="25" t="str"/>
      <x:c r="S59" s="25" t="str">
        <x:v>BOQ_NAME_ONLY</x:v>
      </x:c>
      <x:c r="T59" s="25" t="str">
        <x:v>자동 표 신호는 최종 A/B로 승격하지 않음</x:v>
      </x:c>
      <x:c r="U59" s="22" t="str">
        <x:v>2021-2025</x:v>
      </x:c>
    </x:row>
    <x:row r="60">
      <x:c r="A60" s="22" t="str">
        <x:v>2020-00119</x:v>
      </x:c>
      <x:c r="B60" s="22" t="str">
        <x:v>L2025-00070-1</x:v>
      </x:c>
      <x:c r="C60" s="22" t="str">
        <x:v>WORKS</x:v>
      </x:c>
      <x:c r="D60" s="25" t="str">
        <x:v>L2025-00070-1/붙임3. 현지입찰 서류 및 계약서류(안)/IKHCC Section 4,5,6 BOQ, Drawing, Spec.docx</x:v>
      </x:c>
      <x:c r="E60" s="22" t="str">
        <x:v>.docx</x:v>
      </x:c>
      <x:c r="F60" s="28" t="n">
        <x:v>11941</x:v>
      </x:c>
      <x:c r="G60" s="28" t="str">
        <x:v>aab74da4619bd3a8a368567d5620e0116eb9da42f75975717f485ef6a83a41b6</x:v>
      </x:c>
      <x:c r="H60" s="28" t="n">
        <x:v>1</x:v>
      </x:c>
      <x:c r="I60" s="28" t="n">
        <x:v>0</x:v>
      </x:c>
      <x:c r="J60" s="28" t="n">
        <x:v>0</x:v>
      </x:c>
      <x:c r="K60" s="28" t="n">
        <x:v>0</x:v>
      </x:c>
      <x:c r="L60" s="28" t="n">
        <x:v>0</x:v>
      </x:c>
      <x:c r="M60" s="28" t="n">
        <x:v>0</x:v>
      </x:c>
      <x:c r="N60" s="22" t="str"/>
      <x:c r="O60" s="22" t="str"/>
      <x:c r="P60" s="22" t="str"/>
      <x:c r="Q60" s="40" t="n">
        <x:v>0</x:v>
      </x:c>
      <x:c r="R60" s="25" t="str"/>
      <x:c r="S60" s="25" t="str">
        <x:v>BOQ_NAME_ONLY</x:v>
      </x:c>
      <x:c r="T60" s="25" t="str">
        <x:v>자동 표 신호는 최종 A/B로 승격하지 않음</x:v>
      </x:c>
      <x:c r="U60" s="22" t="str">
        <x:v>2021-2025</x:v>
      </x:c>
    </x:row>
    <x:row r="61">
      <x:c r="A61" s="22" t="str">
        <x:v>2020-00119</x:v>
      </x:c>
      <x:c r="B61" s="22" t="str">
        <x:v>L2025-00070-1</x:v>
      </x:c>
      <x:c r="C61" s="22" t="str">
        <x:v>WORKS</x:v>
      </x:c>
      <x:c r="D61" s="25" t="str">
        <x:v>L2025-00070-1/붙임3. 현지입찰 서류 및 계약서류(안)/IKHCC Section 4 - IKHCC BLANK BOQ 250430.zip</x:v>
      </x:c>
      <x:c r="E61" s="22" t="str">
        <x:v>.zip</x:v>
      </x:c>
      <x:c r="F61" s="28" t="n">
        <x:v>8546544</x:v>
      </x:c>
      <x:c r="G61" s="28" t="str">
        <x:v>bb1eef9cdc717c6d757d43f3da1f13f6275049d1523718e2fd85659780cc9f55</x:v>
      </x:c>
      <x:c r="H61" s="28" t="n">
        <x:v>1</x:v>
      </x:c>
      <x:c r="I61" s="28" t="n">
        <x:v>1</x:v>
      </x:c>
      <x:c r="J61" s="28" t="n">
        <x:v>0</x:v>
      </x:c>
      <x:c r="K61" s="28" t="n">
        <x:v>0</x:v>
      </x:c>
      <x:c r="L61" s="28" t="n">
        <x:v>0</x:v>
      </x:c>
      <x:c r="M61" s="28" t="n">
        <x:v>0</x:v>
      </x:c>
      <x:c r="N61" s="22" t="str"/>
      <x:c r="O61" s="22" t="str"/>
      <x:c r="P61" s="22" t="str"/>
      <x:c r="Q61" s="40" t="n">
        <x:v>0</x:v>
      </x:c>
      <x:c r="R61" s="25" t="str"/>
      <x:c r="S61" s="25" t="str">
        <x:v>BOQ_NAME_ONLY</x:v>
      </x:c>
      <x:c r="T61" s="25" t="str">
        <x:v>자동 표 신호는 최종 A/B로 승격하지 않음</x:v>
      </x:c>
      <x:c r="U61" s="22" t="str">
        <x:v>2021-2025</x:v>
      </x:c>
    </x:row>
    <x:row r="62">
      <x:c r="A62" s="22" t="str">
        <x:v>2020-00119</x:v>
      </x:c>
      <x:c r="B62" s="22" t="str">
        <x:v>L2025-00070-1</x:v>
      </x:c>
      <x:c r="C62" s="22" t="str">
        <x:v>WORKS</x:v>
      </x:c>
      <x:c r="D62" s="25" t="str">
        <x:v>L2025-00070-1/붙임3. 현지입찰 서류 및 계약서류(안)/IKHCC Section 4 - IKHCC BLANK BOQ 250430/3 CIVIL/BLANK BILL.CIVIL(HOSPITAL) .xls</x:v>
      </x:c>
      <x:c r="E62" s="22" t="str">
        <x:v>.xls</x:v>
      </x:c>
      <x:c r="F62" s="28" t="n">
        <x:v>81920</x:v>
      </x:c>
      <x:c r="G62" s="28" t="str">
        <x:v>c0b0e1d857d357e06310785027eb14b6c6e3c28491c19fed4dfc9e3030f34ef2</x:v>
      </x:c>
      <x:c r="H62" s="28" t="n">
        <x:v>1</x:v>
      </x:c>
      <x:c r="I62" s="28" t="n">
        <x:v>1</x:v>
      </x:c>
      <x:c r="J62" s="28" t="n">
        <x:v>0</x:v>
      </x:c>
      <x:c r="K62" s="28" t="n">
        <x:v>0</x:v>
      </x:c>
      <x:c r="L62" s="28" t="n">
        <x:v>0</x:v>
      </x:c>
      <x:c r="M62" s="28" t="n">
        <x:v>0</x:v>
      </x:c>
      <x:c r="N62" s="22" t="str"/>
      <x:c r="O62" s="22" t="str"/>
      <x:c r="P62" s="22" t="n">
        <x:v>0</x:v>
      </x:c>
      <x:c r="Q62" s="40" t="n">
        <x:v>0</x:v>
      </x:c>
      <x:c r="R62" s="25" t="str"/>
      <x:c r="S62" s="25" t="str">
        <x:v>BOQ_NAME_ONLY</x:v>
      </x:c>
      <x:c r="T62" s="25" t="str">
        <x:v>자동 표 신호는 최종 A/B로 승격하지 않음</x:v>
      </x:c>
      <x:c r="U62" s="22" t="str">
        <x:v>2021-2025</x:v>
      </x:c>
    </x:row>
    <x:row r="63">
      <x:c r="A63" s="22" t="str">
        <x:v>2020-00119</x:v>
      </x:c>
      <x:c r="B63" s="22" t="str">
        <x:v>L2025-00070-1</x:v>
      </x:c>
      <x:c r="C63" s="22" t="str">
        <x:v>WORKS</x:v>
      </x:c>
      <x:c r="D63" s="25" t="str">
        <x:v>L2025-00070-1/붙임3. 현지입찰 서류 및 계약서류(안)/IKHCC Section 4 - IKHCC BLANK BOQ 250430/3 CIVIL/BLANK BILL.CIVIL(PARKING LOT).xls</x:v>
      </x:c>
      <x:c r="E63" s="22" t="str">
        <x:v>.xls</x:v>
      </x:c>
      <x:c r="F63" s="28" t="n">
        <x:v>58368</x:v>
      </x:c>
      <x:c r="G63" s="28" t="str">
        <x:v>33510cb6918366ccd2e38ca39a6fe6a3a14e1ad8a37570bc850277811837ef6a</x:v>
      </x:c>
      <x:c r="H63" s="28" t="n">
        <x:v>1</x:v>
      </x:c>
      <x:c r="I63" s="28" t="n">
        <x:v>1</x:v>
      </x:c>
      <x:c r="J63" s="28" t="n">
        <x:v>0</x:v>
      </x:c>
      <x:c r="K63" s="28" t="n">
        <x:v>0</x:v>
      </x:c>
      <x:c r="L63" s="28" t="n">
        <x:v>0</x:v>
      </x:c>
      <x:c r="M63" s="28" t="n">
        <x:v>0</x:v>
      </x:c>
      <x:c r="N63" s="22" t="str"/>
      <x:c r="O63" s="22" t="str"/>
      <x:c r="P63" s="22" t="n">
        <x:v>0</x:v>
      </x:c>
      <x:c r="Q63" s="40" t="n">
        <x:v>0</x:v>
      </x:c>
      <x:c r="R63" s="25" t="str"/>
      <x:c r="S63" s="25" t="str">
        <x:v>BOQ_NAME_ONLY</x:v>
      </x:c>
      <x:c r="T63" s="25" t="str">
        <x:v>자동 표 신호는 최종 A/B로 승격하지 않음</x:v>
      </x:c>
      <x:c r="U63" s="22" t="str">
        <x:v>2021-2025</x:v>
      </x:c>
    </x:row>
    <x:row r="64">
      <x:c r="A64" s="22" t="str">
        <x:v>2020-00119</x:v>
      </x:c>
      <x:c r="B64" s="22" t="str">
        <x:v>L2025-00070-1</x:v>
      </x:c>
      <x:c r="C64" s="22" t="str">
        <x:v>WORKS</x:v>
      </x:c>
      <x:c r="D64" s="25" t="str">
        <x:v>L2025-00070-1/붙임3. 현지입찰 서류 및 계약서류(안)/IKHCC Section 4 - IKHCC BLANK BOQ 250430/3 CIVIL/BLANK BILL.CIVIL(BRIDGE)).xls</x:v>
      </x:c>
      <x:c r="E64" s="22" t="str">
        <x:v>.xls</x:v>
      </x:c>
      <x:c r="F64" s="28" t="n">
        <x:v>74240</x:v>
      </x:c>
      <x:c r="G64" s="28" t="str">
        <x:v>7fbae1f3c71758b2f9dd4d91fc045323ea1864b4be9d2d301a2cbf63a5072570</x:v>
      </x:c>
      <x:c r="H64" s="28" t="n">
        <x:v>1</x:v>
      </x:c>
      <x:c r="I64" s="28" t="n">
        <x:v>1</x:v>
      </x:c>
      <x:c r="J64" s="28" t="n">
        <x:v>0</x:v>
      </x:c>
      <x:c r="K64" s="28" t="n">
        <x:v>0</x:v>
      </x:c>
      <x:c r="L64" s="28" t="n">
        <x:v>0</x:v>
      </x:c>
      <x:c r="M64" s="28" t="n">
        <x:v>0</x:v>
      </x:c>
      <x:c r="N64" s="22" t="str"/>
      <x:c r="O64" s="22" t="str"/>
      <x:c r="P64" s="22" t="n">
        <x:v>0</x:v>
      </x:c>
      <x:c r="Q64" s="40" t="n">
        <x:v>0</x:v>
      </x:c>
      <x:c r="R64" s="25" t="str"/>
      <x:c r="S64" s="25" t="str">
        <x:v>BOQ_NAME_ONLY</x:v>
      </x:c>
      <x:c r="T64" s="25" t="str">
        <x:v>자동 표 신호는 최종 A/B로 승격하지 않음</x:v>
      </x:c>
      <x:c r="U64" s="22" t="str">
        <x:v>2021-2025</x:v>
      </x:c>
    </x:row>
    <x:row r="65">
      <x:c r="A65" s="22" t="str">
        <x:v>2020-00119</x:v>
      </x:c>
      <x:c r="B65" s="22" t="str">
        <x:v>L2025-00070-1</x:v>
      </x:c>
      <x:c r="C65" s="22" t="str">
        <x:v>WORKS</x:v>
      </x:c>
      <x:c r="D65" s="25" t="str">
        <x:v>L2025-00070-1/붙임3. 현지입찰 서류 및 계약서류(안)/IKHCC Section 4 - IKHCC BLANK BOQ 250430/3 CIVIL/BLANK BILL.CIVIL (MEP).xls</x:v>
      </x:c>
      <x:c r="E65" s="22" t="str">
        <x:v>.xls</x:v>
      </x:c>
      <x:c r="F65" s="28" t="n">
        <x:v>74240</x:v>
      </x:c>
      <x:c r="G65" s="28" t="str">
        <x:v>1c50470f6121836494e92fb616d765f06e8b3bc5153b11a3c8540a29ac1ec615</x:v>
      </x:c>
      <x:c r="H65" s="28" t="n">
        <x:v>1</x:v>
      </x:c>
      <x:c r="I65" s="28" t="n">
        <x:v>1</x:v>
      </x:c>
      <x:c r="J65" s="28" t="n">
        <x:v>0</x:v>
      </x:c>
      <x:c r="K65" s="28" t="n">
        <x:v>0</x:v>
      </x:c>
      <x:c r="L65" s="28" t="n">
        <x:v>0</x:v>
      </x:c>
      <x:c r="M65" s="28" t="n">
        <x:v>0</x:v>
      </x:c>
      <x:c r="N65" s="22" t="str"/>
      <x:c r="O65" s="22" t="str"/>
      <x:c r="P65" s="22" t="n">
        <x:v>0</x:v>
      </x:c>
      <x:c r="Q65" s="40" t="n">
        <x:v>0</x:v>
      </x:c>
      <x:c r="R65" s="25" t="str"/>
      <x:c r="S65" s="25" t="str">
        <x:v>BOQ_NAME_ONLY</x:v>
      </x:c>
      <x:c r="T65" s="25" t="str">
        <x:v>자동 표 신호는 최종 A/B로 승격하지 않음</x:v>
      </x:c>
      <x:c r="U65" s="22" t="str">
        <x:v>2021-2025</x:v>
      </x:c>
    </x:row>
    <x:row r="66">
      <x:c r="A66" s="22" t="str">
        <x:v>2020-00119</x:v>
      </x:c>
      <x:c r="B66" s="22" t="str">
        <x:v>L2025-00070-1</x:v>
      </x:c>
      <x:c r="C66" s="22" t="str">
        <x:v>WORKS</x:v>
      </x:c>
      <x:c r="D66" s="25" t="str">
        <x:v>L2025-00070-1/붙임3. 현지입찰 서류 및 계약서류(안)/IKHCC Section 4 - IKHCC BLANK BOQ 250430/8 Mob &amp; Signage/BILL No8-2 Signages-blank.xlsx</x:v>
      </x:c>
      <x:c r="E66" s="22" t="str">
        <x:v>.xlsx</x:v>
      </x:c>
      <x:c r="F66" s="28" t="n">
        <x:v>31619</x:v>
      </x:c>
      <x:c r="G66" s="28" t="str">
        <x:v>4421d3cb9982d35873aa1763a4a7b1ee4b0d235faaeed68ee92551a4fa1c803f</x:v>
      </x:c>
      <x:c r="H66" s="28" t="n">
        <x:v>1</x:v>
      </x:c>
      <x:c r="I66" s="28" t="n">
        <x:v>1</x:v>
      </x:c>
      <x:c r="J66" s="28" t="n">
        <x:v>1</x:v>
      </x:c>
      <x:c r="K66" s="28" t="n">
        <x:v>6</x:v>
      </x:c>
      <x:c r="L66" s="28" t="n">
        <x:v>0</x:v>
      </x:c>
      <x:c r="M66" s="28" t="n">
        <x:v>0</x:v>
      </x:c>
      <x:c r="N66" s="22" t="str">
        <x:v>Works particular bill</x:v>
      </x:c>
      <x:c r="O66" s="22" t="str">
        <x:v>visible</x:v>
      </x:c>
      <x:c r="P66" s="22" t="n">
        <x:v>1</x:v>
      </x:c>
      <x:c r="Q66" s="40" t="n">
        <x:v>0</x:v>
      </x:c>
      <x:c r="R66" s="25" t="str"/>
      <x:c r="S66" s="25" t="str">
        <x:v>B?</x:v>
      </x:c>
      <x:c r="T66" s="25" t="str">
        <x:v>자동 표 신호는 최종 A/B로 승격하지 않음</x:v>
      </x:c>
      <x:c r="U66" s="22" t="str">
        <x:v>2021-2025</x:v>
      </x:c>
    </x:row>
    <x:row r="67">
      <x:c r="A67" s="22" t="str">
        <x:v>2020-00119</x:v>
      </x:c>
      <x:c r="B67" s="22" t="str">
        <x:v>L2025-00070-1</x:v>
      </x:c>
      <x:c r="C67" s="22" t="str">
        <x:v>WORKS</x:v>
      </x:c>
      <x:c r="D67" s="25" t="str">
        <x:v>L2025-00070-1/붙임3. 현지입찰 서류 및 계약서류(안)/IKHCC Section 4 - IKHCC BLANK BOQ 250430/8 Mob &amp; Signage/BILL No8-1 -Mobilization Works-blank.xlsx</x:v>
      </x:c>
      <x:c r="E67" s="22" t="str">
        <x:v>.xlsx</x:v>
      </x:c>
      <x:c r="F67" s="28" t="n">
        <x:v>638347</x:v>
      </x:c>
      <x:c r="G67" s="28" t="str">
        <x:v>95772272ef1568157e0f604c1bb0cae64d776ffaf2b58cf9d26e389a796bb67e</x:v>
      </x:c>
      <x:c r="H67" s="28" t="n">
        <x:v>1</x:v>
      </x:c>
      <x:c r="I67" s="28" t="n">
        <x:v>1</x:v>
      </x:c>
      <x:c r="J67" s="28" t="n">
        <x:v>1</x:v>
      </x:c>
      <x:c r="K67" s="28" t="n">
        <x:v>34</x:v>
      </x:c>
      <x:c r="L67" s="28" t="n">
        <x:v>0</x:v>
      </x:c>
      <x:c r="M67" s="28" t="n">
        <x:v>0</x:v>
      </x:c>
      <x:c r="N67" s="22" t="str">
        <x:v>Mobilization</x:v>
      </x:c>
      <x:c r="O67" s="22" t="str">
        <x:v>visible</x:v>
      </x:c>
      <x:c r="P67" s="22" t="n">
        <x:v>1</x:v>
      </x:c>
      <x:c r="Q67" s="40" t="n">
        <x:v>0</x:v>
      </x:c>
      <x:c r="R67" s="25" t="str"/>
      <x:c r="S67" s="25" t="str">
        <x:v>B?</x:v>
      </x:c>
      <x:c r="T67" s="25" t="str">
        <x:v>자동 표 신호는 최종 A/B로 승격하지 않음</x:v>
      </x:c>
      <x:c r="U67" s="22" t="str">
        <x:v>2021-2025</x:v>
      </x:c>
    </x:row>
    <x:row r="68">
      <x:c r="A68" s="22" t="str">
        <x:v>2020-00119</x:v>
      </x:c>
      <x:c r="B68" s="22" t="str">
        <x:v>L2025-00070-1</x:v>
      </x:c>
      <x:c r="C68" s="22" t="str">
        <x:v>WORKS</x:v>
      </x:c>
      <x:c r="D68" s="25" t="str">
        <x:v>L2025-00070-1/붙임3. 현지입찰 서류 및 계약서류(안)/IKHCC Section 4 - IKHCC BLANK BOQ 250430/4 MECH/BLANK  BILL.MECH(TOTAL).xls</x:v>
      </x:c>
      <x:c r="E68" s="22" t="str">
        <x:v>.xls</x:v>
      </x:c>
      <x:c r="F68" s="28" t="n">
        <x:v>1402880</x:v>
      </x:c>
      <x:c r="G68" s="28" t="str">
        <x:v>943c92d368e4e26e68ff2d5dc17a80fc0672c2766d586d3aa6c68578e0614040</x:v>
      </x:c>
      <x:c r="H68" s="28" t="n">
        <x:v>1</x:v>
      </x:c>
      <x:c r="I68" s="28" t="n">
        <x:v>1</x:v>
      </x:c>
      <x:c r="J68" s="28" t="n">
        <x:v>1</x:v>
      </x:c>
      <x:c r="K68" s="28" t="n">
        <x:v>831</x:v>
      </x:c>
      <x:c r="L68" s="28" t="n">
        <x:v>823</x:v>
      </x:c>
      <x:c r="M68" s="28" t="n">
        <x:v>1</x:v>
      </x:c>
      <x:c r="N68" s="22" t="str">
        <x:v>일위대가</x:v>
      </x:c>
      <x:c r="O68" s="22" t="str">
        <x:v>hidden</x:v>
      </x:c>
      <x:c r="P68" s="22" t="n">
        <x:v>1</x:v>
      </x:c>
      <x:c r="Q68" s="40" t="n">
        <x:v>0.9903730445246691</x:v>
      </x:c>
      <x:c r="R68" s="25" t="str"/>
      <x:c r="S68" s="25" t="str">
        <x:v>A?</x:v>
      </x:c>
      <x:c r="T68" s="25" t="str">
        <x:v>자동 표 신호는 최종 A/B로 승격하지 않음</x:v>
      </x:c>
      <x:c r="U68" s="22" t="str">
        <x:v>2021-2025</x:v>
      </x:c>
    </x:row>
    <x:row r="69">
      <x:c r="A69" s="22" t="str">
        <x:v>2020-00119</x:v>
      </x:c>
      <x:c r="B69" s="22" t="str">
        <x:v>L2025-00070-1</x:v>
      </x:c>
      <x:c r="C69" s="22" t="str">
        <x:v>WORKS</x:v>
      </x:c>
      <x:c r="D69" s="25" t="str">
        <x:v>L2025-00070-1/붙임3. 현지입찰 서류 및 계약서류(안)/IKHCC Section 4 - IKHCC BLANK BOQ 250430/4 MECH/BLANK BILL.MECH(MEP).xls</x:v>
      </x:c>
      <x:c r="E69" s="22" t="str">
        <x:v>.xls</x:v>
      </x:c>
      <x:c r="F69" s="28" t="n">
        <x:v>1337344</x:v>
      </x:c>
      <x:c r="G69" s="28" t="str">
        <x:v>2d0e5689227e4bbd2311904d4351ff0bca308e5b11c4d1d202496909acd5388c</x:v>
      </x:c>
      <x:c r="H69" s="28" t="n">
        <x:v>1</x:v>
      </x:c>
      <x:c r="I69" s="28" t="n">
        <x:v>1</x:v>
      </x:c>
      <x:c r="J69" s="28" t="n">
        <x:v>1</x:v>
      </x:c>
      <x:c r="K69" s="28" t="n">
        <x:v>831</x:v>
      </x:c>
      <x:c r="L69" s="28" t="n">
        <x:v>823</x:v>
      </x:c>
      <x:c r="M69" s="28" t="n">
        <x:v>1</x:v>
      </x:c>
      <x:c r="N69" s="22" t="str">
        <x:v>일위대가</x:v>
      </x:c>
      <x:c r="O69" s="22" t="str">
        <x:v>hidden</x:v>
      </x:c>
      <x:c r="P69" s="22" t="n">
        <x:v>1</x:v>
      </x:c>
      <x:c r="Q69" s="40" t="n">
        <x:v>0.9903730445246691</x:v>
      </x:c>
      <x:c r="R69" s="25" t="str"/>
      <x:c r="S69" s="25" t="str">
        <x:v>A?</x:v>
      </x:c>
      <x:c r="T69" s="25" t="str">
        <x:v>자동 표 신호는 최종 A/B로 승격하지 않음</x:v>
      </x:c>
      <x:c r="U69" s="22" t="str">
        <x:v>2021-2025</x:v>
      </x:c>
    </x:row>
    <x:row r="70">
      <x:c r="A70" s="22" t="str">
        <x:v>2020-00119</x:v>
      </x:c>
      <x:c r="B70" s="22" t="str">
        <x:v>L2025-00070-1</x:v>
      </x:c>
      <x:c r="C70" s="22" t="str">
        <x:v>WORKS</x:v>
      </x:c>
      <x:c r="D70" s="25" t="str">
        <x:v>L2025-00070-1/붙임3. 현지입찰 서류 및 계약서류(안)/IKHCC Section 4 - IKHCC BLANK BOQ 250430/4 MECH/BLANK BILL.MECH(HOSPITAL).xls</x:v>
      </x:c>
      <x:c r="E70" s="22" t="str">
        <x:v>.xls</x:v>
      </x:c>
      <x:c r="F70" s="28" t="n">
        <x:v>1235968</x:v>
      </x:c>
      <x:c r="G70" s="28" t="str">
        <x:v>8720d754cc3e986be036e1cfdef45baf74559f7549f20d481b8bac23e8336af7</x:v>
      </x:c>
      <x:c r="H70" s="28" t="n">
        <x:v>1</x:v>
      </x:c>
      <x:c r="I70" s="28" t="n">
        <x:v>1</x:v>
      </x:c>
      <x:c r="J70" s="28" t="n">
        <x:v>1</x:v>
      </x:c>
      <x:c r="K70" s="28" t="n">
        <x:v>831</x:v>
      </x:c>
      <x:c r="L70" s="28" t="n">
        <x:v>823</x:v>
      </x:c>
      <x:c r="M70" s="28" t="n">
        <x:v>1</x:v>
      </x:c>
      <x:c r="N70" s="22" t="str">
        <x:v>일위대가</x:v>
      </x:c>
      <x:c r="O70" s="22" t="str">
        <x:v>hidden</x:v>
      </x:c>
      <x:c r="P70" s="22" t="n">
        <x:v>1</x:v>
      </x:c>
      <x:c r="Q70" s="40" t="n">
        <x:v>0.9903730445246691</x:v>
      </x:c>
      <x:c r="R70" s="25" t="str"/>
      <x:c r="S70" s="25" t="str">
        <x:v>A?</x:v>
      </x:c>
      <x:c r="T70" s="25" t="str">
        <x:v>자동 표 신호는 최종 A/B로 승격하지 않음</x:v>
      </x:c>
      <x:c r="U70" s="22" t="str">
        <x:v>2021-2025</x:v>
      </x:c>
    </x:row>
    <x:row r="71">
      <x:c r="A71" s="22" t="str">
        <x:v>2020-00119</x:v>
      </x:c>
      <x:c r="B71" s="22" t="str">
        <x:v>L2025-00070-1</x:v>
      </x:c>
      <x:c r="C71" s="22" t="str">
        <x:v>WORKS</x:v>
      </x:c>
      <x:c r="D71" s="25" t="str">
        <x:v>L2025-00070-1/붙임3. 현지입찰 서류 및 계약서류(안)/IKHCC Section 4 - IKHCC BLANK BOQ 250430/4 MECH/BLANK BILL.MECH(BRIDGE).xls</x:v>
      </x:c>
      <x:c r="E71" s="22" t="str">
        <x:v>.xls</x:v>
      </x:c>
      <x:c r="F71" s="28" t="n">
        <x:v>1424896</x:v>
      </x:c>
      <x:c r="G71" s="28" t="str">
        <x:v>b61e26e6dff7092b2fe58420cc843f0e7722f7a0335f7bcb6684128a02b6ec16</x:v>
      </x:c>
      <x:c r="H71" s="28" t="n">
        <x:v>1</x:v>
      </x:c>
      <x:c r="I71" s="28" t="n">
        <x:v>1</x:v>
      </x:c>
      <x:c r="J71" s="28" t="n">
        <x:v>1</x:v>
      </x:c>
      <x:c r="K71" s="28" t="n">
        <x:v>831</x:v>
      </x:c>
      <x:c r="L71" s="28" t="n">
        <x:v>823</x:v>
      </x:c>
      <x:c r="M71" s="28" t="n">
        <x:v>1</x:v>
      </x:c>
      <x:c r="N71" s="22" t="str">
        <x:v>일위대가</x:v>
      </x:c>
      <x:c r="O71" s="22" t="str">
        <x:v>hidden</x:v>
      </x:c>
      <x:c r="P71" s="22" t="n">
        <x:v>1</x:v>
      </x:c>
      <x:c r="Q71" s="40" t="n">
        <x:v>0.9903730445246691</x:v>
      </x:c>
      <x:c r="R71" s="25" t="str"/>
      <x:c r="S71" s="25" t="str">
        <x:v>A?</x:v>
      </x:c>
      <x:c r="T71" s="25" t="str">
        <x:v>자동 표 신호는 최종 A/B로 승격하지 않음</x:v>
      </x:c>
      <x:c r="U71" s="22" t="str">
        <x:v>2021-2025</x:v>
      </x:c>
    </x:row>
    <x:row r="72">
      <x:c r="A72" s="22" t="str">
        <x:v>2020-00119</x:v>
      </x:c>
      <x:c r="B72" s="22" t="str">
        <x:v>L2025-00070-1</x:v>
      </x:c>
      <x:c r="C72" s="22" t="str">
        <x:v>WORKS</x:v>
      </x:c>
      <x:c r="D72" s="25" t="str">
        <x:v>L2025-00070-1/붙임3. 현지입찰 서류 및 계약서류(안)/IKHCC Section 4 - IKHCC BLANK BOQ 250430/5 ELEC/BLANK BILL-ELEC - B (MEP BUILDING).xlsm</x:v>
      </x:c>
      <x:c r="E72" s="22" t="str">
        <x:v>.xlsm</x:v>
      </x:c>
      <x:c r="F72" s="28" t="n">
        <x:v>426206</x:v>
      </x:c>
      <x:c r="G72" s="28" t="str">
        <x:v>a636920d68a78ac587cf8191a42250b0ff1dfc635a3cc17d571310e580570bae</x:v>
      </x:c>
      <x:c r="H72" s="28" t="n">
        <x:v>1</x:v>
      </x:c>
      <x:c r="I72" s="28" t="n">
        <x:v>1</x:v>
      </x:c>
      <x:c r="J72" s="28" t="n">
        <x:v>3</x:v>
      </x:c>
      <x:c r="K72" s="28" t="n">
        <x:v>1476</x:v>
      </x:c>
      <x:c r="L72" s="28" t="n">
        <x:v>161</x:v>
      </x:c>
      <x:c r="M72" s="28" t="n">
        <x:v>0</x:v>
      </x:c>
      <x:c r="N72" s="22" t="str">
        <x:v>일위을지</x:v>
      </x:c>
      <x:c r="O72" s="22" t="str">
        <x:v>hidden</x:v>
      </x:c>
      <x:c r="P72" s="22" t="n">
        <x:v>1</x:v>
      </x:c>
      <x:c r="Q72" s="40" t="n">
        <x:v>0.023712737127371274</x:v>
      </x:c>
      <x:c r="R72" s="25" t="str"/>
      <x:c r="S72" s="25" t="str">
        <x:v>B?</x:v>
      </x:c>
      <x:c r="T72" s="25" t="str">
        <x:v>자동 표 신호는 최종 A/B로 승격하지 않음</x:v>
      </x:c>
      <x:c r="U72" s="22" t="str">
        <x:v>2021-2025</x:v>
      </x:c>
    </x:row>
    <x:row r="73">
      <x:c r="A73" s="22" t="str">
        <x:v>2020-00119</x:v>
      </x:c>
      <x:c r="B73" s="22" t="str">
        <x:v>L2025-00070-1</x:v>
      </x:c>
      <x:c r="C73" s="22" t="str">
        <x:v>WORKS</x:v>
      </x:c>
      <x:c r="D73" s="25" t="str">
        <x:v>L2025-00070-1/붙임3. 현지입찰 서류 및 계약서류(안)/IKHCC Section 4 - IKHCC BLANK BOQ 250430/5 ELEC/BLANK BILL-ELEC - 0 (TOTAL).xlsm</x:v>
      </x:c>
      <x:c r="E73" s="22" t="str">
        <x:v>.xlsm</x:v>
      </x:c>
      <x:c r="F73" s="28" t="n">
        <x:v>445864</x:v>
      </x:c>
      <x:c r="G73" s="28" t="str">
        <x:v>d25f2183117ab557937eb36e84232913bee71efc309a28cb39e31bb1600e812d</x:v>
      </x:c>
      <x:c r="H73" s="28" t="n">
        <x:v>1</x:v>
      </x:c>
      <x:c r="I73" s="28" t="n">
        <x:v>1</x:v>
      </x:c>
      <x:c r="J73" s="28" t="n">
        <x:v>3</x:v>
      </x:c>
      <x:c r="K73" s="28" t="n">
        <x:v>1476</x:v>
      </x:c>
      <x:c r="L73" s="28" t="n">
        <x:v>161</x:v>
      </x:c>
      <x:c r="M73" s="28" t="n">
        <x:v>0</x:v>
      </x:c>
      <x:c r="N73" s="22" t="str">
        <x:v>일위을지</x:v>
      </x:c>
      <x:c r="O73" s="22" t="str">
        <x:v>hidden</x:v>
      </x:c>
      <x:c r="P73" s="22" t="n">
        <x:v>1</x:v>
      </x:c>
      <x:c r="Q73" s="40" t="n">
        <x:v>0.023712737127371274</x:v>
      </x:c>
      <x:c r="R73" s="25" t="str"/>
      <x:c r="S73" s="25" t="str">
        <x:v>B?</x:v>
      </x:c>
      <x:c r="T73" s="25" t="str">
        <x:v>자동 표 신호는 최종 A/B로 승격하지 않음</x:v>
      </x:c>
      <x:c r="U73" s="22" t="str">
        <x:v>2021-2025</x:v>
      </x:c>
    </x:row>
    <x:row r="74">
      <x:c r="A74" s="22" t="str">
        <x:v>2020-00119</x:v>
      </x:c>
      <x:c r="B74" s="22" t="str">
        <x:v>L2025-00070-1</x:v>
      </x:c>
      <x:c r="C74" s="22" t="str">
        <x:v>WORKS</x:v>
      </x:c>
      <x:c r="D74" s="25" t="str">
        <x:v>L2025-00070-1/붙임3. 현지입찰 서류 및 계약서류(안)/IKHCC Section 4 - IKHCC BLANK BOQ 250430/5 ELEC/BLANK BILL-ELEC - A (HOSPITAL).xlsm</x:v>
      </x:c>
      <x:c r="E74" s="22" t="str">
        <x:v>.xlsm</x:v>
      </x:c>
      <x:c r="F74" s="28" t="n">
        <x:v>408853</x:v>
      </x:c>
      <x:c r="G74" s="28" t="str">
        <x:v>2762730f368573765a903e44a95f853b9bf81dd42ff99e7cc12547936ae1f2d4</x:v>
      </x:c>
      <x:c r="H74" s="28" t="n">
        <x:v>1</x:v>
      </x:c>
      <x:c r="I74" s="28" t="n">
        <x:v>1</x:v>
      </x:c>
      <x:c r="J74" s="28" t="n">
        <x:v>3</x:v>
      </x:c>
      <x:c r="K74" s="28" t="n">
        <x:v>1476</x:v>
      </x:c>
      <x:c r="L74" s="28" t="n">
        <x:v>35</x:v>
      </x:c>
      <x:c r="M74" s="28" t="n">
        <x:v>0</x:v>
      </x:c>
      <x:c r="N74" s="22" t="str">
        <x:v>일위을지</x:v>
      </x:c>
      <x:c r="O74" s="22" t="str">
        <x:v>hidden</x:v>
      </x:c>
      <x:c r="P74" s="22" t="n">
        <x:v>1</x:v>
      </x:c>
      <x:c r="Q74" s="40" t="n">
        <x:v>0.023712737127371274</x:v>
      </x:c>
      <x:c r="R74" s="25" t="str"/>
      <x:c r="S74" s="25" t="str">
        <x:v>B?</x:v>
      </x:c>
      <x:c r="T74" s="25" t="str">
        <x:v>자동 표 신호는 최종 A/B로 승격하지 않음</x:v>
      </x:c>
      <x:c r="U74" s="22" t="str">
        <x:v>2021-2025</x:v>
      </x:c>
    </x:row>
    <x:row r="75">
      <x:c r="A75" s="22" t="str">
        <x:v>2020-00119</x:v>
      </x:c>
      <x:c r="B75" s="22" t="str">
        <x:v>L2025-00070-1</x:v>
      </x:c>
      <x:c r="C75" s="22" t="str">
        <x:v>WORKS</x:v>
      </x:c>
      <x:c r="D75" s="25" t="str">
        <x:v>L2025-00070-1/붙임3. 현지입찰 서류 및 계약서류(안)/IKHCC Section 4 - IKHCC BLANK BOQ 250430/5 ELEC/BLANK BILL-ELEC - C (BRIDGE).xlsm</x:v>
      </x:c>
      <x:c r="E75" s="22" t="str">
        <x:v>.xlsm</x:v>
      </x:c>
      <x:c r="F75" s="28" t="n">
        <x:v>448183</x:v>
      </x:c>
      <x:c r="G75" s="28" t="str">
        <x:v>6010a7c5eb8dae6bd6aea630ea1e2547859f41b179030218ee09fbd928fffc8e</x:v>
      </x:c>
      <x:c r="H75" s="28" t="n">
        <x:v>1</x:v>
      </x:c>
      <x:c r="I75" s="28" t="n">
        <x:v>1</x:v>
      </x:c>
      <x:c r="J75" s="28" t="n">
        <x:v>3</x:v>
      </x:c>
      <x:c r="K75" s="28" t="n">
        <x:v>1476</x:v>
      </x:c>
      <x:c r="L75" s="28" t="n">
        <x:v>161</x:v>
      </x:c>
      <x:c r="M75" s="28" t="n">
        <x:v>0</x:v>
      </x:c>
      <x:c r="N75" s="22" t="str">
        <x:v>일위을지</x:v>
      </x:c>
      <x:c r="O75" s="22" t="str">
        <x:v>hidden</x:v>
      </x:c>
      <x:c r="P75" s="22" t="n">
        <x:v>1</x:v>
      </x:c>
      <x:c r="Q75" s="40" t="n">
        <x:v>0.023712737127371274</x:v>
      </x:c>
      <x:c r="R75" s="25" t="str"/>
      <x:c r="S75" s="25" t="str">
        <x:v>B?</x:v>
      </x:c>
      <x:c r="T75" s="25" t="str">
        <x:v>자동 표 신호는 최종 A/B로 승격하지 않음</x:v>
      </x:c>
      <x:c r="U75" s="22" t="str">
        <x:v>2021-2025</x:v>
      </x:c>
    </x:row>
    <x:row r="76">
      <x:c r="A76" s="22" t="str">
        <x:v>2020-00119</x:v>
      </x:c>
      <x:c r="B76" s="22" t="str">
        <x:v>L2025-00070-1</x:v>
      </x:c>
      <x:c r="C76" s="22" t="str">
        <x:v>WORKS</x:v>
      </x:c>
      <x:c r="D76" s="25" t="str">
        <x:v>L2025-00070-1/붙임3. 현지입찰 서류 및 계약서류(안)/IKHCC Section 4 - IKHCC BLANK BOQ 250430/6 COMMUN/BLANK BILL-COMMUN - 0 (TOTAL).xlsm</x:v>
      </x:c>
      <x:c r="E76" s="22" t="str">
        <x:v>.xlsm</x:v>
      </x:c>
      <x:c r="F76" s="28" t="n">
        <x:v>271765</x:v>
      </x:c>
      <x:c r="G76" s="28" t="str">
        <x:v>1006eec1b38bda7bcedfcdd748e4c48cadd10a929e94b06fc6de7440fc0948c9</x:v>
      </x:c>
      <x:c r="H76" s="28" t="n">
        <x:v>1</x:v>
      </x:c>
      <x:c r="I76" s="28" t="n">
        <x:v>1</x:v>
      </x:c>
      <x:c r="J76" s="28" t="n">
        <x:v>3</x:v>
      </x:c>
      <x:c r="K76" s="28" t="n">
        <x:v>826</x:v>
      </x:c>
      <x:c r="L76" s="28" t="n">
        <x:v>95</x:v>
      </x:c>
      <x:c r="M76" s="28" t="n">
        <x:v>0</x:v>
      </x:c>
      <x:c r="N76" s="22" t="str">
        <x:v>일위을지</x:v>
      </x:c>
      <x:c r="O76" s="22" t="str">
        <x:v>hidden</x:v>
      </x:c>
      <x:c r="P76" s="22" t="n">
        <x:v>1</x:v>
      </x:c>
      <x:c r="Q76" s="40" t="n">
        <x:v>0.0811138014527845</x:v>
      </x:c>
      <x:c r="R76" s="25" t="str"/>
      <x:c r="S76" s="25" t="str">
        <x:v>B?</x:v>
      </x:c>
      <x:c r="T76" s="25" t="str">
        <x:v>자동 표 신호는 최종 A/B로 승격하지 않음</x:v>
      </x:c>
      <x:c r="U76" s="22" t="str">
        <x:v>2021-2025</x:v>
      </x:c>
    </x:row>
    <x:row r="77">
      <x:c r="A77" s="22" t="str">
        <x:v>2020-00119</x:v>
      </x:c>
      <x:c r="B77" s="22" t="str">
        <x:v>L2025-00070-1</x:v>
      </x:c>
      <x:c r="C77" s="22" t="str">
        <x:v>WORKS</x:v>
      </x:c>
      <x:c r="D77" s="25" t="str">
        <x:v>L2025-00070-1/붙임3. 현지입찰 서류 및 계약서류(안)/IKHCC Section 4 - IKHCC BLANK BOQ 250430/6 COMMUN/BLANK BILL-COMMUN - C (BRIDGE).xlsm</x:v>
      </x:c>
      <x:c r="E77" s="22" t="str">
        <x:v>.xlsm</x:v>
      </x:c>
      <x:c r="F77" s="28" t="n">
        <x:v>276178</x:v>
      </x:c>
      <x:c r="G77" s="28" t="str">
        <x:v>dd5783efd02abd570ad15930d2d60e0fe1ccca7cfd9e9e51e7fca3b73ad40ea9</x:v>
      </x:c>
      <x:c r="H77" s="28" t="n">
        <x:v>1</x:v>
      </x:c>
      <x:c r="I77" s="28" t="n">
        <x:v>1</x:v>
      </x:c>
      <x:c r="J77" s="28" t="n">
        <x:v>3</x:v>
      </x:c>
      <x:c r="K77" s="28" t="n">
        <x:v>826</x:v>
      </x:c>
      <x:c r="L77" s="28" t="n">
        <x:v>95</x:v>
      </x:c>
      <x:c r="M77" s="28" t="n">
        <x:v>0</x:v>
      </x:c>
      <x:c r="N77" s="22" t="str">
        <x:v>일위을지</x:v>
      </x:c>
      <x:c r="O77" s="22" t="str">
        <x:v>hidden</x:v>
      </x:c>
      <x:c r="P77" s="22" t="n">
        <x:v>1</x:v>
      </x:c>
      <x:c r="Q77" s="40" t="n">
        <x:v>0.0811138014527845</x:v>
      </x:c>
      <x:c r="R77" s="25" t="str"/>
      <x:c r="S77" s="25" t="str">
        <x:v>B?</x:v>
      </x:c>
      <x:c r="T77" s="25" t="str">
        <x:v>자동 표 신호는 최종 A/B로 승격하지 않음</x:v>
      </x:c>
      <x:c r="U77" s="22" t="str">
        <x:v>2021-2025</x:v>
      </x:c>
    </x:row>
    <x:row r="78">
      <x:c r="A78" s="22" t="str">
        <x:v>2020-00119</x:v>
      </x:c>
      <x:c r="B78" s="22" t="str">
        <x:v>L2025-00070-1</x:v>
      </x:c>
      <x:c r="C78" s="22" t="str">
        <x:v>WORKS</x:v>
      </x:c>
      <x:c r="D78" s="25" t="str">
        <x:v>L2025-00070-1/붙임3. 현지입찰 서류 및 계약서류(안)/IKHCC Section 4 - IKHCC BLANK BOQ 250430/6 COMMUN/BLANK BILL-COMMUN - B (MEP BUILDING).xlsm</x:v>
      </x:c>
      <x:c r="E78" s="22" t="str">
        <x:v>.xlsm</x:v>
      </x:c>
      <x:c r="F78" s="28" t="n">
        <x:v>272559</x:v>
      </x:c>
      <x:c r="G78" s="28" t="str">
        <x:v>3d2844ae8dc01c300385769bb2746bebf9b88b27b770c7e0f1be5378dbc6f64b</x:v>
      </x:c>
      <x:c r="H78" s="28" t="n">
        <x:v>1</x:v>
      </x:c>
      <x:c r="I78" s="28" t="n">
        <x:v>1</x:v>
      </x:c>
      <x:c r="J78" s="28" t="n">
        <x:v>3</x:v>
      </x:c>
      <x:c r="K78" s="28" t="n">
        <x:v>826</x:v>
      </x:c>
      <x:c r="L78" s="28" t="n">
        <x:v>95</x:v>
      </x:c>
      <x:c r="M78" s="28" t="n">
        <x:v>0</x:v>
      </x:c>
      <x:c r="N78" s="22" t="str">
        <x:v>일위을지</x:v>
      </x:c>
      <x:c r="O78" s="22" t="str">
        <x:v>hidden</x:v>
      </x:c>
      <x:c r="P78" s="22" t="n">
        <x:v>1</x:v>
      </x:c>
      <x:c r="Q78" s="40" t="n">
        <x:v>0.0811138014527845</x:v>
      </x:c>
      <x:c r="R78" s="25" t="str"/>
      <x:c r="S78" s="25" t="str">
        <x:v>B?</x:v>
      </x:c>
      <x:c r="T78" s="25" t="str">
        <x:v>자동 표 신호는 최종 A/B로 승격하지 않음</x:v>
      </x:c>
      <x:c r="U78" s="22" t="str">
        <x:v>2021-2025</x:v>
      </x:c>
    </x:row>
    <x:row r="79">
      <x:c r="A79" s="22" t="str">
        <x:v>2020-00119</x:v>
      </x:c>
      <x:c r="B79" s="22" t="str">
        <x:v>L2025-00070-1</x:v>
      </x:c>
      <x:c r="C79" s="22" t="str">
        <x:v>WORKS</x:v>
      </x:c>
      <x:c r="D79" s="25" t="str">
        <x:v>L2025-00070-1/붙임3. 현지입찰 서류 및 계약서류(안)/IKHCC Section 4 - IKHCC BLANK BOQ 250430/6 COMMUN/BLANK BILL-COMMUN - A (HOSPITAL).xlsm</x:v>
      </x:c>
      <x:c r="E79" s="22" t="str">
        <x:v>.xlsm</x:v>
      </x:c>
      <x:c r="F79" s="28" t="n">
        <x:v>242663</x:v>
      </x:c>
      <x:c r="G79" s="28" t="str">
        <x:v>d156c3b2a4f144fad57ffe385bf9404bcb64a71d2c6160fa17874405cfd70c81</x:v>
      </x:c>
      <x:c r="H79" s="28" t="n">
        <x:v>1</x:v>
      </x:c>
      <x:c r="I79" s="28" t="n">
        <x:v>1</x:v>
      </x:c>
      <x:c r="J79" s="28" t="n">
        <x:v>3</x:v>
      </x:c>
      <x:c r="K79" s="28" t="n">
        <x:v>826</x:v>
      </x:c>
      <x:c r="L79" s="28" t="n">
        <x:v>67</x:v>
      </x:c>
      <x:c r="M79" s="28" t="n">
        <x:v>0</x:v>
      </x:c>
      <x:c r="N79" s="22" t="str">
        <x:v>일위을지</x:v>
      </x:c>
      <x:c r="O79" s="22" t="str">
        <x:v>hidden</x:v>
      </x:c>
      <x:c r="P79" s="22" t="n">
        <x:v>1</x:v>
      </x:c>
      <x:c r="Q79" s="40" t="n">
        <x:v>0.0811138014527845</x:v>
      </x:c>
      <x:c r="R79" s="25" t="str"/>
      <x:c r="S79" s="25" t="str">
        <x:v>B?</x:v>
      </x:c>
      <x:c r="T79" s="25" t="str">
        <x:v>자동 표 신호는 최종 A/B로 승격하지 않음</x:v>
      </x:c>
      <x:c r="U79" s="22" t="str">
        <x:v>2021-2025</x:v>
      </x:c>
    </x:row>
    <x:row r="80">
      <x:c r="A80" s="22" t="str">
        <x:v>2020-00119</x:v>
      </x:c>
      <x:c r="B80" s="22" t="str">
        <x:v>L2025-00070-1</x:v>
      </x:c>
      <x:c r="C80" s="22" t="str">
        <x:v>WORKS</x:v>
      </x:c>
      <x:c r="D80" s="25" t="str">
        <x:v>L2025-00070-1/붙임3. 현지입찰 서류 및 계약서류(안)/IKHCC Section 4 - IKHCC BLANK BOQ 250430/1 Architectural &amp; summery/BILL No1 -Architectural Works-01. HOSPITAL(BLANK BILL).xlsx</x:v>
      </x:c>
      <x:c r="E80" s="22" t="str">
        <x:v>.xlsx</x:v>
      </x:c>
      <x:c r="F80" s="28" t="n">
        <x:v>677921</x:v>
      </x:c>
      <x:c r="G80" s="28" t="str">
        <x:v>47d79c95e2c3273f84778935276c94526e369cc1b1bc057f6b03c998f44e253f</x:v>
      </x:c>
      <x:c r="H80" s="28" t="n">
        <x:v>1</x:v>
      </x:c>
      <x:c r="I80" s="28" t="n">
        <x:v>1</x:v>
      </x:c>
      <x:c r="J80" s="28" t="n">
        <x:v>2</x:v>
      </x:c>
      <x:c r="K80" s="28" t="n">
        <x:v>377</x:v>
      </x:c>
      <x:c r="L80" s="28" t="n">
        <x:v>0</x:v>
      </x:c>
      <x:c r="M80" s="28" t="n">
        <x:v>0</x:v>
      </x:c>
      <x:c r="N80" s="22" t="str">
        <x:v>Works particular bill</x:v>
      </x:c>
      <x:c r="O80" s="22" t="str">
        <x:v>visible</x:v>
      </x:c>
      <x:c r="P80" s="22" t="n">
        <x:v>1</x:v>
      </x:c>
      <x:c r="Q80" s="40" t="n">
        <x:v>0</x:v>
      </x:c>
      <x:c r="R80" s="25" t="str"/>
      <x:c r="S80" s="25" t="str">
        <x:v>B?</x:v>
      </x:c>
      <x:c r="T80" s="25" t="str">
        <x:v>자동 표 신호는 최종 A/B로 승격하지 않음</x:v>
      </x:c>
      <x:c r="U80" s="22" t="str">
        <x:v>2021-2025</x:v>
      </x:c>
    </x:row>
    <x:row r="81">
      <x:c r="A81" s="22" t="str">
        <x:v>2020-00119</x:v>
      </x:c>
      <x:c r="B81" s="22" t="str">
        <x:v>L2025-00070-1</x:v>
      </x:c>
      <x:c r="C81" s="22" t="str">
        <x:v>WORKS</x:v>
      </x:c>
      <x:c r="D81" s="25" t="str">
        <x:v>L2025-00070-1/붙임3. 현지입찰 서류 및 계약서류(안)/IKHCC Section 4 - IKHCC BLANK BOQ 250430/1 Architectural &amp; summery/BILL No1 -Architectural Works-03. BRIDGE(BLANK BILL).xlsx</x:v>
      </x:c>
      <x:c r="E81" s="22" t="str">
        <x:v>.xlsx</x:v>
      </x:c>
      <x:c r="F81" s="28" t="n">
        <x:v>643812</x:v>
      </x:c>
      <x:c r="G81" s="28" t="str">
        <x:v>9af2b1263622fb9487fbf8ea97b31ead65763962f1c58d657985557a58983e83</x:v>
      </x:c>
      <x:c r="H81" s="28" t="n">
        <x:v>1</x:v>
      </x:c>
      <x:c r="I81" s="28" t="n">
        <x:v>1</x:v>
      </x:c>
      <x:c r="J81" s="28" t="n">
        <x:v>2</x:v>
      </x:c>
      <x:c r="K81" s="28" t="n">
        <x:v>48</x:v>
      </x:c>
      <x:c r="L81" s="28" t="n">
        <x:v>0</x:v>
      </x:c>
      <x:c r="M81" s="28" t="n">
        <x:v>0</x:v>
      </x:c>
      <x:c r="N81" s="22" t="str">
        <x:v>Works particular bill</x:v>
      </x:c>
      <x:c r="O81" s="22" t="str">
        <x:v>visible</x:v>
      </x:c>
      <x:c r="P81" s="22" t="n">
        <x:v>1</x:v>
      </x:c>
      <x:c r="Q81" s="40" t="n">
        <x:v>0</x:v>
      </x:c>
      <x:c r="R81" s="25" t="str"/>
      <x:c r="S81" s="25" t="str">
        <x:v>B?</x:v>
      </x:c>
      <x:c r="T81" s="25" t="str">
        <x:v>자동 표 신호는 최종 A/B로 승격하지 않음</x:v>
      </x:c>
      <x:c r="U81" s="22" t="str">
        <x:v>2021-2025</x:v>
      </x:c>
    </x:row>
    <x:row r="82">
      <x:c r="A82" s="22" t="str">
        <x:v>2020-00119</x:v>
      </x:c>
      <x:c r="B82" s="22" t="str">
        <x:v>L2025-00070-1</x:v>
      </x:c>
      <x:c r="C82" s="22" t="str">
        <x:v>WORKS</x:v>
      </x:c>
      <x:c r="D82" s="25" t="str">
        <x:v>L2025-00070-1/붙임3. 현지입찰 서류 및 계약서류(안)/IKHCC Section 4 - IKHCC BLANK BOQ 250430/1 Architectural &amp; summery/BILL No1 -Architectural Works-02. MEP BUILDING(BLANK BILL).xlsx</x:v>
      </x:c>
      <x:c r="E82" s="22" t="str">
        <x:v>.xlsx</x:v>
      </x:c>
      <x:c r="F82" s="28" t="n">
        <x:v>670008</x:v>
      </x:c>
      <x:c r="G82" s="28" t="str">
        <x:v>e882c3f7b2c691fc22ee6ee99fba87f9ca830eb3c133892b8c8800d7d02e97cb</x:v>
      </x:c>
      <x:c r="H82" s="28" t="n">
        <x:v>1</x:v>
      </x:c>
      <x:c r="I82" s="28" t="n">
        <x:v>1</x:v>
      </x:c>
      <x:c r="J82" s="28" t="n">
        <x:v>2</x:v>
      </x:c>
      <x:c r="K82" s="28" t="n">
        <x:v>149</x:v>
      </x:c>
      <x:c r="L82" s="28" t="n">
        <x:v>0</x:v>
      </x:c>
      <x:c r="M82" s="28" t="n">
        <x:v>0</x:v>
      </x:c>
      <x:c r="N82" s="22" t="str">
        <x:v>Works particular bill</x:v>
      </x:c>
      <x:c r="O82" s="22" t="str">
        <x:v>visible</x:v>
      </x:c>
      <x:c r="P82" s="22" t="n">
        <x:v>1</x:v>
      </x:c>
      <x:c r="Q82" s="40" t="n">
        <x:v>0</x:v>
      </x:c>
      <x:c r="R82" s="25" t="str"/>
      <x:c r="S82" s="25" t="str">
        <x:v>B?</x:v>
      </x:c>
      <x:c r="T82" s="25" t="str">
        <x:v>자동 표 신호는 최종 A/B로 승격하지 않음</x:v>
      </x:c>
      <x:c r="U82" s="22" t="str">
        <x:v>2021-2025</x:v>
      </x:c>
    </x:row>
    <x:row r="83">
      <x:c r="A83" s="22" t="str">
        <x:v>2020-00119</x:v>
      </x:c>
      <x:c r="B83" s="22" t="str">
        <x:v>L2025-00070-1</x:v>
      </x:c>
      <x:c r="C83" s="22" t="str">
        <x:v>WORKS</x:v>
      </x:c>
      <x:c r="D83" s="25" t="str">
        <x:v>L2025-00070-1/붙임3. 현지입찰 서류 및 계약서류(안)/IKHCC Section 4 - IKHCC BLANK BOQ 250430/1 Architectural &amp; summery/Bill _Total Cost Summary-Blank 250306.xlsx</x:v>
      </x:c>
      <x:c r="E83" s="22" t="str">
        <x:v>.xlsx</x:v>
      </x:c>
      <x:c r="F83" s="28" t="n">
        <x:v>636201</x:v>
      </x:c>
      <x:c r="G83" s="28" t="str">
        <x:v>91332400de69e34ae40026af2416f1b516644fe7da6004e86983efa25e049eac</x:v>
      </x:c>
      <x:c r="H83" s="28" t="n">
        <x:v>1</x:v>
      </x:c>
      <x:c r="I83" s="28" t="n">
        <x:v>1</x:v>
      </x:c>
      <x:c r="J83" s="28" t="n">
        <x:v>0</x:v>
      </x:c>
      <x:c r="K83" s="28" t="n">
        <x:v>0</x:v>
      </x:c>
      <x:c r="L83" s="28" t="n">
        <x:v>0</x:v>
      </x:c>
      <x:c r="M83" s="28" t="n">
        <x:v>0</x:v>
      </x:c>
      <x:c r="N83" s="22" t="str"/>
      <x:c r="O83" s="22" t="str"/>
      <x:c r="P83" s="22" t="n">
        <x:v>0</x:v>
      </x:c>
      <x:c r="Q83" s="40" t="n">
        <x:v>0</x:v>
      </x:c>
      <x:c r="R83" s="25" t="str"/>
      <x:c r="S83" s="25" t="str">
        <x:v>BOQ_NAME_ONLY</x:v>
      </x:c>
      <x:c r="T83" s="25" t="str">
        <x:v>자동 표 신호는 최종 A/B로 승격하지 않음</x:v>
      </x:c>
      <x:c r="U83" s="22" t="str">
        <x:v>2021-2025</x:v>
      </x:c>
    </x:row>
    <x:row r="84">
      <x:c r="A84" s="22" t="str">
        <x:v>2020-00119</x:v>
      </x:c>
      <x:c r="B84" s="22" t="str">
        <x:v>L2025-00070-1</x:v>
      </x:c>
      <x:c r="C84" s="22" t="str">
        <x:v>WORKS</x:v>
      </x:c>
      <x:c r="D84" s="25" t="str">
        <x:v>L2025-00070-1/붙임3. 현지입찰 서류 및 계약서류(안)/IKHCC Section 4 - IKHCC BLANK BOQ 250430/2 Land/BILL No2-LAND-blank.xlsx</x:v>
      </x:c>
      <x:c r="E84" s="22" t="str">
        <x:v>.xlsx</x:v>
      </x:c>
      <x:c r="F84" s="28" t="n">
        <x:v>61604</x:v>
      </x:c>
      <x:c r="G84" s="28" t="str">
        <x:v>c1bc5d70f7890380284bc1ac52db2ebd9027a588f1855aab191d262d2d5e98ba</x:v>
      </x:c>
      <x:c r="H84" s="28" t="n">
        <x:v>1</x:v>
      </x:c>
      <x:c r="I84" s="28" t="n">
        <x:v>1</x:v>
      </x:c>
      <x:c r="J84" s="28" t="n">
        <x:v>0</x:v>
      </x:c>
      <x:c r="K84" s="28" t="n">
        <x:v>0</x:v>
      </x:c>
      <x:c r="L84" s="28" t="n">
        <x:v>0</x:v>
      </x:c>
      <x:c r="M84" s="28" t="n">
        <x:v>0</x:v>
      </x:c>
      <x:c r="N84" s="22" t="str"/>
      <x:c r="O84" s="22" t="str"/>
      <x:c r="P84" s="22" t="n">
        <x:v>0</x:v>
      </x:c>
      <x:c r="Q84" s="40" t="n">
        <x:v>0</x:v>
      </x:c>
      <x:c r="R84" s="25" t="str"/>
      <x:c r="S84" s="25" t="str">
        <x:v>BOQ_NAME_ONLY</x:v>
      </x:c>
      <x:c r="T84" s="25" t="str">
        <x:v>자동 표 신호는 최종 A/B로 승격하지 않음</x:v>
      </x:c>
      <x:c r="U84" s="22" t="str">
        <x:v>2021-2025</x:v>
      </x:c>
    </x:row>
    <x:row r="85">
      <x:c r="A85" s="22" t="str">
        <x:v>2020-00119</x:v>
      </x:c>
      <x:c r="B85" s="22" t="str">
        <x:v>L2025-00070-1</x:v>
      </x:c>
      <x:c r="C85" s="22" t="str">
        <x:v>WORKS</x:v>
      </x:c>
      <x:c r="D85" s="25" t="str">
        <x:v>L2025-00070-1/붙임3. 현지입찰 서류 및 계약서류(안)/IKHCC Section 4 - IKHCC BLANK BOQ 250430/7 FIRE FIGHTING/FIREFIGHTING_ELEC/BLANK BILL-FIRE FIGHTING ELEC - 0 (TOTAL).xlsm</x:v>
      </x:c>
      <x:c r="E85" s="22" t="str">
        <x:v>.xlsm</x:v>
      </x:c>
      <x:c r="F85" s="28" t="n">
        <x:v>107555</x:v>
      </x:c>
      <x:c r="G85" s="28" t="str">
        <x:v>83f64c03b3ed36d32e44a5a855a050c75a9fdca09e13d0409d4bbfc481a02d66</x:v>
      </x:c>
      <x:c r="H85" s="28" t="n">
        <x:v>1</x:v>
      </x:c>
      <x:c r="I85" s="28" t="n">
        <x:v>1</x:v>
      </x:c>
      <x:c r="J85" s="28" t="n">
        <x:v>3</x:v>
      </x:c>
      <x:c r="K85" s="28" t="n">
        <x:v>250</x:v>
      </x:c>
      <x:c r="L85" s="28" t="n">
        <x:v>86</x:v>
      </x:c>
      <x:c r="M85" s="28" t="n">
        <x:v>0</x:v>
      </x:c>
      <x:c r="N85" s="22" t="str">
        <x:v>일위을지</x:v>
      </x:c>
      <x:c r="O85" s="22" t="str">
        <x:v>hidden</x:v>
      </x:c>
      <x:c r="P85" s="22" t="n">
        <x:v>1</x:v>
      </x:c>
      <x:c r="Q85" s="40" t="n">
        <x:v>0</x:v>
      </x:c>
      <x:c r="R85" s="25" t="str"/>
      <x:c r="S85" s="25" t="str">
        <x:v>B?</x:v>
      </x:c>
      <x:c r="T85" s="25" t="str">
        <x:v>자동 표 신호는 최종 A/B로 승격하지 않음</x:v>
      </x:c>
      <x:c r="U85" s="22" t="str">
        <x:v>2021-2025</x:v>
      </x:c>
    </x:row>
    <x:row r="86">
      <x:c r="A86" s="22" t="str">
        <x:v>2020-00119</x:v>
      </x:c>
      <x:c r="B86" s="22" t="str">
        <x:v>L2025-00070-1</x:v>
      </x:c>
      <x:c r="C86" s="22" t="str">
        <x:v>WORKS</x:v>
      </x:c>
      <x:c r="D86" s="25" t="str">
        <x:v>L2025-00070-1/붙임3. 현지입찰 서류 및 계약서류(안)/IKHCC Section 4 - IKHCC BLANK BOQ 250430/7 FIRE FIGHTING/FIREFIGHTING_ELEC/BLANK BILL-FIRE FIGHTING ELEC - C (BRIDGE).xlsm</x:v>
      </x:c>
      <x:c r="E86" s="22" t="str">
        <x:v>.xlsm</x:v>
      </x:c>
      <x:c r="F86" s="28" t="n">
        <x:v>108291</x:v>
      </x:c>
      <x:c r="G86" s="28" t="str">
        <x:v>a66b56e34694551d25d1c71e5d21cdd34ef6cdc5d1fe9913d7a8fdd2168407ed</x:v>
      </x:c>
      <x:c r="H86" s="28" t="n">
        <x:v>1</x:v>
      </x:c>
      <x:c r="I86" s="28" t="n">
        <x:v>1</x:v>
      </x:c>
      <x:c r="J86" s="28" t="n">
        <x:v>3</x:v>
      </x:c>
      <x:c r="K86" s="28" t="n">
        <x:v>250</x:v>
      </x:c>
      <x:c r="L86" s="28" t="n">
        <x:v>75</x:v>
      </x:c>
      <x:c r="M86" s="28" t="n">
        <x:v>0</x:v>
      </x:c>
      <x:c r="N86" s="22" t="str">
        <x:v>일위을지</x:v>
      </x:c>
      <x:c r="O86" s="22" t="str">
        <x:v>hidden</x:v>
      </x:c>
      <x:c r="P86" s="22" t="n">
        <x:v>1</x:v>
      </x:c>
      <x:c r="Q86" s="40" t="n">
        <x:v>0</x:v>
      </x:c>
      <x:c r="R86" s="25" t="str"/>
      <x:c r="S86" s="25" t="str">
        <x:v>B?</x:v>
      </x:c>
      <x:c r="T86" s="25" t="str">
        <x:v>자동 표 신호는 최종 A/B로 승격하지 않음</x:v>
      </x:c>
      <x:c r="U86" s="22" t="str">
        <x:v>2021-2025</x:v>
      </x:c>
    </x:row>
    <x:row r="87">
      <x:c r="A87" s="22" t="str">
        <x:v>2020-00119</x:v>
      </x:c>
      <x:c r="B87" s="22" t="str">
        <x:v>L2025-00070-1</x:v>
      </x:c>
      <x:c r="C87" s="22" t="str">
        <x:v>WORKS</x:v>
      </x:c>
      <x:c r="D87" s="25" t="str">
        <x:v>L2025-00070-1/붙임3. 현지입찰 서류 및 계약서류(안)/IKHCC Section 4 - IKHCC BLANK BOQ 250430/7 FIRE FIGHTING/FIREFIGHTING_ELEC/BLANK BILL-FIRE FIGHTING ELEC - B (MEP BUILDING).xlsm</x:v>
      </x:c>
      <x:c r="E87" s="22" t="str">
        <x:v>.xlsm</x:v>
      </x:c>
      <x:c r="F87" s="28" t="n">
        <x:v>105175</x:v>
      </x:c>
      <x:c r="G87" s="28" t="str">
        <x:v>21ba91bb3b87cc4a3fbb83a64a4685c946ad254bee1449d1f253a46e3fbf8544</x:v>
      </x:c>
      <x:c r="H87" s="28" t="n">
        <x:v>1</x:v>
      </x:c>
      <x:c r="I87" s="28" t="n">
        <x:v>1</x:v>
      </x:c>
      <x:c r="J87" s="28" t="n">
        <x:v>3</x:v>
      </x:c>
      <x:c r="K87" s="28" t="n">
        <x:v>250</x:v>
      </x:c>
      <x:c r="L87" s="28" t="n">
        <x:v>51</x:v>
      </x:c>
      <x:c r="M87" s="28" t="n">
        <x:v>0</x:v>
      </x:c>
      <x:c r="N87" s="22" t="str">
        <x:v>일위을지</x:v>
      </x:c>
      <x:c r="O87" s="22" t="str">
        <x:v>hidden</x:v>
      </x:c>
      <x:c r="P87" s="22" t="n">
        <x:v>1</x:v>
      </x:c>
      <x:c r="Q87" s="40" t="n">
        <x:v>0</x:v>
      </x:c>
      <x:c r="R87" s="25" t="str"/>
      <x:c r="S87" s="25" t="str">
        <x:v>B?</x:v>
      </x:c>
      <x:c r="T87" s="25" t="str">
        <x:v>자동 표 신호는 최종 A/B로 승격하지 않음</x:v>
      </x:c>
      <x:c r="U87" s="22" t="str">
        <x:v>2021-2025</x:v>
      </x:c>
    </x:row>
    <x:row r="88">
      <x:c r="A88" s="22" t="str">
        <x:v>2020-00119</x:v>
      </x:c>
      <x:c r="B88" s="22" t="str">
        <x:v>L2025-00070-1</x:v>
      </x:c>
      <x:c r="C88" s="22" t="str">
        <x:v>WORKS</x:v>
      </x:c>
      <x:c r="D88" s="25" t="str">
        <x:v>L2025-00070-1/붙임3. 현지입찰 서류 및 계약서류(안)/IKHCC Section 4 - IKHCC BLANK BOQ 250430/7 FIRE FIGHTING/FIREFIGHTING_ELEC/BLANK BILL-FIRE FIGHTING ELEC - A (HOSPITAL).xlsm</x:v>
      </x:c>
      <x:c r="E88" s="22" t="str">
        <x:v>.xlsm</x:v>
      </x:c>
      <x:c r="F88" s="28" t="n">
        <x:v>105228</x:v>
      </x:c>
      <x:c r="G88" s="28" t="str">
        <x:v>9ffa9d47d2ec91c02914ee0d70e0bb54b361f4e85b738b4d24ed32dc1887b98a</x:v>
      </x:c>
      <x:c r="H88" s="28" t="n">
        <x:v>1</x:v>
      </x:c>
      <x:c r="I88" s="28" t="n">
        <x:v>1</x:v>
      </x:c>
      <x:c r="J88" s="28" t="n">
        <x:v>3</x:v>
      </x:c>
      <x:c r="K88" s="28" t="n">
        <x:v>250</x:v>
      </x:c>
      <x:c r="L88" s="28" t="n">
        <x:v>46</x:v>
      </x:c>
      <x:c r="M88" s="28" t="n">
        <x:v>0</x:v>
      </x:c>
      <x:c r="N88" s="22" t="str">
        <x:v>일위을지</x:v>
      </x:c>
      <x:c r="O88" s="22" t="str">
        <x:v>hidden</x:v>
      </x:c>
      <x:c r="P88" s="22" t="n">
        <x:v>1</x:v>
      </x:c>
      <x:c r="Q88" s="40" t="n">
        <x:v>0</x:v>
      </x:c>
      <x:c r="R88" s="25" t="str"/>
      <x:c r="S88" s="25" t="str">
        <x:v>B?</x:v>
      </x:c>
      <x:c r="T88" s="25" t="str">
        <x:v>자동 표 신호는 최종 A/B로 승격하지 않음</x:v>
      </x:c>
      <x:c r="U88" s="22" t="str">
        <x:v>2021-2025</x:v>
      </x:c>
    </x:row>
    <x:row r="89">
      <x:c r="A89" s="22" t="str">
        <x:v>2020-00119</x:v>
      </x:c>
      <x:c r="B89" s="22" t="str">
        <x:v>L2025-00070-1</x:v>
      </x:c>
      <x:c r="C89" s="22" t="str">
        <x:v>WORKS</x:v>
      </x:c>
      <x:c r="D89" s="25" t="str">
        <x:v>L2025-00070-1/붙임3. 현지입찰 서류 및 계약서류(안)/IKHCC Section 4 - IKHCC BLANK BOQ 250430/7 FIRE FIGHTING/FIREFIGHTING_MEC/BLANK BILL.MECH(MEP).xls</x:v>
      </x:c>
      <x:c r="E89" s="22" t="str">
        <x:v>.xls</x:v>
      </x:c>
      <x:c r="F89" s="28" t="n">
        <x:v>1337344</x:v>
      </x:c>
      <x:c r="G89" s="28" t="str">
        <x:v>2d0e5689227e4bbd2311904d4351ff0bca308e5b11c4d1d202496909acd5388c</x:v>
      </x:c>
      <x:c r="H89" s="28" t="n">
        <x:v>1</x:v>
      </x:c>
      <x:c r="I89" s="28" t="n">
        <x:v>1</x:v>
      </x:c>
      <x:c r="J89" s="28" t="n">
        <x:v>1</x:v>
      </x:c>
      <x:c r="K89" s="28" t="n">
        <x:v>831</x:v>
      </x:c>
      <x:c r="L89" s="28" t="n">
        <x:v>823</x:v>
      </x:c>
      <x:c r="M89" s="28" t="n">
        <x:v>1</x:v>
      </x:c>
      <x:c r="N89" s="22" t="str">
        <x:v>일위대가</x:v>
      </x:c>
      <x:c r="O89" s="22" t="str">
        <x:v>hidden</x:v>
      </x:c>
      <x:c r="P89" s="22" t="n">
        <x:v>1</x:v>
      </x:c>
      <x:c r="Q89" s="40" t="n">
        <x:v>0.9903730445246691</x:v>
      </x:c>
      <x:c r="R89" s="25" t="str"/>
      <x:c r="S89" s="25" t="str">
        <x:v>A?</x:v>
      </x:c>
      <x:c r="T89" s="25" t="str">
        <x:v>자동 표 신호는 최종 A/B로 승격하지 않음</x:v>
      </x:c>
      <x:c r="U89" s="22" t="str">
        <x:v>2021-2025</x:v>
      </x:c>
    </x:row>
    <x:row r="90">
      <x:c r="A90" s="22" t="str">
        <x:v>2020-00119</x:v>
      </x:c>
      <x:c r="B90" s="22" t="str">
        <x:v>L2025-00070-1</x:v>
      </x:c>
      <x:c r="C90" s="22" t="str">
        <x:v>WORKS</x:v>
      </x:c>
      <x:c r="D90" s="25" t="str">
        <x:v>L2025-00070-1/붙임3. 현지입찰 서류 및 계약서류(안)/IKHCC Section 4 - IKHCC BLANK BOQ 250430/7 FIRE FIGHTING/FIREFIGHTING_MEC/BLANK BILL.MECH(TOTAL).xls</x:v>
      </x:c>
      <x:c r="E90" s="22" t="str">
        <x:v>.xls</x:v>
      </x:c>
      <x:c r="F90" s="28" t="n">
        <x:v>1402880</x:v>
      </x:c>
      <x:c r="G90" s="28" t="str">
        <x:v>943c92d368e4e26e68ff2d5dc17a80fc0672c2766d586d3aa6c68578e0614040</x:v>
      </x:c>
      <x:c r="H90" s="28" t="n">
        <x:v>1</x:v>
      </x:c>
      <x:c r="I90" s="28" t="n">
        <x:v>1</x:v>
      </x:c>
      <x:c r="J90" s="28" t="n">
        <x:v>1</x:v>
      </x:c>
      <x:c r="K90" s="28" t="n">
        <x:v>831</x:v>
      </x:c>
      <x:c r="L90" s="28" t="n">
        <x:v>823</x:v>
      </x:c>
      <x:c r="M90" s="28" t="n">
        <x:v>1</x:v>
      </x:c>
      <x:c r="N90" s="22" t="str">
        <x:v>일위대가</x:v>
      </x:c>
      <x:c r="O90" s="22" t="str">
        <x:v>hidden</x:v>
      </x:c>
      <x:c r="P90" s="22" t="n">
        <x:v>1</x:v>
      </x:c>
      <x:c r="Q90" s="40" t="n">
        <x:v>0.9903730445246691</x:v>
      </x:c>
      <x:c r="R90" s="25" t="str"/>
      <x:c r="S90" s="25" t="str">
        <x:v>A?</x:v>
      </x:c>
      <x:c r="T90" s="25" t="str">
        <x:v>자동 표 신호는 최종 A/B로 승격하지 않음</x:v>
      </x:c>
      <x:c r="U90" s="22" t="str">
        <x:v>2021-2025</x:v>
      </x:c>
    </x:row>
    <x:row r="91">
      <x:c r="A91" s="22" t="str">
        <x:v>2020-00119</x:v>
      </x:c>
      <x:c r="B91" s="22" t="str">
        <x:v>L2025-00070-1</x:v>
      </x:c>
      <x:c r="C91" s="22" t="str">
        <x:v>WORKS</x:v>
      </x:c>
      <x:c r="D91" s="25" t="str">
        <x:v>L2025-00070-1/붙임3. 현지입찰 서류 및 계약서류(안)/IKHCC Section 4 - IKHCC BLANK BOQ 250430/7 FIRE FIGHTING/FIREFIGHTING_MEC/BLANK BILL.MECH(HOSPITAL).xls</x:v>
      </x:c>
      <x:c r="E91" s="22" t="str">
        <x:v>.xls</x:v>
      </x:c>
      <x:c r="F91" s="28" t="n">
        <x:v>1235968</x:v>
      </x:c>
      <x:c r="G91" s="28" t="str">
        <x:v>8720d754cc3e986be036e1cfdef45baf74559f7549f20d481b8bac23e8336af7</x:v>
      </x:c>
      <x:c r="H91" s="28" t="n">
        <x:v>1</x:v>
      </x:c>
      <x:c r="I91" s="28" t="n">
        <x:v>1</x:v>
      </x:c>
      <x:c r="J91" s="28" t="n">
        <x:v>1</x:v>
      </x:c>
      <x:c r="K91" s="28" t="n">
        <x:v>831</x:v>
      </x:c>
      <x:c r="L91" s="28" t="n">
        <x:v>823</x:v>
      </x:c>
      <x:c r="M91" s="28" t="n">
        <x:v>1</x:v>
      </x:c>
      <x:c r="N91" s="22" t="str">
        <x:v>일위대가</x:v>
      </x:c>
      <x:c r="O91" s="22" t="str">
        <x:v>hidden</x:v>
      </x:c>
      <x:c r="P91" s="22" t="n">
        <x:v>1</x:v>
      </x:c>
      <x:c r="Q91" s="40" t="n">
        <x:v>0.9903730445246691</x:v>
      </x:c>
      <x:c r="R91" s="25" t="str"/>
      <x:c r="S91" s="25" t="str">
        <x:v>A?</x:v>
      </x:c>
      <x:c r="T91" s="25" t="str">
        <x:v>자동 표 신호는 최종 A/B로 승격하지 않음</x:v>
      </x:c>
      <x:c r="U91" s="22" t="str">
        <x:v>2021-2025</x:v>
      </x:c>
    </x:row>
    <x:row r="92">
      <x:c r="A92" s="22" t="str">
        <x:v>2020-00119</x:v>
      </x:c>
      <x:c r="B92" s="22" t="str">
        <x:v>L2025-00070-1</x:v>
      </x:c>
      <x:c r="C92" s="22" t="str">
        <x:v>WORKS</x:v>
      </x:c>
      <x:c r="D92" s="25" t="str">
        <x:v>L2025-00070-1/붙임3. 현지입찰 서류 및 계약서류(안)/IKHCC Section 4 - IKHCC BLANK BOQ 250430/7 FIRE FIGHTING/FIREFIGHTING_MEC/BLANK BILL.MECH(BRIDGE).xls</x:v>
      </x:c>
      <x:c r="E92" s="22" t="str">
        <x:v>.xls</x:v>
      </x:c>
      <x:c r="F92" s="28" t="n">
        <x:v>1424896</x:v>
      </x:c>
      <x:c r="G92" s="28" t="str">
        <x:v>6897a174ff988b300d26b83c45ce53ce52df4bc577a8816c15f1e7e7cc607611</x:v>
      </x:c>
      <x:c r="H92" s="28" t="n">
        <x:v>1</x:v>
      </x:c>
      <x:c r="I92" s="28" t="n">
        <x:v>1</x:v>
      </x:c>
      <x:c r="J92" s="28" t="n">
        <x:v>1</x:v>
      </x:c>
      <x:c r="K92" s="28" t="n">
        <x:v>831</x:v>
      </x:c>
      <x:c r="L92" s="28" t="n">
        <x:v>823</x:v>
      </x:c>
      <x:c r="M92" s="28" t="n">
        <x:v>1</x:v>
      </x:c>
      <x:c r="N92" s="22" t="str">
        <x:v>일위대가</x:v>
      </x:c>
      <x:c r="O92" s="22" t="str">
        <x:v>hidden</x:v>
      </x:c>
      <x:c r="P92" s="22" t="n">
        <x:v>1</x:v>
      </x:c>
      <x:c r="Q92" s="40" t="n">
        <x:v>0.9903730445246691</x:v>
      </x:c>
      <x:c r="R92" s="25" t="str"/>
      <x:c r="S92" s="25" t="str">
        <x:v>A?</x:v>
      </x:c>
      <x:c r="T92" s="25" t="str">
        <x:v>자동 표 신호는 최종 A/B로 승격하지 않음</x:v>
      </x:c>
      <x:c r="U92" s="22" t="str">
        <x:v>2021-2025</x:v>
      </x:c>
    </x:row>
    <x:row r="93">
      <x:c r="A93" s="22" t="str">
        <x:v>2016-20176</x:v>
      </x:c>
      <x:c r="B93" s="22" t="str">
        <x:v>L2022-00032-1</x:v>
      </x:c>
      <x:c r="C93" s="22" t="str">
        <x:v>WORKS</x:v>
      </x:c>
      <x:c r="D93" s="25" t="str">
        <x:v>L2022-00032-1/(붙임3) 설계 및 규정참고자료(영문)/Attachment (Design Documents) 3. BOQ (blanked).zip</x:v>
      </x:c>
      <x:c r="E93" s="22" t="str">
        <x:v>.zip</x:v>
      </x:c>
      <x:c r="F93" s="28" t="n">
        <x:v>478458</x:v>
      </x:c>
      <x:c r="G93" s="28" t="str">
        <x:v>27555e35067316196b079d46ba585966fd33c4f0c9d9f2594feafcbb1b282c57</x:v>
      </x:c>
      <x:c r="H93" s="28" t="n">
        <x:v>1</x:v>
      </x:c>
      <x:c r="I93" s="28" t="n">
        <x:v>1</x:v>
      </x:c>
      <x:c r="J93" s="28" t="n">
        <x:v>0</x:v>
      </x:c>
      <x:c r="K93" s="28" t="n">
        <x:v>0</x:v>
      </x:c>
      <x:c r="L93" s="28" t="n">
        <x:v>0</x:v>
      </x:c>
      <x:c r="M93" s="28" t="n">
        <x:v>0</x:v>
      </x:c>
      <x:c r="N93" s="22" t="str"/>
      <x:c r="O93" s="22" t="str"/>
      <x:c r="P93" s="22" t="str"/>
      <x:c r="Q93" s="40" t="n">
        <x:v>0</x:v>
      </x:c>
      <x:c r="R93" s="25" t="str"/>
      <x:c r="S93" s="25" t="str">
        <x:v>BOQ_NAME_ONLY</x:v>
      </x:c>
      <x:c r="T93" s="25" t="str">
        <x:v>자동 표 신호는 최종 A/B로 승격하지 않음</x:v>
      </x:c>
      <x:c r="U93" s="22" t="str">
        <x:v>2021-2025</x:v>
      </x:c>
    </x:row>
    <x:row r="94">
      <x:c r="A94" s="22" t="str">
        <x:v>2016-20176</x:v>
      </x:c>
      <x:c r="B94" s="22" t="str">
        <x:v>L2022-00032-1</x:v>
      </x:c>
      <x:c r="C94" s="22" t="str">
        <x:v>WORKS</x:v>
      </x:c>
      <x:c r="D94" s="25" t="str">
        <x:v>L2022-00032-1/(붙임3) 설계 및 규정참고자료(영문)/Attachment (Design Documents) 3. BOQ (blanked)/BOQ (unit price blanked).XLS</x:v>
      </x:c>
      <x:c r="E94" s="22" t="str">
        <x:v>.xls</x:v>
      </x:c>
      <x:c r="F94" s="28" t="n">
        <x:v>684544</x:v>
      </x:c>
      <x:c r="G94" s="28" t="str">
        <x:v>fab23ffb9dfc62c883c66d9d238996d0ee9d6715da53874d599ae18b7b2476ed</x:v>
      </x:c>
      <x:c r="H94" s="28" t="n">
        <x:v>1</x:v>
      </x:c>
      <x:c r="I94" s="28" t="n">
        <x:v>1</x:v>
      </x:c>
      <x:c r="J94" s="28" t="n">
        <x:v>1</x:v>
      </x:c>
      <x:c r="K94" s="28" t="n">
        <x:v>498</x:v>
      </x:c>
      <x:c r="L94" s="28" t="n">
        <x:v>0</x:v>
      </x:c>
      <x:c r="M94" s="28" t="n">
        <x:v>0</x:v>
      </x:c>
      <x:c r="N94" s="22" t="str">
        <x:v>LISTADO DE PARTIDAS </x:v>
      </x:c>
      <x:c r="O94" s="22" t="str">
        <x:v>visible</x:v>
      </x:c>
      <x:c r="P94" s="22" t="n">
        <x:v>5</x:v>
      </x:c>
      <x:c r="Q94" s="40" t="n">
        <x:v>0</x:v>
      </x:c>
      <x:c r="R94" s="25" t="str"/>
      <x:c r="S94" s="25" t="str">
        <x:v>B?</x:v>
      </x:c>
      <x:c r="T94" s="25" t="str">
        <x:v>자동 표 신호는 최종 A/B로 승격하지 않음</x:v>
      </x:c>
      <x:c r="U94" s="22" t="str">
        <x:v>2021-2025</x:v>
      </x:c>
    </x:row>
    <x:row r="95">
      <x:c r="A95" s="22" t="str">
        <x:v>2016-20176</x:v>
      </x:c>
      <x:c r="B95" s="22" t="str">
        <x:v>L2022-00032-1</x:v>
      </x:c>
      <x:c r="C95" s="22" t="str">
        <x:v>WORKS</x:v>
      </x:c>
      <x:c r="D95" s="25" t="str">
        <x:v>L2022-00032-1/(붙임3) 설계 및 규정참고자료(영문)/Attachment (Design Documents) 3. BOQ (blanked)/BOQ (unit price blanked).pdf</x:v>
      </x:c>
      <x:c r="E95" s="22" t="str">
        <x:v>.pdf</x:v>
      </x:c>
      <x:c r="F95" s="28" t="n">
        <x:v>505425</x:v>
      </x:c>
      <x:c r="G95" s="28" t="str">
        <x:v>2d363840a32ce088371547a50512c9d04dc45839c57554d35e0de7a8004ab8e8</x:v>
      </x:c>
      <x:c r="H95" s="28" t="n">
        <x:v>1</x:v>
      </x:c>
      <x:c r="I95" s="28" t="n">
        <x:v>1</x:v>
      </x:c>
      <x:c r="J95" s="28" t="n">
        <x:v>0</x:v>
      </x:c>
      <x:c r="K95" s="28" t="n">
        <x:v>0</x:v>
      </x:c>
      <x:c r="L95" s="28" t="n">
        <x:v>0</x:v>
      </x:c>
      <x:c r="M95" s="28" t="n">
        <x:v>0</x:v>
      </x:c>
      <x:c r="N95" s="22" t="str"/>
      <x:c r="O95" s="22" t="str"/>
      <x:c r="P95" s="22" t="str"/>
      <x:c r="Q95" s="40" t="n">
        <x:v>0</x:v>
      </x:c>
      <x:c r="R95" s="25" t="str"/>
      <x:c r="S95" s="25" t="str">
        <x:v>BOQ_NAME_ONLY</x:v>
      </x:c>
      <x:c r="T95" s="25" t="str">
        <x:v>자동 표 신호는 최종 A/B로 승격하지 않음</x:v>
      </x:c>
      <x:c r="U95" s="22" t="str">
        <x:v>2021-2025</x:v>
      </x:c>
    </x:row>
    <x:row r="96">
      <x:c r="A96" s="22" t="str">
        <x:v>2019-00045</x:v>
      </x:c>
      <x:c r="B96" s="22" t="str">
        <x:v>L2021-00031-1</x:v>
      </x:c>
      <x:c r="C96" s="22" t="str">
        <x:v>WORKS</x:v>
      </x:c>
      <x:c r="D96" s="25" t="str">
        <x:v>L2021-00031-1/3. Attachments/Attachment 1-2. Checklist of PQ Documents_1016.xlsx</x:v>
      </x:c>
      <x:c r="E96" s="22" t="str">
        <x:v>.xlsx</x:v>
      </x:c>
      <x:c r="F96" s="28" t="n">
        <x:v>13208</x:v>
      </x:c>
      <x:c r="G96" s="28" t="str">
        <x:v>15a3f7ec7f7ce55f396bda63f6252575edf663bee8256caa59e5974c285bde0f</x:v>
      </x:c>
      <x:c r="H96" s="28" t="n">
        <x:v>0</x:v>
      </x:c>
      <x:c r="I96" s="28" t="n">
        <x:v>0</x:v>
      </x:c>
      <x:c r="J96" s="28" t="n">
        <x:v>0</x:v>
      </x:c>
      <x:c r="K96" s="28" t="n">
        <x:v>0</x:v>
      </x:c>
      <x:c r="L96" s="28" t="n">
        <x:v>0</x:v>
      </x:c>
      <x:c r="M96" s="28" t="n">
        <x:v>0</x:v>
      </x:c>
      <x:c r="N96" s="22" t="str"/>
      <x:c r="O96" s="22" t="str"/>
      <x:c r="P96" s="22" t="str"/>
      <x:c r="Q96" s="40" t="n">
        <x:v>0</x:v>
      </x:c>
      <x:c r="R96" s="25" t="str"/>
      <x:c r="S96" s="25" t="str">
        <x:v>NONE</x:v>
      </x:c>
      <x:c r="T96" s="25" t="str">
        <x:v>자동 표 신호는 최종 A/B로 승격하지 않음</x:v>
      </x:c>
      <x:c r="U96" s="22" t="str">
        <x:v>2021-2025</x:v>
      </x:c>
    </x:row>
    <x:row r="97">
      <x:c r="A97" s="22" t="str">
        <x:v>2019-00045</x:v>
      </x:c>
      <x:c r="B97" s="22" t="str">
        <x:v>L2021-00031-1</x:v>
      </x:c>
      <x:c r="C97" s="22" t="str">
        <x:v>WORKS</x:v>
      </x:c>
      <x:c r="D97" s="25" t="str">
        <x:v>L2021-00031-1/3. Attachments/Attachment 7. Checklist of Bid Documents_1016.xlsx</x:v>
      </x:c>
      <x:c r="E97" s="22" t="str">
        <x:v>.xlsx</x:v>
      </x:c>
      <x:c r="F97" s="28" t="n">
        <x:v>13847</x:v>
      </x:c>
      <x:c r="G97" s="28" t="str">
        <x:v>63585a0855faa24b14f4127a7de30c5a5224d70cf663d25dac911992114cc4c7</x:v>
      </x:c>
      <x:c r="H97" s="28" t="n">
        <x:v>0</x:v>
      </x:c>
      <x:c r="I97" s="28" t="n">
        <x:v>0</x:v>
      </x:c>
      <x:c r="J97" s="28" t="n">
        <x:v>0</x:v>
      </x:c>
      <x:c r="K97" s="28" t="n">
        <x:v>0</x:v>
      </x:c>
      <x:c r="L97" s="28" t="n">
        <x:v>0</x:v>
      </x:c>
      <x:c r="M97" s="28" t="n">
        <x:v>0</x:v>
      </x:c>
      <x:c r="N97" s="22" t="str"/>
      <x:c r="O97" s="22" t="str"/>
      <x:c r="P97" s="22" t="str"/>
      <x:c r="Q97" s="40" t="n">
        <x:v>0</x:v>
      </x:c>
      <x:c r="R97" s="25" t="str"/>
      <x:c r="S97" s="25" t="str">
        <x:v>NONE</x:v>
      </x:c>
      <x:c r="T97" s="25" t="str">
        <x:v>자동 표 신호는 최종 A/B로 승격하지 않음</x:v>
      </x:c>
      <x:c r="U97" s="22" t="str">
        <x:v>2021-2025</x:v>
      </x:c>
    </x:row>
    <x:row r="98">
      <x:c r="A98" s="22" t="str">
        <x:v>2019-00045</x:v>
      </x:c>
      <x:c r="B98" s="22" t="str">
        <x:v>L2021-00031-1</x:v>
      </x:c>
      <x:c r="C98" s="22" t="str">
        <x:v>WORKS</x:v>
      </x:c>
      <x:c r="D98" s="25" t="str">
        <x:v>L2021-00031-1/2. Chapters/Chapter 2. Bid BoQ_1021/5)FLS-1008.xlsx</x:v>
      </x:c>
      <x:c r="E98" s="22" t="str">
        <x:v>.xlsx</x:v>
      </x:c>
      <x:c r="F98" s="28" t="n">
        <x:v>41873</x:v>
      </x:c>
      <x:c r="G98" s="28" t="str">
        <x:v>2f433f2fd39a5bc8f8bee1e4c3520fc3b590cc83c3d83fbef9b3cd73e66aebd5</x:v>
      </x:c>
      <x:c r="H98" s="28" t="n">
        <x:v>0</x:v>
      </x:c>
      <x:c r="I98" s="28" t="n">
        <x:v>0</x:v>
      </x:c>
      <x:c r="J98" s="28" t="n">
        <x:v>3</x:v>
      </x:c>
      <x:c r="K98" s="28" t="n">
        <x:v>22</x:v>
      </x:c>
      <x:c r="L98" s="28" t="n">
        <x:v>0</x:v>
      </x:c>
      <x:c r="M98" s="28" t="n">
        <x:v>0</x:v>
      </x:c>
      <x:c r="N98" s="22" t="str">
        <x:v>BOQ PHASE-1</x:v>
      </x:c>
      <x:c r="O98" s="22" t="str">
        <x:v>visible</x:v>
      </x:c>
      <x:c r="P98" s="22" t="n">
        <x:v>2</x:v>
      </x:c>
      <x:c r="Q98" s="40" t="n">
        <x:v>0</x:v>
      </x:c>
      <x:c r="R98" s="25" t="str"/>
      <x:c r="S98" s="25" t="str">
        <x:v>B?</x:v>
      </x:c>
      <x:c r="T98" s="25" t="str">
        <x:v>자동 표 신호는 최종 A/B로 승격하지 않음</x:v>
      </x:c>
      <x:c r="U98" s="22" t="str">
        <x:v>2021-2025</x:v>
      </x:c>
    </x:row>
    <x:row r="99">
      <x:c r="A99" s="22" t="str">
        <x:v>2019-00045</x:v>
      </x:c>
      <x:c r="B99" s="22" t="str">
        <x:v>L2021-00031-1</x:v>
      </x:c>
      <x:c r="C99" s="22" t="str">
        <x:v>WORKS</x:v>
      </x:c>
      <x:c r="D99" s="25" t="str">
        <x:v>L2021-00031-1/2. Chapters/Chapter 2. Bid BoQ_1021/3)BOUNDARY WALL_1008.xlsx</x:v>
      </x:c>
      <x:c r="E99" s="22" t="str">
        <x:v>.xlsx</x:v>
      </x:c>
      <x:c r="F99" s="28" t="n">
        <x:v>33332</x:v>
      </x:c>
      <x:c r="G99" s="28" t="str">
        <x:v>21bcfd396eb9b1426dbc8acff021148c6bc0aef61073dbd6c594e1901a0be137</x:v>
      </x:c>
      <x:c r="H99" s="28" t="n">
        <x:v>0</x:v>
      </x:c>
      <x:c r="I99" s="28" t="n">
        <x:v>0</x:v>
      </x:c>
      <x:c r="J99" s="28" t="n">
        <x:v>2</x:v>
      </x:c>
      <x:c r="K99" s="28" t="n">
        <x:v>26</x:v>
      </x:c>
      <x:c r="L99" s="28" t="n">
        <x:v>1</x:v>
      </x:c>
      <x:c r="M99" s="28" t="n">
        <x:v>0</x:v>
      </x:c>
      <x:c r="N99" s="22" t="str">
        <x:v>B.WCal.</x:v>
      </x:c>
      <x:c r="O99" s="22" t="str">
        <x:v>hidden</x:v>
      </x:c>
      <x:c r="P99" s="22" t="n">
        <x:v>1</x:v>
      </x:c>
      <x:c r="Q99" s="40" t="n">
        <x:v>0</x:v>
      </x:c>
      <x:c r="R99" s="25" t="str"/>
      <x:c r="S99" s="25" t="str">
        <x:v>B?</x:v>
      </x:c>
      <x:c r="T99" s="25" t="str">
        <x:v>자동 표 신호는 최종 A/B로 승격하지 않음</x:v>
      </x:c>
      <x:c r="U99" s="22" t="str">
        <x:v>2021-2025</x:v>
      </x:c>
    </x:row>
    <x:row r="100">
      <x:c r="A100" s="22" t="str">
        <x:v>2019-00045</x:v>
      </x:c>
      <x:c r="B100" s="22" t="str">
        <x:v>L2021-00031-1</x:v>
      </x:c>
      <x:c r="C100" s="22" t="str">
        <x:v>WORKS</x:v>
      </x:c>
      <x:c r="D100" s="25" t="str">
        <x:v>L2021-00031-1/2. Chapters/Chapter 2. Bid BoQ_1021/1)CIVIL (With Cover)_1008.xls</x:v>
      </x:c>
      <x:c r="E100" s="22" t="str">
        <x:v>.xls</x:v>
      </x:c>
      <x:c r="F100" s="28" t="n">
        <x:v>406528</x:v>
      </x:c>
      <x:c r="G100" s="28" t="str">
        <x:v>77d948f4b2c4f4828e0a1dffc6bc8b253c61908f820be9c49250fcdc716c415d</x:v>
      </x:c>
      <x:c r="H100" s="28" t="n">
        <x:v>0</x:v>
      </x:c>
      <x:c r="I100" s="28" t="n">
        <x:v>0</x:v>
      </x:c>
      <x:c r="J100" s="28" t="n">
        <x:v>7</x:v>
      </x:c>
      <x:c r="K100" s="28" t="n">
        <x:v>69</x:v>
      </x:c>
      <x:c r="L100" s="28" t="n">
        <x:v>1</x:v>
      </x:c>
      <x:c r="M100" s="28" t="n">
        <x:v>0</x:v>
      </x:c>
      <x:c r="N100" s="22" t="str">
        <x:v>Ground Floor (Civil)</x:v>
      </x:c>
      <x:c r="O100" s="22" t="str">
        <x:v>visible</x:v>
      </x:c>
      <x:c r="P100" s="22" t="n">
        <x:v>4</x:v>
      </x:c>
      <x:c r="Q100" s="40" t="n">
        <x:v>0.014492753623188406</x:v>
      </x:c>
      <x:c r="R100" s="25" t="str"/>
      <x:c r="S100" s="25" t="str">
        <x:v>B?</x:v>
      </x:c>
      <x:c r="T100" s="25" t="str">
        <x:v>자동 표 신호는 최종 A/B로 승격하지 않음</x:v>
      </x:c>
      <x:c r="U100" s="22" t="str">
        <x:v>2021-2025</x:v>
      </x:c>
    </x:row>
    <x:row r="101">
      <x:c r="A101" s="22" t="str">
        <x:v>2019-00045</x:v>
      </x:c>
      <x:c r="B101" s="22" t="str">
        <x:v>L2021-00031-1</x:v>
      </x:c>
      <x:c r="C101" s="22" t="str">
        <x:v>WORKS</x:v>
      </x:c>
      <x:c r="D101" s="25" t="str">
        <x:v>L2021-00031-1/2. Chapters/Chapter 2. Bid BoQ_1021/2)GUARD-ROOM_1008.xls</x:v>
      </x:c>
      <x:c r="E101" s="22" t="str">
        <x:v>.xls</x:v>
      </x:c>
      <x:c r="F101" s="28" t="n">
        <x:v>82432</x:v>
      </x:c>
      <x:c r="G101" s="28" t="str">
        <x:v>3a1c8341f7ff213f228e85a958a475fa04a78b3fd048a31335c184f58ebc0d40</x:v>
      </x:c>
      <x:c r="H101" s="28" t="n">
        <x:v>0</x:v>
      </x:c>
      <x:c r="I101" s="28" t="n">
        <x:v>0</x:v>
      </x:c>
      <x:c r="J101" s="28" t="n">
        <x:v>1</x:v>
      </x:c>
      <x:c r="K101" s="28" t="n">
        <x:v>32</x:v>
      </x:c>
      <x:c r="L101" s="28" t="n">
        <x:v>1</x:v>
      </x:c>
      <x:c r="M101" s="28" t="n">
        <x:v>0</x:v>
      </x:c>
      <x:c r="N101" s="22" t="str">
        <x:v>Guard Room (Civil) O</x:v>
      </x:c>
      <x:c r="O101" s="22" t="str">
        <x:v>visible</x:v>
      </x:c>
      <x:c r="P101" s="22" t="n">
        <x:v>3</x:v>
      </x:c>
      <x:c r="Q101" s="40" t="n">
        <x:v>0.03125</x:v>
      </x:c>
      <x:c r="R101" s="25" t="str"/>
      <x:c r="S101" s="25" t="str">
        <x:v>B?</x:v>
      </x:c>
      <x:c r="T101" s="25" t="str">
        <x:v>자동 표 신호는 최종 A/B로 승격하지 않음</x:v>
      </x:c>
      <x:c r="U101" s="22" t="str">
        <x:v>2021-2025</x:v>
      </x:c>
    </x:row>
    <x:row r="102">
      <x:c r="A102" s="22" t="str">
        <x:v>2019-00045</x:v>
      </x:c>
      <x:c r="B102" s="22" t="str">
        <x:v>L2021-00031-1</x:v>
      </x:c>
      <x:c r="C102" s="22" t="str">
        <x:v>WORKS</x:v>
      </x:c>
      <x:c r="D102" s="25" t="str">
        <x:v>L2021-00031-1/2. Chapters/Chapter 2. Bid BoQ_1021/4)Electric-1008.xlsx</x:v>
      </x:c>
      <x:c r="E102" s="22" t="str">
        <x:v>.xlsx</x:v>
      </x:c>
      <x:c r="F102" s="28" t="n">
        <x:v>31152</x:v>
      </x:c>
      <x:c r="G102" s="28" t="str">
        <x:v>a5a882e048f6cf0fd2e1520dacef79bd31da5a4b77d2c1d1e475c3fee95a3726</x:v>
      </x:c>
      <x:c r="H102" s="28" t="n">
        <x:v>0</x:v>
      </x:c>
      <x:c r="I102" s="28" t="n">
        <x:v>0</x:v>
      </x:c>
      <x:c r="J102" s="28" t="n">
        <x:v>1</x:v>
      </x:c>
      <x:c r="K102" s="28" t="n">
        <x:v>94</x:v>
      </x:c>
      <x:c r="L102" s="28" t="n">
        <x:v>1</x:v>
      </x:c>
      <x:c r="M102" s="28" t="n">
        <x:v>0</x:v>
      </x:c>
      <x:c r="N102" s="22" t="str">
        <x:v>ELEC</x:v>
      </x:c>
      <x:c r="O102" s="22" t="str">
        <x:v>visible</x:v>
      </x:c>
      <x:c r="P102" s="22" t="n">
        <x:v>2</x:v>
      </x:c>
      <x:c r="Q102" s="40" t="n">
        <x:v>0.010638297872340425</x:v>
      </x:c>
      <x:c r="R102" s="25" t="str"/>
      <x:c r="S102" s="25" t="str">
        <x:v>B?</x:v>
      </x:c>
      <x:c r="T102" s="25" t="str">
        <x:v>자동 표 신호는 최종 A/B로 승격하지 않음</x:v>
      </x:c>
      <x:c r="U102" s="22" t="str">
        <x:v>2021-2025</x:v>
      </x:c>
    </x:row>
    <x:row r="103">
      <x:c r="A103" s="22" t="str">
        <x:v>2019-00045</x:v>
      </x:c>
      <x:c r="B103" s="22" t="str">
        <x:v>L2021-00031-1</x:v>
      </x:c>
      <x:c r="C103" s="22" t="str">
        <x:v>WORKS</x:v>
      </x:c>
      <x:c r="D103" s="25" t="str">
        <x:v>L2021-00031-1/2. Chapters/Chapter 2. Bid BoQ_1021/6)HVAC_1008.xlsx</x:v>
      </x:c>
      <x:c r="E103" s="22" t="str">
        <x:v>.xlsx</x:v>
      </x:c>
      <x:c r="F103" s="28" t="n">
        <x:v>17962</x:v>
      </x:c>
      <x:c r="G103" s="28" t="str">
        <x:v>033b8313b9ca7a0075ea54b6012173a25b1d25bec5a1b79a90d59f6af109ba32</x:v>
      </x:c>
      <x:c r="H103" s="28" t="n">
        <x:v>0</x:v>
      </x:c>
      <x:c r="I103" s="28" t="n">
        <x:v>0</x:v>
      </x:c>
      <x:c r="J103" s="28" t="n">
        <x:v>1</x:v>
      </x:c>
      <x:c r="K103" s="28" t="n">
        <x:v>28</x:v>
      </x:c>
      <x:c r="L103" s="28" t="n">
        <x:v>0</x:v>
      </x:c>
      <x:c r="M103" s="28" t="n">
        <x:v>0</x:v>
      </x:c>
      <x:c r="N103" s="22" t="str">
        <x:v>BOQ</x:v>
      </x:c>
      <x:c r="O103" s="22" t="str">
        <x:v>visible</x:v>
      </x:c>
      <x:c r="P103" s="22" t="n">
        <x:v>1</x:v>
      </x:c>
      <x:c r="Q103" s="40" t="n">
        <x:v>0</x:v>
      </x:c>
      <x:c r="R103" s="25" t="str"/>
      <x:c r="S103" s="25" t="str">
        <x:v>B?</x:v>
      </x:c>
      <x:c r="T103" s="25" t="str">
        <x:v>자동 표 신호는 최종 A/B로 승격하지 않음</x:v>
      </x:c>
      <x:c r="U103" s="22" t="str">
        <x:v>2021-2025</x:v>
      </x:c>
    </x:row>
    <x:row r="104">
      <x:c r="A104" s="22" t="str">
        <x:v>2011-00008</x:v>
      </x:c>
      <x:c r="B104" s="22" t="str">
        <x:v>L2023-00068-1</x:v>
      </x:c>
      <x:c r="C104" s="22" t="str">
        <x:v>WORKS</x:v>
      </x:c>
      <x:c r="D104" s="25" t="str">
        <x:v>L2023-00068-1/입찰공고 관련서류 최종본/Section 4 - Bill of Quantity.xlsx</x:v>
      </x:c>
      <x:c r="E104" s="22" t="str">
        <x:v>.xlsx</x:v>
      </x:c>
      <x:c r="F104" s="28" t="n">
        <x:v>587287</x:v>
      </x:c>
      <x:c r="G104" s="28" t="str">
        <x:v>485cd48ab887e7cbffd325b7167ceb634c24d5ebf80836141f916ec19e679c94</x:v>
      </x:c>
      <x:c r="H104" s="28" t="n">
        <x:v>1</x:v>
      </x:c>
      <x:c r="I104" s="28" t="n">
        <x:v>0</x:v>
      </x:c>
      <x:c r="J104" s="28" t="n">
        <x:v>1</x:v>
      </x:c>
      <x:c r="K104" s="28" t="n">
        <x:v>110</x:v>
      </x:c>
      <x:c r="L104" s="28" t="n">
        <x:v>0</x:v>
      </x:c>
      <x:c r="M104" s="28" t="n">
        <x:v>0</x:v>
      </x:c>
      <x:c r="N104" s="22" t="str">
        <x:v>DETAIL BOQ</x:v>
      </x:c>
      <x:c r="O104" s="22" t="str">
        <x:v>visible</x:v>
      </x:c>
      <x:c r="P104" s="22" t="n">
        <x:v>5</x:v>
      </x:c>
      <x:c r="Q104" s="40" t="n">
        <x:v>0</x:v>
      </x:c>
      <x:c r="R104" s="25" t="str"/>
      <x:c r="S104" s="25" t="str">
        <x:v>B?</x:v>
      </x:c>
      <x:c r="T104" s="25" t="str">
        <x:v>자동 표 신호는 최종 A/B로 승격하지 않음</x:v>
      </x:c>
      <x:c r="U104" s="22" t="str">
        <x:v>2021-2025</x:v>
      </x:c>
    </x:row>
    <x:row r="105">
      <x:c r="A105" s="22" t="str">
        <x:v>2019-00005</x:v>
      </x:c>
      <x:c r="B105" s="22" t="str">
        <x:v>L2023-00009-1</x:v>
      </x:c>
      <x:c r="C105" s="22" t="str">
        <x:v>WORKS</x:v>
      </x:c>
      <x:c r="D105" s="25" t="str">
        <x:v>L2023-00009-1/2. 입찰서류(영문)/Part 2(░·╛≈┴÷╜├╝¡)/Section 4. Bill of Quantities_unpriced.xlsx</x:v>
      </x:c>
      <x:c r="E105" s="22" t="str">
        <x:v>.xlsx</x:v>
      </x:c>
      <x:c r="F105" s="28" t="n">
        <x:v>10826631</x:v>
      </x:c>
      <x:c r="G105" s="28" t="str">
        <x:v>ffa2463b0b5c7a652f98e5087245647a99ddd527c9c6ff31f6d3f17103a9b0e9</x:v>
      </x:c>
      <x:c r="H105" s="28" t="n">
        <x:v>1</x:v>
      </x:c>
      <x:c r="I105" s="28" t="n">
        <x:v>1</x:v>
      </x:c>
      <x:c r="J105" s="28" t="n">
        <x:v>8</x:v>
      </x:c>
      <x:c r="K105" s="28" t="n">
        <x:v>113</x:v>
      </x:c>
      <x:c r="L105" s="28" t="n">
        <x:v>0</x:v>
      </x:c>
      <x:c r="M105" s="28" t="n">
        <x:v>0</x:v>
      </x:c>
      <x:c r="N105" s="22" t="str">
        <x:v>ADMIN BLOCK</x:v>
      </x:c>
      <x:c r="O105" s="22" t="str">
        <x:v>visible</x:v>
      </x:c>
      <x:c r="P105" s="22" t="n">
        <x:v>1</x:v>
      </x:c>
      <x:c r="Q105" s="40" t="n">
        <x:v>0</x:v>
      </x:c>
      <x:c r="R105" s="25" t="str"/>
      <x:c r="S105" s="25" t="str">
        <x:v>B?</x:v>
      </x:c>
      <x:c r="T105" s="25" t="str">
        <x:v>자동 표 신호는 최종 A/B로 승격하지 않음</x:v>
      </x:c>
      <x:c r="U105" s="22" t="str">
        <x:v>2021-2025</x:v>
      </x:c>
    </x:row>
    <x:row r="106">
      <x:c r="A106" s="22" t="str">
        <x:v>2020-00086</x:v>
      </x:c>
      <x:c r="B106" s="22" t="str">
        <x:v>L2023-00036-1</x:v>
      </x:c>
      <x:c r="C106" s="22" t="str">
        <x:v>WORKS</x:v>
      </x:c>
      <x:c r="D106" s="25" t="str">
        <x:v>L2023-00036-1/붙임3_입찰관련서류_검토완_0717/Section 4.  Bill of Quantities(Not-Priced).zip</x:v>
      </x:c>
      <x:c r="E106" s="22" t="str">
        <x:v>.zip</x:v>
      </x:c>
      <x:c r="F106" s="28" t="n">
        <x:v>13052503</x:v>
      </x:c>
      <x:c r="G106" s="28" t="str">
        <x:v>99a055acc422a26b58aeb64cff198b7e527518a20cc52f0be4eb5bc26fb3afca</x:v>
      </x:c>
      <x:c r="H106" s="28" t="n">
        <x:v>1</x:v>
      </x:c>
      <x:c r="I106" s="28" t="n">
        <x:v>1</x:v>
      </x:c>
      <x:c r="J106" s="28" t="n">
        <x:v>0</x:v>
      </x:c>
      <x:c r="K106" s="28" t="n">
        <x:v>0</x:v>
      </x:c>
      <x:c r="L106" s="28" t="n">
        <x:v>0</x:v>
      </x:c>
      <x:c r="M106" s="28" t="n">
        <x:v>0</x:v>
      </x:c>
      <x:c r="N106" s="22" t="str"/>
      <x:c r="O106" s="22" t="str"/>
      <x:c r="P106" s="22" t="str"/>
      <x:c r="Q106" s="40" t="n">
        <x:v>0</x:v>
      </x:c>
      <x:c r="R106" s="25" t="str"/>
      <x:c r="S106" s="25" t="str">
        <x:v>BOQ_NAME_ONLY</x:v>
      </x:c>
      <x:c r="T106" s="25" t="str">
        <x:v>자동 표 신호는 최종 A/B로 승격하지 않음</x:v>
      </x:c>
      <x:c r="U106" s="22" t="str">
        <x:v>2021-2025</x:v>
      </x:c>
    </x:row>
    <x:row r="107">
      <x:c r="A107" s="22" t="str">
        <x:v>2020-00086</x:v>
      </x:c>
      <x:c r="B107" s="22" t="str">
        <x:v>L2023-00036-1</x:v>
      </x:c>
      <x:c r="C107" s="22" t="str">
        <x:v>WORKS</x:v>
      </x:c>
      <x:c r="D107" s="25" t="str">
        <x:v>L2023-00036-1/붙임3_입찰관련서류_검토완_0717/Section 4.  Bill of Quantities(Not-Priced)/Estimate Detailed Conditions)(VTC+TTC)_Final_.docx</x:v>
      </x:c>
      <x:c r="E107" s="22" t="str">
        <x:v>.docx</x:v>
      </x:c>
      <x:c r="F107" s="28" t="n">
        <x:v>80256</x:v>
      </x:c>
      <x:c r="G107" s="28" t="str">
        <x:v>85e95a0b24220bc384b973a8b80ddf9f69be2a1263001b8c8ae3065ad7d3c962</x:v>
      </x:c>
      <x:c r="H107" s="28" t="n">
        <x:v>1</x:v>
      </x:c>
      <x:c r="I107" s="28" t="n">
        <x:v>1</x:v>
      </x:c>
      <x:c r="J107" s="28" t="n">
        <x:v>0</x:v>
      </x:c>
      <x:c r="K107" s="28" t="n">
        <x:v>0</x:v>
      </x:c>
      <x:c r="L107" s="28" t="n">
        <x:v>0</x:v>
      </x:c>
      <x:c r="M107" s="28" t="n">
        <x:v>0</x:v>
      </x:c>
      <x:c r="N107" s="22" t="str"/>
      <x:c r="O107" s="22" t="str"/>
      <x:c r="P107" s="22" t="str"/>
      <x:c r="Q107" s="40" t="n">
        <x:v>0</x:v>
      </x:c>
      <x:c r="R107" s="25" t="str"/>
      <x:c r="S107" s="25" t="str">
        <x:v>BOQ_NAME_ONLY</x:v>
      </x:c>
      <x:c r="T107" s="25" t="str">
        <x:v>자동 표 신호는 최종 A/B로 승격하지 않음</x:v>
      </x:c>
      <x:c r="U107" s="22" t="str">
        <x:v>2021-2025</x:v>
      </x:c>
    </x:row>
    <x:row r="108">
      <x:c r="A108" s="22" t="str">
        <x:v>2020-00086</x:v>
      </x:c>
      <x:c r="B108" s="22" t="str">
        <x:v>L2023-00036-1</x:v>
      </x:c>
      <x:c r="C108" s="22" t="str">
        <x:v>WORKS</x:v>
      </x:c>
      <x:c r="D108" s="25" t="str">
        <x:v>L2023-00036-1/붙임3_입찰관련서류_검토완_0717/Section 4.  Bill of Quantities(Not-Priced)/.Urgench_CM_Comments_Arch_VTC_and_TTC_ENG_20230707.zip</x:v>
      </x:c>
      <x:c r="E108" s="22" t="str">
        <x:v>.zip</x:v>
      </x:c>
      <x:c r="F108" s="28" t="n">
        <x:v>6277094</x:v>
      </x:c>
      <x:c r="G108" s="28" t="str">
        <x:v>bb0bb341fea9c97c5d1f6886bfc0e8d81bef7ec0a0005c4732279204d73f6f30</x:v>
      </x:c>
      <x:c r="H108" s="28" t="n">
        <x:v>1</x:v>
      </x:c>
      <x:c r="I108" s="28" t="n">
        <x:v>1</x:v>
      </x:c>
      <x:c r="J108" s="28" t="n">
        <x:v>0</x:v>
      </x:c>
      <x:c r="K108" s="28" t="n">
        <x:v>0</x:v>
      </x:c>
      <x:c r="L108" s="28" t="n">
        <x:v>0</x:v>
      </x:c>
      <x:c r="M108" s="28" t="n">
        <x:v>0</x:v>
      </x:c>
      <x:c r="N108" s="22" t="str"/>
      <x:c r="O108" s="22" t="str"/>
      <x:c r="P108" s="22" t="str"/>
      <x:c r="Q108" s="40" t="n">
        <x:v>0</x:v>
      </x:c>
      <x:c r="R108" s="25" t="str"/>
      <x:c r="S108" s="25" t="str">
        <x:v>BOQ_NAME_ONLY</x:v>
      </x:c>
      <x:c r="T108" s="25" t="str">
        <x:v>자동 표 신호는 최종 A/B로 승격하지 않음</x:v>
      </x:c>
      <x:c r="U108" s="22" t="str">
        <x:v>2021-2025</x:v>
      </x:c>
    </x:row>
    <x:row r="109">
      <x:c r="A109" s="22" t="str">
        <x:v>2020-00086</x:v>
      </x:c>
      <x:c r="B109" s="22" t="str">
        <x:v>L2023-00036-1</x:v>
      </x:c>
      <x:c r="C109" s="22" t="str">
        <x:v>WORKS</x:v>
      </x:c>
      <x:c r="D109" s="25" t="str">
        <x:v>L2023-00036-1/붙임3_입찰관련서류_검토완_0717/Section 4.  Bill of Quantities(Not-Priced)/Section 4. Bill of Quantity(Not-Priced) Summary.xls</x:v>
      </x:c>
      <x:c r="E109" s="22" t="str">
        <x:v>.xls</x:v>
      </x:c>
      <x:c r="F109" s="28" t="n">
        <x:v>76800</x:v>
      </x:c>
      <x:c r="G109" s="28" t="str">
        <x:v>037a7d1fe991db0c65622821b70b45e6af52d1e48416557c86b53041692045d7</x:v>
      </x:c>
      <x:c r="H109" s="28" t="n">
        <x:v>1</x:v>
      </x:c>
      <x:c r="I109" s="28" t="n">
        <x:v>1</x:v>
      </x:c>
      <x:c r="J109" s="28" t="n">
        <x:v>0</x:v>
      </x:c>
      <x:c r="K109" s="28" t="n">
        <x:v>0</x:v>
      </x:c>
      <x:c r="L109" s="28" t="n">
        <x:v>0</x:v>
      </x:c>
      <x:c r="M109" s="28" t="n">
        <x:v>0</x:v>
      </x:c>
      <x:c r="N109" s="22" t="str"/>
      <x:c r="O109" s="22" t="str"/>
      <x:c r="P109" s="22" t="n">
        <x:v>0</x:v>
      </x:c>
      <x:c r="Q109" s="40" t="n">
        <x:v>0</x:v>
      </x:c>
      <x:c r="R109" s="25" t="str"/>
      <x:c r="S109" s="25" t="str">
        <x:v>BOQ_NAME_ONLY</x:v>
      </x:c>
      <x:c r="T109" s="25" t="str">
        <x:v>자동 표 신호는 최종 A/B로 승격하지 않음</x:v>
      </x:c>
      <x:c r="U109" s="22" t="str">
        <x:v>2021-2025</x:v>
      </x:c>
    </x:row>
    <x:row r="110">
      <x:c r="A110" s="22" t="str">
        <x:v>2020-00086</x:v>
      </x:c>
      <x:c r="B110" s="22" t="str">
        <x:v>L2023-00036-1</x:v>
      </x:c>
      <x:c r="C110" s="22" t="str">
        <x:v>WORKS</x:v>
      </x:c>
      <x:c r="D110" s="25" t="str">
        <x:v>L2023-00036-1/붙임3_입찰관련서류_검토완_0717/Section 4.  Bill of Quantities(Not-Priced)/.Urgench_CM_Comments_Arch_VTC_and_TTC_ENG_20230707/1.3.3. Urgench CM_Comments_Mech_VTC_and_TTC_Main_ENG_20230707.xlsx.docx</x:v>
      </x:c>
      <x:c r="E110" s="22" t="str">
        <x:v>.docx</x:v>
      </x:c>
      <x:c r="F110" s="28" t="n">
        <x:v>16615</x:v>
      </x:c>
      <x:c r="G110" s="28" t="str">
        <x:v>29ae17bcfb236300ba73df96caa054ed9ce989b8ba57084acd00b934eb9595a3</x:v>
      </x:c>
      <x:c r="H110" s="28" t="n">
        <x:v>1</x:v>
      </x:c>
      <x:c r="I110" s="28" t="n">
        <x:v>1</x:v>
      </x:c>
      <x:c r="J110" s="28" t="n">
        <x:v>0</x:v>
      </x:c>
      <x:c r="K110" s="28" t="n">
        <x:v>0</x:v>
      </x:c>
      <x:c r="L110" s="28" t="n">
        <x:v>0</x:v>
      </x:c>
      <x:c r="M110" s="28" t="n">
        <x:v>0</x:v>
      </x:c>
      <x:c r="N110" s="22" t="str"/>
      <x:c r="O110" s="22" t="str"/>
      <x:c r="P110" s="22" t="str"/>
      <x:c r="Q110" s="40" t="n">
        <x:v>0</x:v>
      </x:c>
      <x:c r="R110" s="25" t="str"/>
      <x:c r="S110" s="25" t="str">
        <x:v>BOQ_NAME_ONLY</x:v>
      </x:c>
      <x:c r="T110" s="25" t="str">
        <x:v>자동 표 신호는 최종 A/B로 승격하지 않음</x:v>
      </x:c>
      <x:c r="U110" s="22" t="str">
        <x:v>2021-2025</x:v>
      </x:c>
    </x:row>
    <x:row r="111">
      <x:c r="A111" s="22" t="str">
        <x:v>2020-00086</x:v>
      </x:c>
      <x:c r="B111" s="22" t="str">
        <x:v>L2023-00036-1</x:v>
      </x:c>
      <x:c r="C111" s="22" t="str">
        <x:v>WORKS</x:v>
      </x:c>
      <x:c r="D111" s="25" t="str">
        <x:v>L2023-00036-1/붙임3_입찰관련서류_검토완_0717/Section 4.  Bill of Quantities(Not-Priced)/.Urgench_CM_Comments_Arch_VTC_and_TTC_ENG_20230707/1.4. Urgench CM_Comments_PMC_VTC_and_TTC_ENG_20230707.xlsx</x:v>
      </x:c>
      <x:c r="E111" s="22" t="str">
        <x:v>.xlsx</x:v>
      </x:c>
      <x:c r="F111" s="28" t="n">
        <x:v>18240</x:v>
      </x:c>
      <x:c r="G111" s="28" t="str">
        <x:v>6267ba3be03e15ebb107a67e18bd725ae8b33e8b48c5827fa075966fde925d4a</x:v>
      </x:c>
      <x:c r="H111" s="28" t="n">
        <x:v>1</x:v>
      </x:c>
      <x:c r="I111" s="28" t="n">
        <x:v>1</x:v>
      </x:c>
      <x:c r="J111" s="28" t="n">
        <x:v>0</x:v>
      </x:c>
      <x:c r="K111" s="28" t="n">
        <x:v>0</x:v>
      </x:c>
      <x:c r="L111" s="28" t="n">
        <x:v>0</x:v>
      </x:c>
      <x:c r="M111" s="28" t="n">
        <x:v>0</x:v>
      </x:c>
      <x:c r="N111" s="22" t="str"/>
      <x:c r="O111" s="22" t="str"/>
      <x:c r="P111" s="22" t="n">
        <x:v>0</x:v>
      </x:c>
      <x:c r="Q111" s="40" t="n">
        <x:v>0</x:v>
      </x:c>
      <x:c r="R111" s="25" t="str"/>
      <x:c r="S111" s="25" t="str">
        <x:v>BOQ_NAME_ONLY</x:v>
      </x:c>
      <x:c r="T111" s="25" t="str">
        <x:v>자동 표 신호는 최종 A/B로 승격하지 않음</x:v>
      </x:c>
      <x:c r="U111" s="22" t="str">
        <x:v>2021-2025</x:v>
      </x:c>
    </x:row>
    <x:row r="112">
      <x:c r="A112" s="22" t="str">
        <x:v>2020-00086</x:v>
      </x:c>
      <x:c r="B112" s="22" t="str">
        <x:v>L2023-00036-1</x:v>
      </x:c>
      <x:c r="C112" s="22" t="str">
        <x:v>WORKS</x:v>
      </x:c>
      <x:c r="D112" s="25" t="str">
        <x:v>L2023-00036-1/붙임3_입찰관련서류_검토완_0717/Section 4.  Bill of Quantities(Not-Priced)/.Urgench_CM_Comments_Arch_VTC_and_TTC_ENG_20230707/1.3.1. Urgench CM Comments(Mech) VTC_20230704_R3.xlsx</x:v>
      </x:c>
      <x:c r="E112" s="22" t="str">
        <x:v>.xlsx</x:v>
      </x:c>
      <x:c r="F112" s="28" t="n">
        <x:v>6188237</x:v>
      </x:c>
      <x:c r="G112" s="28" t="str">
        <x:v>3748d4f009cd54f2282e881d0536c882181a3e457e4d641bd2f93b9ae5b7fc3b</x:v>
      </x:c>
      <x:c r="H112" s="28" t="n">
        <x:v>1</x:v>
      </x:c>
      <x:c r="I112" s="28" t="n">
        <x:v>1</x:v>
      </x:c>
      <x:c r="J112" s="28" t="n">
        <x:v>0</x:v>
      </x:c>
      <x:c r="K112" s="28" t="n">
        <x:v>0</x:v>
      </x:c>
      <x:c r="L112" s="28" t="n">
        <x:v>0</x:v>
      </x:c>
      <x:c r="M112" s="28" t="n">
        <x:v>0</x:v>
      </x:c>
      <x:c r="N112" s="22" t="str"/>
      <x:c r="O112" s="22" t="str"/>
      <x:c r="P112" s="22" t="n">
        <x:v>0</x:v>
      </x:c>
      <x:c r="Q112" s="40" t="n">
        <x:v>0</x:v>
      </x:c>
      <x:c r="R112" s="25" t="str"/>
      <x:c r="S112" s="25" t="str">
        <x:v>BOQ_NAME_ONLY</x:v>
      </x:c>
      <x:c r="T112" s="25" t="str">
        <x:v>자동 표 신호는 최종 A/B로 승격하지 않음</x:v>
      </x:c>
      <x:c r="U112" s="22" t="str">
        <x:v>2021-2025</x:v>
      </x:c>
    </x:row>
    <x:row r="113">
      <x:c r="A113" s="22" t="str">
        <x:v>2020-00086</x:v>
      </x:c>
      <x:c r="B113" s="22" t="str">
        <x:v>L2023-00036-1</x:v>
      </x:c>
      <x:c r="C113" s="22" t="str">
        <x:v>WORKS</x:v>
      </x:c>
      <x:c r="D113" s="25" t="str">
        <x:v>L2023-00036-1/붙임3_입찰관련서류_검토완_0717/Section 4.  Bill of Quantities(Not-Priced)/.Urgench_CM_Comments_Arch_VTC_and_TTC_ENG_20230707/1.1.Urgench_CM_Comments_Arch_VTC_and_TTC_ENG_20230505.xlsx</x:v>
      </x:c>
      <x:c r="E113" s="22" t="str">
        <x:v>.xlsx</x:v>
      </x:c>
      <x:c r="F113" s="28" t="n">
        <x:v>26633</x:v>
      </x:c>
      <x:c r="G113" s="28" t="str">
        <x:v>08702e1b68ae13cb4ea31105eb2d1413073365045e5def30a2c799ad087aa8e7</x:v>
      </x:c>
      <x:c r="H113" s="28" t="n">
        <x:v>1</x:v>
      </x:c>
      <x:c r="I113" s="28" t="n">
        <x:v>1</x:v>
      </x:c>
      <x:c r="J113" s="28" t="n">
        <x:v>0</x:v>
      </x:c>
      <x:c r="K113" s="28" t="n">
        <x:v>0</x:v>
      </x:c>
      <x:c r="L113" s="28" t="n">
        <x:v>0</x:v>
      </x:c>
      <x:c r="M113" s="28" t="n">
        <x:v>0</x:v>
      </x:c>
      <x:c r="N113" s="22" t="str"/>
      <x:c r="O113" s="22" t="str"/>
      <x:c r="P113" s="22" t="n">
        <x:v>0</x:v>
      </x:c>
      <x:c r="Q113" s="40" t="n">
        <x:v>0</x:v>
      </x:c>
      <x:c r="R113" s="25" t="str"/>
      <x:c r="S113" s="25" t="str">
        <x:v>BOQ_NAME_ONLY</x:v>
      </x:c>
      <x:c r="T113" s="25" t="str">
        <x:v>자동 표 신호는 최종 A/B로 승격하지 않음</x:v>
      </x:c>
      <x:c r="U113" s="22" t="str">
        <x:v>2021-2025</x:v>
      </x:c>
    </x:row>
    <x:row r="114">
      <x:c r="A114" s="22" t="str">
        <x:v>2020-00086</x:v>
      </x:c>
      <x:c r="B114" s="22" t="str">
        <x:v>L2023-00036-1</x:v>
      </x:c>
      <x:c r="C114" s="22" t="str">
        <x:v>WORKS</x:v>
      </x:c>
      <x:c r="D114" s="25" t="str">
        <x:v>L2023-00036-1/붙임3_입찰관련서류_검토완_0717/Section 4.  Bill of Quantities(Not-Priced)/.Urgench_CM_Comments_Arch_VTC_and_TTC_ENG_20230707/1.3.2. Urgench CM Comments(Mech)_Tashkent_TTC_Drawings_20230704.xlsx</x:v>
      </x:c>
      <x:c r="E114" s="22" t="str">
        <x:v>.xlsx</x:v>
      </x:c>
      <x:c r="F114" s="28" t="n">
        <x:v>788369</x:v>
      </x:c>
      <x:c r="G114" s="28" t="str">
        <x:v>d6dcc478819c73e452f13add3e10ce964f21104cb779fc3b9992106eb0026c87</x:v>
      </x:c>
      <x:c r="H114" s="28" t="n">
        <x:v>1</x:v>
      </x:c>
      <x:c r="I114" s="28" t="n">
        <x:v>1</x:v>
      </x:c>
      <x:c r="J114" s="28" t="n">
        <x:v>0</x:v>
      </x:c>
      <x:c r="K114" s="28" t="n">
        <x:v>0</x:v>
      </x:c>
      <x:c r="L114" s="28" t="n">
        <x:v>0</x:v>
      </x:c>
      <x:c r="M114" s="28" t="n">
        <x:v>0</x:v>
      </x:c>
      <x:c r="N114" s="22" t="str"/>
      <x:c r="O114" s="22" t="str"/>
      <x:c r="P114" s="22" t="n">
        <x:v>0</x:v>
      </x:c>
      <x:c r="Q114" s="40" t="n">
        <x:v>0</x:v>
      </x:c>
      <x:c r="R114" s="25" t="str"/>
      <x:c r="S114" s="25" t="str">
        <x:v>BOQ_NAME_ONLY</x:v>
      </x:c>
      <x:c r="T114" s="25" t="str">
        <x:v>자동 표 신호는 최종 A/B로 승격하지 않음</x:v>
      </x:c>
      <x:c r="U114" s="22" t="str">
        <x:v>2021-2025</x:v>
      </x:c>
    </x:row>
    <x:row r="115">
      <x:c r="A115" s="22" t="str">
        <x:v>2020-00086</x:v>
      </x:c>
      <x:c r="B115" s="22" t="str">
        <x:v>L2023-00036-1</x:v>
      </x:c>
      <x:c r="C115" s="22" t="str">
        <x:v>WORKS</x:v>
      </x:c>
      <x:c r="D115" s="25" t="str">
        <x:v>L2023-00036-1/붙임3_입찰관련서류_검토완_0717/Section 4.  Bill of Quantities(Not-Priced)/.Urgench_CM_Comments_Arch_VTC_and_TTC_ENG_20230707/1.2. Urgench CM Comments(Elec)_VTC+TTC-(ENG)__20230707.xlsx</x:v>
      </x:c>
      <x:c r="E115" s="22" t="str">
        <x:v>.xlsx</x:v>
      </x:c>
      <x:c r="F115" s="28" t="n">
        <x:v>18391</x:v>
      </x:c>
      <x:c r="G115" s="28" t="str">
        <x:v>97cbb7c5606fd8e13d33953e0c4258dc32df19871ad462ac80d3d9ab0de4ebe3</x:v>
      </x:c>
      <x:c r="H115" s="28" t="n">
        <x:v>1</x:v>
      </x:c>
      <x:c r="I115" s="28" t="n">
        <x:v>1</x:v>
      </x:c>
      <x:c r="J115" s="28" t="n">
        <x:v>0</x:v>
      </x:c>
      <x:c r="K115" s="28" t="n">
        <x:v>0</x:v>
      </x:c>
      <x:c r="L115" s="28" t="n">
        <x:v>0</x:v>
      </x:c>
      <x:c r="M115" s="28" t="n">
        <x:v>0</x:v>
      </x:c>
      <x:c r="N115" s="22" t="str"/>
      <x:c r="O115" s="22" t="str"/>
      <x:c r="P115" s="22" t="n">
        <x:v>0</x:v>
      </x:c>
      <x:c r="Q115" s="40" t="n">
        <x:v>0</x:v>
      </x:c>
      <x:c r="R115" s="25" t="str"/>
      <x:c r="S115" s="25" t="str">
        <x:v>BOQ_NAME_ONLY</x:v>
      </x:c>
      <x:c r="T115" s="25" t="str">
        <x:v>자동 표 신호는 최종 A/B로 승격하지 않음</x:v>
      </x:c>
      <x:c r="U115" s="22" t="str">
        <x:v>2021-2025</x:v>
      </x:c>
    </x:row>
    <x:row r="116">
      <x:c r="A116" s="22" t="str">
        <x:v>2020-00086</x:v>
      </x:c>
      <x:c r="B116" s="22" t="str">
        <x:v>L2023-00036-1</x:v>
      </x:c>
      <x:c r="C116" s="22" t="str">
        <x:v>WORKS</x:v>
      </x:c>
      <x:c r="D116" s="25" t="str">
        <x:v>L2023-00036-1/붙임3_입찰관련서류_검토완_0717/Section 4.  Bill of Quantities(Not-Priced)/공내역서/Total Table(VTC+TTC o).xls</x:v>
      </x:c>
      <x:c r="E116" s="22" t="str">
        <x:v>.xls</x:v>
      </x:c>
      <x:c r="F116" s="28" t="n">
        <x:v>46592</x:v>
      </x:c>
      <x:c r="G116" s="28" t="str">
        <x:v>2b31964c93f2361fea7c845e3bb14da51759b044460b06d74d5174fc81a876a8</x:v>
      </x:c>
      <x:c r="H116" s="28" t="n">
        <x:v>1</x:v>
      </x:c>
      <x:c r="I116" s="28" t="n">
        <x:v>1</x:v>
      </x:c>
      <x:c r="J116" s="28" t="n">
        <x:v>0</x:v>
      </x:c>
      <x:c r="K116" s="28" t="n">
        <x:v>0</x:v>
      </x:c>
      <x:c r="L116" s="28" t="n">
        <x:v>0</x:v>
      </x:c>
      <x:c r="M116" s="28" t="n">
        <x:v>0</x:v>
      </x:c>
      <x:c r="N116" s="22" t="str"/>
      <x:c r="O116" s="22" t="str"/>
      <x:c r="P116" s="22" t="n">
        <x:v>0</x:v>
      </x:c>
      <x:c r="Q116" s="40" t="n">
        <x:v>0</x:v>
      </x:c>
      <x:c r="R116" s="25" t="str"/>
      <x:c r="S116" s="25" t="str">
        <x:v>BOQ_NAME_ONLY</x:v>
      </x:c>
      <x:c r="T116" s="25" t="str">
        <x:v>자동 표 신호는 최종 A/B로 승격하지 않음</x:v>
      </x:c>
      <x:c r="U116" s="22" t="str">
        <x:v>2021-2025</x:v>
      </x:c>
    </x:row>
    <x:row r="117">
      <x:c r="A117" s="22" t="str">
        <x:v>2020-00086</x:v>
      </x:c>
      <x:c r="B117" s="22" t="str">
        <x:v>L2023-00036-1</x:v>
      </x:c>
      <x:c r="C117" s="22" t="str">
        <x:v>WORKS</x:v>
      </x:c>
      <x:c r="D117" s="25" t="str">
        <x:v>L2023-00036-1/붙임3_입찰관련서류_검토완_0717/Section 4.  Bill of Quantities(Not-Priced)/공내역서/TTC견적서/Estimate Manual(VTC+TTC).docx</x:v>
      </x:c>
      <x:c r="E117" s="22" t="str">
        <x:v>.docx</x:v>
      </x:c>
      <x:c r="F117" s="28" t="n">
        <x:v>61925</x:v>
      </x:c>
      <x:c r="G117" s="28" t="str">
        <x:v>45d6dcb2d563481212a18017b78a268e453685bae9d504e1f74e23b5679e21b1</x:v>
      </x:c>
      <x:c r="H117" s="28" t="n">
        <x:v>1</x:v>
      </x:c>
      <x:c r="I117" s="28" t="n">
        <x:v>1</x:v>
      </x:c>
      <x:c r="J117" s="28" t="n">
        <x:v>0</x:v>
      </x:c>
      <x:c r="K117" s="28" t="n">
        <x:v>0</x:v>
      </x:c>
      <x:c r="L117" s="28" t="n">
        <x:v>0</x:v>
      </x:c>
      <x:c r="M117" s="28" t="n">
        <x:v>0</x:v>
      </x:c>
      <x:c r="N117" s="22" t="str"/>
      <x:c r="O117" s="22" t="str"/>
      <x:c r="P117" s="22" t="str"/>
      <x:c r="Q117" s="40" t="n">
        <x:v>0</x:v>
      </x:c>
      <x:c r="R117" s="25" t="str"/>
      <x:c r="S117" s="25" t="str">
        <x:v>BOQ_NAME_ONLY</x:v>
      </x:c>
      <x:c r="T117" s="25" t="str">
        <x:v>자동 표 신호는 최종 A/B로 승격하지 않음</x:v>
      </x:c>
      <x:c r="U117" s="22" t="str">
        <x:v>2021-2025</x:v>
      </x:c>
    </x:row>
    <x:row r="118">
      <x:c r="A118" s="22" t="str">
        <x:v>2020-00086</x:v>
      </x:c>
      <x:c r="B118" s="22" t="str">
        <x:v>L2023-00036-1</x:v>
      </x:c>
      <x:c r="C118" s="22" t="str">
        <x:v>WORKS</x:v>
      </x:c>
      <x:c r="D118" s="25" t="str">
        <x:v>L2023-00036-1/붙임3_입찰관련서류_검토완_0717/Section 4.  Bill of Quantities(Not-Priced)/공내역서/TTC견적서/Total Table(TTC o).xls</x:v>
      </x:c>
      <x:c r="E118" s="22" t="str">
        <x:v>.xls</x:v>
      </x:c>
      <x:c r="F118" s="28" t="n">
        <x:v>46080</x:v>
      </x:c>
      <x:c r="G118" s="28" t="str">
        <x:v>28d446c09dedabb50892b509edb8f58f15a29925ca0afbc015ed89632a9de30e</x:v>
      </x:c>
      <x:c r="H118" s="28" t="n">
        <x:v>1</x:v>
      </x:c>
      <x:c r="I118" s="28" t="n">
        <x:v>1</x:v>
      </x:c>
      <x:c r="J118" s="28" t="n">
        <x:v>0</x:v>
      </x:c>
      <x:c r="K118" s="28" t="n">
        <x:v>0</x:v>
      </x:c>
      <x:c r="L118" s="28" t="n">
        <x:v>0</x:v>
      </x:c>
      <x:c r="M118" s="28" t="n">
        <x:v>0</x:v>
      </x:c>
      <x:c r="N118" s="22" t="str"/>
      <x:c r="O118" s="22" t="str"/>
      <x:c r="P118" s="22" t="n">
        <x:v>0</x:v>
      </x:c>
      <x:c r="Q118" s="40" t="n">
        <x:v>0</x:v>
      </x:c>
      <x:c r="R118" s="25" t="str"/>
      <x:c r="S118" s="25" t="str">
        <x:v>BOQ_NAME_ONLY</x:v>
      </x:c>
      <x:c r="T118" s="25" t="str">
        <x:v>자동 표 신호는 최종 A/B로 승격하지 않음</x:v>
      </x:c>
      <x:c r="U118" s="22" t="str">
        <x:v>2021-2025</x:v>
      </x:c>
    </x:row>
    <x:row r="119">
      <x:c r="A119" s="22" t="str">
        <x:v>2020-00086</x:v>
      </x:c>
      <x:c r="B119" s="22" t="str">
        <x:v>L2023-00036-1</x:v>
      </x:c>
      <x:c r="C119" s="22" t="str">
        <x:v>WORKS</x:v>
      </x:c>
      <x:c r="D119" s="25" t="str">
        <x:v>L2023-00036-1/붙임3_입찰관련서류_검토완_0717/Section 4.  Bill of Quantities(Not-Priced)/공내역서/VTC견적서/Estimate Manual(VTC+TTC).docx</x:v>
      </x:c>
      <x:c r="E119" s="22" t="str">
        <x:v>.docx</x:v>
      </x:c>
      <x:c r="F119" s="28" t="n">
        <x:v>61925</x:v>
      </x:c>
      <x:c r="G119" s="28" t="str">
        <x:v>45d6dcb2d563481212a18017b78a268e453685bae9d504e1f74e23b5679e21b1</x:v>
      </x:c>
      <x:c r="H119" s="28" t="n">
        <x:v>1</x:v>
      </x:c>
      <x:c r="I119" s="28" t="n">
        <x:v>1</x:v>
      </x:c>
      <x:c r="J119" s="28" t="n">
        <x:v>0</x:v>
      </x:c>
      <x:c r="K119" s="28" t="n">
        <x:v>0</x:v>
      </x:c>
      <x:c r="L119" s="28" t="n">
        <x:v>0</x:v>
      </x:c>
      <x:c r="M119" s="28" t="n">
        <x:v>0</x:v>
      </x:c>
      <x:c r="N119" s="22" t="str"/>
      <x:c r="O119" s="22" t="str"/>
      <x:c r="P119" s="22" t="str"/>
      <x:c r="Q119" s="40" t="n">
        <x:v>0</x:v>
      </x:c>
      <x:c r="R119" s="25" t="str"/>
      <x:c r="S119" s="25" t="str">
        <x:v>BOQ_NAME_ONLY</x:v>
      </x:c>
      <x:c r="T119" s="25" t="str">
        <x:v>자동 표 신호는 최종 A/B로 승격하지 않음</x:v>
      </x:c>
      <x:c r="U119" s="22" t="str">
        <x:v>2021-2025</x:v>
      </x:c>
    </x:row>
    <x:row r="120">
      <x:c r="A120" s="22" t="str">
        <x:v>2020-00086</x:v>
      </x:c>
      <x:c r="B120" s="22" t="str">
        <x:v>L2023-00036-1</x:v>
      </x:c>
      <x:c r="C120" s="22" t="str">
        <x:v>WORKS</x:v>
      </x:c>
      <x:c r="D120" s="25" t="str">
        <x:v>L2023-00036-1/붙임3_입찰관련서류_검토완_0717/Section 4.  Bill of Quantities(Not-Priced)/공내역서/VTC견적서/Total Table(VTC o).xls</x:v>
      </x:c>
      <x:c r="E120" s="22" t="str">
        <x:v>.xls</x:v>
      </x:c>
      <x:c r="F120" s="28" t="n">
        <x:v>53248</x:v>
      </x:c>
      <x:c r="G120" s="28" t="str">
        <x:v>95215ae6e2ec160e32c5a08207e13a9f849e9f0f7420e9315a16d201c6b36283</x:v>
      </x:c>
      <x:c r="H120" s="28" t="n">
        <x:v>1</x:v>
      </x:c>
      <x:c r="I120" s="28" t="n">
        <x:v>1</x:v>
      </x:c>
      <x:c r="J120" s="28" t="n">
        <x:v>0</x:v>
      </x:c>
      <x:c r="K120" s="28" t="n">
        <x:v>0</x:v>
      </x:c>
      <x:c r="L120" s="28" t="n">
        <x:v>0</x:v>
      </x:c>
      <x:c r="M120" s="28" t="n">
        <x:v>0</x:v>
      </x:c>
      <x:c r="N120" s="22" t="str"/>
      <x:c r="O120" s="22" t="str"/>
      <x:c r="P120" s="22" t="n">
        <x:v>0</x:v>
      </x:c>
      <x:c r="Q120" s="40" t="n">
        <x:v>0</x:v>
      </x:c>
      <x:c r="R120" s="25" t="str"/>
      <x:c r="S120" s="25" t="str">
        <x:v>BOQ_NAME_ONLY</x:v>
      </x:c>
      <x:c r="T120" s="25" t="str">
        <x:v>자동 표 신호는 최종 A/B로 승격하지 않음</x:v>
      </x:c>
      <x:c r="U120" s="22" t="str">
        <x:v>2021-2025</x:v>
      </x:c>
    </x:row>
    <x:row r="121">
      <x:c r="A121" s="22" t="str">
        <x:v>2020-00086</x:v>
      </x:c>
      <x:c r="B121" s="22" t="str">
        <x:v>L2023-00036-1</x:v>
      </x:c>
      <x:c r="C121" s="22" t="str">
        <x:v>WORKS</x:v>
      </x:c>
      <x:c r="D121" s="25" t="str">
        <x:v>L2023-00036-1/붙임3_입찰관련서류_검토완_0717/Section 4.  Bill of Quantities(Not-Priced)/공내역서/VTC견적서/9 ТП(Transformers)/СВОДКА ТП o.xls</x:v>
      </x:c>
      <x:c r="E121" s="22" t="str">
        <x:v>.xls</x:v>
      </x:c>
      <x:c r="F121" s="28" t="n">
        <x:v>37376</x:v>
      </x:c>
      <x:c r="G121" s="28" t="str">
        <x:v>facd6690ec26530b590132959b7d4a075ba1994b5106b4bcde8fc118b849ef8c</x:v>
      </x:c>
      <x:c r="H121" s="28" t="n">
        <x:v>1</x:v>
      </x:c>
      <x:c r="I121" s="28" t="n">
        <x:v>1</x:v>
      </x:c>
      <x:c r="J121" s="28" t="n">
        <x:v>0</x:v>
      </x:c>
      <x:c r="K121" s="28" t="n">
        <x:v>0</x:v>
      </x:c>
      <x:c r="L121" s="28" t="n">
        <x:v>0</x:v>
      </x:c>
      <x:c r="M121" s="28" t="n">
        <x:v>0</x:v>
      </x:c>
      <x:c r="N121" s="22" t="str"/>
      <x:c r="O121" s="22" t="str"/>
      <x:c r="P121" s="22" t="n">
        <x:v>0</x:v>
      </x:c>
      <x:c r="Q121" s="40" t="n">
        <x:v>0</x:v>
      </x:c>
      <x:c r="R121" s="25" t="str"/>
      <x:c r="S121" s="25" t="str">
        <x:v>BOQ_NAME_ONLY</x:v>
      </x:c>
      <x:c r="T121" s="25" t="str">
        <x:v>자동 표 신호는 최종 A/B로 승격하지 않음</x:v>
      </x:c>
      <x:c r="U121" s="22" t="str">
        <x:v>2021-2025</x:v>
      </x:c>
    </x:row>
    <x:row r="122">
      <x:c r="A122" s="22" t="str">
        <x:v>2020-00086</x:v>
      </x:c>
      <x:c r="B122" s="22" t="str">
        <x:v>L2023-00036-1</x:v>
      </x:c>
      <x:c r="C122" s="22" t="str">
        <x:v>WORKS</x:v>
      </x:c>
      <x:c r="D122" s="25" t="str">
        <x:v>L2023-00036-1/붙임3_입찰관련서류_검토완_0717/Section 4.  Bill of Quantities(Not-Priced)/공내역서/VTC견적서/9 ТП(Transformers)/Титул  ТОМ XI.doc</x:v>
      </x:c>
      <x:c r="E122" s="22" t="str">
        <x:v>.doc</x:v>
      </x:c>
      <x:c r="F122" s="28" t="n">
        <x:v>31232</x:v>
      </x:c>
      <x:c r="G122" s="28" t="str">
        <x:v>562b75d717c841e3583929c3dc728976da62eae357252f326b5e55a04f1d196c</x:v>
      </x:c>
      <x:c r="H122" s="28" t="n">
        <x:v>1</x:v>
      </x:c>
      <x:c r="I122" s="28" t="n">
        <x:v>1</x:v>
      </x:c>
      <x:c r="J122" s="28" t="n">
        <x:v>0</x:v>
      </x:c>
      <x:c r="K122" s="28" t="n">
        <x:v>0</x:v>
      </x:c>
      <x:c r="L122" s="28" t="n">
        <x:v>0</x:v>
      </x:c>
      <x:c r="M122" s="28" t="n">
        <x:v>0</x:v>
      </x:c>
      <x:c r="N122" s="22" t="str"/>
      <x:c r="O122" s="22" t="str"/>
      <x:c r="P122" s="22" t="str"/>
      <x:c r="Q122" s="40" t="n">
        <x:v>0</x:v>
      </x:c>
      <x:c r="R122" s="25" t="str"/>
      <x:c r="S122" s="25" t="str">
        <x:v>BOQ_NAME_ONLY</x:v>
      </x:c>
      <x:c r="T122" s="25" t="str">
        <x:v>자동 표 신호는 최종 A/B로 승격하지 않음</x:v>
      </x:c>
      <x:c r="U122" s="22" t="str">
        <x:v>2021-2025</x:v>
      </x:c>
    </x:row>
    <x:row r="123">
      <x:c r="A123" s="22" t="str">
        <x:v>2020-00086</x:v>
      </x:c>
      <x:c r="B123" s="22" t="str">
        <x:v>L2023-00036-1</x:v>
      </x:c>
      <x:c r="C123" s="22" t="str">
        <x:v>WORKS</x:v>
      </x:c>
      <x:c r="D123" s="25" t="str">
        <x:v>L2023-00036-1/붙임3_입찰관련서류_검토완_0717/Section 4.  Bill of Quantities(Not-Priced)/공내역서/VTC견적서/5 МИНИКУХНЯ(Mini Cafe)/СВОДКА МИНИ-КУХНЯ o.xls</x:v>
      </x:c>
      <x:c r="E123" s="22" t="str">
        <x:v>.xls</x:v>
      </x:c>
      <x:c r="F123" s="28" t="n">
        <x:v>40448</x:v>
      </x:c>
      <x:c r="G123" s="28" t="str">
        <x:v>8f914360b8e4f1fc5d8468deaf2b61af743e6873fa2b694c0fb7dbcc7a4bed51</x:v>
      </x:c>
      <x:c r="H123" s="28" t="n">
        <x:v>1</x:v>
      </x:c>
      <x:c r="I123" s="28" t="n">
        <x:v>1</x:v>
      </x:c>
      <x:c r="J123" s="28" t="n">
        <x:v>0</x:v>
      </x:c>
      <x:c r="K123" s="28" t="n">
        <x:v>0</x:v>
      </x:c>
      <x:c r="L123" s="28" t="n">
        <x:v>0</x:v>
      </x:c>
      <x:c r="M123" s="28" t="n">
        <x:v>0</x:v>
      </x:c>
      <x:c r="N123" s="22" t="str"/>
      <x:c r="O123" s="22" t="str"/>
      <x:c r="P123" s="22" t="n">
        <x:v>0</x:v>
      </x:c>
      <x:c r="Q123" s="40" t="n">
        <x:v>0</x:v>
      </x:c>
      <x:c r="R123" s="25" t="str"/>
      <x:c r="S123" s="25" t="str">
        <x:v>BOQ_NAME_ONLY</x:v>
      </x:c>
      <x:c r="T123" s="25" t="str">
        <x:v>자동 표 신호는 최종 A/B로 승격하지 않음</x:v>
      </x:c>
      <x:c r="U123" s="22" t="str">
        <x:v>2021-2025</x:v>
      </x:c>
    </x:row>
    <x:row r="124">
      <x:c r="A124" s="22" t="str">
        <x:v>2020-00086</x:v>
      </x:c>
      <x:c r="B124" s="22" t="str">
        <x:v>L2023-00036-1</x:v>
      </x:c>
      <x:c r="C124" s="22" t="str">
        <x:v>WORKS</x:v>
      </x:c>
      <x:c r="D124" s="25" t="str">
        <x:v>L2023-00036-1/붙임3_입찰관련서류_검토완_0717/Section 4.  Bill of Quantities(Not-Priced)/공내역서/VTC견적서/5 МИНИКУХНЯ(Mini Cafe)/Титул  ТОМ VI.doc</x:v>
      </x:c>
      <x:c r="E124" s="22" t="str">
        <x:v>.doc</x:v>
      </x:c>
      <x:c r="F124" s="28" t="n">
        <x:v>31232</x:v>
      </x:c>
      <x:c r="G124" s="28" t="str">
        <x:v>5d3df82f7fc981a9739b9b7c058a93fee78c22081ac1c704fbb85f9f85a42c87</x:v>
      </x:c>
      <x:c r="H124" s="28" t="n">
        <x:v>1</x:v>
      </x:c>
      <x:c r="I124" s="28" t="n">
        <x:v>1</x:v>
      </x:c>
      <x:c r="J124" s="28" t="n">
        <x:v>0</x:v>
      </x:c>
      <x:c r="K124" s="28" t="n">
        <x:v>0</x:v>
      </x:c>
      <x:c r="L124" s="28" t="n">
        <x:v>0</x:v>
      </x:c>
      <x:c r="M124" s="28" t="n">
        <x:v>0</x:v>
      </x:c>
      <x:c r="N124" s="22" t="str"/>
      <x:c r="O124" s="22" t="str"/>
      <x:c r="P124" s="22" t="str"/>
      <x:c r="Q124" s="40" t="n">
        <x:v>0</x:v>
      </x:c>
      <x:c r="R124" s="25" t="str"/>
      <x:c r="S124" s="25" t="str">
        <x:v>BOQ_NAME_ONLY</x:v>
      </x:c>
      <x:c r="T124" s="25" t="str">
        <x:v>자동 표 신호는 최종 A/B로 승격하지 않음</x:v>
      </x:c>
      <x:c r="U124" s="22" t="str">
        <x:v>2021-2025</x:v>
      </x:c>
    </x:row>
    <x:row r="125">
      <x:c r="A125" s="22" t="str">
        <x:v>2020-00086</x:v>
      </x:c>
      <x:c r="B125" s="22" t="str">
        <x:v>L2023-00036-1</x:v>
      </x:c>
      <x:c r="C125" s="22" t="str">
        <x:v>WORKS</x:v>
      </x:c>
      <x:c r="D125" s="25" t="str">
        <x:v>L2023-00036-1/붙임3_입찰관련서류_검토완_0717/Section 4.  Bill of Quantities(Not-Priced)/공내역서/VTC견적서/1 АДМИН ЗДАНИЕ(Admin. Build)/СВОДКА АДМИН ЗДАНИЕ o.xls</x:v>
      </x:c>
      <x:c r="E125" s="22" t="str">
        <x:v>.xls</x:v>
      </x:c>
      <x:c r="F125" s="28" t="n">
        <x:v>43008</x:v>
      </x:c>
      <x:c r="G125" s="28" t="str">
        <x:v>239cf320377a69c6514a677d854e57982e433342b7a55f43a6b4565f1d6e2655</x:v>
      </x:c>
      <x:c r="H125" s="28" t="n">
        <x:v>1</x:v>
      </x:c>
      <x:c r="I125" s="28" t="n">
        <x:v>1</x:v>
      </x:c>
      <x:c r="J125" s="28" t="n">
        <x:v>0</x:v>
      </x:c>
      <x:c r="K125" s="28" t="n">
        <x:v>0</x:v>
      </x:c>
      <x:c r="L125" s="28" t="n">
        <x:v>0</x:v>
      </x:c>
      <x:c r="M125" s="28" t="n">
        <x:v>0</x:v>
      </x:c>
      <x:c r="N125" s="22" t="str"/>
      <x:c r="O125" s="22" t="str"/>
      <x:c r="P125" s="22" t="n">
        <x:v>0</x:v>
      </x:c>
      <x:c r="Q125" s="40" t="n">
        <x:v>0</x:v>
      </x:c>
      <x:c r="R125" s="25" t="str"/>
      <x:c r="S125" s="25" t="str">
        <x:v>BOQ_NAME_ONLY</x:v>
      </x:c>
      <x:c r="T125" s="25" t="str">
        <x:v>자동 표 신호는 최종 A/B로 승격하지 않음</x:v>
      </x:c>
      <x:c r="U125" s="22" t="str">
        <x:v>2021-2025</x:v>
      </x:c>
    </x:row>
    <x:row r="126">
      <x:c r="A126" s="22" t="str">
        <x:v>2020-00086</x:v>
      </x:c>
      <x:c r="B126" s="22" t="str">
        <x:v>L2023-00036-1</x:v>
      </x:c>
      <x:c r="C126" s="22" t="str">
        <x:v>WORKS</x:v>
      </x:c>
      <x:c r="D126" s="25" t="str">
        <x:v>L2023-00036-1/붙임3_입찰관련서류_검토완_0717/Section 4.  Bill of Quantities(Not-Priced)/공내역서/VTC견적서/1 АДМИН ЗДАНИЕ(Admin. Build)/Титул  ТОМ II.doc</x:v>
      </x:c>
      <x:c r="E126" s="22" t="str">
        <x:v>.doc</x:v>
      </x:c>
      <x:c r="F126" s="28" t="n">
        <x:v>30720</x:v>
      </x:c>
      <x:c r="G126" s="28" t="str">
        <x:v>835c98ce909b2e964c2710e36061eb15d37eb1fc6a1e589b4eb01f7a428e6ab1</x:v>
      </x:c>
      <x:c r="H126" s="28" t="n">
        <x:v>1</x:v>
      </x:c>
      <x:c r="I126" s="28" t="n">
        <x:v>1</x:v>
      </x:c>
      <x:c r="J126" s="28" t="n">
        <x:v>0</x:v>
      </x:c>
      <x:c r="K126" s="28" t="n">
        <x:v>0</x:v>
      </x:c>
      <x:c r="L126" s="28" t="n">
        <x:v>0</x:v>
      </x:c>
      <x:c r="M126" s="28" t="n">
        <x:v>0</x:v>
      </x:c>
      <x:c r="N126" s="22" t="str"/>
      <x:c r="O126" s="22" t="str"/>
      <x:c r="P126" s="22" t="str"/>
      <x:c r="Q126" s="40" t="n">
        <x:v>0</x:v>
      </x:c>
      <x:c r="R126" s="25" t="str"/>
      <x:c r="S126" s="25" t="str">
        <x:v>BOQ_NAME_ONLY</x:v>
      </x:c>
      <x:c r="T126" s="25" t="str">
        <x:v>자동 표 신호는 최종 A/B로 승격하지 않음</x:v>
      </x:c>
      <x:c r="U126" s="22" t="str">
        <x:v>2021-2025</x:v>
      </x:c>
    </x:row>
    <x:row r="127">
      <x:c r="A127" s="22" t="str">
        <x:v>2020-00086</x:v>
      </x:c>
      <x:c r="B127" s="22" t="str">
        <x:v>L2023-00036-1</x:v>
      </x:c>
      <x:c r="C127" s="22" t="str">
        <x:v>WORKS</x:v>
      </x:c>
      <x:c r="D127" s="25" t="str">
        <x:v>L2023-00036-1/붙임3_입찰관련서류_검토완_0717/Section 4.  Bill of Quantities(Not-Priced)/공내역서/VTC견적서/2 УПК(Practice and Education Building)/СВОДКА УНП o.xls</x:v>
      </x:c>
      <x:c r="E127" s="22" t="str">
        <x:v>.xls</x:v>
      </x:c>
      <x:c r="F127" s="28" t="n">
        <x:v>41984</x:v>
      </x:c>
      <x:c r="G127" s="28" t="str">
        <x:v>4e9e4173d9aaf338992fc1a73bdba899f9b1309cc10a476fa73a616edd0c77fa</x:v>
      </x:c>
      <x:c r="H127" s="28" t="n">
        <x:v>1</x:v>
      </x:c>
      <x:c r="I127" s="28" t="n">
        <x:v>1</x:v>
      </x:c>
      <x:c r="J127" s="28" t="n">
        <x:v>0</x:v>
      </x:c>
      <x:c r="K127" s="28" t="n">
        <x:v>0</x:v>
      </x:c>
      <x:c r="L127" s="28" t="n">
        <x:v>0</x:v>
      </x:c>
      <x:c r="M127" s="28" t="n">
        <x:v>0</x:v>
      </x:c>
      <x:c r="N127" s="22" t="str"/>
      <x:c r="O127" s="22" t="str"/>
      <x:c r="P127" s="22" t="n">
        <x:v>0</x:v>
      </x:c>
      <x:c r="Q127" s="40" t="n">
        <x:v>0</x:v>
      </x:c>
      <x:c r="R127" s="25" t="str"/>
      <x:c r="S127" s="25" t="str">
        <x:v>BOQ_NAME_ONLY</x:v>
      </x:c>
      <x:c r="T127" s="25" t="str">
        <x:v>자동 표 신호는 최종 A/B로 승격하지 않음</x:v>
      </x:c>
      <x:c r="U127" s="22" t="str">
        <x:v>2021-2025</x:v>
      </x:c>
    </x:row>
    <x:row r="128">
      <x:c r="A128" s="22" t="str">
        <x:v>2020-00086</x:v>
      </x:c>
      <x:c r="B128" s="22" t="str">
        <x:v>L2023-00036-1</x:v>
      </x:c>
      <x:c r="C128" s="22" t="str">
        <x:v>WORKS</x:v>
      </x:c>
      <x:c r="D128" s="25" t="str">
        <x:v>L2023-00036-1/붙임3_입찰관련서류_검토완_0717/Section 4.  Bill of Quantities(Not-Priced)/공내역서/VTC견적서/2 УПК(Practice and Education Building)/Титул  ТОМ III.doc</x:v>
      </x:c>
      <x:c r="E128" s="22" t="str">
        <x:v>.doc</x:v>
      </x:c>
      <x:c r="F128" s="28" t="n">
        <x:v>31232</x:v>
      </x:c>
      <x:c r="G128" s="28" t="str">
        <x:v>f8ec15c11cbb553ae2762ca699a90e16cd13aa1ef2cbd491e594fed4da383a69</x:v>
      </x:c>
      <x:c r="H128" s="28" t="n">
        <x:v>1</x:v>
      </x:c>
      <x:c r="I128" s="28" t="n">
        <x:v>1</x:v>
      </x:c>
      <x:c r="J128" s="28" t="n">
        <x:v>0</x:v>
      </x:c>
      <x:c r="K128" s="28" t="n">
        <x:v>0</x:v>
      </x:c>
      <x:c r="L128" s="28" t="n">
        <x:v>0</x:v>
      </x:c>
      <x:c r="M128" s="28" t="n">
        <x:v>0</x:v>
      </x:c>
      <x:c r="N128" s="22" t="str"/>
      <x:c r="O128" s="22" t="str"/>
      <x:c r="P128" s="22" t="str"/>
      <x:c r="Q128" s="40" t="n">
        <x:v>0</x:v>
      </x:c>
      <x:c r="R128" s="25" t="str"/>
      <x:c r="S128" s="25" t="str">
        <x:v>BOQ_NAME_ONLY</x:v>
      </x:c>
      <x:c r="T128" s="25" t="str">
        <x:v>자동 표 신호는 최종 A/B로 승격하지 않음</x:v>
      </x:c>
      <x:c r="U128" s="22" t="str">
        <x:v>2021-2025</x:v>
      </x:c>
    </x:row>
    <x:row r="129">
      <x:c r="A129" s="22" t="str">
        <x:v>2020-00086</x:v>
      </x:c>
      <x:c r="B129" s="22" t="str">
        <x:v>L2023-00036-1</x:v>
      </x:c>
      <x:c r="C129" s="22" t="str">
        <x:v>WORKS</x:v>
      </x:c>
      <x:c r="D129" s="25" t="str">
        <x:v>L2023-00036-1/붙임3_입찰관련서류_검토완_0717/Section 4.  Bill of Quantities(Not-Priced)/공내역서/VTC견적서/6 КПП(Guard House+Fence &amp; Gate)/СВОДКА КПП o.xls</x:v>
      </x:c>
      <x:c r="E129" s="22" t="str">
        <x:v>.xls</x:v>
      </x:c>
      <x:c r="F129" s="28" t="n">
        <x:v>39936</x:v>
      </x:c>
      <x:c r="G129" s="28" t="str">
        <x:v>d27c5152b98d05c4e041485209c2097fc8c59879eaa9b7191d41891200560736</x:v>
      </x:c>
      <x:c r="H129" s="28" t="n">
        <x:v>1</x:v>
      </x:c>
      <x:c r="I129" s="28" t="n">
        <x:v>1</x:v>
      </x:c>
      <x:c r="J129" s="28" t="n">
        <x:v>0</x:v>
      </x:c>
      <x:c r="K129" s="28" t="n">
        <x:v>0</x:v>
      </x:c>
      <x:c r="L129" s="28" t="n">
        <x:v>0</x:v>
      </x:c>
      <x:c r="M129" s="28" t="n">
        <x:v>0</x:v>
      </x:c>
      <x:c r="N129" s="22" t="str"/>
      <x:c r="O129" s="22" t="str"/>
      <x:c r="P129" s="22" t="n">
        <x:v>0</x:v>
      </x:c>
      <x:c r="Q129" s="40" t="n">
        <x:v>0</x:v>
      </x:c>
      <x:c r="R129" s="25" t="str"/>
      <x:c r="S129" s="25" t="str">
        <x:v>BOQ_NAME_ONLY</x:v>
      </x:c>
      <x:c r="T129" s="25" t="str">
        <x:v>자동 표 신호는 최종 A/B로 승격하지 않음</x:v>
      </x:c>
      <x:c r="U129" s="22" t="str">
        <x:v>2021-2025</x:v>
      </x:c>
    </x:row>
    <x:row r="130">
      <x:c r="A130" s="22" t="str">
        <x:v>2020-00086</x:v>
      </x:c>
      <x:c r="B130" s="22" t="str">
        <x:v>L2023-00036-1</x:v>
      </x:c>
      <x:c r="C130" s="22" t="str">
        <x:v>WORKS</x:v>
      </x:c>
      <x:c r="D130" s="25" t="str">
        <x:v>L2023-00036-1/붙임3_입찰관련서류_검토완_0717/Section 4.  Bill of Quantities(Not-Priced)/공내역서/VTC견적서/6 КПП(Guard House+Fence &amp; Gate)/Титул  ТОМ VII.doc</x:v>
      </x:c>
      <x:c r="E130" s="22" t="str">
        <x:v>.doc</x:v>
      </x:c>
      <x:c r="F130" s="28" t="n">
        <x:v>31232</x:v>
      </x:c>
      <x:c r="G130" s="28" t="str">
        <x:v>d3a2878206d1a5ed18bf735bd8e0e29bcf39f0f7e7908670880919bce45c4d64</x:v>
      </x:c>
      <x:c r="H130" s="28" t="n">
        <x:v>1</x:v>
      </x:c>
      <x:c r="I130" s="28" t="n">
        <x:v>1</x:v>
      </x:c>
      <x:c r="J130" s="28" t="n">
        <x:v>0</x:v>
      </x:c>
      <x:c r="K130" s="28" t="n">
        <x:v>0</x:v>
      </x:c>
      <x:c r="L130" s="28" t="n">
        <x:v>0</x:v>
      </x:c>
      <x:c r="M130" s="28" t="n">
        <x:v>0</x:v>
      </x:c>
      <x:c r="N130" s="22" t="str"/>
      <x:c r="O130" s="22" t="str"/>
      <x:c r="P130" s="22" t="str"/>
      <x:c r="Q130" s="40" t="n">
        <x:v>0</x:v>
      </x:c>
      <x:c r="R130" s="25" t="str"/>
      <x:c r="S130" s="25" t="str">
        <x:v>BOQ_NAME_ONLY</x:v>
      </x:c>
      <x:c r="T130" s="25" t="str">
        <x:v>자동 표 신호는 최종 A/B로 승격하지 않음</x:v>
      </x:c>
      <x:c r="U130" s="22" t="str">
        <x:v>2021-2025</x:v>
      </x:c>
    </x:row>
    <x:row r="131">
      <x:c r="A131" s="22" t="str">
        <x:v>2020-00086</x:v>
      </x:c>
      <x:c r="B131" s="22" t="str">
        <x:v>L2023-00036-1</x:v>
      </x:c>
      <x:c r="C131" s="22" t="str">
        <x:v>WORKS</x:v>
      </x:c>
      <x:c r="D131" s="25" t="str">
        <x:v>L2023-00036-1/붙임3_입찰관련서류_검토완_0717/Section 4.  Bill of Quantities(Not-Priced)/공내역서/VTC견적서/0 ГП(Site Plan &amp; Landscape+Outdoor Infra)/Титул  ГП.doc</x:v>
      </x:c>
      <x:c r="E131" s="22" t="str">
        <x:v>.doc</x:v>
      </x:c>
      <x:c r="F131" s="28" t="n">
        <x:v>31232</x:v>
      </x:c>
      <x:c r="G131" s="28" t="str">
        <x:v>668b31d75f72b7e552805f9881eb1194815e756808fbb34626fafe827afacac8</x:v>
      </x:c>
      <x:c r="H131" s="28" t="n">
        <x:v>1</x:v>
      </x:c>
      <x:c r="I131" s="28" t="n">
        <x:v>1</x:v>
      </x:c>
      <x:c r="J131" s="28" t="n">
        <x:v>0</x:v>
      </x:c>
      <x:c r="K131" s="28" t="n">
        <x:v>0</x:v>
      </x:c>
      <x:c r="L131" s="28" t="n">
        <x:v>0</x:v>
      </x:c>
      <x:c r="M131" s="28" t="n">
        <x:v>0</x:v>
      </x:c>
      <x:c r="N131" s="22" t="str"/>
      <x:c r="O131" s="22" t="str"/>
      <x:c r="P131" s="22" t="str"/>
      <x:c r="Q131" s="40" t="n">
        <x:v>0</x:v>
      </x:c>
      <x:c r="R131" s="25" t="str"/>
      <x:c r="S131" s="25" t="str">
        <x:v>BOQ_NAME_ONLY</x:v>
      </x:c>
      <x:c r="T131" s="25" t="str">
        <x:v>자동 표 신호는 최종 A/B로 승격하지 않음</x:v>
      </x:c>
      <x:c r="U131" s="22" t="str">
        <x:v>2021-2025</x:v>
      </x:c>
    </x:row>
    <x:row r="132">
      <x:c r="A132" s="22" t="str">
        <x:v>2020-00086</x:v>
      </x:c>
      <x:c r="B132" s="22" t="str">
        <x:v>L2023-00036-1</x:v>
      </x:c>
      <x:c r="C132" s="22" t="str">
        <x:v>WORKS</x:v>
      </x:c>
      <x:c r="D132" s="25" t="str">
        <x:v>L2023-00036-1/붙임3_입찰관련서류_검토완_0717/Section 4.  Bill of Quantities(Not-Priced)/공내역서/VTC견적서/0 ГП(Site Plan &amp; Landscape+Outdoor Infra)/СВОДКА ГП o.xls</x:v>
      </x:c>
      <x:c r="E132" s="22" t="str">
        <x:v>.xls</x:v>
      </x:c>
      <x:c r="F132" s="28" t="n">
        <x:v>45568</x:v>
      </x:c>
      <x:c r="G132" s="28" t="str">
        <x:v>ea3f4e528b188609521baeecebb2d8c370f0b8bcb04912b0ecc7b6f576cead23</x:v>
      </x:c>
      <x:c r="H132" s="28" t="n">
        <x:v>1</x:v>
      </x:c>
      <x:c r="I132" s="28" t="n">
        <x:v>1</x:v>
      </x:c>
      <x:c r="J132" s="28" t="n">
        <x:v>0</x:v>
      </x:c>
      <x:c r="K132" s="28" t="n">
        <x:v>0</x:v>
      </x:c>
      <x:c r="L132" s="28" t="n">
        <x:v>0</x:v>
      </x:c>
      <x:c r="M132" s="28" t="n">
        <x:v>0</x:v>
      </x:c>
      <x:c r="N132" s="22" t="str"/>
      <x:c r="O132" s="22" t="str"/>
      <x:c r="P132" s="22" t="n">
        <x:v>0</x:v>
      </x:c>
      <x:c r="Q132" s="40" t="n">
        <x:v>0</x:v>
      </x:c>
      <x:c r="R132" s="25" t="str"/>
      <x:c r="S132" s="25" t="str">
        <x:v>BOQ_NAME_ONLY</x:v>
      </x:c>
      <x:c r="T132" s="25" t="str">
        <x:v>자동 표 신호는 최종 A/B로 승격하지 않음</x:v>
      </x:c>
      <x:c r="U132" s="22" t="str">
        <x:v>2021-2025</x:v>
      </x:c>
    </x:row>
    <x:row r="133">
      <x:c r="A133" s="22" t="str">
        <x:v>2020-00086</x:v>
      </x:c>
      <x:c r="B133" s="22" t="str">
        <x:v>L2023-00036-1</x:v>
      </x:c>
      <x:c r="C133" s="22" t="str">
        <x:v>WORKS</x:v>
      </x:c>
      <x:c r="D133" s="25" t="str">
        <x:v>L2023-00036-1/붙임3_입찰관련서류_검토완_0717/Section 4.  Bill of Quantities(Not-Priced)/공내역서/VTC견적서/7 КОМПРЕССОРАНЯ(Comp.+GAS storage)/Титул  ТОМ VIII.doc</x:v>
      </x:c>
      <x:c r="E133" s="22" t="str">
        <x:v>.doc</x:v>
      </x:c>
      <x:c r="F133" s="28" t="n">
        <x:v>31232</x:v>
      </x:c>
      <x:c r="G133" s="28" t="str">
        <x:v>f5cd809cdb57d6a998fcf268c2026e9e6273e70367355d3819724a2f5393a610</x:v>
      </x:c>
      <x:c r="H133" s="28" t="n">
        <x:v>1</x:v>
      </x:c>
      <x:c r="I133" s="28" t="n">
        <x:v>1</x:v>
      </x:c>
      <x:c r="J133" s="28" t="n">
        <x:v>0</x:v>
      </x:c>
      <x:c r="K133" s="28" t="n">
        <x:v>0</x:v>
      </x:c>
      <x:c r="L133" s="28" t="n">
        <x:v>0</x:v>
      </x:c>
      <x:c r="M133" s="28" t="n">
        <x:v>0</x:v>
      </x:c>
      <x:c r="N133" s="22" t="str"/>
      <x:c r="O133" s="22" t="str"/>
      <x:c r="P133" s="22" t="str"/>
      <x:c r="Q133" s="40" t="n">
        <x:v>0</x:v>
      </x:c>
      <x:c r="R133" s="25" t="str"/>
      <x:c r="S133" s="25" t="str">
        <x:v>BOQ_NAME_ONLY</x:v>
      </x:c>
      <x:c r="T133" s="25" t="str">
        <x:v>자동 표 신호는 최종 A/B로 승격하지 않음</x:v>
      </x:c>
      <x:c r="U133" s="22" t="str">
        <x:v>2021-2025</x:v>
      </x:c>
    </x:row>
    <x:row r="134">
      <x:c r="A134" s="22" t="str">
        <x:v>2020-00086</x:v>
      </x:c>
      <x:c r="B134" s="22" t="str">
        <x:v>L2023-00036-1</x:v>
      </x:c>
      <x:c r="C134" s="22" t="str">
        <x:v>WORKS</x:v>
      </x:c>
      <x:c r="D134" s="25" t="str">
        <x:v>L2023-00036-1/붙임3_입찰관련서류_검토완_0717/Section 4.  Bill of Quantities(Not-Priced)/공내역서/VTC견적서/7 КОМПРЕССОРАНЯ(Comp.+GAS storage)/СВОДКА КОМПРЕССОРНАЯ o.xls</x:v>
      </x:c>
      <x:c r="E134" s="22" t="str">
        <x:v>.xls</x:v>
      </x:c>
      <x:c r="F134" s="28" t="n">
        <x:v>38400</x:v>
      </x:c>
      <x:c r="G134" s="28" t="str">
        <x:v>0b2724d38273defda9a531465cca025007abde2b3afdd8f53e7888f815118475</x:v>
      </x:c>
      <x:c r="H134" s="28" t="n">
        <x:v>1</x:v>
      </x:c>
      <x:c r="I134" s="28" t="n">
        <x:v>1</x:v>
      </x:c>
      <x:c r="J134" s="28" t="n">
        <x:v>0</x:v>
      </x:c>
      <x:c r="K134" s="28" t="n">
        <x:v>0</x:v>
      </x:c>
      <x:c r="L134" s="28" t="n">
        <x:v>0</x:v>
      </x:c>
      <x:c r="M134" s="28" t="n">
        <x:v>0</x:v>
      </x:c>
      <x:c r="N134" s="22" t="str"/>
      <x:c r="O134" s="22" t="str"/>
      <x:c r="P134" s="22" t="n">
        <x:v>0</x:v>
      </x:c>
      <x:c r="Q134" s="40" t="n">
        <x:v>0</x:v>
      </x:c>
      <x:c r="R134" s="25" t="str"/>
      <x:c r="S134" s="25" t="str">
        <x:v>BOQ_NAME_ONLY</x:v>
      </x:c>
      <x:c r="T134" s="25" t="str">
        <x:v>자동 표 신호는 최종 A/B로 승격하지 않음</x:v>
      </x:c>
      <x:c r="U134" s="22" t="str">
        <x:v>2021-2025</x:v>
      </x:c>
    </x:row>
    <x:row r="135">
      <x:c r="A135" s="22" t="str">
        <x:v>2020-00086</x:v>
      </x:c>
      <x:c r="B135" s="22" t="str">
        <x:v>L2023-00036-1</x:v>
      </x:c>
      <x:c r="C135" s="22" t="str">
        <x:v>WORKS</x:v>
      </x:c>
      <x:c r="D135" s="25" t="str">
        <x:v>L2023-00036-1/붙임3_입찰관련서류_검토완_0717/Section 4.  Bill of Quantities(Not-Priced)/공내역서/VTC견적서/3 ОБЩЕЖИТИЕ(Dormitory)/СВОДКА ОБЩЕЖИТИЕ o.xls</x:v>
      </x:c>
      <x:c r="E135" s="22" t="str">
        <x:v>.xls</x:v>
      </x:c>
      <x:c r="F135" s="28" t="n">
        <x:v>41984</x:v>
      </x:c>
      <x:c r="G135" s="28" t="str">
        <x:v>9e450ed4764d68cf1717aec94480771f8ac30c1c153541e64da47a920e09d403</x:v>
      </x:c>
      <x:c r="H135" s="28" t="n">
        <x:v>1</x:v>
      </x:c>
      <x:c r="I135" s="28" t="n">
        <x:v>1</x:v>
      </x:c>
      <x:c r="J135" s="28" t="n">
        <x:v>0</x:v>
      </x:c>
      <x:c r="K135" s="28" t="n">
        <x:v>0</x:v>
      </x:c>
      <x:c r="L135" s="28" t="n">
        <x:v>0</x:v>
      </x:c>
      <x:c r="M135" s="28" t="n">
        <x:v>0</x:v>
      </x:c>
      <x:c r="N135" s="22" t="str"/>
      <x:c r="O135" s="22" t="str"/>
      <x:c r="P135" s="22" t="n">
        <x:v>0</x:v>
      </x:c>
      <x:c r="Q135" s="40" t="n">
        <x:v>0</x:v>
      </x:c>
      <x:c r="R135" s="25" t="str"/>
      <x:c r="S135" s="25" t="str">
        <x:v>BOQ_NAME_ONLY</x:v>
      </x:c>
      <x:c r="T135" s="25" t="str">
        <x:v>자동 표 신호는 최종 A/B로 승격하지 않음</x:v>
      </x:c>
      <x:c r="U135" s="22" t="str">
        <x:v>2021-2025</x:v>
      </x:c>
    </x:row>
    <x:row r="136">
      <x:c r="A136" s="22" t="str">
        <x:v>2020-00086</x:v>
      </x:c>
      <x:c r="B136" s="22" t="str">
        <x:v>L2023-00036-1</x:v>
      </x:c>
      <x:c r="C136" s="22" t="str">
        <x:v>WORKS</x:v>
      </x:c>
      <x:c r="D136" s="25" t="str">
        <x:v>L2023-00036-1/붙임3_입찰관련서류_검토완_0717/Section 4.  Bill of Quantities(Not-Priced)/공내역서/VTC견적서/8 ПОЖАРНАЯ ЕМЪКОСТЬ(Fire Tank)/СВОДКА НАСОСНАЯ o.xls</x:v>
      </x:c>
      <x:c r="E136" s="22" t="str">
        <x:v>.xls</x:v>
      </x:c>
      <x:c r="F136" s="28" t="n">
        <x:v>36864</x:v>
      </x:c>
      <x:c r="G136" s="28" t="str">
        <x:v>8ef74923d250818b9dc846d7e1e8cf5532a3e349c007a54e4475abbae35c2b29</x:v>
      </x:c>
      <x:c r="H136" s="28" t="n">
        <x:v>1</x:v>
      </x:c>
      <x:c r="I136" s="28" t="n">
        <x:v>1</x:v>
      </x:c>
      <x:c r="J136" s="28" t="n">
        <x:v>0</x:v>
      </x:c>
      <x:c r="K136" s="28" t="n">
        <x:v>0</x:v>
      </x:c>
      <x:c r="L136" s="28" t="n">
        <x:v>0</x:v>
      </x:c>
      <x:c r="M136" s="28" t="n">
        <x:v>0</x:v>
      </x:c>
      <x:c r="N136" s="22" t="str"/>
      <x:c r="O136" s="22" t="str"/>
      <x:c r="P136" s="22" t="n">
        <x:v>0</x:v>
      </x:c>
      <x:c r="Q136" s="40" t="n">
        <x:v>0</x:v>
      </x:c>
      <x:c r="R136" s="25" t="str"/>
      <x:c r="S136" s="25" t="str">
        <x:v>BOQ_NAME_ONLY</x:v>
      </x:c>
      <x:c r="T136" s="25" t="str">
        <x:v>자동 표 신호는 최종 A/B로 승격하지 않음</x:v>
      </x:c>
      <x:c r="U136" s="22" t="str">
        <x:v>2021-2025</x:v>
      </x:c>
    </x:row>
    <x:row r="137">
      <x:c r="A137" s="22" t="str">
        <x:v>2020-00086</x:v>
      </x:c>
      <x:c r="B137" s="22" t="str">
        <x:v>L2023-00036-1</x:v>
      </x:c>
      <x:c r="C137" s="22" t="str">
        <x:v>WORKS</x:v>
      </x:c>
      <x:c r="D137" s="25" t="str">
        <x:v>L2023-00036-1/붙임3_입찰관련서류_검토완_0717/Section 4.  Bill of Quantities(Not-Priced)/공내역서/VTC견적서/8 ПОЖАРНАЯ ЕМЪКОСТЬ(Fire Tank)/Титул  ТОМ VIII.doc</x:v>
      </x:c>
      <x:c r="E137" s="22" t="str">
        <x:v>.doc</x:v>
      </x:c>
      <x:c r="F137" s="28" t="n">
        <x:v>31232</x:v>
      </x:c>
      <x:c r="G137" s="28" t="str">
        <x:v>5ddb37550ef46644b2b3d4e63ede77d94e36e452ec009253911c901adac38784</x:v>
      </x:c>
      <x:c r="H137" s="28" t="n">
        <x:v>1</x:v>
      </x:c>
      <x:c r="I137" s="28" t="n">
        <x:v>1</x:v>
      </x:c>
      <x:c r="J137" s="28" t="n">
        <x:v>0</x:v>
      </x:c>
      <x:c r="K137" s="28" t="n">
        <x:v>0</x:v>
      </x:c>
      <x:c r="L137" s="28" t="n">
        <x:v>0</x:v>
      </x:c>
      <x:c r="M137" s="28" t="n">
        <x:v>0</x:v>
      </x:c>
      <x:c r="N137" s="22" t="str"/>
      <x:c r="O137" s="22" t="str"/>
      <x:c r="P137" s="22" t="str"/>
      <x:c r="Q137" s="40" t="n">
        <x:v>0</x:v>
      </x:c>
      <x:c r="R137" s="25" t="str"/>
      <x:c r="S137" s="25" t="str">
        <x:v>BOQ_NAME_ONLY</x:v>
      </x:c>
      <x:c r="T137" s="25" t="str">
        <x:v>자동 표 신호는 최종 A/B로 승격하지 않음</x:v>
      </x:c>
      <x:c r="U137" s="22" t="str">
        <x:v>2021-2025</x:v>
      </x:c>
    </x:row>
    <x:row r="138">
      <x:c r="A138" s="22" t="str">
        <x:v>2020-00086</x:v>
      </x:c>
      <x:c r="B138" s="22" t="str">
        <x:v>L2023-00036-1</x:v>
      </x:c>
      <x:c r="C138" s="22" t="str">
        <x:v>WORKS</x:v>
      </x:c>
      <x:c r="D138" s="25" t="str">
        <x:v>L2023-00036-1/붙임3_입찰관련서류_검토완_0717/Section 4.  Bill of Quantities(Not-Priced)/공내역서/VTC견적서/4 БУФЕТ(Cafeteria)/Титул  ТОМ V.doc</x:v>
      </x:c>
      <x:c r="E138" s="22" t="str">
        <x:v>.doc</x:v>
      </x:c>
      <x:c r="F138" s="28" t="n">
        <x:v>31232</x:v>
      </x:c>
      <x:c r="G138" s="28" t="str">
        <x:v>a0409474de93963ccc2edc98b174358d13a0f332a3278a64d7054f37b8652ce2</x:v>
      </x:c>
      <x:c r="H138" s="28" t="n">
        <x:v>1</x:v>
      </x:c>
      <x:c r="I138" s="28" t="n">
        <x:v>1</x:v>
      </x:c>
      <x:c r="J138" s="28" t="n">
        <x:v>0</x:v>
      </x:c>
      <x:c r="K138" s="28" t="n">
        <x:v>0</x:v>
      </x:c>
      <x:c r="L138" s="28" t="n">
        <x:v>0</x:v>
      </x:c>
      <x:c r="M138" s="28" t="n">
        <x:v>0</x:v>
      </x:c>
      <x:c r="N138" s="22" t="str"/>
      <x:c r="O138" s="22" t="str"/>
      <x:c r="P138" s="22" t="str"/>
      <x:c r="Q138" s="40" t="n">
        <x:v>0</x:v>
      </x:c>
      <x:c r="R138" s="25" t="str"/>
      <x:c r="S138" s="25" t="str">
        <x:v>BOQ_NAME_ONLY</x:v>
      </x:c>
      <x:c r="T138" s="25" t="str">
        <x:v>자동 표 신호는 최종 A/B로 승격하지 않음</x:v>
      </x:c>
      <x:c r="U138" s="22" t="str">
        <x:v>2021-2025</x:v>
      </x:c>
    </x:row>
    <x:row r="139">
      <x:c r="A139" s="22" t="str">
        <x:v>2020-00086</x:v>
      </x:c>
      <x:c r="B139" s="22" t="str">
        <x:v>L2023-00036-1</x:v>
      </x:c>
      <x:c r="C139" s="22" t="str">
        <x:v>WORKS</x:v>
      </x:c>
      <x:c r="D139" s="25" t="str">
        <x:v>L2023-00036-1/붙임3_입찰관련서류_검토완_0717/Section 4.  Bill of Quantities(Not-Priced)/공내역서/VTC견적서/4 БУФЕТ(Cafeteria)/СВОДКА БУФЕТ o.xls</x:v>
      </x:c>
      <x:c r="E139" s="22" t="str">
        <x:v>.xls</x:v>
      </x:c>
      <x:c r="F139" s="28" t="n">
        <x:v>41984</x:v>
      </x:c>
      <x:c r="G139" s="28" t="str">
        <x:v>4ecacaffd035763b281b2ec0f37463659ed1670d177cc1b38809ca7cbec90628</x:v>
      </x:c>
      <x:c r="H139" s="28" t="n">
        <x:v>1</x:v>
      </x:c>
      <x:c r="I139" s="28" t="n">
        <x:v>1</x:v>
      </x:c>
      <x:c r="J139" s="28" t="n">
        <x:v>0</x:v>
      </x:c>
      <x:c r="K139" s="28" t="n">
        <x:v>0</x:v>
      </x:c>
      <x:c r="L139" s="28" t="n">
        <x:v>0</x:v>
      </x:c>
      <x:c r="M139" s="28" t="n">
        <x:v>0</x:v>
      </x:c>
      <x:c r="N139" s="22" t="str"/>
      <x:c r="O139" s="22" t="str"/>
      <x:c r="P139" s="22" t="n">
        <x:v>0</x:v>
      </x:c>
      <x:c r="Q139" s="40" t="n">
        <x:v>0</x:v>
      </x:c>
      <x:c r="R139" s="25" t="str"/>
      <x:c r="S139" s="25" t="str">
        <x:v>BOQ_NAME_ONLY</x:v>
      </x:c>
      <x:c r="T139" s="25" t="str">
        <x:v>자동 표 신호는 최종 A/B로 승격하지 않음</x:v>
      </x:c>
      <x:c r="U139" s="22" t="str">
        <x:v>2021-2025</x:v>
      </x:c>
    </x:row>
    <x:row r="140">
      <x:c r="A140" s="22" t="str">
        <x:v>2020-00086</x:v>
      </x:c>
      <x:c r="B140" s="22" t="str">
        <x:v>L2023-00036-1</x:v>
      </x:c>
      <x:c r="C140" s="22" t="str">
        <x:v>WORKS</x:v>
      </x:c>
      <x:c r="D140" s="25" t="str">
        <x:v>L2023-00036-1/붙임3_입찰관련서류_검토완_0717/Section 4.  Bill of Quantities(Not-Priced)/공내역서/VTC견적서/4 БУФЕТ(Cafeteria)/4-9 ТХ/13743_vfor.xls</x:v>
      </x:c>
      <x:c r="E140" s="22" t="str">
        <x:v>.xls</x:v>
      </x:c>
      <x:c r="F140" s="28" t="n">
        <x:v>33280</x:v>
      </x:c>
      <x:c r="G140" s="28" t="str">
        <x:v>c8d68a7f99bd5aa730939196a85ab57f191b2ab524c3c5bac885dcbbdbecaa69</x:v>
      </x:c>
      <x:c r="H140" s="28" t="n">
        <x:v>1</x:v>
      </x:c>
      <x:c r="I140" s="28" t="n">
        <x:v>1</x:v>
      </x:c>
      <x:c r="J140" s="28" t="n">
        <x:v>0</x:v>
      </x:c>
      <x:c r="K140" s="28" t="n">
        <x:v>0</x:v>
      </x:c>
      <x:c r="L140" s="28" t="n">
        <x:v>0</x:v>
      </x:c>
      <x:c r="M140" s="28" t="n">
        <x:v>0</x:v>
      </x:c>
      <x:c r="N140" s="22" t="str"/>
      <x:c r="O140" s="22" t="str"/>
      <x:c r="P140" s="22" t="n">
        <x:v>0</x:v>
      </x:c>
      <x:c r="Q140" s="40" t="n">
        <x:v>0</x:v>
      </x:c>
      <x:c r="R140" s="25" t="str"/>
      <x:c r="S140" s="25" t="str">
        <x:v>BOQ_NAME_ONLY</x:v>
      </x:c>
      <x:c r="T140" s="25" t="str">
        <x:v>자동 표 신호는 최종 A/B로 승격하지 않음</x:v>
      </x:c>
      <x:c r="U140" s="22" t="str">
        <x:v>2021-2025</x:v>
      </x:c>
    </x:row>
    <x:row r="141">
      <x:c r="A141" s="22" t="str">
        <x:v>2020-00086</x:v>
      </x:c>
      <x:c r="B141" s="22" t="str">
        <x:v>L2023-00036-1</x:v>
      </x:c>
      <x:c r="C141" s="22" t="str">
        <x:v>WORKS</x:v>
      </x:c>
      <x:c r="D141" s="25" t="str">
        <x:v>L2023-00036-1/붙임3_입찰관련서류_검토완_0717/Section 4.  Bill of Quantities(Not-Priced)/공내역서/VTC견적서/4 БУФЕТ(Cafeteria)/4-9 ТХ/13743_vrmu.xls</x:v>
      </x:c>
      <x:c r="E141" s="22" t="str">
        <x:v>.xls</x:v>
      </x:c>
      <x:c r="F141" s="28" t="n">
        <x:v>44032</x:v>
      </x:c>
      <x:c r="G141" s="28" t="str">
        <x:v>78405bf4dba631faab9d2df8eb3c9871b3b3e6bcb3d8da1b40aa473f959fda6a</x:v>
      </x:c>
      <x:c r="H141" s="28" t="n">
        <x:v>1</x:v>
      </x:c>
      <x:c r="I141" s="28" t="n">
        <x:v>1</x:v>
      </x:c>
      <x:c r="J141" s="28" t="n">
        <x:v>0</x:v>
      </x:c>
      <x:c r="K141" s="28" t="n">
        <x:v>0</x:v>
      </x:c>
      <x:c r="L141" s="28" t="n">
        <x:v>0</x:v>
      </x:c>
      <x:c r="M141" s="28" t="n">
        <x:v>0</x:v>
      </x:c>
      <x:c r="N141" s="22" t="str"/>
      <x:c r="O141" s="22" t="str"/>
      <x:c r="P141" s="22" t="n">
        <x:v>0</x:v>
      </x:c>
      <x:c r="Q141" s="40" t="n">
        <x:v>0</x:v>
      </x:c>
      <x:c r="R141" s="25" t="str"/>
      <x:c r="S141" s="25" t="str">
        <x:v>BOQ_NAME_ONLY</x:v>
      </x:c>
      <x:c r="T141" s="25" t="str">
        <x:v>자동 표 신호는 최종 A/B로 승격하지 않음</x:v>
      </x:c>
      <x:c r="U141" s="22" t="str">
        <x:v>2021-2025</x:v>
      </x:c>
    </x:row>
    <x:row r="142">
      <x:c r="A142" s="22" t="str">
        <x:v>2020-00086</x:v>
      </x:c>
      <x:c r="B142" s="22" t="str">
        <x:v>L2023-00036-1</x:v>
      </x:c>
      <x:c r="C142" s="22" t="str">
        <x:v>WORKS</x:v>
      </x:c>
      <x:c r="D142" s="25" t="str">
        <x:v>L2023-00036-1/붙임3_입찰관련서류_검토완_0717/Section 4.  Bill of Quantities(Not-Priced)/공내역서/VTC견적서/4 БУФЕТ(Cafeteria)/4-9 ТХ/bv13740.xls</x:v>
      </x:c>
      <x:c r="E142" s="22" t="str">
        <x:v>.xls</x:v>
      </x:c>
      <x:c r="F142" s="28" t="n">
        <x:v>45056</x:v>
      </x:c>
      <x:c r="G142" s="28" t="str">
        <x:v>81b3b9a2bd4d7715fcfc6a79b81680314cf0ee94a009ceab7a13cc679ca3f9a0</x:v>
      </x:c>
      <x:c r="H142" s="28" t="n">
        <x:v>1</x:v>
      </x:c>
      <x:c r="I142" s="28" t="n">
        <x:v>1</x:v>
      </x:c>
      <x:c r="J142" s="28" t="n">
        <x:v>0</x:v>
      </x:c>
      <x:c r="K142" s="28" t="n">
        <x:v>0</x:v>
      </x:c>
      <x:c r="L142" s="28" t="n">
        <x:v>0</x:v>
      </x:c>
      <x:c r="M142" s="28" t="n">
        <x:v>0</x:v>
      </x:c>
      <x:c r="N142" s="22" t="str"/>
      <x:c r="O142" s="22" t="str"/>
      <x:c r="P142" s="22" t="n">
        <x:v>0</x:v>
      </x:c>
      <x:c r="Q142" s="40" t="n">
        <x:v>0</x:v>
      </x:c>
      <x:c r="R142" s="25" t="str"/>
      <x:c r="S142" s="25" t="str">
        <x:v>BOQ_NAME_ONLY</x:v>
      </x:c>
      <x:c r="T142" s="25" t="str">
        <x:v>자동 표 신호는 최종 A/B로 승격하지 않음</x:v>
      </x:c>
      <x:c r="U142" s="22" t="str">
        <x:v>2021-2025</x:v>
      </x:c>
    </x:row>
    <x:row r="143">
      <x:c r="A143" s="22" t="str">
        <x:v>2020-00086</x:v>
      </x:c>
      <x:c r="B143" s="22" t="str">
        <x:v>L2023-00036-1</x:v>
      </x:c>
      <x:c r="C143" s="22" t="str">
        <x:v>WORKS</x:v>
      </x:c>
      <x:c r="D143" s="25" t="str">
        <x:v>L2023-00036-1/붙임3_입찰관련서류_검토완_0717/Section 4.  Bill of Quantities(Not-Priced)/공내역서/VTC견적서/4 БУФЕТ(Cafeteria)/4-7 ВН, СКС(CCTV &amp; Network)/13323_vfor.xls</x:v>
      </x:c>
      <x:c r="E143" s="22" t="str">
        <x:v>.xls</x:v>
      </x:c>
      <x:c r="F143" s="28" t="n">
        <x:v>47616</x:v>
      </x:c>
      <x:c r="G143" s="28" t="str">
        <x:v>bd337520c73d4d2e111bd320f563772ebf15d04cc070a3c51c25a2f9742c00de</x:v>
      </x:c>
      <x:c r="H143" s="28" t="n">
        <x:v>1</x:v>
      </x:c>
      <x:c r="I143" s="28" t="n">
        <x:v>1</x:v>
      </x:c>
      <x:c r="J143" s="28" t="n">
        <x:v>0</x:v>
      </x:c>
      <x:c r="K143" s="28" t="n">
        <x:v>0</x:v>
      </x:c>
      <x:c r="L143" s="28" t="n">
        <x:v>0</x:v>
      </x:c>
      <x:c r="M143" s="28" t="n">
        <x:v>0</x:v>
      </x:c>
      <x:c r="N143" s="22" t="str"/>
      <x:c r="O143" s="22" t="str"/>
      <x:c r="P143" s="22" t="n">
        <x:v>0</x:v>
      </x:c>
      <x:c r="Q143" s="40" t="n">
        <x:v>0</x:v>
      </x:c>
      <x:c r="R143" s="25" t="str"/>
      <x:c r="S143" s="25" t="str">
        <x:v>BOQ_NAME_ONLY</x:v>
      </x:c>
      <x:c r="T143" s="25" t="str">
        <x:v>자동 표 신호는 최종 A/B로 승격하지 않음</x:v>
      </x:c>
      <x:c r="U143" s="22" t="str">
        <x:v>2021-2025</x:v>
      </x:c>
    </x:row>
    <x:row r="144">
      <x:c r="A144" s="22" t="str">
        <x:v>2020-00086</x:v>
      </x:c>
      <x:c r="B144" s="22" t="str">
        <x:v>L2023-00036-1</x:v>
      </x:c>
      <x:c r="C144" s="22" t="str">
        <x:v>WORKS</x:v>
      </x:c>
      <x:c r="D144" s="25" t="str">
        <x:v>L2023-00036-1/붙임3_입찰관련서류_검토완_0717/Section 4.  Bill of Quantities(Not-Priced)/공내역서/VTC견적서/4 БУФЕТ(Cafeteria)/4-7 ВН, СКС(CCTV &amp; Network)/13323_vrmu.xls</x:v>
      </x:c>
      <x:c r="E144" s="22" t="str">
        <x:v>.xls</x:v>
      </x:c>
      <x:c r="F144" s="28" t="n">
        <x:v>56832</x:v>
      </x:c>
      <x:c r="G144" s="28" t="str">
        <x:v>a965a9f3d225f89ea5505676fa4b27565617d1ccd45171df72e2d792f5246df8</x:v>
      </x:c>
      <x:c r="H144" s="28" t="n">
        <x:v>1</x:v>
      </x:c>
      <x:c r="I144" s="28" t="n">
        <x:v>1</x:v>
      </x:c>
      <x:c r="J144" s="28" t="n">
        <x:v>1</x:v>
      </x:c>
      <x:c r="K144" s="28" t="n">
        <x:v>85</x:v>
      </x:c>
      <x:c r="L144" s="28" t="n">
        <x:v>1</x:v>
      </x:c>
      <x:c r="M144" s="28" t="n">
        <x:v>0</x:v>
      </x:c>
      <x:c r="N144" s="22" t="str">
        <x:v>Лист1</x:v>
      </x:c>
      <x:c r="O144" s="22" t="str">
        <x:v>visible</x:v>
      </x:c>
      <x:c r="P144" s="22" t="n">
        <x:v>8</x:v>
      </x:c>
      <x:c r="Q144" s="40" t="n">
        <x:v>0.011764705882352941</x:v>
      </x:c>
      <x:c r="R144" s="25" t="str"/>
      <x:c r="S144" s="25" t="str">
        <x:v>B?</x:v>
      </x:c>
      <x:c r="T144" s="25" t="str">
        <x:v>자동 표 신호는 최종 A/B로 승격하지 않음</x:v>
      </x:c>
      <x:c r="U144" s="22" t="str">
        <x:v>2021-2025</x:v>
      </x:c>
    </x:row>
    <x:row r="145">
      <x:c r="A145" s="22" t="str">
        <x:v>2020-00086</x:v>
      </x:c>
      <x:c r="B145" s="22" t="str">
        <x:v>L2023-00036-1</x:v>
      </x:c>
      <x:c r="C145" s="22" t="str">
        <x:v>WORKS</x:v>
      </x:c>
      <x:c r="D145" s="25" t="str">
        <x:v>L2023-00036-1/붙임3_입찰관련서류_검토완_0717/Section 4.  Bill of Quantities(Not-Priced)/공내역서/VTC견적서/4 БУФЕТ(Cafeteria)/4-7 ВН, СКС(CCTV &amp; Network)/bv13320.xls</x:v>
      </x:c>
      <x:c r="E145" s="22" t="str">
        <x:v>.xls</x:v>
      </x:c>
      <x:c r="F145" s="28" t="n">
        <x:v>87040</x:v>
      </x:c>
      <x:c r="G145" s="28" t="str">
        <x:v>361a226fbda147a7d7ef7fb5d8d6d1c8872c0ed1662beb04e60fbd5668ac0762</x:v>
      </x:c>
      <x:c r="H145" s="28" t="n">
        <x:v>1</x:v>
      </x:c>
      <x:c r="I145" s="28" t="n">
        <x:v>1</x:v>
      </x:c>
      <x:c r="J145" s="28" t="n">
        <x:v>0</x:v>
      </x:c>
      <x:c r="K145" s="28" t="n">
        <x:v>0</x:v>
      </x:c>
      <x:c r="L145" s="28" t="n">
        <x:v>0</x:v>
      </x:c>
      <x:c r="M145" s="28" t="n">
        <x:v>0</x:v>
      </x:c>
      <x:c r="N145" s="22" t="str"/>
      <x:c r="O145" s="22" t="str"/>
      <x:c r="P145" s="22" t="n">
        <x:v>0</x:v>
      </x:c>
      <x:c r="Q145" s="40" t="n">
        <x:v>0</x:v>
      </x:c>
      <x:c r="R145" s="25" t="str"/>
      <x:c r="S145" s="25" t="str">
        <x:v>BOQ_NAME_ONLY</x:v>
      </x:c>
      <x:c r="T145" s="25" t="str">
        <x:v>자동 표 신호는 최종 A/B로 승격하지 않음</x:v>
      </x:c>
      <x:c r="U145" s="22" t="str">
        <x:v>2021-2025</x:v>
      </x:c>
    </x:row>
    <x:row r="146">
      <x:c r="A146" s="22" t="str">
        <x:v>2020-00086</x:v>
      </x:c>
      <x:c r="B146" s="22" t="str">
        <x:v>L2023-00036-1</x:v>
      </x:c>
      <x:c r="C146" s="22" t="str">
        <x:v>WORKS</x:v>
      </x:c>
      <x:c r="D146" s="25" t="str">
        <x:v>L2023-00036-1/붙임3_입찰관련서류_검토완_0717/Section 4.  Bill of Quantities(Not-Priced)/공내역서/VTC견적서/4 БУФЕТ(Cafeteria)/4-5 ЭО(Electric)/13383_vrmu.xls</x:v>
      </x:c>
      <x:c r="E146" s="22" t="str">
        <x:v>.xls</x:v>
      </x:c>
      <x:c r="F146" s="28" t="n">
        <x:v>60416</x:v>
      </x:c>
      <x:c r="G146" s="28" t="str">
        <x:v>2277aa6b32da71292f8a69faae1241528367c8c6929e15a3ba1b26669f36572d</x:v>
      </x:c>
      <x:c r="H146" s="28" t="n">
        <x:v>1</x:v>
      </x:c>
      <x:c r="I146" s="28" t="n">
        <x:v>1</x:v>
      </x:c>
      <x:c r="J146" s="28" t="n">
        <x:v>1</x:v>
      </x:c>
      <x:c r="K146" s="28" t="n">
        <x:v>83</x:v>
      </x:c>
      <x:c r="L146" s="28" t="n">
        <x:v>1</x:v>
      </x:c>
      <x:c r="M146" s="28" t="n">
        <x:v>0</x:v>
      </x:c>
      <x:c r="N146" s="22" t="str">
        <x:v>Лист1</x:v>
      </x:c>
      <x:c r="O146" s="22" t="str">
        <x:v>visible</x:v>
      </x:c>
      <x:c r="P146" s="22" t="n">
        <x:v>8</x:v>
      </x:c>
      <x:c r="Q146" s="40" t="n">
        <x:v>0.012048192771084338</x:v>
      </x:c>
      <x:c r="R146" s="25" t="str"/>
      <x:c r="S146" s="25" t="str">
        <x:v>B?</x:v>
      </x:c>
      <x:c r="T146" s="25" t="str">
        <x:v>자동 표 신호는 최종 A/B로 승격하지 않음</x:v>
      </x:c>
      <x:c r="U146" s="22" t="str">
        <x:v>2021-2025</x:v>
      </x:c>
    </x:row>
    <x:row r="147">
      <x:c r="A147" s="22" t="str">
        <x:v>2020-00086</x:v>
      </x:c>
      <x:c r="B147" s="22" t="str">
        <x:v>L2023-00036-1</x:v>
      </x:c>
      <x:c r="C147" s="22" t="str">
        <x:v>WORKS</x:v>
      </x:c>
      <x:c r="D147" s="25" t="str">
        <x:v>L2023-00036-1/붙임3_입찰관련서류_검토완_0717/Section 4.  Bill of Quantities(Not-Priced)/공내역서/VTC견적서/4 БУФЕТ(Cafeteria)/4-5 ЭО(Electric)/bv13380.xls</x:v>
      </x:c>
      <x:c r="E147" s="22" t="str">
        <x:v>.xls</x:v>
      </x:c>
      <x:c r="F147" s="28" t="n">
        <x:v>105984</x:v>
      </x:c>
      <x:c r="G147" s="28" t="str">
        <x:v>ca022ac74868089349f7351ccbad69acd7123e242598613111ebc50d6fe072f5</x:v>
      </x:c>
      <x:c r="H147" s="28" t="n">
        <x:v>1</x:v>
      </x:c>
      <x:c r="I147" s="28" t="n">
        <x:v>1</x:v>
      </x:c>
      <x:c r="J147" s="28" t="n">
        <x:v>0</x:v>
      </x:c>
      <x:c r="K147" s="28" t="n">
        <x:v>0</x:v>
      </x:c>
      <x:c r="L147" s="28" t="n">
        <x:v>0</x:v>
      </x:c>
      <x:c r="M147" s="28" t="n">
        <x:v>0</x:v>
      </x:c>
      <x:c r="N147" s="22" t="str"/>
      <x:c r="O147" s="22" t="str"/>
      <x:c r="P147" s="22" t="n">
        <x:v>0</x:v>
      </x:c>
      <x:c r="Q147" s="40" t="n">
        <x:v>0</x:v>
      </x:c>
      <x:c r="R147" s="25" t="str"/>
      <x:c r="S147" s="25" t="str">
        <x:v>BOQ_NAME_ONLY</x:v>
      </x:c>
      <x:c r="T147" s="25" t="str">
        <x:v>자동 표 신호는 최종 A/B로 승격하지 않음</x:v>
      </x:c>
      <x:c r="U147" s="22" t="str">
        <x:v>2021-2025</x:v>
      </x:c>
    </x:row>
    <x:row r="148">
      <x:c r="A148" s="22" t="str">
        <x:v>2020-00086</x:v>
      </x:c>
      <x:c r="B148" s="22" t="str">
        <x:v>L2023-00036-1</x:v>
      </x:c>
      <x:c r="C148" s="22" t="str">
        <x:v>WORKS</x:v>
      </x:c>
      <x:c r="D148" s="25" t="str">
        <x:v>L2023-00036-1/붙임3_입찰관련서류_검토완_0717/Section 4.  Bill of Quantities(Not-Priced)/공내역서/VTC견적서/4 БУФЕТ(Cafeteria)/4-5 ЭО(Electric)/13383_vfor.xls</x:v>
      </x:c>
      <x:c r="E148" s="22" t="str">
        <x:v>.xls</x:v>
      </x:c>
      <x:c r="F148" s="28" t="n">
        <x:v>52736</x:v>
      </x:c>
      <x:c r="G148" s="28" t="str">
        <x:v>aa89940fa2c1f84aa2274538c4d5e33fe9d0802c4f52e1d9d71978122c7ca737</x:v>
      </x:c>
      <x:c r="H148" s="28" t="n">
        <x:v>1</x:v>
      </x:c>
      <x:c r="I148" s="28" t="n">
        <x:v>1</x:v>
      </x:c>
      <x:c r="J148" s="28" t="n">
        <x:v>0</x:v>
      </x:c>
      <x:c r="K148" s="28" t="n">
        <x:v>0</x:v>
      </x:c>
      <x:c r="L148" s="28" t="n">
        <x:v>0</x:v>
      </x:c>
      <x:c r="M148" s="28" t="n">
        <x:v>0</x:v>
      </x:c>
      <x:c r="N148" s="22" t="str"/>
      <x:c r="O148" s="22" t="str"/>
      <x:c r="P148" s="22" t="n">
        <x:v>0</x:v>
      </x:c>
      <x:c r="Q148" s="40" t="n">
        <x:v>0</x:v>
      </x:c>
      <x:c r="R148" s="25" t="str"/>
      <x:c r="S148" s="25" t="str">
        <x:v>BOQ_NAME_ONLY</x:v>
      </x:c>
      <x:c r="T148" s="25" t="str">
        <x:v>자동 표 신호는 최종 A/B로 승격하지 않음</x:v>
      </x:c>
      <x:c r="U148" s="22" t="str">
        <x:v>2021-2025</x:v>
      </x:c>
    </x:row>
    <x:row r="149">
      <x:c r="A149" s="22" t="str">
        <x:v>2020-00086</x:v>
      </x:c>
      <x:c r="B149" s="22" t="str">
        <x:v>L2023-00036-1</x:v>
      </x:c>
      <x:c r="C149" s="22" t="str">
        <x:v>WORKS</x:v>
      </x:c>
      <x:c r="D149" s="25" t="str">
        <x:v>L2023-00036-1/붙임3_입찰관련서류_검토완_0717/Section 4.  Bill of Quantities(Not-Priced)/공내역서/VTC견적서/4 БУФЕТ(Cafeteria)/4-3 ОВ(Heating &amp; Ventilation)/bv13570.xls</x:v>
      </x:c>
      <x:c r="E149" s="22" t="str">
        <x:v>.xls</x:v>
      </x:c>
      <x:c r="F149" s="28" t="n">
        <x:v>122368</x:v>
      </x:c>
      <x:c r="G149" s="28" t="str">
        <x:v>60e01915d1915446e6fbcf0c477ec5ae0ee632ec951cf92acae51a0c7039940e</x:v>
      </x:c>
      <x:c r="H149" s="28" t="n">
        <x:v>1</x:v>
      </x:c>
      <x:c r="I149" s="28" t="n">
        <x:v>1</x:v>
      </x:c>
      <x:c r="J149" s="28" t="n">
        <x:v>0</x:v>
      </x:c>
      <x:c r="K149" s="28" t="n">
        <x:v>0</x:v>
      </x:c>
      <x:c r="L149" s="28" t="n">
        <x:v>0</x:v>
      </x:c>
      <x:c r="M149" s="28" t="n">
        <x:v>0</x:v>
      </x:c>
      <x:c r="N149" s="22" t="str"/>
      <x:c r="O149" s="22" t="str"/>
      <x:c r="P149" s="22" t="n">
        <x:v>0</x:v>
      </x:c>
      <x:c r="Q149" s="40" t="n">
        <x:v>0</x:v>
      </x:c>
      <x:c r="R149" s="25" t="str"/>
      <x:c r="S149" s="25" t="str">
        <x:v>BOQ_NAME_ONLY</x:v>
      </x:c>
      <x:c r="T149" s="25" t="str">
        <x:v>자동 표 신호는 최종 A/B로 승격하지 않음</x:v>
      </x:c>
      <x:c r="U149" s="22" t="str">
        <x:v>2021-2025</x:v>
      </x:c>
    </x:row>
    <x:row r="150">
      <x:c r="A150" s="22" t="str">
        <x:v>2020-00086</x:v>
      </x:c>
      <x:c r="B150" s="22" t="str">
        <x:v>L2023-00036-1</x:v>
      </x:c>
      <x:c r="C150" s="22" t="str">
        <x:v>WORKS</x:v>
      </x:c>
      <x:c r="D150" s="25" t="str">
        <x:v>L2023-00036-1/붙임3_입찰관련서류_검토완_0717/Section 4.  Bill of Quantities(Not-Priced)/공내역서/VTC견적서/4 БУФЕТ(Cafeteria)/4-3 ОВ(Heating &amp; Ventilation)/13573_vfor.xls</x:v>
      </x:c>
      <x:c r="E150" s="22" t="str">
        <x:v>.xls</x:v>
      </x:c>
      <x:c r="F150" s="28" t="n">
        <x:v>51200</x:v>
      </x:c>
      <x:c r="G150" s="28" t="str">
        <x:v>d5904d9daa78238ff69eaa06732493e5c87423d6e508d7e7e0b3f03109494c34</x:v>
      </x:c>
      <x:c r="H150" s="28" t="n">
        <x:v>1</x:v>
      </x:c>
      <x:c r="I150" s="28" t="n">
        <x:v>1</x:v>
      </x:c>
      <x:c r="J150" s="28" t="n">
        <x:v>0</x:v>
      </x:c>
      <x:c r="K150" s="28" t="n">
        <x:v>0</x:v>
      </x:c>
      <x:c r="L150" s="28" t="n">
        <x:v>0</x:v>
      </x:c>
      <x:c r="M150" s="28" t="n">
        <x:v>0</x:v>
      </x:c>
      <x:c r="N150" s="22" t="str"/>
      <x:c r="O150" s="22" t="str"/>
      <x:c r="P150" s="22" t="n">
        <x:v>0</x:v>
      </x:c>
      <x:c r="Q150" s="40" t="n">
        <x:v>0</x:v>
      </x:c>
      <x:c r="R150" s="25" t="str"/>
      <x:c r="S150" s="25" t="str">
        <x:v>BOQ_NAME_ONLY</x:v>
      </x:c>
      <x:c r="T150" s="25" t="str">
        <x:v>자동 표 신호는 최종 A/B로 승격하지 않음</x:v>
      </x:c>
      <x:c r="U150" s="22" t="str">
        <x:v>2021-2025</x:v>
      </x:c>
    </x:row>
    <x:row r="151">
      <x:c r="A151" s="22" t="str">
        <x:v>2020-00086</x:v>
      </x:c>
      <x:c r="B151" s="22" t="str">
        <x:v>L2023-00036-1</x:v>
      </x:c>
      <x:c r="C151" s="22" t="str">
        <x:v>WORKS</x:v>
      </x:c>
      <x:c r="D151" s="25" t="str">
        <x:v>L2023-00036-1/붙임3_입찰관련서류_검토완_0717/Section 4.  Bill of Quantities(Not-Priced)/공내역서/VTC견적서/4 БУФЕТ(Cafeteria)/4-3 ОВ(Heating &amp; Ventilation)/13573_vrmu.xls</x:v>
      </x:c>
      <x:c r="E151" s="22" t="str">
        <x:v>.xls</x:v>
      </x:c>
      <x:c r="F151" s="28" t="n">
        <x:v>60928</x:v>
      </x:c>
      <x:c r="G151" s="28" t="str">
        <x:v>a5a7bba5cee708cae574407190c4325ce23010e6102a49546438bd114ab4ad90</x:v>
      </x:c>
      <x:c r="H151" s="28" t="n">
        <x:v>1</x:v>
      </x:c>
      <x:c r="I151" s="28" t="n">
        <x:v>1</x:v>
      </x:c>
      <x:c r="J151" s="28" t="n">
        <x:v>1</x:v>
      </x:c>
      <x:c r="K151" s="28" t="n">
        <x:v>101</x:v>
      </x:c>
      <x:c r="L151" s="28" t="n">
        <x:v>1</x:v>
      </x:c>
      <x:c r="M151" s="28" t="n">
        <x:v>0</x:v>
      </x:c>
      <x:c r="N151" s="22" t="str">
        <x:v>Лист1</x:v>
      </x:c>
      <x:c r="O151" s="22" t="str">
        <x:v>visible</x:v>
      </x:c>
      <x:c r="P151" s="22" t="n">
        <x:v>8</x:v>
      </x:c>
      <x:c r="Q151" s="40" t="n">
        <x:v>0.009900990099009901</x:v>
      </x:c>
      <x:c r="R151" s="25" t="str"/>
      <x:c r="S151" s="25" t="str">
        <x:v>B?</x:v>
      </x:c>
      <x:c r="T151" s="25" t="str">
        <x:v>자동 표 신호는 최종 A/B로 승격하지 않음</x:v>
      </x:c>
      <x:c r="U151" s="22" t="str">
        <x:v>2021-2025</x:v>
      </x:c>
    </x:row>
    <x:row r="152">
      <x:c r="A152" s="22" t="str">
        <x:v>2020-00086</x:v>
      </x:c>
      <x:c r="B152" s="22" t="str">
        <x:v>L2023-00036-1</x:v>
      </x:c>
      <x:c r="C152" s="22" t="str">
        <x:v>WORKS</x:v>
      </x:c>
      <x:c r="D152" s="25" t="str">
        <x:v>L2023-00036-1/붙임3_입찰관련서류_검토완_0717/Section 4.  Bill of Quantities(Not-Priced)/공내역서/VTC견적서/4 БУФЕТ(Cafeteria)/4-2 АР(Architecture)/13173_vfor.xls</x:v>
      </x:c>
      <x:c r="E152" s="22" t="str">
        <x:v>.xls</x:v>
      </x:c>
      <x:c r="F152" s="28" t="n">
        <x:v>46080</x:v>
      </x:c>
      <x:c r="G152" s="28" t="str">
        <x:v>c8b6f0c18efd3eccb7d44d4f282da38be8bd7c5687a2b12e1320ea9b2d445a18</x:v>
      </x:c>
      <x:c r="H152" s="28" t="n">
        <x:v>1</x:v>
      </x:c>
      <x:c r="I152" s="28" t="n">
        <x:v>1</x:v>
      </x:c>
      <x:c r="J152" s="28" t="n">
        <x:v>0</x:v>
      </x:c>
      <x:c r="K152" s="28" t="n">
        <x:v>0</x:v>
      </x:c>
      <x:c r="L152" s="28" t="n">
        <x:v>0</x:v>
      </x:c>
      <x:c r="M152" s="28" t="n">
        <x:v>0</x:v>
      </x:c>
      <x:c r="N152" s="22" t="str"/>
      <x:c r="O152" s="22" t="str"/>
      <x:c r="P152" s="22" t="n">
        <x:v>0</x:v>
      </x:c>
      <x:c r="Q152" s="40" t="n">
        <x:v>0</x:v>
      </x:c>
      <x:c r="R152" s="25" t="str"/>
      <x:c r="S152" s="25" t="str">
        <x:v>BOQ_NAME_ONLY</x:v>
      </x:c>
      <x:c r="T152" s="25" t="str">
        <x:v>자동 표 신호는 최종 A/B로 승격하지 않음</x:v>
      </x:c>
      <x:c r="U152" s="22" t="str">
        <x:v>2021-2025</x:v>
      </x:c>
    </x:row>
    <x:row r="153">
      <x:c r="A153" s="22" t="str">
        <x:v>2020-00086</x:v>
      </x:c>
      <x:c r="B153" s="22" t="str">
        <x:v>L2023-00036-1</x:v>
      </x:c>
      <x:c r="C153" s="22" t="str">
        <x:v>WORKS</x:v>
      </x:c>
      <x:c r="D153" s="25" t="str">
        <x:v>L2023-00036-1/붙임3_입찰관련서류_검토완_0717/Section 4.  Bill of Quantities(Not-Priced)/공내역서/VTC견적서/4 БУФЕТ(Cafeteria)/4-2 АР(Architecture)/bv13170.xls</x:v>
      </x:c>
      <x:c r="E153" s="22" t="str">
        <x:v>.xls</x:v>
      </x:c>
      <x:c r="F153" s="28" t="n">
        <x:v>115200</x:v>
      </x:c>
      <x:c r="G153" s="28" t="str">
        <x:v>90d2bed5ebcd297c0fb0bd22fc2a056d950d9a2b3cc977b05f9c01dfd7e4410e</x:v>
      </x:c>
      <x:c r="H153" s="28" t="n">
        <x:v>1</x:v>
      </x:c>
      <x:c r="I153" s="28" t="n">
        <x:v>1</x:v>
      </x:c>
      <x:c r="J153" s="28" t="n">
        <x:v>0</x:v>
      </x:c>
      <x:c r="K153" s="28" t="n">
        <x:v>0</x:v>
      </x:c>
      <x:c r="L153" s="28" t="n">
        <x:v>0</x:v>
      </x:c>
      <x:c r="M153" s="28" t="n">
        <x:v>0</x:v>
      </x:c>
      <x:c r="N153" s="22" t="str"/>
      <x:c r="O153" s="22" t="str"/>
      <x:c r="P153" s="22" t="n">
        <x:v>0</x:v>
      </x:c>
      <x:c r="Q153" s="40" t="n">
        <x:v>0</x:v>
      </x:c>
      <x:c r="R153" s="25" t="str"/>
      <x:c r="S153" s="25" t="str">
        <x:v>BOQ_NAME_ONLY</x:v>
      </x:c>
      <x:c r="T153" s="25" t="str">
        <x:v>자동 표 신호는 최종 A/B로 승격하지 않음</x:v>
      </x:c>
      <x:c r="U153" s="22" t="str">
        <x:v>2021-2025</x:v>
      </x:c>
    </x:row>
    <x:row r="154">
      <x:c r="A154" s="22" t="str">
        <x:v>2020-00086</x:v>
      </x:c>
      <x:c r="B154" s="22" t="str">
        <x:v>L2023-00036-1</x:v>
      </x:c>
      <x:c r="C154" s="22" t="str">
        <x:v>WORKS</x:v>
      </x:c>
      <x:c r="D154" s="25" t="str">
        <x:v>L2023-00036-1/붙임3_입찰관련서류_검토완_0717/Section 4.  Bill of Quantities(Not-Priced)/공내역서/VTC견적서/4 БУФЕТ(Cafeteria)/4-2 АР(Architecture)/13173_vrmu.xls</x:v>
      </x:c>
      <x:c r="E154" s="22" t="str">
        <x:v>.xls</x:v>
      </x:c>
      <x:c r="F154" s="28" t="n">
        <x:v>57344</x:v>
      </x:c>
      <x:c r="G154" s="28" t="str">
        <x:v>41f2d0b5bfa1724a0a6f25b395a07b6a4bbfa2179ab0651f1ac22066c407f406</x:v>
      </x:c>
      <x:c r="H154" s="28" t="n">
        <x:v>1</x:v>
      </x:c>
      <x:c r="I154" s="28" t="n">
        <x:v>1</x:v>
      </x:c>
      <x:c r="J154" s="28" t="n">
        <x:v>1</x:v>
      </x:c>
      <x:c r="K154" s="28" t="n">
        <x:v>97</x:v>
      </x:c>
      <x:c r="L154" s="28" t="n">
        <x:v>1</x:v>
      </x:c>
      <x:c r="M154" s="28" t="n">
        <x:v>0</x:v>
      </x:c>
      <x:c r="N154" s="22" t="str">
        <x:v>Лист1</x:v>
      </x:c>
      <x:c r="O154" s="22" t="str">
        <x:v>visible</x:v>
      </x:c>
      <x:c r="P154" s="22" t="n">
        <x:v>8</x:v>
      </x:c>
      <x:c r="Q154" s="40" t="n">
        <x:v>0.010309278350515464</x:v>
      </x:c>
      <x:c r="R154" s="25" t="str"/>
      <x:c r="S154" s="25" t="str">
        <x:v>B?</x:v>
      </x:c>
      <x:c r="T154" s="25" t="str">
        <x:v>자동 표 신호는 최종 A/B로 승격하지 않음</x:v>
      </x:c>
      <x:c r="U154" s="22" t="str">
        <x:v>2021-2025</x:v>
      </x:c>
    </x:row>
    <x:row r="155">
      <x:c r="A155" s="22" t="str">
        <x:v>2020-00086</x:v>
      </x:c>
      <x:c r="B155" s="22" t="str">
        <x:v>L2023-00036-1</x:v>
      </x:c>
      <x:c r="C155" s="22" t="str">
        <x:v>WORKS</x:v>
      </x:c>
      <x:c r="D155" s="25" t="str">
        <x:v>L2023-00036-1/붙임3_입찰관련서류_검토완_0717/Section 4.  Bill of Quantities(Not-Priced)/공내역서/VTC견적서/4 БУФЕТ(Cafeteria)/4-4 ВК(Water &amp; Sewer &amp; Fireplug)/13143_vrmu.xls</x:v>
      </x:c>
      <x:c r="E155" s="22" t="str">
        <x:v>.xls</x:v>
      </x:c>
      <x:c r="F155" s="28" t="n">
        <x:v>58880</x:v>
      </x:c>
      <x:c r="G155" s="28" t="str">
        <x:v>027d687c679bf6e9cdeb0a54bacb5e7bb8bbeb103807f88b0bfeb421b7cf4c55</x:v>
      </x:c>
      <x:c r="H155" s="28" t="n">
        <x:v>1</x:v>
      </x:c>
      <x:c r="I155" s="28" t="n">
        <x:v>1</x:v>
      </x:c>
      <x:c r="J155" s="28" t="n">
        <x:v>1</x:v>
      </x:c>
      <x:c r="K155" s="28" t="n">
        <x:v>92</x:v>
      </x:c>
      <x:c r="L155" s="28" t="n">
        <x:v>1</x:v>
      </x:c>
      <x:c r="M155" s="28" t="n">
        <x:v>0</x:v>
      </x:c>
      <x:c r="N155" s="22" t="str">
        <x:v>Лист1</x:v>
      </x:c>
      <x:c r="O155" s="22" t="str">
        <x:v>visible</x:v>
      </x:c>
      <x:c r="P155" s="22" t="n">
        <x:v>8</x:v>
      </x:c>
      <x:c r="Q155" s="40" t="n">
        <x:v>0.010869565217391304</x:v>
      </x:c>
      <x:c r="R155" s="25" t="str"/>
      <x:c r="S155" s="25" t="str">
        <x:v>B?</x:v>
      </x:c>
      <x:c r="T155" s="25" t="str">
        <x:v>자동 표 신호는 최종 A/B로 승격하지 않음</x:v>
      </x:c>
      <x:c r="U155" s="22" t="str">
        <x:v>2021-2025</x:v>
      </x:c>
    </x:row>
    <x:row r="156">
      <x:c r="A156" s="22" t="str">
        <x:v>2020-00086</x:v>
      </x:c>
      <x:c r="B156" s="22" t="str">
        <x:v>L2023-00036-1</x:v>
      </x:c>
      <x:c r="C156" s="22" t="str">
        <x:v>WORKS</x:v>
      </x:c>
      <x:c r="D156" s="25" t="str">
        <x:v>L2023-00036-1/붙임3_입찰관련서류_검토완_0717/Section 4.  Bill of Quantities(Not-Priced)/공내역서/VTC견적서/4 БУФЕТ(Cafeteria)/4-4 ВК(Water &amp; Sewer &amp; Fireplug)/bv13140.xls</x:v>
      </x:c>
      <x:c r="E156" s="22" t="str">
        <x:v>.xls</x:v>
      </x:c>
      <x:c r="F156" s="28" t="n">
        <x:v>101376</x:v>
      </x:c>
      <x:c r="G156" s="28" t="str">
        <x:v>30d7129e70a2f8c02e76abae0bdc44883ba9865a77d3abb89c0c70e00a6481d7</x:v>
      </x:c>
      <x:c r="H156" s="28" t="n">
        <x:v>1</x:v>
      </x:c>
      <x:c r="I156" s="28" t="n">
        <x:v>1</x:v>
      </x:c>
      <x:c r="J156" s="28" t="n">
        <x:v>0</x:v>
      </x:c>
      <x:c r="K156" s="28" t="n">
        <x:v>0</x:v>
      </x:c>
      <x:c r="L156" s="28" t="n">
        <x:v>0</x:v>
      </x:c>
      <x:c r="M156" s="28" t="n">
        <x:v>0</x:v>
      </x:c>
      <x:c r="N156" s="22" t="str"/>
      <x:c r="O156" s="22" t="str"/>
      <x:c r="P156" s="22" t="n">
        <x:v>0</x:v>
      </x:c>
      <x:c r="Q156" s="40" t="n">
        <x:v>0</x:v>
      </x:c>
      <x:c r="R156" s="25" t="str"/>
      <x:c r="S156" s="25" t="str">
        <x:v>BOQ_NAME_ONLY</x:v>
      </x:c>
      <x:c r="T156" s="25" t="str">
        <x:v>자동 표 신호는 최종 A/B로 승격하지 않음</x:v>
      </x:c>
      <x:c r="U156" s="22" t="str">
        <x:v>2021-2025</x:v>
      </x:c>
    </x:row>
    <x:row r="157">
      <x:c r="A157" s="22" t="str">
        <x:v>2020-00086</x:v>
      </x:c>
      <x:c r="B157" s="22" t="str">
        <x:v>L2023-00036-1</x:v>
      </x:c>
      <x:c r="C157" s="22" t="str">
        <x:v>WORKS</x:v>
      </x:c>
      <x:c r="D157" s="25" t="str">
        <x:v>L2023-00036-1/붙임3_입찰관련서류_검토완_0717/Section 4.  Bill of Quantities(Not-Priced)/공내역서/VTC견적서/4 БУФЕТ(Cafeteria)/4-4 ВК(Water &amp; Sewer &amp; Fireplug)/13143_vfor.xls</x:v>
      </x:c>
      <x:c r="E157" s="22" t="str">
        <x:v>.xls</x:v>
      </x:c>
      <x:c r="F157" s="28" t="n">
        <x:v>44544</x:v>
      </x:c>
      <x:c r="G157" s="28" t="str">
        <x:v>98b13878ef8ab7c9d3cae5fa8b44fee5f5ee24bd74d0cf10dc4c1be4092da457</x:v>
      </x:c>
      <x:c r="H157" s="28" t="n">
        <x:v>1</x:v>
      </x:c>
      <x:c r="I157" s="28" t="n">
        <x:v>1</x:v>
      </x:c>
      <x:c r="J157" s="28" t="n">
        <x:v>0</x:v>
      </x:c>
      <x:c r="K157" s="28" t="n">
        <x:v>0</x:v>
      </x:c>
      <x:c r="L157" s="28" t="n">
        <x:v>0</x:v>
      </x:c>
      <x:c r="M157" s="28" t="n">
        <x:v>0</x:v>
      </x:c>
      <x:c r="N157" s="22" t="str"/>
      <x:c r="O157" s="22" t="str"/>
      <x:c r="P157" s="22" t="n">
        <x:v>0</x:v>
      </x:c>
      <x:c r="Q157" s="40" t="n">
        <x:v>0</x:v>
      </x:c>
      <x:c r="R157" s="25" t="str"/>
      <x:c r="S157" s="25" t="str">
        <x:v>BOQ_NAME_ONLY</x:v>
      </x:c>
      <x:c r="T157" s="25" t="str">
        <x:v>자동 표 신호는 최종 A/B로 승격하지 않음</x:v>
      </x:c>
      <x:c r="U157" s="22" t="str">
        <x:v>2021-2025</x:v>
      </x:c>
    </x:row>
    <x:row r="158">
      <x:c r="A158" s="22" t="str">
        <x:v>2020-00086</x:v>
      </x:c>
      <x:c r="B158" s="22" t="str">
        <x:v>L2023-00036-1</x:v>
      </x:c>
      <x:c r="C158" s="22" t="str">
        <x:v>WORKS</x:v>
      </x:c>
      <x:c r="D158" s="25" t="str">
        <x:v>L2023-00036-1/붙임3_입찰관련서류_검토완_0717/Section 4.  Bill of Quantities(Not-Priced)/공내역서/VTC견적서/4 БУФЕТ(Cafeteria)/4-1 КЖ(Structure)/bv13000.xls</x:v>
      </x:c>
      <x:c r="E158" s="22" t="str">
        <x:v>.xls</x:v>
      </x:c>
      <x:c r="F158" s="28" t="n">
        <x:v>156672</x:v>
      </x:c>
      <x:c r="G158" s="28" t="str">
        <x:v>e49a76056dacf893c3d8796df531ea37b5095b5abc0a8b4162cbcaa36a253bf9</x:v>
      </x:c>
      <x:c r="H158" s="28" t="n">
        <x:v>1</x:v>
      </x:c>
      <x:c r="I158" s="28" t="n">
        <x:v>1</x:v>
      </x:c>
      <x:c r="J158" s="28" t="n">
        <x:v>0</x:v>
      </x:c>
      <x:c r="K158" s="28" t="n">
        <x:v>0</x:v>
      </x:c>
      <x:c r="L158" s="28" t="n">
        <x:v>0</x:v>
      </x:c>
      <x:c r="M158" s="28" t="n">
        <x:v>0</x:v>
      </x:c>
      <x:c r="N158" s="22" t="str"/>
      <x:c r="O158" s="22" t="str"/>
      <x:c r="P158" s="22" t="n">
        <x:v>0</x:v>
      </x:c>
      <x:c r="Q158" s="40" t="n">
        <x:v>0</x:v>
      </x:c>
      <x:c r="R158" s="25" t="str"/>
      <x:c r="S158" s="25" t="str">
        <x:v>BOQ_NAME_ONLY</x:v>
      </x:c>
      <x:c r="T158" s="25" t="str">
        <x:v>자동 표 신호는 최종 A/B로 승격하지 않음</x:v>
      </x:c>
      <x:c r="U158" s="22" t="str">
        <x:v>2021-2025</x:v>
      </x:c>
    </x:row>
    <x:row r="159">
      <x:c r="A159" s="22" t="str">
        <x:v>2020-00086</x:v>
      </x:c>
      <x:c r="B159" s="22" t="str">
        <x:v>L2023-00036-1</x:v>
      </x:c>
      <x:c r="C159" s="22" t="str">
        <x:v>WORKS</x:v>
      </x:c>
      <x:c r="D159" s="25" t="str">
        <x:v>L2023-00036-1/붙임3_입찰관련서류_검토완_0717/Section 4.  Bill of Quantities(Not-Priced)/공내역서/VTC견적서/4 БУФЕТ(Cafeteria)/4-1 КЖ(Structure)/13003_vrmu.xls</x:v>
      </x:c>
      <x:c r="E159" s="22" t="str">
        <x:v>.xls</x:v>
      </x:c>
      <x:c r="F159" s="28" t="n">
        <x:v>62464</x:v>
      </x:c>
      <x:c r="G159" s="28" t="str">
        <x:v>d72b64907d7daa57e525829fef7b974213dd612efc93728136b1f9a32ba64193</x:v>
      </x:c>
      <x:c r="H159" s="28" t="n">
        <x:v>1</x:v>
      </x:c>
      <x:c r="I159" s="28" t="n">
        <x:v>1</x:v>
      </x:c>
      <x:c r="J159" s="28" t="n">
        <x:v>1</x:v>
      </x:c>
      <x:c r="K159" s="28" t="n">
        <x:v>101</x:v>
      </x:c>
      <x:c r="L159" s="28" t="n">
        <x:v>1</x:v>
      </x:c>
      <x:c r="M159" s="28" t="n">
        <x:v>0</x:v>
      </x:c>
      <x:c r="N159" s="22" t="str">
        <x:v>Лист1</x:v>
      </x:c>
      <x:c r="O159" s="22" t="str">
        <x:v>visible</x:v>
      </x:c>
      <x:c r="P159" s="22" t="n">
        <x:v>8</x:v>
      </x:c>
      <x:c r="Q159" s="40" t="n">
        <x:v>0.009900990099009901</x:v>
      </x:c>
      <x:c r="R159" s="25" t="str"/>
      <x:c r="S159" s="25" t="str">
        <x:v>B?</x:v>
      </x:c>
      <x:c r="T159" s="25" t="str">
        <x:v>자동 표 신호는 최종 A/B로 승격하지 않음</x:v>
      </x:c>
      <x:c r="U159" s="22" t="str">
        <x:v>2021-2025</x:v>
      </x:c>
    </x:row>
    <x:row r="160">
      <x:c r="A160" s="22" t="str">
        <x:v>2020-00086</x:v>
      </x:c>
      <x:c r="B160" s="22" t="str">
        <x:v>L2023-00036-1</x:v>
      </x:c>
      <x:c r="C160" s="22" t="str">
        <x:v>WORKS</x:v>
      </x:c>
      <x:c r="D160" s="25" t="str">
        <x:v>L2023-00036-1/붙임3_입찰관련서류_검토완_0717/Section 4.  Bill of Quantities(Not-Priced)/공내역서/VTC견적서/4 БУФЕТ(Cafeteria)/4-1 КЖ(Structure)/13003_vfor.xls</x:v>
      </x:c>
      <x:c r="E160" s="22" t="str">
        <x:v>.xls</x:v>
      </x:c>
      <x:c r="F160" s="28" t="n">
        <x:v>50688</x:v>
      </x:c>
      <x:c r="G160" s="28" t="str">
        <x:v>3b1e98bbc6de0c72870866ac1c0c8db81940cd52c11496ff73a104140e3b986b</x:v>
      </x:c>
      <x:c r="H160" s="28" t="n">
        <x:v>1</x:v>
      </x:c>
      <x:c r="I160" s="28" t="n">
        <x:v>1</x:v>
      </x:c>
      <x:c r="J160" s="28" t="n">
        <x:v>0</x:v>
      </x:c>
      <x:c r="K160" s="28" t="n">
        <x:v>0</x:v>
      </x:c>
      <x:c r="L160" s="28" t="n">
        <x:v>0</x:v>
      </x:c>
      <x:c r="M160" s="28" t="n">
        <x:v>0</x:v>
      </x:c>
      <x:c r="N160" s="22" t="str"/>
      <x:c r="O160" s="22" t="str"/>
      <x:c r="P160" s="22" t="n">
        <x:v>0</x:v>
      </x:c>
      <x:c r="Q160" s="40" t="n">
        <x:v>0</x:v>
      </x:c>
      <x:c r="R160" s="25" t="str"/>
      <x:c r="S160" s="25" t="str">
        <x:v>BOQ_NAME_ONLY</x:v>
      </x:c>
      <x:c r="T160" s="25" t="str">
        <x:v>자동 표 신호는 최종 A/B로 승격하지 않음</x:v>
      </x:c>
      <x:c r="U160" s="22" t="str">
        <x:v>2021-2025</x:v>
      </x:c>
    </x:row>
    <x:row r="161">
      <x:c r="A161" s="22" t="str">
        <x:v>2020-00086</x:v>
      </x:c>
      <x:c r="B161" s="22" t="str">
        <x:v>L2023-00036-1</x:v>
      </x:c>
      <x:c r="C161" s="22" t="str">
        <x:v>WORKS</x:v>
      </x:c>
      <x:c r="D161" s="25" t="str">
        <x:v>L2023-00036-1/붙임3_입찰관련서류_검토완_0717/Section 4.  Bill of Quantities(Not-Priced)/공내역서/VTC견적서/4 БУФЕТ(Cafeteria)/4-6 ПС(Fire Alarm)/bv13310.xls</x:v>
      </x:c>
      <x:c r="E161" s="22" t="str">
        <x:v>.xls</x:v>
      </x:c>
      <x:c r="F161" s="28" t="n">
        <x:v>69120</x:v>
      </x:c>
      <x:c r="G161" s="28" t="str">
        <x:v>81809811b78a8dd144fece047c059af1fd7e7d922ba4e5f2d70343d6a2180b31</x:v>
      </x:c>
      <x:c r="H161" s="28" t="n">
        <x:v>1</x:v>
      </x:c>
      <x:c r="I161" s="28" t="n">
        <x:v>1</x:v>
      </x:c>
      <x:c r="J161" s="28" t="n">
        <x:v>0</x:v>
      </x:c>
      <x:c r="K161" s="28" t="n">
        <x:v>0</x:v>
      </x:c>
      <x:c r="L161" s="28" t="n">
        <x:v>0</x:v>
      </x:c>
      <x:c r="M161" s="28" t="n">
        <x:v>0</x:v>
      </x:c>
      <x:c r="N161" s="22" t="str"/>
      <x:c r="O161" s="22" t="str"/>
      <x:c r="P161" s="22" t="n">
        <x:v>0</x:v>
      </x:c>
      <x:c r="Q161" s="40" t="n">
        <x:v>0</x:v>
      </x:c>
      <x:c r="R161" s="25" t="str"/>
      <x:c r="S161" s="25" t="str">
        <x:v>BOQ_NAME_ONLY</x:v>
      </x:c>
      <x:c r="T161" s="25" t="str">
        <x:v>자동 표 신호는 최종 A/B로 승격하지 않음</x:v>
      </x:c>
      <x:c r="U161" s="22" t="str">
        <x:v>2021-2025</x:v>
      </x:c>
    </x:row>
    <x:row r="162">
      <x:c r="A162" s="22" t="str">
        <x:v>2020-00086</x:v>
      </x:c>
      <x:c r="B162" s="22" t="str">
        <x:v>L2023-00036-1</x:v>
      </x:c>
      <x:c r="C162" s="22" t="str">
        <x:v>WORKS</x:v>
      </x:c>
      <x:c r="D162" s="25" t="str">
        <x:v>L2023-00036-1/붙임3_입찰관련서류_검토완_0717/Section 4.  Bill of Quantities(Not-Priced)/공내역서/VTC견적서/4 БУФЕТ(Cafeteria)/4-6 ПС(Fire Alarm)/13313_vrmu.xls</x:v>
      </x:c>
      <x:c r="E162" s="22" t="str">
        <x:v>.xls</x:v>
      </x:c>
      <x:c r="F162" s="28" t="n">
        <x:v>46080</x:v>
      </x:c>
      <x:c r="G162" s="28" t="str">
        <x:v>01d43896faa9af4d2e70ba503954aaa3dc7c7ca5760cd23fc5cb4b35df1973d8</x:v>
      </x:c>
      <x:c r="H162" s="28" t="n">
        <x:v>1</x:v>
      </x:c>
      <x:c r="I162" s="28" t="n">
        <x:v>1</x:v>
      </x:c>
      <x:c r="J162" s="28" t="n">
        <x:v>1</x:v>
      </x:c>
      <x:c r="K162" s="28" t="n">
        <x:v>46</x:v>
      </x:c>
      <x:c r="L162" s="28" t="n">
        <x:v>1</x:v>
      </x:c>
      <x:c r="M162" s="28" t="n">
        <x:v>0</x:v>
      </x:c>
      <x:c r="N162" s="22" t="str">
        <x:v>Лист1</x:v>
      </x:c>
      <x:c r="O162" s="22" t="str">
        <x:v>visible</x:v>
      </x:c>
      <x:c r="P162" s="22" t="n">
        <x:v>8</x:v>
      </x:c>
      <x:c r="Q162" s="40" t="n">
        <x:v>0.021739130434782608</x:v>
      </x:c>
      <x:c r="R162" s="25" t="str"/>
      <x:c r="S162" s="25" t="str">
        <x:v>B?</x:v>
      </x:c>
      <x:c r="T162" s="25" t="str">
        <x:v>자동 표 신호는 최종 A/B로 승격하지 않음</x:v>
      </x:c>
      <x:c r="U162" s="22" t="str">
        <x:v>2021-2025</x:v>
      </x:c>
    </x:row>
    <x:row r="163">
      <x:c r="A163" s="22" t="str">
        <x:v>2020-00086</x:v>
      </x:c>
      <x:c r="B163" s="22" t="str">
        <x:v>L2023-00036-1</x:v>
      </x:c>
      <x:c r="C163" s="22" t="str">
        <x:v>WORKS</x:v>
      </x:c>
      <x:c r="D163" s="25" t="str">
        <x:v>L2023-00036-1/붙임3_입찰관련서류_검토완_0717/Section 4.  Bill of Quantities(Not-Priced)/공내역서/VTC견적서/4 БУФЕТ(Cafeteria)/4-6 ПС(Fire Alarm)/13313_vfor.xls</x:v>
      </x:c>
      <x:c r="E163" s="22" t="str">
        <x:v>.xls</x:v>
      </x:c>
      <x:c r="F163" s="28" t="n">
        <x:v>40960</x:v>
      </x:c>
      <x:c r="G163" s="28" t="str">
        <x:v>3a4adfa8a2b2159255f5e5fc7479802f38be4f2cb149beebcf59d780125a0c16</x:v>
      </x:c>
      <x:c r="H163" s="28" t="n">
        <x:v>1</x:v>
      </x:c>
      <x:c r="I163" s="28" t="n">
        <x:v>1</x:v>
      </x:c>
      <x:c r="J163" s="28" t="n">
        <x:v>0</x:v>
      </x:c>
      <x:c r="K163" s="28" t="n">
        <x:v>0</x:v>
      </x:c>
      <x:c r="L163" s="28" t="n">
        <x:v>0</x:v>
      </x:c>
      <x:c r="M163" s="28" t="n">
        <x:v>0</x:v>
      </x:c>
      <x:c r="N163" s="22" t="str"/>
      <x:c r="O163" s="22" t="str"/>
      <x:c r="P163" s="22" t="n">
        <x:v>0</x:v>
      </x:c>
      <x:c r="Q163" s="40" t="n">
        <x:v>0</x:v>
      </x:c>
      <x:c r="R163" s="25" t="str"/>
      <x:c r="S163" s="25" t="str">
        <x:v>BOQ_NAME_ONLY</x:v>
      </x:c>
      <x:c r="T163" s="25" t="str">
        <x:v>자동 표 신호는 최종 A/B로 승격하지 않음</x:v>
      </x:c>
      <x:c r="U163" s="22" t="str">
        <x:v>2021-2025</x:v>
      </x:c>
    </x:row>
    <x:row r="164">
      <x:c r="A164" s="22" t="str">
        <x:v>2020-00086</x:v>
      </x:c>
      <x:c r="B164" s="22" t="str">
        <x:v>L2023-00036-1</x:v>
      </x:c>
      <x:c r="C164" s="22" t="str">
        <x:v>WORKS</x:v>
      </x:c>
      <x:c r="D164" s="25" t="str">
        <x:v>L2023-00036-1/붙임3_입찰관련서류_검토완_0717/Section 4.  Bill of Quantities(Not-Priced)/공내역서/VTC견적서/4 БУФЕТ(Cafeteria)/4-8 ГСВ(Gas)/13473_vfor.xls</x:v>
      </x:c>
      <x:c r="E164" s="22" t="str">
        <x:v>.xls</x:v>
      </x:c>
      <x:c r="F164" s="28" t="n">
        <x:v>43008</x:v>
      </x:c>
      <x:c r="G164" s="28" t="str">
        <x:v>5d603195cdfc413bea2240ef38ba9f4d3adfd29a3e4a64767494df660b2149df</x:v>
      </x:c>
      <x:c r="H164" s="28" t="n">
        <x:v>1</x:v>
      </x:c>
      <x:c r="I164" s="28" t="n">
        <x:v>1</x:v>
      </x:c>
      <x:c r="J164" s="28" t="n">
        <x:v>0</x:v>
      </x:c>
      <x:c r="K164" s="28" t="n">
        <x:v>0</x:v>
      </x:c>
      <x:c r="L164" s="28" t="n">
        <x:v>0</x:v>
      </x:c>
      <x:c r="M164" s="28" t="n">
        <x:v>0</x:v>
      </x:c>
      <x:c r="N164" s="22" t="str"/>
      <x:c r="O164" s="22" t="str"/>
      <x:c r="P164" s="22" t="n">
        <x:v>0</x:v>
      </x:c>
      <x:c r="Q164" s="40" t="n">
        <x:v>0</x:v>
      </x:c>
      <x:c r="R164" s="25" t="str"/>
      <x:c r="S164" s="25" t="str">
        <x:v>BOQ_NAME_ONLY</x:v>
      </x:c>
      <x:c r="T164" s="25" t="str">
        <x:v>자동 표 신호는 최종 A/B로 승격하지 않음</x:v>
      </x:c>
      <x:c r="U164" s="22" t="str">
        <x:v>2021-2025</x:v>
      </x:c>
    </x:row>
    <x:row r="165">
      <x:c r="A165" s="22" t="str">
        <x:v>2020-00086</x:v>
      </x:c>
      <x:c r="B165" s="22" t="str">
        <x:v>L2023-00036-1</x:v>
      </x:c>
      <x:c r="C165" s="22" t="str">
        <x:v>WORKS</x:v>
      </x:c>
      <x:c r="D165" s="25" t="str">
        <x:v>L2023-00036-1/붙임3_입찰관련서류_검토완_0717/Section 4.  Bill of Quantities(Not-Priced)/공내역서/VTC견적서/4 БУФЕТ(Cafeteria)/4-8 ГСВ(Gas)/bv13470.xls</x:v>
      </x:c>
      <x:c r="E165" s="22" t="str">
        <x:v>.xls</x:v>
      </x:c>
      <x:c r="F165" s="28" t="n">
        <x:v>86528</x:v>
      </x:c>
      <x:c r="G165" s="28" t="str">
        <x:v>9089df465dcf44624bcfa1339c6394342f5633ca53765547ae3967955305ecea</x:v>
      </x:c>
      <x:c r="H165" s="28" t="n">
        <x:v>1</x:v>
      </x:c>
      <x:c r="I165" s="28" t="n">
        <x:v>1</x:v>
      </x:c>
      <x:c r="J165" s="28" t="n">
        <x:v>0</x:v>
      </x:c>
      <x:c r="K165" s="28" t="n">
        <x:v>0</x:v>
      </x:c>
      <x:c r="L165" s="28" t="n">
        <x:v>0</x:v>
      </x:c>
      <x:c r="M165" s="28" t="n">
        <x:v>0</x:v>
      </x:c>
      <x:c r="N165" s="22" t="str"/>
      <x:c r="O165" s="22" t="str"/>
      <x:c r="P165" s="22" t="n">
        <x:v>0</x:v>
      </x:c>
      <x:c r="Q165" s="40" t="n">
        <x:v>0</x:v>
      </x:c>
      <x:c r="R165" s="25" t="str"/>
      <x:c r="S165" s="25" t="str">
        <x:v>BOQ_NAME_ONLY</x:v>
      </x:c>
      <x:c r="T165" s="25" t="str">
        <x:v>자동 표 신호는 최종 A/B로 승격하지 않음</x:v>
      </x:c>
      <x:c r="U165" s="22" t="str">
        <x:v>2021-2025</x:v>
      </x:c>
    </x:row>
    <x:row r="166">
      <x:c r="A166" s="22" t="str">
        <x:v>2020-00086</x:v>
      </x:c>
      <x:c r="B166" s="22" t="str">
        <x:v>L2023-00036-1</x:v>
      </x:c>
      <x:c r="C166" s="22" t="str">
        <x:v>WORKS</x:v>
      </x:c>
      <x:c r="D166" s="25" t="str">
        <x:v>L2023-00036-1/붙임3_입찰관련서류_검토완_0717/Section 4.  Bill of Quantities(Not-Priced)/공내역서/VTC견적서/4 БУФЕТ(Cafeteria)/4-8 ГСВ(Gas)/13473_vrmu.xls</x:v>
      </x:c>
      <x:c r="E166" s="22" t="str">
        <x:v>.xls</x:v>
      </x:c>
      <x:c r="F166" s="28" t="n">
        <x:v>51712</x:v>
      </x:c>
      <x:c r="G166" s="28" t="str">
        <x:v>7895280f53f85a8490bd3a4cba8955f4e0267d7828d7adaca5eac514a87c8039</x:v>
      </x:c>
      <x:c r="H166" s="28" t="n">
        <x:v>1</x:v>
      </x:c>
      <x:c r="I166" s="28" t="n">
        <x:v>1</x:v>
      </x:c>
      <x:c r="J166" s="28" t="n">
        <x:v>1</x:v>
      </x:c>
      <x:c r="K166" s="28" t="n">
        <x:v>58</x:v>
      </x:c>
      <x:c r="L166" s="28" t="n">
        <x:v>1</x:v>
      </x:c>
      <x:c r="M166" s="28" t="n">
        <x:v>0</x:v>
      </x:c>
      <x:c r="N166" s="22" t="str">
        <x:v>Лист1</x:v>
      </x:c>
      <x:c r="O166" s="22" t="str">
        <x:v>visible</x:v>
      </x:c>
      <x:c r="P166" s="22" t="n">
        <x:v>8</x:v>
      </x:c>
      <x:c r="Q166" s="40" t="n">
        <x:v>0.017241379310344827</x:v>
      </x:c>
      <x:c r="R166" s="25" t="str"/>
      <x:c r="S166" s="25" t="str">
        <x:v>B?</x:v>
      </x:c>
      <x:c r="T166" s="25" t="str">
        <x:v>자동 표 신호는 최종 A/B로 승격하지 않음</x:v>
      </x:c>
      <x:c r="U166" s="22" t="str">
        <x:v>2021-2025</x:v>
      </x:c>
    </x:row>
    <x:row r="167">
      <x:c r="A167" s="22" t="str">
        <x:v>2020-00086</x:v>
      </x:c>
      <x:c r="B167" s="22" t="str">
        <x:v>L2023-00036-1</x:v>
      </x:c>
      <x:c r="C167" s="22" t="str">
        <x:v>WORKS</x:v>
      </x:c>
      <x:c r="D167" s="25" t="str">
        <x:v>L2023-00036-1/붙임3_입찰관련서류_검토완_0717/Section 4.  Bill of Quantities(Not-Priced)/공내역서/VTC견적서/8 ПОЖАРНАЯ ЕМЪКОСТЬ(Fire Tank)/8-3 ЭО(Electric)/13733_vrmu.xls</x:v>
      </x:c>
      <x:c r="E167" s="22" t="str">
        <x:v>.xls</x:v>
      </x:c>
      <x:c r="F167" s="28" t="n">
        <x:v>55296</x:v>
      </x:c>
      <x:c r="G167" s="28" t="str">
        <x:v>dd26635add3df12c3c1ffa6d858087ee72aad2c51664c8f5af2ad5b1a0b3cbf1</x:v>
      </x:c>
      <x:c r="H167" s="28" t="n">
        <x:v>1</x:v>
      </x:c>
      <x:c r="I167" s="28" t="n">
        <x:v>1</x:v>
      </x:c>
      <x:c r="J167" s="28" t="n">
        <x:v>1</x:v>
      </x:c>
      <x:c r="K167" s="28" t="n">
        <x:v>76</x:v>
      </x:c>
      <x:c r="L167" s="28" t="n">
        <x:v>1</x:v>
      </x:c>
      <x:c r="M167" s="28" t="n">
        <x:v>0</x:v>
      </x:c>
      <x:c r="N167" s="22" t="str">
        <x:v>Лист1</x:v>
      </x:c>
      <x:c r="O167" s="22" t="str">
        <x:v>visible</x:v>
      </x:c>
      <x:c r="P167" s="22" t="n">
        <x:v>8</x:v>
      </x:c>
      <x:c r="Q167" s="40" t="n">
        <x:v>0.013157894736842105</x:v>
      </x:c>
      <x:c r="R167" s="25" t="str"/>
      <x:c r="S167" s="25" t="str">
        <x:v>B?</x:v>
      </x:c>
      <x:c r="T167" s="25" t="str">
        <x:v>자동 표 신호는 최종 A/B로 승격하지 않음</x:v>
      </x:c>
      <x:c r="U167" s="22" t="str">
        <x:v>2021-2025</x:v>
      </x:c>
    </x:row>
    <x:row r="168">
      <x:c r="A168" s="22" t="str">
        <x:v>2020-00086</x:v>
      </x:c>
      <x:c r="B168" s="22" t="str">
        <x:v>L2023-00036-1</x:v>
      </x:c>
      <x:c r="C168" s="22" t="str">
        <x:v>WORKS</x:v>
      </x:c>
      <x:c r="D168" s="25" t="str">
        <x:v>L2023-00036-1/붙임3_입찰관련서류_검토완_0717/Section 4.  Bill of Quantities(Not-Priced)/공내역서/VTC견적서/8 ПОЖАРНАЯ ЕМЪКОСТЬ(Fire Tank)/8-3 ЭО(Electric)/13733_vfor.xls</x:v>
      </x:c>
      <x:c r="E168" s="22" t="str">
        <x:v>.xls</x:v>
      </x:c>
      <x:c r="F168" s="28" t="n">
        <x:v>40448</x:v>
      </x:c>
      <x:c r="G168" s="28" t="str">
        <x:v>4b7ecea42e8e01f81fbf69ffbe105611f8e47711cbfac29373ac28d50d40fd4b</x:v>
      </x:c>
      <x:c r="H168" s="28" t="n">
        <x:v>1</x:v>
      </x:c>
      <x:c r="I168" s="28" t="n">
        <x:v>1</x:v>
      </x:c>
      <x:c r="J168" s="28" t="n">
        <x:v>0</x:v>
      </x:c>
      <x:c r="K168" s="28" t="n">
        <x:v>0</x:v>
      </x:c>
      <x:c r="L168" s="28" t="n">
        <x:v>0</x:v>
      </x:c>
      <x:c r="M168" s="28" t="n">
        <x:v>0</x:v>
      </x:c>
      <x:c r="N168" s="22" t="str"/>
      <x:c r="O168" s="22" t="str"/>
      <x:c r="P168" s="22" t="n">
        <x:v>0</x:v>
      </x:c>
      <x:c r="Q168" s="40" t="n">
        <x:v>0</x:v>
      </x:c>
      <x:c r="R168" s="25" t="str"/>
      <x:c r="S168" s="25" t="str">
        <x:v>BOQ_NAME_ONLY</x:v>
      </x:c>
      <x:c r="T168" s="25" t="str">
        <x:v>자동 표 신호는 최종 A/B로 승격하지 않음</x:v>
      </x:c>
      <x:c r="U168" s="22" t="str">
        <x:v>2021-2025</x:v>
      </x:c>
    </x:row>
    <x:row r="169">
      <x:c r="A169" s="22" t="str">
        <x:v>2020-00086</x:v>
      </x:c>
      <x:c r="B169" s="22" t="str">
        <x:v>L2023-00036-1</x:v>
      </x:c>
      <x:c r="C169" s="22" t="str">
        <x:v>WORKS</x:v>
      </x:c>
      <x:c r="D169" s="25" t="str">
        <x:v>L2023-00036-1/붙임3_입찰관련서류_검토완_0717/Section 4.  Bill of Quantities(Not-Priced)/공내역서/VTC견적서/8 ПОЖАРНАЯ ЕМЪКОСТЬ(Fire Tank)/8-3 ЭО(Electric)/bv13730.xls</x:v>
      </x:c>
      <x:c r="E169" s="22" t="str">
        <x:v>.xls</x:v>
      </x:c>
      <x:c r="F169" s="28" t="n">
        <x:v>90112</x:v>
      </x:c>
      <x:c r="G169" s="28" t="str">
        <x:v>a6ce3182f24e613f5aae906cca546b8467389ab8803175c900c5edc80050bdb9</x:v>
      </x:c>
      <x:c r="H169" s="28" t="n">
        <x:v>1</x:v>
      </x:c>
      <x:c r="I169" s="28" t="n">
        <x:v>1</x:v>
      </x:c>
      <x:c r="J169" s="28" t="n">
        <x:v>0</x:v>
      </x:c>
      <x:c r="K169" s="28" t="n">
        <x:v>0</x:v>
      </x:c>
      <x:c r="L169" s="28" t="n">
        <x:v>0</x:v>
      </x:c>
      <x:c r="M169" s="28" t="n">
        <x:v>0</x:v>
      </x:c>
      <x:c r="N169" s="22" t="str"/>
      <x:c r="O169" s="22" t="str"/>
      <x:c r="P169" s="22" t="n">
        <x:v>0</x:v>
      </x:c>
      <x:c r="Q169" s="40" t="n">
        <x:v>0</x:v>
      </x:c>
      <x:c r="R169" s="25" t="str"/>
      <x:c r="S169" s="25" t="str">
        <x:v>BOQ_NAME_ONLY</x:v>
      </x:c>
      <x:c r="T169" s="25" t="str">
        <x:v>자동 표 신호는 최종 A/B로 승격하지 않음</x:v>
      </x:c>
      <x:c r="U169" s="22" t="str">
        <x:v>2021-2025</x:v>
      </x:c>
    </x:row>
    <x:row r="170">
      <x:c r="A170" s="22" t="str">
        <x:v>2020-00086</x:v>
      </x:c>
      <x:c r="B170" s="22" t="str">
        <x:v>L2023-00036-1</x:v>
      </x:c>
      <x:c r="C170" s="22" t="str">
        <x:v>WORKS</x:v>
      </x:c>
      <x:c r="D170" s="25" t="str">
        <x:v>L2023-00036-1/붙임3_입찰관련서류_검토완_0717/Section 4.  Bill of Quantities(Not-Priced)/공내역서/VTC견적서/8 ПОЖАРНАЯ ЕМЪКОСТЬ(Fire Tank)/8-2 ТХ(Technology Plan)/13603_vfor.xls</x:v>
      </x:c>
      <x:c r="E170" s="22" t="str">
        <x:v>.xls</x:v>
      </x:c>
      <x:c r="F170" s="28" t="n">
        <x:v>35840</x:v>
      </x:c>
      <x:c r="G170" s="28" t="str">
        <x:v>aef3e1723acd7e063007694bdea3257d0d9172d1dfd94eea0adef60ffec47c04</x:v>
      </x:c>
      <x:c r="H170" s="28" t="n">
        <x:v>1</x:v>
      </x:c>
      <x:c r="I170" s="28" t="n">
        <x:v>1</x:v>
      </x:c>
      <x:c r="J170" s="28" t="n">
        <x:v>0</x:v>
      </x:c>
      <x:c r="K170" s="28" t="n">
        <x:v>0</x:v>
      </x:c>
      <x:c r="L170" s="28" t="n">
        <x:v>0</x:v>
      </x:c>
      <x:c r="M170" s="28" t="n">
        <x:v>0</x:v>
      </x:c>
      <x:c r="N170" s="22" t="str"/>
      <x:c r="O170" s="22" t="str"/>
      <x:c r="P170" s="22" t="n">
        <x:v>0</x:v>
      </x:c>
      <x:c r="Q170" s="40" t="n">
        <x:v>0</x:v>
      </x:c>
      <x:c r="R170" s="25" t="str"/>
      <x:c r="S170" s="25" t="str">
        <x:v>BOQ_NAME_ONLY</x:v>
      </x:c>
      <x:c r="T170" s="25" t="str">
        <x:v>자동 표 신호는 최종 A/B로 승격하지 않음</x:v>
      </x:c>
      <x:c r="U170" s="22" t="str">
        <x:v>2021-2025</x:v>
      </x:c>
    </x:row>
    <x:row r="171">
      <x:c r="A171" s="22" t="str">
        <x:v>2020-00086</x:v>
      </x:c>
      <x:c r="B171" s="22" t="str">
        <x:v>L2023-00036-1</x:v>
      </x:c>
      <x:c r="C171" s="22" t="str">
        <x:v>WORKS</x:v>
      </x:c>
      <x:c r="D171" s="25" t="str">
        <x:v>L2023-00036-1/붙임3_입찰관련서류_검토완_0717/Section 4.  Bill of Quantities(Not-Priced)/공내역서/VTC견적서/8 ПОЖАРНАЯ ЕМЪКОСТЬ(Fire Tank)/8-2 ТХ(Technology Plan)/bv13600.xls</x:v>
      </x:c>
      <x:c r="E171" s="22" t="str">
        <x:v>.xls</x:v>
      </x:c>
      <x:c r="F171" s="28" t="n">
        <x:v>80896</x:v>
      </x:c>
      <x:c r="G171" s="28" t="str">
        <x:v>c8b47be5d6000bcdfeef410c167b93e50c2f883be060652b37ff38542a97986f</x:v>
      </x:c>
      <x:c r="H171" s="28" t="n">
        <x:v>1</x:v>
      </x:c>
      <x:c r="I171" s="28" t="n">
        <x:v>1</x:v>
      </x:c>
      <x:c r="J171" s="28" t="n">
        <x:v>0</x:v>
      </x:c>
      <x:c r="K171" s="28" t="n">
        <x:v>0</x:v>
      </x:c>
      <x:c r="L171" s="28" t="n">
        <x:v>0</x:v>
      </x:c>
      <x:c r="M171" s="28" t="n">
        <x:v>0</x:v>
      </x:c>
      <x:c r="N171" s="22" t="str"/>
      <x:c r="O171" s="22" t="str"/>
      <x:c r="P171" s="22" t="n">
        <x:v>0</x:v>
      </x:c>
      <x:c r="Q171" s="40" t="n">
        <x:v>0</x:v>
      </x:c>
      <x:c r="R171" s="25" t="str"/>
      <x:c r="S171" s="25" t="str">
        <x:v>BOQ_NAME_ONLY</x:v>
      </x:c>
      <x:c r="T171" s="25" t="str">
        <x:v>자동 표 신호는 최종 A/B로 승격하지 않음</x:v>
      </x:c>
      <x:c r="U171" s="22" t="str">
        <x:v>2021-2025</x:v>
      </x:c>
    </x:row>
    <x:row r="172">
      <x:c r="A172" s="22" t="str">
        <x:v>2020-00086</x:v>
      </x:c>
      <x:c r="B172" s="22" t="str">
        <x:v>L2023-00036-1</x:v>
      </x:c>
      <x:c r="C172" s="22" t="str">
        <x:v>WORKS</x:v>
      </x:c>
      <x:c r="D172" s="25" t="str">
        <x:v>L2023-00036-1/붙임3_입찰관련서류_검토완_0717/Section 4.  Bill of Quantities(Not-Priced)/공내역서/VTC견적서/8 ПОЖАРНАЯ ЕМЪКОСТЬ(Fire Tank)/8-2 ТХ(Technology Plan)/13603_vrmu.xls</x:v>
      </x:c>
      <x:c r="E172" s="22" t="str">
        <x:v>.xls</x:v>
      </x:c>
      <x:c r="F172" s="28" t="n">
        <x:v>53248</x:v>
      </x:c>
      <x:c r="G172" s="28" t="str">
        <x:v>59e7c73eb0916c52e8edb0dc9f78a1ba785db1d8b39138ad6aae1b088f8c61f6</x:v>
      </x:c>
      <x:c r="H172" s="28" t="n">
        <x:v>1</x:v>
      </x:c>
      <x:c r="I172" s="28" t="n">
        <x:v>1</x:v>
      </x:c>
      <x:c r="J172" s="28" t="n">
        <x:v>1</x:v>
      </x:c>
      <x:c r="K172" s="28" t="n">
        <x:v>59</x:v>
      </x:c>
      <x:c r="L172" s="28" t="n">
        <x:v>1</x:v>
      </x:c>
      <x:c r="M172" s="28" t="n">
        <x:v>0</x:v>
      </x:c>
      <x:c r="N172" s="22" t="str">
        <x:v>Лист1</x:v>
      </x:c>
      <x:c r="O172" s="22" t="str">
        <x:v>visible</x:v>
      </x:c>
      <x:c r="P172" s="22" t="n">
        <x:v>8</x:v>
      </x:c>
      <x:c r="Q172" s="40" t="n">
        <x:v>0.01694915254237288</x:v>
      </x:c>
      <x:c r="R172" s="25" t="str"/>
      <x:c r="S172" s="25" t="str">
        <x:v>B?</x:v>
      </x:c>
      <x:c r="T172" s="25" t="str">
        <x:v>자동 표 신호는 최종 A/B로 승격하지 않음</x:v>
      </x:c>
      <x:c r="U172" s="22" t="str">
        <x:v>2021-2025</x:v>
      </x:c>
    </x:row>
    <x:row r="173">
      <x:c r="A173" s="22" t="str">
        <x:v>2020-00086</x:v>
      </x:c>
      <x:c r="B173" s="22" t="str">
        <x:v>L2023-00036-1</x:v>
      </x:c>
      <x:c r="C173" s="22" t="str">
        <x:v>WORKS</x:v>
      </x:c>
      <x:c r="D173" s="25" t="str">
        <x:v>L2023-00036-1/붙임3_입찰관련서류_검토완_0717/Section 4.  Bill of Quantities(Not-Priced)/공내역서/VTC견적서/8 ПОЖАРНАЯ ЕМЪКОСТЬ(Fire Tank)/8-1 АС(Architecture+Structure)/bv13560.xls</x:v>
      </x:c>
      <x:c r="E173" s="22" t="str">
        <x:v>.xls</x:v>
      </x:c>
      <x:c r="F173" s="28" t="n">
        <x:v>143360</x:v>
      </x:c>
      <x:c r="G173" s="28" t="str">
        <x:v>c0c38b80f51c65331020314872a4530efa2890a349a0bbfbe7546f3d325f3c4c</x:v>
      </x:c>
      <x:c r="H173" s="28" t="n">
        <x:v>1</x:v>
      </x:c>
      <x:c r="I173" s="28" t="n">
        <x:v>1</x:v>
      </x:c>
      <x:c r="J173" s="28" t="n">
        <x:v>0</x:v>
      </x:c>
      <x:c r="K173" s="28" t="n">
        <x:v>0</x:v>
      </x:c>
      <x:c r="L173" s="28" t="n">
        <x:v>0</x:v>
      </x:c>
      <x:c r="M173" s="28" t="n">
        <x:v>0</x:v>
      </x:c>
      <x:c r="N173" s="22" t="str"/>
      <x:c r="O173" s="22" t="str"/>
      <x:c r="P173" s="22" t="n">
        <x:v>0</x:v>
      </x:c>
      <x:c r="Q173" s="40" t="n">
        <x:v>0</x:v>
      </x:c>
      <x:c r="R173" s="25" t="str"/>
      <x:c r="S173" s="25" t="str">
        <x:v>BOQ_NAME_ONLY</x:v>
      </x:c>
      <x:c r="T173" s="25" t="str">
        <x:v>자동 표 신호는 최종 A/B로 승격하지 않음</x:v>
      </x:c>
      <x:c r="U173" s="22" t="str">
        <x:v>2021-2025</x:v>
      </x:c>
    </x:row>
    <x:row r="174">
      <x:c r="A174" s="22" t="str">
        <x:v>2020-00086</x:v>
      </x:c>
      <x:c r="B174" s="22" t="str">
        <x:v>L2023-00036-1</x:v>
      </x:c>
      <x:c r="C174" s="22" t="str">
        <x:v>WORKS</x:v>
      </x:c>
      <x:c r="D174" s="25" t="str">
        <x:v>L2023-00036-1/붙임3_입찰관련서류_검토완_0717/Section 4.  Bill of Quantities(Not-Priced)/공내역서/VTC견적서/8 ПОЖАРНАЯ ЕМЪКОСТЬ(Fire Tank)/8-1 АС(Architecture+Structure)/13563_vrmu.xls</x:v>
      </x:c>
      <x:c r="E174" s="22" t="str">
        <x:v>.xls</x:v>
      </x:c>
      <x:c r="F174" s="28" t="n">
        <x:v>56832</x:v>
      </x:c>
      <x:c r="G174" s="28" t="str">
        <x:v>79e14b24c7df19631df2b8c58f12863b08e7aa7d66983b2990f8ef0923fe886f</x:v>
      </x:c>
      <x:c r="H174" s="28" t="n">
        <x:v>1</x:v>
      </x:c>
      <x:c r="I174" s="28" t="n">
        <x:v>1</x:v>
      </x:c>
      <x:c r="J174" s="28" t="n">
        <x:v>1</x:v>
      </x:c>
      <x:c r="K174" s="28" t="n">
        <x:v>80</x:v>
      </x:c>
      <x:c r="L174" s="28" t="n">
        <x:v>1</x:v>
      </x:c>
      <x:c r="M174" s="28" t="n">
        <x:v>0</x:v>
      </x:c>
      <x:c r="N174" s="22" t="str">
        <x:v>Лист1</x:v>
      </x:c>
      <x:c r="O174" s="22" t="str">
        <x:v>visible</x:v>
      </x:c>
      <x:c r="P174" s="22" t="n">
        <x:v>8</x:v>
      </x:c>
      <x:c r="Q174" s="40" t="n">
        <x:v>0.0125</x:v>
      </x:c>
      <x:c r="R174" s="25" t="str"/>
      <x:c r="S174" s="25" t="str">
        <x:v>B?</x:v>
      </x:c>
      <x:c r="T174" s="25" t="str">
        <x:v>자동 표 신호는 최종 A/B로 승격하지 않음</x:v>
      </x:c>
      <x:c r="U174" s="22" t="str">
        <x:v>2021-2025</x:v>
      </x:c>
    </x:row>
    <x:row r="175">
      <x:c r="A175" s="22" t="str">
        <x:v>2020-00086</x:v>
      </x:c>
      <x:c r="B175" s="22" t="str">
        <x:v>L2023-00036-1</x:v>
      </x:c>
      <x:c r="C175" s="22" t="str">
        <x:v>WORKS</x:v>
      </x:c>
      <x:c r="D175" s="25" t="str">
        <x:v>L2023-00036-1/붙임3_입찰관련서류_검토완_0717/Section 4.  Bill of Quantities(Not-Priced)/공내역서/VTC견적서/8 ПОЖАРНАЯ ЕМЪКОСТЬ(Fire Tank)/8-1 АС(Architecture+Structure)/13563_vfor.xls</x:v>
      </x:c>
      <x:c r="E175" s="22" t="str">
        <x:v>.xls</x:v>
      </x:c>
      <x:c r="F175" s="28" t="n">
        <x:v>48128</x:v>
      </x:c>
      <x:c r="G175" s="28" t="str">
        <x:v>be5b745b940f05f1f41e44ed150503de2709f71b2406a43b2625fbeb73d92ced</x:v>
      </x:c>
      <x:c r="H175" s="28" t="n">
        <x:v>1</x:v>
      </x:c>
      <x:c r="I175" s="28" t="n">
        <x:v>1</x:v>
      </x:c>
      <x:c r="J175" s="28" t="n">
        <x:v>0</x:v>
      </x:c>
      <x:c r="K175" s="28" t="n">
        <x:v>0</x:v>
      </x:c>
      <x:c r="L175" s="28" t="n">
        <x:v>0</x:v>
      </x:c>
      <x:c r="M175" s="28" t="n">
        <x:v>0</x:v>
      </x:c>
      <x:c r="N175" s="22" t="str"/>
      <x:c r="O175" s="22" t="str"/>
      <x:c r="P175" s="22" t="n">
        <x:v>0</x:v>
      </x:c>
      <x:c r="Q175" s="40" t="n">
        <x:v>0</x:v>
      </x:c>
      <x:c r="R175" s="25" t="str"/>
      <x:c r="S175" s="25" t="str">
        <x:v>BOQ_NAME_ONLY</x:v>
      </x:c>
      <x:c r="T175" s="25" t="str">
        <x:v>자동 표 신호는 최종 A/B로 승격하지 않음</x:v>
      </x:c>
      <x:c r="U175" s="22" t="str">
        <x:v>2021-2025</x:v>
      </x:c>
    </x:row>
    <x:row r="176">
      <x:c r="A176" s="22" t="str">
        <x:v>2020-00086</x:v>
      </x:c>
      <x:c r="B176" s="22" t="str">
        <x:v>L2023-00036-1</x:v>
      </x:c>
      <x:c r="C176" s="22" t="str">
        <x:v>WORKS</x:v>
      </x:c>
      <x:c r="D176" s="25" t="str">
        <x:v>L2023-00036-1/붙임3_입찰관련서류_검토완_0717/Section 4.  Bill of Quantities(Not-Priced)/공내역서/VTC견적서/3 ОБЩЕЖИТИЕ(Dormitory)/3-7 ВН, СКС(CCTV &amp; Network)/13303_vfor.xls</x:v>
      </x:c>
      <x:c r="E176" s="22" t="str">
        <x:v>.xls</x:v>
      </x:c>
      <x:c r="F176" s="28" t="n">
        <x:v>48640</x:v>
      </x:c>
      <x:c r="G176" s="28" t="str">
        <x:v>5a18635d72aa11084ea9ace6f157b8628ca9366276bd4b01f0389389eb69dd15</x:v>
      </x:c>
      <x:c r="H176" s="28" t="n">
        <x:v>1</x:v>
      </x:c>
      <x:c r="I176" s="28" t="n">
        <x:v>1</x:v>
      </x:c>
      <x:c r="J176" s="28" t="n">
        <x:v>0</x:v>
      </x:c>
      <x:c r="K176" s="28" t="n">
        <x:v>0</x:v>
      </x:c>
      <x:c r="L176" s="28" t="n">
        <x:v>0</x:v>
      </x:c>
      <x:c r="M176" s="28" t="n">
        <x:v>0</x:v>
      </x:c>
      <x:c r="N176" s="22" t="str"/>
      <x:c r="O176" s="22" t="str"/>
      <x:c r="P176" s="22" t="n">
        <x:v>0</x:v>
      </x:c>
      <x:c r="Q176" s="40" t="n">
        <x:v>0</x:v>
      </x:c>
      <x:c r="R176" s="25" t="str"/>
      <x:c r="S176" s="25" t="str">
        <x:v>BOQ_NAME_ONLY</x:v>
      </x:c>
      <x:c r="T176" s="25" t="str">
        <x:v>자동 표 신호는 최종 A/B로 승격하지 않음</x:v>
      </x:c>
      <x:c r="U176" s="22" t="str">
        <x:v>2021-2025</x:v>
      </x:c>
    </x:row>
    <x:row r="177">
      <x:c r="A177" s="22" t="str">
        <x:v>2020-00086</x:v>
      </x:c>
      <x:c r="B177" s="22" t="str">
        <x:v>L2023-00036-1</x:v>
      </x:c>
      <x:c r="C177" s="22" t="str">
        <x:v>WORKS</x:v>
      </x:c>
      <x:c r="D177" s="25" t="str">
        <x:v>L2023-00036-1/붙임3_입찰관련서류_검토완_0717/Section 4.  Bill of Quantities(Not-Priced)/공내역서/VTC견적서/3 ОБЩЕЖИТИЕ(Dormitory)/3-7 ВН, СКС(CCTV &amp; Network)/bv13300.xls</x:v>
      </x:c>
      <x:c r="E177" s="22" t="str">
        <x:v>.xls</x:v>
      </x:c>
      <x:c r="F177" s="28" t="n">
        <x:v>91136</x:v>
      </x:c>
      <x:c r="G177" s="28" t="str">
        <x:v>eabe1189fd53fa553a7256019fdcd183629f090a5817c504e1c9f65e297f4127</x:v>
      </x:c>
      <x:c r="H177" s="28" t="n">
        <x:v>1</x:v>
      </x:c>
      <x:c r="I177" s="28" t="n">
        <x:v>1</x:v>
      </x:c>
      <x:c r="J177" s="28" t="n">
        <x:v>0</x:v>
      </x:c>
      <x:c r="K177" s="28" t="n">
        <x:v>0</x:v>
      </x:c>
      <x:c r="L177" s="28" t="n">
        <x:v>0</x:v>
      </x:c>
      <x:c r="M177" s="28" t="n">
        <x:v>0</x:v>
      </x:c>
      <x:c r="N177" s="22" t="str"/>
      <x:c r="O177" s="22" t="str"/>
      <x:c r="P177" s="22" t="n">
        <x:v>0</x:v>
      </x:c>
      <x:c r="Q177" s="40" t="n">
        <x:v>0</x:v>
      </x:c>
      <x:c r="R177" s="25" t="str"/>
      <x:c r="S177" s="25" t="str">
        <x:v>BOQ_NAME_ONLY</x:v>
      </x:c>
      <x:c r="T177" s="25" t="str">
        <x:v>자동 표 신호는 최종 A/B로 승격하지 않음</x:v>
      </x:c>
      <x:c r="U177" s="22" t="str">
        <x:v>2021-2025</x:v>
      </x:c>
    </x:row>
    <x:row r="178">
      <x:c r="A178" s="22" t="str">
        <x:v>2020-00086</x:v>
      </x:c>
      <x:c r="B178" s="22" t="str">
        <x:v>L2023-00036-1</x:v>
      </x:c>
      <x:c r="C178" s="22" t="str">
        <x:v>WORKS</x:v>
      </x:c>
      <x:c r="D178" s="25" t="str">
        <x:v>L2023-00036-1/붙임3_입찰관련서류_검토완_0717/Section 4.  Bill of Quantities(Not-Priced)/공내역서/VTC견적서/3 ОБЩЕЖИТИЕ(Dormitory)/3-7 ВН, СКС(CCTV &amp; Network)/13303_vrmu.xls</x:v>
      </x:c>
      <x:c r="E178" s="22" t="str">
        <x:v>.xls</x:v>
      </x:c>
      <x:c r="F178" s="28" t="n">
        <x:v>55808</x:v>
      </x:c>
      <x:c r="G178" s="28" t="str">
        <x:v>1446b4e9d4ca55f00683876eb3b47e8dfe2d96fd5f8331a988ddeb69272efd21</x:v>
      </x:c>
      <x:c r="H178" s="28" t="n">
        <x:v>1</x:v>
      </x:c>
      <x:c r="I178" s="28" t="n">
        <x:v>1</x:v>
      </x:c>
      <x:c r="J178" s="28" t="n">
        <x:v>1</x:v>
      </x:c>
      <x:c r="K178" s="28" t="n">
        <x:v>81</x:v>
      </x:c>
      <x:c r="L178" s="28" t="n">
        <x:v>1</x:v>
      </x:c>
      <x:c r="M178" s="28" t="n">
        <x:v>0</x:v>
      </x:c>
      <x:c r="N178" s="22" t="str">
        <x:v>Лист1</x:v>
      </x:c>
      <x:c r="O178" s="22" t="str">
        <x:v>visible</x:v>
      </x:c>
      <x:c r="P178" s="22" t="n">
        <x:v>8</x:v>
      </x:c>
      <x:c r="Q178" s="40" t="n">
        <x:v>0.012345679012345678</x:v>
      </x:c>
      <x:c r="R178" s="25" t="str"/>
      <x:c r="S178" s="25" t="str">
        <x:v>B?</x:v>
      </x:c>
      <x:c r="T178" s="25" t="str">
        <x:v>자동 표 신호는 최종 A/B로 승격하지 않음</x:v>
      </x:c>
      <x:c r="U178" s="22" t="str">
        <x:v>2021-2025</x:v>
      </x:c>
    </x:row>
    <x:row r="179">
      <x:c r="A179" s="22" t="str">
        <x:v>2020-00086</x:v>
      </x:c>
      <x:c r="B179" s="22" t="str">
        <x:v>L2023-00036-1</x:v>
      </x:c>
      <x:c r="C179" s="22" t="str">
        <x:v>WORKS</x:v>
      </x:c>
      <x:c r="D179" s="25" t="str">
        <x:v>L2023-00036-1/붙임3_입찰관련서류_검토완_0717/Section 4.  Bill of Quantities(Not-Priced)/공내역서/VTC견적서/3 ОБЩЕЖИТИЕ(Dormitory)/3-6 ПС(Fire Alarm)/13293_vfor.xls</x:v>
      </x:c>
      <x:c r="E179" s="22" t="str">
        <x:v>.xls</x:v>
      </x:c>
      <x:c r="F179" s="28" t="n">
        <x:v>47616</x:v>
      </x:c>
      <x:c r="G179" s="28" t="str">
        <x:v>13504304f6bbd4c322400660e78166be924c5a8a3f7a3d2fa32ea8eaabd6d151</x:v>
      </x:c>
      <x:c r="H179" s="28" t="n">
        <x:v>1</x:v>
      </x:c>
      <x:c r="I179" s="28" t="n">
        <x:v>1</x:v>
      </x:c>
      <x:c r="J179" s="28" t="n">
        <x:v>0</x:v>
      </x:c>
      <x:c r="K179" s="28" t="n">
        <x:v>0</x:v>
      </x:c>
      <x:c r="L179" s="28" t="n">
        <x:v>0</x:v>
      </x:c>
      <x:c r="M179" s="28" t="n">
        <x:v>0</x:v>
      </x:c>
      <x:c r="N179" s="22" t="str"/>
      <x:c r="O179" s="22" t="str"/>
      <x:c r="P179" s="22" t="n">
        <x:v>0</x:v>
      </x:c>
      <x:c r="Q179" s="40" t="n">
        <x:v>0</x:v>
      </x:c>
      <x:c r="R179" s="25" t="str"/>
      <x:c r="S179" s="25" t="str">
        <x:v>BOQ_NAME_ONLY</x:v>
      </x:c>
      <x:c r="T179" s="25" t="str">
        <x:v>자동 표 신호는 최종 A/B로 승격하지 않음</x:v>
      </x:c>
      <x:c r="U179" s="22" t="str">
        <x:v>2021-2025</x:v>
      </x:c>
    </x:row>
    <x:row r="180">
      <x:c r="A180" s="22" t="str">
        <x:v>2020-00086</x:v>
      </x:c>
      <x:c r="B180" s="22" t="str">
        <x:v>L2023-00036-1</x:v>
      </x:c>
      <x:c r="C180" s="22" t="str">
        <x:v>WORKS</x:v>
      </x:c>
      <x:c r="D180" s="25" t="str">
        <x:v>L2023-00036-1/붙임3_입찰관련서류_검토완_0717/Section 4.  Bill of Quantities(Not-Priced)/공내역서/VTC견적서/3 ОБЩЕЖИТИЕ(Dormitory)/3-6 ПС(Fire Alarm)/13293_vrmu.xls</x:v>
      </x:c>
      <x:c r="E180" s="22" t="str">
        <x:v>.xls</x:v>
      </x:c>
      <x:c r="F180" s="28" t="n">
        <x:v>52736</x:v>
      </x:c>
      <x:c r="G180" s="28" t="str">
        <x:v>d247ad0533474b0b1cedc26fffab2c9b866c1246de159a021e5b366aabc19286</x:v>
      </x:c>
      <x:c r="H180" s="28" t="n">
        <x:v>1</x:v>
      </x:c>
      <x:c r="I180" s="28" t="n">
        <x:v>1</x:v>
      </x:c>
      <x:c r="J180" s="28" t="n">
        <x:v>1</x:v>
      </x:c>
      <x:c r="K180" s="28" t="n">
        <x:v>62</x:v>
      </x:c>
      <x:c r="L180" s="28" t="n">
        <x:v>1</x:v>
      </x:c>
      <x:c r="M180" s="28" t="n">
        <x:v>0</x:v>
      </x:c>
      <x:c r="N180" s="22" t="str">
        <x:v>Лист1</x:v>
      </x:c>
      <x:c r="O180" s="22" t="str">
        <x:v>visible</x:v>
      </x:c>
      <x:c r="P180" s="22" t="n">
        <x:v>8</x:v>
      </x:c>
      <x:c r="Q180" s="40" t="n">
        <x:v>0.016129032258064516</x:v>
      </x:c>
      <x:c r="R180" s="25" t="str"/>
      <x:c r="S180" s="25" t="str">
        <x:v>B?</x:v>
      </x:c>
      <x:c r="T180" s="25" t="str">
        <x:v>자동 표 신호는 최종 A/B로 승격하지 않음</x:v>
      </x:c>
      <x:c r="U180" s="22" t="str">
        <x:v>2021-2025</x:v>
      </x:c>
    </x:row>
    <x:row r="181">
      <x:c r="A181" s="22" t="str">
        <x:v>2020-00086</x:v>
      </x:c>
      <x:c r="B181" s="22" t="str">
        <x:v>L2023-00036-1</x:v>
      </x:c>
      <x:c r="C181" s="22" t="str">
        <x:v>WORKS</x:v>
      </x:c>
      <x:c r="D181" s="25" t="str">
        <x:v>L2023-00036-1/붙임3_입찰관련서류_검토완_0717/Section 4.  Bill of Quantities(Not-Priced)/공내역서/VTC견적서/3 ОБЩЕЖИТИЕ(Dormitory)/3-6 ПС(Fire Alarm)/bv13290.xls</x:v>
      </x:c>
      <x:c r="E181" s="22" t="str">
        <x:v>.xls</x:v>
      </x:c>
      <x:c r="F181" s="28" t="n">
        <x:v>86016</x:v>
      </x:c>
      <x:c r="G181" s="28" t="str">
        <x:v>e18ef7fec05891daaad5066075ed8900b09d1ea1449184f0063fbb372759596e</x:v>
      </x:c>
      <x:c r="H181" s="28" t="n">
        <x:v>1</x:v>
      </x:c>
      <x:c r="I181" s="28" t="n">
        <x:v>1</x:v>
      </x:c>
      <x:c r="J181" s="28" t="n">
        <x:v>0</x:v>
      </x:c>
      <x:c r="K181" s="28" t="n">
        <x:v>0</x:v>
      </x:c>
      <x:c r="L181" s="28" t="n">
        <x:v>0</x:v>
      </x:c>
      <x:c r="M181" s="28" t="n">
        <x:v>0</x:v>
      </x:c>
      <x:c r="N181" s="22" t="str"/>
      <x:c r="O181" s="22" t="str"/>
      <x:c r="P181" s="22" t="n">
        <x:v>0</x:v>
      </x:c>
      <x:c r="Q181" s="40" t="n">
        <x:v>0</x:v>
      </x:c>
      <x:c r="R181" s="25" t="str"/>
      <x:c r="S181" s="25" t="str">
        <x:v>BOQ_NAME_ONLY</x:v>
      </x:c>
      <x:c r="T181" s="25" t="str">
        <x:v>자동 표 신호는 최종 A/B로 승격하지 않음</x:v>
      </x:c>
      <x:c r="U181" s="22" t="str">
        <x:v>2021-2025</x:v>
      </x:c>
    </x:row>
    <x:row r="182">
      <x:c r="A182" s="22" t="str">
        <x:v>2020-00086</x:v>
      </x:c>
      <x:c r="B182" s="22" t="str">
        <x:v>L2023-00036-1</x:v>
      </x:c>
      <x:c r="C182" s="22" t="str">
        <x:v>WORKS</x:v>
      </x:c>
      <x:c r="D182" s="25" t="str">
        <x:v>L2023-00036-1/붙임3_입찰관련서류_검토완_0717/Section 4.  Bill of Quantities(Not-Priced)/공내역서/VTC견적서/3 ОБЩЕЖИТИЕ(Dormitory)/3-2 АР(Architecture)/13093_vrmu.xls</x:v>
      </x:c>
      <x:c r="E182" s="22" t="str">
        <x:v>.xls</x:v>
      </x:c>
      <x:c r="F182" s="28" t="n">
        <x:v>71168</x:v>
      </x:c>
      <x:c r="G182" s="28" t="str">
        <x:v>e74ff7123038365d8a0bdcd1c7b2209df8480aa897b3fc0679910a92028a4f3e</x:v>
      </x:c>
      <x:c r="H182" s="28" t="n">
        <x:v>1</x:v>
      </x:c>
      <x:c r="I182" s="28" t="n">
        <x:v>1</x:v>
      </x:c>
      <x:c r="J182" s="28" t="n">
        <x:v>1</x:v>
      </x:c>
      <x:c r="K182" s="28" t="n">
        <x:v>145</x:v>
      </x:c>
      <x:c r="L182" s="28" t="n">
        <x:v>1</x:v>
      </x:c>
      <x:c r="M182" s="28" t="n">
        <x:v>0</x:v>
      </x:c>
      <x:c r="N182" s="22" t="str">
        <x:v>Лист1</x:v>
      </x:c>
      <x:c r="O182" s="22" t="str">
        <x:v>visible</x:v>
      </x:c>
      <x:c r="P182" s="22" t="n">
        <x:v>8</x:v>
      </x:c>
      <x:c r="Q182" s="40" t="n">
        <x:v>0.006896551724137931</x:v>
      </x:c>
      <x:c r="R182" s="25" t="str"/>
      <x:c r="S182" s="25" t="str">
        <x:v>B?</x:v>
      </x:c>
      <x:c r="T182" s="25" t="str">
        <x:v>자동 표 신호는 최종 A/B로 승격하지 않음</x:v>
      </x:c>
      <x:c r="U182" s="22" t="str">
        <x:v>2021-2025</x:v>
      </x:c>
    </x:row>
    <x:row r="183">
      <x:c r="A183" s="22" t="str">
        <x:v>2020-00086</x:v>
      </x:c>
      <x:c r="B183" s="22" t="str">
        <x:v>L2023-00036-1</x:v>
      </x:c>
      <x:c r="C183" s="22" t="str">
        <x:v>WORKS</x:v>
      </x:c>
      <x:c r="D183" s="25" t="str">
        <x:v>L2023-00036-1/붙임3_입찰관련서류_검토완_0717/Section 4.  Bill of Quantities(Not-Priced)/공내역서/VTC견적서/3 ОБЩЕЖИТИЕ(Dormitory)/3-2 АР(Architecture)/13093_vfor.xls</x:v>
      </x:c>
      <x:c r="E183" s="22" t="str">
        <x:v>.xls</x:v>
      </x:c>
      <x:c r="F183" s="28" t="n">
        <x:v>60928</x:v>
      </x:c>
      <x:c r="G183" s="28" t="str">
        <x:v>4d47568603d5e187d1e4c7fb6f4d61f9bbfd00c2e5ce279aa4cbc3e286009fda</x:v>
      </x:c>
      <x:c r="H183" s="28" t="n">
        <x:v>1</x:v>
      </x:c>
      <x:c r="I183" s="28" t="n">
        <x:v>1</x:v>
      </x:c>
      <x:c r="J183" s="28" t="n">
        <x:v>0</x:v>
      </x:c>
      <x:c r="K183" s="28" t="n">
        <x:v>0</x:v>
      </x:c>
      <x:c r="L183" s="28" t="n">
        <x:v>0</x:v>
      </x:c>
      <x:c r="M183" s="28" t="n">
        <x:v>0</x:v>
      </x:c>
      <x:c r="N183" s="22" t="str"/>
      <x:c r="O183" s="22" t="str"/>
      <x:c r="P183" s="22" t="n">
        <x:v>0</x:v>
      </x:c>
      <x:c r="Q183" s="40" t="n">
        <x:v>0</x:v>
      </x:c>
      <x:c r="R183" s="25" t="str"/>
      <x:c r="S183" s="25" t="str">
        <x:v>BOQ_NAME_ONLY</x:v>
      </x:c>
      <x:c r="T183" s="25" t="str">
        <x:v>자동 표 신호는 최종 A/B로 승격하지 않음</x:v>
      </x:c>
      <x:c r="U183" s="22" t="str">
        <x:v>2021-2025</x:v>
      </x:c>
    </x:row>
    <x:row r="184">
      <x:c r="A184" s="22" t="str">
        <x:v>2020-00086</x:v>
      </x:c>
      <x:c r="B184" s="22" t="str">
        <x:v>L2023-00036-1</x:v>
      </x:c>
      <x:c r="C184" s="22" t="str">
        <x:v>WORKS</x:v>
      </x:c>
      <x:c r="D184" s="25" t="str">
        <x:v>L2023-00036-1/붙임3_입찰관련서류_검토완_0717/Section 4.  Bill of Quantities(Not-Priced)/공내역서/VTC견적서/3 ОБЩЕЖИТИЕ(Dormitory)/3-2 АР(Architecture)/bv13090.xls</x:v>
      </x:c>
      <x:c r="E184" s="22" t="str">
        <x:v>.xls</x:v>
      </x:c>
      <x:c r="F184" s="28" t="n">
        <x:v>209920</x:v>
      </x:c>
      <x:c r="G184" s="28" t="str">
        <x:v>1685986296491a91628263cbf83b83623c64d74dd57af717e61f8666ff120e05</x:v>
      </x:c>
      <x:c r="H184" s="28" t="n">
        <x:v>1</x:v>
      </x:c>
      <x:c r="I184" s="28" t="n">
        <x:v>1</x:v>
      </x:c>
      <x:c r="J184" s="28" t="n">
        <x:v>0</x:v>
      </x:c>
      <x:c r="K184" s="28" t="n">
        <x:v>0</x:v>
      </x:c>
      <x:c r="L184" s="28" t="n">
        <x:v>0</x:v>
      </x:c>
      <x:c r="M184" s="28" t="n">
        <x:v>0</x:v>
      </x:c>
      <x:c r="N184" s="22" t="str"/>
      <x:c r="O184" s="22" t="str"/>
      <x:c r="P184" s="22" t="n">
        <x:v>0</x:v>
      </x:c>
      <x:c r="Q184" s="40" t="n">
        <x:v>0</x:v>
      </x:c>
      <x:c r="R184" s="25" t="str"/>
      <x:c r="S184" s="25" t="str">
        <x:v>BOQ_NAME_ONLY</x:v>
      </x:c>
      <x:c r="T184" s="25" t="str">
        <x:v>자동 표 신호는 최종 A/B로 승격하지 않음</x:v>
      </x:c>
      <x:c r="U184" s="22" t="str">
        <x:v>2021-2025</x:v>
      </x:c>
    </x:row>
    <x:row r="185">
      <x:c r="A185" s="22" t="str">
        <x:v>2020-00086</x:v>
      </x:c>
      <x:c r="B185" s="22" t="str">
        <x:v>L2023-00036-1</x:v>
      </x:c>
      <x:c r="C185" s="22" t="str">
        <x:v>WORKS</x:v>
      </x:c>
      <x:c r="D185" s="25" t="str">
        <x:v>L2023-00036-1/붙임3_입찰관련서류_검토완_0717/Section 4.  Bill of Quantities(Not-Priced)/공내역서/VTC견적서/3 ОБЩЕЖИТИЕ(Dormitory)/3-5 ЭО(Electric)/bv13390.xls</x:v>
      </x:c>
      <x:c r="E185" s="22" t="str">
        <x:v>.xls</x:v>
      </x:c>
      <x:c r="F185" s="28" t="n">
        <x:v>160768</x:v>
      </x:c>
      <x:c r="G185" s="28" t="str">
        <x:v>f253090ffac6492dc866ebd21e5932b06eb5866828914246cdec489ba998f2e4</x:v>
      </x:c>
      <x:c r="H185" s="28" t="n">
        <x:v>1</x:v>
      </x:c>
      <x:c r="I185" s="28" t="n">
        <x:v>1</x:v>
      </x:c>
      <x:c r="J185" s="28" t="n">
        <x:v>0</x:v>
      </x:c>
      <x:c r="K185" s="28" t="n">
        <x:v>0</x:v>
      </x:c>
      <x:c r="L185" s="28" t="n">
        <x:v>0</x:v>
      </x:c>
      <x:c r="M185" s="28" t="n">
        <x:v>0</x:v>
      </x:c>
      <x:c r="N185" s="22" t="str"/>
      <x:c r="O185" s="22" t="str"/>
      <x:c r="P185" s="22" t="n">
        <x:v>0</x:v>
      </x:c>
      <x:c r="Q185" s="40" t="n">
        <x:v>0</x:v>
      </x:c>
      <x:c r="R185" s="25" t="str"/>
      <x:c r="S185" s="25" t="str">
        <x:v>BOQ_NAME_ONLY</x:v>
      </x:c>
      <x:c r="T185" s="25" t="str">
        <x:v>자동 표 신호는 최종 A/B로 승격하지 않음</x:v>
      </x:c>
      <x:c r="U185" s="22" t="str">
        <x:v>2021-2025</x:v>
      </x:c>
    </x:row>
    <x:row r="186">
      <x:c r="A186" s="22" t="str">
        <x:v>2020-00086</x:v>
      </x:c>
      <x:c r="B186" s="22" t="str">
        <x:v>L2023-00036-1</x:v>
      </x:c>
      <x:c r="C186" s="22" t="str">
        <x:v>WORKS</x:v>
      </x:c>
      <x:c r="D186" s="25" t="str">
        <x:v>L2023-00036-1/붙임3_입찰관련서류_검토완_0717/Section 4.  Bill of Quantities(Not-Priced)/공내역서/VTC견적서/3 ОБЩЕЖИТИЕ(Dormitory)/3-5 ЭО(Electric)/13393_vfor.xls</x:v>
      </x:c>
      <x:c r="E186" s="22" t="str">
        <x:v>.xls</x:v>
      </x:c>
      <x:c r="F186" s="28" t="n">
        <x:v>74752</x:v>
      </x:c>
      <x:c r="G186" s="28" t="str">
        <x:v>c57faedafd23f56233bfb4c2b31f065e2adce41022cc4128bd3c30ee9cca34fb</x:v>
      </x:c>
      <x:c r="H186" s="28" t="n">
        <x:v>1</x:v>
      </x:c>
      <x:c r="I186" s="28" t="n">
        <x:v>1</x:v>
      </x:c>
      <x:c r="J186" s="28" t="n">
        <x:v>0</x:v>
      </x:c>
      <x:c r="K186" s="28" t="n">
        <x:v>0</x:v>
      </x:c>
      <x:c r="L186" s="28" t="n">
        <x:v>0</x:v>
      </x:c>
      <x:c r="M186" s="28" t="n">
        <x:v>0</x:v>
      </x:c>
      <x:c r="N186" s="22" t="str"/>
      <x:c r="O186" s="22" t="str"/>
      <x:c r="P186" s="22" t="n">
        <x:v>0</x:v>
      </x:c>
      <x:c r="Q186" s="40" t="n">
        <x:v>0</x:v>
      </x:c>
      <x:c r="R186" s="25" t="str"/>
      <x:c r="S186" s="25" t="str">
        <x:v>BOQ_NAME_ONLY</x:v>
      </x:c>
      <x:c r="T186" s="25" t="str">
        <x:v>자동 표 신호는 최종 A/B로 승격하지 않음</x:v>
      </x:c>
      <x:c r="U186" s="22" t="str">
        <x:v>2021-2025</x:v>
      </x:c>
    </x:row>
    <x:row r="187">
      <x:c r="A187" s="22" t="str">
        <x:v>2020-00086</x:v>
      </x:c>
      <x:c r="B187" s="22" t="str">
        <x:v>L2023-00036-1</x:v>
      </x:c>
      <x:c r="C187" s="22" t="str">
        <x:v>WORKS</x:v>
      </x:c>
      <x:c r="D187" s="25" t="str">
        <x:v>L2023-00036-1/붙임3_입찰관련서류_검토완_0717/Section 4.  Bill of Quantities(Not-Priced)/공내역서/VTC견적서/3 ОБЩЕЖИТИЕ(Dormitory)/3-5 ЭО(Electric)/13393_vrmu.xls</x:v>
      </x:c>
      <x:c r="E187" s="22" t="str">
        <x:v>.xls</x:v>
      </x:c>
      <x:c r="F187" s="28" t="n">
        <x:v>78336</x:v>
      </x:c>
      <x:c r="G187" s="28" t="str">
        <x:v>7add88d19ffe23920e0d357509a9de1536402bfcbd3a0ea5b119baa189db15ee</x:v>
      </x:c>
      <x:c r="H187" s="28" t="n">
        <x:v>1</x:v>
      </x:c>
      <x:c r="I187" s="28" t="n">
        <x:v>1</x:v>
      </x:c>
      <x:c r="J187" s="28" t="n">
        <x:v>0</x:v>
      </x:c>
      <x:c r="K187" s="28" t="n">
        <x:v>0</x:v>
      </x:c>
      <x:c r="L187" s="28" t="n">
        <x:v>0</x:v>
      </x:c>
      <x:c r="M187" s="28" t="n">
        <x:v>0</x:v>
      </x:c>
      <x:c r="N187" s="22" t="str"/>
      <x:c r="O187" s="22" t="str"/>
      <x:c r="P187" s="22" t="n">
        <x:v>0</x:v>
      </x:c>
      <x:c r="Q187" s="40" t="n">
        <x:v>0</x:v>
      </x:c>
      <x:c r="R187" s="25" t="str"/>
      <x:c r="S187" s="25" t="str">
        <x:v>BOQ_NAME_ONLY</x:v>
      </x:c>
      <x:c r="T187" s="25" t="str">
        <x:v>자동 표 신호는 최종 A/B로 승격하지 않음</x:v>
      </x:c>
      <x:c r="U187" s="22" t="str">
        <x:v>2021-2025</x:v>
      </x:c>
    </x:row>
    <x:row r="188">
      <x:c r="A188" s="22" t="str">
        <x:v>2020-00086</x:v>
      </x:c>
      <x:c r="B188" s="22" t="str">
        <x:v>L2023-00036-1</x:v>
      </x:c>
      <x:c r="C188" s="22" t="str">
        <x:v>WORKS</x:v>
      </x:c>
      <x:c r="D188" s="25" t="str">
        <x:v>L2023-00036-1/붙임3_입찰관련서류_검토완_0717/Section 4.  Bill of Quantities(Not-Priced)/공내역서/VTC견적서/3 ОБЩЕЖИТИЕ(Dormitory)/3-9 ГСВ(Gas)/13453_vfor.xls</x:v>
      </x:c>
      <x:c r="E188" s="22" t="str">
        <x:v>.xls</x:v>
      </x:c>
      <x:c r="F188" s="28" t="n">
        <x:v>44544</x:v>
      </x:c>
      <x:c r="G188" s="28" t="str">
        <x:v>b2b073542fbb835fe4e72757b8f29fa046145334ce54790769524e09e869dc87</x:v>
      </x:c>
      <x:c r="H188" s="28" t="n">
        <x:v>1</x:v>
      </x:c>
      <x:c r="I188" s="28" t="n">
        <x:v>1</x:v>
      </x:c>
      <x:c r="J188" s="28" t="n">
        <x:v>0</x:v>
      </x:c>
      <x:c r="K188" s="28" t="n">
        <x:v>0</x:v>
      </x:c>
      <x:c r="L188" s="28" t="n">
        <x:v>0</x:v>
      </x:c>
      <x:c r="M188" s="28" t="n">
        <x:v>0</x:v>
      </x:c>
      <x:c r="N188" s="22" t="str"/>
      <x:c r="O188" s="22" t="str"/>
      <x:c r="P188" s="22" t="n">
        <x:v>0</x:v>
      </x:c>
      <x:c r="Q188" s="40" t="n">
        <x:v>0</x:v>
      </x:c>
      <x:c r="R188" s="25" t="str"/>
      <x:c r="S188" s="25" t="str">
        <x:v>BOQ_NAME_ONLY</x:v>
      </x:c>
      <x:c r="T188" s="25" t="str">
        <x:v>자동 표 신호는 최종 A/B로 승격하지 않음</x:v>
      </x:c>
      <x:c r="U188" s="22" t="str">
        <x:v>2021-2025</x:v>
      </x:c>
    </x:row>
    <x:row r="189">
      <x:c r="A189" s="22" t="str">
        <x:v>2020-00086</x:v>
      </x:c>
      <x:c r="B189" s="22" t="str">
        <x:v>L2023-00036-1</x:v>
      </x:c>
      <x:c r="C189" s="22" t="str">
        <x:v>WORKS</x:v>
      </x:c>
      <x:c r="D189" s="25" t="str">
        <x:v>L2023-00036-1/붙임3_입찰관련서류_검토완_0717/Section 4.  Bill of Quantities(Not-Priced)/공내역서/VTC견적서/3 ОБЩЕЖИТИЕ(Dormitory)/3-9 ГСВ(Gas)/13453_vrmu.xls</x:v>
      </x:c>
      <x:c r="E189" s="22" t="str">
        <x:v>.xls</x:v>
      </x:c>
      <x:c r="F189" s="28" t="n">
        <x:v>54272</x:v>
      </x:c>
      <x:c r="G189" s="28" t="str">
        <x:v>3d2cb67c9a0dde2603871acfa78f9950ff40dd7781efbc8177d683b0c6dcf091</x:v>
      </x:c>
      <x:c r="H189" s="28" t="n">
        <x:v>1</x:v>
      </x:c>
      <x:c r="I189" s="28" t="n">
        <x:v>1</x:v>
      </x:c>
      <x:c r="J189" s="28" t="n">
        <x:v>1</x:v>
      </x:c>
      <x:c r="K189" s="28" t="n">
        <x:v>71</x:v>
      </x:c>
      <x:c r="L189" s="28" t="n">
        <x:v>1</x:v>
      </x:c>
      <x:c r="M189" s="28" t="n">
        <x:v>0</x:v>
      </x:c>
      <x:c r="N189" s="22" t="str">
        <x:v>Лист1</x:v>
      </x:c>
      <x:c r="O189" s="22" t="str">
        <x:v>visible</x:v>
      </x:c>
      <x:c r="P189" s="22" t="n">
        <x:v>8</x:v>
      </x:c>
      <x:c r="Q189" s="40" t="n">
        <x:v>0.014084507042253521</x:v>
      </x:c>
      <x:c r="R189" s="25" t="str"/>
      <x:c r="S189" s="25" t="str">
        <x:v>B?</x:v>
      </x:c>
      <x:c r="T189" s="25" t="str">
        <x:v>자동 표 신호는 최종 A/B로 승격하지 않음</x:v>
      </x:c>
      <x:c r="U189" s="22" t="str">
        <x:v>2021-2025</x:v>
      </x:c>
    </x:row>
    <x:row r="190">
      <x:c r="A190" s="22" t="str">
        <x:v>2020-00086</x:v>
      </x:c>
      <x:c r="B190" s="22" t="str">
        <x:v>L2023-00036-1</x:v>
      </x:c>
      <x:c r="C190" s="22" t="str">
        <x:v>WORKS</x:v>
      </x:c>
      <x:c r="D190" s="25" t="str">
        <x:v>L2023-00036-1/붙임3_입찰관련서류_검토완_0717/Section 4.  Bill of Quantities(Not-Priced)/공내역서/VTC견적서/3 ОБЩЕЖИТИЕ(Dormitory)/3-9 ГСВ(Gas)/bv13450.xls</x:v>
      </x:c>
      <x:c r="E190" s="22" t="str">
        <x:v>.xls</x:v>
      </x:c>
      <x:c r="F190" s="28" t="n">
        <x:v>101888</x:v>
      </x:c>
      <x:c r="G190" s="28" t="str">
        <x:v>5f4deb4ba0c0096f69c68e61171f182e5ed846594ec98a23e310f3970c06fa71</x:v>
      </x:c>
      <x:c r="H190" s="28" t="n">
        <x:v>1</x:v>
      </x:c>
      <x:c r="I190" s="28" t="n">
        <x:v>1</x:v>
      </x:c>
      <x:c r="J190" s="28" t="n">
        <x:v>0</x:v>
      </x:c>
      <x:c r="K190" s="28" t="n">
        <x:v>0</x:v>
      </x:c>
      <x:c r="L190" s="28" t="n">
        <x:v>0</x:v>
      </x:c>
      <x:c r="M190" s="28" t="n">
        <x:v>0</x:v>
      </x:c>
      <x:c r="N190" s="22" t="str"/>
      <x:c r="O190" s="22" t="str"/>
      <x:c r="P190" s="22" t="n">
        <x:v>0</x:v>
      </x:c>
      <x:c r="Q190" s="40" t="n">
        <x:v>0</x:v>
      </x:c>
      <x:c r="R190" s="25" t="str"/>
      <x:c r="S190" s="25" t="str">
        <x:v>BOQ_NAME_ONLY</x:v>
      </x:c>
      <x:c r="T190" s="25" t="str">
        <x:v>자동 표 신호는 최종 A/B로 승격하지 않음</x:v>
      </x:c>
      <x:c r="U190" s="22" t="str">
        <x:v>2021-2025</x:v>
      </x:c>
    </x:row>
    <x:row r="191">
      <x:c r="A191" s="22" t="str">
        <x:v>2020-00086</x:v>
      </x:c>
      <x:c r="B191" s="22" t="str">
        <x:v>L2023-00036-1</x:v>
      </x:c>
      <x:c r="C191" s="22" t="str">
        <x:v>WORKS</x:v>
      </x:c>
      <x:c r="D191" s="25" t="str">
        <x:v>L2023-00036-1/붙임3_입찰관련서류_검토완_0717/Section 4.  Bill of Quantities(Not-Priced)/공내역서/VTC견적서/3 ОБЩЕЖИТИЕ(Dormitory)/3-8 ТМ(Boiler &amp; Solar heating)/13443_vrmu.xls</x:v>
      </x:c>
      <x:c r="E191" s="22" t="str">
        <x:v>.xls</x:v>
      </x:c>
      <x:c r="F191" s="28" t="n">
        <x:v>86528</x:v>
      </x:c>
      <x:c r="G191" s="28" t="str">
        <x:v>d3c0a88886331817cb71e9575b7bdf7dcfbffd63454a29c052460c96407dc642</x:v>
      </x:c>
      <x:c r="H191" s="28" t="n">
        <x:v>1</x:v>
      </x:c>
      <x:c r="I191" s="28" t="n">
        <x:v>1</x:v>
      </x:c>
      <x:c r="J191" s="28" t="n">
        <x:v>1</x:v>
      </x:c>
      <x:c r="K191" s="28" t="n">
        <x:v>174</x:v>
      </x:c>
      <x:c r="L191" s="28" t="n">
        <x:v>1</x:v>
      </x:c>
      <x:c r="M191" s="28" t="n">
        <x:v>0</x:v>
      </x:c>
      <x:c r="N191" s="22" t="str">
        <x:v>Лист1</x:v>
      </x:c>
      <x:c r="O191" s="22" t="str">
        <x:v>visible</x:v>
      </x:c>
      <x:c r="P191" s="22" t="n">
        <x:v>8</x:v>
      </x:c>
      <x:c r="Q191" s="40" t="n">
        <x:v>0.005747126436781609</x:v>
      </x:c>
      <x:c r="R191" s="25" t="str"/>
      <x:c r="S191" s="25" t="str">
        <x:v>B?</x:v>
      </x:c>
      <x:c r="T191" s="25" t="str">
        <x:v>자동 표 신호는 최종 A/B로 승격하지 않음</x:v>
      </x:c>
      <x:c r="U191" s="22" t="str">
        <x:v>2021-2025</x:v>
      </x:c>
    </x:row>
    <x:row r="192">
      <x:c r="A192" s="22" t="str">
        <x:v>2020-00086</x:v>
      </x:c>
      <x:c r="B192" s="22" t="str">
        <x:v>L2023-00036-1</x:v>
      </x:c>
      <x:c r="C192" s="22" t="str">
        <x:v>WORKS</x:v>
      </x:c>
      <x:c r="D192" s="25" t="str">
        <x:v>L2023-00036-1/붙임3_입찰관련서류_검토완_0717/Section 4.  Bill of Quantities(Not-Priced)/공내역서/VTC견적서/3 ОБЩЕЖИТИЕ(Dormitory)/3-8 ТМ(Boiler &amp; Solar heating)/bv13440.xls</x:v>
      </x:c>
      <x:c r="E192" s="22" t="str">
        <x:v>.xls</x:v>
      </x:c>
      <x:c r="F192" s="28" t="n">
        <x:v>176128</x:v>
      </x:c>
      <x:c r="G192" s="28" t="str">
        <x:v>8f851a4587465612841b0497ea7ac0167998ac563b5dd9f8fd3cf937c6d20e25</x:v>
      </x:c>
      <x:c r="H192" s="28" t="n">
        <x:v>1</x:v>
      </x:c>
      <x:c r="I192" s="28" t="n">
        <x:v>1</x:v>
      </x:c>
      <x:c r="J192" s="28" t="n">
        <x:v>0</x:v>
      </x:c>
      <x:c r="K192" s="28" t="n">
        <x:v>0</x:v>
      </x:c>
      <x:c r="L192" s="28" t="n">
        <x:v>0</x:v>
      </x:c>
      <x:c r="M192" s="28" t="n">
        <x:v>0</x:v>
      </x:c>
      <x:c r="N192" s="22" t="str"/>
      <x:c r="O192" s="22" t="str"/>
      <x:c r="P192" s="22" t="n">
        <x:v>0</x:v>
      </x:c>
      <x:c r="Q192" s="40" t="n">
        <x:v>0</x:v>
      </x:c>
      <x:c r="R192" s="25" t="str"/>
      <x:c r="S192" s="25" t="str">
        <x:v>BOQ_NAME_ONLY</x:v>
      </x:c>
      <x:c r="T192" s="25" t="str">
        <x:v>자동 표 신호는 최종 A/B로 승격하지 않음</x:v>
      </x:c>
      <x:c r="U192" s="22" t="str">
        <x:v>2021-2025</x:v>
      </x:c>
    </x:row>
    <x:row r="193">
      <x:c r="A193" s="22" t="str">
        <x:v>2020-00086</x:v>
      </x:c>
      <x:c r="B193" s="22" t="str">
        <x:v>L2023-00036-1</x:v>
      </x:c>
      <x:c r="C193" s="22" t="str">
        <x:v>WORKS</x:v>
      </x:c>
      <x:c r="D193" s="25" t="str">
        <x:v>L2023-00036-1/붙임3_입찰관련서류_검토완_0717/Section 4.  Bill of Quantities(Not-Priced)/공내역서/VTC견적서/3 ОБЩЕЖИТИЕ(Dormitory)/3-8 ТМ(Boiler &amp; Solar heating)/13443_vfor.xls</x:v>
      </x:c>
      <x:c r="E193" s="22" t="str">
        <x:v>.xls</x:v>
      </x:c>
      <x:c r="F193" s="28" t="n">
        <x:v>70144</x:v>
      </x:c>
      <x:c r="G193" s="28" t="str">
        <x:v>95536513d6bf3158fb4d65daa1a681e30df8970af4be141270aaa7b89bb0d95a</x:v>
      </x:c>
      <x:c r="H193" s="28" t="n">
        <x:v>1</x:v>
      </x:c>
      <x:c r="I193" s="28" t="n">
        <x:v>1</x:v>
      </x:c>
      <x:c r="J193" s="28" t="n">
        <x:v>0</x:v>
      </x:c>
      <x:c r="K193" s="28" t="n">
        <x:v>0</x:v>
      </x:c>
      <x:c r="L193" s="28" t="n">
        <x:v>0</x:v>
      </x:c>
      <x:c r="M193" s="28" t="n">
        <x:v>0</x:v>
      </x:c>
      <x:c r="N193" s="22" t="str"/>
      <x:c r="O193" s="22" t="str"/>
      <x:c r="P193" s="22" t="n">
        <x:v>0</x:v>
      </x:c>
      <x:c r="Q193" s="40" t="n">
        <x:v>0</x:v>
      </x:c>
      <x:c r="R193" s="25" t="str"/>
      <x:c r="S193" s="25" t="str">
        <x:v>BOQ_NAME_ONLY</x:v>
      </x:c>
      <x:c r="T193" s="25" t="str">
        <x:v>자동 표 신호는 최종 A/B로 승격하지 않음</x:v>
      </x:c>
      <x:c r="U193" s="22" t="str">
        <x:v>2021-2025</x:v>
      </x:c>
    </x:row>
    <x:row r="194">
      <x:c r="A194" s="22" t="str">
        <x:v>2020-00086</x:v>
      </x:c>
      <x:c r="B194" s="22" t="str">
        <x:v>L2023-00036-1</x:v>
      </x:c>
      <x:c r="C194" s="22" t="str">
        <x:v>WORKS</x:v>
      </x:c>
      <x:c r="D194" s="25" t="str">
        <x:v>L2023-00036-1/붙임3_입찰관련서류_검토완_0717/Section 4.  Bill of Quantities(Not-Priced)/공내역서/VTC견적서/3 ОБЩЕЖИТИЕ(Dormitory)/3-3 ОВ(Heating &amp; Ventilation)/13103_vrmu.xls</x:v>
      </x:c>
      <x:c r="E194" s="22" t="str">
        <x:v>.xls</x:v>
      </x:c>
      <x:c r="F194" s="28" t="n">
        <x:v>61440</x:v>
      </x:c>
      <x:c r="G194" s="28" t="str">
        <x:v>1e94bb5552421589790c2b57554f506b5f1f0d69289ff4eee0eadf0c4411484b</x:v>
      </x:c>
      <x:c r="H194" s="28" t="n">
        <x:v>1</x:v>
      </x:c>
      <x:c r="I194" s="28" t="n">
        <x:v>1</x:v>
      </x:c>
      <x:c r="J194" s="28" t="n">
        <x:v>1</x:v>
      </x:c>
      <x:c r="K194" s="28" t="n">
        <x:v>87</x:v>
      </x:c>
      <x:c r="L194" s="28" t="n">
        <x:v>1</x:v>
      </x:c>
      <x:c r="M194" s="28" t="n">
        <x:v>0</x:v>
      </x:c>
      <x:c r="N194" s="22" t="str">
        <x:v>Лист1</x:v>
      </x:c>
      <x:c r="O194" s="22" t="str">
        <x:v>visible</x:v>
      </x:c>
      <x:c r="P194" s="22" t="n">
        <x:v>8</x:v>
      </x:c>
      <x:c r="Q194" s="40" t="n">
        <x:v>0.011494252873563218</x:v>
      </x:c>
      <x:c r="R194" s="25" t="str"/>
      <x:c r="S194" s="25" t="str">
        <x:v>B?</x:v>
      </x:c>
      <x:c r="T194" s="25" t="str">
        <x:v>자동 표 신호는 최종 A/B로 승격하지 않음</x:v>
      </x:c>
      <x:c r="U194" s="22" t="str">
        <x:v>2021-2025</x:v>
      </x:c>
    </x:row>
    <x:row r="195">
      <x:c r="A195" s="22" t="str">
        <x:v>2020-00086</x:v>
      </x:c>
      <x:c r="B195" s="22" t="str">
        <x:v>L2023-00036-1</x:v>
      </x:c>
      <x:c r="C195" s="22" t="str">
        <x:v>WORKS</x:v>
      </x:c>
      <x:c r="D195" s="25" t="str">
        <x:v>L2023-00036-1/붙임3_입찰관련서류_검토완_0717/Section 4.  Bill of Quantities(Not-Priced)/공내역서/VTC견적서/3 ОБЩЕЖИТИЕ(Dormitory)/3-3 ОВ(Heating &amp; Ventilation)/bv13100.xls</x:v>
      </x:c>
      <x:c r="E195" s="22" t="str">
        <x:v>.xls</x:v>
      </x:c>
      <x:c r="F195" s="28" t="n">
        <x:v>118784</x:v>
      </x:c>
      <x:c r="G195" s="28" t="str">
        <x:v>7a6af10e951e5b9fb0bc177d931c4ff15c4ecb1ebe83088b80ad66656bcd9ec6</x:v>
      </x:c>
      <x:c r="H195" s="28" t="n">
        <x:v>1</x:v>
      </x:c>
      <x:c r="I195" s="28" t="n">
        <x:v>1</x:v>
      </x:c>
      <x:c r="J195" s="28" t="n">
        <x:v>0</x:v>
      </x:c>
      <x:c r="K195" s="28" t="n">
        <x:v>0</x:v>
      </x:c>
      <x:c r="L195" s="28" t="n">
        <x:v>0</x:v>
      </x:c>
      <x:c r="M195" s="28" t="n">
        <x:v>0</x:v>
      </x:c>
      <x:c r="N195" s="22" t="str"/>
      <x:c r="O195" s="22" t="str"/>
      <x:c r="P195" s="22" t="n">
        <x:v>0</x:v>
      </x:c>
      <x:c r="Q195" s="40" t="n">
        <x:v>0</x:v>
      </x:c>
      <x:c r="R195" s="25" t="str"/>
      <x:c r="S195" s="25" t="str">
        <x:v>BOQ_NAME_ONLY</x:v>
      </x:c>
      <x:c r="T195" s="25" t="str">
        <x:v>자동 표 신호는 최종 A/B로 승격하지 않음</x:v>
      </x:c>
      <x:c r="U195" s="22" t="str">
        <x:v>2021-2025</x:v>
      </x:c>
    </x:row>
    <x:row r="196">
      <x:c r="A196" s="22" t="str">
        <x:v>2020-00086</x:v>
      </x:c>
      <x:c r="B196" s="22" t="str">
        <x:v>L2023-00036-1</x:v>
      </x:c>
      <x:c r="C196" s="22" t="str">
        <x:v>WORKS</x:v>
      </x:c>
      <x:c r="D196" s="25" t="str">
        <x:v>L2023-00036-1/붙임3_입찰관련서류_검토완_0717/Section 4.  Bill of Quantities(Not-Priced)/공내역서/VTC견적서/3 ОБЩЕЖИТИЕ(Dormitory)/3-3 ОВ(Heating &amp; Ventilation)/13103_vfor.xls</x:v>
      </x:c>
      <x:c r="E196" s="22" t="str">
        <x:v>.xls</x:v>
      </x:c>
      <x:c r="F196" s="28" t="n">
        <x:v>51712</x:v>
      </x:c>
      <x:c r="G196" s="28" t="str">
        <x:v>fc72408b079aa86e3fe987541b5e7735bf43a368e9fe333d8ae13603fde2a81f</x:v>
      </x:c>
      <x:c r="H196" s="28" t="n">
        <x:v>1</x:v>
      </x:c>
      <x:c r="I196" s="28" t="n">
        <x:v>1</x:v>
      </x:c>
      <x:c r="J196" s="28" t="n">
        <x:v>0</x:v>
      </x:c>
      <x:c r="K196" s="28" t="n">
        <x:v>0</x:v>
      </x:c>
      <x:c r="L196" s="28" t="n">
        <x:v>0</x:v>
      </x:c>
      <x:c r="M196" s="28" t="n">
        <x:v>0</x:v>
      </x:c>
      <x:c r="N196" s="22" t="str"/>
      <x:c r="O196" s="22" t="str"/>
      <x:c r="P196" s="22" t="n">
        <x:v>0</x:v>
      </x:c>
      <x:c r="Q196" s="40" t="n">
        <x:v>0</x:v>
      </x:c>
      <x:c r="R196" s="25" t="str"/>
      <x:c r="S196" s="25" t="str">
        <x:v>BOQ_NAME_ONLY</x:v>
      </x:c>
      <x:c r="T196" s="25" t="str">
        <x:v>자동 표 신호는 최종 A/B로 승격하지 않음</x:v>
      </x:c>
      <x:c r="U196" s="22" t="str">
        <x:v>2021-2025</x:v>
      </x:c>
    </x:row>
    <x:row r="197">
      <x:c r="A197" s="22" t="str">
        <x:v>2020-00086</x:v>
      </x:c>
      <x:c r="B197" s="22" t="str">
        <x:v>L2023-00036-1</x:v>
      </x:c>
      <x:c r="C197" s="22" t="str">
        <x:v>WORKS</x:v>
      </x:c>
      <x:c r="D197" s="25" t="str">
        <x:v>L2023-00036-1/붙임3_입찰관련서류_검토완_0717/Section 4.  Bill of Quantities(Not-Priced)/공내역서/VTC견적서/3 ОБЩЕЖИТИЕ(Dormitory)/3-4 ВК(Water &amp; Sewer &amp; Fireplug)/13113_vfor.xls</x:v>
      </x:c>
      <x:c r="E197" s="22" t="str">
        <x:v>.xls</x:v>
      </x:c>
      <x:c r="F197" s="28" t="n">
        <x:v>62464</x:v>
      </x:c>
      <x:c r="G197" s="28" t="str">
        <x:v>73e6dd7aa52e8cf03b392cc81de31620bc3e272e464fc12dbcafaed5d7906cd7</x:v>
      </x:c>
      <x:c r="H197" s="28" t="n">
        <x:v>1</x:v>
      </x:c>
      <x:c r="I197" s="28" t="n">
        <x:v>1</x:v>
      </x:c>
      <x:c r="J197" s="28" t="n">
        <x:v>0</x:v>
      </x:c>
      <x:c r="K197" s="28" t="n">
        <x:v>0</x:v>
      </x:c>
      <x:c r="L197" s="28" t="n">
        <x:v>0</x:v>
      </x:c>
      <x:c r="M197" s="28" t="n">
        <x:v>0</x:v>
      </x:c>
      <x:c r="N197" s="22" t="str"/>
      <x:c r="O197" s="22" t="str"/>
      <x:c r="P197" s="22" t="n">
        <x:v>0</x:v>
      </x:c>
      <x:c r="Q197" s="40" t="n">
        <x:v>0</x:v>
      </x:c>
      <x:c r="R197" s="25" t="str"/>
      <x:c r="S197" s="25" t="str">
        <x:v>BOQ_NAME_ONLY</x:v>
      </x:c>
      <x:c r="T197" s="25" t="str">
        <x:v>자동 표 신호는 최종 A/B로 승격하지 않음</x:v>
      </x:c>
      <x:c r="U197" s="22" t="str">
        <x:v>2021-2025</x:v>
      </x:c>
    </x:row>
    <x:row r="198">
      <x:c r="A198" s="22" t="str">
        <x:v>2020-00086</x:v>
      </x:c>
      <x:c r="B198" s="22" t="str">
        <x:v>L2023-00036-1</x:v>
      </x:c>
      <x:c r="C198" s="22" t="str">
        <x:v>WORKS</x:v>
      </x:c>
      <x:c r="D198" s="25" t="str">
        <x:v>L2023-00036-1/붙임3_입찰관련서류_검토완_0717/Section 4.  Bill of Quantities(Not-Priced)/공내역서/VTC견적서/3 ОБЩЕЖИТИЕ(Dormitory)/3-4 ВК(Water &amp; Sewer &amp; Fireplug)/bv13110.xls</x:v>
      </x:c>
      <x:c r="E198" s="22" t="str">
        <x:v>.xls</x:v>
      </x:c>
      <x:c r="F198" s="28" t="n">
        <x:v>162816</x:v>
      </x:c>
      <x:c r="G198" s="28" t="str">
        <x:v>88307ab28fb3650d960a3f58562bd7c34d3a46f3916c3f9c302c8d91b33946f4</x:v>
      </x:c>
      <x:c r="H198" s="28" t="n">
        <x:v>1</x:v>
      </x:c>
      <x:c r="I198" s="28" t="n">
        <x:v>1</x:v>
      </x:c>
      <x:c r="J198" s="28" t="n">
        <x:v>0</x:v>
      </x:c>
      <x:c r="K198" s="28" t="n">
        <x:v>0</x:v>
      </x:c>
      <x:c r="L198" s="28" t="n">
        <x:v>0</x:v>
      </x:c>
      <x:c r="M198" s="28" t="n">
        <x:v>0</x:v>
      </x:c>
      <x:c r="N198" s="22" t="str"/>
      <x:c r="O198" s="22" t="str"/>
      <x:c r="P198" s="22" t="n">
        <x:v>0</x:v>
      </x:c>
      <x:c r="Q198" s="40" t="n">
        <x:v>0</x:v>
      </x:c>
      <x:c r="R198" s="25" t="str"/>
      <x:c r="S198" s="25" t="str">
        <x:v>BOQ_NAME_ONLY</x:v>
      </x:c>
      <x:c r="T198" s="25" t="str">
        <x:v>자동 표 신호는 최종 A/B로 승격하지 않음</x:v>
      </x:c>
      <x:c r="U198" s="22" t="str">
        <x:v>2021-2025</x:v>
      </x:c>
    </x:row>
    <x:row r="199">
      <x:c r="A199" s="22" t="str">
        <x:v>2020-00086</x:v>
      </x:c>
      <x:c r="B199" s="22" t="str">
        <x:v>L2023-00036-1</x:v>
      </x:c>
      <x:c r="C199" s="22" t="str">
        <x:v>WORKS</x:v>
      </x:c>
      <x:c r="D199" s="25" t="str">
        <x:v>L2023-00036-1/붙임3_입찰관련서류_검토완_0717/Section 4.  Bill of Quantities(Not-Priced)/공내역서/VTC견적서/3 ОБЩЕЖИТИЕ(Dormitory)/3-4 ВК(Water &amp; Sewer &amp; Fireplug)/13113_vrmu.xls</x:v>
      </x:c>
      <x:c r="E199" s="22" t="str">
        <x:v>.xls</x:v>
      </x:c>
      <x:c r="F199" s="28" t="n">
        <x:v>78336</x:v>
      </x:c>
      <x:c r="G199" s="28" t="str">
        <x:v>23bb6dcb0e3ca3d9e11440aeecc7927f87168d16d5a2fb32594cc8f7c510f911</x:v>
      </x:c>
      <x:c r="H199" s="28" t="n">
        <x:v>1</x:v>
      </x:c>
      <x:c r="I199" s="28" t="n">
        <x:v>1</x:v>
      </x:c>
      <x:c r="J199" s="28" t="n">
        <x:v>0</x:v>
      </x:c>
      <x:c r="K199" s="28" t="n">
        <x:v>0</x:v>
      </x:c>
      <x:c r="L199" s="28" t="n">
        <x:v>0</x:v>
      </x:c>
      <x:c r="M199" s="28" t="n">
        <x:v>0</x:v>
      </x:c>
      <x:c r="N199" s="22" t="str"/>
      <x:c r="O199" s="22" t="str"/>
      <x:c r="P199" s="22" t="n">
        <x:v>0</x:v>
      </x:c>
      <x:c r="Q199" s="40" t="n">
        <x:v>0</x:v>
      </x:c>
      <x:c r="R199" s="25" t="str"/>
      <x:c r="S199" s="25" t="str">
        <x:v>BOQ_NAME_ONLY</x:v>
      </x:c>
      <x:c r="T199" s="25" t="str">
        <x:v>자동 표 신호는 최종 A/B로 승격하지 않음</x:v>
      </x:c>
      <x:c r="U199" s="22" t="str">
        <x:v>2021-2025</x:v>
      </x:c>
    </x:row>
    <x:row r="200">
      <x:c r="A200" s="22" t="str">
        <x:v>2020-00086</x:v>
      </x:c>
      <x:c r="B200" s="22" t="str">
        <x:v>L2023-00036-1</x:v>
      </x:c>
      <x:c r="C200" s="22" t="str">
        <x:v>WORKS</x:v>
      </x:c>
      <x:c r="D200" s="25" t="str">
        <x:v>L2023-00036-1/붙임3_입찰관련서류_검토완_0717/Section 4.  Bill of Quantities(Not-Priced)/공내역서/VTC견적서/3 ОБЩЕЖИТИЕ(Dormitory)/3-1 КЖ(Structure)/13023_vrmu.xls</x:v>
      </x:c>
      <x:c r="E200" s="22" t="str">
        <x:v>.xls</x:v>
      </x:c>
      <x:c r="F200" s="28" t="n">
        <x:v>71168</x:v>
      </x:c>
      <x:c r="G200" s="28" t="str">
        <x:v>1cd9211b72104c9dc7f6eee96daa2851e9bdb7ba1e1883dd402b4f613cca8d8f</x:v>
      </x:c>
      <x:c r="H200" s="28" t="n">
        <x:v>1</x:v>
      </x:c>
      <x:c r="I200" s="28" t="n">
        <x:v>1</x:v>
      </x:c>
      <x:c r="J200" s="28" t="n">
        <x:v>1</x:v>
      </x:c>
      <x:c r="K200" s="28" t="n">
        <x:v>130</x:v>
      </x:c>
      <x:c r="L200" s="28" t="n">
        <x:v>1</x:v>
      </x:c>
      <x:c r="M200" s="28" t="n">
        <x:v>0</x:v>
      </x:c>
      <x:c r="N200" s="22" t="str">
        <x:v>Лист1</x:v>
      </x:c>
      <x:c r="O200" s="22" t="str">
        <x:v>visible</x:v>
      </x:c>
      <x:c r="P200" s="22" t="n">
        <x:v>8</x:v>
      </x:c>
      <x:c r="Q200" s="40" t="n">
        <x:v>0.007692307692307693</x:v>
      </x:c>
      <x:c r="R200" s="25" t="str"/>
      <x:c r="S200" s="25" t="str">
        <x:v>B?</x:v>
      </x:c>
      <x:c r="T200" s="25" t="str">
        <x:v>자동 표 신호는 최종 A/B로 승격하지 않음</x:v>
      </x:c>
      <x:c r="U200" s="22" t="str">
        <x:v>2021-2025</x:v>
      </x:c>
    </x:row>
    <x:row r="201">
      <x:c r="A201" s="22" t="str">
        <x:v>2020-00086</x:v>
      </x:c>
      <x:c r="B201" s="22" t="str">
        <x:v>L2023-00036-1</x:v>
      </x:c>
      <x:c r="C201" s="22" t="str">
        <x:v>WORKS</x:v>
      </x:c>
      <x:c r="D201" s="25" t="str">
        <x:v>L2023-00036-1/붙임3_입찰관련서류_검토완_0717/Section 4.  Bill of Quantities(Not-Priced)/공내역서/VTC견적서/3 ОБЩЕЖИТИЕ(Dormitory)/3-1 КЖ(Structure)/13023_vfor.xls</x:v>
      </x:c>
      <x:c r="E201" s="22" t="str">
        <x:v>.xls</x:v>
      </x:c>
      <x:c r="F201" s="28" t="n">
        <x:v>71168</x:v>
      </x:c>
      <x:c r="G201" s="28" t="str">
        <x:v>673a85f5a1e9b6b7350bf66f3c67c715335e2cd418a95188f312dcbd098d438a</x:v>
      </x:c>
      <x:c r="H201" s="28" t="n">
        <x:v>1</x:v>
      </x:c>
      <x:c r="I201" s="28" t="n">
        <x:v>1</x:v>
      </x:c>
      <x:c r="J201" s="28" t="n">
        <x:v>1</x:v>
      </x:c>
      <x:c r="K201" s="28" t="n">
        <x:v>219</x:v>
      </x:c>
      <x:c r="L201" s="28" t="n">
        <x:v>0</x:v>
      </x:c>
      <x:c r="M201" s="28" t="n">
        <x:v>0</x:v>
      </x:c>
      <x:c r="N201" s="22" t="str">
        <x:v>Лист1</x:v>
      </x:c>
      <x:c r="O201" s="22" t="str">
        <x:v>visible</x:v>
      </x:c>
      <x:c r="P201" s="22" t="n">
        <x:v>9</x:v>
      </x:c>
      <x:c r="Q201" s="40" t="n">
        <x:v>0</x:v>
      </x:c>
      <x:c r="R201" s="25" t="str"/>
      <x:c r="S201" s="25" t="str">
        <x:v>B?</x:v>
      </x:c>
      <x:c r="T201" s="25" t="str">
        <x:v>자동 표 신호는 최종 A/B로 승격하지 않음</x:v>
      </x:c>
      <x:c r="U201" s="22" t="str">
        <x:v>2021-2025</x:v>
      </x:c>
    </x:row>
    <x:row r="202">
      <x:c r="A202" s="22" t="str">
        <x:v>2020-00086</x:v>
      </x:c>
      <x:c r="B202" s="22" t="str">
        <x:v>L2023-00036-1</x:v>
      </x:c>
      <x:c r="C202" s="22" t="str">
        <x:v>WORKS</x:v>
      </x:c>
      <x:c r="D202" s="25" t="str">
        <x:v>L2023-00036-1/붙임3_입찰관련서류_검토완_0717/Section 4.  Bill of Quantities(Not-Priced)/공내역서/VTC견적서/3 ОБЩЕЖИТИЕ(Dormitory)/3-1 КЖ(Structure)/bv13020.xls</x:v>
      </x:c>
      <x:c r="E202" s="22" t="str">
        <x:v>.xls</x:v>
      </x:c>
      <x:c r="F202" s="28" t="n">
        <x:v>286208</x:v>
      </x:c>
      <x:c r="G202" s="28" t="str">
        <x:v>aee487d6db0fed682c28fabba84e56d3b2d993351976b6197fbf6df4e3bc0506</x:v>
      </x:c>
      <x:c r="H202" s="28" t="n">
        <x:v>1</x:v>
      </x:c>
      <x:c r="I202" s="28" t="n">
        <x:v>1</x:v>
      </x:c>
      <x:c r="J202" s="28" t="n">
        <x:v>1</x:v>
      </x:c>
      <x:c r="K202" s="28" t="n">
        <x:v>1374</x:v>
      </x:c>
      <x:c r="L202" s="28" t="n">
        <x:v>0</x:v>
      </x:c>
      <x:c r="M202" s="28" t="n">
        <x:v>0</x:v>
      </x:c>
      <x:c r="N202" s="22" t="str">
        <x:v>3-1_ЛРВ</x:v>
      </x:c>
      <x:c r="O202" s="22" t="str">
        <x:v>visible</x:v>
      </x:c>
      <x:c r="P202" s="22" t="n">
        <x:v>10</x:v>
      </x:c>
      <x:c r="Q202" s="40" t="n">
        <x:v>0</x:v>
      </x:c>
      <x:c r="R202" s="25" t="str"/>
      <x:c r="S202" s="25" t="str">
        <x:v>B?</x:v>
      </x:c>
      <x:c r="T202" s="25" t="str">
        <x:v>자동 표 신호는 최종 A/B로 승격하지 않음</x:v>
      </x:c>
      <x:c r="U202" s="22" t="str">
        <x:v>2021-2025</x:v>
      </x:c>
    </x:row>
    <x:row r="203">
      <x:c r="A203" s="22" t="str">
        <x:v>2020-00086</x:v>
      </x:c>
      <x:c r="B203" s="22" t="str">
        <x:v>L2023-00036-1</x:v>
      </x:c>
      <x:c r="C203" s="22" t="str">
        <x:v>WORKS</x:v>
      </x:c>
      <x:c r="D203" s="25" t="str">
        <x:v>L2023-00036-1/붙임3_입찰관련서류_검토완_0717/Section 4.  Bill of Quantities(Not-Priced)/공내역서/VTC견적서/7 КОМПРЕССОРАНЯ(Comp.+GAS storage)/7-3 ЭО(Electric)/bv13500.xls</x:v>
      </x:c>
      <x:c r="E203" s="22" t="str">
        <x:v>.xls</x:v>
      </x:c>
      <x:c r="F203" s="28" t="n">
        <x:v>76800</x:v>
      </x:c>
      <x:c r="G203" s="28" t="str">
        <x:v>774c07e5846d462fcc00eda8f335b28050758f61dee53d10a4a56e44d829b2bb</x:v>
      </x:c>
      <x:c r="H203" s="28" t="n">
        <x:v>1</x:v>
      </x:c>
      <x:c r="I203" s="28" t="n">
        <x:v>1</x:v>
      </x:c>
      <x:c r="J203" s="28" t="n">
        <x:v>0</x:v>
      </x:c>
      <x:c r="K203" s="28" t="n">
        <x:v>0</x:v>
      </x:c>
      <x:c r="L203" s="28" t="n">
        <x:v>0</x:v>
      </x:c>
      <x:c r="M203" s="28" t="n">
        <x:v>0</x:v>
      </x:c>
      <x:c r="N203" s="22" t="str"/>
      <x:c r="O203" s="22" t="str"/>
      <x:c r="P203" s="22" t="n">
        <x:v>0</x:v>
      </x:c>
      <x:c r="Q203" s="40" t="n">
        <x:v>0</x:v>
      </x:c>
      <x:c r="R203" s="25" t="str"/>
      <x:c r="S203" s="25" t="str">
        <x:v>BOQ_NAME_ONLY</x:v>
      </x:c>
      <x:c r="T203" s="25" t="str">
        <x:v>자동 표 신호는 최종 A/B로 승격하지 않음</x:v>
      </x:c>
      <x:c r="U203" s="22" t="str">
        <x:v>2021-2025</x:v>
      </x:c>
    </x:row>
    <x:row r="204">
      <x:c r="A204" s="22" t="str">
        <x:v>2020-00086</x:v>
      </x:c>
      <x:c r="B204" s="22" t="str">
        <x:v>L2023-00036-1</x:v>
      </x:c>
      <x:c r="C204" s="22" t="str">
        <x:v>WORKS</x:v>
      </x:c>
      <x:c r="D204" s="25" t="str">
        <x:v>L2023-00036-1/붙임3_입찰관련서류_검토완_0717/Section 4.  Bill of Quantities(Not-Priced)/공내역서/VTC견적서/7 КОМПРЕССОРАНЯ(Comp.+GAS storage)/7-3 ЭО(Electric)/13503_vrmu.xls</x:v>
      </x:c>
      <x:c r="E204" s="22" t="str">
        <x:v>.xls</x:v>
      </x:c>
      <x:c r="F204" s="28" t="n">
        <x:v>51200</x:v>
      </x:c>
      <x:c r="G204" s="28" t="str">
        <x:v>557a980a68981d94391b523dccdccf4e876c9d6dcae8e97a692aa94929ddbec5</x:v>
      </x:c>
      <x:c r="H204" s="28" t="n">
        <x:v>1</x:v>
      </x:c>
      <x:c r="I204" s="28" t="n">
        <x:v>1</x:v>
      </x:c>
      <x:c r="J204" s="28" t="n">
        <x:v>1</x:v>
      </x:c>
      <x:c r="K204" s="28" t="n">
        <x:v>51</x:v>
      </x:c>
      <x:c r="L204" s="28" t="n">
        <x:v>1</x:v>
      </x:c>
      <x:c r="M204" s="28" t="n">
        <x:v>0</x:v>
      </x:c>
      <x:c r="N204" s="22" t="str">
        <x:v>Лист1</x:v>
      </x:c>
      <x:c r="O204" s="22" t="str">
        <x:v>visible</x:v>
      </x:c>
      <x:c r="P204" s="22" t="n">
        <x:v>8</x:v>
      </x:c>
      <x:c r="Q204" s="40" t="n">
        <x:v>0.0196078431372549</x:v>
      </x:c>
      <x:c r="R204" s="25" t="str"/>
      <x:c r="S204" s="25" t="str">
        <x:v>B?</x:v>
      </x:c>
      <x:c r="T204" s="25" t="str">
        <x:v>자동 표 신호는 최종 A/B로 승격하지 않음</x:v>
      </x:c>
      <x:c r="U204" s="22" t="str">
        <x:v>2021-2025</x:v>
      </x:c>
    </x:row>
    <x:row r="205">
      <x:c r="A205" s="22" t="str">
        <x:v>2020-00086</x:v>
      </x:c>
      <x:c r="B205" s="22" t="str">
        <x:v>L2023-00036-1</x:v>
      </x:c>
      <x:c r="C205" s="22" t="str">
        <x:v>WORKS</x:v>
      </x:c>
      <x:c r="D205" s="25" t="str">
        <x:v>L2023-00036-1/붙임3_입찰관련서류_검토완_0717/Section 4.  Bill of Quantities(Not-Priced)/공내역서/VTC견적서/7 КОМПРЕССОРАНЯ(Comp.+GAS storage)/7-3 ЭО(Electric)/13503_vfor.xls</x:v>
      </x:c>
      <x:c r="E205" s="22" t="str">
        <x:v>.xls</x:v>
      </x:c>
      <x:c r="F205" s="28" t="n">
        <x:v>44544</x:v>
      </x:c>
      <x:c r="G205" s="28" t="str">
        <x:v>fba80ba25d76993629553bd43cccae9188ce442e97030bea9bec4d66366073e1</x:v>
      </x:c>
      <x:c r="H205" s="28" t="n">
        <x:v>1</x:v>
      </x:c>
      <x:c r="I205" s="28" t="n">
        <x:v>1</x:v>
      </x:c>
      <x:c r="J205" s="28" t="n">
        <x:v>0</x:v>
      </x:c>
      <x:c r="K205" s="28" t="n">
        <x:v>0</x:v>
      </x:c>
      <x:c r="L205" s="28" t="n">
        <x:v>0</x:v>
      </x:c>
      <x:c r="M205" s="28" t="n">
        <x:v>0</x:v>
      </x:c>
      <x:c r="N205" s="22" t="str"/>
      <x:c r="O205" s="22" t="str"/>
      <x:c r="P205" s="22" t="n">
        <x:v>0</x:v>
      </x:c>
      <x:c r="Q205" s="40" t="n">
        <x:v>0</x:v>
      </x:c>
      <x:c r="R205" s="25" t="str"/>
      <x:c r="S205" s="25" t="str">
        <x:v>BOQ_NAME_ONLY</x:v>
      </x:c>
      <x:c r="T205" s="25" t="str">
        <x:v>자동 표 신호는 최종 A/B로 승격하지 않음</x:v>
      </x:c>
      <x:c r="U205" s="22" t="str">
        <x:v>2021-2025</x:v>
      </x:c>
    </x:row>
    <x:row r="206">
      <x:c r="A206" s="22" t="str">
        <x:v>2020-00086</x:v>
      </x:c>
      <x:c r="B206" s="22" t="str">
        <x:v>L2023-00036-1</x:v>
      </x:c>
      <x:c r="C206" s="22" t="str">
        <x:v>WORKS</x:v>
      </x:c>
      <x:c r="D206" s="25" t="str">
        <x:v>L2023-00036-1/붙임3_입찰관련서류_검토완_0717/Section 4.  Bill of Quantities(Not-Priced)/공내역서/VTC견적서/7 КОМПРЕССОРАНЯ(Comp.+GAS storage)/7-1 КЖ(Structure)/bv13070.xls</x:v>
      </x:c>
      <x:c r="E206" s="22" t="str">
        <x:v>.xls</x:v>
      </x:c>
      <x:c r="F206" s="28" t="n">
        <x:v>126464</x:v>
      </x:c>
      <x:c r="G206" s="28" t="str">
        <x:v>9d15fc0b7e8c4ef335b01731a25fd915a06431f5b409d64ed8e75bdf471e8c99</x:v>
      </x:c>
      <x:c r="H206" s="28" t="n">
        <x:v>1</x:v>
      </x:c>
      <x:c r="I206" s="28" t="n">
        <x:v>1</x:v>
      </x:c>
      <x:c r="J206" s="28" t="n">
        <x:v>0</x:v>
      </x:c>
      <x:c r="K206" s="28" t="n">
        <x:v>0</x:v>
      </x:c>
      <x:c r="L206" s="28" t="n">
        <x:v>0</x:v>
      </x:c>
      <x:c r="M206" s="28" t="n">
        <x:v>0</x:v>
      </x:c>
      <x:c r="N206" s="22" t="str"/>
      <x:c r="O206" s="22" t="str"/>
      <x:c r="P206" s="22" t="n">
        <x:v>0</x:v>
      </x:c>
      <x:c r="Q206" s="40" t="n">
        <x:v>0</x:v>
      </x:c>
      <x:c r="R206" s="25" t="str"/>
      <x:c r="S206" s="25" t="str">
        <x:v>BOQ_NAME_ONLY</x:v>
      </x:c>
      <x:c r="T206" s="25" t="str">
        <x:v>자동 표 신호는 최종 A/B로 승격하지 않음</x:v>
      </x:c>
      <x:c r="U206" s="22" t="str">
        <x:v>2021-2025</x:v>
      </x:c>
    </x:row>
    <x:row r="207">
      <x:c r="A207" s="22" t="str">
        <x:v>2020-00086</x:v>
      </x:c>
      <x:c r="B207" s="22" t="str">
        <x:v>L2023-00036-1</x:v>
      </x:c>
      <x:c r="C207" s="22" t="str">
        <x:v>WORKS</x:v>
      </x:c>
      <x:c r="D207" s="25" t="str">
        <x:v>L2023-00036-1/붙임3_입찰관련서류_검토완_0717/Section 4.  Bill of Quantities(Not-Priced)/공내역서/VTC견적서/7 КОМПРЕССОРАНЯ(Comp.+GAS storage)/7-1 КЖ(Structure)/13073_vfor.xls</x:v>
      </x:c>
      <x:c r="E207" s="22" t="str">
        <x:v>.xls</x:v>
      </x:c>
      <x:c r="F207" s="28" t="n">
        <x:v>45056</x:v>
      </x:c>
      <x:c r="G207" s="28" t="str">
        <x:v>d4075fede6ca06f6e076cc3a33d9c66485d394bc84c4f6204421ee0751c41c29</x:v>
      </x:c>
      <x:c r="H207" s="28" t="n">
        <x:v>1</x:v>
      </x:c>
      <x:c r="I207" s="28" t="n">
        <x:v>1</x:v>
      </x:c>
      <x:c r="J207" s="28" t="n">
        <x:v>0</x:v>
      </x:c>
      <x:c r="K207" s="28" t="n">
        <x:v>0</x:v>
      </x:c>
      <x:c r="L207" s="28" t="n">
        <x:v>0</x:v>
      </x:c>
      <x:c r="M207" s="28" t="n">
        <x:v>0</x:v>
      </x:c>
      <x:c r="N207" s="22" t="str"/>
      <x:c r="O207" s="22" t="str"/>
      <x:c r="P207" s="22" t="n">
        <x:v>0</x:v>
      </x:c>
      <x:c r="Q207" s="40" t="n">
        <x:v>0</x:v>
      </x:c>
      <x:c r="R207" s="25" t="str"/>
      <x:c r="S207" s="25" t="str">
        <x:v>BOQ_NAME_ONLY</x:v>
      </x:c>
      <x:c r="T207" s="25" t="str">
        <x:v>자동 표 신호는 최종 A/B로 승격하지 않음</x:v>
      </x:c>
      <x:c r="U207" s="22" t="str">
        <x:v>2021-2025</x:v>
      </x:c>
    </x:row>
    <x:row r="208">
      <x:c r="A208" s="22" t="str">
        <x:v>2020-00086</x:v>
      </x:c>
      <x:c r="B208" s="22" t="str">
        <x:v>L2023-00036-1</x:v>
      </x:c>
      <x:c r="C208" s="22" t="str">
        <x:v>WORKS</x:v>
      </x:c>
      <x:c r="D208" s="25" t="str">
        <x:v>L2023-00036-1/붙임3_입찰관련서류_검토완_0717/Section 4.  Bill of Quantities(Not-Priced)/공내역서/VTC견적서/7 КОМПРЕССОРАНЯ(Comp.+GAS storage)/7-1 КЖ(Structure)/13073_vrmu.xls</x:v>
      </x:c>
      <x:c r="E208" s="22" t="str">
        <x:v>.xls</x:v>
      </x:c>
      <x:c r="F208" s="28" t="n">
        <x:v>57344</x:v>
      </x:c>
      <x:c r="G208" s="28" t="str">
        <x:v>b2b87877d1df201ff70c4fded29e0c808c0cf38b05ea0ef976abf05e5e3bb3f1</x:v>
      </x:c>
      <x:c r="H208" s="28" t="n">
        <x:v>1</x:v>
      </x:c>
      <x:c r="I208" s="28" t="n">
        <x:v>1</x:v>
      </x:c>
      <x:c r="J208" s="28" t="n">
        <x:v>1</x:v>
      </x:c>
      <x:c r="K208" s="28" t="n">
        <x:v>85</x:v>
      </x:c>
      <x:c r="L208" s="28" t="n">
        <x:v>1</x:v>
      </x:c>
      <x:c r="M208" s="28" t="n">
        <x:v>0</x:v>
      </x:c>
      <x:c r="N208" s="22" t="str">
        <x:v>Лист1</x:v>
      </x:c>
      <x:c r="O208" s="22" t="str">
        <x:v>visible</x:v>
      </x:c>
      <x:c r="P208" s="22" t="n">
        <x:v>8</x:v>
      </x:c>
      <x:c r="Q208" s="40" t="n">
        <x:v>0.011764705882352941</x:v>
      </x:c>
      <x:c r="R208" s="25" t="str"/>
      <x:c r="S208" s="25" t="str">
        <x:v>B?</x:v>
      </x:c>
      <x:c r="T208" s="25" t="str">
        <x:v>자동 표 신호는 최종 A/B로 승격하지 않음</x:v>
      </x:c>
      <x:c r="U208" s="22" t="str">
        <x:v>2021-2025</x:v>
      </x:c>
    </x:row>
    <x:row r="209">
      <x:c r="A209" s="22" t="str">
        <x:v>2020-00086</x:v>
      </x:c>
      <x:c r="B209" s="22" t="str">
        <x:v>L2023-00036-1</x:v>
      </x:c>
      <x:c r="C209" s="22" t="str">
        <x:v>WORKS</x:v>
      </x:c>
      <x:c r="D209" s="25" t="str">
        <x:v>L2023-00036-1/붙임3_입찰관련서류_검토완_0717/Section 4.  Bill of Quantities(Not-Priced)/공내역서/VTC견적서/7 КОМПРЕССОРАНЯ(Comp.+GAS storage)/7-2 АР(Architecture)/13083_vfor.xls</x:v>
      </x:c>
      <x:c r="E209" s="22" t="str">
        <x:v>.xls</x:v>
      </x:c>
      <x:c r="F209" s="28" t="n">
        <x:v>37888</x:v>
      </x:c>
      <x:c r="G209" s="28" t="str">
        <x:v>0d0641098aaf99e56a206db663b79287befbb026eb9ae10d31713fe26751af88</x:v>
      </x:c>
      <x:c r="H209" s="28" t="n">
        <x:v>1</x:v>
      </x:c>
      <x:c r="I209" s="28" t="n">
        <x:v>1</x:v>
      </x:c>
      <x:c r="J209" s="28" t="n">
        <x:v>0</x:v>
      </x:c>
      <x:c r="K209" s="28" t="n">
        <x:v>0</x:v>
      </x:c>
      <x:c r="L209" s="28" t="n">
        <x:v>0</x:v>
      </x:c>
      <x:c r="M209" s="28" t="n">
        <x:v>0</x:v>
      </x:c>
      <x:c r="N209" s="22" t="str"/>
      <x:c r="O209" s="22" t="str"/>
      <x:c r="P209" s="22" t="n">
        <x:v>0</x:v>
      </x:c>
      <x:c r="Q209" s="40" t="n">
        <x:v>0</x:v>
      </x:c>
      <x:c r="R209" s="25" t="str"/>
      <x:c r="S209" s="25" t="str">
        <x:v>BOQ_NAME_ONLY</x:v>
      </x:c>
      <x:c r="T209" s="25" t="str">
        <x:v>자동 표 신호는 최종 A/B로 승격하지 않음</x:v>
      </x:c>
      <x:c r="U209" s="22" t="str">
        <x:v>2021-2025</x:v>
      </x:c>
    </x:row>
    <x:row r="210">
      <x:c r="A210" s="22" t="str">
        <x:v>2020-00086</x:v>
      </x:c>
      <x:c r="B210" s="22" t="str">
        <x:v>L2023-00036-1</x:v>
      </x:c>
      <x:c r="C210" s="22" t="str">
        <x:v>WORKS</x:v>
      </x:c>
      <x:c r="D210" s="25" t="str">
        <x:v>L2023-00036-1/붙임3_입찰관련서류_검토완_0717/Section 4.  Bill of Quantities(Not-Priced)/공내역서/VTC견적서/7 КОМПРЕССОРАНЯ(Comp.+GAS storage)/7-2 АР(Architecture)/13083_vrmu.xls</x:v>
      </x:c>
      <x:c r="E210" s="22" t="str">
        <x:v>.xls</x:v>
      </x:c>
      <x:c r="F210" s="28" t="n">
        <x:v>48128</x:v>
      </x:c>
      <x:c r="G210" s="28" t="str">
        <x:v>69688f446686a4d38925437ff702119b6f61b5ee8d3b5ed975f2c10dfc6291a5</x:v>
      </x:c>
      <x:c r="H210" s="28" t="n">
        <x:v>1</x:v>
      </x:c>
      <x:c r="I210" s="28" t="n">
        <x:v>1</x:v>
      </x:c>
      <x:c r="J210" s="28" t="n">
        <x:v>1</x:v>
      </x:c>
      <x:c r="K210" s="28" t="n">
        <x:v>48</x:v>
      </x:c>
      <x:c r="L210" s="28" t="n">
        <x:v>1</x:v>
      </x:c>
      <x:c r="M210" s="28" t="n">
        <x:v>0</x:v>
      </x:c>
      <x:c r="N210" s="22" t="str">
        <x:v>Лист1</x:v>
      </x:c>
      <x:c r="O210" s="22" t="str">
        <x:v>visible</x:v>
      </x:c>
      <x:c r="P210" s="22" t="n">
        <x:v>8</x:v>
      </x:c>
      <x:c r="Q210" s="40" t="n">
        <x:v>0.020833333333333332</x:v>
      </x:c>
      <x:c r="R210" s="25" t="str"/>
      <x:c r="S210" s="25" t="str">
        <x:v>B?</x:v>
      </x:c>
      <x:c r="T210" s="25" t="str">
        <x:v>자동 표 신호는 최종 A/B로 승격하지 않음</x:v>
      </x:c>
      <x:c r="U210" s="22" t="str">
        <x:v>2021-2025</x:v>
      </x:c>
    </x:row>
    <x:row r="211">
      <x:c r="A211" s="22" t="str">
        <x:v>2020-00086</x:v>
      </x:c>
      <x:c r="B211" s="22" t="str">
        <x:v>L2023-00036-1</x:v>
      </x:c>
      <x:c r="C211" s="22" t="str">
        <x:v>WORKS</x:v>
      </x:c>
      <x:c r="D211" s="25" t="str">
        <x:v>L2023-00036-1/붙임3_입찰관련서류_검토완_0717/Section 4.  Bill of Quantities(Not-Priced)/공내역서/VTC견적서/7 КОМПРЕССОРАНЯ(Comp.+GAS storage)/7-2 АР(Architecture)/bv13080.xls</x:v>
      </x:c>
      <x:c r="E211" s="22" t="str">
        <x:v>.xls</x:v>
      </x:c>
      <x:c r="F211" s="28" t="n">
        <x:v>76800</x:v>
      </x:c>
      <x:c r="G211" s="28" t="str">
        <x:v>49259d752c40853e7e634831a6035f4fc055b29c0dc905b007f082fffb42211e</x:v>
      </x:c>
      <x:c r="H211" s="28" t="n">
        <x:v>1</x:v>
      </x:c>
      <x:c r="I211" s="28" t="n">
        <x:v>1</x:v>
      </x:c>
      <x:c r="J211" s="28" t="n">
        <x:v>0</x:v>
      </x:c>
      <x:c r="K211" s="28" t="n">
        <x:v>0</x:v>
      </x:c>
      <x:c r="L211" s="28" t="n">
        <x:v>0</x:v>
      </x:c>
      <x:c r="M211" s="28" t="n">
        <x:v>0</x:v>
      </x:c>
      <x:c r="N211" s="22" t="str"/>
      <x:c r="O211" s="22" t="str"/>
      <x:c r="P211" s="22" t="n">
        <x:v>0</x:v>
      </x:c>
      <x:c r="Q211" s="40" t="n">
        <x:v>0</x:v>
      </x:c>
      <x:c r="R211" s="25" t="str"/>
      <x:c r="S211" s="25" t="str">
        <x:v>BOQ_NAME_ONLY</x:v>
      </x:c>
      <x:c r="T211" s="25" t="str">
        <x:v>자동 표 신호는 최종 A/B로 승격하지 않음</x:v>
      </x:c>
      <x:c r="U211" s="22" t="str">
        <x:v>2021-2025</x:v>
      </x:c>
    </x:row>
    <x:row r="212">
      <x:c r="A212" s="22" t="str">
        <x:v>2020-00086</x:v>
      </x:c>
      <x:c r="B212" s="22" t="str">
        <x:v>L2023-00036-1</x:v>
      </x:c>
      <x:c r="C212" s="22" t="str">
        <x:v>WORKS</x:v>
      </x:c>
      <x:c r="D212" s="25" t="str">
        <x:v>L2023-00036-1/붙임3_입찰관련서류_검토완_0717/Section 4.  Bill of Quantities(Not-Priced)/공내역서/VTC견적서/0 ГП(Site Plan &amp; Landscape+Outdoor Infra)/0-4 ФЛАГШТОК(Flog pole)/13643_vfor.xls</x:v>
      </x:c>
      <x:c r="E212" s="22" t="str">
        <x:v>.xls</x:v>
      </x:c>
      <x:c r="F212" s="28" t="n">
        <x:v>36352</x:v>
      </x:c>
      <x:c r="G212" s="28" t="str">
        <x:v>67966ce0d47aa65517abf1ac5bf4144c07e48cd2eaba531279ab70cb9dfbf6a2</x:v>
      </x:c>
      <x:c r="H212" s="28" t="n">
        <x:v>1</x:v>
      </x:c>
      <x:c r="I212" s="28" t="n">
        <x:v>1</x:v>
      </x:c>
      <x:c r="J212" s="28" t="n">
        <x:v>0</x:v>
      </x:c>
      <x:c r="K212" s="28" t="n">
        <x:v>0</x:v>
      </x:c>
      <x:c r="L212" s="28" t="n">
        <x:v>0</x:v>
      </x:c>
      <x:c r="M212" s="28" t="n">
        <x:v>0</x:v>
      </x:c>
      <x:c r="N212" s="22" t="str"/>
      <x:c r="O212" s="22" t="str"/>
      <x:c r="P212" s="22" t="n">
        <x:v>0</x:v>
      </x:c>
      <x:c r="Q212" s="40" t="n">
        <x:v>0</x:v>
      </x:c>
      <x:c r="R212" s="25" t="str"/>
      <x:c r="S212" s="25" t="str">
        <x:v>BOQ_NAME_ONLY</x:v>
      </x:c>
      <x:c r="T212" s="25" t="str">
        <x:v>자동 표 신호는 최종 A/B로 승격하지 않음</x:v>
      </x:c>
      <x:c r="U212" s="22" t="str">
        <x:v>2021-2025</x:v>
      </x:c>
    </x:row>
    <x:row r="213">
      <x:c r="A213" s="22" t="str">
        <x:v>2020-00086</x:v>
      </x:c>
      <x:c r="B213" s="22" t="str">
        <x:v>L2023-00036-1</x:v>
      </x:c>
      <x:c r="C213" s="22" t="str">
        <x:v>WORKS</x:v>
      </x:c>
      <x:c r="D213" s="25" t="str">
        <x:v>L2023-00036-1/붙임3_입찰관련서류_검토완_0717/Section 4.  Bill of Quantities(Not-Priced)/공내역서/VTC견적서/0 ГП(Site Plan &amp; Landscape+Outdoor Infra)/0-4 ФЛАГШТОК(Flog pole)/bv13640.xls</x:v>
      </x:c>
      <x:c r="E213" s="22" t="str">
        <x:v>.xls</x:v>
      </x:c>
      <x:c r="F213" s="28" t="n">
        <x:v>79872</x:v>
      </x:c>
      <x:c r="G213" s="28" t="str">
        <x:v>c2bccc679e99fec40afa6d24486761ae70a294b045dc7ac6cac4d9f7e61c164e</x:v>
      </x:c>
      <x:c r="H213" s="28" t="n">
        <x:v>1</x:v>
      </x:c>
      <x:c r="I213" s="28" t="n">
        <x:v>1</x:v>
      </x:c>
      <x:c r="J213" s="28" t="n">
        <x:v>0</x:v>
      </x:c>
      <x:c r="K213" s="28" t="n">
        <x:v>0</x:v>
      </x:c>
      <x:c r="L213" s="28" t="n">
        <x:v>0</x:v>
      </x:c>
      <x:c r="M213" s="28" t="n">
        <x:v>0</x:v>
      </x:c>
      <x:c r="N213" s="22" t="str"/>
      <x:c r="O213" s="22" t="str"/>
      <x:c r="P213" s="22" t="n">
        <x:v>0</x:v>
      </x:c>
      <x:c r="Q213" s="40" t="n">
        <x:v>0</x:v>
      </x:c>
      <x:c r="R213" s="25" t="str"/>
      <x:c r="S213" s="25" t="str">
        <x:v>BOQ_NAME_ONLY</x:v>
      </x:c>
      <x:c r="T213" s="25" t="str">
        <x:v>자동 표 신호는 최종 A/B로 승격하지 않음</x:v>
      </x:c>
      <x:c r="U213" s="22" t="str">
        <x:v>2021-2025</x:v>
      </x:c>
    </x:row>
    <x:row r="214">
      <x:c r="A214" s="22" t="str">
        <x:v>2020-00086</x:v>
      </x:c>
      <x:c r="B214" s="22" t="str">
        <x:v>L2023-00036-1</x:v>
      </x:c>
      <x:c r="C214" s="22" t="str">
        <x:v>WORKS</x:v>
      </x:c>
      <x:c r="D214" s="25" t="str">
        <x:v>L2023-00036-1/붙임3_입찰관련서류_검토완_0717/Section 4.  Bill of Quantities(Not-Priced)/공내역서/VTC견적서/0 ГП(Site Plan &amp; Landscape+Outdoor Infra)/0-4 ФЛАГШТОК(Flog pole)/13643_vrmu.xls</x:v>
      </x:c>
      <x:c r="E214" s="22" t="str">
        <x:v>.xls</x:v>
      </x:c>
      <x:c r="F214" s="28" t="n">
        <x:v>55808</x:v>
      </x:c>
      <x:c r="G214" s="28" t="str">
        <x:v>0f5b9d6f0d88cc8062fa6c5a0843bc51ec0ce77b9910f927cd9e6825241e7974</x:v>
      </x:c>
      <x:c r="H214" s="28" t="n">
        <x:v>1</x:v>
      </x:c>
      <x:c r="I214" s="28" t="n">
        <x:v>1</x:v>
      </x:c>
      <x:c r="J214" s="28" t="n">
        <x:v>1</x:v>
      </x:c>
      <x:c r="K214" s="28" t="n">
        <x:v>79</x:v>
      </x:c>
      <x:c r="L214" s="28" t="n">
        <x:v>1</x:v>
      </x:c>
      <x:c r="M214" s="28" t="n">
        <x:v>0</x:v>
      </x:c>
      <x:c r="N214" s="22" t="str">
        <x:v>Лист1</x:v>
      </x:c>
      <x:c r="O214" s="22" t="str">
        <x:v>visible</x:v>
      </x:c>
      <x:c r="P214" s="22" t="n">
        <x:v>8</x:v>
      </x:c>
      <x:c r="Q214" s="40" t="n">
        <x:v>0.012658227848101266</x:v>
      </x:c>
      <x:c r="R214" s="25" t="str"/>
      <x:c r="S214" s="25" t="str">
        <x:v>B?</x:v>
      </x:c>
      <x:c r="T214" s="25" t="str">
        <x:v>자동 표 신호는 최종 A/B로 승격하지 않음</x:v>
      </x:c>
      <x:c r="U214" s="22" t="str">
        <x:v>2021-2025</x:v>
      </x:c>
    </x:row>
    <x:row r="215">
      <x:c r="A215" s="22" t="str">
        <x:v>2020-00086</x:v>
      </x:c>
      <x:c r="B215" s="22" t="str">
        <x:v>L2023-00036-1</x:v>
      </x:c>
      <x:c r="C215" s="22" t="str">
        <x:v>WORKS</x:v>
      </x:c>
      <x:c r="D215" s="25" t="str">
        <x:v>L2023-00036-1/붙임3_입찰관련서류_검토완_0717/Section 4.  Bill of Quantities(Not-Priced)/공내역서/VTC견적서/0 ГП(Site Plan &amp; Landscape+Outdoor Infra)/0-10 ПВ(Landscape Water Piping)/bv13700.xls</x:v>
      </x:c>
      <x:c r="E215" s="22" t="str">
        <x:v>.xls</x:v>
      </x:c>
      <x:c r="F215" s="28" t="n">
        <x:v>108032</x:v>
      </x:c>
      <x:c r="G215" s="28" t="str">
        <x:v>7fce9c3406ee12ced99948fe837cc6e8d07c7892479efffdac7037793b89f75d</x:v>
      </x:c>
      <x:c r="H215" s="28" t="n">
        <x:v>1</x:v>
      </x:c>
      <x:c r="I215" s="28" t="n">
        <x:v>1</x:v>
      </x:c>
      <x:c r="J215" s="28" t="n">
        <x:v>0</x:v>
      </x:c>
      <x:c r="K215" s="28" t="n">
        <x:v>0</x:v>
      </x:c>
      <x:c r="L215" s="28" t="n">
        <x:v>0</x:v>
      </x:c>
      <x:c r="M215" s="28" t="n">
        <x:v>0</x:v>
      </x:c>
      <x:c r="N215" s="22" t="str"/>
      <x:c r="O215" s="22" t="str"/>
      <x:c r="P215" s="22" t="n">
        <x:v>0</x:v>
      </x:c>
      <x:c r="Q215" s="40" t="n">
        <x:v>0</x:v>
      </x:c>
      <x:c r="R215" s="25" t="str"/>
      <x:c r="S215" s="25" t="str">
        <x:v>BOQ_NAME_ONLY</x:v>
      </x:c>
      <x:c r="T215" s="25" t="str">
        <x:v>자동 표 신호는 최종 A/B로 승격하지 않음</x:v>
      </x:c>
      <x:c r="U215" s="22" t="str">
        <x:v>2021-2025</x:v>
      </x:c>
    </x:row>
    <x:row r="216">
      <x:c r="A216" s="22" t="str">
        <x:v>2020-00086</x:v>
      </x:c>
      <x:c r="B216" s="22" t="str">
        <x:v>L2023-00036-1</x:v>
      </x:c>
      <x:c r="C216" s="22" t="str">
        <x:v>WORKS</x:v>
      </x:c>
      <x:c r="D216" s="25" t="str">
        <x:v>L2023-00036-1/붙임3_입찰관련서류_검토완_0717/Section 4.  Bill of Quantities(Not-Priced)/공내역서/VTC견적서/0 ГП(Site Plan &amp; Landscape+Outdoor Infra)/0-10 ПВ(Landscape Water Piping)/13703_vfor.xls</x:v>
      </x:c>
      <x:c r="E216" s="22" t="str">
        <x:v>.xls</x:v>
      </x:c>
      <x:c r="F216" s="28" t="n">
        <x:v>44544</x:v>
      </x:c>
      <x:c r="G216" s="28" t="str">
        <x:v>223b6a365f4c188df7b71ab432b3cf0fb70ab37141f6befdb4176e797d1219a7</x:v>
      </x:c>
      <x:c r="H216" s="28" t="n">
        <x:v>1</x:v>
      </x:c>
      <x:c r="I216" s="28" t="n">
        <x:v>1</x:v>
      </x:c>
      <x:c r="J216" s="28" t="n">
        <x:v>0</x:v>
      </x:c>
      <x:c r="K216" s="28" t="n">
        <x:v>0</x:v>
      </x:c>
      <x:c r="L216" s="28" t="n">
        <x:v>0</x:v>
      </x:c>
      <x:c r="M216" s="28" t="n">
        <x:v>0</x:v>
      </x:c>
      <x:c r="N216" s="22" t="str"/>
      <x:c r="O216" s="22" t="str"/>
      <x:c r="P216" s="22" t="n">
        <x:v>0</x:v>
      </x:c>
      <x:c r="Q216" s="40" t="n">
        <x:v>0</x:v>
      </x:c>
      <x:c r="R216" s="25" t="str"/>
      <x:c r="S216" s="25" t="str">
        <x:v>BOQ_NAME_ONLY</x:v>
      </x:c>
      <x:c r="T216" s="25" t="str">
        <x:v>자동 표 신호는 최종 A/B로 승격하지 않음</x:v>
      </x:c>
      <x:c r="U216" s="22" t="str">
        <x:v>2021-2025</x:v>
      </x:c>
    </x:row>
    <x:row r="217">
      <x:c r="A217" s="22" t="str">
        <x:v>2020-00086</x:v>
      </x:c>
      <x:c r="B217" s="22" t="str">
        <x:v>L2023-00036-1</x:v>
      </x:c>
      <x:c r="C217" s="22" t="str">
        <x:v>WORKS</x:v>
      </x:c>
      <x:c r="D217" s="25" t="str">
        <x:v>L2023-00036-1/붙임3_입찰관련서류_검토완_0717/Section 4.  Bill of Quantities(Not-Priced)/공내역서/VTC견적서/0 ГП(Site Plan &amp; Landscape+Outdoor Infra)/0-10 ПВ(Landscape Water Piping)/13703_vrmu.xls</x:v>
      </x:c>
      <x:c r="E217" s="22" t="str">
        <x:v>.xls</x:v>
      </x:c>
      <x:c r="F217" s="28" t="n">
        <x:v>67584</x:v>
      </x:c>
      <x:c r="G217" s="28" t="str">
        <x:v>340757e0a5f7ca107ff9763eb6e78032fa52480ae47709f5c93d4b4d8acb1301</x:v>
      </x:c>
      <x:c r="H217" s="28" t="n">
        <x:v>1</x:v>
      </x:c>
      <x:c r="I217" s="28" t="n">
        <x:v>1</x:v>
      </x:c>
      <x:c r="J217" s="28" t="n">
        <x:v>1</x:v>
      </x:c>
      <x:c r="K217" s="28" t="n">
        <x:v>112</x:v>
      </x:c>
      <x:c r="L217" s="28" t="n">
        <x:v>1</x:v>
      </x:c>
      <x:c r="M217" s="28" t="n">
        <x:v>0</x:v>
      </x:c>
      <x:c r="N217" s="22" t="str">
        <x:v>Лист1</x:v>
      </x:c>
      <x:c r="O217" s="22" t="str">
        <x:v>visible</x:v>
      </x:c>
      <x:c r="P217" s="22" t="n">
        <x:v>8</x:v>
      </x:c>
      <x:c r="Q217" s="40" t="n">
        <x:v>0.008928571428571428</x:v>
      </x:c>
      <x:c r="R217" s="25" t="str"/>
      <x:c r="S217" s="25" t="str">
        <x:v>B?</x:v>
      </x:c>
      <x:c r="T217" s="25" t="str">
        <x:v>자동 표 신호는 최종 A/B로 승격하지 않음</x:v>
      </x:c>
      <x:c r="U217" s="22" t="str">
        <x:v>2021-2025</x:v>
      </x:c>
    </x:row>
    <x:row r="218">
      <x:c r="A218" s="22" t="str">
        <x:v>2020-00086</x:v>
      </x:c>
      <x:c r="B218" s="22" t="str">
        <x:v>L2023-00036-1</x:v>
      </x:c>
      <x:c r="C218" s="22" t="str">
        <x:v>WORKS</x:v>
      </x:c>
      <x:c r="D218" s="25" t="str">
        <x:v>L2023-00036-1/붙임3_입찰관련서류_검토완_0717/Section 4.  Bill of Quantities(Not-Priced)/공내역서/VTC견적서/0 ГП(Site Plan &amp; Landscape+Outdoor Infra)/0-6 ЭС(Outdoor Electric Infra)/bv13660.xls</x:v>
      </x:c>
      <x:c r="E218" s="22" t="str">
        <x:v>.xls</x:v>
      </x:c>
      <x:c r="F218" s="28" t="n">
        <x:v>85504</x:v>
      </x:c>
      <x:c r="G218" s="28" t="str">
        <x:v>00539b077799596b299656474c20d1f2bce4a015e4e5986c8ec3ef060d1c92be</x:v>
      </x:c>
      <x:c r="H218" s="28" t="n">
        <x:v>1</x:v>
      </x:c>
      <x:c r="I218" s="28" t="n">
        <x:v>1</x:v>
      </x:c>
      <x:c r="J218" s="28" t="n">
        <x:v>0</x:v>
      </x:c>
      <x:c r="K218" s="28" t="n">
        <x:v>0</x:v>
      </x:c>
      <x:c r="L218" s="28" t="n">
        <x:v>0</x:v>
      </x:c>
      <x:c r="M218" s="28" t="n">
        <x:v>0</x:v>
      </x:c>
      <x:c r="N218" s="22" t="str"/>
      <x:c r="O218" s="22" t="str"/>
      <x:c r="P218" s="22" t="n">
        <x:v>0</x:v>
      </x:c>
      <x:c r="Q218" s="40" t="n">
        <x:v>0</x:v>
      </x:c>
      <x:c r="R218" s="25" t="str"/>
      <x:c r="S218" s="25" t="str">
        <x:v>BOQ_NAME_ONLY</x:v>
      </x:c>
      <x:c r="T218" s="25" t="str">
        <x:v>자동 표 신호는 최종 A/B로 승격하지 않음</x:v>
      </x:c>
      <x:c r="U218" s="22" t="str">
        <x:v>2021-2025</x:v>
      </x:c>
    </x:row>
    <x:row r="219">
      <x:c r="A219" s="22" t="str">
        <x:v>2020-00086</x:v>
      </x:c>
      <x:c r="B219" s="22" t="str">
        <x:v>L2023-00036-1</x:v>
      </x:c>
      <x:c r="C219" s="22" t="str">
        <x:v>WORKS</x:v>
      </x:c>
      <x:c r="D219" s="25" t="str">
        <x:v>L2023-00036-1/붙임3_입찰관련서류_검토완_0717/Section 4.  Bill of Quantities(Not-Priced)/공내역서/VTC견적서/0 ГП(Site Plan &amp; Landscape+Outdoor Infra)/0-6 ЭС(Outdoor Electric Infra)/13663_vfor.xls</x:v>
      </x:c>
      <x:c r="E219" s="22" t="str">
        <x:v>.xls</x:v>
      </x:c>
      <x:c r="F219" s="28" t="n">
        <x:v>37888</x:v>
      </x:c>
      <x:c r="G219" s="28" t="str">
        <x:v>d6e264bc982e8ff16cc0d3f02f24b4bad1d12dac0c5106696da5050f02d894e3</x:v>
      </x:c>
      <x:c r="H219" s="28" t="n">
        <x:v>1</x:v>
      </x:c>
      <x:c r="I219" s="28" t="n">
        <x:v>1</x:v>
      </x:c>
      <x:c r="J219" s="28" t="n">
        <x:v>0</x:v>
      </x:c>
      <x:c r="K219" s="28" t="n">
        <x:v>0</x:v>
      </x:c>
      <x:c r="L219" s="28" t="n">
        <x:v>0</x:v>
      </x:c>
      <x:c r="M219" s="28" t="n">
        <x:v>0</x:v>
      </x:c>
      <x:c r="N219" s="22" t="str"/>
      <x:c r="O219" s="22" t="str"/>
      <x:c r="P219" s="22" t="n">
        <x:v>0</x:v>
      </x:c>
      <x:c r="Q219" s="40" t="n">
        <x:v>0</x:v>
      </x:c>
      <x:c r="R219" s="25" t="str"/>
      <x:c r="S219" s="25" t="str">
        <x:v>BOQ_NAME_ONLY</x:v>
      </x:c>
      <x:c r="T219" s="25" t="str">
        <x:v>자동 표 신호는 최종 A/B로 승격하지 않음</x:v>
      </x:c>
      <x:c r="U219" s="22" t="str">
        <x:v>2021-2025</x:v>
      </x:c>
    </x:row>
    <x:row r="220">
      <x:c r="A220" s="22" t="str">
        <x:v>2020-00086</x:v>
      </x:c>
      <x:c r="B220" s="22" t="str">
        <x:v>L2023-00036-1</x:v>
      </x:c>
      <x:c r="C220" s="22" t="str">
        <x:v>WORKS</x:v>
      </x:c>
      <x:c r="D220" s="25" t="str">
        <x:v>L2023-00036-1/붙임3_입찰관련서류_검토완_0717/Section 4.  Bill of Quantities(Not-Priced)/공내역서/VTC견적서/0 ГП(Site Plan &amp; Landscape+Outdoor Infra)/0-6 ЭС(Outdoor Electric Infra)/13663_vrmu.xls</x:v>
      </x:c>
      <x:c r="E220" s="22" t="str">
        <x:v>.xls</x:v>
      </x:c>
      <x:c r="F220" s="28" t="n">
        <x:v>55296</x:v>
      </x:c>
      <x:c r="G220" s="28" t="str">
        <x:v>5211f233ecc117ba1086040ece1ad8ce7323d32f4a4e8d1cdd6e35537116f52f</x:v>
      </x:c>
      <x:c r="H220" s="28" t="n">
        <x:v>1</x:v>
      </x:c>
      <x:c r="I220" s="28" t="n">
        <x:v>1</x:v>
      </x:c>
      <x:c r="J220" s="28" t="n">
        <x:v>1</x:v>
      </x:c>
      <x:c r="K220" s="28" t="n">
        <x:v>69</x:v>
      </x:c>
      <x:c r="L220" s="28" t="n">
        <x:v>1</x:v>
      </x:c>
      <x:c r="M220" s="28" t="n">
        <x:v>0</x:v>
      </x:c>
      <x:c r="N220" s="22" t="str">
        <x:v>Лист1</x:v>
      </x:c>
      <x:c r="O220" s="22" t="str">
        <x:v>visible</x:v>
      </x:c>
      <x:c r="P220" s="22" t="n">
        <x:v>8</x:v>
      </x:c>
      <x:c r="Q220" s="40" t="n">
        <x:v>0.014492753623188406</x:v>
      </x:c>
      <x:c r="R220" s="25" t="str"/>
      <x:c r="S220" s="25" t="str">
        <x:v>B?</x:v>
      </x:c>
      <x:c r="T220" s="25" t="str">
        <x:v>자동 표 신호는 최종 A/B로 승격하지 않음</x:v>
      </x:c>
      <x:c r="U220" s="22" t="str">
        <x:v>2021-2025</x:v>
      </x:c>
    </x:row>
    <x:row r="221">
      <x:c r="A221" s="22" t="str">
        <x:v>2020-00086</x:v>
      </x:c>
      <x:c r="B221" s="22" t="str">
        <x:v>L2023-00036-1</x:v>
      </x:c>
      <x:c r="C221" s="22" t="str">
        <x:v>WORKS</x:v>
      </x:c>
      <x:c r="D221" s="25" t="str">
        <x:v>L2023-00036-1/붙임3_입찰관련서류_검토완_0717/Section 4.  Bill of Quantities(Not-Priced)/공내역서/VTC견적서/0 ГП(Site Plan &amp; Landscape+Outdoor Infra)/0-3 БЕСЕДКА 5 ШТ(Pargola)/bv13630.xls</x:v>
      </x:c>
      <x:c r="E221" s="22" t="str">
        <x:v>.xls</x:v>
      </x:c>
      <x:c r="F221" s="28" t="n">
        <x:v>86016</x:v>
      </x:c>
      <x:c r="G221" s="28" t="str">
        <x:v>89900deeb95cc6c3d44955a4322c7d0b36aa7b7469220c2d8969211de3a71e9f</x:v>
      </x:c>
      <x:c r="H221" s="28" t="n">
        <x:v>1</x:v>
      </x:c>
      <x:c r="I221" s="28" t="n">
        <x:v>1</x:v>
      </x:c>
      <x:c r="J221" s="28" t="n">
        <x:v>0</x:v>
      </x:c>
      <x:c r="K221" s="28" t="n">
        <x:v>0</x:v>
      </x:c>
      <x:c r="L221" s="28" t="n">
        <x:v>0</x:v>
      </x:c>
      <x:c r="M221" s="28" t="n">
        <x:v>0</x:v>
      </x:c>
      <x:c r="N221" s="22" t="str"/>
      <x:c r="O221" s="22" t="str"/>
      <x:c r="P221" s="22" t="n">
        <x:v>0</x:v>
      </x:c>
      <x:c r="Q221" s="40" t="n">
        <x:v>0</x:v>
      </x:c>
      <x:c r="R221" s="25" t="str"/>
      <x:c r="S221" s="25" t="str">
        <x:v>BOQ_NAME_ONLY</x:v>
      </x:c>
      <x:c r="T221" s="25" t="str">
        <x:v>자동 표 신호는 최종 A/B로 승격하지 않음</x:v>
      </x:c>
      <x:c r="U221" s="22" t="str">
        <x:v>2021-2025</x:v>
      </x:c>
    </x:row>
    <x:row r="222">
      <x:c r="A222" s="22" t="str">
        <x:v>2020-00086</x:v>
      </x:c>
      <x:c r="B222" s="22" t="str">
        <x:v>L2023-00036-1</x:v>
      </x:c>
      <x:c r="C222" s="22" t="str">
        <x:v>WORKS</x:v>
      </x:c>
      <x:c r="D222" s="25" t="str">
        <x:v>L2023-00036-1/붙임3_입찰관련서류_검토완_0717/Section 4.  Bill of Quantities(Not-Priced)/공내역서/VTC견적서/0 ГП(Site Plan &amp; Landscape+Outdoor Infra)/0-3 БЕСЕДКА 5 ШТ(Pargola)/13633_vrmu.xls</x:v>
      </x:c>
      <x:c r="E222" s="22" t="str">
        <x:v>.xls</x:v>
      </x:c>
      <x:c r="F222" s="28" t="n">
        <x:v>54784</x:v>
      </x:c>
      <x:c r="G222" s="28" t="str">
        <x:v>91cd41b13250e518545986d37e21277c42f67ff63baa4fc5aa5bd8526a10da10</x:v>
      </x:c>
      <x:c r="H222" s="28" t="n">
        <x:v>1</x:v>
      </x:c>
      <x:c r="I222" s="28" t="n">
        <x:v>1</x:v>
      </x:c>
      <x:c r="J222" s="28" t="n">
        <x:v>1</x:v>
      </x:c>
      <x:c r="K222" s="28" t="n">
        <x:v>71</x:v>
      </x:c>
      <x:c r="L222" s="28" t="n">
        <x:v>1</x:v>
      </x:c>
      <x:c r="M222" s="28" t="n">
        <x:v>0</x:v>
      </x:c>
      <x:c r="N222" s="22" t="str">
        <x:v>Лист1</x:v>
      </x:c>
      <x:c r="O222" s="22" t="str">
        <x:v>visible</x:v>
      </x:c>
      <x:c r="P222" s="22" t="n">
        <x:v>8</x:v>
      </x:c>
      <x:c r="Q222" s="40" t="n">
        <x:v>0.014084507042253521</x:v>
      </x:c>
      <x:c r="R222" s="25" t="str"/>
      <x:c r="S222" s="25" t="str">
        <x:v>B?</x:v>
      </x:c>
      <x:c r="T222" s="25" t="str">
        <x:v>자동 표 신호는 최종 A/B로 승격하지 않음</x:v>
      </x:c>
      <x:c r="U222" s="22" t="str">
        <x:v>2021-2025</x:v>
      </x:c>
    </x:row>
    <x:row r="223">
      <x:c r="A223" s="22" t="str">
        <x:v>2020-00086</x:v>
      </x:c>
      <x:c r="B223" s="22" t="str">
        <x:v>L2023-00036-1</x:v>
      </x:c>
      <x:c r="C223" s="22" t="str">
        <x:v>WORKS</x:v>
      </x:c>
      <x:c r="D223" s="25" t="str">
        <x:v>L2023-00036-1/붙임3_입찰관련서류_검토완_0717/Section 4.  Bill of Quantities(Not-Priced)/공내역서/VTC견적서/0 ГП(Site Plan &amp; Landscape+Outdoor Infra)/0-3 БЕСЕДКА 5 ШТ(Pargola)/13633_vfor.xls</x:v>
      </x:c>
      <x:c r="E223" s="22" t="str">
        <x:v>.xls</x:v>
      </x:c>
      <x:c r="F223" s="28" t="n">
        <x:v>34304</x:v>
      </x:c>
      <x:c r="G223" s="28" t="str">
        <x:v>a4de5c64037addc65a3a0ea858a58150461f31b07ec98eb3374f87a100be5518</x:v>
      </x:c>
      <x:c r="H223" s="28" t="n">
        <x:v>1</x:v>
      </x:c>
      <x:c r="I223" s="28" t="n">
        <x:v>1</x:v>
      </x:c>
      <x:c r="J223" s="28" t="n">
        <x:v>0</x:v>
      </x:c>
      <x:c r="K223" s="28" t="n">
        <x:v>0</x:v>
      </x:c>
      <x:c r="L223" s="28" t="n">
        <x:v>0</x:v>
      </x:c>
      <x:c r="M223" s="28" t="n">
        <x:v>0</x:v>
      </x:c>
      <x:c r="N223" s="22" t="str"/>
      <x:c r="O223" s="22" t="str"/>
      <x:c r="P223" s="22" t="n">
        <x:v>0</x:v>
      </x:c>
      <x:c r="Q223" s="40" t="n">
        <x:v>0</x:v>
      </x:c>
      <x:c r="R223" s="25" t="str"/>
      <x:c r="S223" s="25" t="str">
        <x:v>BOQ_NAME_ONLY</x:v>
      </x:c>
      <x:c r="T223" s="25" t="str">
        <x:v>자동 표 신호는 최종 A/B로 승격하지 않음</x:v>
      </x:c>
      <x:c r="U223" s="22" t="str">
        <x:v>2021-2025</x:v>
      </x:c>
    </x:row>
    <x:row r="224">
      <x:c r="A224" s="22" t="str">
        <x:v>2020-00086</x:v>
      </x:c>
      <x:c r="B224" s="22" t="str">
        <x:v>L2023-00036-1</x:v>
      </x:c>
      <x:c r="C224" s="22" t="str">
        <x:v>WORKS</x:v>
      </x:c>
      <x:c r="D224" s="25" t="str">
        <x:v>L2023-00036-1/붙임3_입찰관련서류_검토완_0717/Section 4.  Bill of Quantities(Not-Priced)/공내역서/VTC견적서/0 ГП(Site Plan &amp; Landscape+Outdoor Infra)/0-12 АСКУЭ((Automatic Pump system)/13723_vfor.xls</x:v>
      </x:c>
      <x:c r="E224" s="22" t="str">
        <x:v>.xls</x:v>
      </x:c>
      <x:c r="F224" s="28" t="n">
        <x:v>33792</x:v>
      </x:c>
      <x:c r="G224" s="28" t="str">
        <x:v>eb99c1117217bd159b2705fd3fdba4dca427dbfee616518108fed741a867e4a9</x:v>
      </x:c>
      <x:c r="H224" s="28" t="n">
        <x:v>1</x:v>
      </x:c>
      <x:c r="I224" s="28" t="n">
        <x:v>1</x:v>
      </x:c>
      <x:c r="J224" s="28" t="n">
        <x:v>0</x:v>
      </x:c>
      <x:c r="K224" s="28" t="n">
        <x:v>0</x:v>
      </x:c>
      <x:c r="L224" s="28" t="n">
        <x:v>0</x:v>
      </x:c>
      <x:c r="M224" s="28" t="n">
        <x:v>0</x:v>
      </x:c>
      <x:c r="N224" s="22" t="str"/>
      <x:c r="O224" s="22" t="str"/>
      <x:c r="P224" s="22" t="n">
        <x:v>0</x:v>
      </x:c>
      <x:c r="Q224" s="40" t="n">
        <x:v>0</x:v>
      </x:c>
      <x:c r="R224" s="25" t="str"/>
      <x:c r="S224" s="25" t="str">
        <x:v>BOQ_NAME_ONLY</x:v>
      </x:c>
      <x:c r="T224" s="25" t="str">
        <x:v>자동 표 신호는 최종 A/B로 승격하지 않음</x:v>
      </x:c>
      <x:c r="U224" s="22" t="str">
        <x:v>2021-2025</x:v>
      </x:c>
    </x:row>
    <x:row r="225">
      <x:c r="A225" s="22" t="str">
        <x:v>2020-00086</x:v>
      </x:c>
      <x:c r="B225" s="22" t="str">
        <x:v>L2023-00036-1</x:v>
      </x:c>
      <x:c r="C225" s="22" t="str">
        <x:v>WORKS</x:v>
      </x:c>
      <x:c r="D225" s="25" t="str">
        <x:v>L2023-00036-1/붙임3_입찰관련서류_검토완_0717/Section 4.  Bill of Quantities(Not-Priced)/공내역서/VTC견적서/0 ГП(Site Plan &amp; Landscape+Outdoor Infra)/0-12 АСКУЭ((Automatic Pump system)/13723_vrmu.xls</x:v>
      </x:c>
      <x:c r="E225" s="22" t="str">
        <x:v>.xls</x:v>
      </x:c>
      <x:c r="F225" s="28" t="n">
        <x:v>49152</x:v>
      </x:c>
      <x:c r="G225" s="28" t="str">
        <x:v>748258beac5d82e7c3a847666f17f9ad1601ab24563b52999aa8e5d1b3e7ff6a</x:v>
      </x:c>
      <x:c r="H225" s="28" t="n">
        <x:v>1</x:v>
      </x:c>
      <x:c r="I225" s="28" t="n">
        <x:v>1</x:v>
      </x:c>
      <x:c r="J225" s="28" t="n">
        <x:v>1</x:v>
      </x:c>
      <x:c r="K225" s="28" t="n">
        <x:v>48</x:v>
      </x:c>
      <x:c r="L225" s="28" t="n">
        <x:v>1</x:v>
      </x:c>
      <x:c r="M225" s="28" t="n">
        <x:v>0</x:v>
      </x:c>
      <x:c r="N225" s="22" t="str">
        <x:v>Лист1</x:v>
      </x:c>
      <x:c r="O225" s="22" t="str">
        <x:v>visible</x:v>
      </x:c>
      <x:c r="P225" s="22" t="n">
        <x:v>8</x:v>
      </x:c>
      <x:c r="Q225" s="40" t="n">
        <x:v>0.020833333333333332</x:v>
      </x:c>
      <x:c r="R225" s="25" t="str"/>
      <x:c r="S225" s="25" t="str">
        <x:v>B?</x:v>
      </x:c>
      <x:c r="T225" s="25" t="str">
        <x:v>자동 표 신호는 최종 A/B로 승격하지 않음</x:v>
      </x:c>
      <x:c r="U225" s="22" t="str">
        <x:v>2021-2025</x:v>
      </x:c>
    </x:row>
    <x:row r="226">
      <x:c r="A226" s="22" t="str">
        <x:v>2020-00086</x:v>
      </x:c>
      <x:c r="B226" s="22" t="str">
        <x:v>L2023-00036-1</x:v>
      </x:c>
      <x:c r="C226" s="22" t="str">
        <x:v>WORKS</x:v>
      </x:c>
      <x:c r="D226" s="25" t="str">
        <x:v>L2023-00036-1/붙임3_입찰관련서류_검토완_0717/Section 4.  Bill of Quantities(Not-Priced)/공내역서/VTC견적서/0 ГП(Site Plan &amp; Landscape+Outdoor Infra)/0-12 АСКУЭ((Automatic Pump system)/bv13720.xls</x:v>
      </x:c>
      <x:c r="E226" s="22" t="str">
        <x:v>.xls</x:v>
      </x:c>
      <x:c r="F226" s="28" t="n">
        <x:v>54784</x:v>
      </x:c>
      <x:c r="G226" s="28" t="str">
        <x:v>73d4b495f41c4c5e62abe918e52313703f29267f7bda2774066dc0e5ffd96095</x:v>
      </x:c>
      <x:c r="H226" s="28" t="n">
        <x:v>1</x:v>
      </x:c>
      <x:c r="I226" s="28" t="n">
        <x:v>1</x:v>
      </x:c>
      <x:c r="J226" s="28" t="n">
        <x:v>0</x:v>
      </x:c>
      <x:c r="K226" s="28" t="n">
        <x:v>0</x:v>
      </x:c>
      <x:c r="L226" s="28" t="n">
        <x:v>0</x:v>
      </x:c>
      <x:c r="M226" s="28" t="n">
        <x:v>0</x:v>
      </x:c>
      <x:c r="N226" s="22" t="str"/>
      <x:c r="O226" s="22" t="str"/>
      <x:c r="P226" s="22" t="n">
        <x:v>0</x:v>
      </x:c>
      <x:c r="Q226" s="40" t="n">
        <x:v>0</x:v>
      </x:c>
      <x:c r="R226" s="25" t="str"/>
      <x:c r="S226" s="25" t="str">
        <x:v>BOQ_NAME_ONLY</x:v>
      </x:c>
      <x:c r="T226" s="25" t="str">
        <x:v>자동 표 신호는 최종 A/B로 승격하지 않음</x:v>
      </x:c>
      <x:c r="U226" s="22" t="str">
        <x:v>2021-2025</x:v>
      </x:c>
    </x:row>
    <x:row r="227">
      <x:c r="A227" s="22" t="str">
        <x:v>2020-00086</x:v>
      </x:c>
      <x:c r="B227" s="22" t="str">
        <x:v>L2023-00036-1</x:v>
      </x:c>
      <x:c r="C227" s="22" t="str">
        <x:v>WORKS</x:v>
      </x:c>
      <x:c r="D227" s="25" t="str">
        <x:v>L2023-00036-1/붙임3_입찰관련서류_검토완_0717/Section 4.  Bill of Quantities(Not-Priced)/공내역서/VTC견적서/0 ГП(Site Plan &amp; Landscape+Outdoor Infra)/0-2 ФУТБОЛНОЕ ПОЛЕ(Football)/13413_vfor.xls</x:v>
      </x:c>
      <x:c r="E227" s="22" t="str">
        <x:v>.xls</x:v>
      </x:c>
      <x:c r="F227" s="28" t="n">
        <x:v>35840</x:v>
      </x:c>
      <x:c r="G227" s="28" t="str">
        <x:v>b524a9fc3353cae7e72ebf771994c561b251158e684f12846f7be3e853e9b094</x:v>
      </x:c>
      <x:c r="H227" s="28" t="n">
        <x:v>1</x:v>
      </x:c>
      <x:c r="I227" s="28" t="n">
        <x:v>1</x:v>
      </x:c>
      <x:c r="J227" s="28" t="n">
        <x:v>0</x:v>
      </x:c>
      <x:c r="K227" s="28" t="n">
        <x:v>0</x:v>
      </x:c>
      <x:c r="L227" s="28" t="n">
        <x:v>0</x:v>
      </x:c>
      <x:c r="M227" s="28" t="n">
        <x:v>0</x:v>
      </x:c>
      <x:c r="N227" s="22" t="str"/>
      <x:c r="O227" s="22" t="str"/>
      <x:c r="P227" s="22" t="n">
        <x:v>0</x:v>
      </x:c>
      <x:c r="Q227" s="40" t="n">
        <x:v>0</x:v>
      </x:c>
      <x:c r="R227" s="25" t="str"/>
      <x:c r="S227" s="25" t="str">
        <x:v>BOQ_NAME_ONLY</x:v>
      </x:c>
      <x:c r="T227" s="25" t="str">
        <x:v>자동 표 신호는 최종 A/B로 승격하지 않음</x:v>
      </x:c>
      <x:c r="U227" s="22" t="str">
        <x:v>2021-2025</x:v>
      </x:c>
    </x:row>
    <x:row r="228">
      <x:c r="A228" s="22" t="str">
        <x:v>2020-00086</x:v>
      </x:c>
      <x:c r="B228" s="22" t="str">
        <x:v>L2023-00036-1</x:v>
      </x:c>
      <x:c r="C228" s="22" t="str">
        <x:v>WORKS</x:v>
      </x:c>
      <x:c r="D228" s="25" t="str">
        <x:v>L2023-00036-1/붙임3_입찰관련서류_검토완_0717/Section 4.  Bill of Quantities(Not-Priced)/공내역서/VTC견적서/0 ГП(Site Plan &amp; Landscape+Outdoor Infra)/0-2 ФУТБОЛНОЕ ПОЛЕ(Football)/13413_vrmu.xls</x:v>
      </x:c>
      <x:c r="E228" s="22" t="str">
        <x:v>.xls</x:v>
      </x:c>
      <x:c r="F228" s="28" t="n">
        <x:v>54784</x:v>
      </x:c>
      <x:c r="G228" s="28" t="str">
        <x:v>656fd24a77c94039bb6a228c6d395e89e1304637aa470a5b06fd4b70f791c7d3</x:v>
      </x:c>
      <x:c r="H228" s="28" t="n">
        <x:v>1</x:v>
      </x:c>
      <x:c r="I228" s="28" t="n">
        <x:v>1</x:v>
      </x:c>
      <x:c r="J228" s="28" t="n">
        <x:v>1</x:v>
      </x:c>
      <x:c r="K228" s="28" t="n">
        <x:v>69</x:v>
      </x:c>
      <x:c r="L228" s="28" t="n">
        <x:v>1</x:v>
      </x:c>
      <x:c r="M228" s="28" t="n">
        <x:v>0</x:v>
      </x:c>
      <x:c r="N228" s="22" t="str">
        <x:v>Лист1</x:v>
      </x:c>
      <x:c r="O228" s="22" t="str">
        <x:v>visible</x:v>
      </x:c>
      <x:c r="P228" s="22" t="n">
        <x:v>8</x:v>
      </x:c>
      <x:c r="Q228" s="40" t="n">
        <x:v>0.014492753623188406</x:v>
      </x:c>
      <x:c r="R228" s="25" t="str"/>
      <x:c r="S228" s="25" t="str">
        <x:v>B?</x:v>
      </x:c>
      <x:c r="T228" s="25" t="str">
        <x:v>자동 표 신호는 최종 A/B로 승격하지 않음</x:v>
      </x:c>
      <x:c r="U228" s="22" t="str">
        <x:v>2021-2025</x:v>
      </x:c>
    </x:row>
    <x:row r="229">
      <x:c r="A229" s="22" t="str">
        <x:v>2020-00086</x:v>
      </x:c>
      <x:c r="B229" s="22" t="str">
        <x:v>L2023-00036-1</x:v>
      </x:c>
      <x:c r="C229" s="22" t="str">
        <x:v>WORKS</x:v>
      </x:c>
      <x:c r="D229" s="25" t="str">
        <x:v>L2023-00036-1/붙임3_입찰관련서류_검토완_0717/Section 4.  Bill of Quantities(Not-Priced)/공내역서/VTC견적서/0 ГП(Site Plan &amp; Landscape+Outdoor Infra)/0-2 ФУТБОЛНОЕ ПОЛЕ(Football)/bv13410.xls</x:v>
      </x:c>
      <x:c r="E229" s="22" t="str">
        <x:v>.xls</x:v>
      </x:c>
      <x:c r="F229" s="28" t="n">
        <x:v>82432</x:v>
      </x:c>
      <x:c r="G229" s="28" t="str">
        <x:v>2749f4b67fbce5b996b82719eb992ca5140d514c5c3e0b6a254cbe8991a461ba</x:v>
      </x:c>
      <x:c r="H229" s="28" t="n">
        <x:v>1</x:v>
      </x:c>
      <x:c r="I229" s="28" t="n">
        <x:v>1</x:v>
      </x:c>
      <x:c r="J229" s="28" t="n">
        <x:v>0</x:v>
      </x:c>
      <x:c r="K229" s="28" t="n">
        <x:v>0</x:v>
      </x:c>
      <x:c r="L229" s="28" t="n">
        <x:v>0</x:v>
      </x:c>
      <x:c r="M229" s="28" t="n">
        <x:v>0</x:v>
      </x:c>
      <x:c r="N229" s="22" t="str"/>
      <x:c r="O229" s="22" t="str"/>
      <x:c r="P229" s="22" t="n">
        <x:v>0</x:v>
      </x:c>
      <x:c r="Q229" s="40" t="n">
        <x:v>0</x:v>
      </x:c>
      <x:c r="R229" s="25" t="str"/>
      <x:c r="S229" s="25" t="str">
        <x:v>BOQ_NAME_ONLY</x:v>
      </x:c>
      <x:c r="T229" s="25" t="str">
        <x:v>자동 표 신호는 최종 A/B로 승격하지 않음</x:v>
      </x:c>
      <x:c r="U229" s="22" t="str">
        <x:v>2021-2025</x:v>
      </x:c>
    </x:row>
    <x:row r="230">
      <x:c r="A230" s="22" t="str">
        <x:v>2020-00086</x:v>
      </x:c>
      <x:c r="B230" s="22" t="str">
        <x:v>L2023-00036-1</x:v>
      </x:c>
      <x:c r="C230" s="22" t="str">
        <x:v>WORKS</x:v>
      </x:c>
      <x:c r="D230" s="25" t="str">
        <x:v>L2023-00036-1/붙임3_입찰관련서류_검토완_0717/Section 4.  Bill of Quantities(Not-Priced)/공내역서/VTC견적서/0 ГП(Site Plan &amp; Landscape+Outdoor Infra)/0-7 НЭО(Outdoor Lighting)/13673_vrmu.xls</x:v>
      </x:c>
      <x:c r="E230" s="22" t="str">
        <x:v>.xls</x:v>
      </x:c>
      <x:c r="F230" s="28" t="n">
        <x:v>59904</x:v>
      </x:c>
      <x:c r="G230" s="28" t="str">
        <x:v>ff62cd8285dbfe8a4cd93911394279299b8c03d2069749850cffc7a2107aef50</x:v>
      </x:c>
      <x:c r="H230" s="28" t="n">
        <x:v>1</x:v>
      </x:c>
      <x:c r="I230" s="28" t="n">
        <x:v>1</x:v>
      </x:c>
      <x:c r="J230" s="28" t="n">
        <x:v>1</x:v>
      </x:c>
      <x:c r="K230" s="28" t="n">
        <x:v>88</x:v>
      </x:c>
      <x:c r="L230" s="28" t="n">
        <x:v>1</x:v>
      </x:c>
      <x:c r="M230" s="28" t="n">
        <x:v>0</x:v>
      </x:c>
      <x:c r="N230" s="22" t="str">
        <x:v>Лист1</x:v>
      </x:c>
      <x:c r="O230" s="22" t="str">
        <x:v>visible</x:v>
      </x:c>
      <x:c r="P230" s="22" t="n">
        <x:v>8</x:v>
      </x:c>
      <x:c r="Q230" s="40" t="n">
        <x:v>0.011363636363636364</x:v>
      </x:c>
      <x:c r="R230" s="25" t="str"/>
      <x:c r="S230" s="25" t="str">
        <x:v>B?</x:v>
      </x:c>
      <x:c r="T230" s="25" t="str">
        <x:v>자동 표 신호는 최종 A/B로 승격하지 않음</x:v>
      </x:c>
      <x:c r="U230" s="22" t="str">
        <x:v>2021-2025</x:v>
      </x:c>
    </x:row>
    <x:row r="231">
      <x:c r="A231" s="22" t="str">
        <x:v>2020-00086</x:v>
      </x:c>
      <x:c r="B231" s="22" t="str">
        <x:v>L2023-00036-1</x:v>
      </x:c>
      <x:c r="C231" s="22" t="str">
        <x:v>WORKS</x:v>
      </x:c>
      <x:c r="D231" s="25" t="str">
        <x:v>L2023-00036-1/붙임3_입찰관련서류_검토완_0717/Section 4.  Bill of Quantities(Not-Priced)/공내역서/VTC견적서/0 ГП(Site Plan &amp; Landscape+Outdoor Infra)/0-7 НЭО(Outdoor Lighting)/bv13670.xls</x:v>
      </x:c>
      <x:c r="E231" s="22" t="str">
        <x:v>.xls</x:v>
      </x:c>
      <x:c r="F231" s="28" t="n">
        <x:v>88576</x:v>
      </x:c>
      <x:c r="G231" s="28" t="str">
        <x:v>9ceeee982353f80a2bdb6f54623ab653597f61763c8bf5d6ff51e5212e6720af</x:v>
      </x:c>
      <x:c r="H231" s="28" t="n">
        <x:v>1</x:v>
      </x:c>
      <x:c r="I231" s="28" t="n">
        <x:v>1</x:v>
      </x:c>
      <x:c r="J231" s="28" t="n">
        <x:v>0</x:v>
      </x:c>
      <x:c r="K231" s="28" t="n">
        <x:v>0</x:v>
      </x:c>
      <x:c r="L231" s="28" t="n">
        <x:v>0</x:v>
      </x:c>
      <x:c r="M231" s="28" t="n">
        <x:v>0</x:v>
      </x:c>
      <x:c r="N231" s="22" t="str"/>
      <x:c r="O231" s="22" t="str"/>
      <x:c r="P231" s="22" t="n">
        <x:v>0</x:v>
      </x:c>
      <x:c r="Q231" s="40" t="n">
        <x:v>0</x:v>
      </x:c>
      <x:c r="R231" s="25" t="str"/>
      <x:c r="S231" s="25" t="str">
        <x:v>BOQ_NAME_ONLY</x:v>
      </x:c>
      <x:c r="T231" s="25" t="str">
        <x:v>자동 표 신호는 최종 A/B로 승격하지 않음</x:v>
      </x:c>
      <x:c r="U231" s="22" t="str">
        <x:v>2021-2025</x:v>
      </x:c>
    </x:row>
    <x:row r="232">
      <x:c r="A232" s="22" t="str">
        <x:v>2020-00086</x:v>
      </x:c>
      <x:c r="B232" s="22" t="str">
        <x:v>L2023-00036-1</x:v>
      </x:c>
      <x:c r="C232" s="22" t="str">
        <x:v>WORKS</x:v>
      </x:c>
      <x:c r="D232" s="25" t="str">
        <x:v>L2023-00036-1/붙임3_입찰관련서류_검토완_0717/Section 4.  Bill of Quantities(Not-Priced)/공내역서/VTC견적서/0 ГП(Site Plan &amp; Landscape+Outdoor Infra)/0-7 НЭО(Outdoor Lighting)/13673_vfor.xls</x:v>
      </x:c>
      <x:c r="E232" s="22" t="str">
        <x:v>.xls</x:v>
      </x:c>
      <x:c r="F232" s="28" t="n">
        <x:v>39936</x:v>
      </x:c>
      <x:c r="G232" s="28" t="str">
        <x:v>60eb4c1ec6baefd78c2277da9cc0f32f1a655aa123b894a0438e4580ed6b8ecc</x:v>
      </x:c>
      <x:c r="H232" s="28" t="n">
        <x:v>1</x:v>
      </x:c>
      <x:c r="I232" s="28" t="n">
        <x:v>1</x:v>
      </x:c>
      <x:c r="J232" s="28" t="n">
        <x:v>0</x:v>
      </x:c>
      <x:c r="K232" s="28" t="n">
        <x:v>0</x:v>
      </x:c>
      <x:c r="L232" s="28" t="n">
        <x:v>0</x:v>
      </x:c>
      <x:c r="M232" s="28" t="n">
        <x:v>0</x:v>
      </x:c>
      <x:c r="N232" s="22" t="str"/>
      <x:c r="O232" s="22" t="str"/>
      <x:c r="P232" s="22" t="n">
        <x:v>0</x:v>
      </x:c>
      <x:c r="Q232" s="40" t="n">
        <x:v>0</x:v>
      </x:c>
      <x:c r="R232" s="25" t="str"/>
      <x:c r="S232" s="25" t="str">
        <x:v>BOQ_NAME_ONLY</x:v>
      </x:c>
      <x:c r="T232" s="25" t="str">
        <x:v>자동 표 신호는 최종 A/B로 승격하지 않음</x:v>
      </x:c>
      <x:c r="U232" s="22" t="str">
        <x:v>2021-2025</x:v>
      </x:c>
    </x:row>
    <x:row r="233">
      <x:c r="A233" s="22" t="str">
        <x:v>2020-00086</x:v>
      </x:c>
      <x:c r="B233" s="22" t="str">
        <x:v>L2023-00036-1</x:v>
      </x:c>
      <x:c r="C233" s="22" t="str">
        <x:v>WORKS</x:v>
      </x:c>
      <x:c r="D233" s="25" t="str">
        <x:v>L2023-00036-1/붙임3_입찰관련서류_검토완_0717/Section 4.  Bill of Quantities(Not-Priced)/공내역서/VTC견적서/0 ГП(Site Plan &amp; Landscape+Outdoor Infra)/0-8 НСС(Outside CCTV)/13683_vrmu.xls</x:v>
      </x:c>
      <x:c r="E233" s="22" t="str">
        <x:v>.xls</x:v>
      </x:c>
      <x:c r="F233" s="28" t="n">
        <x:v>58880</x:v>
      </x:c>
      <x:c r="G233" s="28" t="str">
        <x:v>dec38e2426a3423e4a2628c92e9b35bce22644a2d4568e883cac23bda9af639f</x:v>
      </x:c>
      <x:c r="H233" s="28" t="n">
        <x:v>1</x:v>
      </x:c>
      <x:c r="I233" s="28" t="n">
        <x:v>1</x:v>
      </x:c>
      <x:c r="J233" s="28" t="n">
        <x:v>1</x:v>
      </x:c>
      <x:c r="K233" s="28" t="n">
        <x:v>87</x:v>
      </x:c>
      <x:c r="L233" s="28" t="n">
        <x:v>1</x:v>
      </x:c>
      <x:c r="M233" s="28" t="n">
        <x:v>0</x:v>
      </x:c>
      <x:c r="N233" s="22" t="str">
        <x:v>Лист1</x:v>
      </x:c>
      <x:c r="O233" s="22" t="str">
        <x:v>visible</x:v>
      </x:c>
      <x:c r="P233" s="22" t="n">
        <x:v>8</x:v>
      </x:c>
      <x:c r="Q233" s="40" t="n">
        <x:v>0.011494252873563218</x:v>
      </x:c>
      <x:c r="R233" s="25" t="str"/>
      <x:c r="S233" s="25" t="str">
        <x:v>B?</x:v>
      </x:c>
      <x:c r="T233" s="25" t="str">
        <x:v>자동 표 신호는 최종 A/B로 승격하지 않음</x:v>
      </x:c>
      <x:c r="U233" s="22" t="str">
        <x:v>2021-2025</x:v>
      </x:c>
    </x:row>
    <x:row r="234">
      <x:c r="A234" s="22" t="str">
        <x:v>2020-00086</x:v>
      </x:c>
      <x:c r="B234" s="22" t="str">
        <x:v>L2023-00036-1</x:v>
      </x:c>
      <x:c r="C234" s="22" t="str">
        <x:v>WORKS</x:v>
      </x:c>
      <x:c r="D234" s="25" t="str">
        <x:v>L2023-00036-1/붙임3_입찰관련서류_검토완_0717/Section 4.  Bill of Quantities(Not-Priced)/공내역서/VTC견적서/0 ГП(Site Plan &amp; Landscape+Outdoor Infra)/0-8 НСС(Outside CCTV)/13683_vfor.xls</x:v>
      </x:c>
      <x:c r="E234" s="22" t="str">
        <x:v>.xls</x:v>
      </x:c>
      <x:c r="F234" s="28" t="n">
        <x:v>43008</x:v>
      </x:c>
      <x:c r="G234" s="28" t="str">
        <x:v>1d07c8de41f0bc89f5bb0d45ff6b58a77c316e057c58e0078e76db334b69bcbb</x:v>
      </x:c>
      <x:c r="H234" s="28" t="n">
        <x:v>1</x:v>
      </x:c>
      <x:c r="I234" s="28" t="n">
        <x:v>1</x:v>
      </x:c>
      <x:c r="J234" s="28" t="n">
        <x:v>0</x:v>
      </x:c>
      <x:c r="K234" s="28" t="n">
        <x:v>0</x:v>
      </x:c>
      <x:c r="L234" s="28" t="n">
        <x:v>0</x:v>
      </x:c>
      <x:c r="M234" s="28" t="n">
        <x:v>0</x:v>
      </x:c>
      <x:c r="N234" s="22" t="str"/>
      <x:c r="O234" s="22" t="str"/>
      <x:c r="P234" s="22" t="n">
        <x:v>0</x:v>
      </x:c>
      <x:c r="Q234" s="40" t="n">
        <x:v>0</x:v>
      </x:c>
      <x:c r="R234" s="25" t="str"/>
      <x:c r="S234" s="25" t="str">
        <x:v>BOQ_NAME_ONLY</x:v>
      </x:c>
      <x:c r="T234" s="25" t="str">
        <x:v>자동 표 신호는 최종 A/B로 승격하지 않음</x:v>
      </x:c>
      <x:c r="U234" s="22" t="str">
        <x:v>2021-2025</x:v>
      </x:c>
    </x:row>
    <x:row r="235">
      <x:c r="A235" s="22" t="str">
        <x:v>2020-00086</x:v>
      </x:c>
      <x:c r="B235" s="22" t="str">
        <x:v>L2023-00036-1</x:v>
      </x:c>
      <x:c r="C235" s="22" t="str">
        <x:v>WORKS</x:v>
      </x:c>
      <x:c r="D235" s="25" t="str">
        <x:v>L2023-00036-1/붙임3_입찰관련서류_검토완_0717/Section 4.  Bill of Quantities(Not-Priced)/공내역서/VTC견적서/0 ГП(Site Plan &amp; Landscape+Outdoor Infra)/0-8 НСС(Outside CCTV)/bv13680.xls</x:v>
      </x:c>
      <x:c r="E235" s="22" t="str">
        <x:v>.xls</x:v>
      </x:c>
      <x:c r="F235" s="28" t="n">
        <x:v>90624</x:v>
      </x:c>
      <x:c r="G235" s="28" t="str">
        <x:v>ee1cb2dde73307bbbe1f35435c8c23142d9e8947f28e461d2ce3ddabd61afd05</x:v>
      </x:c>
      <x:c r="H235" s="28" t="n">
        <x:v>1</x:v>
      </x:c>
      <x:c r="I235" s="28" t="n">
        <x:v>1</x:v>
      </x:c>
      <x:c r="J235" s="28" t="n">
        <x:v>0</x:v>
      </x:c>
      <x:c r="K235" s="28" t="n">
        <x:v>0</x:v>
      </x:c>
      <x:c r="L235" s="28" t="n">
        <x:v>0</x:v>
      </x:c>
      <x:c r="M235" s="28" t="n">
        <x:v>0</x:v>
      </x:c>
      <x:c r="N235" s="22" t="str"/>
      <x:c r="O235" s="22" t="str"/>
      <x:c r="P235" s="22" t="n">
        <x:v>0</x:v>
      </x:c>
      <x:c r="Q235" s="40" t="n">
        <x:v>0</x:v>
      </x:c>
      <x:c r="R235" s="25" t="str"/>
      <x:c r="S235" s="25" t="str">
        <x:v>BOQ_NAME_ONLY</x:v>
      </x:c>
      <x:c r="T235" s="25" t="str">
        <x:v>자동 표 신호는 최종 A/B로 승격하지 않음</x:v>
      </x:c>
      <x:c r="U235" s="22" t="str">
        <x:v>2021-2025</x:v>
      </x:c>
    </x:row>
    <x:row r="236">
      <x:c r="A236" s="22" t="str">
        <x:v>2020-00086</x:v>
      </x:c>
      <x:c r="B236" s="22" t="str">
        <x:v>L2023-00036-1</x:v>
      </x:c>
      <x:c r="C236" s="22" t="str">
        <x:v>WORKS</x:v>
      </x:c>
      <x:c r="D236" s="25" t="str">
        <x:v>L2023-00036-1/붙임3_입찰관련서류_검토완_0717/Section 4.  Bill of Quantities(Not-Priced)/공내역서/VTC견적서/0 ГП(Site Plan &amp; Landscape+Outdoor Infra)/0-9 НВК(Outside Water Piping)/13693_vfor.xls</x:v>
      </x:c>
      <x:c r="E236" s="22" t="str">
        <x:v>.xls</x:v>
      </x:c>
      <x:c r="F236" s="28" t="n">
        <x:v>50688</x:v>
      </x:c>
      <x:c r="G236" s="28" t="str">
        <x:v>40205bc1eaad85a3c4553624b01d8e2e15cb4fbb02e2385cc4c618c196421564</x:v>
      </x:c>
      <x:c r="H236" s="28" t="n">
        <x:v>1</x:v>
      </x:c>
      <x:c r="I236" s="28" t="n">
        <x:v>1</x:v>
      </x:c>
      <x:c r="J236" s="28" t="n">
        <x:v>0</x:v>
      </x:c>
      <x:c r="K236" s="28" t="n">
        <x:v>0</x:v>
      </x:c>
      <x:c r="L236" s="28" t="n">
        <x:v>0</x:v>
      </x:c>
      <x:c r="M236" s="28" t="n">
        <x:v>0</x:v>
      </x:c>
      <x:c r="N236" s="22" t="str"/>
      <x:c r="O236" s="22" t="str"/>
      <x:c r="P236" s="22" t="n">
        <x:v>0</x:v>
      </x:c>
      <x:c r="Q236" s="40" t="n">
        <x:v>0</x:v>
      </x:c>
      <x:c r="R236" s="25" t="str"/>
      <x:c r="S236" s="25" t="str">
        <x:v>BOQ_NAME_ONLY</x:v>
      </x:c>
      <x:c r="T236" s="25" t="str">
        <x:v>자동 표 신호는 최종 A/B로 승격하지 않음</x:v>
      </x:c>
      <x:c r="U236" s="22" t="str">
        <x:v>2021-2025</x:v>
      </x:c>
    </x:row>
    <x:row r="237">
      <x:c r="A237" s="22" t="str">
        <x:v>2020-00086</x:v>
      </x:c>
      <x:c r="B237" s="22" t="str">
        <x:v>L2023-00036-1</x:v>
      </x:c>
      <x:c r="C237" s="22" t="str">
        <x:v>WORKS</x:v>
      </x:c>
      <x:c r="D237" s="25" t="str">
        <x:v>L2023-00036-1/붙임3_입찰관련서류_검토완_0717/Section 4.  Bill of Quantities(Not-Priced)/공내역서/VTC견적서/0 ГП(Site Plan &amp; Landscape+Outdoor Infra)/0-9 НВК(Outside Water Piping)/13693_vrmu.xls</x:v>
      </x:c>
      <x:c r="E237" s="22" t="str">
        <x:v>.xls</x:v>
      </x:c>
      <x:c r="F237" s="28" t="n">
        <x:v>73728</x:v>
      </x:c>
      <x:c r="G237" s="28" t="str">
        <x:v>7f90477cfd26b71bef664a93e1ccef28539b5f685b7d63c2d2a8a20c834c4893</x:v>
      </x:c>
      <x:c r="H237" s="28" t="n">
        <x:v>1</x:v>
      </x:c>
      <x:c r="I237" s="28" t="n">
        <x:v>1</x:v>
      </x:c>
      <x:c r="J237" s="28" t="n">
        <x:v>1</x:v>
      </x:c>
      <x:c r="K237" s="28" t="n">
        <x:v>123</x:v>
      </x:c>
      <x:c r="L237" s="28" t="n">
        <x:v>1</x:v>
      </x:c>
      <x:c r="M237" s="28" t="n">
        <x:v>0</x:v>
      </x:c>
      <x:c r="N237" s="22" t="str">
        <x:v>Лист1</x:v>
      </x:c>
      <x:c r="O237" s="22" t="str">
        <x:v>visible</x:v>
      </x:c>
      <x:c r="P237" s="22" t="n">
        <x:v>8</x:v>
      </x:c>
      <x:c r="Q237" s="40" t="n">
        <x:v>0.008130081300813009</x:v>
      </x:c>
      <x:c r="R237" s="25" t="str"/>
      <x:c r="S237" s="25" t="str">
        <x:v>B?</x:v>
      </x:c>
      <x:c r="T237" s="25" t="str">
        <x:v>자동 표 신호는 최종 A/B로 승격하지 않음</x:v>
      </x:c>
      <x:c r="U237" s="22" t="str">
        <x:v>2021-2025</x:v>
      </x:c>
    </x:row>
    <x:row r="238">
      <x:c r="A238" s="22" t="str">
        <x:v>2020-00086</x:v>
      </x:c>
      <x:c r="B238" s="22" t="str">
        <x:v>L2023-00036-1</x:v>
      </x:c>
      <x:c r="C238" s="22" t="str">
        <x:v>WORKS</x:v>
      </x:c>
      <x:c r="D238" s="25" t="str">
        <x:v>L2023-00036-1/붙임3_입찰관련서류_검토완_0717/Section 4.  Bill of Quantities(Not-Priced)/공내역서/VTC견적서/0 ГП(Site Plan &amp; Landscape+Outdoor Infra)/0-9 НВК(Outside Water Piping)/bv13690.xls</x:v>
      </x:c>
      <x:c r="E238" s="22" t="str">
        <x:v>.xls</x:v>
      </x:c>
      <x:c r="F238" s="28" t="n">
        <x:v>160256</x:v>
      </x:c>
      <x:c r="G238" s="28" t="str">
        <x:v>1cd6324bf7a0eaec27cb7142830672e0985ab1482b721a78911144c1c4a4cbef</x:v>
      </x:c>
      <x:c r="H238" s="28" t="n">
        <x:v>1</x:v>
      </x:c>
      <x:c r="I238" s="28" t="n">
        <x:v>1</x:v>
      </x:c>
      <x:c r="J238" s="28" t="n">
        <x:v>0</x:v>
      </x:c>
      <x:c r="K238" s="28" t="n">
        <x:v>0</x:v>
      </x:c>
      <x:c r="L238" s="28" t="n">
        <x:v>0</x:v>
      </x:c>
      <x:c r="M238" s="28" t="n">
        <x:v>0</x:v>
      </x:c>
      <x:c r="N238" s="22" t="str"/>
      <x:c r="O238" s="22" t="str"/>
      <x:c r="P238" s="22" t="n">
        <x:v>0</x:v>
      </x:c>
      <x:c r="Q238" s="40" t="n">
        <x:v>0</x:v>
      </x:c>
      <x:c r="R238" s="25" t="str"/>
      <x:c r="S238" s="25" t="str">
        <x:v>BOQ_NAME_ONLY</x:v>
      </x:c>
      <x:c r="T238" s="25" t="str">
        <x:v>자동 표 신호는 최종 A/B로 승격하지 않음</x:v>
      </x:c>
      <x:c r="U238" s="22" t="str">
        <x:v>2021-2025</x:v>
      </x:c>
    </x:row>
    <x:row r="239">
      <x:c r="A239" s="22" t="str">
        <x:v>2020-00086</x:v>
      </x:c>
      <x:c r="B239" s="22" t="str">
        <x:v>L2023-00036-1</x:v>
      </x:c>
      <x:c r="C239" s="22" t="str">
        <x:v>WORKS</x:v>
      </x:c>
      <x:c r="D239" s="25" t="str">
        <x:v>L2023-00036-1/붙임3_입찰관련서류_검토완_0717/Section 4.  Bill of Quantities(Not-Priced)/공내역서/VTC견적서/0 ГП(Site Plan &amp; Landscape+Outdoor Infra)/0-11 СВ(Underground Water Pumping)/bv13710.xls</x:v>
      </x:c>
      <x:c r="E239" s="22" t="str">
        <x:v>.xls</x:v>
      </x:c>
      <x:c r="F239" s="28" t="n">
        <x:v>108544</x:v>
      </x:c>
      <x:c r="G239" s="28" t="str">
        <x:v>78a4e1c483aad218148c44031dc0dbe4b3d4be6d9d60c09536a5798bd508b8f7</x:v>
      </x:c>
      <x:c r="H239" s="28" t="n">
        <x:v>1</x:v>
      </x:c>
      <x:c r="I239" s="28" t="n">
        <x:v>1</x:v>
      </x:c>
      <x:c r="J239" s="28" t="n">
        <x:v>0</x:v>
      </x:c>
      <x:c r="K239" s="28" t="n">
        <x:v>0</x:v>
      </x:c>
      <x:c r="L239" s="28" t="n">
        <x:v>0</x:v>
      </x:c>
      <x:c r="M239" s="28" t="n">
        <x:v>0</x:v>
      </x:c>
      <x:c r="N239" s="22" t="str"/>
      <x:c r="O239" s="22" t="str"/>
      <x:c r="P239" s="22" t="n">
        <x:v>0</x:v>
      </x:c>
      <x:c r="Q239" s="40" t="n">
        <x:v>0</x:v>
      </x:c>
      <x:c r="R239" s="25" t="str"/>
      <x:c r="S239" s="25" t="str">
        <x:v>BOQ_NAME_ONLY</x:v>
      </x:c>
      <x:c r="T239" s="25" t="str">
        <x:v>자동 표 신호는 최종 A/B로 승격하지 않음</x:v>
      </x:c>
      <x:c r="U239" s="22" t="str">
        <x:v>2021-2025</x:v>
      </x:c>
    </x:row>
    <x:row r="240">
      <x:c r="A240" s="22" t="str">
        <x:v>2020-00086</x:v>
      </x:c>
      <x:c r="B240" s="22" t="str">
        <x:v>L2023-00036-1</x:v>
      </x:c>
      <x:c r="C240" s="22" t="str">
        <x:v>WORKS</x:v>
      </x:c>
      <x:c r="D240" s="25" t="str">
        <x:v>L2023-00036-1/붙임3_입찰관련서류_검토완_0717/Section 4.  Bill of Quantities(Not-Priced)/공내역서/VTC견적서/0 ГП(Site Plan &amp; Landscape+Outdoor Infra)/0-11 СВ(Underground Water Pumping)/13713_vrmu.xls</x:v>
      </x:c>
      <x:c r="E240" s="22" t="str">
        <x:v>.xls</x:v>
      </x:c>
      <x:c r="F240" s="28" t="n">
        <x:v>67072</x:v>
      </x:c>
      <x:c r="G240" s="28" t="str">
        <x:v>9e59430416fb626364f3a259cffd4886e2e1573ee703ed00f728dac814d9f4da</x:v>
      </x:c>
      <x:c r="H240" s="28" t="n">
        <x:v>1</x:v>
      </x:c>
      <x:c r="I240" s="28" t="n">
        <x:v>1</x:v>
      </x:c>
      <x:c r="J240" s="28" t="n">
        <x:v>1</x:v>
      </x:c>
      <x:c r="K240" s="28" t="n">
        <x:v>101</x:v>
      </x:c>
      <x:c r="L240" s="28" t="n">
        <x:v>1</x:v>
      </x:c>
      <x:c r="M240" s="28" t="n">
        <x:v>0</x:v>
      </x:c>
      <x:c r="N240" s="22" t="str">
        <x:v>Лист1</x:v>
      </x:c>
      <x:c r="O240" s="22" t="str">
        <x:v>visible</x:v>
      </x:c>
      <x:c r="P240" s="22" t="n">
        <x:v>8</x:v>
      </x:c>
      <x:c r="Q240" s="40" t="n">
        <x:v>0.009900990099009901</x:v>
      </x:c>
      <x:c r="R240" s="25" t="str"/>
      <x:c r="S240" s="25" t="str">
        <x:v>B?</x:v>
      </x:c>
      <x:c r="T240" s="25" t="str">
        <x:v>자동 표 신호는 최종 A/B로 승격하지 않음</x:v>
      </x:c>
      <x:c r="U240" s="22" t="str">
        <x:v>2021-2025</x:v>
      </x:c>
    </x:row>
    <x:row r="241">
      <x:c r="A241" s="22" t="str">
        <x:v>2020-00086</x:v>
      </x:c>
      <x:c r="B241" s="22" t="str">
        <x:v>L2023-00036-1</x:v>
      </x:c>
      <x:c r="C241" s="22" t="str">
        <x:v>WORKS</x:v>
      </x:c>
      <x:c r="D241" s="25" t="str">
        <x:v>L2023-00036-1/붙임3_입찰관련서류_검토완_0717/Section 4.  Bill of Quantities(Not-Priced)/공내역서/VTC견적서/0 ГП(Site Plan &amp; Landscape+Outdoor Infra)/0-11 СВ(Underground Water Pumping)/13713_vfor.xls</x:v>
      </x:c>
      <x:c r="E241" s="22" t="str">
        <x:v>.xls</x:v>
      </x:c>
      <x:c r="F241" s="28" t="n">
        <x:v>40448</x:v>
      </x:c>
      <x:c r="G241" s="28" t="str">
        <x:v>b907108bac749dae0b04900b731d9c1a0b43fea8b519995542662c26c338b56c</x:v>
      </x:c>
      <x:c r="H241" s="28" t="n">
        <x:v>1</x:v>
      </x:c>
      <x:c r="I241" s="28" t="n">
        <x:v>1</x:v>
      </x:c>
      <x:c r="J241" s="28" t="n">
        <x:v>0</x:v>
      </x:c>
      <x:c r="K241" s="28" t="n">
        <x:v>0</x:v>
      </x:c>
      <x:c r="L241" s="28" t="n">
        <x:v>0</x:v>
      </x:c>
      <x:c r="M241" s="28" t="n">
        <x:v>0</x:v>
      </x:c>
      <x:c r="N241" s="22" t="str"/>
      <x:c r="O241" s="22" t="str"/>
      <x:c r="P241" s="22" t="n">
        <x:v>0</x:v>
      </x:c>
      <x:c r="Q241" s="40" t="n">
        <x:v>0</x:v>
      </x:c>
      <x:c r="R241" s="25" t="str"/>
      <x:c r="S241" s="25" t="str">
        <x:v>BOQ_NAME_ONLY</x:v>
      </x:c>
      <x:c r="T241" s="25" t="str">
        <x:v>자동 표 신호는 최종 A/B로 승격하지 않음</x:v>
      </x:c>
      <x:c r="U241" s="22" t="str">
        <x:v>2021-2025</x:v>
      </x:c>
    </x:row>
    <x:row r="242">
      <x:c r="A242" s="22" t="str">
        <x:v>2020-00086</x:v>
      </x:c>
      <x:c r="B242" s="22" t="str">
        <x:v>L2023-00036-1</x:v>
      </x:c>
      <x:c r="C242" s="22" t="str">
        <x:v>WORKS</x:v>
      </x:c>
      <x:c r="D242" s="25" t="str">
        <x:v>L2023-00036-1/붙임3_입찰관련서류_검토완_0717/Section 4.  Bill of Quantities(Not-Priced)/공내역서/VTC견적서/0 ГП(Site Plan &amp; Landscape+Outdoor Infra)/0-5 ГСН(Outdoor Gas Infra)/13653_vrmu.xls</x:v>
      </x:c>
      <x:c r="E242" s="22" t="str">
        <x:v>.xls</x:v>
      </x:c>
      <x:c r="F242" s="28" t="n">
        <x:v>83968</x:v>
      </x:c>
      <x:c r="G242" s="28" t="str">
        <x:v>73cdcf6c26608fd6ed09727e2837da02b88671e6e4a9cf14ce3d854ea7a831f7</x:v>
      </x:c>
      <x:c r="H242" s="28" t="n">
        <x:v>1</x:v>
      </x:c>
      <x:c r="I242" s="28" t="n">
        <x:v>1</x:v>
      </x:c>
      <x:c r="J242" s="28" t="n">
        <x:v>1</x:v>
      </x:c>
      <x:c r="K242" s="28" t="n">
        <x:v>158</x:v>
      </x:c>
      <x:c r="L242" s="28" t="n">
        <x:v>1</x:v>
      </x:c>
      <x:c r="M242" s="28" t="n">
        <x:v>0</x:v>
      </x:c>
      <x:c r="N242" s="22" t="str">
        <x:v>Лист1</x:v>
      </x:c>
      <x:c r="O242" s="22" t="str">
        <x:v>visible</x:v>
      </x:c>
      <x:c r="P242" s="22" t="n">
        <x:v>8</x:v>
      </x:c>
      <x:c r="Q242" s="40" t="n">
        <x:v>0.006329113924050633</x:v>
      </x:c>
      <x:c r="R242" s="25" t="str"/>
      <x:c r="S242" s="25" t="str">
        <x:v>B?</x:v>
      </x:c>
      <x:c r="T242" s="25" t="str">
        <x:v>자동 표 신호는 최종 A/B로 승격하지 않음</x:v>
      </x:c>
      <x:c r="U242" s="22" t="str">
        <x:v>2021-2025</x:v>
      </x:c>
    </x:row>
    <x:row r="243">
      <x:c r="A243" s="22" t="str">
        <x:v>2020-00086</x:v>
      </x:c>
      <x:c r="B243" s="22" t="str">
        <x:v>L2023-00036-1</x:v>
      </x:c>
      <x:c r="C243" s="22" t="str">
        <x:v>WORKS</x:v>
      </x:c>
      <x:c r="D243" s="25" t="str">
        <x:v>L2023-00036-1/붙임3_입찰관련서류_검토완_0717/Section 4.  Bill of Quantities(Not-Priced)/공내역서/VTC견적서/0 ГП(Site Plan &amp; Landscape+Outdoor Infra)/0-5 ГСН(Outdoor Gas Infra)/13653_vfor.xls</x:v>
      </x:c>
      <x:c r="E243" s="22" t="str">
        <x:v>.xls</x:v>
      </x:c>
      <x:c r="F243" s="28" t="n">
        <x:v>50176</x:v>
      </x:c>
      <x:c r="G243" s="28" t="str">
        <x:v>567efd592c487f7ff0d0c59fb9c7d182601f503045ac37195ca1d7619476918a</x:v>
      </x:c>
      <x:c r="H243" s="28" t="n">
        <x:v>1</x:v>
      </x:c>
      <x:c r="I243" s="28" t="n">
        <x:v>1</x:v>
      </x:c>
      <x:c r="J243" s="28" t="n">
        <x:v>0</x:v>
      </x:c>
      <x:c r="K243" s="28" t="n">
        <x:v>0</x:v>
      </x:c>
      <x:c r="L243" s="28" t="n">
        <x:v>0</x:v>
      </x:c>
      <x:c r="M243" s="28" t="n">
        <x:v>0</x:v>
      </x:c>
      <x:c r="N243" s="22" t="str"/>
      <x:c r="O243" s="22" t="str"/>
      <x:c r="P243" s="22" t="n">
        <x:v>0</x:v>
      </x:c>
      <x:c r="Q243" s="40" t="n">
        <x:v>0</x:v>
      </x:c>
      <x:c r="R243" s="25" t="str"/>
      <x:c r="S243" s="25" t="str">
        <x:v>BOQ_NAME_ONLY</x:v>
      </x:c>
      <x:c r="T243" s="25" t="str">
        <x:v>자동 표 신호는 최종 A/B로 승격하지 않음</x:v>
      </x:c>
      <x:c r="U243" s="22" t="str">
        <x:v>2021-2025</x:v>
      </x:c>
    </x:row>
    <x:row r="244">
      <x:c r="A244" s="22" t="str">
        <x:v>2020-00086</x:v>
      </x:c>
      <x:c r="B244" s="22" t="str">
        <x:v>L2023-00036-1</x:v>
      </x:c>
      <x:c r="C244" s="22" t="str">
        <x:v>WORKS</x:v>
      </x:c>
      <x:c r="D244" s="25" t="str">
        <x:v>L2023-00036-1/붙임3_입찰관련서류_검토완_0717/Section 4.  Bill of Quantities(Not-Priced)/공내역서/VTC견적서/0 ГП(Site Plan &amp; Landscape+Outdoor Infra)/0-5 ГСН(Outdoor Gas Infra)/bv13650.xls</x:v>
      </x:c>
      <x:c r="E244" s="22" t="str">
        <x:v>.xls</x:v>
      </x:c>
      <x:c r="F244" s="28" t="n">
        <x:v>158208</x:v>
      </x:c>
      <x:c r="G244" s="28" t="str">
        <x:v>5a395510c961855d96159b216312e8884d10e3b4d57bafd7a4326ad596851fb7</x:v>
      </x:c>
      <x:c r="H244" s="28" t="n">
        <x:v>1</x:v>
      </x:c>
      <x:c r="I244" s="28" t="n">
        <x:v>1</x:v>
      </x:c>
      <x:c r="J244" s="28" t="n">
        <x:v>0</x:v>
      </x:c>
      <x:c r="K244" s="28" t="n">
        <x:v>0</x:v>
      </x:c>
      <x:c r="L244" s="28" t="n">
        <x:v>0</x:v>
      </x:c>
      <x:c r="M244" s="28" t="n">
        <x:v>0</x:v>
      </x:c>
      <x:c r="N244" s="22" t="str"/>
      <x:c r="O244" s="22" t="str"/>
      <x:c r="P244" s="22" t="n">
        <x:v>0</x:v>
      </x:c>
      <x:c r="Q244" s="40" t="n">
        <x:v>0</x:v>
      </x:c>
      <x:c r="R244" s="25" t="str"/>
      <x:c r="S244" s="25" t="str">
        <x:v>BOQ_NAME_ONLY</x:v>
      </x:c>
      <x:c r="T244" s="25" t="str">
        <x:v>자동 표 신호는 최종 A/B로 승격하지 않음</x:v>
      </x:c>
      <x:c r="U244" s="22" t="str">
        <x:v>2021-2025</x:v>
      </x:c>
    </x:row>
    <x:row r="245">
      <x:c r="A245" s="22" t="str">
        <x:v>2020-00086</x:v>
      </x:c>
      <x:c r="B245" s="22" t="str">
        <x:v>L2023-00036-1</x:v>
      </x:c>
      <x:c r="C245" s="22" t="str">
        <x:v>WORKS</x:v>
      </x:c>
      <x:c r="D245" s="25" t="str">
        <x:v>L2023-00036-1/붙임3_입찰관련서류_검토완_0717/Section 4.  Bill of Quantities(Not-Priced)/공내역서/VTC견적서/0 ГП(Site Plan &amp; Landscape+Outdoor Infra)/0-1 ГП(Site Plan+Landscape)/13403_vrmu.xls</x:v>
      </x:c>
      <x:c r="E245" s="22" t="str">
        <x:v>.xls</x:v>
      </x:c>
      <x:c r="F245" s="28" t="n">
        <x:v>57344</x:v>
      </x:c>
      <x:c r="G245" s="28" t="str">
        <x:v>9e93c17fb83cb754c8b2b889d7c88e9d56b7b5e94ef2f36d2c7b96356a99bf8b</x:v>
      </x:c>
      <x:c r="H245" s="28" t="n">
        <x:v>1</x:v>
      </x:c>
      <x:c r="I245" s="28" t="n">
        <x:v>1</x:v>
      </x:c>
      <x:c r="J245" s="28" t="n">
        <x:v>1</x:v>
      </x:c>
      <x:c r="K245" s="28" t="n">
        <x:v>85</x:v>
      </x:c>
      <x:c r="L245" s="28" t="n">
        <x:v>1</x:v>
      </x:c>
      <x:c r="M245" s="28" t="n">
        <x:v>0</x:v>
      </x:c>
      <x:c r="N245" s="22" t="str">
        <x:v>Лист1</x:v>
      </x:c>
      <x:c r="O245" s="22" t="str">
        <x:v>visible</x:v>
      </x:c>
      <x:c r="P245" s="22" t="n">
        <x:v>8</x:v>
      </x:c>
      <x:c r="Q245" s="40" t="n">
        <x:v>0.011764705882352941</x:v>
      </x:c>
      <x:c r="R245" s="25" t="str"/>
      <x:c r="S245" s="25" t="str">
        <x:v>B?</x:v>
      </x:c>
      <x:c r="T245" s="25" t="str">
        <x:v>자동 표 신호는 최종 A/B로 승격하지 않음</x:v>
      </x:c>
      <x:c r="U245" s="22" t="str">
        <x:v>2021-2025</x:v>
      </x:c>
    </x:row>
    <x:row r="246">
      <x:c r="A246" s="22" t="str">
        <x:v>2020-00086</x:v>
      </x:c>
      <x:c r="B246" s="22" t="str">
        <x:v>L2023-00036-1</x:v>
      </x:c>
      <x:c r="C246" s="22" t="str">
        <x:v>WORKS</x:v>
      </x:c>
      <x:c r="D246" s="25" t="str">
        <x:v>L2023-00036-1/붙임3_입찰관련서류_검토완_0717/Section 4.  Bill of Quantities(Not-Priced)/공내역서/VTC견적서/0 ГП(Site Plan &amp; Landscape+Outdoor Infra)/0-1 ГП(Site Plan+Landscape)/bv13400.xls</x:v>
      </x:c>
      <x:c r="E246" s="22" t="str">
        <x:v>.xls</x:v>
      </x:c>
      <x:c r="F246" s="28" t="n">
        <x:v>100864</x:v>
      </x:c>
      <x:c r="G246" s="28" t="str">
        <x:v>c237827588a1b89c4b31b984ef80299ed0268e63e35039a34093895646b82cb6</x:v>
      </x:c>
      <x:c r="H246" s="28" t="n">
        <x:v>1</x:v>
      </x:c>
      <x:c r="I246" s="28" t="n">
        <x:v>1</x:v>
      </x:c>
      <x:c r="J246" s="28" t="n">
        <x:v>0</x:v>
      </x:c>
      <x:c r="K246" s="28" t="n">
        <x:v>0</x:v>
      </x:c>
      <x:c r="L246" s="28" t="n">
        <x:v>0</x:v>
      </x:c>
      <x:c r="M246" s="28" t="n">
        <x:v>0</x:v>
      </x:c>
      <x:c r="N246" s="22" t="str"/>
      <x:c r="O246" s="22" t="str"/>
      <x:c r="P246" s="22" t="n">
        <x:v>0</x:v>
      </x:c>
      <x:c r="Q246" s="40" t="n">
        <x:v>0</x:v>
      </x:c>
      <x:c r="R246" s="25" t="str"/>
      <x:c r="S246" s="25" t="str">
        <x:v>BOQ_NAME_ONLY</x:v>
      </x:c>
      <x:c r="T246" s="25" t="str">
        <x:v>자동 표 신호는 최종 A/B로 승격하지 않음</x:v>
      </x:c>
      <x:c r="U246" s="22" t="str">
        <x:v>2021-2025</x:v>
      </x:c>
    </x:row>
    <x:row r="247">
      <x:c r="A247" s="22" t="str">
        <x:v>2020-00086</x:v>
      </x:c>
      <x:c r="B247" s="22" t="str">
        <x:v>L2023-00036-1</x:v>
      </x:c>
      <x:c r="C247" s="22" t="str">
        <x:v>WORKS</x:v>
      </x:c>
      <x:c r="D247" s="25" t="str">
        <x:v>L2023-00036-1/붙임3_입찰관련서류_검토완_0717/Section 4.  Bill of Quantities(Not-Priced)/공내역서/VTC견적서/0 ГП(Site Plan &amp; Landscape+Outdoor Infra)/0-1 ГП(Site Plan+Landscape)/13403_vfor.xls</x:v>
      </x:c>
      <x:c r="E247" s="22" t="str">
        <x:v>.xls</x:v>
      </x:c>
      <x:c r="F247" s="28" t="n">
        <x:v>40960</x:v>
      </x:c>
      <x:c r="G247" s="28" t="str">
        <x:v>3f220fc5a5b364271bb7c01e7b3a9ffa53b430c77dd7e2b8da559aac8af53508</x:v>
      </x:c>
      <x:c r="H247" s="28" t="n">
        <x:v>1</x:v>
      </x:c>
      <x:c r="I247" s="28" t="n">
        <x:v>1</x:v>
      </x:c>
      <x:c r="J247" s="28" t="n">
        <x:v>0</x:v>
      </x:c>
      <x:c r="K247" s="28" t="n">
        <x:v>0</x:v>
      </x:c>
      <x:c r="L247" s="28" t="n">
        <x:v>0</x:v>
      </x:c>
      <x:c r="M247" s="28" t="n">
        <x:v>0</x:v>
      </x:c>
      <x:c r="N247" s="22" t="str"/>
      <x:c r="O247" s="22" t="str"/>
      <x:c r="P247" s="22" t="n">
        <x:v>0</x:v>
      </x:c>
      <x:c r="Q247" s="40" t="n">
        <x:v>0</x:v>
      </x:c>
      <x:c r="R247" s="25" t="str"/>
      <x:c r="S247" s="25" t="str">
        <x:v>BOQ_NAME_ONLY</x:v>
      </x:c>
      <x:c r="T247" s="25" t="str">
        <x:v>자동 표 신호는 최종 A/B로 승격하지 않음</x:v>
      </x:c>
      <x:c r="U247" s="22" t="str">
        <x:v>2021-2025</x:v>
      </x:c>
    </x:row>
    <x:row r="248">
      <x:c r="A248" s="22" t="str">
        <x:v>2020-00086</x:v>
      </x:c>
      <x:c r="B248" s="22" t="str">
        <x:v>L2023-00036-1</x:v>
      </x:c>
      <x:c r="C248" s="22" t="str">
        <x:v>WORKS</x:v>
      </x:c>
      <x:c r="D248" s="25" t="str">
        <x:v>L2023-00036-1/붙임3_입찰관련서류_검토완_0717/Section 4.  Bill of Quantities(Not-Priced)/공내역서/VTC견적서/6 КПП(Guard House+Fence &amp; Gate)/6-1 КЖ(Structure)/13053_vfor.xls</x:v>
      </x:c>
      <x:c r="E248" s="22" t="str">
        <x:v>.xls</x:v>
      </x:c>
      <x:c r="F248" s="28" t="n">
        <x:v>57856</x:v>
      </x:c>
      <x:c r="G248" s="28" t="str">
        <x:v>4b6138cf061524a28704b118bd7c9f47aac9302aca4030b86c5a714c09dbe871</x:v>
      </x:c>
      <x:c r="H248" s="28" t="n">
        <x:v>1</x:v>
      </x:c>
      <x:c r="I248" s="28" t="n">
        <x:v>1</x:v>
      </x:c>
      <x:c r="J248" s="28" t="n">
        <x:v>0</x:v>
      </x:c>
      <x:c r="K248" s="28" t="n">
        <x:v>0</x:v>
      </x:c>
      <x:c r="L248" s="28" t="n">
        <x:v>0</x:v>
      </x:c>
      <x:c r="M248" s="28" t="n">
        <x:v>0</x:v>
      </x:c>
      <x:c r="N248" s="22" t="str"/>
      <x:c r="O248" s="22" t="str"/>
      <x:c r="P248" s="22" t="n">
        <x:v>0</x:v>
      </x:c>
      <x:c r="Q248" s="40" t="n">
        <x:v>0</x:v>
      </x:c>
      <x:c r="R248" s="25" t="str"/>
      <x:c r="S248" s="25" t="str">
        <x:v>BOQ_NAME_ONLY</x:v>
      </x:c>
      <x:c r="T248" s="25" t="str">
        <x:v>자동 표 신호는 최종 A/B로 승격하지 않음</x:v>
      </x:c>
      <x:c r="U248" s="22" t="str">
        <x:v>2021-2025</x:v>
      </x:c>
    </x:row>
    <x:row r="249">
      <x:c r="A249" s="22" t="str">
        <x:v>2020-00086</x:v>
      </x:c>
      <x:c r="B249" s="22" t="str">
        <x:v>L2023-00036-1</x:v>
      </x:c>
      <x:c r="C249" s="22" t="str">
        <x:v>WORKS</x:v>
      </x:c>
      <x:c r="D249" s="25" t="str">
        <x:v>L2023-00036-1/붙임3_입찰관련서류_검토완_0717/Section 4.  Bill of Quantities(Not-Priced)/공내역서/VTC견적서/6 КПП(Guard House+Fence &amp; Gate)/6-1 КЖ(Structure)/13053_vrmu.xls</x:v>
      </x:c>
      <x:c r="E249" s="22" t="str">
        <x:v>.xls</x:v>
      </x:c>
      <x:c r="F249" s="28" t="n">
        <x:v>72704</x:v>
      </x:c>
      <x:c r="G249" s="28" t="str">
        <x:v>dcc0b7139d1a295111335bacbfa1dec0eb5c4d8fd84c4550f6c49f5003c87115</x:v>
      </x:c>
      <x:c r="H249" s="28" t="n">
        <x:v>1</x:v>
      </x:c>
      <x:c r="I249" s="28" t="n">
        <x:v>1</x:v>
      </x:c>
      <x:c r="J249" s="28" t="n">
        <x:v>1</x:v>
      </x:c>
      <x:c r="K249" s="28" t="n">
        <x:v>120</x:v>
      </x:c>
      <x:c r="L249" s="28" t="n">
        <x:v>1</x:v>
      </x:c>
      <x:c r="M249" s="28" t="n">
        <x:v>0</x:v>
      </x:c>
      <x:c r="N249" s="22" t="str">
        <x:v>Лист1</x:v>
      </x:c>
      <x:c r="O249" s="22" t="str">
        <x:v>visible</x:v>
      </x:c>
      <x:c r="P249" s="22" t="n">
        <x:v>8</x:v>
      </x:c>
      <x:c r="Q249" s="40" t="n">
        <x:v>0.008333333333333333</x:v>
      </x:c>
      <x:c r="R249" s="25" t="str"/>
      <x:c r="S249" s="25" t="str">
        <x:v>B?</x:v>
      </x:c>
      <x:c r="T249" s="25" t="str">
        <x:v>자동 표 신호는 최종 A/B로 승격하지 않음</x:v>
      </x:c>
      <x:c r="U249" s="22" t="str">
        <x:v>2021-2025</x:v>
      </x:c>
    </x:row>
    <x:row r="250">
      <x:c r="A250" s="22" t="str">
        <x:v>2020-00086</x:v>
      </x:c>
      <x:c r="B250" s="22" t="str">
        <x:v>L2023-00036-1</x:v>
      </x:c>
      <x:c r="C250" s="22" t="str">
        <x:v>WORKS</x:v>
      </x:c>
      <x:c r="D250" s="25" t="str">
        <x:v>L2023-00036-1/붙임3_입찰관련서류_검토완_0717/Section 4.  Bill of Quantities(Not-Priced)/공내역서/VTC견적서/6 КПП(Guard House+Fence &amp; Gate)/6-1 КЖ(Structure)/bv13050.xls</x:v>
      </x:c>
      <x:c r="E250" s="22" t="str">
        <x:v>.xls</x:v>
      </x:c>
      <x:c r="F250" s="28" t="n">
        <x:v>186368</x:v>
      </x:c>
      <x:c r="G250" s="28" t="str">
        <x:v>ecb8d5c1397c5c50289b9fbd88481d3cee7bb833c0a9a712edc967ee65d8af3f</x:v>
      </x:c>
      <x:c r="H250" s="28" t="n">
        <x:v>1</x:v>
      </x:c>
      <x:c r="I250" s="28" t="n">
        <x:v>1</x:v>
      </x:c>
      <x:c r="J250" s="28" t="n">
        <x:v>0</x:v>
      </x:c>
      <x:c r="K250" s="28" t="n">
        <x:v>0</x:v>
      </x:c>
      <x:c r="L250" s="28" t="n">
        <x:v>0</x:v>
      </x:c>
      <x:c r="M250" s="28" t="n">
        <x:v>0</x:v>
      </x:c>
      <x:c r="N250" s="22" t="str"/>
      <x:c r="O250" s="22" t="str"/>
      <x:c r="P250" s="22" t="n">
        <x:v>0</x:v>
      </x:c>
      <x:c r="Q250" s="40" t="n">
        <x:v>0</x:v>
      </x:c>
      <x:c r="R250" s="25" t="str"/>
      <x:c r="S250" s="25" t="str">
        <x:v>BOQ_NAME_ONLY</x:v>
      </x:c>
      <x:c r="T250" s="25" t="str">
        <x:v>자동 표 신호는 최종 A/B로 승격하지 않음</x:v>
      </x:c>
      <x:c r="U250" s="22" t="str">
        <x:v>2021-2025</x:v>
      </x:c>
    </x:row>
    <x:row r="251">
      <x:c r="A251" s="22" t="str">
        <x:v>2020-00086</x:v>
      </x:c>
      <x:c r="B251" s="22" t="str">
        <x:v>L2023-00036-1</x:v>
      </x:c>
      <x:c r="C251" s="22" t="str">
        <x:v>WORKS</x:v>
      </x:c>
      <x:c r="D251" s="25" t="str">
        <x:v>L2023-00036-1/붙임3_입찰관련서류_검토완_0717/Section 4.  Bill of Quantities(Not-Priced)/공내역서/VTC견적서/6 КПП(Guard House+Fence &amp; Gate)/6-5 ЭО(Electric)/13533_vfor.xls</x:v>
      </x:c>
      <x:c r="E251" s="22" t="str">
        <x:v>.xls</x:v>
      </x:c>
      <x:c r="F251" s="28" t="n">
        <x:v>45568</x:v>
      </x:c>
      <x:c r="G251" s="28" t="str">
        <x:v>a8c797c5c49f18bcd37916401194d6111b33f4cd1c1431c0bc17678dc1ef7507</x:v>
      </x:c>
      <x:c r="H251" s="28" t="n">
        <x:v>1</x:v>
      </x:c>
      <x:c r="I251" s="28" t="n">
        <x:v>1</x:v>
      </x:c>
      <x:c r="J251" s="28" t="n">
        <x:v>1</x:v>
      </x:c>
      <x:c r="K251" s="28" t="n">
        <x:v>28</x:v>
      </x:c>
      <x:c r="L251" s="28" t="n">
        <x:v>0</x:v>
      </x:c>
      <x:c r="M251" s="28" t="n">
        <x:v>0</x:v>
      </x:c>
      <x:c r="N251" s="22" t="str">
        <x:v>Лист1</x:v>
      </x:c>
      <x:c r="O251" s="22" t="str">
        <x:v>visible</x:v>
      </x:c>
      <x:c r="P251" s="22" t="n">
        <x:v>9</x:v>
      </x:c>
      <x:c r="Q251" s="40" t="n">
        <x:v>0</x:v>
      </x:c>
      <x:c r="R251" s="25" t="str"/>
      <x:c r="S251" s="25" t="str">
        <x:v>B?</x:v>
      </x:c>
      <x:c r="T251" s="25" t="str">
        <x:v>자동 표 신호는 최종 A/B로 승격하지 않음</x:v>
      </x:c>
      <x:c r="U251" s="22" t="str">
        <x:v>2021-2025</x:v>
      </x:c>
    </x:row>
    <x:row r="252">
      <x:c r="A252" s="22" t="str">
        <x:v>2020-00086</x:v>
      </x:c>
      <x:c r="B252" s="22" t="str">
        <x:v>L2023-00036-1</x:v>
      </x:c>
      <x:c r="C252" s="22" t="str">
        <x:v>WORKS</x:v>
      </x:c>
      <x:c r="D252" s="25" t="str">
        <x:v>L2023-00036-1/붙임3_입찰관련서류_검토완_0717/Section 4.  Bill of Quantities(Not-Priced)/공내역서/VTC견적서/6 КПП(Guard House+Fence &amp; Gate)/6-5 ЭО(Electric)/13533_vrmu.xls</x:v>
      </x:c>
      <x:c r="E252" s="22" t="str">
        <x:v>.xls</x:v>
      </x:c>
      <x:c r="F252" s="28" t="n">
        <x:v>51712</x:v>
      </x:c>
      <x:c r="G252" s="28" t="str">
        <x:v>adc4d0090b25860f05ae432980f8a84532193b463acbd300f4d5fa3acf31929d</x:v>
      </x:c>
      <x:c r="H252" s="28" t="n">
        <x:v>1</x:v>
      </x:c>
      <x:c r="I252" s="28" t="n">
        <x:v>1</x:v>
      </x:c>
      <x:c r="J252" s="28" t="n">
        <x:v>1</x:v>
      </x:c>
      <x:c r="K252" s="28" t="n">
        <x:v>51</x:v>
      </x:c>
      <x:c r="L252" s="28" t="n">
        <x:v>1</x:v>
      </x:c>
      <x:c r="M252" s="28" t="n">
        <x:v>0</x:v>
      </x:c>
      <x:c r="N252" s="22" t="str">
        <x:v>Лист1</x:v>
      </x:c>
      <x:c r="O252" s="22" t="str">
        <x:v>visible</x:v>
      </x:c>
      <x:c r="P252" s="22" t="n">
        <x:v>8</x:v>
      </x:c>
      <x:c r="Q252" s="40" t="n">
        <x:v>0.0196078431372549</x:v>
      </x:c>
      <x:c r="R252" s="25" t="str"/>
      <x:c r="S252" s="25" t="str">
        <x:v>B?</x:v>
      </x:c>
      <x:c r="T252" s="25" t="str">
        <x:v>자동 표 신호는 최종 A/B로 승격하지 않음</x:v>
      </x:c>
      <x:c r="U252" s="22" t="str">
        <x:v>2021-2025</x:v>
      </x:c>
    </x:row>
    <x:row r="253">
      <x:c r="A253" s="22" t="str">
        <x:v>2020-00086</x:v>
      </x:c>
      <x:c r="B253" s="22" t="str">
        <x:v>L2023-00036-1</x:v>
      </x:c>
      <x:c r="C253" s="22" t="str">
        <x:v>WORKS</x:v>
      </x:c>
      <x:c r="D253" s="25" t="str">
        <x:v>L2023-00036-1/붙임3_입찰관련서류_검토완_0717/Section 4.  Bill of Quantities(Not-Priced)/공내역서/VTC견적서/6 КПП(Guard House+Fence &amp; Gate)/6-5 ЭО(Electric)/bv13530.xls</x:v>
      </x:c>
      <x:c r="E253" s="22" t="str">
        <x:v>.xls</x:v>
      </x:c>
      <x:c r="F253" s="28" t="n">
        <x:v>77824</x:v>
      </x:c>
      <x:c r="G253" s="28" t="str">
        <x:v>245b723563475e969548ffaaf40bf6267f9670b17170e37180d848a6826ae285</x:v>
      </x:c>
      <x:c r="H253" s="28" t="n">
        <x:v>1</x:v>
      </x:c>
      <x:c r="I253" s="28" t="n">
        <x:v>1</x:v>
      </x:c>
      <x:c r="J253" s="28" t="n">
        <x:v>1</x:v>
      </x:c>
      <x:c r="K253" s="28" t="n">
        <x:v>123</x:v>
      </x:c>
      <x:c r="L253" s="28" t="n">
        <x:v>0</x:v>
      </x:c>
      <x:c r="M253" s="28" t="n">
        <x:v>0</x:v>
      </x:c>
      <x:c r="N253" s="22" t="str">
        <x:v>6-5_ЛРВ</x:v>
      </x:c>
      <x:c r="O253" s="22" t="str">
        <x:v>visible</x:v>
      </x:c>
      <x:c r="P253" s="22" t="n">
        <x:v>10</x:v>
      </x:c>
      <x:c r="Q253" s="40" t="n">
        <x:v>0</x:v>
      </x:c>
      <x:c r="R253" s="25" t="str"/>
      <x:c r="S253" s="25" t="str">
        <x:v>B?</x:v>
      </x:c>
      <x:c r="T253" s="25" t="str">
        <x:v>자동 표 신호는 최종 A/B로 승격하지 않음</x:v>
      </x:c>
      <x:c r="U253" s="22" t="str">
        <x:v>2021-2025</x:v>
      </x:c>
    </x:row>
    <x:row r="254">
      <x:c r="A254" s="22" t="str">
        <x:v>2020-00086</x:v>
      </x:c>
      <x:c r="B254" s="22" t="str">
        <x:v>L2023-00036-1</x:v>
      </x:c>
      <x:c r="C254" s="22" t="str">
        <x:v>WORKS</x:v>
      </x:c>
      <x:c r="D254" s="25" t="str">
        <x:v>L2023-00036-1/붙임3_입찰관련서류_검토완_0717/Section 4.  Bill of Quantities(Not-Priced)/공내역서/VTC견적서/6 КПП(Guard House+Fence &amp; Gate)/6-4 ВК(Water &amp; Sewer &amp; Fire plug)/13163_vrmu.xls</x:v>
      </x:c>
      <x:c r="E254" s="22" t="str">
        <x:v>.xls</x:v>
      </x:c>
      <x:c r="F254" s="28" t="n">
        <x:v>51712</x:v>
      </x:c>
      <x:c r="G254" s="28" t="str">
        <x:v>02996d3aeb403f16f777614300c531dffc91202f13226adbc63fdcd4170cf27b</x:v>
      </x:c>
      <x:c r="H254" s="28" t="n">
        <x:v>1</x:v>
      </x:c>
      <x:c r="I254" s="28" t="n">
        <x:v>1</x:v>
      </x:c>
      <x:c r="J254" s="28" t="n">
        <x:v>1</x:v>
      </x:c>
      <x:c r="K254" s="28" t="n">
        <x:v>69</x:v>
      </x:c>
      <x:c r="L254" s="28" t="n">
        <x:v>1</x:v>
      </x:c>
      <x:c r="M254" s="28" t="n">
        <x:v>0</x:v>
      </x:c>
      <x:c r="N254" s="22" t="str">
        <x:v>Лист1</x:v>
      </x:c>
      <x:c r="O254" s="22" t="str">
        <x:v>visible</x:v>
      </x:c>
      <x:c r="P254" s="22" t="n">
        <x:v>8</x:v>
      </x:c>
      <x:c r="Q254" s="40" t="n">
        <x:v>0.014492753623188406</x:v>
      </x:c>
      <x:c r="R254" s="25" t="str"/>
      <x:c r="S254" s="25" t="str">
        <x:v>B?</x:v>
      </x:c>
      <x:c r="T254" s="25" t="str">
        <x:v>자동 표 신호는 최종 A/B로 승격하지 않음</x:v>
      </x:c>
      <x:c r="U254" s="22" t="str">
        <x:v>2021-2025</x:v>
      </x:c>
    </x:row>
    <x:row r="255">
      <x:c r="A255" s="22" t="str">
        <x:v>2020-00086</x:v>
      </x:c>
      <x:c r="B255" s="22" t="str">
        <x:v>L2023-00036-1</x:v>
      </x:c>
      <x:c r="C255" s="22" t="str">
        <x:v>WORKS</x:v>
      </x:c>
      <x:c r="D255" s="25" t="str">
        <x:v>L2023-00036-1/붙임3_입찰관련서류_검토완_0717/Section 4.  Bill of Quantities(Not-Priced)/공내역서/VTC견적서/6 КПП(Guard House+Fence &amp; Gate)/6-4 ВК(Water &amp; Sewer &amp; Fire plug)/13163_vfor.xls</x:v>
      </x:c>
      <x:c r="E255" s="22" t="str">
        <x:v>.xls</x:v>
      </x:c>
      <x:c r="F255" s="28" t="n">
        <x:v>42496</x:v>
      </x:c>
      <x:c r="G255" s="28" t="str">
        <x:v>df6220b225173aa488bd8d4a23eb05263619cbf4e888bbe98ea36c01265e50fc</x:v>
      </x:c>
      <x:c r="H255" s="28" t="n">
        <x:v>1</x:v>
      </x:c>
      <x:c r="I255" s="28" t="n">
        <x:v>1</x:v>
      </x:c>
      <x:c r="J255" s="28" t="n">
        <x:v>1</x:v>
      </x:c>
      <x:c r="K255" s="28" t="n">
        <x:v>34</x:v>
      </x:c>
      <x:c r="L255" s="28" t="n">
        <x:v>0</x:v>
      </x:c>
      <x:c r="M255" s="28" t="n">
        <x:v>0</x:v>
      </x:c>
      <x:c r="N255" s="22" t="str">
        <x:v>Лист1</x:v>
      </x:c>
      <x:c r="O255" s="22" t="str">
        <x:v>visible</x:v>
      </x:c>
      <x:c r="P255" s="22" t="n">
        <x:v>9</x:v>
      </x:c>
      <x:c r="Q255" s="40" t="n">
        <x:v>0</x:v>
      </x:c>
      <x:c r="R255" s="25" t="str"/>
      <x:c r="S255" s="25" t="str">
        <x:v>B?</x:v>
      </x:c>
      <x:c r="T255" s="25" t="str">
        <x:v>자동 표 신호는 최종 A/B로 승격하지 않음</x:v>
      </x:c>
      <x:c r="U255" s="22" t="str">
        <x:v>2021-2025</x:v>
      </x:c>
    </x:row>
    <x:row r="256">
      <x:c r="A256" s="22" t="str">
        <x:v>2020-00086</x:v>
      </x:c>
      <x:c r="B256" s="22" t="str">
        <x:v>L2023-00036-1</x:v>
      </x:c>
      <x:c r="C256" s="22" t="str">
        <x:v>WORKS</x:v>
      </x:c>
      <x:c r="D256" s="25" t="str">
        <x:v>L2023-00036-1/붙임3_입찰관련서류_검토완_0717/Section 4.  Bill of Quantities(Not-Priced)/공내역서/VTC견적서/6 КПП(Guard House+Fence &amp; Gate)/6-4 ВК(Water &amp; Sewer &amp; Fire plug)/bv13160.xls</x:v>
      </x:c>
      <x:c r="E256" s="22" t="str">
        <x:v>.xls</x:v>
      </x:c>
      <x:c r="F256" s="28" t="n">
        <x:v>81408</x:v>
      </x:c>
      <x:c r="G256" s="28" t="str">
        <x:v>0da398eedf5f2bce997092265a779da29c1e9aad374c13682effe71359e455e6</x:v>
      </x:c>
      <x:c r="H256" s="28" t="n">
        <x:v>1</x:v>
      </x:c>
      <x:c r="I256" s="28" t="n">
        <x:v>1</x:v>
      </x:c>
      <x:c r="J256" s="28" t="n">
        <x:v>1</x:v>
      </x:c>
      <x:c r="K256" s="28" t="n">
        <x:v>127</x:v>
      </x:c>
      <x:c r="L256" s="28" t="n">
        <x:v>0</x:v>
      </x:c>
      <x:c r="M256" s="28" t="n">
        <x:v>0</x:v>
      </x:c>
      <x:c r="N256" s="22" t="str">
        <x:v>6-4_ЛРВ</x:v>
      </x:c>
      <x:c r="O256" s="22" t="str">
        <x:v>visible</x:v>
      </x:c>
      <x:c r="P256" s="22" t="n">
        <x:v>10</x:v>
      </x:c>
      <x:c r="Q256" s="40" t="n">
        <x:v>0</x:v>
      </x:c>
      <x:c r="R256" s="25" t="str"/>
      <x:c r="S256" s="25" t="str">
        <x:v>B?</x:v>
      </x:c>
      <x:c r="T256" s="25" t="str">
        <x:v>자동 표 신호는 최종 A/B로 승격하지 않음</x:v>
      </x:c>
      <x:c r="U256" s="22" t="str">
        <x:v>2021-2025</x:v>
      </x:c>
    </x:row>
    <x:row r="257">
      <x:c r="A257" s="22" t="str">
        <x:v>2020-00086</x:v>
      </x:c>
      <x:c r="B257" s="22" t="str">
        <x:v>L2023-00036-1</x:v>
      </x:c>
      <x:c r="C257" s="22" t="str">
        <x:v>WORKS</x:v>
      </x:c>
      <x:c r="D257" s="25" t="str">
        <x:v>L2023-00036-1/붙임3_입찰관련서류_검토완_0717/Section 4.  Bill of Quantities(Not-Priced)/공내역서/VTC견적서/6 КПП(Guard House+Fence &amp; Gate)/6-2 АР(Architecture)/bv13200.xls</x:v>
      </x:c>
      <x:c r="E257" s="22" t="str">
        <x:v>.xls</x:v>
      </x:c>
      <x:c r="F257" s="28" t="n">
        <x:v>129024</x:v>
      </x:c>
      <x:c r="G257" s="28" t="str">
        <x:v>438cdab323bc3e1f71d5b490c7094683b5141f8e682754558baf8ad56fb493b6</x:v>
      </x:c>
      <x:c r="H257" s="28" t="n">
        <x:v>1</x:v>
      </x:c>
      <x:c r="I257" s="28" t="n">
        <x:v>1</x:v>
      </x:c>
      <x:c r="J257" s="28" t="n">
        <x:v>1</x:v>
      </x:c>
      <x:c r="K257" s="28" t="n">
        <x:v>336</x:v>
      </x:c>
      <x:c r="L257" s="28" t="n">
        <x:v>0</x:v>
      </x:c>
      <x:c r="M257" s="28" t="n">
        <x:v>0</x:v>
      </x:c>
      <x:c r="N257" s="22" t="str">
        <x:v>6-2_ЛРВ</x:v>
      </x:c>
      <x:c r="O257" s="22" t="str">
        <x:v>visible</x:v>
      </x:c>
      <x:c r="P257" s="22" t="n">
        <x:v>10</x:v>
      </x:c>
      <x:c r="Q257" s="40" t="n">
        <x:v>0</x:v>
      </x:c>
      <x:c r="R257" s="25" t="str"/>
      <x:c r="S257" s="25" t="str">
        <x:v>B?</x:v>
      </x:c>
      <x:c r="T257" s="25" t="str">
        <x:v>자동 표 신호는 최종 A/B로 승격하지 않음</x:v>
      </x:c>
      <x:c r="U257" s="22" t="str">
        <x:v>2021-2025</x:v>
      </x:c>
    </x:row>
    <x:row r="258">
      <x:c r="A258" s="22" t="str">
        <x:v>2020-00086</x:v>
      </x:c>
      <x:c r="B258" s="22" t="str">
        <x:v>L2023-00036-1</x:v>
      </x:c>
      <x:c r="C258" s="22" t="str">
        <x:v>WORKS</x:v>
      </x:c>
      <x:c r="D258" s="25" t="str">
        <x:v>L2023-00036-1/붙임3_입찰관련서류_검토완_0717/Section 4.  Bill of Quantities(Not-Priced)/공내역서/VTC견적서/6 КПП(Guard House+Fence &amp; Gate)/6-2 АР(Architecture)/13203_vfor.xls</x:v>
      </x:c>
      <x:c r="E258" s="22" t="str">
        <x:v>.xls</x:v>
      </x:c>
      <x:c r="F258" s="28" t="n">
        <x:v>48640</x:v>
      </x:c>
      <x:c r="G258" s="28" t="str">
        <x:v>21fa111c58e5d02f90ed6d5bf2e47e5fc93e3e0b70ff150c2a2bfd5f7ce512f3</x:v>
      </x:c>
      <x:c r="H258" s="28" t="n">
        <x:v>1</x:v>
      </x:c>
      <x:c r="I258" s="28" t="n">
        <x:v>1</x:v>
      </x:c>
      <x:c r="J258" s="28" t="n">
        <x:v>0</x:v>
      </x:c>
      <x:c r="K258" s="28" t="n">
        <x:v>0</x:v>
      </x:c>
      <x:c r="L258" s="28" t="n">
        <x:v>0</x:v>
      </x:c>
      <x:c r="M258" s="28" t="n">
        <x:v>0</x:v>
      </x:c>
      <x:c r="N258" s="22" t="str"/>
      <x:c r="O258" s="22" t="str"/>
      <x:c r="P258" s="22" t="n">
        <x:v>0</x:v>
      </x:c>
      <x:c r="Q258" s="40" t="n">
        <x:v>0</x:v>
      </x:c>
      <x:c r="R258" s="25" t="str"/>
      <x:c r="S258" s="25" t="str">
        <x:v>BOQ_NAME_ONLY</x:v>
      </x:c>
      <x:c r="T258" s="25" t="str">
        <x:v>자동 표 신호는 최종 A/B로 승격하지 않음</x:v>
      </x:c>
      <x:c r="U258" s="22" t="str">
        <x:v>2021-2025</x:v>
      </x:c>
    </x:row>
    <x:row r="259">
      <x:c r="A259" s="22" t="str">
        <x:v>2020-00086</x:v>
      </x:c>
      <x:c r="B259" s="22" t="str">
        <x:v>L2023-00036-1</x:v>
      </x:c>
      <x:c r="C259" s="22" t="str">
        <x:v>WORKS</x:v>
      </x:c>
      <x:c r="D259" s="25" t="str">
        <x:v>L2023-00036-1/붙임3_입찰관련서류_검토완_0717/Section 4.  Bill of Quantities(Not-Priced)/공내역서/VTC견적서/6 КПП(Guard House+Fence &amp; Gate)/6-2 АР(Architecture)/13203_vrmu.xls</x:v>
      </x:c>
      <x:c r="E259" s="22" t="str">
        <x:v>.xls</x:v>
      </x:c>
      <x:c r="F259" s="28" t="n">
        <x:v>61440</x:v>
      </x:c>
      <x:c r="G259" s="28" t="str">
        <x:v>cdc00d62f8cb153c9478d025a81ca7bcec02338d395b64066ecdb866f099a689</x:v>
      </x:c>
      <x:c r="H259" s="28" t="n">
        <x:v>1</x:v>
      </x:c>
      <x:c r="I259" s="28" t="n">
        <x:v>1</x:v>
      </x:c>
      <x:c r="J259" s="28" t="n">
        <x:v>1</x:v>
      </x:c>
      <x:c r="K259" s="28" t="n">
        <x:v>112</x:v>
      </x:c>
      <x:c r="L259" s="28" t="n">
        <x:v>1</x:v>
      </x:c>
      <x:c r="M259" s="28" t="n">
        <x:v>0</x:v>
      </x:c>
      <x:c r="N259" s="22" t="str">
        <x:v>Лист1</x:v>
      </x:c>
      <x:c r="O259" s="22" t="str">
        <x:v>visible</x:v>
      </x:c>
      <x:c r="P259" s="22" t="n">
        <x:v>8</x:v>
      </x:c>
      <x:c r="Q259" s="40" t="n">
        <x:v>0.008928571428571428</x:v>
      </x:c>
      <x:c r="R259" s="25" t="str"/>
      <x:c r="S259" s="25" t="str">
        <x:v>B?</x:v>
      </x:c>
      <x:c r="T259" s="25" t="str">
        <x:v>자동 표 신호는 최종 A/B로 승격하지 않음</x:v>
      </x:c>
      <x:c r="U259" s="22" t="str">
        <x:v>2021-2025</x:v>
      </x:c>
    </x:row>
    <x:row r="260">
      <x:c r="A260" s="22" t="str">
        <x:v>2020-00086</x:v>
      </x:c>
      <x:c r="B260" s="22" t="str">
        <x:v>L2023-00036-1</x:v>
      </x:c>
      <x:c r="C260" s="22" t="str">
        <x:v>WORKS</x:v>
      </x:c>
      <x:c r="D260" s="25" t="str">
        <x:v>L2023-00036-1/붙임3_입찰관련서류_검토완_0717/Section 4.  Bill of Quantities(Not-Priced)/공내역서/VTC견적서/6 КПП(Guard House+Fence &amp; Gate)/6-7 ВН, СКС(CCTV &amp; Network)/13363_vfor.xls</x:v>
      </x:c>
      <x:c r="E260" s="22" t="str">
        <x:v>.xls</x:v>
      </x:c>
      <x:c r="F260" s="28" t="n">
        <x:v>48128</x:v>
      </x:c>
      <x:c r="G260" s="28" t="str">
        <x:v>36c9333a99d57c47105b911fbcb3486700e28e5017f87607868f0f75926dffa2</x:v>
      </x:c>
      <x:c r="H260" s="28" t="n">
        <x:v>1</x:v>
      </x:c>
      <x:c r="I260" s="28" t="n">
        <x:v>1</x:v>
      </x:c>
      <x:c r="J260" s="28" t="n">
        <x:v>1</x:v>
      </x:c>
      <x:c r="K260" s="28" t="n">
        <x:v>46</x:v>
      </x:c>
      <x:c r="L260" s="28" t="n">
        <x:v>0</x:v>
      </x:c>
      <x:c r="M260" s="28" t="n">
        <x:v>0</x:v>
      </x:c>
      <x:c r="N260" s="22" t="str">
        <x:v>Лист1</x:v>
      </x:c>
      <x:c r="O260" s="22" t="str">
        <x:v>visible</x:v>
      </x:c>
      <x:c r="P260" s="22" t="n">
        <x:v>9</x:v>
      </x:c>
      <x:c r="Q260" s="40" t="n">
        <x:v>0</x:v>
      </x:c>
      <x:c r="R260" s="25" t="str"/>
      <x:c r="S260" s="25" t="str">
        <x:v>B?</x:v>
      </x:c>
      <x:c r="T260" s="25" t="str">
        <x:v>자동 표 신호는 최종 A/B로 승격하지 않음</x:v>
      </x:c>
      <x:c r="U260" s="22" t="str">
        <x:v>2021-2025</x:v>
      </x:c>
    </x:row>
    <x:row r="261">
      <x:c r="A261" s="22" t="str">
        <x:v>2020-00086</x:v>
      </x:c>
      <x:c r="B261" s="22" t="str">
        <x:v>L2023-00036-1</x:v>
      </x:c>
      <x:c r="C261" s="22" t="str">
        <x:v>WORKS</x:v>
      </x:c>
      <x:c r="D261" s="25" t="str">
        <x:v>L2023-00036-1/붙임3_입찰관련서류_검토완_0717/Section 4.  Bill of Quantities(Not-Priced)/공내역서/VTC견적서/6 КПП(Guard House+Fence &amp; Gate)/6-7 ВН, СКС(CCTV &amp; Network)/bv13360.xls</x:v>
      </x:c>
      <x:c r="E261" s="22" t="str">
        <x:v>.xls</x:v>
      </x:c>
      <x:c r="F261" s="28" t="n">
        <x:v>88576</x:v>
      </x:c>
      <x:c r="G261" s="28" t="str">
        <x:v>74bc8b533c92a35d0c29c637a7feab7f5b9a68290b45af8b0e0690bf0416adab</x:v>
      </x:c>
      <x:c r="H261" s="28" t="n">
        <x:v>1</x:v>
      </x:c>
      <x:c r="I261" s="28" t="n">
        <x:v>1</x:v>
      </x:c>
      <x:c r="J261" s="28" t="n">
        <x:v>1</x:v>
      </x:c>
      <x:c r="K261" s="28" t="n">
        <x:v>157</x:v>
      </x:c>
      <x:c r="L261" s="28" t="n">
        <x:v>0</x:v>
      </x:c>
      <x:c r="M261" s="28" t="n">
        <x:v>0</x:v>
      </x:c>
      <x:c r="N261" s="22" t="str">
        <x:v>6-7_ЛРВ</x:v>
      </x:c>
      <x:c r="O261" s="22" t="str">
        <x:v>visible</x:v>
      </x:c>
      <x:c r="P261" s="22" t="n">
        <x:v>10</x:v>
      </x:c>
      <x:c r="Q261" s="40" t="n">
        <x:v>0</x:v>
      </x:c>
      <x:c r="R261" s="25" t="str"/>
      <x:c r="S261" s="25" t="str">
        <x:v>B?</x:v>
      </x:c>
      <x:c r="T261" s="25" t="str">
        <x:v>자동 표 신호는 최종 A/B로 승격하지 않음</x:v>
      </x:c>
      <x:c r="U261" s="22" t="str">
        <x:v>2021-2025</x:v>
      </x:c>
    </x:row>
    <x:row r="262">
      <x:c r="A262" s="22" t="str">
        <x:v>2020-00086</x:v>
      </x:c>
      <x:c r="B262" s="22" t="str">
        <x:v>L2023-00036-1</x:v>
      </x:c>
      <x:c r="C262" s="22" t="str">
        <x:v>WORKS</x:v>
      </x:c>
      <x:c r="D262" s="25" t="str">
        <x:v>L2023-00036-1/붙임3_입찰관련서류_검토완_0717/Section 4.  Bill of Quantities(Not-Priced)/공내역서/VTC견적서/6 КПП(Guard House+Fence &amp; Gate)/6-7 ВН, СКС(CCTV &amp; Network)/13363_vrmu.xls</x:v>
      </x:c>
      <x:c r="E262" s="22" t="str">
        <x:v>.xls</x:v>
      </x:c>
      <x:c r="F262" s="28" t="n">
        <x:v>57344</x:v>
      </x:c>
      <x:c r="G262" s="28" t="str">
        <x:v>bb45d8fce2bdc88caf7c66fd7cb3a7b238228ed5926d5e1cd6c17d10d95924ee</x:v>
      </x:c>
      <x:c r="H262" s="28" t="n">
        <x:v>1</x:v>
      </x:c>
      <x:c r="I262" s="28" t="n">
        <x:v>1</x:v>
      </x:c>
      <x:c r="J262" s="28" t="n">
        <x:v>1</x:v>
      </x:c>
      <x:c r="K262" s="28" t="n">
        <x:v>79</x:v>
      </x:c>
      <x:c r="L262" s="28" t="n">
        <x:v>1</x:v>
      </x:c>
      <x:c r="M262" s="28" t="n">
        <x:v>0</x:v>
      </x:c>
      <x:c r="N262" s="22" t="str">
        <x:v>Лист1</x:v>
      </x:c>
      <x:c r="O262" s="22" t="str">
        <x:v>visible</x:v>
      </x:c>
      <x:c r="P262" s="22" t="n">
        <x:v>8</x:v>
      </x:c>
      <x:c r="Q262" s="40" t="n">
        <x:v>0.012658227848101266</x:v>
      </x:c>
      <x:c r="R262" s="25" t="str"/>
      <x:c r="S262" s="25" t="str">
        <x:v>B?</x:v>
      </x:c>
      <x:c r="T262" s="25" t="str">
        <x:v>자동 표 신호는 최종 A/B로 승격하지 않음</x:v>
      </x:c>
      <x:c r="U262" s="22" t="str">
        <x:v>2021-2025</x:v>
      </x:c>
    </x:row>
    <x:row r="263">
      <x:c r="A263" s="22" t="str">
        <x:v>2020-00086</x:v>
      </x:c>
      <x:c r="B263" s="22" t="str">
        <x:v>L2023-00036-1</x:v>
      </x:c>
      <x:c r="C263" s="22" t="str">
        <x:v>WORKS</x:v>
      </x:c>
      <x:c r="D263" s="25" t="str">
        <x:v>L2023-00036-1/붙임3_입찰관련서류_검토완_0717/Section 4.  Bill of Quantities(Not-Priced)/공내역서/VTC견적서/6 КПП(Guard House+Fence &amp; Gate)/6-6 ПС(Fire Alarm)/bv13350.xls</x:v>
      </x:c>
      <x:c r="E263" s="22" t="str">
        <x:v>.xls</x:v>
      </x:c>
      <x:c r="F263" s="28" t="n">
        <x:v>68608</x:v>
      </x:c>
      <x:c r="G263" s="28" t="str">
        <x:v>3fedac4c69065bad31ff8ef486ec7a572c6b66408b084530fddeb99286af3107</x:v>
      </x:c>
      <x:c r="H263" s="28" t="n">
        <x:v>1</x:v>
      </x:c>
      <x:c r="I263" s="28" t="n">
        <x:v>1</x:v>
      </x:c>
      <x:c r="J263" s="28" t="n">
        <x:v>0</x:v>
      </x:c>
      <x:c r="K263" s="28" t="n">
        <x:v>0</x:v>
      </x:c>
      <x:c r="L263" s="28" t="n">
        <x:v>0</x:v>
      </x:c>
      <x:c r="M263" s="28" t="n">
        <x:v>0</x:v>
      </x:c>
      <x:c r="N263" s="22" t="str"/>
      <x:c r="O263" s="22" t="str"/>
      <x:c r="P263" s="22" t="n">
        <x:v>0</x:v>
      </x:c>
      <x:c r="Q263" s="40" t="n">
        <x:v>0</x:v>
      </x:c>
      <x:c r="R263" s="25" t="str"/>
      <x:c r="S263" s="25" t="str">
        <x:v>BOQ_NAME_ONLY</x:v>
      </x:c>
      <x:c r="T263" s="25" t="str">
        <x:v>자동 표 신호는 최종 A/B로 승격하지 않음</x:v>
      </x:c>
      <x:c r="U263" s="22" t="str">
        <x:v>2021-2025</x:v>
      </x:c>
    </x:row>
    <x:row r="264">
      <x:c r="A264" s="22" t="str">
        <x:v>2020-00086</x:v>
      </x:c>
      <x:c r="B264" s="22" t="str">
        <x:v>L2023-00036-1</x:v>
      </x:c>
      <x:c r="C264" s="22" t="str">
        <x:v>WORKS</x:v>
      </x:c>
      <x:c r="D264" s="25" t="str">
        <x:v>L2023-00036-1/붙임3_입찰관련서류_검토완_0717/Section 4.  Bill of Quantities(Not-Priced)/공내역서/VTC견적서/6 КПП(Guard House+Fence &amp; Gate)/6-6 ПС(Fire Alarm)/13353_vrmu.xls</x:v>
      </x:c>
      <x:c r="E264" s="22" t="str">
        <x:v>.xls</x:v>
      </x:c>
      <x:c r="F264" s="28" t="n">
        <x:v>45568</x:v>
      </x:c>
      <x:c r="G264" s="28" t="str">
        <x:v>1042a9e9f47e2df7996e894c927dd8ac8c3cc20fef3dfd2e0469d34176fb67a4</x:v>
      </x:c>
      <x:c r="H264" s="28" t="n">
        <x:v>1</x:v>
      </x:c>
      <x:c r="I264" s="28" t="n">
        <x:v>1</x:v>
      </x:c>
      <x:c r="J264" s="28" t="n">
        <x:v>0</x:v>
      </x:c>
      <x:c r="K264" s="28" t="n">
        <x:v>0</x:v>
      </x:c>
      <x:c r="L264" s="28" t="n">
        <x:v>0</x:v>
      </x:c>
      <x:c r="M264" s="28" t="n">
        <x:v>0</x:v>
      </x:c>
      <x:c r="N264" s="22" t="str"/>
      <x:c r="O264" s="22" t="str"/>
      <x:c r="P264" s="22" t="n">
        <x:v>0</x:v>
      </x:c>
      <x:c r="Q264" s="40" t="n">
        <x:v>0</x:v>
      </x:c>
      <x:c r="R264" s="25" t="str"/>
      <x:c r="S264" s="25" t="str">
        <x:v>BOQ_NAME_ONLY</x:v>
      </x:c>
      <x:c r="T264" s="25" t="str">
        <x:v>자동 표 신호는 최종 A/B로 승격하지 않음</x:v>
      </x:c>
      <x:c r="U264" s="22" t="str">
        <x:v>2021-2025</x:v>
      </x:c>
    </x:row>
    <x:row r="265">
      <x:c r="A265" s="22" t="str">
        <x:v>2020-00086</x:v>
      </x:c>
      <x:c r="B265" s="22" t="str">
        <x:v>L2023-00036-1</x:v>
      </x:c>
      <x:c r="C265" s="22" t="str">
        <x:v>WORKS</x:v>
      </x:c>
      <x:c r="D265" s="25" t="str">
        <x:v>L2023-00036-1/붙임3_입찰관련서류_검토완_0717/Section 4.  Bill of Quantities(Not-Priced)/공내역서/VTC견적서/6 КПП(Guard House+Fence &amp; Gate)/6-6 ПС(Fire Alarm)/13353_vfor.xls</x:v>
      </x:c>
      <x:c r="E265" s="22" t="str">
        <x:v>.xls</x:v>
      </x:c>
      <x:c r="F265" s="28" t="n">
        <x:v>39936</x:v>
      </x:c>
      <x:c r="G265" s="28" t="str">
        <x:v>ada6a09861b75baeced88918213281f646dd23f8d179cda036079e272dedf6d9</x:v>
      </x:c>
      <x:c r="H265" s="28" t="n">
        <x:v>1</x:v>
      </x:c>
      <x:c r="I265" s="28" t="n">
        <x:v>1</x:v>
      </x:c>
      <x:c r="J265" s="28" t="n">
        <x:v>1</x:v>
      </x:c>
      <x:c r="K265" s="28" t="n">
        <x:v>25</x:v>
      </x:c>
      <x:c r="L265" s="28" t="n">
        <x:v>0</x:v>
      </x:c>
      <x:c r="M265" s="28" t="n">
        <x:v>0</x:v>
      </x:c>
      <x:c r="N265" s="22" t="str">
        <x:v>Лист1</x:v>
      </x:c>
      <x:c r="O265" s="22" t="str">
        <x:v>visible</x:v>
      </x:c>
      <x:c r="P265" s="22" t="n">
        <x:v>9</x:v>
      </x:c>
      <x:c r="Q265" s="40" t="n">
        <x:v>0</x:v>
      </x:c>
      <x:c r="R265" s="25" t="str"/>
      <x:c r="S265" s="25" t="str">
        <x:v>B?</x:v>
      </x:c>
      <x:c r="T265" s="25" t="str">
        <x:v>자동 표 신호는 최종 A/B로 승격하지 않음</x:v>
      </x:c>
      <x:c r="U265" s="22" t="str">
        <x:v>2021-2025</x:v>
      </x:c>
    </x:row>
    <x:row r="266">
      <x:c r="A266" s="22" t="str">
        <x:v>2020-00086</x:v>
      </x:c>
      <x:c r="B266" s="22" t="str">
        <x:v>L2023-00036-1</x:v>
      </x:c>
      <x:c r="C266" s="22" t="str">
        <x:v>WORKS</x:v>
      </x:c>
      <x:c r="D266" s="25" t="str">
        <x:v>L2023-00036-1/붙임3_입찰관련서류_검토완_0717/Section 4.  Bill of Quantities(Not-Priced)/공내역서/VTC견적서/6 КПП(Guard House+Fence &amp; Gate)/6-3 ОВ(Heating &amp; Ventilation)/13553_vfor.xls</x:v>
      </x:c>
      <x:c r="E266" s="22" t="str">
        <x:v>.xls</x:v>
      </x:c>
      <x:c r="F266" s="28" t="n">
        <x:v>39424</x:v>
      </x:c>
      <x:c r="G266" s="28" t="str">
        <x:v>221afcc766216a2167659cd706b07c07df791349f680a06ec88931f4e140e87d</x:v>
      </x:c>
      <x:c r="H266" s="28" t="n">
        <x:v>1</x:v>
      </x:c>
      <x:c r="I266" s="28" t="n">
        <x:v>1</x:v>
      </x:c>
      <x:c r="J266" s="28" t="n">
        <x:v>1</x:v>
      </x:c>
      <x:c r="K266" s="28" t="n">
        <x:v>10</x:v>
      </x:c>
      <x:c r="L266" s="28" t="n">
        <x:v>0</x:v>
      </x:c>
      <x:c r="M266" s="28" t="n">
        <x:v>0</x:v>
      </x:c>
      <x:c r="N266" s="22" t="str">
        <x:v>Лист1</x:v>
      </x:c>
      <x:c r="O266" s="22" t="str">
        <x:v>visible</x:v>
      </x:c>
      <x:c r="P266" s="22" t="n">
        <x:v>9</x:v>
      </x:c>
      <x:c r="Q266" s="40" t="n">
        <x:v>0</x:v>
      </x:c>
      <x:c r="R266" s="25" t="str"/>
      <x:c r="S266" s="25" t="str">
        <x:v>B?</x:v>
      </x:c>
      <x:c r="T266" s="25" t="str">
        <x:v>자동 표 신호는 최종 A/B로 승격하지 않음</x:v>
      </x:c>
      <x:c r="U266" s="22" t="str">
        <x:v>2021-2025</x:v>
      </x:c>
    </x:row>
    <x:row r="267">
      <x:c r="A267" s="22" t="str">
        <x:v>2020-00086</x:v>
      </x:c>
      <x:c r="B267" s="22" t="str">
        <x:v>L2023-00036-1</x:v>
      </x:c>
      <x:c r="C267" s="22" t="str">
        <x:v>WORKS</x:v>
      </x:c>
      <x:c r="D267" s="25" t="str">
        <x:v>L2023-00036-1/붙임3_입찰관련서류_검토완_0717/Section 4.  Bill of Quantities(Not-Priced)/공내역서/VTC견적서/6 КПП(Guard House+Fence &amp; Gate)/6-3 ОВ(Heating &amp; Ventilation)/13553_vrmu.xls</x:v>
      </x:c>
      <x:c r="E267" s="22" t="str">
        <x:v>.xls</x:v>
      </x:c>
      <x:c r="F267" s="28" t="n">
        <x:v>47104</x:v>
      </x:c>
      <x:c r="G267" s="28" t="str">
        <x:v>7c9d9051925373dc66d2ca05fefd5ea839554e87b692910a8f4c2f7831d68277</x:v>
      </x:c>
      <x:c r="H267" s="28" t="n">
        <x:v>1</x:v>
      </x:c>
      <x:c r="I267" s="28" t="n">
        <x:v>1</x:v>
      </x:c>
      <x:c r="J267" s="28" t="n">
        <x:v>1</x:v>
      </x:c>
      <x:c r="K267" s="28" t="n">
        <x:v>43</x:v>
      </x:c>
      <x:c r="L267" s="28" t="n">
        <x:v>1</x:v>
      </x:c>
      <x:c r="M267" s="28" t="n">
        <x:v>0</x:v>
      </x:c>
      <x:c r="N267" s="22" t="str">
        <x:v>Лист1</x:v>
      </x:c>
      <x:c r="O267" s="22" t="str">
        <x:v>visible</x:v>
      </x:c>
      <x:c r="P267" s="22" t="n">
        <x:v>8</x:v>
      </x:c>
      <x:c r="Q267" s="40" t="n">
        <x:v>0.023255813953488372</x:v>
      </x:c>
      <x:c r="R267" s="25" t="str"/>
      <x:c r="S267" s="25" t="str">
        <x:v>B?</x:v>
      </x:c>
      <x:c r="T267" s="25" t="str">
        <x:v>자동 표 신호는 최종 A/B로 승격하지 않음</x:v>
      </x:c>
      <x:c r="U267" s="22" t="str">
        <x:v>2021-2025</x:v>
      </x:c>
    </x:row>
    <x:row r="268">
      <x:c r="A268" s="22" t="str">
        <x:v>2020-00086</x:v>
      </x:c>
      <x:c r="B268" s="22" t="str">
        <x:v>L2023-00036-1</x:v>
      </x:c>
      <x:c r="C268" s="22" t="str">
        <x:v>WORKS</x:v>
      </x:c>
      <x:c r="D268" s="25" t="str">
        <x:v>L2023-00036-1/붙임3_입찰관련서류_검토완_0717/Section 4.  Bill of Quantities(Not-Priced)/공내역서/VTC견적서/6 КПП(Guard House+Fence &amp; Gate)/6-3 ОВ(Heating &amp; Ventilation)/bv13550.xls</x:v>
      </x:c>
      <x:c r="E268" s="22" t="str">
        <x:v>.xls</x:v>
      </x:c>
      <x:c r="F268" s="28" t="n">
        <x:v>64000</x:v>
      </x:c>
      <x:c r="G268" s="28" t="str">
        <x:v>028f57741a7980eb9293cf32591884faf6ce3b4531076bbbf2f780cc5aeb3c5c</x:v>
      </x:c>
      <x:c r="H268" s="28" t="n">
        <x:v>1</x:v>
      </x:c>
      <x:c r="I268" s="28" t="n">
        <x:v>1</x:v>
      </x:c>
      <x:c r="J268" s="28" t="n">
        <x:v>1</x:v>
      </x:c>
      <x:c r="K268" s="28" t="n">
        <x:v>58</x:v>
      </x:c>
      <x:c r="L268" s="28" t="n">
        <x:v>0</x:v>
      </x:c>
      <x:c r="M268" s="28" t="n">
        <x:v>0</x:v>
      </x:c>
      <x:c r="N268" s="22" t="str">
        <x:v>6-3_ЛРВ</x:v>
      </x:c>
      <x:c r="O268" s="22" t="str">
        <x:v>visible</x:v>
      </x:c>
      <x:c r="P268" s="22" t="n">
        <x:v>10</x:v>
      </x:c>
      <x:c r="Q268" s="40" t="n">
        <x:v>0</x:v>
      </x:c>
      <x:c r="R268" s="25" t="str"/>
      <x:c r="S268" s="25" t="str">
        <x:v>B?</x:v>
      </x:c>
      <x:c r="T268" s="25" t="str">
        <x:v>자동 표 신호는 최종 A/B로 승격하지 않음</x:v>
      </x:c>
      <x:c r="U268" s="22" t="str">
        <x:v>2021-2025</x:v>
      </x:c>
    </x:row>
    <x:row r="269">
      <x:c r="A269" s="22" t="str">
        <x:v>2020-00086</x:v>
      </x:c>
      <x:c r="B269" s="22" t="str">
        <x:v>L2023-00036-1</x:v>
      </x:c>
      <x:c r="C269" s="22" t="str">
        <x:v>WORKS</x:v>
      </x:c>
      <x:c r="D269" s="25" t="str">
        <x:v>L2023-00036-1/붙임3_입찰관련서류_검토완_0717/Section 4.  Bill of Quantities(Not-Priced)/공내역서/VTC견적서/2 УПК(Practice and Education Building)/2-9 ГСВ(Gas)/13583_vfor.xls</x:v>
      </x:c>
      <x:c r="E269" s="22" t="str">
        <x:v>.xls</x:v>
      </x:c>
      <x:c r="F269" s="28" t="n">
        <x:v>38400</x:v>
      </x:c>
      <x:c r="G269" s="28" t="str">
        <x:v>ec378189ec8e3fc423efb9636e24d6a2214a259d2af40c14f92b5626a47a4b53</x:v>
      </x:c>
      <x:c r="H269" s="28" t="n">
        <x:v>1</x:v>
      </x:c>
      <x:c r="I269" s="28" t="n">
        <x:v>1</x:v>
      </x:c>
      <x:c r="J269" s="28" t="n">
        <x:v>0</x:v>
      </x:c>
      <x:c r="K269" s="28" t="n">
        <x:v>0</x:v>
      </x:c>
      <x:c r="L269" s="28" t="n">
        <x:v>0</x:v>
      </x:c>
      <x:c r="M269" s="28" t="n">
        <x:v>0</x:v>
      </x:c>
      <x:c r="N269" s="22" t="str"/>
      <x:c r="O269" s="22" t="str"/>
      <x:c r="P269" s="22" t="n">
        <x:v>0</x:v>
      </x:c>
      <x:c r="Q269" s="40" t="n">
        <x:v>0</x:v>
      </x:c>
      <x:c r="R269" s="25" t="str"/>
      <x:c r="S269" s="25" t="str">
        <x:v>BOQ_NAME_ONLY</x:v>
      </x:c>
      <x:c r="T269" s="25" t="str">
        <x:v>자동 표 신호는 최종 A/B로 승격하지 않음</x:v>
      </x:c>
      <x:c r="U269" s="22" t="str">
        <x:v>2021-2025</x:v>
      </x:c>
    </x:row>
    <x:row r="270">
      <x:c r="A270" s="22" t="str">
        <x:v>2020-00086</x:v>
      </x:c>
      <x:c r="B270" s="22" t="str">
        <x:v>L2023-00036-1</x:v>
      </x:c>
      <x:c r="C270" s="22" t="str">
        <x:v>WORKS</x:v>
      </x:c>
      <x:c r="D270" s="25" t="str">
        <x:v>L2023-00036-1/붙임3_입찰관련서류_검토완_0717/Section 4.  Bill of Quantities(Not-Priced)/공내역서/VTC견적서/2 УПК(Practice and Education Building)/2-9 ГСВ(Gas)/13583_vrmu.xls</x:v>
      </x:c>
      <x:c r="E270" s="22" t="str">
        <x:v>.xls</x:v>
      </x:c>
      <x:c r="F270" s="28" t="n">
        <x:v>58368</x:v>
      </x:c>
      <x:c r="G270" s="28" t="str">
        <x:v>79c0d45acad111aa632a5123591aee7f4aaf88bfcc819bf29af6b23500a562ad</x:v>
      </x:c>
      <x:c r="H270" s="28" t="n">
        <x:v>1</x:v>
      </x:c>
      <x:c r="I270" s="28" t="n">
        <x:v>1</x:v>
      </x:c>
      <x:c r="J270" s="28" t="n">
        <x:v>1</x:v>
      </x:c>
      <x:c r="K270" s="28" t="n">
        <x:v>75</x:v>
      </x:c>
      <x:c r="L270" s="28" t="n">
        <x:v>1</x:v>
      </x:c>
      <x:c r="M270" s="28" t="n">
        <x:v>0</x:v>
      </x:c>
      <x:c r="N270" s="22" t="str">
        <x:v>Лист1</x:v>
      </x:c>
      <x:c r="O270" s="22" t="str">
        <x:v>visible</x:v>
      </x:c>
      <x:c r="P270" s="22" t="n">
        <x:v>8</x:v>
      </x:c>
      <x:c r="Q270" s="40" t="n">
        <x:v>0.013333333333333334</x:v>
      </x:c>
      <x:c r="R270" s="25" t="str"/>
      <x:c r="S270" s="25" t="str">
        <x:v>B?</x:v>
      </x:c>
      <x:c r="T270" s="25" t="str">
        <x:v>자동 표 신호는 최종 A/B로 승격하지 않음</x:v>
      </x:c>
      <x:c r="U270" s="22" t="str">
        <x:v>2021-2025</x:v>
      </x:c>
    </x:row>
    <x:row r="271">
      <x:c r="A271" s="22" t="str">
        <x:v>2020-00086</x:v>
      </x:c>
      <x:c r="B271" s="22" t="str">
        <x:v>L2023-00036-1</x:v>
      </x:c>
      <x:c r="C271" s="22" t="str">
        <x:v>WORKS</x:v>
      </x:c>
      <x:c r="D271" s="25" t="str">
        <x:v>L2023-00036-1/붙임3_입찰관련서류_검토완_0717/Section 4.  Bill of Quantities(Not-Priced)/공내역서/VTC견적서/2 УПК(Practice and Education Building)/2-9 ГСВ(Gas)/bv13580.xls</x:v>
      </x:c>
      <x:c r="E271" s="22" t="str">
        <x:v>.xls</x:v>
      </x:c>
      <x:c r="F271" s="28" t="n">
        <x:v>97792</x:v>
      </x:c>
      <x:c r="G271" s="28" t="str">
        <x:v>e2f79d457ed4fef8a6f0beb829b71d27adcc667ae940dd195ceb0fc2d6b8be1f</x:v>
      </x:c>
      <x:c r="H271" s="28" t="n">
        <x:v>1</x:v>
      </x:c>
      <x:c r="I271" s="28" t="n">
        <x:v>1</x:v>
      </x:c>
      <x:c r="J271" s="28" t="n">
        <x:v>0</x:v>
      </x:c>
      <x:c r="K271" s="28" t="n">
        <x:v>0</x:v>
      </x:c>
      <x:c r="L271" s="28" t="n">
        <x:v>0</x:v>
      </x:c>
      <x:c r="M271" s="28" t="n">
        <x:v>0</x:v>
      </x:c>
      <x:c r="N271" s="22" t="str"/>
      <x:c r="O271" s="22" t="str"/>
      <x:c r="P271" s="22" t="n">
        <x:v>0</x:v>
      </x:c>
      <x:c r="Q271" s="40" t="n">
        <x:v>0</x:v>
      </x:c>
      <x:c r="R271" s="25" t="str"/>
      <x:c r="S271" s="25" t="str">
        <x:v>BOQ_NAME_ONLY</x:v>
      </x:c>
      <x:c r="T271" s="25" t="str">
        <x:v>자동 표 신호는 최종 A/B로 승격하지 않음</x:v>
      </x:c>
      <x:c r="U271" s="22" t="str">
        <x:v>2021-2025</x:v>
      </x:c>
    </x:row>
    <x:row r="272">
      <x:c r="A272" s="22" t="str">
        <x:v>2020-00086</x:v>
      </x:c>
      <x:c r="B272" s="22" t="str">
        <x:v>L2023-00036-1</x:v>
      </x:c>
      <x:c r="C272" s="22" t="str">
        <x:v>WORKS</x:v>
      </x:c>
      <x:c r="D272" s="25" t="str">
        <x:v>L2023-00036-1/붙임3_입찰관련서류_검토완_0717/Section 4.  Bill of Quantities(Not-Priced)/공내역서/VTC견적서/2 УПК(Practice and Education Building)/2-6 ПС(Fire Alarm)/bv13270.xls</x:v>
      </x:c>
      <x:c r="E272" s="22" t="str">
        <x:v>.xls</x:v>
      </x:c>
      <x:c r="F272" s="28" t="n">
        <x:v>81408</x:v>
      </x:c>
      <x:c r="G272" s="28" t="str">
        <x:v>d46cd1888c84107a56dd7e1a1f3e026e361cbd56a90fe559692389429af17a31</x:v>
      </x:c>
      <x:c r="H272" s="28" t="n">
        <x:v>1</x:v>
      </x:c>
      <x:c r="I272" s="28" t="n">
        <x:v>1</x:v>
      </x:c>
      <x:c r="J272" s="28" t="n">
        <x:v>0</x:v>
      </x:c>
      <x:c r="K272" s="28" t="n">
        <x:v>0</x:v>
      </x:c>
      <x:c r="L272" s="28" t="n">
        <x:v>0</x:v>
      </x:c>
      <x:c r="M272" s="28" t="n">
        <x:v>0</x:v>
      </x:c>
      <x:c r="N272" s="22" t="str"/>
      <x:c r="O272" s="22" t="str"/>
      <x:c r="P272" s="22" t="n">
        <x:v>0</x:v>
      </x:c>
      <x:c r="Q272" s="40" t="n">
        <x:v>0</x:v>
      </x:c>
      <x:c r="R272" s="25" t="str"/>
      <x:c r="S272" s="25" t="str">
        <x:v>BOQ_NAME_ONLY</x:v>
      </x:c>
      <x:c r="T272" s="25" t="str">
        <x:v>자동 표 신호는 최종 A/B로 승격하지 않음</x:v>
      </x:c>
      <x:c r="U272" s="22" t="str">
        <x:v>2021-2025</x:v>
      </x:c>
    </x:row>
    <x:row r="273">
      <x:c r="A273" s="22" t="str">
        <x:v>2020-00086</x:v>
      </x:c>
      <x:c r="B273" s="22" t="str">
        <x:v>L2023-00036-1</x:v>
      </x:c>
      <x:c r="C273" s="22" t="str">
        <x:v>WORKS</x:v>
      </x:c>
      <x:c r="D273" s="25" t="str">
        <x:v>L2023-00036-1/붙임3_입찰관련서류_검토완_0717/Section 4.  Bill of Quantities(Not-Priced)/공내역서/VTC견적서/2 УПК(Practice and Education Building)/2-6 ПС(Fire Alarm)/13273_vrmu.xls</x:v>
      </x:c>
      <x:c r="E273" s="22" t="str">
        <x:v>.xls</x:v>
      </x:c>
      <x:c r="F273" s="28" t="n">
        <x:v>51712</x:v>
      </x:c>
      <x:c r="G273" s="28" t="str">
        <x:v>37a7d416719880479a04287f43738c935aabd798ceb429a6996cc4e3c53eacf9</x:v>
      </x:c>
      <x:c r="H273" s="28" t="n">
        <x:v>1</x:v>
      </x:c>
      <x:c r="I273" s="28" t="n">
        <x:v>1</x:v>
      </x:c>
      <x:c r="J273" s="28" t="n">
        <x:v>1</x:v>
      </x:c>
      <x:c r="K273" s="28" t="n">
        <x:v>64</x:v>
      </x:c>
      <x:c r="L273" s="28" t="n">
        <x:v>1</x:v>
      </x:c>
      <x:c r="M273" s="28" t="n">
        <x:v>0</x:v>
      </x:c>
      <x:c r="N273" s="22" t="str">
        <x:v>Лист1</x:v>
      </x:c>
      <x:c r="O273" s="22" t="str">
        <x:v>visible</x:v>
      </x:c>
      <x:c r="P273" s="22" t="n">
        <x:v>8</x:v>
      </x:c>
      <x:c r="Q273" s="40" t="n">
        <x:v>0.015625</x:v>
      </x:c>
      <x:c r="R273" s="25" t="str"/>
      <x:c r="S273" s="25" t="str">
        <x:v>B?</x:v>
      </x:c>
      <x:c r="T273" s="25" t="str">
        <x:v>자동 표 신호는 최종 A/B로 승격하지 않음</x:v>
      </x:c>
      <x:c r="U273" s="22" t="str">
        <x:v>2021-2025</x:v>
      </x:c>
    </x:row>
    <x:row r="274">
      <x:c r="A274" s="22" t="str">
        <x:v>2020-00086</x:v>
      </x:c>
      <x:c r="B274" s="22" t="str">
        <x:v>L2023-00036-1</x:v>
      </x:c>
      <x:c r="C274" s="22" t="str">
        <x:v>WORKS</x:v>
      </x:c>
      <x:c r="D274" s="25" t="str">
        <x:v>L2023-00036-1/붙임3_입찰관련서류_검토완_0717/Section 4.  Bill of Quantities(Not-Priced)/공내역서/VTC견적서/2 УПК(Practice and Education Building)/2-6 ПС(Fire Alarm)/13273_vfor.xls</x:v>
      </x:c>
      <x:c r="E274" s="22" t="str">
        <x:v>.xls</x:v>
      </x:c>
      <x:c r="F274" s="28" t="n">
        <x:v>39424</x:v>
      </x:c>
      <x:c r="G274" s="28" t="str">
        <x:v>9253b08795feafb761135dfb7172359fd6821432264e5cec4a3ba2c9aaaef0df</x:v>
      </x:c>
      <x:c r="H274" s="28" t="n">
        <x:v>1</x:v>
      </x:c>
      <x:c r="I274" s="28" t="n">
        <x:v>1</x:v>
      </x:c>
      <x:c r="J274" s="28" t="n">
        <x:v>0</x:v>
      </x:c>
      <x:c r="K274" s="28" t="n">
        <x:v>0</x:v>
      </x:c>
      <x:c r="L274" s="28" t="n">
        <x:v>0</x:v>
      </x:c>
      <x:c r="M274" s="28" t="n">
        <x:v>0</x:v>
      </x:c>
      <x:c r="N274" s="22" t="str"/>
      <x:c r="O274" s="22" t="str"/>
      <x:c r="P274" s="22" t="n">
        <x:v>0</x:v>
      </x:c>
      <x:c r="Q274" s="40" t="n">
        <x:v>0</x:v>
      </x:c>
      <x:c r="R274" s="25" t="str"/>
      <x:c r="S274" s="25" t="str">
        <x:v>BOQ_NAME_ONLY</x:v>
      </x:c>
      <x:c r="T274" s="25" t="str">
        <x:v>자동 표 신호는 최종 A/B로 승격하지 않음</x:v>
      </x:c>
      <x:c r="U274" s="22" t="str">
        <x:v>2021-2025</x:v>
      </x:c>
    </x:row>
    <x:row r="275">
      <x:c r="A275" s="22" t="str">
        <x:v>2020-00086</x:v>
      </x:c>
      <x:c r="B275" s="22" t="str">
        <x:v>L2023-00036-1</x:v>
      </x:c>
      <x:c r="C275" s="22" t="str">
        <x:v>WORKS</x:v>
      </x:c>
      <x:c r="D275" s="25" t="str">
        <x:v>L2023-00036-1/붙임3_입찰관련서류_검토완_0717/Section 4.  Bill of Quantities(Not-Priced)/공내역서/VTC견적서/2 УПК(Practice and Education Building)/2-8 ТМ(Boiler &amp; Solar heating)/13433_vfor.xls</x:v>
      </x:c>
      <x:c r="E275" s="22" t="str">
        <x:v>.xls</x:v>
      </x:c>
      <x:c r="F275" s="28" t="n">
        <x:v>61952</x:v>
      </x:c>
      <x:c r="G275" s="28" t="str">
        <x:v>d1c10b9aaca880e34e432f14a598fbfa9d3620e37ff970f3d323e49ce5560785</x:v>
      </x:c>
      <x:c r="H275" s="28" t="n">
        <x:v>1</x:v>
      </x:c>
      <x:c r="I275" s="28" t="n">
        <x:v>1</x:v>
      </x:c>
      <x:c r="J275" s="28" t="n">
        <x:v>0</x:v>
      </x:c>
      <x:c r="K275" s="28" t="n">
        <x:v>0</x:v>
      </x:c>
      <x:c r="L275" s="28" t="n">
        <x:v>0</x:v>
      </x:c>
      <x:c r="M275" s="28" t="n">
        <x:v>0</x:v>
      </x:c>
      <x:c r="N275" s="22" t="str"/>
      <x:c r="O275" s="22" t="str"/>
      <x:c r="P275" s="22" t="n">
        <x:v>0</x:v>
      </x:c>
      <x:c r="Q275" s="40" t="n">
        <x:v>0</x:v>
      </x:c>
      <x:c r="R275" s="25" t="str"/>
      <x:c r="S275" s="25" t="str">
        <x:v>BOQ_NAME_ONLY</x:v>
      </x:c>
      <x:c r="T275" s="25" t="str">
        <x:v>자동 표 신호는 최종 A/B로 승격하지 않음</x:v>
      </x:c>
      <x:c r="U275" s="22" t="str">
        <x:v>2021-2025</x:v>
      </x:c>
    </x:row>
    <x:row r="276">
      <x:c r="A276" s="22" t="str">
        <x:v>2020-00086</x:v>
      </x:c>
      <x:c r="B276" s="22" t="str">
        <x:v>L2023-00036-1</x:v>
      </x:c>
      <x:c r="C276" s="22" t="str">
        <x:v>WORKS</x:v>
      </x:c>
      <x:c r="D276" s="25" t="str">
        <x:v>L2023-00036-1/붙임3_입찰관련서류_검토완_0717/Section 4.  Bill of Quantities(Not-Priced)/공내역서/VTC견적서/2 УПК(Practice and Education Building)/2-8 ТМ(Boiler &amp; Solar heating)/bv13430.xls</x:v>
      </x:c>
      <x:c r="E276" s="22" t="str">
        <x:v>.xls</x:v>
      </x:c>
      <x:c r="F276" s="28" t="n">
        <x:v>178176</x:v>
      </x:c>
      <x:c r="G276" s="28" t="str">
        <x:v>1e6b0f50a2a378878bb06672f894f03a587ce5a0d49a819318305705775920d7</x:v>
      </x:c>
      <x:c r="H276" s="28" t="n">
        <x:v>1</x:v>
      </x:c>
      <x:c r="I276" s="28" t="n">
        <x:v>1</x:v>
      </x:c>
      <x:c r="J276" s="28" t="n">
        <x:v>0</x:v>
      </x:c>
      <x:c r="K276" s="28" t="n">
        <x:v>0</x:v>
      </x:c>
      <x:c r="L276" s="28" t="n">
        <x:v>0</x:v>
      </x:c>
      <x:c r="M276" s="28" t="n">
        <x:v>0</x:v>
      </x:c>
      <x:c r="N276" s="22" t="str"/>
      <x:c r="O276" s="22" t="str"/>
      <x:c r="P276" s="22" t="n">
        <x:v>0</x:v>
      </x:c>
      <x:c r="Q276" s="40" t="n">
        <x:v>0</x:v>
      </x:c>
      <x:c r="R276" s="25" t="str"/>
      <x:c r="S276" s="25" t="str">
        <x:v>BOQ_NAME_ONLY</x:v>
      </x:c>
      <x:c r="T276" s="25" t="str">
        <x:v>자동 표 신호는 최종 A/B로 승격하지 않음</x:v>
      </x:c>
      <x:c r="U276" s="22" t="str">
        <x:v>2021-2025</x:v>
      </x:c>
    </x:row>
    <x:row r="277">
      <x:c r="A277" s="22" t="str">
        <x:v>2020-00086</x:v>
      </x:c>
      <x:c r="B277" s="22" t="str">
        <x:v>L2023-00036-1</x:v>
      </x:c>
      <x:c r="C277" s="22" t="str">
        <x:v>WORKS</x:v>
      </x:c>
      <x:c r="D277" s="25" t="str">
        <x:v>L2023-00036-1/붙임3_입찰관련서류_검토완_0717/Section 4.  Bill of Quantities(Not-Priced)/공내역서/VTC견적서/2 УПК(Practice and Education Building)/2-8 ТМ(Boiler &amp; Solar heating)/13433_vrmu.xls</x:v>
      </x:c>
      <x:c r="E277" s="22" t="str">
        <x:v>.xls</x:v>
      </x:c>
      <x:c r="F277" s="28" t="n">
        <x:v>86528</x:v>
      </x:c>
      <x:c r="G277" s="28" t="str">
        <x:v>07503448a7270dbdb8f63ef2ae2d8ee1d85bc1ce1b33df86927763a7c6a90f7c</x:v>
      </x:c>
      <x:c r="H277" s="28" t="n">
        <x:v>1</x:v>
      </x:c>
      <x:c r="I277" s="28" t="n">
        <x:v>1</x:v>
      </x:c>
      <x:c r="J277" s="28" t="n">
        <x:v>1</x:v>
      </x:c>
      <x:c r="K277" s="28" t="n">
        <x:v>175</x:v>
      </x:c>
      <x:c r="L277" s="28" t="n">
        <x:v>1</x:v>
      </x:c>
      <x:c r="M277" s="28" t="n">
        <x:v>0</x:v>
      </x:c>
      <x:c r="N277" s="22" t="str">
        <x:v>Лист1</x:v>
      </x:c>
      <x:c r="O277" s="22" t="str">
        <x:v>visible</x:v>
      </x:c>
      <x:c r="P277" s="22" t="n">
        <x:v>8</x:v>
      </x:c>
      <x:c r="Q277" s="40" t="n">
        <x:v>0.005714285714285714</x:v>
      </x:c>
      <x:c r="R277" s="25" t="str"/>
      <x:c r="S277" s="25" t="str">
        <x:v>B?</x:v>
      </x:c>
      <x:c r="T277" s="25" t="str">
        <x:v>자동 표 신호는 최종 A/B로 승격하지 않음</x:v>
      </x:c>
      <x:c r="U277" s="22" t="str">
        <x:v>2021-2025</x:v>
      </x:c>
    </x:row>
    <x:row r="278">
      <x:c r="A278" s="22" t="str">
        <x:v>2020-00086</x:v>
      </x:c>
      <x:c r="B278" s="22" t="str">
        <x:v>L2023-00036-1</x:v>
      </x:c>
      <x:c r="C278" s="22" t="str">
        <x:v>WORKS</x:v>
      </x:c>
      <x:c r="D278" s="25" t="str">
        <x:v>L2023-00036-1/붙임3_입찰관련서류_검토완_0717/Section 4.  Bill of Quantities(Not-Priced)/공내역서/VTC견적서/2 УПК(Practice and Education Building)/2-5 ЭО(Electric)/13593_vrmu.xls</x:v>
      </x:c>
      <x:c r="E278" s="22" t="str">
        <x:v>.xls</x:v>
      </x:c>
      <x:c r="F278" s="28" t="n">
        <x:v>88064</x:v>
      </x:c>
      <x:c r="G278" s="28" t="str">
        <x:v>939da5ac56da64a557c1ad8bd96b90cc057f9a01d7ed01a90287001de59cfd7e</x:v>
      </x:c>
      <x:c r="H278" s="28" t="n">
        <x:v>1</x:v>
      </x:c>
      <x:c r="I278" s="28" t="n">
        <x:v>1</x:v>
      </x:c>
      <x:c r="J278" s="28" t="n">
        <x:v>1</x:v>
      </x:c>
      <x:c r="K278" s="28" t="n">
        <x:v>140</x:v>
      </x:c>
      <x:c r="L278" s="28" t="n">
        <x:v>1</x:v>
      </x:c>
      <x:c r="M278" s="28" t="n">
        <x:v>0</x:v>
      </x:c>
      <x:c r="N278" s="22" t="str">
        <x:v>Лист1</x:v>
      </x:c>
      <x:c r="O278" s="22" t="str">
        <x:v>visible</x:v>
      </x:c>
      <x:c r="P278" s="22" t="n">
        <x:v>8</x:v>
      </x:c>
      <x:c r="Q278" s="40" t="n">
        <x:v>0.007142857142857143</x:v>
      </x:c>
      <x:c r="R278" s="25" t="str"/>
      <x:c r="S278" s="25" t="str">
        <x:v>B?</x:v>
      </x:c>
      <x:c r="T278" s="25" t="str">
        <x:v>자동 표 신호는 최종 A/B로 승격하지 않음</x:v>
      </x:c>
      <x:c r="U278" s="22" t="str">
        <x:v>2021-2025</x:v>
      </x:c>
    </x:row>
    <x:row r="279">
      <x:c r="A279" s="22" t="str">
        <x:v>2020-00086</x:v>
      </x:c>
      <x:c r="B279" s="22" t="str">
        <x:v>L2023-00036-1</x:v>
      </x:c>
      <x:c r="C279" s="22" t="str">
        <x:v>WORKS</x:v>
      </x:c>
      <x:c r="D279" s="25" t="str">
        <x:v>L2023-00036-1/붙임3_입찰관련서류_검토완_0717/Section 4.  Bill of Quantities(Not-Priced)/공내역서/VTC견적서/2 УПК(Practice and Education Building)/2-5 ЭО(Electric)/13593_vfor.xls</x:v>
      </x:c>
      <x:c r="E279" s="22" t="str">
        <x:v>.xls</x:v>
      </x:c>
      <x:c r="F279" s="28" t="n">
        <x:v>76288</x:v>
      </x:c>
      <x:c r="G279" s="28" t="str">
        <x:v>c30b8ac327c03590384c07e2e8f0356db3b6aa949e01439f1bd4eb1866809498</x:v>
      </x:c>
      <x:c r="H279" s="28" t="n">
        <x:v>1</x:v>
      </x:c>
      <x:c r="I279" s="28" t="n">
        <x:v>1</x:v>
      </x:c>
      <x:c r="J279" s="28" t="n">
        <x:v>0</x:v>
      </x:c>
      <x:c r="K279" s="28" t="n">
        <x:v>0</x:v>
      </x:c>
      <x:c r="L279" s="28" t="n">
        <x:v>0</x:v>
      </x:c>
      <x:c r="M279" s="28" t="n">
        <x:v>0</x:v>
      </x:c>
      <x:c r="N279" s="22" t="str"/>
      <x:c r="O279" s="22" t="str"/>
      <x:c r="P279" s="22" t="n">
        <x:v>0</x:v>
      </x:c>
      <x:c r="Q279" s="40" t="n">
        <x:v>0</x:v>
      </x:c>
      <x:c r="R279" s="25" t="str"/>
      <x:c r="S279" s="25" t="str">
        <x:v>BOQ_NAME_ONLY</x:v>
      </x:c>
      <x:c r="T279" s="25" t="str">
        <x:v>자동 표 신호는 최종 A/B로 승격하지 않음</x:v>
      </x:c>
      <x:c r="U279" s="22" t="str">
        <x:v>2021-2025</x:v>
      </x:c>
    </x:row>
    <x:row r="280">
      <x:c r="A280" s="22" t="str">
        <x:v>2020-00086</x:v>
      </x:c>
      <x:c r="B280" s="22" t="str">
        <x:v>L2023-00036-1</x:v>
      </x:c>
      <x:c r="C280" s="22" t="str">
        <x:v>WORKS</x:v>
      </x:c>
      <x:c r="D280" s="25" t="str">
        <x:v>L2023-00036-1/붙임3_입찰관련서류_검토완_0717/Section 4.  Bill of Quantities(Not-Priced)/공내역서/VTC견적서/2 УПК(Practice and Education Building)/2-5 ЭО(Electric)/bv13590.xls</x:v>
      </x:c>
      <x:c r="E280" s="22" t="str">
        <x:v>.xls</x:v>
      </x:c>
      <x:c r="F280" s="28" t="n">
        <x:v>165376</x:v>
      </x:c>
      <x:c r="G280" s="28" t="str">
        <x:v>66663efa81309957bad47d81b20bef6148a275bbbdc2760911baebfc3d44937b</x:v>
      </x:c>
      <x:c r="H280" s="28" t="n">
        <x:v>1</x:v>
      </x:c>
      <x:c r="I280" s="28" t="n">
        <x:v>1</x:v>
      </x:c>
      <x:c r="J280" s="28" t="n">
        <x:v>0</x:v>
      </x:c>
      <x:c r="K280" s="28" t="n">
        <x:v>0</x:v>
      </x:c>
      <x:c r="L280" s="28" t="n">
        <x:v>0</x:v>
      </x:c>
      <x:c r="M280" s="28" t="n">
        <x:v>0</x:v>
      </x:c>
      <x:c r="N280" s="22" t="str"/>
      <x:c r="O280" s="22" t="str"/>
      <x:c r="P280" s="22" t="n">
        <x:v>0</x:v>
      </x:c>
      <x:c r="Q280" s="40" t="n">
        <x:v>0</x:v>
      </x:c>
      <x:c r="R280" s="25" t="str"/>
      <x:c r="S280" s="25" t="str">
        <x:v>BOQ_NAME_ONLY</x:v>
      </x:c>
      <x:c r="T280" s="25" t="str">
        <x:v>자동 표 신호는 최종 A/B로 승격하지 않음</x:v>
      </x:c>
      <x:c r="U280" s="22" t="str">
        <x:v>2021-2025</x:v>
      </x:c>
    </x:row>
    <x:row r="281">
      <x:c r="A281" s="22" t="str">
        <x:v>2020-00086</x:v>
      </x:c>
      <x:c r="B281" s="22" t="str">
        <x:v>L2023-00036-1</x:v>
      </x:c>
      <x:c r="C281" s="22" t="str">
        <x:v>WORKS</x:v>
      </x:c>
      <x:c r="D281" s="25" t="str">
        <x:v>L2023-00036-1/붙임3_입찰관련서류_검토완_0717/Section 4.  Bill of Quantities(Not-Priced)/공내역서/VTC견적서/2 УПК(Practice and Education Building)/2-1 КЖ(Structure)/bv13010.xls</x:v>
      </x:c>
      <x:c r="E281" s="22" t="str">
        <x:v>.xls</x:v>
      </x:c>
      <x:c r="F281" s="28" t="n">
        <x:v>438784</x:v>
      </x:c>
      <x:c r="G281" s="28" t="str">
        <x:v>9a08a9249b066c02507c7d7b6711bbd0214f8d0d66dfa4d6052663da0fc7d2fe</x:v>
      </x:c>
      <x:c r="H281" s="28" t="n">
        <x:v>1</x:v>
      </x:c>
      <x:c r="I281" s="28" t="n">
        <x:v>1</x:v>
      </x:c>
      <x:c r="J281" s="28" t="n">
        <x:v>0</x:v>
      </x:c>
      <x:c r="K281" s="28" t="n">
        <x:v>0</x:v>
      </x:c>
      <x:c r="L281" s="28" t="n">
        <x:v>0</x:v>
      </x:c>
      <x:c r="M281" s="28" t="n">
        <x:v>0</x:v>
      </x:c>
      <x:c r="N281" s="22" t="str"/>
      <x:c r="O281" s="22" t="str"/>
      <x:c r="P281" s="22" t="n">
        <x:v>0</x:v>
      </x:c>
      <x:c r="Q281" s="40" t="n">
        <x:v>0</x:v>
      </x:c>
      <x:c r="R281" s="25" t="str"/>
      <x:c r="S281" s="25" t="str">
        <x:v>BOQ_NAME_ONLY</x:v>
      </x:c>
      <x:c r="T281" s="25" t="str">
        <x:v>자동 표 신호는 최종 A/B로 승격하지 않음</x:v>
      </x:c>
      <x:c r="U281" s="22" t="str">
        <x:v>2021-2025</x:v>
      </x:c>
    </x:row>
    <x:row r="282">
      <x:c r="A282" s="22" t="str">
        <x:v>2020-00086</x:v>
      </x:c>
      <x:c r="B282" s="22" t="str">
        <x:v>L2023-00036-1</x:v>
      </x:c>
      <x:c r="C282" s="22" t="str">
        <x:v>WORKS</x:v>
      </x:c>
      <x:c r="D282" s="25" t="str">
        <x:v>L2023-00036-1/붙임3_입찰관련서류_검토완_0717/Section 4.  Bill of Quantities(Not-Priced)/공내역서/VTC견적서/2 УПК(Practice and Education Building)/2-1 КЖ(Structure)/13013_vfor.xls</x:v>
      </x:c>
      <x:c r="E282" s="22" t="str">
        <x:v>.xls</x:v>
      </x:c>
      <x:c r="F282" s="28" t="n">
        <x:v>90112</x:v>
      </x:c>
      <x:c r="G282" s="28" t="str">
        <x:v>eb125c00f27b73c161614158902fe9f7296eb1d8eee1c3f3da800522e1d82334</x:v>
      </x:c>
      <x:c r="H282" s="28" t="n">
        <x:v>1</x:v>
      </x:c>
      <x:c r="I282" s="28" t="n">
        <x:v>1</x:v>
      </x:c>
      <x:c r="J282" s="28" t="n">
        <x:v>0</x:v>
      </x:c>
      <x:c r="K282" s="28" t="n">
        <x:v>0</x:v>
      </x:c>
      <x:c r="L282" s="28" t="n">
        <x:v>0</x:v>
      </x:c>
      <x:c r="M282" s="28" t="n">
        <x:v>0</x:v>
      </x:c>
      <x:c r="N282" s="22" t="str"/>
      <x:c r="O282" s="22" t="str"/>
      <x:c r="P282" s="22" t="n">
        <x:v>0</x:v>
      </x:c>
      <x:c r="Q282" s="40" t="n">
        <x:v>0</x:v>
      </x:c>
      <x:c r="R282" s="25" t="str"/>
      <x:c r="S282" s="25" t="str">
        <x:v>BOQ_NAME_ONLY</x:v>
      </x:c>
      <x:c r="T282" s="25" t="str">
        <x:v>자동 표 신호는 최종 A/B로 승격하지 않음</x:v>
      </x:c>
      <x:c r="U282" s="22" t="str">
        <x:v>2021-2025</x:v>
      </x:c>
    </x:row>
    <x:row r="283">
      <x:c r="A283" s="22" t="str">
        <x:v>2020-00086</x:v>
      </x:c>
      <x:c r="B283" s="22" t="str">
        <x:v>L2023-00036-1</x:v>
      </x:c>
      <x:c r="C283" s="22" t="str">
        <x:v>WORKS</x:v>
      </x:c>
      <x:c r="D283" s="25" t="str">
        <x:v>L2023-00036-1/붙임3_입찰관련서류_검토완_0717/Section 4.  Bill of Quantities(Not-Priced)/공내역서/VTC견적서/2 УПК(Practice and Education Building)/2-1 КЖ(Structure)/13013_vrmu.xls</x:v>
      </x:c>
      <x:c r="E283" s="22" t="str">
        <x:v>.xls</x:v>
      </x:c>
      <x:c r="F283" s="28" t="n">
        <x:v>78336</x:v>
      </x:c>
      <x:c r="G283" s="28" t="str">
        <x:v>894f30fba7d6ceffd13ac600a3933b3b9c6ef0d085d61f97bad1695d4a782097</x:v>
      </x:c>
      <x:c r="H283" s="28" t="n">
        <x:v>1</x:v>
      </x:c>
      <x:c r="I283" s="28" t="n">
        <x:v>1</x:v>
      </x:c>
      <x:c r="J283" s="28" t="n">
        <x:v>1</x:v>
      </x:c>
      <x:c r="K283" s="28" t="n">
        <x:v>151</x:v>
      </x:c>
      <x:c r="L283" s="28" t="n">
        <x:v>1</x:v>
      </x:c>
      <x:c r="M283" s="28" t="n">
        <x:v>0</x:v>
      </x:c>
      <x:c r="N283" s="22" t="str">
        <x:v>Лист1</x:v>
      </x:c>
      <x:c r="O283" s="22" t="str">
        <x:v>visible</x:v>
      </x:c>
      <x:c r="P283" s="22" t="n">
        <x:v>8</x:v>
      </x:c>
      <x:c r="Q283" s="40" t="n">
        <x:v>0.006622516556291391</x:v>
      </x:c>
      <x:c r="R283" s="25" t="str"/>
      <x:c r="S283" s="25" t="str">
        <x:v>B?</x:v>
      </x:c>
      <x:c r="T283" s="25" t="str">
        <x:v>자동 표 신호는 최종 A/B로 승격하지 않음</x:v>
      </x:c>
      <x:c r="U283" s="22" t="str">
        <x:v>2021-2025</x:v>
      </x:c>
    </x:row>
    <x:row r="284">
      <x:c r="A284" s="22" t="str">
        <x:v>2020-00086</x:v>
      </x:c>
      <x:c r="B284" s="22" t="str">
        <x:v>L2023-00036-1</x:v>
      </x:c>
      <x:c r="C284" s="22" t="str">
        <x:v>WORKS</x:v>
      </x:c>
      <x:c r="D284" s="25" t="str">
        <x:v>L2023-00036-1/붙임3_입찰관련서류_검토완_0717/Section 4.  Bill of Quantities(Not-Priced)/공내역서/VTC견적서/2 УПК(Practice and Education Building)/2-3 ОВ(Heating &amp; Ventilation)/bv13510.xls</x:v>
      </x:c>
      <x:c r="E284" s="22" t="str">
        <x:v>.xls</x:v>
      </x:c>
      <x:c r="F284" s="28" t="n">
        <x:v>450048</x:v>
      </x:c>
      <x:c r="G284" s="28" t="str">
        <x:v>f64d8d027c4f2b4232513b0b8605c8f8092aa552cac0b7ed425ff53f6db6908f</x:v>
      </x:c>
      <x:c r="H284" s="28" t="n">
        <x:v>1</x:v>
      </x:c>
      <x:c r="I284" s="28" t="n">
        <x:v>1</x:v>
      </x:c>
      <x:c r="J284" s="28" t="n">
        <x:v>0</x:v>
      </x:c>
      <x:c r="K284" s="28" t="n">
        <x:v>0</x:v>
      </x:c>
      <x:c r="L284" s="28" t="n">
        <x:v>0</x:v>
      </x:c>
      <x:c r="M284" s="28" t="n">
        <x:v>0</x:v>
      </x:c>
      <x:c r="N284" s="22" t="str"/>
      <x:c r="O284" s="22" t="str"/>
      <x:c r="P284" s="22" t="n">
        <x:v>0</x:v>
      </x:c>
      <x:c r="Q284" s="40" t="n">
        <x:v>0</x:v>
      </x:c>
      <x:c r="R284" s="25" t="str"/>
      <x:c r="S284" s="25" t="str">
        <x:v>BOQ_NAME_ONLY</x:v>
      </x:c>
      <x:c r="T284" s="25" t="str">
        <x:v>자동 표 신호는 최종 A/B로 승격하지 않음</x:v>
      </x:c>
      <x:c r="U284" s="22" t="str">
        <x:v>2021-2025</x:v>
      </x:c>
    </x:row>
    <x:row r="285">
      <x:c r="A285" s="22" t="str">
        <x:v>2020-00086</x:v>
      </x:c>
      <x:c r="B285" s="22" t="str">
        <x:v>L2023-00036-1</x:v>
      </x:c>
      <x:c r="C285" s="22" t="str">
        <x:v>WORKS</x:v>
      </x:c>
      <x:c r="D285" s="25" t="str">
        <x:v>L2023-00036-1/붙임3_입찰관련서류_검토완_0717/Section 4.  Bill of Quantities(Not-Priced)/공내역서/VTC견적서/2 УПК(Practice and Education Building)/2-3 ОВ(Heating &amp; Ventilation)/13513_vfor.xls</x:v>
      </x:c>
      <x:c r="E285" s="22" t="str">
        <x:v>.xls</x:v>
      </x:c>
      <x:c r="F285" s="28" t="n">
        <x:v>99840</x:v>
      </x:c>
      <x:c r="G285" s="28" t="str">
        <x:v>12c5ca43305042fecde990e14ec0489f64e6a5bfb76e9a69fab76bb26799d793</x:v>
      </x:c>
      <x:c r="H285" s="28" t="n">
        <x:v>1</x:v>
      </x:c>
      <x:c r="I285" s="28" t="n">
        <x:v>1</x:v>
      </x:c>
      <x:c r="J285" s="28" t="n">
        <x:v>0</x:v>
      </x:c>
      <x:c r="K285" s="28" t="n">
        <x:v>0</x:v>
      </x:c>
      <x:c r="L285" s="28" t="n">
        <x:v>0</x:v>
      </x:c>
      <x:c r="M285" s="28" t="n">
        <x:v>0</x:v>
      </x:c>
      <x:c r="N285" s="22" t="str"/>
      <x:c r="O285" s="22" t="str"/>
      <x:c r="P285" s="22" t="n">
        <x:v>0</x:v>
      </x:c>
      <x:c r="Q285" s="40" t="n">
        <x:v>0</x:v>
      </x:c>
      <x:c r="R285" s="25" t="str"/>
      <x:c r="S285" s="25" t="str">
        <x:v>BOQ_NAME_ONLY</x:v>
      </x:c>
      <x:c r="T285" s="25" t="str">
        <x:v>자동 표 신호는 최종 A/B로 승격하지 않음</x:v>
      </x:c>
      <x:c r="U285" s="22" t="str">
        <x:v>2021-2025</x:v>
      </x:c>
    </x:row>
    <x:row r="286">
      <x:c r="A286" s="22" t="str">
        <x:v>2020-00086</x:v>
      </x:c>
      <x:c r="B286" s="22" t="str">
        <x:v>L2023-00036-1</x:v>
      </x:c>
      <x:c r="C286" s="22" t="str">
        <x:v>WORKS</x:v>
      </x:c>
      <x:c r="D286" s="25" t="str">
        <x:v>L2023-00036-1/붙임3_입찰관련서류_검토완_0717/Section 4.  Bill of Quantities(Not-Priced)/공내역서/VTC견적서/2 УПК(Practice and Education Building)/2-3 ОВ(Heating &amp; Ventilation)/13513_vrmu.xls</x:v>
      </x:c>
      <x:c r="E286" s="22" t="str">
        <x:v>.xls</x:v>
      </x:c>
      <x:c r="F286" s="28" t="n">
        <x:v>100352</x:v>
      </x:c>
      <x:c r="G286" s="28" t="str">
        <x:v>c598552db7e0e86089126d4ffff68c3be6e09016d43faddb5648dc76758c1996</x:v>
      </x:c>
      <x:c r="H286" s="28" t="n">
        <x:v>1</x:v>
      </x:c>
      <x:c r="I286" s="28" t="n">
        <x:v>1</x:v>
      </x:c>
      <x:c r="J286" s="28" t="n">
        <x:v>1</x:v>
      </x:c>
      <x:c r="K286" s="28" t="n">
        <x:v>228</x:v>
      </x:c>
      <x:c r="L286" s="28" t="n">
        <x:v>1</x:v>
      </x:c>
      <x:c r="M286" s="28" t="n">
        <x:v>0</x:v>
      </x:c>
      <x:c r="N286" s="22" t="str">
        <x:v>Лист1</x:v>
      </x:c>
      <x:c r="O286" s="22" t="str">
        <x:v>visible</x:v>
      </x:c>
      <x:c r="P286" s="22" t="n">
        <x:v>8</x:v>
      </x:c>
      <x:c r="Q286" s="40" t="n">
        <x:v>0.0043859649122807015</x:v>
      </x:c>
      <x:c r="R286" s="25" t="str"/>
      <x:c r="S286" s="25" t="str">
        <x:v>B?</x:v>
      </x:c>
      <x:c r="T286" s="25" t="str">
        <x:v>자동 표 신호는 최종 A/B로 승격하지 않음</x:v>
      </x:c>
      <x:c r="U286" s="22" t="str">
        <x:v>2021-2025</x:v>
      </x:c>
    </x:row>
    <x:row r="287">
      <x:c r="A287" s="22" t="str">
        <x:v>2020-00086</x:v>
      </x:c>
      <x:c r="B287" s="22" t="str">
        <x:v>L2023-00036-1</x:v>
      </x:c>
      <x:c r="C287" s="22" t="str">
        <x:v>WORKS</x:v>
      </x:c>
      <x:c r="D287" s="25" t="str">
        <x:v>L2023-00036-1/붙임3_입찰관련서류_검토완_0717/Section 4.  Bill of Quantities(Not-Priced)/공내역서/VTC견적서/2 УПК(Practice and Education Building)/2-4 ВК(Water &amp; Sewer &amp; Fireplug)/13123_vrmu.xls</x:v>
      </x:c>
      <x:c r="E287" s="22" t="str">
        <x:v>.xls</x:v>
      </x:c>
      <x:c r="F287" s="28" t="n">
        <x:v>88576</x:v>
      </x:c>
      <x:c r="G287" s="28" t="str">
        <x:v>355c8ae16063462d4e7d9dacb0087baa7fe1d5550fffd04313e146fe418e2cc7</x:v>
      </x:c>
      <x:c r="H287" s="28" t="n">
        <x:v>1</x:v>
      </x:c>
      <x:c r="I287" s="28" t="n">
        <x:v>1</x:v>
      </x:c>
      <x:c r="J287" s="28" t="n">
        <x:v>1</x:v>
      </x:c>
      <x:c r="K287" s="28" t="n">
        <x:v>198</x:v>
      </x:c>
      <x:c r="L287" s="28" t="n">
        <x:v>1</x:v>
      </x:c>
      <x:c r="M287" s="28" t="n">
        <x:v>0</x:v>
      </x:c>
      <x:c r="N287" s="22" t="str">
        <x:v>Лист1</x:v>
      </x:c>
      <x:c r="O287" s="22" t="str">
        <x:v>visible</x:v>
      </x:c>
      <x:c r="P287" s="22" t="n">
        <x:v>8</x:v>
      </x:c>
      <x:c r="Q287" s="40" t="n">
        <x:v>0.005050505050505051</x:v>
      </x:c>
      <x:c r="R287" s="25" t="str"/>
      <x:c r="S287" s="25" t="str">
        <x:v>B?</x:v>
      </x:c>
      <x:c r="T287" s="25" t="str">
        <x:v>자동 표 신호는 최종 A/B로 승격하지 않음</x:v>
      </x:c>
      <x:c r="U287" s="22" t="str">
        <x:v>2021-2025</x:v>
      </x:c>
    </x:row>
    <x:row r="288">
      <x:c r="A288" s="22" t="str">
        <x:v>2020-00086</x:v>
      </x:c>
      <x:c r="B288" s="22" t="str">
        <x:v>L2023-00036-1</x:v>
      </x:c>
      <x:c r="C288" s="22" t="str">
        <x:v>WORKS</x:v>
      </x:c>
      <x:c r="D288" s="25" t="str">
        <x:v>L2023-00036-1/붙임3_입찰관련서류_검토완_0717/Section 4.  Bill of Quantities(Not-Priced)/공내역서/VTC견적서/2 УПК(Practice and Education Building)/2-4 ВК(Water &amp; Sewer &amp; Fireplug)/13123_vfor.xls</x:v>
      </x:c>
      <x:c r="E288" s="22" t="str">
        <x:v>.xls</x:v>
      </x:c>
      <x:c r="F288" s="28" t="n">
        <x:v>59904</x:v>
      </x:c>
      <x:c r="G288" s="28" t="str">
        <x:v>a7d4c30f7d188cff8e06d5929b7943ca6001dd6edf34d708f09e06ff60bad3a9</x:v>
      </x:c>
      <x:c r="H288" s="28" t="n">
        <x:v>1</x:v>
      </x:c>
      <x:c r="I288" s="28" t="n">
        <x:v>1</x:v>
      </x:c>
      <x:c r="J288" s="28" t="n">
        <x:v>0</x:v>
      </x:c>
      <x:c r="K288" s="28" t="n">
        <x:v>0</x:v>
      </x:c>
      <x:c r="L288" s="28" t="n">
        <x:v>0</x:v>
      </x:c>
      <x:c r="M288" s="28" t="n">
        <x:v>0</x:v>
      </x:c>
      <x:c r="N288" s="22" t="str"/>
      <x:c r="O288" s="22" t="str"/>
      <x:c r="P288" s="22" t="n">
        <x:v>0</x:v>
      </x:c>
      <x:c r="Q288" s="40" t="n">
        <x:v>0</x:v>
      </x:c>
      <x:c r="R288" s="25" t="str"/>
      <x:c r="S288" s="25" t="str">
        <x:v>BOQ_NAME_ONLY</x:v>
      </x:c>
      <x:c r="T288" s="25" t="str">
        <x:v>자동 표 신호는 최종 A/B로 승격하지 않음</x:v>
      </x:c>
      <x:c r="U288" s="22" t="str">
        <x:v>2021-2025</x:v>
      </x:c>
    </x:row>
    <x:row r="289">
      <x:c r="A289" s="22" t="str">
        <x:v>2020-00086</x:v>
      </x:c>
      <x:c r="B289" s="22" t="str">
        <x:v>L2023-00036-1</x:v>
      </x:c>
      <x:c r="C289" s="22" t="str">
        <x:v>WORKS</x:v>
      </x:c>
      <x:c r="D289" s="25" t="str">
        <x:v>L2023-00036-1/붙임3_입찰관련서류_검토완_0717/Section 4.  Bill of Quantities(Not-Priced)/공내역서/VTC견적서/2 УПК(Practice and Education Building)/2-4 ВК(Water &amp; Sewer &amp; Fireplug)/bv13120.xls</x:v>
      </x:c>
      <x:c r="E289" s="22" t="str">
        <x:v>.xls</x:v>
      </x:c>
      <x:c r="F289" s="28" t="n">
        <x:v>172032</x:v>
      </x:c>
      <x:c r="G289" s="28" t="str">
        <x:v>3e907a310c004ae321d7eebac0f5fce2c118ec91ebfb9514f3a8a5c68894b05c</x:v>
      </x:c>
      <x:c r="H289" s="28" t="n">
        <x:v>1</x:v>
      </x:c>
      <x:c r="I289" s="28" t="n">
        <x:v>1</x:v>
      </x:c>
      <x:c r="J289" s="28" t="n">
        <x:v>0</x:v>
      </x:c>
      <x:c r="K289" s="28" t="n">
        <x:v>0</x:v>
      </x:c>
      <x:c r="L289" s="28" t="n">
        <x:v>0</x:v>
      </x:c>
      <x:c r="M289" s="28" t="n">
        <x:v>0</x:v>
      </x:c>
      <x:c r="N289" s="22" t="str"/>
      <x:c r="O289" s="22" t="str"/>
      <x:c r="P289" s="22" t="n">
        <x:v>0</x:v>
      </x:c>
      <x:c r="Q289" s="40" t="n">
        <x:v>0</x:v>
      </x:c>
      <x:c r="R289" s="25" t="str"/>
      <x:c r="S289" s="25" t="str">
        <x:v>BOQ_NAME_ONLY</x:v>
      </x:c>
      <x:c r="T289" s="25" t="str">
        <x:v>자동 표 신호는 최종 A/B로 승격하지 않음</x:v>
      </x:c>
      <x:c r="U289" s="22" t="str">
        <x:v>2021-2025</x:v>
      </x:c>
    </x:row>
    <x:row r="290">
      <x:c r="A290" s="22" t="str">
        <x:v>2020-00086</x:v>
      </x:c>
      <x:c r="B290" s="22" t="str">
        <x:v>L2023-00036-1</x:v>
      </x:c>
      <x:c r="C290" s="22" t="str">
        <x:v>WORKS</x:v>
      </x:c>
      <x:c r="D290" s="25" t="str">
        <x:v>L2023-00036-1/붙임3_입찰관련서류_검토완_0717/Section 4.  Bill of Quantities(Not-Priced)/공내역서/VTC견적서/2 УПК(Practice and Education Building)/2-7 ВН, СКС(CCTV &amp; Network)/13283_vrmu.xls</x:v>
      </x:c>
      <x:c r="E290" s="22" t="str">
        <x:v>.xls</x:v>
      </x:c>
      <x:c r="F290" s="28" t="n">
        <x:v>67072</x:v>
      </x:c>
      <x:c r="G290" s="28" t="str">
        <x:v>b6846cb5505886d26e2d8e4507951919d190aa8d9ba9fa7ba7df632cb03e888d</x:v>
      </x:c>
      <x:c r="H290" s="28" t="n">
        <x:v>1</x:v>
      </x:c>
      <x:c r="I290" s="28" t="n">
        <x:v>1</x:v>
      </x:c>
      <x:c r="J290" s="28" t="n">
        <x:v>1</x:v>
      </x:c>
      <x:c r="K290" s="28" t="n">
        <x:v>121</x:v>
      </x:c>
      <x:c r="L290" s="28" t="n">
        <x:v>1</x:v>
      </x:c>
      <x:c r="M290" s="28" t="n">
        <x:v>0</x:v>
      </x:c>
      <x:c r="N290" s="22" t="str">
        <x:v>Лист1</x:v>
      </x:c>
      <x:c r="O290" s="22" t="str">
        <x:v>visible</x:v>
      </x:c>
      <x:c r="P290" s="22" t="n">
        <x:v>8</x:v>
      </x:c>
      <x:c r="Q290" s="40" t="n">
        <x:v>0.008264462809917356</x:v>
      </x:c>
      <x:c r="R290" s="25" t="str"/>
      <x:c r="S290" s="25" t="str">
        <x:v>B?</x:v>
      </x:c>
      <x:c r="T290" s="25" t="str">
        <x:v>자동 표 신호는 최종 A/B로 승격하지 않음</x:v>
      </x:c>
      <x:c r="U290" s="22" t="str">
        <x:v>2021-2025</x:v>
      </x:c>
    </x:row>
    <x:row r="291">
      <x:c r="A291" s="22" t="str">
        <x:v>2020-00086</x:v>
      </x:c>
      <x:c r="B291" s="22" t="str">
        <x:v>L2023-00036-1</x:v>
      </x:c>
      <x:c r="C291" s="22" t="str">
        <x:v>WORKS</x:v>
      </x:c>
      <x:c r="D291" s="25" t="str">
        <x:v>L2023-00036-1/붙임3_입찰관련서류_검토완_0717/Section 4.  Bill of Quantities(Not-Priced)/공내역서/VTC견적서/2 УПК(Practice and Education Building)/2-7 ВН, СКС(CCTV &amp; Network)/13283_vfor.xls</x:v>
      </x:c>
      <x:c r="E291" s="22" t="str">
        <x:v>.xls</x:v>
      </x:c>
      <x:c r="F291" s="28" t="n">
        <x:v>47104</x:v>
      </x:c>
      <x:c r="G291" s="28" t="str">
        <x:v>db6c3cc502fbc8f749a5c19609ddf016fd8932c4cc11020c6bd9ee1e3229f05d</x:v>
      </x:c>
      <x:c r="H291" s="28" t="n">
        <x:v>1</x:v>
      </x:c>
      <x:c r="I291" s="28" t="n">
        <x:v>1</x:v>
      </x:c>
      <x:c r="J291" s="28" t="n">
        <x:v>0</x:v>
      </x:c>
      <x:c r="K291" s="28" t="n">
        <x:v>0</x:v>
      </x:c>
      <x:c r="L291" s="28" t="n">
        <x:v>0</x:v>
      </x:c>
      <x:c r="M291" s="28" t="n">
        <x:v>0</x:v>
      </x:c>
      <x:c r="N291" s="22" t="str"/>
      <x:c r="O291" s="22" t="str"/>
      <x:c r="P291" s="22" t="n">
        <x:v>0</x:v>
      </x:c>
      <x:c r="Q291" s="40" t="n">
        <x:v>0</x:v>
      </x:c>
      <x:c r="R291" s="25" t="str"/>
      <x:c r="S291" s="25" t="str">
        <x:v>BOQ_NAME_ONLY</x:v>
      </x:c>
      <x:c r="T291" s="25" t="str">
        <x:v>자동 표 신호는 최종 A/B로 승격하지 않음</x:v>
      </x:c>
      <x:c r="U291" s="22" t="str">
        <x:v>2021-2025</x:v>
      </x:c>
    </x:row>
    <x:row r="292">
      <x:c r="A292" s="22" t="str">
        <x:v>2020-00086</x:v>
      </x:c>
      <x:c r="B292" s="22" t="str">
        <x:v>L2023-00036-1</x:v>
      </x:c>
      <x:c r="C292" s="22" t="str">
        <x:v>WORKS</x:v>
      </x:c>
      <x:c r="D292" s="25" t="str">
        <x:v>L2023-00036-1/붙임3_입찰관련서류_검토완_0717/Section 4.  Bill of Quantities(Not-Priced)/공내역서/VTC견적서/2 УПК(Practice and Education Building)/2-7 ВН, СКС(CCTV &amp; Network)/bv13280.xls</x:v>
      </x:c>
      <x:c r="E292" s="22" t="str">
        <x:v>.xls</x:v>
      </x:c>
      <x:c r="F292" s="28" t="n">
        <x:v>108032</x:v>
      </x:c>
      <x:c r="G292" s="28" t="str">
        <x:v>6992044beb67c2e32411290725db35b2c64559310aff468a4b53db8d3f90312f</x:v>
      </x:c>
      <x:c r="H292" s="28" t="n">
        <x:v>1</x:v>
      </x:c>
      <x:c r="I292" s="28" t="n">
        <x:v>1</x:v>
      </x:c>
      <x:c r="J292" s="28" t="n">
        <x:v>0</x:v>
      </x:c>
      <x:c r="K292" s="28" t="n">
        <x:v>0</x:v>
      </x:c>
      <x:c r="L292" s="28" t="n">
        <x:v>0</x:v>
      </x:c>
      <x:c r="M292" s="28" t="n">
        <x:v>0</x:v>
      </x:c>
      <x:c r="N292" s="22" t="str"/>
      <x:c r="O292" s="22" t="str"/>
      <x:c r="P292" s="22" t="n">
        <x:v>0</x:v>
      </x:c>
      <x:c r="Q292" s="40" t="n">
        <x:v>0</x:v>
      </x:c>
      <x:c r="R292" s="25" t="str"/>
      <x:c r="S292" s="25" t="str">
        <x:v>BOQ_NAME_ONLY</x:v>
      </x:c>
      <x:c r="T292" s="25" t="str">
        <x:v>자동 표 신호는 최종 A/B로 승격하지 않음</x:v>
      </x:c>
      <x:c r="U292" s="22" t="str">
        <x:v>2021-2025</x:v>
      </x:c>
    </x:row>
    <x:row r="293">
      <x:c r="A293" s="22" t="str">
        <x:v>2020-00086</x:v>
      </x:c>
      <x:c r="B293" s="22" t="str">
        <x:v>L2023-00036-1</x:v>
      </x:c>
      <x:c r="C293" s="22" t="str">
        <x:v>WORKS</x:v>
      </x:c>
      <x:c r="D293" s="25" t="str">
        <x:v>L2023-00036-1/붙임3_입찰관련서류_검토완_0717/Section 4.  Bill of Quantities(Not-Priced)/공내역서/VTC견적서/2 УПК(Practice and Education Building)/2-2 АР(Architecture)/bv13180.xls</x:v>
      </x:c>
      <x:c r="E293" s="22" t="str">
        <x:v>.xls</x:v>
      </x:c>
      <x:c r="F293" s="28" t="n">
        <x:v>216064</x:v>
      </x:c>
      <x:c r="G293" s="28" t="str">
        <x:v>0a4453a2cbcb0fb035d5a2ee0e7a231433a198a6bc5351d8192be15d300f39db</x:v>
      </x:c>
      <x:c r="H293" s="28" t="n">
        <x:v>1</x:v>
      </x:c>
      <x:c r="I293" s="28" t="n">
        <x:v>1</x:v>
      </x:c>
      <x:c r="J293" s="28" t="n">
        <x:v>0</x:v>
      </x:c>
      <x:c r="K293" s="28" t="n">
        <x:v>0</x:v>
      </x:c>
      <x:c r="L293" s="28" t="n">
        <x:v>0</x:v>
      </x:c>
      <x:c r="M293" s="28" t="n">
        <x:v>0</x:v>
      </x:c>
      <x:c r="N293" s="22" t="str"/>
      <x:c r="O293" s="22" t="str"/>
      <x:c r="P293" s="22" t="n">
        <x:v>0</x:v>
      </x:c>
      <x:c r="Q293" s="40" t="n">
        <x:v>0</x:v>
      </x:c>
      <x:c r="R293" s="25" t="str"/>
      <x:c r="S293" s="25" t="str">
        <x:v>BOQ_NAME_ONLY</x:v>
      </x:c>
      <x:c r="T293" s="25" t="str">
        <x:v>자동 표 신호는 최종 A/B로 승격하지 않음</x:v>
      </x:c>
      <x:c r="U293" s="22" t="str">
        <x:v>2021-2025</x:v>
      </x:c>
    </x:row>
    <x:row r="294">
      <x:c r="A294" s="22" t="str">
        <x:v>2020-00086</x:v>
      </x:c>
      <x:c r="B294" s="22" t="str">
        <x:v>L2023-00036-1</x:v>
      </x:c>
      <x:c r="C294" s="22" t="str">
        <x:v>WORKS</x:v>
      </x:c>
      <x:c r="D294" s="25" t="str">
        <x:v>L2023-00036-1/붙임3_입찰관련서류_검토완_0717/Section 4.  Bill of Quantities(Not-Priced)/공내역서/VTC견적서/2 УПК(Practice and Education Building)/2-2 АР(Architecture)/13183_vfor.xls</x:v>
      </x:c>
      <x:c r="E294" s="22" t="str">
        <x:v>.xls</x:v>
      </x:c>
      <x:c r="F294" s="28" t="n">
        <x:v>57344</x:v>
      </x:c>
      <x:c r="G294" s="28" t="str">
        <x:v>ced6d9cc5f0dc47f2fbaa02466c757851c746ad533d0b2a7e89d6670c94b95f5</x:v>
      </x:c>
      <x:c r="H294" s="28" t="n">
        <x:v>1</x:v>
      </x:c>
      <x:c r="I294" s="28" t="n">
        <x:v>1</x:v>
      </x:c>
      <x:c r="J294" s="28" t="n">
        <x:v>0</x:v>
      </x:c>
      <x:c r="K294" s="28" t="n">
        <x:v>0</x:v>
      </x:c>
      <x:c r="L294" s="28" t="n">
        <x:v>0</x:v>
      </x:c>
      <x:c r="M294" s="28" t="n">
        <x:v>0</x:v>
      </x:c>
      <x:c r="N294" s="22" t="str"/>
      <x:c r="O294" s="22" t="str"/>
      <x:c r="P294" s="22" t="n">
        <x:v>0</x:v>
      </x:c>
      <x:c r="Q294" s="40" t="n">
        <x:v>0</x:v>
      </x:c>
      <x:c r="R294" s="25" t="str"/>
      <x:c r="S294" s="25" t="str">
        <x:v>BOQ_NAME_ONLY</x:v>
      </x:c>
      <x:c r="T294" s="25" t="str">
        <x:v>자동 표 신호는 최종 A/B로 승격하지 않음</x:v>
      </x:c>
      <x:c r="U294" s="22" t="str">
        <x:v>2021-2025</x:v>
      </x:c>
    </x:row>
    <x:row r="295">
      <x:c r="A295" s="22" t="str">
        <x:v>2020-00086</x:v>
      </x:c>
      <x:c r="B295" s="22" t="str">
        <x:v>L2023-00036-1</x:v>
      </x:c>
      <x:c r="C295" s="22" t="str">
        <x:v>WORKS</x:v>
      </x:c>
      <x:c r="D295" s="25" t="str">
        <x:v>L2023-00036-1/붙임3_입찰관련서류_검토완_0717/Section 4.  Bill of Quantities(Not-Priced)/공내역서/VTC견적서/2 УПК(Practice and Education Building)/2-2 АР(Architecture)/13183_vrmu.xls</x:v>
      </x:c>
      <x:c r="E295" s="22" t="str">
        <x:v>.xls</x:v>
      </x:c>
      <x:c r="F295" s="28" t="n">
        <x:v>82432</x:v>
      </x:c>
      <x:c r="G295" s="28" t="str">
        <x:v>d785547f100119bf8fe99b2cf9a925055b4fd0715cf243dd3de72fa18b6a5902</x:v>
      </x:c>
      <x:c r="H295" s="28" t="n">
        <x:v>1</x:v>
      </x:c>
      <x:c r="I295" s="28" t="n">
        <x:v>1</x:v>
      </x:c>
      <x:c r="J295" s="28" t="n">
        <x:v>1</x:v>
      </x:c>
      <x:c r="K295" s="28" t="n">
        <x:v>189</x:v>
      </x:c>
      <x:c r="L295" s="28" t="n">
        <x:v>1</x:v>
      </x:c>
      <x:c r="M295" s="28" t="n">
        <x:v>0</x:v>
      </x:c>
      <x:c r="N295" s="22" t="str">
        <x:v>Лист1</x:v>
      </x:c>
      <x:c r="O295" s="22" t="str">
        <x:v>visible</x:v>
      </x:c>
      <x:c r="P295" s="22" t="n">
        <x:v>8</x:v>
      </x:c>
      <x:c r="Q295" s="40" t="n">
        <x:v>0.005291005291005291</x:v>
      </x:c>
      <x:c r="R295" s="25" t="str"/>
      <x:c r="S295" s="25" t="str">
        <x:v>B?</x:v>
      </x:c>
      <x:c r="T295" s="25" t="str">
        <x:v>자동 표 신호는 최종 A/B로 승격하지 않음</x:v>
      </x:c>
      <x:c r="U295" s="22" t="str">
        <x:v>2021-2025</x:v>
      </x:c>
    </x:row>
    <x:row r="296">
      <x:c r="A296" s="22" t="str">
        <x:v>2020-00086</x:v>
      </x:c>
      <x:c r="B296" s="22" t="str">
        <x:v>L2023-00036-1</x:v>
      </x:c>
      <x:c r="C296" s="22" t="str">
        <x:v>WORKS</x:v>
      </x:c>
      <x:c r="D296" s="25" t="str">
        <x:v>L2023-00036-1/붙임3_입찰관련서류_검토완_0717/Section 4.  Bill of Quantities(Not-Priced)/공내역서/VTC견적서/1 АДМИН ЗДАНИЕ(Admin. Build)/1-1 КЖ(Structure)/bv13060.xls</x:v>
      </x:c>
      <x:c r="E296" s="22" t="str">
        <x:v>.xls</x:v>
      </x:c>
      <x:c r="F296" s="28" t="n">
        <x:v>726528</x:v>
      </x:c>
      <x:c r="G296" s="28" t="str">
        <x:v>24109ba5131665957977d77e5eaf5651afc7be65b2c614927a1f2a469e3a4094</x:v>
      </x:c>
      <x:c r="H296" s="28" t="n">
        <x:v>1</x:v>
      </x:c>
      <x:c r="I296" s="28" t="n">
        <x:v>1</x:v>
      </x:c>
      <x:c r="J296" s="28" t="n">
        <x:v>0</x:v>
      </x:c>
      <x:c r="K296" s="28" t="n">
        <x:v>0</x:v>
      </x:c>
      <x:c r="L296" s="28" t="n">
        <x:v>0</x:v>
      </x:c>
      <x:c r="M296" s="28" t="n">
        <x:v>0</x:v>
      </x:c>
      <x:c r="N296" s="22" t="str"/>
      <x:c r="O296" s="22" t="str"/>
      <x:c r="P296" s="22" t="n">
        <x:v>0</x:v>
      </x:c>
      <x:c r="Q296" s="40" t="n">
        <x:v>0</x:v>
      </x:c>
      <x:c r="R296" s="25" t="str"/>
      <x:c r="S296" s="25" t="str">
        <x:v>BOQ_NAME_ONLY</x:v>
      </x:c>
      <x:c r="T296" s="25" t="str">
        <x:v>자동 표 신호는 최종 A/B로 승격하지 않음</x:v>
      </x:c>
      <x:c r="U296" s="22" t="str">
        <x:v>2021-2025</x:v>
      </x:c>
    </x:row>
    <x:row r="297">
      <x:c r="A297" s="22" t="str">
        <x:v>2020-00086</x:v>
      </x:c>
      <x:c r="B297" s="22" t="str">
        <x:v>L2023-00036-1</x:v>
      </x:c>
      <x:c r="C297" s="22" t="str">
        <x:v>WORKS</x:v>
      </x:c>
      <x:c r="D297" s="25" t="str">
        <x:v>L2023-00036-1/붙임3_입찰관련서류_검토완_0717/Section 4.  Bill of Quantities(Not-Priced)/공내역서/VTC견적서/1 АДМИН ЗДАНИЕ(Admin. Build)/1-1 КЖ(Structure)/13063_vrmu.xls</x:v>
      </x:c>
      <x:c r="E297" s="22" t="str">
        <x:v>.xls</x:v>
      </x:c>
      <x:c r="F297" s="28" t="n">
        <x:v>79360</x:v>
      </x:c>
      <x:c r="G297" s="28" t="str">
        <x:v>97ca88b1db2e39ab8d470cd74e64acd38eb9c5888d5f78c83da36d324fa0e727</x:v>
      </x:c>
      <x:c r="H297" s="28" t="n">
        <x:v>1</x:v>
      </x:c>
      <x:c r="I297" s="28" t="n">
        <x:v>1</x:v>
      </x:c>
      <x:c r="J297" s="28" t="n">
        <x:v>1</x:v>
      </x:c>
      <x:c r="K297" s="28" t="n">
        <x:v>163</x:v>
      </x:c>
      <x:c r="L297" s="28" t="n">
        <x:v>1</x:v>
      </x:c>
      <x:c r="M297" s="28" t="n">
        <x:v>0</x:v>
      </x:c>
      <x:c r="N297" s="22" t="str">
        <x:v>Лист1</x:v>
      </x:c>
      <x:c r="O297" s="22" t="str">
        <x:v>visible</x:v>
      </x:c>
      <x:c r="P297" s="22" t="n">
        <x:v>8</x:v>
      </x:c>
      <x:c r="Q297" s="40" t="n">
        <x:v>0.006134969325153374</x:v>
      </x:c>
      <x:c r="R297" s="25" t="str"/>
      <x:c r="S297" s="25" t="str">
        <x:v>B?</x:v>
      </x:c>
      <x:c r="T297" s="25" t="str">
        <x:v>자동 표 신호는 최종 A/B로 승격하지 않음</x:v>
      </x:c>
      <x:c r="U297" s="22" t="str">
        <x:v>2021-2025</x:v>
      </x:c>
    </x:row>
    <x:row r="298">
      <x:c r="A298" s="22" t="str">
        <x:v>2020-00086</x:v>
      </x:c>
      <x:c r="B298" s="22" t="str">
        <x:v>L2023-00036-1</x:v>
      </x:c>
      <x:c r="C298" s="22" t="str">
        <x:v>WORKS</x:v>
      </x:c>
      <x:c r="D298" s="25" t="str">
        <x:v>L2023-00036-1/붙임3_입찰관련서류_검토완_0717/Section 4.  Bill of Quantities(Not-Priced)/공내역서/VTC견적서/1 АДМИН ЗДАНИЕ(Admin. Build)/1-1 КЖ(Structure)/13063_vfor.xls</x:v>
      </x:c>
      <x:c r="E298" s="22" t="str">
        <x:v>.xls</x:v>
      </x:c>
      <x:c r="F298" s="28" t="n">
        <x:v>118272</x:v>
      </x:c>
      <x:c r="G298" s="28" t="str">
        <x:v>722aad89cd38a9a05303abe12485831eca2450747711346f1c22d77bdb78f05b</x:v>
      </x:c>
      <x:c r="H298" s="28" t="n">
        <x:v>1</x:v>
      </x:c>
      <x:c r="I298" s="28" t="n">
        <x:v>1</x:v>
      </x:c>
      <x:c r="J298" s="28" t="n">
        <x:v>0</x:v>
      </x:c>
      <x:c r="K298" s="28" t="n">
        <x:v>0</x:v>
      </x:c>
      <x:c r="L298" s="28" t="n">
        <x:v>0</x:v>
      </x:c>
      <x:c r="M298" s="28" t="n">
        <x:v>0</x:v>
      </x:c>
      <x:c r="N298" s="22" t="str"/>
      <x:c r="O298" s="22" t="str"/>
      <x:c r="P298" s="22" t="n">
        <x:v>0</x:v>
      </x:c>
      <x:c r="Q298" s="40" t="n">
        <x:v>0</x:v>
      </x:c>
      <x:c r="R298" s="25" t="str"/>
      <x:c r="S298" s="25" t="str">
        <x:v>BOQ_NAME_ONLY</x:v>
      </x:c>
      <x:c r="T298" s="25" t="str">
        <x:v>자동 표 신호는 최종 A/B로 승격하지 않음</x:v>
      </x:c>
      <x:c r="U298" s="22" t="str">
        <x:v>2021-2025</x:v>
      </x:c>
    </x:row>
    <x:row r="299">
      <x:c r="A299" s="22" t="str">
        <x:v>2020-00086</x:v>
      </x:c>
      <x:c r="B299" s="22" t="str">
        <x:v>L2023-00036-1</x:v>
      </x:c>
      <x:c r="C299" s="22" t="str">
        <x:v>WORKS</x:v>
      </x:c>
      <x:c r="D299" s="25" t="str">
        <x:v>L2023-00036-1/붙임3_입찰관련서류_검토완_0717/Section 4.  Bill of Quantities(Not-Priced)/공내역서/VTC견적서/1 АДМИН ЗДАНИЕ(Admin. Build)/1-5 ЭО(Electric)/13493_vrmu.xls</x:v>
      </x:c>
      <x:c r="E299" s="22" t="str">
        <x:v>.xls</x:v>
      </x:c>
      <x:c r="F299" s="28" t="n">
        <x:v>95744</x:v>
      </x:c>
      <x:c r="G299" s="28" t="str">
        <x:v>ebe77e774131a081d32956fc8861c1d8f742a8828afd9bed0fd71db438f6f165</x:v>
      </x:c>
      <x:c r="H299" s="28" t="n">
        <x:v>1</x:v>
      </x:c>
      <x:c r="I299" s="28" t="n">
        <x:v>1</x:v>
      </x:c>
      <x:c r="J299" s="28" t="n">
        <x:v>0</x:v>
      </x:c>
      <x:c r="K299" s="28" t="n">
        <x:v>0</x:v>
      </x:c>
      <x:c r="L299" s="28" t="n">
        <x:v>0</x:v>
      </x:c>
      <x:c r="M299" s="28" t="n">
        <x:v>0</x:v>
      </x:c>
      <x:c r="N299" s="22" t="str"/>
      <x:c r="O299" s="22" t="str"/>
      <x:c r="P299" s="22" t="n">
        <x:v>0</x:v>
      </x:c>
      <x:c r="Q299" s="40" t="n">
        <x:v>0</x:v>
      </x:c>
      <x:c r="R299" s="25" t="str"/>
      <x:c r="S299" s="25" t="str">
        <x:v>BOQ_NAME_ONLY</x:v>
      </x:c>
      <x:c r="T299" s="25" t="str">
        <x:v>자동 표 신호는 최종 A/B로 승격하지 않음</x:v>
      </x:c>
      <x:c r="U299" s="22" t="str">
        <x:v>2021-2025</x:v>
      </x:c>
    </x:row>
    <x:row r="300">
      <x:c r="A300" s="22" t="str">
        <x:v>2020-00086</x:v>
      </x:c>
      <x:c r="B300" s="22" t="str">
        <x:v>L2023-00036-1</x:v>
      </x:c>
      <x:c r="C300" s="22" t="str">
        <x:v>WORKS</x:v>
      </x:c>
      <x:c r="D300" s="25" t="str">
        <x:v>L2023-00036-1/붙임3_입찰관련서류_검토완_0717/Section 4.  Bill of Quantities(Not-Priced)/공내역서/VTC견적서/1 АДМИН ЗДАНИЕ(Admin. Build)/1-5 ЭО(Electric)/bv13490.xls</x:v>
      </x:c>
      <x:c r="E300" s="22" t="str">
        <x:v>.xls</x:v>
      </x:c>
      <x:c r="F300" s="28" t="n">
        <x:v>158720</x:v>
      </x:c>
      <x:c r="G300" s="28" t="str">
        <x:v>bd5f8e35593e9c7efc6d645f53dd05706c78ef405c09926c16e8f6574c780cc0</x:v>
      </x:c>
      <x:c r="H300" s="28" t="n">
        <x:v>1</x:v>
      </x:c>
      <x:c r="I300" s="28" t="n">
        <x:v>1</x:v>
      </x:c>
      <x:c r="J300" s="28" t="n">
        <x:v>0</x:v>
      </x:c>
      <x:c r="K300" s="28" t="n">
        <x:v>0</x:v>
      </x:c>
      <x:c r="L300" s="28" t="n">
        <x:v>0</x:v>
      </x:c>
      <x:c r="M300" s="28" t="n">
        <x:v>0</x:v>
      </x:c>
      <x:c r="N300" s="22" t="str"/>
      <x:c r="O300" s="22" t="str"/>
      <x:c r="P300" s="22" t="n">
        <x:v>0</x:v>
      </x:c>
      <x:c r="Q300" s="40" t="n">
        <x:v>0</x:v>
      </x:c>
      <x:c r="R300" s="25" t="str"/>
      <x:c r="S300" s="25" t="str">
        <x:v>BOQ_NAME_ONLY</x:v>
      </x:c>
      <x:c r="T300" s="25" t="str">
        <x:v>자동 표 신호는 최종 A/B로 승격하지 않음</x:v>
      </x:c>
      <x:c r="U300" s="22" t="str">
        <x:v>2021-2025</x:v>
      </x:c>
    </x:row>
    <x:row r="301">
      <x:c r="A301" s="22" t="str">
        <x:v>2020-00086</x:v>
      </x:c>
      <x:c r="B301" s="22" t="str">
        <x:v>L2023-00036-1</x:v>
      </x:c>
      <x:c r="C301" s="22" t="str">
        <x:v>WORKS</x:v>
      </x:c>
      <x:c r="D301" s="25" t="str">
        <x:v>L2023-00036-1/붙임3_입찰관련서류_검토완_0717/Section 4.  Bill of Quantities(Not-Priced)/공내역서/VTC견적서/1 АДМИН ЗДАНИЕ(Admin. Build)/1-7 ВН, СКС(CCTV &amp; Network)/bv13260.xls</x:v>
      </x:c>
      <x:c r="E301" s="22" t="str">
        <x:v>.xls</x:v>
      </x:c>
      <x:c r="F301" s="28" t="n">
        <x:v>107520</x:v>
      </x:c>
      <x:c r="G301" s="28" t="str">
        <x:v>da9736d6f767a8ecd457f4daac55033b9573e34d0967a3842ac2dd832de749d3</x:v>
      </x:c>
      <x:c r="H301" s="28" t="n">
        <x:v>1</x:v>
      </x:c>
      <x:c r="I301" s="28" t="n">
        <x:v>1</x:v>
      </x:c>
      <x:c r="J301" s="28" t="n">
        <x:v>0</x:v>
      </x:c>
      <x:c r="K301" s="28" t="n">
        <x:v>0</x:v>
      </x:c>
      <x:c r="L301" s="28" t="n">
        <x:v>0</x:v>
      </x:c>
      <x:c r="M301" s="28" t="n">
        <x:v>0</x:v>
      </x:c>
      <x:c r="N301" s="22" t="str"/>
      <x:c r="O301" s="22" t="str"/>
      <x:c r="P301" s="22" t="n">
        <x:v>0</x:v>
      </x:c>
      <x:c r="Q301" s="40" t="n">
        <x:v>0</x:v>
      </x:c>
      <x:c r="R301" s="25" t="str"/>
      <x:c r="S301" s="25" t="str">
        <x:v>BOQ_NAME_ONLY</x:v>
      </x:c>
      <x:c r="T301" s="25" t="str">
        <x:v>자동 표 신호는 최종 A/B로 승격하지 않음</x:v>
      </x:c>
      <x:c r="U301" s="22" t="str">
        <x:v>2021-2025</x:v>
      </x:c>
    </x:row>
    <x:row r="302">
      <x:c r="A302" s="22" t="str">
        <x:v>2020-00086</x:v>
      </x:c>
      <x:c r="B302" s="22" t="str">
        <x:v>L2023-00036-1</x:v>
      </x:c>
      <x:c r="C302" s="22" t="str">
        <x:v>WORKS</x:v>
      </x:c>
      <x:c r="D302" s="25" t="str">
        <x:v>L2023-00036-1/붙임3_입찰관련서류_검토완_0717/Section 4.  Bill of Quantities(Not-Priced)/공내역서/VTC견적서/1 АДМИН ЗДАНИЕ(Admin. Build)/1-7 ВН, СКС(CCTV &amp; Network)/13263_vfor.xls</x:v>
      </x:c>
      <x:c r="E302" s="22" t="str">
        <x:v>.xls</x:v>
      </x:c>
      <x:c r="F302" s="28" t="n">
        <x:v>47616</x:v>
      </x:c>
      <x:c r="G302" s="28" t="str">
        <x:v>7a8b4feeaa0c2b59e5da2fb55f1768d770b5ad657133ec053d138eb8e9bce861</x:v>
      </x:c>
      <x:c r="H302" s="28" t="n">
        <x:v>1</x:v>
      </x:c>
      <x:c r="I302" s="28" t="n">
        <x:v>1</x:v>
      </x:c>
      <x:c r="J302" s="28" t="n">
        <x:v>0</x:v>
      </x:c>
      <x:c r="K302" s="28" t="n">
        <x:v>0</x:v>
      </x:c>
      <x:c r="L302" s="28" t="n">
        <x:v>0</x:v>
      </x:c>
      <x:c r="M302" s="28" t="n">
        <x:v>0</x:v>
      </x:c>
      <x:c r="N302" s="22" t="str"/>
      <x:c r="O302" s="22" t="str"/>
      <x:c r="P302" s="22" t="n">
        <x:v>0</x:v>
      </x:c>
      <x:c r="Q302" s="40" t="n">
        <x:v>0</x:v>
      </x:c>
      <x:c r="R302" s="25" t="str"/>
      <x:c r="S302" s="25" t="str">
        <x:v>BOQ_NAME_ONLY</x:v>
      </x:c>
      <x:c r="T302" s="25" t="str">
        <x:v>자동 표 신호는 최종 A/B로 승격하지 않음</x:v>
      </x:c>
      <x:c r="U302" s="22" t="str">
        <x:v>2021-2025</x:v>
      </x:c>
    </x:row>
    <x:row r="303">
      <x:c r="A303" s="22" t="str">
        <x:v>2020-00086</x:v>
      </x:c>
      <x:c r="B303" s="22" t="str">
        <x:v>L2023-00036-1</x:v>
      </x:c>
      <x:c r="C303" s="22" t="str">
        <x:v>WORKS</x:v>
      </x:c>
      <x:c r="D303" s="25" t="str">
        <x:v>L2023-00036-1/붙임3_입찰관련서류_검토완_0717/Section 4.  Bill of Quantities(Not-Priced)/공내역서/VTC견적서/1 АДМИН ЗДАНИЕ(Admin. Build)/1-7 ВН, СКС(CCTV &amp; Network)/13263_vrmu.xls</x:v>
      </x:c>
      <x:c r="E303" s="22" t="str">
        <x:v>.xls</x:v>
      </x:c>
      <x:c r="F303" s="28" t="n">
        <x:v>68608</x:v>
      </x:c>
      <x:c r="G303" s="28" t="str">
        <x:v>6c0471c582338da570a451cd77b90965fe575e9f9b5a76c47f242fa9f7baf869</x:v>
      </x:c>
      <x:c r="H303" s="28" t="n">
        <x:v>1</x:v>
      </x:c>
      <x:c r="I303" s="28" t="n">
        <x:v>1</x:v>
      </x:c>
      <x:c r="J303" s="28" t="n">
        <x:v>1</x:v>
      </x:c>
      <x:c r="K303" s="28" t="n">
        <x:v>121</x:v>
      </x:c>
      <x:c r="L303" s="28" t="n">
        <x:v>1</x:v>
      </x:c>
      <x:c r="M303" s="28" t="n">
        <x:v>0</x:v>
      </x:c>
      <x:c r="N303" s="22" t="str">
        <x:v>Лист1</x:v>
      </x:c>
      <x:c r="O303" s="22" t="str">
        <x:v>visible</x:v>
      </x:c>
      <x:c r="P303" s="22" t="n">
        <x:v>8</x:v>
      </x:c>
      <x:c r="Q303" s="40" t="n">
        <x:v>0.008264462809917356</x:v>
      </x:c>
      <x:c r="R303" s="25" t="str"/>
      <x:c r="S303" s="25" t="str">
        <x:v>B?</x:v>
      </x:c>
      <x:c r="T303" s="25" t="str">
        <x:v>자동 표 신호는 최종 A/B로 승격하지 않음</x:v>
      </x:c>
      <x:c r="U303" s="22" t="str">
        <x:v>2021-2025</x:v>
      </x:c>
    </x:row>
    <x:row r="304">
      <x:c r="A304" s="22" t="str">
        <x:v>2020-00086</x:v>
      </x:c>
      <x:c r="B304" s="22" t="str">
        <x:v>L2023-00036-1</x:v>
      </x:c>
      <x:c r="C304" s="22" t="str">
        <x:v>WORKS</x:v>
      </x:c>
      <x:c r="D304" s="25" t="str">
        <x:v>L2023-00036-1/붙임3_입찰관련서류_검토완_0717/Section 4.  Bill of Quantities(Not-Priced)/공내역서/VTC견적서/1 АДМИН ЗДАНИЕ(Admin. Build)/1-4 ВК(Water &amp; Sewer &amp; Fireplug)/13133_vfor.xls</x:v>
      </x:c>
      <x:c r="E304" s="22" t="str">
        <x:v>.xls</x:v>
      </x:c>
      <x:c r="F304" s="28" t="n">
        <x:v>52736</x:v>
      </x:c>
      <x:c r="G304" s="28" t="str">
        <x:v>741ec748efad6c50d4f9031854c9af39efdae94a7f251502f482d1e634696395</x:v>
      </x:c>
      <x:c r="H304" s="28" t="n">
        <x:v>1</x:v>
      </x:c>
      <x:c r="I304" s="28" t="n">
        <x:v>1</x:v>
      </x:c>
      <x:c r="J304" s="28" t="n">
        <x:v>0</x:v>
      </x:c>
      <x:c r="K304" s="28" t="n">
        <x:v>0</x:v>
      </x:c>
      <x:c r="L304" s="28" t="n">
        <x:v>0</x:v>
      </x:c>
      <x:c r="M304" s="28" t="n">
        <x:v>0</x:v>
      </x:c>
      <x:c r="N304" s="22" t="str"/>
      <x:c r="O304" s="22" t="str"/>
      <x:c r="P304" s="22" t="n">
        <x:v>0</x:v>
      </x:c>
      <x:c r="Q304" s="40" t="n">
        <x:v>0</x:v>
      </x:c>
      <x:c r="R304" s="25" t="str"/>
      <x:c r="S304" s="25" t="str">
        <x:v>BOQ_NAME_ONLY</x:v>
      </x:c>
      <x:c r="T304" s="25" t="str">
        <x:v>자동 표 신호는 최종 A/B로 승격하지 않음</x:v>
      </x:c>
      <x:c r="U304" s="22" t="str">
        <x:v>2021-2025</x:v>
      </x:c>
    </x:row>
    <x:row r="305">
      <x:c r="A305" s="22" t="str">
        <x:v>2020-00086</x:v>
      </x:c>
      <x:c r="B305" s="22" t="str">
        <x:v>L2023-00036-1</x:v>
      </x:c>
      <x:c r="C305" s="22" t="str">
        <x:v>WORKS</x:v>
      </x:c>
      <x:c r="D305" s="25" t="str">
        <x:v>L2023-00036-1/붙임3_입찰관련서류_검토완_0717/Section 4.  Bill of Quantities(Not-Priced)/공내역서/VTC견적서/1 АДМИН ЗДАНИЕ(Admin. Build)/1-4 ВК(Water &amp; Sewer &amp; Fireplug)/bv13130.xls</x:v>
      </x:c>
      <x:c r="E305" s="22" t="str">
        <x:v>.xls</x:v>
      </x:c>
      <x:c r="F305" s="28" t="n">
        <x:v>154624</x:v>
      </x:c>
      <x:c r="G305" s="28" t="str">
        <x:v>1223ff48761e0fa74c64b76affe4f9a0bba0f90d9621723ff81afca192aa3ec9</x:v>
      </x:c>
      <x:c r="H305" s="28" t="n">
        <x:v>1</x:v>
      </x:c>
      <x:c r="I305" s="28" t="n">
        <x:v>1</x:v>
      </x:c>
      <x:c r="J305" s="28" t="n">
        <x:v>0</x:v>
      </x:c>
      <x:c r="K305" s="28" t="n">
        <x:v>0</x:v>
      </x:c>
      <x:c r="L305" s="28" t="n">
        <x:v>0</x:v>
      </x:c>
      <x:c r="M305" s="28" t="n">
        <x:v>0</x:v>
      </x:c>
      <x:c r="N305" s="22" t="str"/>
      <x:c r="O305" s="22" t="str"/>
      <x:c r="P305" s="22" t="n">
        <x:v>0</x:v>
      </x:c>
      <x:c r="Q305" s="40" t="n">
        <x:v>0</x:v>
      </x:c>
      <x:c r="R305" s="25" t="str"/>
      <x:c r="S305" s="25" t="str">
        <x:v>BOQ_NAME_ONLY</x:v>
      </x:c>
      <x:c r="T305" s="25" t="str">
        <x:v>자동 표 신호는 최종 A/B로 승격하지 않음</x:v>
      </x:c>
      <x:c r="U305" s="22" t="str">
        <x:v>2021-2025</x:v>
      </x:c>
    </x:row>
    <x:row r="306">
      <x:c r="A306" s="22" t="str">
        <x:v>2020-00086</x:v>
      </x:c>
      <x:c r="B306" s="22" t="str">
        <x:v>L2023-00036-1</x:v>
      </x:c>
      <x:c r="C306" s="22" t="str">
        <x:v>WORKS</x:v>
      </x:c>
      <x:c r="D306" s="25" t="str">
        <x:v>L2023-00036-1/붙임3_입찰관련서류_검토완_0717/Section 4.  Bill of Quantities(Not-Priced)/공내역서/VTC견적서/1 АДМИН ЗДАНИЕ(Admin. Build)/1-4 ВК(Water &amp; Sewer &amp; Fireplug)/13133_vrmu.xls</x:v>
      </x:c>
      <x:c r="E306" s="22" t="str">
        <x:v>.xls</x:v>
      </x:c>
      <x:c r="F306" s="28" t="n">
        <x:v>79360</x:v>
      </x:c>
      <x:c r="G306" s="28" t="str">
        <x:v>b0afbc4d11efcf493a5e6015f97ca5b4a7b9097194af5dc00c5ac2e9b8482153</x:v>
      </x:c>
      <x:c r="H306" s="28" t="n">
        <x:v>1</x:v>
      </x:c>
      <x:c r="I306" s="28" t="n">
        <x:v>1</x:v>
      </x:c>
      <x:c r="J306" s="28" t="n">
        <x:v>1</x:v>
      </x:c>
      <x:c r="K306" s="28" t="n">
        <x:v>169</x:v>
      </x:c>
      <x:c r="L306" s="28" t="n">
        <x:v>1</x:v>
      </x:c>
      <x:c r="M306" s="28" t="n">
        <x:v>0</x:v>
      </x:c>
      <x:c r="N306" s="22" t="str">
        <x:v>Лист1</x:v>
      </x:c>
      <x:c r="O306" s="22" t="str">
        <x:v>visible</x:v>
      </x:c>
      <x:c r="P306" s="22" t="n">
        <x:v>8</x:v>
      </x:c>
      <x:c r="Q306" s="40" t="n">
        <x:v>0.005917159763313609</x:v>
      </x:c>
      <x:c r="R306" s="25" t="str"/>
      <x:c r="S306" s="25" t="str">
        <x:v>B?</x:v>
      </x:c>
      <x:c r="T306" s="25" t="str">
        <x:v>자동 표 신호는 최종 A/B로 승격하지 않음</x:v>
      </x:c>
      <x:c r="U306" s="22" t="str">
        <x:v>2021-2025</x:v>
      </x:c>
    </x:row>
    <x:row r="307">
      <x:c r="A307" s="22" t="str">
        <x:v>2020-00086</x:v>
      </x:c>
      <x:c r="B307" s="22" t="str">
        <x:v>L2023-00036-1</x:v>
      </x:c>
      <x:c r="C307" s="22" t="str">
        <x:v>WORKS</x:v>
      </x:c>
      <x:c r="D307" s="25" t="str">
        <x:v>L2023-00036-1/붙임3_입찰관련서류_검토완_0717/Section 4.  Bill of Quantities(Not-Priced)/공내역서/VTC견적서/1 АДМИН ЗДАНИЕ(Admin. Build)/1-10 ЛИФТ(ELEV)/13753_vrmu.xls</x:v>
      </x:c>
      <x:c r="E307" s="22" t="str">
        <x:v>.xls</x:v>
      </x:c>
      <x:c r="F307" s="28" t="n">
        <x:v>43008</x:v>
      </x:c>
      <x:c r="G307" s="28" t="str">
        <x:v>d8c8c9194e19cccc526a10c247d70181deba40b1b4cf1c4603bfe482647ccc57</x:v>
      </x:c>
      <x:c r="H307" s="28" t="n">
        <x:v>1</x:v>
      </x:c>
      <x:c r="I307" s="28" t="n">
        <x:v>1</x:v>
      </x:c>
      <x:c r="J307" s="28" t="n">
        <x:v>0</x:v>
      </x:c>
      <x:c r="K307" s="28" t="n">
        <x:v>0</x:v>
      </x:c>
      <x:c r="L307" s="28" t="n">
        <x:v>0</x:v>
      </x:c>
      <x:c r="M307" s="28" t="n">
        <x:v>0</x:v>
      </x:c>
      <x:c r="N307" s="22" t="str"/>
      <x:c r="O307" s="22" t="str"/>
      <x:c r="P307" s="22" t="n">
        <x:v>0</x:v>
      </x:c>
      <x:c r="Q307" s="40" t="n">
        <x:v>0</x:v>
      </x:c>
      <x:c r="R307" s="25" t="str"/>
      <x:c r="S307" s="25" t="str">
        <x:v>BOQ_NAME_ONLY</x:v>
      </x:c>
      <x:c r="T307" s="25" t="str">
        <x:v>자동 표 신호는 최종 A/B로 승격하지 않음</x:v>
      </x:c>
      <x:c r="U307" s="22" t="str">
        <x:v>2021-2025</x:v>
      </x:c>
    </x:row>
    <x:row r="308">
      <x:c r="A308" s="22" t="str">
        <x:v>2020-00086</x:v>
      </x:c>
      <x:c r="B308" s="22" t="str">
        <x:v>L2023-00036-1</x:v>
      </x:c>
      <x:c r="C308" s="22" t="str">
        <x:v>WORKS</x:v>
      </x:c>
      <x:c r="D308" s="25" t="str">
        <x:v>L2023-00036-1/붙임3_입찰관련서류_검토완_0717/Section 4.  Bill of Quantities(Not-Priced)/공내역서/VTC견적서/1 АДМИН ЗДАНИЕ(Admin. Build)/1-10 ЛИФТ(ELEV)/13753_vfor.xls</x:v>
      </x:c>
      <x:c r="E308" s="22" t="str">
        <x:v>.xls</x:v>
      </x:c>
      <x:c r="F308" s="28" t="n">
        <x:v>30208</x:v>
      </x:c>
      <x:c r="G308" s="28" t="str">
        <x:v>b3579f537710c58124f00338f7e0f9e99571d8b9b633597f327e8b17d0a47566</x:v>
      </x:c>
      <x:c r="H308" s="28" t="n">
        <x:v>1</x:v>
      </x:c>
      <x:c r="I308" s="28" t="n">
        <x:v>1</x:v>
      </x:c>
      <x:c r="J308" s="28" t="n">
        <x:v>0</x:v>
      </x:c>
      <x:c r="K308" s="28" t="n">
        <x:v>0</x:v>
      </x:c>
      <x:c r="L308" s="28" t="n">
        <x:v>0</x:v>
      </x:c>
      <x:c r="M308" s="28" t="n">
        <x:v>0</x:v>
      </x:c>
      <x:c r="N308" s="22" t="str"/>
      <x:c r="O308" s="22" t="str"/>
      <x:c r="P308" s="22" t="n">
        <x:v>0</x:v>
      </x:c>
      <x:c r="Q308" s="40" t="n">
        <x:v>0</x:v>
      </x:c>
      <x:c r="R308" s="25" t="str"/>
      <x:c r="S308" s="25" t="str">
        <x:v>BOQ_NAME_ONLY</x:v>
      </x:c>
      <x:c r="T308" s="25" t="str">
        <x:v>자동 표 신호는 최종 A/B로 승격하지 않음</x:v>
      </x:c>
      <x:c r="U308" s="22" t="str">
        <x:v>2021-2025</x:v>
      </x:c>
    </x:row>
    <x:row r="309">
      <x:c r="A309" s="22" t="str">
        <x:v>2020-00086</x:v>
      </x:c>
      <x:c r="B309" s="22" t="str">
        <x:v>L2023-00036-1</x:v>
      </x:c>
      <x:c r="C309" s="22" t="str">
        <x:v>WORKS</x:v>
      </x:c>
      <x:c r="D309" s="25" t="str">
        <x:v>L2023-00036-1/붙임3_입찰관련서류_검토완_0717/Section 4.  Bill of Quantities(Not-Priced)/공내역서/VTC견적서/1 АДМИН ЗДАНИЕ(Admin. Build)/1-10 ЛИФТ(ELEV)/bv13750.xls</x:v>
      </x:c>
      <x:c r="E309" s="22" t="str">
        <x:v>.xls</x:v>
      </x:c>
      <x:c r="F309" s="28" t="n">
        <x:v>54784</x:v>
      </x:c>
      <x:c r="G309" s="28" t="str">
        <x:v>eb9c87be647fc11b224374cdaaccddcc279ef6fd030d266e10a9e18b670be321</x:v>
      </x:c>
      <x:c r="H309" s="28" t="n">
        <x:v>1</x:v>
      </x:c>
      <x:c r="I309" s="28" t="n">
        <x:v>1</x:v>
      </x:c>
      <x:c r="J309" s="28" t="n">
        <x:v>0</x:v>
      </x:c>
      <x:c r="K309" s="28" t="n">
        <x:v>0</x:v>
      </x:c>
      <x:c r="L309" s="28" t="n">
        <x:v>0</x:v>
      </x:c>
      <x:c r="M309" s="28" t="n">
        <x:v>0</x:v>
      </x:c>
      <x:c r="N309" s="22" t="str"/>
      <x:c r="O309" s="22" t="str"/>
      <x:c r="P309" s="22" t="n">
        <x:v>0</x:v>
      </x:c>
      <x:c r="Q309" s="40" t="n">
        <x:v>0</x:v>
      </x:c>
      <x:c r="R309" s="25" t="str"/>
      <x:c r="S309" s="25" t="str">
        <x:v>BOQ_NAME_ONLY</x:v>
      </x:c>
      <x:c r="T309" s="25" t="str">
        <x:v>자동 표 신호는 최종 A/B로 승격하지 않음</x:v>
      </x:c>
      <x:c r="U309" s="22" t="str">
        <x:v>2021-2025</x:v>
      </x:c>
    </x:row>
    <x:row r="310">
      <x:c r="A310" s="22" t="str">
        <x:v>2020-00086</x:v>
      </x:c>
      <x:c r="B310" s="22" t="str">
        <x:v>L2023-00036-1</x:v>
      </x:c>
      <x:c r="C310" s="22" t="str">
        <x:v>WORKS</x:v>
      </x:c>
      <x:c r="D310" s="25" t="str">
        <x:v>L2023-00036-1/붙임3_입찰관련서류_검토완_0717/Section 4.  Bill of Quantities(Not-Priced)/공내역서/VTC견적서/1 АДМИН ЗДАНИЕ(Admin. Build)/1-3 ОВ(Heating &amp; Ventilation)/13483_vfor.xls</x:v>
      </x:c>
      <x:c r="E310" s="22" t="str">
        <x:v>.xls</x:v>
      </x:c>
      <x:c r="F310" s="28" t="n">
        <x:v>99328</x:v>
      </x:c>
      <x:c r="G310" s="28" t="str">
        <x:v>ea2c98759901d209006d0bf437f6b47db3db59af4a523229e57e8127d6eaec66</x:v>
      </x:c>
      <x:c r="H310" s="28" t="n">
        <x:v>1</x:v>
      </x:c>
      <x:c r="I310" s="28" t="n">
        <x:v>1</x:v>
      </x:c>
      <x:c r="J310" s="28" t="n">
        <x:v>0</x:v>
      </x:c>
      <x:c r="K310" s="28" t="n">
        <x:v>0</x:v>
      </x:c>
      <x:c r="L310" s="28" t="n">
        <x:v>0</x:v>
      </x:c>
      <x:c r="M310" s="28" t="n">
        <x:v>0</x:v>
      </x:c>
      <x:c r="N310" s="22" t="str"/>
      <x:c r="O310" s="22" t="str"/>
      <x:c r="P310" s="22" t="n">
        <x:v>0</x:v>
      </x:c>
      <x:c r="Q310" s="40" t="n">
        <x:v>0</x:v>
      </x:c>
      <x:c r="R310" s="25" t="str"/>
      <x:c r="S310" s="25" t="str">
        <x:v>BOQ_NAME_ONLY</x:v>
      </x:c>
      <x:c r="T310" s="25" t="str">
        <x:v>자동 표 신호는 최종 A/B로 승격하지 않음</x:v>
      </x:c>
      <x:c r="U310" s="22" t="str">
        <x:v>2021-2025</x:v>
      </x:c>
    </x:row>
    <x:row r="311">
      <x:c r="A311" s="22" t="str">
        <x:v>2020-00086</x:v>
      </x:c>
      <x:c r="B311" s="22" t="str">
        <x:v>L2023-00036-1</x:v>
      </x:c>
      <x:c r="C311" s="22" t="str">
        <x:v>WORKS</x:v>
      </x:c>
      <x:c r="D311" s="25" t="str">
        <x:v>L2023-00036-1/붙임3_입찰관련서류_검토완_0717/Section 4.  Bill of Quantities(Not-Priced)/공내역서/VTC견적서/1 АДМИН ЗДАНИЕ(Admin. Build)/1-3 ОВ(Heating &amp; Ventilation)/bv13480.xls</x:v>
      </x:c>
      <x:c r="E311" s="22" t="str">
        <x:v>.xls</x:v>
      </x:c>
      <x:c r="F311" s="28" t="n">
        <x:v>427008</x:v>
      </x:c>
      <x:c r="G311" s="28" t="str">
        <x:v>09bb65db10a11858d8ac285c8181d79f56e81b7cf85edc982df2b0f23f6c6b66</x:v>
      </x:c>
      <x:c r="H311" s="28" t="n">
        <x:v>1</x:v>
      </x:c>
      <x:c r="I311" s="28" t="n">
        <x:v>1</x:v>
      </x:c>
      <x:c r="J311" s="28" t="n">
        <x:v>0</x:v>
      </x:c>
      <x:c r="K311" s="28" t="n">
        <x:v>0</x:v>
      </x:c>
      <x:c r="L311" s="28" t="n">
        <x:v>0</x:v>
      </x:c>
      <x:c r="M311" s="28" t="n">
        <x:v>0</x:v>
      </x:c>
      <x:c r="N311" s="22" t="str"/>
      <x:c r="O311" s="22" t="str"/>
      <x:c r="P311" s="22" t="n">
        <x:v>0</x:v>
      </x:c>
      <x:c r="Q311" s="40" t="n">
        <x:v>0</x:v>
      </x:c>
      <x:c r="R311" s="25" t="str"/>
      <x:c r="S311" s="25" t="str">
        <x:v>BOQ_NAME_ONLY</x:v>
      </x:c>
      <x:c r="T311" s="25" t="str">
        <x:v>자동 표 신호는 최종 A/B로 승격하지 않음</x:v>
      </x:c>
      <x:c r="U311" s="22" t="str">
        <x:v>2021-2025</x:v>
      </x:c>
    </x:row>
    <x:row r="312">
      <x:c r="A312" s="22" t="str">
        <x:v>2020-00086</x:v>
      </x:c>
      <x:c r="B312" s="22" t="str">
        <x:v>L2023-00036-1</x:v>
      </x:c>
      <x:c r="C312" s="22" t="str">
        <x:v>WORKS</x:v>
      </x:c>
      <x:c r="D312" s="25" t="str">
        <x:v>L2023-00036-1/붙임3_입찰관련서류_검토완_0717/Section 4.  Bill of Quantities(Not-Priced)/공내역서/VTC견적서/1 АДМИН ЗДАНИЕ(Admin. Build)/1-3 ОВ(Heating &amp; Ventilation)/13483_vrmu.xls</x:v>
      </x:c>
      <x:c r="E312" s="22" t="str">
        <x:v>.xls</x:v>
      </x:c>
      <x:c r="F312" s="28" t="n">
        <x:v>103936</x:v>
      </x:c>
      <x:c r="G312" s="28" t="str">
        <x:v>a04ed59f23ea1ae61745cad683d4cbaf5ae363e309db5658d259973ecd8f543d</x:v>
      </x:c>
      <x:c r="H312" s="28" t="n">
        <x:v>1</x:v>
      </x:c>
      <x:c r="I312" s="28" t="n">
        <x:v>1</x:v>
      </x:c>
      <x:c r="J312" s="28" t="n">
        <x:v>1</x:v>
      </x:c>
      <x:c r="K312" s="28" t="n">
        <x:v>244</x:v>
      </x:c>
      <x:c r="L312" s="28" t="n">
        <x:v>1</x:v>
      </x:c>
      <x:c r="M312" s="28" t="n">
        <x:v>0</x:v>
      </x:c>
      <x:c r="N312" s="22" t="str">
        <x:v>Лист1</x:v>
      </x:c>
      <x:c r="O312" s="22" t="str">
        <x:v>visible</x:v>
      </x:c>
      <x:c r="P312" s="22" t="n">
        <x:v>8</x:v>
      </x:c>
      <x:c r="Q312" s="40" t="n">
        <x:v>0.004098360655737705</x:v>
      </x:c>
      <x:c r="R312" s="25" t="str"/>
      <x:c r="S312" s="25" t="str">
        <x:v>B?</x:v>
      </x:c>
      <x:c r="T312" s="25" t="str">
        <x:v>자동 표 신호는 최종 A/B로 승격하지 않음</x:v>
      </x:c>
      <x:c r="U312" s="22" t="str">
        <x:v>2021-2025</x:v>
      </x:c>
    </x:row>
    <x:row r="313">
      <x:c r="A313" s="22" t="str">
        <x:v>2020-00086</x:v>
      </x:c>
      <x:c r="B313" s="22" t="str">
        <x:v>L2023-00036-1</x:v>
      </x:c>
      <x:c r="C313" s="22" t="str">
        <x:v>WORKS</x:v>
      </x:c>
      <x:c r="D313" s="25" t="str">
        <x:v>L2023-00036-1/붙임3_입찰관련서류_검토완_0717/Section 4.  Bill of Quantities(Not-Priced)/공내역서/VTC견적서/1 АДМИН ЗДАНИЕ(Admin. Build)/1-6 ПС(Fire Alarm)/13253_vrmu.xls</x:v>
      </x:c>
      <x:c r="E313" s="22" t="str">
        <x:v>.xls</x:v>
      </x:c>
      <x:c r="F313" s="28" t="n">
        <x:v>49152</x:v>
      </x:c>
      <x:c r="G313" s="28" t="str">
        <x:v>638ac1d9b3e1c826c7350759798f5c9e7977ba6841161f9a0604aab9275f55ae</x:v>
      </x:c>
      <x:c r="H313" s="28" t="n">
        <x:v>1</x:v>
      </x:c>
      <x:c r="I313" s="28" t="n">
        <x:v>1</x:v>
      </x:c>
      <x:c r="J313" s="28" t="n">
        <x:v>0</x:v>
      </x:c>
      <x:c r="K313" s="28" t="n">
        <x:v>0</x:v>
      </x:c>
      <x:c r="L313" s="28" t="n">
        <x:v>0</x:v>
      </x:c>
      <x:c r="M313" s="28" t="n">
        <x:v>0</x:v>
      </x:c>
      <x:c r="N313" s="22" t="str"/>
      <x:c r="O313" s="22" t="str"/>
      <x:c r="P313" s="22" t="n">
        <x:v>0</x:v>
      </x:c>
      <x:c r="Q313" s="40" t="n">
        <x:v>0</x:v>
      </x:c>
      <x:c r="R313" s="25" t="str"/>
      <x:c r="S313" s="25" t="str">
        <x:v>BOQ_NAME_ONLY</x:v>
      </x:c>
      <x:c r="T313" s="25" t="str">
        <x:v>자동 표 신호는 최종 A/B로 승격하지 않음</x:v>
      </x:c>
      <x:c r="U313" s="22" t="str">
        <x:v>2021-2025</x:v>
      </x:c>
    </x:row>
    <x:row r="314">
      <x:c r="A314" s="22" t="str">
        <x:v>2020-00086</x:v>
      </x:c>
      <x:c r="B314" s="22" t="str">
        <x:v>L2023-00036-1</x:v>
      </x:c>
      <x:c r="C314" s="22" t="str">
        <x:v>WORKS</x:v>
      </x:c>
      <x:c r="D314" s="25" t="str">
        <x:v>L2023-00036-1/붙임3_입찰관련서류_검토완_0717/Section 4.  Bill of Quantities(Not-Priced)/공내역서/VTC견적서/1 АДМИН ЗДАНИЕ(Admin. Build)/1-6 ПС(Fire Alarm)/13253_vfor.xls</x:v>
      </x:c>
      <x:c r="E314" s="22" t="str">
        <x:v>.xls</x:v>
      </x:c>
      <x:c r="F314" s="28" t="n">
        <x:v>36864</x:v>
      </x:c>
      <x:c r="G314" s="28" t="str">
        <x:v>4bb2f66c458714b2e47664a339164cdd7ab4a42d68218d6abcca1ab11bf69708</x:v>
      </x:c>
      <x:c r="H314" s="28" t="n">
        <x:v>1</x:v>
      </x:c>
      <x:c r="I314" s="28" t="n">
        <x:v>1</x:v>
      </x:c>
      <x:c r="J314" s="28" t="n">
        <x:v>0</x:v>
      </x:c>
      <x:c r="K314" s="28" t="n">
        <x:v>0</x:v>
      </x:c>
      <x:c r="L314" s="28" t="n">
        <x:v>0</x:v>
      </x:c>
      <x:c r="M314" s="28" t="n">
        <x:v>0</x:v>
      </x:c>
      <x:c r="N314" s="22" t="str"/>
      <x:c r="O314" s="22" t="str"/>
      <x:c r="P314" s="22" t="n">
        <x:v>0</x:v>
      </x:c>
      <x:c r="Q314" s="40" t="n">
        <x:v>0</x:v>
      </x:c>
      <x:c r="R314" s="25" t="str"/>
      <x:c r="S314" s="25" t="str">
        <x:v>BOQ_NAME_ONLY</x:v>
      </x:c>
      <x:c r="T314" s="25" t="str">
        <x:v>자동 표 신호는 최종 A/B로 승격하지 않음</x:v>
      </x:c>
      <x:c r="U314" s="22" t="str">
        <x:v>2021-2025</x:v>
      </x:c>
    </x:row>
    <x:row r="315">
      <x:c r="A315" s="22" t="str">
        <x:v>2020-00086</x:v>
      </x:c>
      <x:c r="B315" s="22" t="str">
        <x:v>L2023-00036-1</x:v>
      </x:c>
      <x:c r="C315" s="22" t="str">
        <x:v>WORKS</x:v>
      </x:c>
      <x:c r="D315" s="25" t="str">
        <x:v>L2023-00036-1/붙임3_입찰관련서류_검토완_0717/Section 4.  Bill of Quantities(Not-Priced)/공내역서/VTC견적서/1 АДМИН ЗДАНИЕ(Admin. Build)/1-6 ПС(Fire Alarm)/bv13250.xls</x:v>
      </x:c>
      <x:c r="E315" s="22" t="str">
        <x:v>.xls</x:v>
      </x:c>
      <x:c r="F315" s="28" t="n">
        <x:v>71680</x:v>
      </x:c>
      <x:c r="G315" s="28" t="str">
        <x:v>6dde06584b8e720185be54b7abd01bc9cfe2672da2dbd294b9972d6ed3dfea7d</x:v>
      </x:c>
      <x:c r="H315" s="28" t="n">
        <x:v>1</x:v>
      </x:c>
      <x:c r="I315" s="28" t="n">
        <x:v>1</x:v>
      </x:c>
      <x:c r="J315" s="28" t="n">
        <x:v>0</x:v>
      </x:c>
      <x:c r="K315" s="28" t="n">
        <x:v>0</x:v>
      </x:c>
      <x:c r="L315" s="28" t="n">
        <x:v>0</x:v>
      </x:c>
      <x:c r="M315" s="28" t="n">
        <x:v>0</x:v>
      </x:c>
      <x:c r="N315" s="22" t="str"/>
      <x:c r="O315" s="22" t="str"/>
      <x:c r="P315" s="22" t="n">
        <x:v>0</x:v>
      </x:c>
      <x:c r="Q315" s="40" t="n">
        <x:v>0</x:v>
      </x:c>
      <x:c r="R315" s="25" t="str"/>
      <x:c r="S315" s="25" t="str">
        <x:v>BOQ_NAME_ONLY</x:v>
      </x:c>
      <x:c r="T315" s="25" t="str">
        <x:v>자동 표 신호는 최종 A/B로 승격하지 않음</x:v>
      </x:c>
      <x:c r="U315" s="22" t="str">
        <x:v>2021-2025</x:v>
      </x:c>
    </x:row>
    <x:row r="316">
      <x:c r="A316" s="22" t="str">
        <x:v>2020-00086</x:v>
      </x:c>
      <x:c r="B316" s="22" t="str">
        <x:v>L2023-00036-1</x:v>
      </x:c>
      <x:c r="C316" s="22" t="str">
        <x:v>WORKS</x:v>
      </x:c>
      <x:c r="D316" s="25" t="str">
        <x:v>L2023-00036-1/붙임3_입찰관련서류_검토완_0717/Section 4.  Bill of Quantities(Not-Priced)/공내역서/VTC견적서/1 АДМИН ЗДАНИЕ(Admin. Build)/1-8 ТМ (Boiler &amp; Solar heating)/bv13420.xls</x:v>
      </x:c>
      <x:c r="E316" s="22" t="str">
        <x:v>.xls</x:v>
      </x:c>
      <x:c r="F316" s="28" t="n">
        <x:v>164864</x:v>
      </x:c>
      <x:c r="G316" s="28" t="str">
        <x:v>54879a728d46d53dde25618dd54da54ee91a6d2d51486ebe13b0999701943dd6</x:v>
      </x:c>
      <x:c r="H316" s="28" t="n">
        <x:v>1</x:v>
      </x:c>
      <x:c r="I316" s="28" t="n">
        <x:v>1</x:v>
      </x:c>
      <x:c r="J316" s="28" t="n">
        <x:v>0</x:v>
      </x:c>
      <x:c r="K316" s="28" t="n">
        <x:v>0</x:v>
      </x:c>
      <x:c r="L316" s="28" t="n">
        <x:v>0</x:v>
      </x:c>
      <x:c r="M316" s="28" t="n">
        <x:v>0</x:v>
      </x:c>
      <x:c r="N316" s="22" t="str"/>
      <x:c r="O316" s="22" t="str"/>
      <x:c r="P316" s="22" t="n">
        <x:v>0</x:v>
      </x:c>
      <x:c r="Q316" s="40" t="n">
        <x:v>0</x:v>
      </x:c>
      <x:c r="R316" s="25" t="str"/>
      <x:c r="S316" s="25" t="str">
        <x:v>BOQ_NAME_ONLY</x:v>
      </x:c>
      <x:c r="T316" s="25" t="str">
        <x:v>자동 표 신호는 최종 A/B로 승격하지 않음</x:v>
      </x:c>
      <x:c r="U316" s="22" t="str">
        <x:v>2021-2025</x:v>
      </x:c>
    </x:row>
    <x:row r="317">
      <x:c r="A317" s="22" t="str">
        <x:v>2020-00086</x:v>
      </x:c>
      <x:c r="B317" s="22" t="str">
        <x:v>L2023-00036-1</x:v>
      </x:c>
      <x:c r="C317" s="22" t="str">
        <x:v>WORKS</x:v>
      </x:c>
      <x:c r="D317" s="25" t="str">
        <x:v>L2023-00036-1/붙임3_입찰관련서류_검토완_0717/Section 4.  Bill of Quantities(Not-Priced)/공내역서/VTC견적서/1 АДМИН ЗДАНИЕ(Admin. Build)/1-8 ТМ (Boiler &amp; Solar heating)/13423_vrmu.xls</x:v>
      </x:c>
      <x:c r="E317" s="22" t="str">
        <x:v>.xls</x:v>
      </x:c>
      <x:c r="F317" s="28" t="n">
        <x:v>84480</x:v>
      </x:c>
      <x:c r="G317" s="28" t="str">
        <x:v>a54c2fcb25747bfe4b9ef498e03a257b08f2e783b9e9f49c3876e0aff148bd9c</x:v>
      </x:c>
      <x:c r="H317" s="28" t="n">
        <x:v>1</x:v>
      </x:c>
      <x:c r="I317" s="28" t="n">
        <x:v>1</x:v>
      </x:c>
      <x:c r="J317" s="28" t="n">
        <x:v>1</x:v>
      </x:c>
      <x:c r="K317" s="28" t="n">
        <x:v>170</x:v>
      </x:c>
      <x:c r="L317" s="28" t="n">
        <x:v>1</x:v>
      </x:c>
      <x:c r="M317" s="28" t="n">
        <x:v>0</x:v>
      </x:c>
      <x:c r="N317" s="22" t="str">
        <x:v>Лист1</x:v>
      </x:c>
      <x:c r="O317" s="22" t="str">
        <x:v>visible</x:v>
      </x:c>
      <x:c r="P317" s="22" t="n">
        <x:v>8</x:v>
      </x:c>
      <x:c r="Q317" s="40" t="n">
        <x:v>0.0058823529411764705</x:v>
      </x:c>
      <x:c r="R317" s="25" t="str"/>
      <x:c r="S317" s="25" t="str">
        <x:v>B?</x:v>
      </x:c>
      <x:c r="T317" s="25" t="str">
        <x:v>자동 표 신호는 최종 A/B로 승격하지 않음</x:v>
      </x:c>
      <x:c r="U317" s="22" t="str">
        <x:v>2021-2025</x:v>
      </x:c>
    </x:row>
    <x:row r="318">
      <x:c r="A318" s="22" t="str">
        <x:v>2020-00086</x:v>
      </x:c>
      <x:c r="B318" s="22" t="str">
        <x:v>L2023-00036-1</x:v>
      </x:c>
      <x:c r="C318" s="22" t="str">
        <x:v>WORKS</x:v>
      </x:c>
      <x:c r="D318" s="25" t="str">
        <x:v>L2023-00036-1/붙임3_입찰관련서류_검토완_0717/Section 4.  Bill of Quantities(Not-Priced)/공내역서/VTC견적서/1 АДМИН ЗДАНИЕ(Admin. Build)/1-8 ТМ (Boiler &amp; Solar heating)/13423_vfor.xls</x:v>
      </x:c>
      <x:c r="E318" s="22" t="str">
        <x:v>.xls</x:v>
      </x:c>
      <x:c r="F318" s="28" t="n">
        <x:v>59392</x:v>
      </x:c>
      <x:c r="G318" s="28" t="str">
        <x:v>4fe45df97a3ca51ea360b356de5895b9deb0d9cd61ae11d2664eed6687d6f3d6</x:v>
      </x:c>
      <x:c r="H318" s="28" t="n">
        <x:v>1</x:v>
      </x:c>
      <x:c r="I318" s="28" t="n">
        <x:v>1</x:v>
      </x:c>
      <x:c r="J318" s="28" t="n">
        <x:v>0</x:v>
      </x:c>
      <x:c r="K318" s="28" t="n">
        <x:v>0</x:v>
      </x:c>
      <x:c r="L318" s="28" t="n">
        <x:v>0</x:v>
      </x:c>
      <x:c r="M318" s="28" t="n">
        <x:v>0</x:v>
      </x:c>
      <x:c r="N318" s="22" t="str"/>
      <x:c r="O318" s="22" t="str"/>
      <x:c r="P318" s="22" t="n">
        <x:v>0</x:v>
      </x:c>
      <x:c r="Q318" s="40" t="n">
        <x:v>0</x:v>
      </x:c>
      <x:c r="R318" s="25" t="str"/>
      <x:c r="S318" s="25" t="str">
        <x:v>BOQ_NAME_ONLY</x:v>
      </x:c>
      <x:c r="T318" s="25" t="str">
        <x:v>자동 표 신호는 최종 A/B로 승격하지 않음</x:v>
      </x:c>
      <x:c r="U318" s="22" t="str">
        <x:v>2021-2025</x:v>
      </x:c>
    </x:row>
    <x:row r="319">
      <x:c r="A319" s="22" t="str">
        <x:v>2020-00086</x:v>
      </x:c>
      <x:c r="B319" s="22" t="str">
        <x:v>L2023-00036-1</x:v>
      </x:c>
      <x:c r="C319" s="22" t="str">
        <x:v>WORKS</x:v>
      </x:c>
      <x:c r="D319" s="25" t="str">
        <x:v>L2023-00036-1/붙임3_입찰관련서류_검토완_0717/Section 4.  Bill of Quantities(Not-Priced)/공내역서/VTC견적서/1 АДМИН ЗДАНИЕ(Admin. Build)/1-2 АР(Architecture)/13373_vrmu.xls</x:v>
      </x:c>
      <x:c r="E319" s="22" t="str">
        <x:v>.xls</x:v>
      </x:c>
      <x:c r="F319" s="28" t="n">
        <x:v>78336</x:v>
      </x:c>
      <x:c r="G319" s="28" t="str">
        <x:v>d8937a8073c4ef846f2a1d0ed67d95e4a5466aa94bfcffaee1af02f63a42d713</x:v>
      </x:c>
      <x:c r="H319" s="28" t="n">
        <x:v>1</x:v>
      </x:c>
      <x:c r="I319" s="28" t="n">
        <x:v>1</x:v>
      </x:c>
      <x:c r="J319" s="28" t="n">
        <x:v>1</x:v>
      </x:c>
      <x:c r="K319" s="28" t="n">
        <x:v>173</x:v>
      </x:c>
      <x:c r="L319" s="28" t="n">
        <x:v>1</x:v>
      </x:c>
      <x:c r="M319" s="28" t="n">
        <x:v>0</x:v>
      </x:c>
      <x:c r="N319" s="22" t="str">
        <x:v>Лист1</x:v>
      </x:c>
      <x:c r="O319" s="22" t="str">
        <x:v>visible</x:v>
      </x:c>
      <x:c r="P319" s="22" t="n">
        <x:v>8</x:v>
      </x:c>
      <x:c r="Q319" s="40" t="n">
        <x:v>0.005780346820809248</x:v>
      </x:c>
      <x:c r="R319" s="25" t="str"/>
      <x:c r="S319" s="25" t="str">
        <x:v>B?</x:v>
      </x:c>
      <x:c r="T319" s="25" t="str">
        <x:v>자동 표 신호는 최종 A/B로 승격하지 않음</x:v>
      </x:c>
      <x:c r="U319" s="22" t="str">
        <x:v>2021-2025</x:v>
      </x:c>
    </x:row>
    <x:row r="320">
      <x:c r="A320" s="22" t="str">
        <x:v>2020-00086</x:v>
      </x:c>
      <x:c r="B320" s="22" t="str">
        <x:v>L2023-00036-1</x:v>
      </x:c>
      <x:c r="C320" s="22" t="str">
        <x:v>WORKS</x:v>
      </x:c>
      <x:c r="D320" s="25" t="str">
        <x:v>L2023-00036-1/붙임3_입찰관련서류_검토완_0717/Section 4.  Bill of Quantities(Not-Priced)/공내역서/VTC견적서/1 АДМИН ЗДАНИЕ(Admin. Build)/1-2 АР(Architecture)/bv13370.xls</x:v>
      </x:c>
      <x:c r="E320" s="22" t="str">
        <x:v>.xls</x:v>
      </x:c>
      <x:c r="F320" s="28" t="n">
        <x:v>210944</x:v>
      </x:c>
      <x:c r="G320" s="28" t="str">
        <x:v>8de2bc3d895d879ac1baa522646d817648368da6f2ca6310cdce9e83c7414649</x:v>
      </x:c>
      <x:c r="H320" s="28" t="n">
        <x:v>1</x:v>
      </x:c>
      <x:c r="I320" s="28" t="n">
        <x:v>1</x:v>
      </x:c>
      <x:c r="J320" s="28" t="n">
        <x:v>0</x:v>
      </x:c>
      <x:c r="K320" s="28" t="n">
        <x:v>0</x:v>
      </x:c>
      <x:c r="L320" s="28" t="n">
        <x:v>0</x:v>
      </x:c>
      <x:c r="M320" s="28" t="n">
        <x:v>0</x:v>
      </x:c>
      <x:c r="N320" s="22" t="str"/>
      <x:c r="O320" s="22" t="str"/>
      <x:c r="P320" s="22" t="n">
        <x:v>0</x:v>
      </x:c>
      <x:c r="Q320" s="40" t="n">
        <x:v>0</x:v>
      </x:c>
      <x:c r="R320" s="25" t="str"/>
      <x:c r="S320" s="25" t="str">
        <x:v>BOQ_NAME_ONLY</x:v>
      </x:c>
      <x:c r="T320" s="25" t="str">
        <x:v>자동 표 신호는 최종 A/B로 승격하지 않음</x:v>
      </x:c>
      <x:c r="U320" s="22" t="str">
        <x:v>2021-2025</x:v>
      </x:c>
    </x:row>
    <x:row r="321">
      <x:c r="A321" s="22" t="str">
        <x:v>2020-00086</x:v>
      </x:c>
      <x:c r="B321" s="22" t="str">
        <x:v>L2023-00036-1</x:v>
      </x:c>
      <x:c r="C321" s="22" t="str">
        <x:v>WORKS</x:v>
      </x:c>
      <x:c r="D321" s="25" t="str">
        <x:v>L2023-00036-1/붙임3_입찰관련서류_검토완_0717/Section 4.  Bill of Quantities(Not-Priced)/공내역서/VTC견적서/1 АДМИН ЗДАНИЕ(Admin. Build)/1-2 АР(Architecture)/13373_vfor.xls</x:v>
      </x:c>
      <x:c r="E321" s="22" t="str">
        <x:v>.xls</x:v>
      </x:c>
      <x:c r="F321" s="28" t="n">
        <x:v>53248</x:v>
      </x:c>
      <x:c r="G321" s="28" t="str">
        <x:v>1fd794da035727f9b400374fd614b001fa502fae9e609f298084c9c1ba246f47</x:v>
      </x:c>
      <x:c r="H321" s="28" t="n">
        <x:v>1</x:v>
      </x:c>
      <x:c r="I321" s="28" t="n">
        <x:v>1</x:v>
      </x:c>
      <x:c r="J321" s="28" t="n">
        <x:v>0</x:v>
      </x:c>
      <x:c r="K321" s="28" t="n">
        <x:v>0</x:v>
      </x:c>
      <x:c r="L321" s="28" t="n">
        <x:v>0</x:v>
      </x:c>
      <x:c r="M321" s="28" t="n">
        <x:v>0</x:v>
      </x:c>
      <x:c r="N321" s="22" t="str"/>
      <x:c r="O321" s="22" t="str"/>
      <x:c r="P321" s="22" t="n">
        <x:v>0</x:v>
      </x:c>
      <x:c r="Q321" s="40" t="n">
        <x:v>0</x:v>
      </x:c>
      <x:c r="R321" s="25" t="str"/>
      <x:c r="S321" s="25" t="str">
        <x:v>BOQ_NAME_ONLY</x:v>
      </x:c>
      <x:c r="T321" s="25" t="str">
        <x:v>자동 표 신호는 최종 A/B로 승격하지 않음</x:v>
      </x:c>
      <x:c r="U321" s="22" t="str">
        <x:v>2021-2025</x:v>
      </x:c>
    </x:row>
    <x:row r="322">
      <x:c r="A322" s="22" t="str">
        <x:v>2020-00086</x:v>
      </x:c>
      <x:c r="B322" s="22" t="str">
        <x:v>L2023-00036-1</x:v>
      </x:c>
      <x:c r="C322" s="22" t="str">
        <x:v>WORKS</x:v>
      </x:c>
      <x:c r="D322" s="25" t="str">
        <x:v>L2023-00036-1/붙임3_입찰관련서류_검토완_0717/Section 4.  Bill of Quantities(Not-Priced)/공내역서/VTC견적서/1 АДМИН ЗДАНИЕ(Admin. Build)/1-9 ГСВ(Gas)/13463_vrmu.xls</x:v>
      </x:c>
      <x:c r="E322" s="22" t="str">
        <x:v>.xls</x:v>
      </x:c>
      <x:c r="F322" s="28" t="n">
        <x:v>57344</x:v>
      </x:c>
      <x:c r="G322" s="28" t="str">
        <x:v>1501c33f8e5b96476ddea53841abdd3c2adb92e4d3e866d7096938be3f8c71a6</x:v>
      </x:c>
      <x:c r="H322" s="28" t="n">
        <x:v>1</x:v>
      </x:c>
      <x:c r="I322" s="28" t="n">
        <x:v>1</x:v>
      </x:c>
      <x:c r="J322" s="28" t="n">
        <x:v>1</x:v>
      </x:c>
      <x:c r="K322" s="28" t="n">
        <x:v>72</x:v>
      </x:c>
      <x:c r="L322" s="28" t="n">
        <x:v>1</x:v>
      </x:c>
      <x:c r="M322" s="28" t="n">
        <x:v>0</x:v>
      </x:c>
      <x:c r="N322" s="22" t="str">
        <x:v>Лист1</x:v>
      </x:c>
      <x:c r="O322" s="22" t="str">
        <x:v>visible</x:v>
      </x:c>
      <x:c r="P322" s="22" t="n">
        <x:v>8</x:v>
      </x:c>
      <x:c r="Q322" s="40" t="n">
        <x:v>0.013888888888888888</x:v>
      </x:c>
      <x:c r="R322" s="25" t="str"/>
      <x:c r="S322" s="25" t="str">
        <x:v>B?</x:v>
      </x:c>
      <x:c r="T322" s="25" t="str">
        <x:v>자동 표 신호는 최종 A/B로 승격하지 않음</x:v>
      </x:c>
      <x:c r="U322" s="22" t="str">
        <x:v>2021-2025</x:v>
      </x:c>
    </x:row>
    <x:row r="323">
      <x:c r="A323" s="22" t="str">
        <x:v>2020-00086</x:v>
      </x:c>
      <x:c r="B323" s="22" t="str">
        <x:v>L2023-00036-1</x:v>
      </x:c>
      <x:c r="C323" s="22" t="str">
        <x:v>WORKS</x:v>
      </x:c>
      <x:c r="D323" s="25" t="str">
        <x:v>L2023-00036-1/붙임3_입찰관련서류_검토완_0717/Section 4.  Bill of Quantities(Not-Priced)/공내역서/VTC견적서/1 АДМИН ЗДАНИЕ(Admin. Build)/1-9 ГСВ(Gas)/bv13460.xls</x:v>
      </x:c>
      <x:c r="E323" s="22" t="str">
        <x:v>.xls</x:v>
      </x:c>
      <x:c r="F323" s="28" t="n">
        <x:v>96256</x:v>
      </x:c>
      <x:c r="G323" s="28" t="str">
        <x:v>588c1f649649826e30b0665d9a48f62f1bb7b8c32ecd2910dbcab3cb69e9168f</x:v>
      </x:c>
      <x:c r="H323" s="28" t="n">
        <x:v>1</x:v>
      </x:c>
      <x:c r="I323" s="28" t="n">
        <x:v>1</x:v>
      </x:c>
      <x:c r="J323" s="28" t="n">
        <x:v>0</x:v>
      </x:c>
      <x:c r="K323" s="28" t="n">
        <x:v>0</x:v>
      </x:c>
      <x:c r="L323" s="28" t="n">
        <x:v>0</x:v>
      </x:c>
      <x:c r="M323" s="28" t="n">
        <x:v>0</x:v>
      </x:c>
      <x:c r="N323" s="22" t="str"/>
      <x:c r="O323" s="22" t="str"/>
      <x:c r="P323" s="22" t="n">
        <x:v>0</x:v>
      </x:c>
      <x:c r="Q323" s="40" t="n">
        <x:v>0</x:v>
      </x:c>
      <x:c r="R323" s="25" t="str"/>
      <x:c r="S323" s="25" t="str">
        <x:v>BOQ_NAME_ONLY</x:v>
      </x:c>
      <x:c r="T323" s="25" t="str">
        <x:v>자동 표 신호는 최종 A/B로 승격하지 않음</x:v>
      </x:c>
      <x:c r="U323" s="22" t="str">
        <x:v>2021-2025</x:v>
      </x:c>
    </x:row>
    <x:row r="324">
      <x:c r="A324" s="22" t="str">
        <x:v>2020-00086</x:v>
      </x:c>
      <x:c r="B324" s="22" t="str">
        <x:v>L2023-00036-1</x:v>
      </x:c>
      <x:c r="C324" s="22" t="str">
        <x:v>WORKS</x:v>
      </x:c>
      <x:c r="D324" s="25" t="str">
        <x:v>L2023-00036-1/붙임3_입찰관련서류_검토완_0717/Section 4.  Bill of Quantities(Not-Priced)/공내역서/VTC견적서/1 АДМИН ЗДАНИЕ(Admin. Build)/1-9 ГСВ(Gas)/13463_vfor.xls</x:v>
      </x:c>
      <x:c r="E324" s="22" t="str">
        <x:v>.xls</x:v>
      </x:c>
      <x:c r="F324" s="28" t="n">
        <x:v>37888</x:v>
      </x:c>
      <x:c r="G324" s="28" t="str">
        <x:v>25912c3b07a4bfa20711c5089964aa1b96918b731753114e83bff382b00543b4</x:v>
      </x:c>
      <x:c r="H324" s="28" t="n">
        <x:v>1</x:v>
      </x:c>
      <x:c r="I324" s="28" t="n">
        <x:v>1</x:v>
      </x:c>
      <x:c r="J324" s="28" t="n">
        <x:v>0</x:v>
      </x:c>
      <x:c r="K324" s="28" t="n">
        <x:v>0</x:v>
      </x:c>
      <x:c r="L324" s="28" t="n">
        <x:v>0</x:v>
      </x:c>
      <x:c r="M324" s="28" t="n">
        <x:v>0</x:v>
      </x:c>
      <x:c r="N324" s="22" t="str"/>
      <x:c r="O324" s="22" t="str"/>
      <x:c r="P324" s="22" t="n">
        <x:v>0</x:v>
      </x:c>
      <x:c r="Q324" s="40" t="n">
        <x:v>0</x:v>
      </x:c>
      <x:c r="R324" s="25" t="str"/>
      <x:c r="S324" s="25" t="str">
        <x:v>BOQ_NAME_ONLY</x:v>
      </x:c>
      <x:c r="T324" s="25" t="str">
        <x:v>자동 표 신호는 최종 A/B로 승격하지 않음</x:v>
      </x:c>
      <x:c r="U324" s="22" t="str">
        <x:v>2021-2025</x:v>
      </x:c>
    </x:row>
    <x:row r="325">
      <x:c r="A325" s="22" t="str">
        <x:v>2020-00086</x:v>
      </x:c>
      <x:c r="B325" s="22" t="str">
        <x:v>L2023-00036-1</x:v>
      </x:c>
      <x:c r="C325" s="22" t="str">
        <x:v>WORKS</x:v>
      </x:c>
      <x:c r="D325" s="25" t="str">
        <x:v>L2023-00036-1/붙임3_입찰관련서류_검토완_0717/Section 4.  Bill of Quantities(Not-Priced)/공내역서/VTC견적서/5 МИНИКУХНЯ(Mini Cafe)/5-3 ОВ(Heating &amp; Ventilation)/13543_vrmu.xls</x:v>
      </x:c>
      <x:c r="E325" s="22" t="str">
        <x:v>.xls</x:v>
      </x:c>
      <x:c r="F325" s="28" t="n">
        <x:v>49664</x:v>
      </x:c>
      <x:c r="G325" s="28" t="str">
        <x:v>2e0c5447782587d021f6d8f036576bc903e602712197c33721262ba5cc1fc354</x:v>
      </x:c>
      <x:c r="H325" s="28" t="n">
        <x:v>1</x:v>
      </x:c>
      <x:c r="I325" s="28" t="n">
        <x:v>1</x:v>
      </x:c>
      <x:c r="J325" s="28" t="n">
        <x:v>1</x:v>
      </x:c>
      <x:c r="K325" s="28" t="n">
        <x:v>45</x:v>
      </x:c>
      <x:c r="L325" s="28" t="n">
        <x:v>1</x:v>
      </x:c>
      <x:c r="M325" s="28" t="n">
        <x:v>0</x:v>
      </x:c>
      <x:c r="N325" s="22" t="str">
        <x:v>Лист1</x:v>
      </x:c>
      <x:c r="O325" s="22" t="str">
        <x:v>visible</x:v>
      </x:c>
      <x:c r="P325" s="22" t="n">
        <x:v>8</x:v>
      </x:c>
      <x:c r="Q325" s="40" t="n">
        <x:v>0.022222222222222223</x:v>
      </x:c>
      <x:c r="R325" s="25" t="str"/>
      <x:c r="S325" s="25" t="str">
        <x:v>B?</x:v>
      </x:c>
      <x:c r="T325" s="25" t="str">
        <x:v>자동 표 신호는 최종 A/B로 승격하지 않음</x:v>
      </x:c>
      <x:c r="U325" s="22" t="str">
        <x:v>2021-2025</x:v>
      </x:c>
    </x:row>
    <x:row r="326">
      <x:c r="A326" s="22" t="str">
        <x:v>2020-00086</x:v>
      </x:c>
      <x:c r="B326" s="22" t="str">
        <x:v>L2023-00036-1</x:v>
      </x:c>
      <x:c r="C326" s="22" t="str">
        <x:v>WORKS</x:v>
      </x:c>
      <x:c r="D326" s="25" t="str">
        <x:v>L2023-00036-1/붙임3_입찰관련서류_검토완_0717/Section 4.  Bill of Quantities(Not-Priced)/공내역서/VTC견적서/5 МИНИКУХНЯ(Mini Cafe)/5-3 ОВ(Heating &amp; Ventilation)/13543_vfor.xls</x:v>
      </x:c>
      <x:c r="E326" s="22" t="str">
        <x:v>.xls</x:v>
      </x:c>
      <x:c r="F326" s="28" t="n">
        <x:v>32768</x:v>
      </x:c>
      <x:c r="G326" s="28" t="str">
        <x:v>876a0957fc6163b0b1e4ad5810ee7d53956a2d9014cbba2d4ea4baf23224ec61</x:v>
      </x:c>
      <x:c r="H326" s="28" t="n">
        <x:v>1</x:v>
      </x:c>
      <x:c r="I326" s="28" t="n">
        <x:v>1</x:v>
      </x:c>
      <x:c r="J326" s="28" t="n">
        <x:v>0</x:v>
      </x:c>
      <x:c r="K326" s="28" t="n">
        <x:v>0</x:v>
      </x:c>
      <x:c r="L326" s="28" t="n">
        <x:v>0</x:v>
      </x:c>
      <x:c r="M326" s="28" t="n">
        <x:v>0</x:v>
      </x:c>
      <x:c r="N326" s="22" t="str"/>
      <x:c r="O326" s="22" t="str"/>
      <x:c r="P326" s="22" t="n">
        <x:v>0</x:v>
      </x:c>
      <x:c r="Q326" s="40" t="n">
        <x:v>0</x:v>
      </x:c>
      <x:c r="R326" s="25" t="str"/>
      <x:c r="S326" s="25" t="str">
        <x:v>BOQ_NAME_ONLY</x:v>
      </x:c>
      <x:c r="T326" s="25" t="str">
        <x:v>자동 표 신호는 최종 A/B로 승격하지 않음</x:v>
      </x:c>
      <x:c r="U326" s="22" t="str">
        <x:v>2021-2025</x:v>
      </x:c>
    </x:row>
    <x:row r="327">
      <x:c r="A327" s="22" t="str">
        <x:v>2020-00086</x:v>
      </x:c>
      <x:c r="B327" s="22" t="str">
        <x:v>L2023-00036-1</x:v>
      </x:c>
      <x:c r="C327" s="22" t="str">
        <x:v>WORKS</x:v>
      </x:c>
      <x:c r="D327" s="25" t="str">
        <x:v>L2023-00036-1/붙임3_입찰관련서류_검토완_0717/Section 4.  Bill of Quantities(Not-Priced)/공내역서/VTC견적서/5 МИНИКУХНЯ(Mini Cafe)/5-3 ОВ(Heating &amp; Ventilation)/bv13540.xls</x:v>
      </x:c>
      <x:c r="E327" s="22" t="str">
        <x:v>.xls</x:v>
      </x:c>
      <x:c r="F327" s="28" t="n">
        <x:v>65536</x:v>
      </x:c>
      <x:c r="G327" s="28" t="str">
        <x:v>f02a015b345ee86a5346018105e60337b5af91dc340467ec926133d010d70b8f</x:v>
      </x:c>
      <x:c r="H327" s="28" t="n">
        <x:v>1</x:v>
      </x:c>
      <x:c r="I327" s="28" t="n">
        <x:v>1</x:v>
      </x:c>
      <x:c r="J327" s="28" t="n">
        <x:v>0</x:v>
      </x:c>
      <x:c r="K327" s="28" t="n">
        <x:v>0</x:v>
      </x:c>
      <x:c r="L327" s="28" t="n">
        <x:v>0</x:v>
      </x:c>
      <x:c r="M327" s="28" t="n">
        <x:v>0</x:v>
      </x:c>
      <x:c r="N327" s="22" t="str"/>
      <x:c r="O327" s="22" t="str"/>
      <x:c r="P327" s="22" t="n">
        <x:v>0</x:v>
      </x:c>
      <x:c r="Q327" s="40" t="n">
        <x:v>0</x:v>
      </x:c>
      <x:c r="R327" s="25" t="str"/>
      <x:c r="S327" s="25" t="str">
        <x:v>BOQ_NAME_ONLY</x:v>
      </x:c>
      <x:c r="T327" s="25" t="str">
        <x:v>자동 표 신호는 최종 A/B로 승격하지 않음</x:v>
      </x:c>
      <x:c r="U327" s="22" t="str">
        <x:v>2021-2025</x:v>
      </x:c>
    </x:row>
    <x:row r="328">
      <x:c r="A328" s="22" t="str">
        <x:v>2020-00086</x:v>
      </x:c>
      <x:c r="B328" s="22" t="str">
        <x:v>L2023-00036-1</x:v>
      </x:c>
      <x:c r="C328" s="22" t="str">
        <x:v>WORKS</x:v>
      </x:c>
      <x:c r="D328" s="25" t="str">
        <x:v>L2023-00036-1/붙임3_입찰관련서류_검토완_0717/Section 4.  Bill of Quantities(Not-Priced)/공내역서/VTC견적서/5 МИНИКУХНЯ(Mini Cafe)/5-2 АР(Architecture)/bv13190.xls</x:v>
      </x:c>
      <x:c r="E328" s="22" t="str">
        <x:v>.xls</x:v>
      </x:c>
      <x:c r="F328" s="28" t="n">
        <x:v>114176</x:v>
      </x:c>
      <x:c r="G328" s="28" t="str">
        <x:v>4ade510ed9f6b01414dd3b9e208d36868bcf0fe70bb6352beb850b258163fe9f</x:v>
      </x:c>
      <x:c r="H328" s="28" t="n">
        <x:v>1</x:v>
      </x:c>
      <x:c r="I328" s="28" t="n">
        <x:v>1</x:v>
      </x:c>
      <x:c r="J328" s="28" t="n">
        <x:v>0</x:v>
      </x:c>
      <x:c r="K328" s="28" t="n">
        <x:v>0</x:v>
      </x:c>
      <x:c r="L328" s="28" t="n">
        <x:v>0</x:v>
      </x:c>
      <x:c r="M328" s="28" t="n">
        <x:v>0</x:v>
      </x:c>
      <x:c r="N328" s="22" t="str"/>
      <x:c r="O328" s="22" t="str"/>
      <x:c r="P328" s="22" t="n">
        <x:v>0</x:v>
      </x:c>
      <x:c r="Q328" s="40" t="n">
        <x:v>0</x:v>
      </x:c>
      <x:c r="R328" s="25" t="str"/>
      <x:c r="S328" s="25" t="str">
        <x:v>BOQ_NAME_ONLY</x:v>
      </x:c>
      <x:c r="T328" s="25" t="str">
        <x:v>자동 표 신호는 최종 A/B로 승격하지 않음</x:v>
      </x:c>
      <x:c r="U328" s="22" t="str">
        <x:v>2021-2025</x:v>
      </x:c>
    </x:row>
    <x:row r="329">
      <x:c r="A329" s="22" t="str">
        <x:v>2020-00086</x:v>
      </x:c>
      <x:c r="B329" s="22" t="str">
        <x:v>L2023-00036-1</x:v>
      </x:c>
      <x:c r="C329" s="22" t="str">
        <x:v>WORKS</x:v>
      </x:c>
      <x:c r="D329" s="25" t="str">
        <x:v>L2023-00036-1/붙임3_입찰관련서류_검토완_0717/Section 4.  Bill of Quantities(Not-Priced)/공내역서/VTC견적서/5 МИНИКУХНЯ(Mini Cafe)/5-2 АР(Architecture)/13193_vrmu.xls</x:v>
      </x:c>
      <x:c r="E329" s="22" t="str">
        <x:v>.xls</x:v>
      </x:c>
      <x:c r="F329" s="28" t="n">
        <x:v>59392</x:v>
      </x:c>
      <x:c r="G329" s="28" t="str">
        <x:v>32390eeba886734409c4cffd1bac48a8b2621f64ee819bc516ce95d6ce0de568</x:v>
      </x:c>
      <x:c r="H329" s="28" t="n">
        <x:v>1</x:v>
      </x:c>
      <x:c r="I329" s="28" t="n">
        <x:v>1</x:v>
      </x:c>
      <x:c r="J329" s="28" t="n">
        <x:v>1</x:v>
      </x:c>
      <x:c r="K329" s="28" t="n">
        <x:v>104</x:v>
      </x:c>
      <x:c r="L329" s="28" t="n">
        <x:v>1</x:v>
      </x:c>
      <x:c r="M329" s="28" t="n">
        <x:v>0</x:v>
      </x:c>
      <x:c r="N329" s="22" t="str">
        <x:v>Лист1</x:v>
      </x:c>
      <x:c r="O329" s="22" t="str">
        <x:v>visible</x:v>
      </x:c>
      <x:c r="P329" s="22" t="n">
        <x:v>8</x:v>
      </x:c>
      <x:c r="Q329" s="40" t="n">
        <x:v>0.009615384615384616</x:v>
      </x:c>
      <x:c r="R329" s="25" t="str"/>
      <x:c r="S329" s="25" t="str">
        <x:v>B?</x:v>
      </x:c>
      <x:c r="T329" s="25" t="str">
        <x:v>자동 표 신호는 최종 A/B로 승격하지 않음</x:v>
      </x:c>
      <x:c r="U329" s="22" t="str">
        <x:v>2021-2025</x:v>
      </x:c>
    </x:row>
    <x:row r="330">
      <x:c r="A330" s="22" t="str">
        <x:v>2020-00086</x:v>
      </x:c>
      <x:c r="B330" s="22" t="str">
        <x:v>L2023-00036-1</x:v>
      </x:c>
      <x:c r="C330" s="22" t="str">
        <x:v>WORKS</x:v>
      </x:c>
      <x:c r="D330" s="25" t="str">
        <x:v>L2023-00036-1/붙임3_입찰관련서류_검토완_0717/Section 4.  Bill of Quantities(Not-Priced)/공내역서/VTC견적서/5 МИНИКУХНЯ(Mini Cafe)/5-2 АР(Architecture)/13193_vfor.xls</x:v>
      </x:c>
      <x:c r="E330" s="22" t="str">
        <x:v>.xls</x:v>
      </x:c>
      <x:c r="F330" s="28" t="n">
        <x:v>40960</x:v>
      </x:c>
      <x:c r="G330" s="28" t="str">
        <x:v>f62d6e52a875e6096a3b3750725b2d51bc1fd31530c2873884d5a5d062914d99</x:v>
      </x:c>
      <x:c r="H330" s="28" t="n">
        <x:v>1</x:v>
      </x:c>
      <x:c r="I330" s="28" t="n">
        <x:v>1</x:v>
      </x:c>
      <x:c r="J330" s="28" t="n">
        <x:v>0</x:v>
      </x:c>
      <x:c r="K330" s="28" t="n">
        <x:v>0</x:v>
      </x:c>
      <x:c r="L330" s="28" t="n">
        <x:v>0</x:v>
      </x:c>
      <x:c r="M330" s="28" t="n">
        <x:v>0</x:v>
      </x:c>
      <x:c r="N330" s="22" t="str"/>
      <x:c r="O330" s="22" t="str"/>
      <x:c r="P330" s="22" t="n">
        <x:v>0</x:v>
      </x:c>
      <x:c r="Q330" s="40" t="n">
        <x:v>0</x:v>
      </x:c>
      <x:c r="R330" s="25" t="str"/>
      <x:c r="S330" s="25" t="str">
        <x:v>BOQ_NAME_ONLY</x:v>
      </x:c>
      <x:c r="T330" s="25" t="str">
        <x:v>자동 표 신호는 최종 A/B로 승격하지 않음</x:v>
      </x:c>
      <x:c r="U330" s="22" t="str">
        <x:v>2021-2025</x:v>
      </x:c>
    </x:row>
    <x:row r="331">
      <x:c r="A331" s="22" t="str">
        <x:v>2020-00086</x:v>
      </x:c>
      <x:c r="B331" s="22" t="str">
        <x:v>L2023-00036-1</x:v>
      </x:c>
      <x:c r="C331" s="22" t="str">
        <x:v>WORKS</x:v>
      </x:c>
      <x:c r="D331" s="25" t="str">
        <x:v>L2023-00036-1/붙임3_입찰관련서류_검토완_0717/Section 4.  Bill of Quantities(Not-Priced)/공내역서/VTC견적서/5 МИНИКУХНЯ(Mini Cafe)/5-5 ЭО(Electric)/13523_vrmu.xls</x:v>
      </x:c>
      <x:c r="E331" s="22" t="str">
        <x:v>.xls</x:v>
      </x:c>
      <x:c r="F331" s="28" t="n">
        <x:v>51712</x:v>
      </x:c>
      <x:c r="G331" s="28" t="str">
        <x:v>7e16265662d64e011839c6562a409b724755257307d17d53527af9a45b14d4e6</x:v>
      </x:c>
      <x:c r="H331" s="28" t="n">
        <x:v>1</x:v>
      </x:c>
      <x:c r="I331" s="28" t="n">
        <x:v>1</x:v>
      </x:c>
      <x:c r="J331" s="28" t="n">
        <x:v>1</x:v>
      </x:c>
      <x:c r="K331" s="28" t="n">
        <x:v>51</x:v>
      </x:c>
      <x:c r="L331" s="28" t="n">
        <x:v>1</x:v>
      </x:c>
      <x:c r="M331" s="28" t="n">
        <x:v>0</x:v>
      </x:c>
      <x:c r="N331" s="22" t="str">
        <x:v>Лист1</x:v>
      </x:c>
      <x:c r="O331" s="22" t="str">
        <x:v>visible</x:v>
      </x:c>
      <x:c r="P331" s="22" t="n">
        <x:v>8</x:v>
      </x:c>
      <x:c r="Q331" s="40" t="n">
        <x:v>0.0196078431372549</x:v>
      </x:c>
      <x:c r="R331" s="25" t="str"/>
      <x:c r="S331" s="25" t="str">
        <x:v>B?</x:v>
      </x:c>
      <x:c r="T331" s="25" t="str">
        <x:v>자동 표 신호는 최종 A/B로 승격하지 않음</x:v>
      </x:c>
      <x:c r="U331" s="22" t="str">
        <x:v>2021-2025</x:v>
      </x:c>
    </x:row>
    <x:row r="332">
      <x:c r="A332" s="22" t="str">
        <x:v>2020-00086</x:v>
      </x:c>
      <x:c r="B332" s="22" t="str">
        <x:v>L2023-00036-1</x:v>
      </x:c>
      <x:c r="C332" s="22" t="str">
        <x:v>WORKS</x:v>
      </x:c>
      <x:c r="D332" s="25" t="str">
        <x:v>L2023-00036-1/붙임3_입찰관련서류_검토완_0717/Section 4.  Bill of Quantities(Not-Priced)/공내역서/VTC견적서/5 МИНИКУХНЯ(Mini Cafe)/5-5 ЭО(Electric)/13523_vfor.xls</x:v>
      </x:c>
      <x:c r="E332" s="22" t="str">
        <x:v>.xls</x:v>
      </x:c>
      <x:c r="F332" s="28" t="n">
        <x:v>38912</x:v>
      </x:c>
      <x:c r="G332" s="28" t="str">
        <x:v>0b8abf0891da011114759f88243e0f71e1a95036c98ea30dad347b4f69ee2b1b</x:v>
      </x:c>
      <x:c r="H332" s="28" t="n">
        <x:v>1</x:v>
      </x:c>
      <x:c r="I332" s="28" t="n">
        <x:v>1</x:v>
      </x:c>
      <x:c r="J332" s="28" t="n">
        <x:v>0</x:v>
      </x:c>
      <x:c r="K332" s="28" t="n">
        <x:v>0</x:v>
      </x:c>
      <x:c r="L332" s="28" t="n">
        <x:v>0</x:v>
      </x:c>
      <x:c r="M332" s="28" t="n">
        <x:v>0</x:v>
      </x:c>
      <x:c r="N332" s="22" t="str"/>
      <x:c r="O332" s="22" t="str"/>
      <x:c r="P332" s="22" t="n">
        <x:v>0</x:v>
      </x:c>
      <x:c r="Q332" s="40" t="n">
        <x:v>0</x:v>
      </x:c>
      <x:c r="R332" s="25" t="str"/>
      <x:c r="S332" s="25" t="str">
        <x:v>BOQ_NAME_ONLY</x:v>
      </x:c>
      <x:c r="T332" s="25" t="str">
        <x:v>자동 표 신호는 최종 A/B로 승격하지 않음</x:v>
      </x:c>
      <x:c r="U332" s="22" t="str">
        <x:v>2021-2025</x:v>
      </x:c>
    </x:row>
    <x:row r="333">
      <x:c r="A333" s="22" t="str">
        <x:v>2020-00086</x:v>
      </x:c>
      <x:c r="B333" s="22" t="str">
        <x:v>L2023-00036-1</x:v>
      </x:c>
      <x:c r="C333" s="22" t="str">
        <x:v>WORKS</x:v>
      </x:c>
      <x:c r="D333" s="25" t="str">
        <x:v>L2023-00036-1/붙임3_입찰관련서류_검토완_0717/Section 4.  Bill of Quantities(Not-Priced)/공내역서/VTC견적서/5 МИНИКУХНЯ(Mini Cafe)/5-5 ЭО(Electric)/bv13520.xls</x:v>
      </x:c>
      <x:c r="E333" s="22" t="str">
        <x:v>.xls</x:v>
      </x:c>
      <x:c r="F333" s="28" t="n">
        <x:v>72704</x:v>
      </x:c>
      <x:c r="G333" s="28" t="str">
        <x:v>1ada1c8c043ded8552eb8c5daa2fa56c90309d301f171e5fe5761772acfa2c72</x:v>
      </x:c>
      <x:c r="H333" s="28" t="n">
        <x:v>1</x:v>
      </x:c>
      <x:c r="I333" s="28" t="n">
        <x:v>1</x:v>
      </x:c>
      <x:c r="J333" s="28" t="n">
        <x:v>0</x:v>
      </x:c>
      <x:c r="K333" s="28" t="n">
        <x:v>0</x:v>
      </x:c>
      <x:c r="L333" s="28" t="n">
        <x:v>0</x:v>
      </x:c>
      <x:c r="M333" s="28" t="n">
        <x:v>0</x:v>
      </x:c>
      <x:c r="N333" s="22" t="str"/>
      <x:c r="O333" s="22" t="str"/>
      <x:c r="P333" s="22" t="n">
        <x:v>0</x:v>
      </x:c>
      <x:c r="Q333" s="40" t="n">
        <x:v>0</x:v>
      </x:c>
      <x:c r="R333" s="25" t="str"/>
      <x:c r="S333" s="25" t="str">
        <x:v>BOQ_NAME_ONLY</x:v>
      </x:c>
      <x:c r="T333" s="25" t="str">
        <x:v>자동 표 신호는 최종 A/B로 승격하지 않음</x:v>
      </x:c>
      <x:c r="U333" s="22" t="str">
        <x:v>2021-2025</x:v>
      </x:c>
    </x:row>
    <x:row r="334">
      <x:c r="A334" s="22" t="str">
        <x:v>2020-00086</x:v>
      </x:c>
      <x:c r="B334" s="22" t="str">
        <x:v>L2023-00036-1</x:v>
      </x:c>
      <x:c r="C334" s="22" t="str">
        <x:v>WORKS</x:v>
      </x:c>
      <x:c r="D334" s="25" t="str">
        <x:v>L2023-00036-1/붙임3_입찰관련서류_검토완_0717/Section 4.  Bill of Quantities(Not-Priced)/공내역서/VTC견적서/5 МИНИКУХНЯ(Mini Cafe)/5-6 ПС(Fire Alarm)/13333_vrmu.xls</x:v>
      </x:c>
      <x:c r="E334" s="22" t="str">
        <x:v>.xls</x:v>
      </x:c>
      <x:c r="F334" s="28" t="n">
        <x:v>45568</x:v>
      </x:c>
      <x:c r="G334" s="28" t="str">
        <x:v>c129f77230778e4e75807137b0a081fda18b76c89bfafb91bf998c73b18b42b4</x:v>
      </x:c>
      <x:c r="H334" s="28" t="n">
        <x:v>1</x:v>
      </x:c>
      <x:c r="I334" s="28" t="n">
        <x:v>1</x:v>
      </x:c>
      <x:c r="J334" s="28" t="n">
        <x:v>1</x:v>
      </x:c>
      <x:c r="K334" s="28" t="n">
        <x:v>46</x:v>
      </x:c>
      <x:c r="L334" s="28" t="n">
        <x:v>1</x:v>
      </x:c>
      <x:c r="M334" s="28" t="n">
        <x:v>0</x:v>
      </x:c>
      <x:c r="N334" s="22" t="str">
        <x:v>Лист1</x:v>
      </x:c>
      <x:c r="O334" s="22" t="str">
        <x:v>visible</x:v>
      </x:c>
      <x:c r="P334" s="22" t="n">
        <x:v>8</x:v>
      </x:c>
      <x:c r="Q334" s="40" t="n">
        <x:v>0.021739130434782608</x:v>
      </x:c>
      <x:c r="R334" s="25" t="str"/>
      <x:c r="S334" s="25" t="str">
        <x:v>B?</x:v>
      </x:c>
      <x:c r="T334" s="25" t="str">
        <x:v>자동 표 신호는 최종 A/B로 승격하지 않음</x:v>
      </x:c>
      <x:c r="U334" s="22" t="str">
        <x:v>2021-2025</x:v>
      </x:c>
    </x:row>
    <x:row r="335">
      <x:c r="A335" s="22" t="str">
        <x:v>2020-00086</x:v>
      </x:c>
      <x:c r="B335" s="22" t="str">
        <x:v>L2023-00036-1</x:v>
      </x:c>
      <x:c r="C335" s="22" t="str">
        <x:v>WORKS</x:v>
      </x:c>
      <x:c r="D335" s="25" t="str">
        <x:v>L2023-00036-1/붙임3_입찰관련서류_검토완_0717/Section 4.  Bill of Quantities(Not-Priced)/공내역서/VTC견적서/5 МИНИКУХНЯ(Mini Cafe)/5-6 ПС(Fire Alarm)/13333_vfor.xls</x:v>
      </x:c>
      <x:c r="E335" s="22" t="str">
        <x:v>.xls</x:v>
      </x:c>
      <x:c r="F335" s="28" t="n">
        <x:v>35328</x:v>
      </x:c>
      <x:c r="G335" s="28" t="str">
        <x:v>10bb19b81831d3a84b82c28f1547ca3fe887463b9f75dee45ccc757eb0779c6c</x:v>
      </x:c>
      <x:c r="H335" s="28" t="n">
        <x:v>1</x:v>
      </x:c>
      <x:c r="I335" s="28" t="n">
        <x:v>1</x:v>
      </x:c>
      <x:c r="J335" s="28" t="n">
        <x:v>0</x:v>
      </x:c>
      <x:c r="K335" s="28" t="n">
        <x:v>0</x:v>
      </x:c>
      <x:c r="L335" s="28" t="n">
        <x:v>0</x:v>
      </x:c>
      <x:c r="M335" s="28" t="n">
        <x:v>0</x:v>
      </x:c>
      <x:c r="N335" s="22" t="str"/>
      <x:c r="O335" s="22" t="str"/>
      <x:c r="P335" s="22" t="n">
        <x:v>0</x:v>
      </x:c>
      <x:c r="Q335" s="40" t="n">
        <x:v>0</x:v>
      </x:c>
      <x:c r="R335" s="25" t="str"/>
      <x:c r="S335" s="25" t="str">
        <x:v>BOQ_NAME_ONLY</x:v>
      </x:c>
      <x:c r="T335" s="25" t="str">
        <x:v>자동 표 신호는 최종 A/B로 승격하지 않음</x:v>
      </x:c>
      <x:c r="U335" s="22" t="str">
        <x:v>2021-2025</x:v>
      </x:c>
    </x:row>
    <x:row r="336">
      <x:c r="A336" s="22" t="str">
        <x:v>2020-00086</x:v>
      </x:c>
      <x:c r="B336" s="22" t="str">
        <x:v>L2023-00036-1</x:v>
      </x:c>
      <x:c r="C336" s="22" t="str">
        <x:v>WORKS</x:v>
      </x:c>
      <x:c r="D336" s="25" t="str">
        <x:v>L2023-00036-1/붙임3_입찰관련서류_검토완_0717/Section 4.  Bill of Quantities(Not-Priced)/공내역서/VTC견적서/5 МИНИКУХНЯ(Mini Cafe)/5-6 ПС(Fire Alarm)/bv13330.xls</x:v>
      </x:c>
      <x:c r="E336" s="22" t="str">
        <x:v>.xls</x:v>
      </x:c>
      <x:c r="F336" s="28" t="n">
        <x:v>62976</x:v>
      </x:c>
      <x:c r="G336" s="28" t="str">
        <x:v>5285368cbc7c4336c65b8d5e64b9139cb7feafa61bb9ae14627cdc4c2d5c9f76</x:v>
      </x:c>
      <x:c r="H336" s="28" t="n">
        <x:v>1</x:v>
      </x:c>
      <x:c r="I336" s="28" t="n">
        <x:v>1</x:v>
      </x:c>
      <x:c r="J336" s="28" t="n">
        <x:v>0</x:v>
      </x:c>
      <x:c r="K336" s="28" t="n">
        <x:v>0</x:v>
      </x:c>
      <x:c r="L336" s="28" t="n">
        <x:v>0</x:v>
      </x:c>
      <x:c r="M336" s="28" t="n">
        <x:v>0</x:v>
      </x:c>
      <x:c r="N336" s="22" t="str"/>
      <x:c r="O336" s="22" t="str"/>
      <x:c r="P336" s="22" t="n">
        <x:v>0</x:v>
      </x:c>
      <x:c r="Q336" s="40" t="n">
        <x:v>0</x:v>
      </x:c>
      <x:c r="R336" s="25" t="str"/>
      <x:c r="S336" s="25" t="str">
        <x:v>BOQ_NAME_ONLY</x:v>
      </x:c>
      <x:c r="T336" s="25" t="str">
        <x:v>자동 표 신호는 최종 A/B로 승격하지 않음</x:v>
      </x:c>
      <x:c r="U336" s="22" t="str">
        <x:v>2021-2025</x:v>
      </x:c>
    </x:row>
    <x:row r="337">
      <x:c r="A337" s="22" t="str">
        <x:v>2020-00086</x:v>
      </x:c>
      <x:c r="B337" s="22" t="str">
        <x:v>L2023-00036-1</x:v>
      </x:c>
      <x:c r="C337" s="22" t="str">
        <x:v>WORKS</x:v>
      </x:c>
      <x:c r="D337" s="25" t="str">
        <x:v>L2023-00036-1/붙임3_입찰관련서류_검토완_0717/Section 4.  Bill of Quantities(Not-Priced)/공내역서/VTC견적서/5 МИНИКУХНЯ(Mini Cafe)/5-1 КЖ(Structure)/13043_vrmu.xls</x:v>
      </x:c>
      <x:c r="E337" s="22" t="str">
        <x:v>.xls</x:v>
      </x:c>
      <x:c r="F337" s="28" t="n">
        <x:v>64000</x:v>
      </x:c>
      <x:c r="G337" s="28" t="str">
        <x:v>380165b5ba6f48a8bc825a12a666a0aeb51807f94d8b2c20559637674f7d94b0</x:v>
      </x:c>
      <x:c r="H337" s="28" t="n">
        <x:v>1</x:v>
      </x:c>
      <x:c r="I337" s="28" t="n">
        <x:v>1</x:v>
      </x:c>
      <x:c r="J337" s="28" t="n">
        <x:v>1</x:v>
      </x:c>
      <x:c r="K337" s="28" t="n">
        <x:v>131</x:v>
      </x:c>
      <x:c r="L337" s="28" t="n">
        <x:v>1</x:v>
      </x:c>
      <x:c r="M337" s="28" t="n">
        <x:v>0</x:v>
      </x:c>
      <x:c r="N337" s="22" t="str">
        <x:v>Лист1</x:v>
      </x:c>
      <x:c r="O337" s="22" t="str">
        <x:v>visible</x:v>
      </x:c>
      <x:c r="P337" s="22" t="n">
        <x:v>8</x:v>
      </x:c>
      <x:c r="Q337" s="40" t="n">
        <x:v>0.007633587786259542</x:v>
      </x:c>
      <x:c r="R337" s="25" t="str"/>
      <x:c r="S337" s="25" t="str">
        <x:v>B?</x:v>
      </x:c>
      <x:c r="T337" s="25" t="str">
        <x:v>자동 표 신호는 최종 A/B로 승격하지 않음</x:v>
      </x:c>
      <x:c r="U337" s="22" t="str">
        <x:v>2021-2025</x:v>
      </x:c>
    </x:row>
    <x:row r="338">
      <x:c r="A338" s="22" t="str">
        <x:v>2020-00086</x:v>
      </x:c>
      <x:c r="B338" s="22" t="str">
        <x:v>L2023-00036-1</x:v>
      </x:c>
      <x:c r="C338" s="22" t="str">
        <x:v>WORKS</x:v>
      </x:c>
      <x:c r="D338" s="25" t="str">
        <x:v>L2023-00036-1/붙임3_입찰관련서류_검토완_0717/Section 4.  Bill of Quantities(Not-Priced)/공내역서/VTC견적서/5 МИНИКУХНЯ(Mini Cafe)/5-1 КЖ(Structure)/13043_vfor.xls</x:v>
      </x:c>
      <x:c r="E338" s="22" t="str">
        <x:v>.xls</x:v>
      </x:c>
      <x:c r="F338" s="28" t="n">
        <x:v>48128</x:v>
      </x:c>
      <x:c r="G338" s="28" t="str">
        <x:v>97f17253a08cf0cc8c9680898c42398ae08fe78103f09e01bf2a6835019a9ec3</x:v>
      </x:c>
      <x:c r="H338" s="28" t="n">
        <x:v>1</x:v>
      </x:c>
      <x:c r="I338" s="28" t="n">
        <x:v>1</x:v>
      </x:c>
      <x:c r="J338" s="28" t="n">
        <x:v>0</x:v>
      </x:c>
      <x:c r="K338" s="28" t="n">
        <x:v>0</x:v>
      </x:c>
      <x:c r="L338" s="28" t="n">
        <x:v>0</x:v>
      </x:c>
      <x:c r="M338" s="28" t="n">
        <x:v>0</x:v>
      </x:c>
      <x:c r="N338" s="22" t="str"/>
      <x:c r="O338" s="22" t="str"/>
      <x:c r="P338" s="22" t="n">
        <x:v>0</x:v>
      </x:c>
      <x:c r="Q338" s="40" t="n">
        <x:v>0</x:v>
      </x:c>
      <x:c r="R338" s="25" t="str"/>
      <x:c r="S338" s="25" t="str">
        <x:v>BOQ_NAME_ONLY</x:v>
      </x:c>
      <x:c r="T338" s="25" t="str">
        <x:v>자동 표 신호는 최종 A/B로 승격하지 않음</x:v>
      </x:c>
      <x:c r="U338" s="22" t="str">
        <x:v>2021-2025</x:v>
      </x:c>
    </x:row>
    <x:row r="339">
      <x:c r="A339" s="22" t="str">
        <x:v>2020-00086</x:v>
      </x:c>
      <x:c r="B339" s="22" t="str">
        <x:v>L2023-00036-1</x:v>
      </x:c>
      <x:c r="C339" s="22" t="str">
        <x:v>WORKS</x:v>
      </x:c>
      <x:c r="D339" s="25" t="str">
        <x:v>L2023-00036-1/붙임3_입찰관련서류_검토완_0717/Section 4.  Bill of Quantities(Not-Priced)/공내역서/VTC견적서/5 МИНИКУХНЯ(Mini Cafe)/5-1 КЖ(Structure)/bv13040.xls</x:v>
      </x:c>
      <x:c r="E339" s="22" t="str">
        <x:v>.xls</x:v>
      </x:c>
      <x:c r="F339" s="28" t="n">
        <x:v>174592</x:v>
      </x:c>
      <x:c r="G339" s="28" t="str">
        <x:v>863838e7bc7c9434fc3bd88bdcfea6aba7ac50f88f9f5db01b0e254da7998ff8</x:v>
      </x:c>
      <x:c r="H339" s="28" t="n">
        <x:v>1</x:v>
      </x:c>
      <x:c r="I339" s="28" t="n">
        <x:v>1</x:v>
      </x:c>
      <x:c r="J339" s="28" t="n">
        <x:v>0</x:v>
      </x:c>
      <x:c r="K339" s="28" t="n">
        <x:v>0</x:v>
      </x:c>
      <x:c r="L339" s="28" t="n">
        <x:v>0</x:v>
      </x:c>
      <x:c r="M339" s="28" t="n">
        <x:v>0</x:v>
      </x:c>
      <x:c r="N339" s="22" t="str"/>
      <x:c r="O339" s="22" t="str"/>
      <x:c r="P339" s="22" t="n">
        <x:v>0</x:v>
      </x:c>
      <x:c r="Q339" s="40" t="n">
        <x:v>0</x:v>
      </x:c>
      <x:c r="R339" s="25" t="str"/>
      <x:c r="S339" s="25" t="str">
        <x:v>BOQ_NAME_ONLY</x:v>
      </x:c>
      <x:c r="T339" s="25" t="str">
        <x:v>자동 표 신호는 최종 A/B로 승격하지 않음</x:v>
      </x:c>
      <x:c r="U339" s="22" t="str">
        <x:v>2021-2025</x:v>
      </x:c>
    </x:row>
    <x:row r="340">
      <x:c r="A340" s="22" t="str">
        <x:v>2020-00086</x:v>
      </x:c>
      <x:c r="B340" s="22" t="str">
        <x:v>L2023-00036-1</x:v>
      </x:c>
      <x:c r="C340" s="22" t="str">
        <x:v>WORKS</x:v>
      </x:c>
      <x:c r="D340" s="25" t="str">
        <x:v>L2023-00036-1/붙임3_입찰관련서류_검토완_0717/Section 4.  Bill of Quantities(Not-Priced)/공내역서/VTC견적서/5 МИНИКУХНЯ(Mini Cafe)/5-7 ВН, СКС(CCTV &amp; Network)/bv13340.xls</x:v>
      </x:c>
      <x:c r="E340" s="22" t="str">
        <x:v>.xls</x:v>
      </x:c>
      <x:c r="F340" s="28" t="n">
        <x:v>87552</x:v>
      </x:c>
      <x:c r="G340" s="28" t="str">
        <x:v>f7ebc1e11ee41682c73ffe4df54efdaf6f8776e3d1421e342e5d6efdf51b8f91</x:v>
      </x:c>
      <x:c r="H340" s="28" t="n">
        <x:v>1</x:v>
      </x:c>
      <x:c r="I340" s="28" t="n">
        <x:v>1</x:v>
      </x:c>
      <x:c r="J340" s="28" t="n">
        <x:v>0</x:v>
      </x:c>
      <x:c r="K340" s="28" t="n">
        <x:v>0</x:v>
      </x:c>
      <x:c r="L340" s="28" t="n">
        <x:v>0</x:v>
      </x:c>
      <x:c r="M340" s="28" t="n">
        <x:v>0</x:v>
      </x:c>
      <x:c r="N340" s="22" t="str"/>
      <x:c r="O340" s="22" t="str"/>
      <x:c r="P340" s="22" t="n">
        <x:v>0</x:v>
      </x:c>
      <x:c r="Q340" s="40" t="n">
        <x:v>0</x:v>
      </x:c>
      <x:c r="R340" s="25" t="str"/>
      <x:c r="S340" s="25" t="str">
        <x:v>BOQ_NAME_ONLY</x:v>
      </x:c>
      <x:c r="T340" s="25" t="str">
        <x:v>자동 표 신호는 최종 A/B로 승격하지 않음</x:v>
      </x:c>
      <x:c r="U340" s="22" t="str">
        <x:v>2021-2025</x:v>
      </x:c>
    </x:row>
    <x:row r="341">
      <x:c r="A341" s="22" t="str">
        <x:v>2020-00086</x:v>
      </x:c>
      <x:c r="B341" s="22" t="str">
        <x:v>L2023-00036-1</x:v>
      </x:c>
      <x:c r="C341" s="22" t="str">
        <x:v>WORKS</x:v>
      </x:c>
      <x:c r="D341" s="25" t="str">
        <x:v>L2023-00036-1/붙임3_입찰관련서류_검토완_0717/Section 4.  Bill of Quantities(Not-Priced)/공내역서/VTC견적서/5 МИНИКУХНЯ(Mini Cafe)/5-7 ВН, СКС(CCTV &amp; Network)/13343_vfor.xls</x:v>
      </x:c>
      <x:c r="E341" s="22" t="str">
        <x:v>.xls</x:v>
      </x:c>
      <x:c r="F341" s="28" t="n">
        <x:v>42496</x:v>
      </x:c>
      <x:c r="G341" s="28" t="str">
        <x:v>7ae45ebf6513a57ba6f4fb37a194629105af57885c6435d8e0b3fac1d07b54d7</x:v>
      </x:c>
      <x:c r="H341" s="28" t="n">
        <x:v>1</x:v>
      </x:c>
      <x:c r="I341" s="28" t="n">
        <x:v>1</x:v>
      </x:c>
      <x:c r="J341" s="28" t="n">
        <x:v>0</x:v>
      </x:c>
      <x:c r="K341" s="28" t="n">
        <x:v>0</x:v>
      </x:c>
      <x:c r="L341" s="28" t="n">
        <x:v>0</x:v>
      </x:c>
      <x:c r="M341" s="28" t="n">
        <x:v>0</x:v>
      </x:c>
      <x:c r="N341" s="22" t="str"/>
      <x:c r="O341" s="22" t="str"/>
      <x:c r="P341" s="22" t="n">
        <x:v>0</x:v>
      </x:c>
      <x:c r="Q341" s="40" t="n">
        <x:v>0</x:v>
      </x:c>
      <x:c r="R341" s="25" t="str"/>
      <x:c r="S341" s="25" t="str">
        <x:v>BOQ_NAME_ONLY</x:v>
      </x:c>
      <x:c r="T341" s="25" t="str">
        <x:v>자동 표 신호는 최종 A/B로 승격하지 않음</x:v>
      </x:c>
      <x:c r="U341" s="22" t="str">
        <x:v>2021-2025</x:v>
      </x:c>
    </x:row>
    <x:row r="342">
      <x:c r="A342" s="22" t="str">
        <x:v>2020-00086</x:v>
      </x:c>
      <x:c r="B342" s="22" t="str">
        <x:v>L2023-00036-1</x:v>
      </x:c>
      <x:c r="C342" s="22" t="str">
        <x:v>WORKS</x:v>
      </x:c>
      <x:c r="D342" s="25" t="str">
        <x:v>L2023-00036-1/붙임3_입찰관련서류_검토완_0717/Section 4.  Bill of Quantities(Not-Priced)/공내역서/VTC견적서/5 МИНИКУХНЯ(Mini Cafe)/5-7 ВН, СКС(CCTV &amp; Network)/13343_vrmu.xls</x:v>
      </x:c>
      <x:c r="E342" s="22" t="str">
        <x:v>.xls</x:v>
      </x:c>
      <x:c r="F342" s="28" t="n">
        <x:v>57344</x:v>
      </x:c>
      <x:c r="G342" s="28" t="str">
        <x:v>0c131dc024a728f09c19dc05519a4f69fc17da1dc83c0ff221c9fcbc28ca3e83</x:v>
      </x:c>
      <x:c r="H342" s="28" t="n">
        <x:v>1</x:v>
      </x:c>
      <x:c r="I342" s="28" t="n">
        <x:v>1</x:v>
      </x:c>
      <x:c r="J342" s="28" t="n">
        <x:v>1</x:v>
      </x:c>
      <x:c r="K342" s="28" t="n">
        <x:v>87</x:v>
      </x:c>
      <x:c r="L342" s="28" t="n">
        <x:v>1</x:v>
      </x:c>
      <x:c r="M342" s="28" t="n">
        <x:v>0</x:v>
      </x:c>
      <x:c r="N342" s="22" t="str">
        <x:v>Лист1</x:v>
      </x:c>
      <x:c r="O342" s="22" t="str">
        <x:v>visible</x:v>
      </x:c>
      <x:c r="P342" s="22" t="n">
        <x:v>8</x:v>
      </x:c>
      <x:c r="Q342" s="40" t="n">
        <x:v>0.011494252873563218</x:v>
      </x:c>
      <x:c r="R342" s="25" t="str"/>
      <x:c r="S342" s="25" t="str">
        <x:v>B?</x:v>
      </x:c>
      <x:c r="T342" s="25" t="str">
        <x:v>자동 표 신호는 최종 A/B로 승격하지 않음</x:v>
      </x:c>
      <x:c r="U342" s="22" t="str">
        <x:v>2021-2025</x:v>
      </x:c>
    </x:row>
    <x:row r="343">
      <x:c r="A343" s="22" t="str">
        <x:v>2020-00086</x:v>
      </x:c>
      <x:c r="B343" s="22" t="str">
        <x:v>L2023-00036-1</x:v>
      </x:c>
      <x:c r="C343" s="22" t="str">
        <x:v>WORKS</x:v>
      </x:c>
      <x:c r="D343" s="25" t="str">
        <x:v>L2023-00036-1/붙임3_입찰관련서류_검토완_0717/Section 4.  Bill of Quantities(Not-Priced)/공내역서/VTC견적서/5 МИНИКУХНЯ(Mini Cafe)/5-4 ВК(Water &amp; Sewer &amp; Fireplug)/bv13150.xls</x:v>
      </x:c>
      <x:c r="E343" s="22" t="str">
        <x:v>.xls</x:v>
      </x:c>
      <x:c r="F343" s="28" t="n">
        <x:v>81920</x:v>
      </x:c>
      <x:c r="G343" s="28" t="str">
        <x:v>ff40bc5d0ea432e7b1d7366c5d4fcb487b2c3880f96e4f78375825eafcfb95b6</x:v>
      </x:c>
      <x:c r="H343" s="28" t="n">
        <x:v>1</x:v>
      </x:c>
      <x:c r="I343" s="28" t="n">
        <x:v>1</x:v>
      </x:c>
      <x:c r="J343" s="28" t="n">
        <x:v>0</x:v>
      </x:c>
      <x:c r="K343" s="28" t="n">
        <x:v>0</x:v>
      </x:c>
      <x:c r="L343" s="28" t="n">
        <x:v>0</x:v>
      </x:c>
      <x:c r="M343" s="28" t="n">
        <x:v>0</x:v>
      </x:c>
      <x:c r="N343" s="22" t="str"/>
      <x:c r="O343" s="22" t="str"/>
      <x:c r="P343" s="22" t="n">
        <x:v>0</x:v>
      </x:c>
      <x:c r="Q343" s="40" t="n">
        <x:v>0</x:v>
      </x:c>
      <x:c r="R343" s="25" t="str"/>
      <x:c r="S343" s="25" t="str">
        <x:v>BOQ_NAME_ONLY</x:v>
      </x:c>
      <x:c r="T343" s="25" t="str">
        <x:v>자동 표 신호는 최종 A/B로 승격하지 않음</x:v>
      </x:c>
      <x:c r="U343" s="22" t="str">
        <x:v>2021-2025</x:v>
      </x:c>
    </x:row>
    <x:row r="344">
      <x:c r="A344" s="22" t="str">
        <x:v>2020-00086</x:v>
      </x:c>
      <x:c r="B344" s="22" t="str">
        <x:v>L2023-00036-1</x:v>
      </x:c>
      <x:c r="C344" s="22" t="str">
        <x:v>WORKS</x:v>
      </x:c>
      <x:c r="D344" s="25" t="str">
        <x:v>L2023-00036-1/붙임3_입찰관련서류_검토완_0717/Section 4.  Bill of Quantities(Not-Priced)/공내역서/VTC견적서/5 МИНИКУХНЯ(Mini Cafe)/5-4 ВК(Water &amp; Sewer &amp; Fireplug)/13153_vfor.xls</x:v>
      </x:c>
      <x:c r="E344" s="22" t="str">
        <x:v>.xls</x:v>
      </x:c>
      <x:c r="F344" s="28" t="n">
        <x:v>38912</x:v>
      </x:c>
      <x:c r="G344" s="28" t="str">
        <x:v>8c432bdc15c5f2e9b21d8cf64d2092af76e32ac769bcf6930a80498eda501c52</x:v>
      </x:c>
      <x:c r="H344" s="28" t="n">
        <x:v>1</x:v>
      </x:c>
      <x:c r="I344" s="28" t="n">
        <x:v>1</x:v>
      </x:c>
      <x:c r="J344" s="28" t="n">
        <x:v>0</x:v>
      </x:c>
      <x:c r="K344" s="28" t="n">
        <x:v>0</x:v>
      </x:c>
      <x:c r="L344" s="28" t="n">
        <x:v>0</x:v>
      </x:c>
      <x:c r="M344" s="28" t="n">
        <x:v>0</x:v>
      </x:c>
      <x:c r="N344" s="22" t="str"/>
      <x:c r="O344" s="22" t="str"/>
      <x:c r="P344" s="22" t="n">
        <x:v>0</x:v>
      </x:c>
      <x:c r="Q344" s="40" t="n">
        <x:v>0</x:v>
      </x:c>
      <x:c r="R344" s="25" t="str"/>
      <x:c r="S344" s="25" t="str">
        <x:v>BOQ_NAME_ONLY</x:v>
      </x:c>
      <x:c r="T344" s="25" t="str">
        <x:v>자동 표 신호는 최종 A/B로 승격하지 않음</x:v>
      </x:c>
      <x:c r="U344" s="22" t="str">
        <x:v>2021-2025</x:v>
      </x:c>
    </x:row>
    <x:row r="345">
      <x:c r="A345" s="22" t="str">
        <x:v>2020-00086</x:v>
      </x:c>
      <x:c r="B345" s="22" t="str">
        <x:v>L2023-00036-1</x:v>
      </x:c>
      <x:c r="C345" s="22" t="str">
        <x:v>WORKS</x:v>
      </x:c>
      <x:c r="D345" s="25" t="str">
        <x:v>L2023-00036-1/붙임3_입찰관련서류_검토완_0717/Section 4.  Bill of Quantities(Not-Priced)/공내역서/VTC견적서/5 МИНИКУХНЯ(Mini Cafe)/5-4 ВК(Water &amp; Sewer &amp; Fireplug)/13153_vrmu.xls</x:v>
      </x:c>
      <x:c r="E345" s="22" t="str">
        <x:v>.xls</x:v>
      </x:c>
      <x:c r="F345" s="28" t="n">
        <x:v>55296</x:v>
      </x:c>
      <x:c r="G345" s="28" t="str">
        <x:v>b73ea620ff03c68e64d826146d0e3fdf85d76c45d5f7b952398e75088501d5a8</x:v>
      </x:c>
      <x:c r="H345" s="28" t="n">
        <x:v>1</x:v>
      </x:c>
      <x:c r="I345" s="28" t="n">
        <x:v>1</x:v>
      </x:c>
      <x:c r="J345" s="28" t="n">
        <x:v>1</x:v>
      </x:c>
      <x:c r="K345" s="28" t="n">
        <x:v>89</x:v>
      </x:c>
      <x:c r="L345" s="28" t="n">
        <x:v>1</x:v>
      </x:c>
      <x:c r="M345" s="28" t="n">
        <x:v>0</x:v>
      </x:c>
      <x:c r="N345" s="22" t="str">
        <x:v>Лист1</x:v>
      </x:c>
      <x:c r="O345" s="22" t="str">
        <x:v>visible</x:v>
      </x:c>
      <x:c r="P345" s="22" t="n">
        <x:v>8</x:v>
      </x:c>
      <x:c r="Q345" s="40" t="n">
        <x:v>0.011235955056179775</x:v>
      </x:c>
      <x:c r="R345" s="25" t="str"/>
      <x:c r="S345" s="25" t="str">
        <x:v>B?</x:v>
      </x:c>
      <x:c r="T345" s="25" t="str">
        <x:v>자동 표 신호는 최종 A/B로 승격하지 않음</x:v>
      </x:c>
      <x:c r="U345" s="22" t="str">
        <x:v>2021-2025</x:v>
      </x:c>
    </x:row>
    <x:row r="346">
      <x:c r="A346" s="22" t="str">
        <x:v>2020-00086</x:v>
      </x:c>
      <x:c r="B346" s="22" t="str">
        <x:v>L2023-00036-1</x:v>
      </x:c>
      <x:c r="C346" s="22" t="str">
        <x:v>WORKS</x:v>
      </x:c>
      <x:c r="D346" s="25" t="str">
        <x:v>L2023-00036-1/붙임3_입찰관련서류_검토완_0717/Section 4.  Bill of Quantities(Not-Priced)/공내역서/VTC견적서/9 ТП(Transformers)/9-2 ЭО(Electric)/bv13620.xls</x:v>
      </x:c>
      <x:c r="E346" s="22" t="str">
        <x:v>.xls</x:v>
      </x:c>
      <x:c r="F346" s="28" t="n">
        <x:v>72192</x:v>
      </x:c>
      <x:c r="G346" s="28" t="str">
        <x:v>d12264dd66d83231e992bd650b7557870412089a06a2a0d4425c2f7ce9505b54</x:v>
      </x:c>
      <x:c r="H346" s="28" t="n">
        <x:v>1</x:v>
      </x:c>
      <x:c r="I346" s="28" t="n">
        <x:v>1</x:v>
      </x:c>
      <x:c r="J346" s="28" t="n">
        <x:v>0</x:v>
      </x:c>
      <x:c r="K346" s="28" t="n">
        <x:v>0</x:v>
      </x:c>
      <x:c r="L346" s="28" t="n">
        <x:v>0</x:v>
      </x:c>
      <x:c r="M346" s="28" t="n">
        <x:v>0</x:v>
      </x:c>
      <x:c r="N346" s="22" t="str"/>
      <x:c r="O346" s="22" t="str"/>
      <x:c r="P346" s="22" t="n">
        <x:v>0</x:v>
      </x:c>
      <x:c r="Q346" s="40" t="n">
        <x:v>0</x:v>
      </x:c>
      <x:c r="R346" s="25" t="str"/>
      <x:c r="S346" s="25" t="str">
        <x:v>BOQ_NAME_ONLY</x:v>
      </x:c>
      <x:c r="T346" s="25" t="str">
        <x:v>자동 표 신호는 최종 A/B로 승격하지 않음</x:v>
      </x:c>
      <x:c r="U346" s="22" t="str">
        <x:v>2021-2025</x:v>
      </x:c>
    </x:row>
    <x:row r="347">
      <x:c r="A347" s="22" t="str">
        <x:v>2020-00086</x:v>
      </x:c>
      <x:c r="B347" s="22" t="str">
        <x:v>L2023-00036-1</x:v>
      </x:c>
      <x:c r="C347" s="22" t="str">
        <x:v>WORKS</x:v>
      </x:c>
      <x:c r="D347" s="25" t="str">
        <x:v>L2023-00036-1/붙임3_입찰관련서류_검토완_0717/Section 4.  Bill of Quantities(Not-Priced)/공내역서/VTC견적서/9 ТП(Transformers)/9-2 ЭО(Electric)/13623_vfor.xls</x:v>
      </x:c>
      <x:c r="E347" s="22" t="str">
        <x:v>.xls</x:v>
      </x:c>
      <x:c r="F347" s="28" t="n">
        <x:v>43520</x:v>
      </x:c>
      <x:c r="G347" s="28" t="str">
        <x:v>45d383d1448e59a8f49860e92e6e7aa212038c27e4d7bce97a086cc21f88ccfe</x:v>
      </x:c>
      <x:c r="H347" s="28" t="n">
        <x:v>1</x:v>
      </x:c>
      <x:c r="I347" s="28" t="n">
        <x:v>1</x:v>
      </x:c>
      <x:c r="J347" s="28" t="n">
        <x:v>0</x:v>
      </x:c>
      <x:c r="K347" s="28" t="n">
        <x:v>0</x:v>
      </x:c>
      <x:c r="L347" s="28" t="n">
        <x:v>0</x:v>
      </x:c>
      <x:c r="M347" s="28" t="n">
        <x:v>0</x:v>
      </x:c>
      <x:c r="N347" s="22" t="str"/>
      <x:c r="O347" s="22" t="str"/>
      <x:c r="P347" s="22" t="n">
        <x:v>0</x:v>
      </x:c>
      <x:c r="Q347" s="40" t="n">
        <x:v>0</x:v>
      </x:c>
      <x:c r="R347" s="25" t="str"/>
      <x:c r="S347" s="25" t="str">
        <x:v>BOQ_NAME_ONLY</x:v>
      </x:c>
      <x:c r="T347" s="25" t="str">
        <x:v>자동 표 신호는 최종 A/B로 승격하지 않음</x:v>
      </x:c>
      <x:c r="U347" s="22" t="str">
        <x:v>2021-2025</x:v>
      </x:c>
    </x:row>
    <x:row r="348">
      <x:c r="A348" s="22" t="str">
        <x:v>2020-00086</x:v>
      </x:c>
      <x:c r="B348" s="22" t="str">
        <x:v>L2023-00036-1</x:v>
      </x:c>
      <x:c r="C348" s="22" t="str">
        <x:v>WORKS</x:v>
      </x:c>
      <x:c r="D348" s="25" t="str">
        <x:v>L2023-00036-1/붙임3_입찰관련서류_검토완_0717/Section 4.  Bill of Quantities(Not-Priced)/공내역서/VTC견적서/9 ТП(Transformers)/9-2 ЭО(Electric)/13623_vrmu.xls</x:v>
      </x:c>
      <x:c r="E348" s="22" t="str">
        <x:v>.xls</x:v>
      </x:c>
      <x:c r="F348" s="28" t="n">
        <x:v>44544</x:v>
      </x:c>
      <x:c r="G348" s="28" t="str">
        <x:v>9c376ffd83f74a7a0482782b87e52d87f3fd57e8ae172745d22dd2b5f75c87d3</x:v>
      </x:c>
      <x:c r="H348" s="28" t="n">
        <x:v>1</x:v>
      </x:c>
      <x:c r="I348" s="28" t="n">
        <x:v>1</x:v>
      </x:c>
      <x:c r="J348" s="28" t="n">
        <x:v>1</x:v>
      </x:c>
      <x:c r="K348" s="28" t="n">
        <x:v>25</x:v>
      </x:c>
      <x:c r="L348" s="28" t="n">
        <x:v>1</x:v>
      </x:c>
      <x:c r="M348" s="28" t="n">
        <x:v>0</x:v>
      </x:c>
      <x:c r="N348" s="22" t="str">
        <x:v>Лист1</x:v>
      </x:c>
      <x:c r="O348" s="22" t="str">
        <x:v>visible</x:v>
      </x:c>
      <x:c r="P348" s="22" t="n">
        <x:v>8</x:v>
      </x:c>
      <x:c r="Q348" s="40" t="n">
        <x:v>0.04</x:v>
      </x:c>
      <x:c r="R348" s="25" t="str"/>
      <x:c r="S348" s="25" t="str">
        <x:v>B?</x:v>
      </x:c>
      <x:c r="T348" s="25" t="str">
        <x:v>자동 표 신호는 최종 A/B로 승격하지 않음</x:v>
      </x:c>
      <x:c r="U348" s="22" t="str">
        <x:v>2021-2025</x:v>
      </x:c>
    </x:row>
    <x:row r="349">
      <x:c r="A349" s="22" t="str">
        <x:v>2020-00086</x:v>
      </x:c>
      <x:c r="B349" s="22" t="str">
        <x:v>L2023-00036-1</x:v>
      </x:c>
      <x:c r="C349" s="22" t="str">
        <x:v>WORKS</x:v>
      </x:c>
      <x:c r="D349" s="25" t="str">
        <x:v>L2023-00036-1/붙임3_입찰관련서류_검토완_0717/Section 4.  Bill of Quantities(Not-Priced)/공내역서/VTC견적서/9 ТП(Transformers)/9-1 AC(Architecture+Structure)/13613_vrmu.xls</x:v>
      </x:c>
      <x:c r="E349" s="22" t="str">
        <x:v>.xls</x:v>
      </x:c>
      <x:c r="F349" s="28" t="n">
        <x:v>52224</x:v>
      </x:c>
      <x:c r="G349" s="28" t="str">
        <x:v>dac492bc0da9304780f8cd01f3d5f4471428e5935002eef499f872bcaa423196</x:v>
      </x:c>
      <x:c r="H349" s="28" t="n">
        <x:v>1</x:v>
      </x:c>
      <x:c r="I349" s="28" t="n">
        <x:v>1</x:v>
      </x:c>
      <x:c r="J349" s="28" t="n">
        <x:v>1</x:v>
      </x:c>
      <x:c r="K349" s="28" t="n">
        <x:v>60</x:v>
      </x:c>
      <x:c r="L349" s="28" t="n">
        <x:v>1</x:v>
      </x:c>
      <x:c r="M349" s="28" t="n">
        <x:v>0</x:v>
      </x:c>
      <x:c r="N349" s="22" t="str">
        <x:v>Лист1</x:v>
      </x:c>
      <x:c r="O349" s="22" t="str">
        <x:v>visible</x:v>
      </x:c>
      <x:c r="P349" s="22" t="n">
        <x:v>8</x:v>
      </x:c>
      <x:c r="Q349" s="40" t="n">
        <x:v>0.016666666666666666</x:v>
      </x:c>
      <x:c r="R349" s="25" t="str"/>
      <x:c r="S349" s="25" t="str">
        <x:v>B?</x:v>
      </x:c>
      <x:c r="T349" s="25" t="str">
        <x:v>자동 표 신호는 최종 A/B로 승격하지 않음</x:v>
      </x:c>
      <x:c r="U349" s="22" t="str">
        <x:v>2021-2025</x:v>
      </x:c>
    </x:row>
    <x:row r="350">
      <x:c r="A350" s="22" t="str">
        <x:v>2020-00086</x:v>
      </x:c>
      <x:c r="B350" s="22" t="str">
        <x:v>L2023-00036-1</x:v>
      </x:c>
      <x:c r="C350" s="22" t="str">
        <x:v>WORKS</x:v>
      </x:c>
      <x:c r="D350" s="25" t="str">
        <x:v>L2023-00036-1/붙임3_입찰관련서류_검토완_0717/Section 4.  Bill of Quantities(Not-Priced)/공내역서/VTC견적서/9 ТП(Transformers)/9-1 AC(Architecture+Structure)/bv13610.xls</x:v>
      </x:c>
      <x:c r="E350" s="22" t="str">
        <x:v>.xls</x:v>
      </x:c>
      <x:c r="F350" s="28" t="n">
        <x:v>87552</x:v>
      </x:c>
      <x:c r="G350" s="28" t="str">
        <x:v>9c3b233e7eee9e95f4d7e3a8fd06879e5232932fea0154ee2d2ca48539bf46ec</x:v>
      </x:c>
      <x:c r="H350" s="28" t="n">
        <x:v>1</x:v>
      </x:c>
      <x:c r="I350" s="28" t="n">
        <x:v>1</x:v>
      </x:c>
      <x:c r="J350" s="28" t="n">
        <x:v>0</x:v>
      </x:c>
      <x:c r="K350" s="28" t="n">
        <x:v>0</x:v>
      </x:c>
      <x:c r="L350" s="28" t="n">
        <x:v>0</x:v>
      </x:c>
      <x:c r="M350" s="28" t="n">
        <x:v>0</x:v>
      </x:c>
      <x:c r="N350" s="22" t="str"/>
      <x:c r="O350" s="22" t="str"/>
      <x:c r="P350" s="22" t="n">
        <x:v>0</x:v>
      </x:c>
      <x:c r="Q350" s="40" t="n">
        <x:v>0</x:v>
      </x:c>
      <x:c r="R350" s="25" t="str"/>
      <x:c r="S350" s="25" t="str">
        <x:v>BOQ_NAME_ONLY</x:v>
      </x:c>
      <x:c r="T350" s="25" t="str">
        <x:v>자동 표 신호는 최종 A/B로 승격하지 않음</x:v>
      </x:c>
      <x:c r="U350" s="22" t="str">
        <x:v>2021-2025</x:v>
      </x:c>
    </x:row>
    <x:row r="351">
      <x:c r="A351" s="22" t="str">
        <x:v>2020-00086</x:v>
      </x:c>
      <x:c r="B351" s="22" t="str">
        <x:v>L2023-00036-1</x:v>
      </x:c>
      <x:c r="C351" s="22" t="str">
        <x:v>WORKS</x:v>
      </x:c>
      <x:c r="D351" s="25" t="str">
        <x:v>L2023-00036-1/붙임3_입찰관련서류_검토완_0717/Section 4.  Bill of Quantities(Not-Priced)/공내역서/VTC견적서/9 ТП(Transformers)/9-1 AC(Architecture+Structure)/13613_vfor.xls</x:v>
      </x:c>
      <x:c r="E351" s="22" t="str">
        <x:v>.xls</x:v>
      </x:c>
      <x:c r="F351" s="28" t="n">
        <x:v>43520</x:v>
      </x:c>
      <x:c r="G351" s="28" t="str">
        <x:v>d44f0b5ecfc1065f05341153878714679026a9bf6545cc1f41a3b99d2fc64e82</x:v>
      </x:c>
      <x:c r="H351" s="28" t="n">
        <x:v>1</x:v>
      </x:c>
      <x:c r="I351" s="28" t="n">
        <x:v>1</x:v>
      </x:c>
      <x:c r="J351" s="28" t="n">
        <x:v>0</x:v>
      </x:c>
      <x:c r="K351" s="28" t="n">
        <x:v>0</x:v>
      </x:c>
      <x:c r="L351" s="28" t="n">
        <x:v>0</x:v>
      </x:c>
      <x:c r="M351" s="28" t="n">
        <x:v>0</x:v>
      </x:c>
      <x:c r="N351" s="22" t="str"/>
      <x:c r="O351" s="22" t="str"/>
      <x:c r="P351" s="22" t="n">
        <x:v>0</x:v>
      </x:c>
      <x:c r="Q351" s="40" t="n">
        <x:v>0</x:v>
      </x:c>
      <x:c r="R351" s="25" t="str"/>
      <x:c r="S351" s="25" t="str">
        <x:v>BOQ_NAME_ONLY</x:v>
      </x:c>
      <x:c r="T351" s="25" t="str">
        <x:v>자동 표 신호는 최종 A/B로 승격하지 않음</x:v>
      </x:c>
      <x:c r="U351" s="22" t="str">
        <x:v>2021-2025</x:v>
      </x:c>
    </x:row>
    <x:row r="352">
      <x:c r="A352" s="22" t="str">
        <x:v>2020-00086</x:v>
      </x:c>
      <x:c r="B352" s="22" t="str">
        <x:v>L2023-00036-1</x:v>
      </x:c>
      <x:c r="C352" s="22" t="str">
        <x:v>WORKS</x:v>
      </x:c>
      <x:c r="D352" s="25" t="str">
        <x:v>L2023-00036-1/붙임3_입찰관련서류_검토완_0717/Section 4.  Bill of Quantities(Not-Priced)/공내역서/TTC견적서/TTC(Teacher Traing Center)/СВОДКА(TTC Total sum. o).xlsx</x:v>
      </x:c>
      <x:c r="E352" s="22" t="str">
        <x:v>.xlsx</x:v>
      </x:c>
      <x:c r="F352" s="28" t="n">
        <x:v>32243</x:v>
      </x:c>
      <x:c r="G352" s="28" t="str">
        <x:v>18f7fed124e549f8d045a52b65bfb032bfd797fb45093bfe24108488bd7f0010</x:v>
      </x:c>
      <x:c r="H352" s="28" t="n">
        <x:v>1</x:v>
      </x:c>
      <x:c r="I352" s="28" t="n">
        <x:v>1</x:v>
      </x:c>
      <x:c r="J352" s="28" t="n">
        <x:v>0</x:v>
      </x:c>
      <x:c r="K352" s="28" t="n">
        <x:v>0</x:v>
      </x:c>
      <x:c r="L352" s="28" t="n">
        <x:v>0</x:v>
      </x:c>
      <x:c r="M352" s="28" t="n">
        <x:v>0</x:v>
      </x:c>
      <x:c r="N352" s="22" t="str"/>
      <x:c r="O352" s="22" t="str"/>
      <x:c r="P352" s="22" t="n">
        <x:v>0</x:v>
      </x:c>
      <x:c r="Q352" s="40" t="n">
        <x:v>0</x:v>
      </x:c>
      <x:c r="R352" s="25" t="str"/>
      <x:c r="S352" s="25" t="str">
        <x:v>BOQ_NAME_ONLY</x:v>
      </x:c>
      <x:c r="T352" s="25" t="str">
        <x:v>자동 표 신호는 최종 A/B로 승격하지 않음</x:v>
      </x:c>
      <x:c r="U352" s="22" t="str">
        <x:v>2021-2025</x:v>
      </x:c>
    </x:row>
    <x:row r="353">
      <x:c r="A353" s="22" t="str">
        <x:v>2020-00086</x:v>
      </x:c>
      <x:c r="B353" s="22" t="str">
        <x:v>L2023-00036-1</x:v>
      </x:c>
      <x:c r="C353" s="22" t="str">
        <x:v>WORKS</x:v>
      </x:c>
      <x:c r="D353" s="25" t="str">
        <x:v>L2023-00036-1/붙임3_입찰관련서류_검토완_0717/Section 4.  Bill of Quantities(Not-Priced)/공내역서/TTC견적서/TTC(Teacher Traing Center)/12 OB( Heating &amp; Ventilation)/ra900.xlsx</x:v>
      </x:c>
      <x:c r="E353" s="22" t="str">
        <x:v>.xlsx</x:v>
      </x:c>
      <x:c r="F353" s="28" t="n">
        <x:v>25457</x:v>
      </x:c>
      <x:c r="G353" s="28" t="str">
        <x:v>c0e7dba7fed37589ec6340137fd80e3748fc4e6f60d5a31a1732a90a20c89215</x:v>
      </x:c>
      <x:c r="H353" s="28" t="n">
        <x:v>1</x:v>
      </x:c>
      <x:c r="I353" s="28" t="n">
        <x:v>1</x:v>
      </x:c>
      <x:c r="J353" s="28" t="n">
        <x:v>1</x:v>
      </x:c>
      <x:c r="K353" s="28" t="n">
        <x:v>145</x:v>
      </x:c>
      <x:c r="L353" s="28" t="n">
        <x:v>0</x:v>
      </x:c>
      <x:c r="M353" s="28" t="n">
        <x:v>0</x:v>
      </x:c>
      <x:c r="N353" s="22" t="str">
        <x:v>ra_abc4</x:v>
      </x:c>
      <x:c r="O353" s="22" t="str">
        <x:v>visible</x:v>
      </x:c>
      <x:c r="P353" s="22" t="n">
        <x:v>8</x:v>
      </x:c>
      <x:c r="Q353" s="40" t="n">
        <x:v>0</x:v>
      </x:c>
      <x:c r="R353" s="25" t="str"/>
      <x:c r="S353" s="25" t="str">
        <x:v>B?</x:v>
      </x:c>
      <x:c r="T353" s="25" t="str">
        <x:v>자동 표 신호는 최종 A/B로 승격하지 않음</x:v>
      </x:c>
      <x:c r="U353" s="22" t="str">
        <x:v>2021-2025</x:v>
      </x:c>
    </x:row>
    <x:row r="354">
      <x:c r="A354" s="22" t="str">
        <x:v>2020-00086</x:v>
      </x:c>
      <x:c r="B354" s="22" t="str">
        <x:v>L2023-00036-1</x:v>
      </x:c>
      <x:c r="C354" s="22" t="str">
        <x:v>WORKS</x:v>
      </x:c>
      <x:c r="D354" s="25" t="str">
        <x:v>L2023-00036-1/붙임3_입찰관련서류_검토완_0717/Section 4.  Bill of Quantities(Not-Priced)/공내역서/TTC견적서/TTC(Teacher Traing Center)/12 OB( Heating &amp; Ventilation)/bv900.xlsx</x:v>
      </x:c>
      <x:c r="E354" s="22" t="str">
        <x:v>.xlsx</x:v>
      </x:c>
      <x:c r="F354" s="28" t="n">
        <x:v>57114</x:v>
      </x:c>
      <x:c r="G354" s="28" t="str">
        <x:v>6ecb37ae086780f16e98b30e7632769c400d862e9e881341019571e4635cfe62</x:v>
      </x:c>
      <x:c r="H354" s="28" t="n">
        <x:v>1</x:v>
      </x:c>
      <x:c r="I354" s="28" t="n">
        <x:v>1</x:v>
      </x:c>
      <x:c r="J354" s="28" t="n">
        <x:v>1</x:v>
      </x:c>
      <x:c r="K354" s="28" t="n">
        <x:v>583</x:v>
      </x:c>
      <x:c r="L354" s="28" t="n">
        <x:v>0</x:v>
      </x:c>
      <x:c r="M354" s="28" t="n">
        <x:v>0</x:v>
      </x:c>
      <x:c r="N354" s="22" t="str">
        <x:v>_ЛРВ</x:v>
      </x:c>
      <x:c r="O354" s="22" t="str">
        <x:v>visible</x:v>
      </x:c>
      <x:c r="P354" s="22" t="n">
        <x:v>9</x:v>
      </x:c>
      <x:c r="Q354" s="40" t="n">
        <x:v>0</x:v>
      </x:c>
      <x:c r="R354" s="25" t="str"/>
      <x:c r="S354" s="25" t="str">
        <x:v>B?</x:v>
      </x:c>
      <x:c r="T354" s="25" t="str">
        <x:v>자동 표 신호는 최종 A/B로 승격하지 않음</x:v>
      </x:c>
      <x:c r="U354" s="22" t="str">
        <x:v>2021-2025</x:v>
      </x:c>
    </x:row>
    <x:row r="355">
      <x:c r="A355" s="22" t="str">
        <x:v>2020-00086</x:v>
      </x:c>
      <x:c r="B355" s="22" t="str">
        <x:v>L2023-00036-1</x:v>
      </x:c>
      <x:c r="C355" s="22" t="str">
        <x:v>WORKS</x:v>
      </x:c>
      <x:c r="D355" s="25" t="str">
        <x:v>L2023-00036-1/붙임3_입찰관련서류_검토완_0717/Section 4.  Bill of Quantities(Not-Priced)/공내역서/TTC견적서/TTC(Teacher Traing Center)/10 СКС(Network)/ra880.xlsx</x:v>
      </x:c>
      <x:c r="E355" s="22" t="str">
        <x:v>.xlsx</x:v>
      </x:c>
      <x:c r="F355" s="28" t="n">
        <x:v>18030</x:v>
      </x:c>
      <x:c r="G355" s="28" t="str">
        <x:v>199cd0082bbab1b40761e3488c1f1d8640ea614526e9e2299473c945cad04b3c</x:v>
      </x:c>
      <x:c r="H355" s="28" t="n">
        <x:v>1</x:v>
      </x:c>
      <x:c r="I355" s="28" t="n">
        <x:v>1</x:v>
      </x:c>
      <x:c r="J355" s="28" t="n">
        <x:v>1</x:v>
      </x:c>
      <x:c r="K355" s="28" t="n">
        <x:v>46</x:v>
      </x:c>
      <x:c r="L355" s="28" t="n">
        <x:v>0</x:v>
      </x:c>
      <x:c r="M355" s="28" t="n">
        <x:v>0</x:v>
      </x:c>
      <x:c r="N355" s="22" t="str">
        <x:v>ra_abc4</x:v>
      </x:c>
      <x:c r="O355" s="22" t="str">
        <x:v>visible</x:v>
      </x:c>
      <x:c r="P355" s="22" t="n">
        <x:v>8</x:v>
      </x:c>
      <x:c r="Q355" s="40" t="n">
        <x:v>0</x:v>
      </x:c>
      <x:c r="R355" s="25" t="str"/>
      <x:c r="S355" s="25" t="str">
        <x:v>B?</x:v>
      </x:c>
      <x:c r="T355" s="25" t="str">
        <x:v>자동 표 신호는 최종 A/B로 승격하지 않음</x:v>
      </x:c>
      <x:c r="U355" s="22" t="str">
        <x:v>2021-2025</x:v>
      </x:c>
    </x:row>
    <x:row r="356">
      <x:c r="A356" s="22" t="str">
        <x:v>2020-00086</x:v>
      </x:c>
      <x:c r="B356" s="22" t="str">
        <x:v>L2023-00036-1</x:v>
      </x:c>
      <x:c r="C356" s="22" t="str">
        <x:v>WORKS</x:v>
      </x:c>
      <x:c r="D356" s="25" t="str">
        <x:v>L2023-00036-1/붙임3_입찰관련서류_검토완_0717/Section 4.  Bill of Quantities(Not-Priced)/공내역서/TTC견적서/TTC(Teacher Traing Center)/10 СКС(Network)/bv880.xlsx</x:v>
      </x:c>
      <x:c r="E356" s="22" t="str">
        <x:v>.xlsx</x:v>
      </x:c>
      <x:c r="F356" s="28" t="n">
        <x:v>18727</x:v>
      </x:c>
      <x:c r="G356" s="28" t="str">
        <x:v>7dbc22ca005e0e4c226c79d089e7a86d1cf9d86c5ce303f40f114936328702ea</x:v>
      </x:c>
      <x:c r="H356" s="28" t="n">
        <x:v>1</x:v>
      </x:c>
      <x:c r="I356" s="28" t="n">
        <x:v>1</x:v>
      </x:c>
      <x:c r="J356" s="28" t="n">
        <x:v>1</x:v>
      </x:c>
      <x:c r="K356" s="28" t="n">
        <x:v>72</x:v>
      </x:c>
      <x:c r="L356" s="28" t="n">
        <x:v>0</x:v>
      </x:c>
      <x:c r="M356" s="28" t="n">
        <x:v>0</x:v>
      </x:c>
      <x:c r="N356" s="22" t="str">
        <x:v>_ЛРВ</x:v>
      </x:c>
      <x:c r="O356" s="22" t="str">
        <x:v>visible</x:v>
      </x:c>
      <x:c r="P356" s="22" t="n">
        <x:v>9</x:v>
      </x:c>
      <x:c r="Q356" s="40" t="n">
        <x:v>0</x:v>
      </x:c>
      <x:c r="R356" s="25" t="str"/>
      <x:c r="S356" s="25" t="str">
        <x:v>B?</x:v>
      </x:c>
      <x:c r="T356" s="25" t="str">
        <x:v>자동 표 신호는 최종 A/B로 승격하지 않음</x:v>
      </x:c>
      <x:c r="U356" s="22" t="str">
        <x:v>2021-2025</x:v>
      </x:c>
    </x:row>
    <x:row r="357">
      <x:c r="A357" s="22" t="str">
        <x:v>2020-00086</x:v>
      </x:c>
      <x:c r="B357" s="22" t="str">
        <x:v>L2023-00036-1</x:v>
      </x:c>
      <x:c r="C357" s="22" t="str">
        <x:v>WORKS</x:v>
      </x:c>
      <x:c r="D357" s="25" t="str">
        <x:v>L2023-00036-1/붙임3_입찰관련서류_검토완_0717/Section 4.  Bill of Quantities(Not-Priced)/공내역서/TTC견적서/TTC(Teacher Traing Center)/9 ЭО(Electric)/bv870.xlsx</x:v>
      </x:c>
      <x:c r="E357" s="22" t="str">
        <x:v>.xlsx</x:v>
      </x:c>
      <x:c r="F357" s="28" t="n">
        <x:v>24024</x:v>
      </x:c>
      <x:c r="G357" s="28" t="str">
        <x:v>590053cdfd59adba7a4b5f88ecdf76f97cfb3c4d11e98da39322368216c48da9</x:v>
      </x:c>
      <x:c r="H357" s="28" t="n">
        <x:v>1</x:v>
      </x:c>
      <x:c r="I357" s="28" t="n">
        <x:v>1</x:v>
      </x:c>
      <x:c r="J357" s="28" t="n">
        <x:v>1</x:v>
      </x:c>
      <x:c r="K357" s="28" t="n">
        <x:v>135</x:v>
      </x:c>
      <x:c r="L357" s="28" t="n">
        <x:v>0</x:v>
      </x:c>
      <x:c r="M357" s="28" t="n">
        <x:v>0</x:v>
      </x:c>
      <x:c r="N357" s="22" t="str">
        <x:v>_ЛРВ</x:v>
      </x:c>
      <x:c r="O357" s="22" t="str">
        <x:v>visible</x:v>
      </x:c>
      <x:c r="P357" s="22" t="n">
        <x:v>9</x:v>
      </x:c>
      <x:c r="Q357" s="40" t="n">
        <x:v>0</x:v>
      </x:c>
      <x:c r="R357" s="25" t="str"/>
      <x:c r="S357" s="25" t="str">
        <x:v>B?</x:v>
      </x:c>
      <x:c r="T357" s="25" t="str">
        <x:v>자동 표 신호는 최종 A/B로 승격하지 않음</x:v>
      </x:c>
      <x:c r="U357" s="22" t="str">
        <x:v>2021-2025</x:v>
      </x:c>
    </x:row>
    <x:row r="358">
      <x:c r="A358" s="22" t="str">
        <x:v>2020-00086</x:v>
      </x:c>
      <x:c r="B358" s="22" t="str">
        <x:v>L2023-00036-1</x:v>
      </x:c>
      <x:c r="C358" s="22" t="str">
        <x:v>WORKS</x:v>
      </x:c>
      <x:c r="D358" s="25" t="str">
        <x:v>L2023-00036-1/붙임3_입찰관련서류_검토완_0717/Section 4.  Bill of Quantities(Not-Priced)/공내역서/TTC견적서/TTC(Teacher Traing Center)/9 ЭО(Electric)/ra870.xlsx</x:v>
      </x:c>
      <x:c r="E358" s="22" t="str">
        <x:v>.xlsx</x:v>
      </x:c>
      <x:c r="F358" s="28" t="n">
        <x:v>17554</x:v>
      </x:c>
      <x:c r="G358" s="28" t="str">
        <x:v>86bcd13f1e122deed0898b8d011d1d581353131e0abde33c435654236fba8f3e</x:v>
      </x:c>
      <x:c r="H358" s="28" t="n">
        <x:v>1</x:v>
      </x:c>
      <x:c r="I358" s="28" t="n">
        <x:v>1</x:v>
      </x:c>
      <x:c r="J358" s="28" t="n">
        <x:v>1</x:v>
      </x:c>
      <x:c r="K358" s="28" t="n">
        <x:v>44</x:v>
      </x:c>
      <x:c r="L358" s="28" t="n">
        <x:v>0</x:v>
      </x:c>
      <x:c r="M358" s="28" t="n">
        <x:v>0</x:v>
      </x:c>
      <x:c r="N358" s="22" t="str">
        <x:v>ra_abc4</x:v>
      </x:c>
      <x:c r="O358" s="22" t="str">
        <x:v>visible</x:v>
      </x:c>
      <x:c r="P358" s="22" t="n">
        <x:v>8</x:v>
      </x:c>
      <x:c r="Q358" s="40" t="n">
        <x:v>0</x:v>
      </x:c>
      <x:c r="R358" s="25" t="str"/>
      <x:c r="S358" s="25" t="str">
        <x:v>B?</x:v>
      </x:c>
      <x:c r="T358" s="25" t="str">
        <x:v>자동 표 신호는 최종 A/B로 승격하지 않음</x:v>
      </x:c>
      <x:c r="U358" s="22" t="str">
        <x:v>2021-2025</x:v>
      </x:c>
    </x:row>
    <x:row r="359">
      <x:c r="A359" s="22" t="str">
        <x:v>2020-00086</x:v>
      </x:c>
      <x:c r="B359" s="22" t="str">
        <x:v>L2023-00036-1</x:v>
      </x:c>
      <x:c r="C359" s="22" t="str">
        <x:v>WORKS</x:v>
      </x:c>
      <x:c r="D359" s="25" t="str">
        <x:v>L2023-00036-1/붙임3_입찰관련서류_검토완_0717/Section 4.  Bill of Quantities(Not-Priced)/공내역서/TTC견적서/TTC(Teacher Traing Center)/2 АР(Architecture)/ra3030.xlsx</x:v>
      </x:c>
      <x:c r="E359" s="22" t="str">
        <x:v>.xlsx</x:v>
      </x:c>
      <x:c r="F359" s="28" t="n">
        <x:v>27171</x:v>
      </x:c>
      <x:c r="G359" s="28" t="str">
        <x:v>1ab32257b417f35173d37ca063d6c865481a2c4e20984dbfcccad7ba6691eea3</x:v>
      </x:c>
      <x:c r="H359" s="28" t="n">
        <x:v>1</x:v>
      </x:c>
      <x:c r="I359" s="28" t="n">
        <x:v>1</x:v>
      </x:c>
      <x:c r="J359" s="28" t="n">
        <x:v>1</x:v>
      </x:c>
      <x:c r="K359" s="28" t="n">
        <x:v>142</x:v>
      </x:c>
      <x:c r="L359" s="28" t="n">
        <x:v>0</x:v>
      </x:c>
      <x:c r="M359" s="28" t="n">
        <x:v>0</x:v>
      </x:c>
      <x:c r="N359" s="22" t="str">
        <x:v>ra_abc4</x:v>
      </x:c>
      <x:c r="O359" s="22" t="str">
        <x:v>visible</x:v>
      </x:c>
      <x:c r="P359" s="22" t="n">
        <x:v>10</x:v>
      </x:c>
      <x:c r="Q359" s="40" t="n">
        <x:v>0</x:v>
      </x:c>
      <x:c r="R359" s="25" t="str"/>
      <x:c r="S359" s="25" t="str">
        <x:v>B?</x:v>
      </x:c>
      <x:c r="T359" s="25" t="str">
        <x:v>자동 표 신호는 최종 A/B로 승격하지 않음</x:v>
      </x:c>
      <x:c r="U359" s="22" t="str">
        <x:v>2021-2025</x:v>
      </x:c>
    </x:row>
    <x:row r="360">
      <x:c r="A360" s="22" t="str">
        <x:v>2020-00086</x:v>
      </x:c>
      <x:c r="B360" s="22" t="str">
        <x:v>L2023-00036-1</x:v>
      </x:c>
      <x:c r="C360" s="22" t="str">
        <x:v>WORKS</x:v>
      </x:c>
      <x:c r="D360" s="25" t="str">
        <x:v>L2023-00036-1/붙임3_입찰관련서류_검토완_0717/Section 4.  Bill of Quantities(Not-Priced)/공내역서/TTC견적서/TTC(Teacher Traing Center)/2 АР(Architecture)/bv3030.xlsx</x:v>
      </x:c>
      <x:c r="E360" s="22" t="str">
        <x:v>.xlsx</x:v>
      </x:c>
      <x:c r="F360" s="28" t="n">
        <x:v>84434</x:v>
      </x:c>
      <x:c r="G360" s="28" t="str">
        <x:v>fe7024582a9e7a27577e95f0b5c83b062807ddf1c456cf8c97eea3f47349b1f3</x:v>
      </x:c>
      <x:c r="H360" s="28" t="n">
        <x:v>1</x:v>
      </x:c>
      <x:c r="I360" s="28" t="n">
        <x:v>1</x:v>
      </x:c>
      <x:c r="J360" s="28" t="n">
        <x:v>1</x:v>
      </x:c>
      <x:c r="K360" s="28" t="n">
        <x:v>720</x:v>
      </x:c>
      <x:c r="L360" s="28" t="n">
        <x:v>0</x:v>
      </x:c>
      <x:c r="M360" s="28" t="n">
        <x:v>0</x:v>
      </x:c>
      <x:c r="N360" s="22" t="str">
        <x:v>_ЛРВ</x:v>
      </x:c>
      <x:c r="O360" s="22" t="str">
        <x:v>visible</x:v>
      </x:c>
      <x:c r="P360" s="22" t="n">
        <x:v>10</x:v>
      </x:c>
      <x:c r="Q360" s="40" t="n">
        <x:v>0</x:v>
      </x:c>
      <x:c r="R360" s="25" t="str"/>
      <x:c r="S360" s="25" t="str">
        <x:v>B?</x:v>
      </x:c>
      <x:c r="T360" s="25" t="str">
        <x:v>자동 표 신호는 최종 A/B로 승격하지 않음</x:v>
      </x:c>
      <x:c r="U360" s="22" t="str">
        <x:v>2021-2025</x:v>
      </x:c>
    </x:row>
    <x:row r="361">
      <x:c r="A361" s="22" t="str">
        <x:v>2020-00086</x:v>
      </x:c>
      <x:c r="B361" s="22" t="str">
        <x:v>L2023-00036-1</x:v>
      </x:c>
      <x:c r="C361" s="22" t="str">
        <x:v>WORKS</x:v>
      </x:c>
      <x:c r="D361" s="25" t="str">
        <x:v>L2023-00036-1/붙임3_입찰관련서류_검토완_0717/Section 4.  Bill of Quantities(Not-Priced)/공내역서/TTC견적서/TTC(Teacher Traing Center)/7 CO(Suond)/ra3050.xlsx</x:v>
      </x:c>
      <x:c r="E361" s="22" t="str">
        <x:v>.xlsx</x:v>
      </x:c>
      <x:c r="F361" s="28" t="n">
        <x:v>16144</x:v>
      </x:c>
      <x:c r="G361" s="28" t="str">
        <x:v>3cf45bc9f2d27c43f48e134d2bfd9e01b5da1619124aac33d045fbd062047f42</x:v>
      </x:c>
      <x:c r="H361" s="28" t="n">
        <x:v>1</x:v>
      </x:c>
      <x:c r="I361" s="28" t="n">
        <x:v>1</x:v>
      </x:c>
      <x:c r="J361" s="28" t="n">
        <x:v>1</x:v>
      </x:c>
      <x:c r="K361" s="28" t="n">
        <x:v>26</x:v>
      </x:c>
      <x:c r="L361" s="28" t="n">
        <x:v>0</x:v>
      </x:c>
      <x:c r="M361" s="28" t="n">
        <x:v>0</x:v>
      </x:c>
      <x:c r="N361" s="22" t="str">
        <x:v>ra_abc4</x:v>
      </x:c>
      <x:c r="O361" s="22" t="str">
        <x:v>visible</x:v>
      </x:c>
      <x:c r="P361" s="22" t="n">
        <x:v>11</x:v>
      </x:c>
      <x:c r="Q361" s="40" t="n">
        <x:v>0</x:v>
      </x:c>
      <x:c r="R361" s="25" t="str"/>
      <x:c r="S361" s="25" t="str">
        <x:v>B?</x:v>
      </x:c>
      <x:c r="T361" s="25" t="str">
        <x:v>자동 표 신호는 최종 A/B로 승격하지 않음</x:v>
      </x:c>
      <x:c r="U361" s="22" t="str">
        <x:v>2021-2025</x:v>
      </x:c>
    </x:row>
    <x:row r="362">
      <x:c r="A362" s="22" t="str">
        <x:v>2020-00086</x:v>
      </x:c>
      <x:c r="B362" s="22" t="str">
        <x:v>L2023-00036-1</x:v>
      </x:c>
      <x:c r="C362" s="22" t="str">
        <x:v>WORKS</x:v>
      </x:c>
      <x:c r="D362" s="25" t="str">
        <x:v>L2023-00036-1/붙임3_입찰관련서류_검토완_0717/Section 4.  Bill of Quantities(Not-Priced)/공내역서/TTC견적서/TTC(Teacher Traing Center)/7 CO(Suond)/bv3050.xlsx</x:v>
      </x:c>
      <x:c r="E362" s="22" t="str">
        <x:v>.xlsx</x:v>
      </x:c>
      <x:c r="F362" s="28" t="n">
        <x:v>19167</x:v>
      </x:c>
      <x:c r="G362" s="28" t="str">
        <x:v>d8736b6fb22ca90bb5af5c298fc86e1ee24f5e86a706ccd04c842123ad6d6659</x:v>
      </x:c>
      <x:c r="H362" s="28" t="n">
        <x:v>1</x:v>
      </x:c>
      <x:c r="I362" s="28" t="n">
        <x:v>1</x:v>
      </x:c>
      <x:c r="J362" s="28" t="n">
        <x:v>1</x:v>
      </x:c>
      <x:c r="K362" s="28" t="n">
        <x:v>47</x:v>
      </x:c>
      <x:c r="L362" s="28" t="n">
        <x:v>0</x:v>
      </x:c>
      <x:c r="M362" s="28" t="n">
        <x:v>0</x:v>
      </x:c>
      <x:c r="N362" s="22" t="str">
        <x:v>_ЛРВ</x:v>
      </x:c>
      <x:c r="O362" s="22" t="str">
        <x:v>visible</x:v>
      </x:c>
      <x:c r="P362" s="22" t="n">
        <x:v>10</x:v>
      </x:c>
      <x:c r="Q362" s="40" t="n">
        <x:v>0</x:v>
      </x:c>
      <x:c r="R362" s="25" t="str"/>
      <x:c r="S362" s="25" t="str">
        <x:v>B?</x:v>
      </x:c>
      <x:c r="T362" s="25" t="str">
        <x:v>자동 표 신호는 최종 A/B로 승격하지 않음</x:v>
      </x:c>
      <x:c r="U362" s="22" t="str">
        <x:v>2021-2025</x:v>
      </x:c>
    </x:row>
    <x:row r="363">
      <x:c r="A363" s="22" t="str">
        <x:v>2020-00086</x:v>
      </x:c>
      <x:c r="B363" s="22" t="str">
        <x:v>L2023-00036-1</x:v>
      </x:c>
      <x:c r="C363" s="22" t="str">
        <x:v>WORKS</x:v>
      </x:c>
      <x:c r="D363" s="25" t="str">
        <x:v>L2023-00036-1/붙임3_입찰관련서류_검토완_0717/Section 4.  Bill of Quantities(Not-Priced)/공내역서/TTC견적서/TTC(Teacher Traing Center)/6 BH(CCTV)/bv3040.xlsx</x:v>
      </x:c>
      <x:c r="E363" s="22" t="str">
        <x:v>.xlsx</x:v>
      </x:c>
      <x:c r="F363" s="28" t="n">
        <x:v>17421</x:v>
      </x:c>
      <x:c r="G363" s="28" t="str">
        <x:v>c087a01a7f5ee8bc03972781ebf3fd9e8b22b9403edf8c1afc5f58ba62cd9347</x:v>
      </x:c>
      <x:c r="H363" s="28" t="n">
        <x:v>1</x:v>
      </x:c>
      <x:c r="I363" s="28" t="n">
        <x:v>1</x:v>
      </x:c>
      <x:c r="J363" s="28" t="n">
        <x:v>1</x:v>
      </x:c>
      <x:c r="K363" s="28" t="n">
        <x:v>41</x:v>
      </x:c>
      <x:c r="L363" s="28" t="n">
        <x:v>0</x:v>
      </x:c>
      <x:c r="M363" s="28" t="n">
        <x:v>0</x:v>
      </x:c>
      <x:c r="N363" s="22" t="str">
        <x:v>_ЛРВ</x:v>
      </x:c>
      <x:c r="O363" s="22" t="str">
        <x:v>visible</x:v>
      </x:c>
      <x:c r="P363" s="22" t="n">
        <x:v>10</x:v>
      </x:c>
      <x:c r="Q363" s="40" t="n">
        <x:v>0</x:v>
      </x:c>
      <x:c r="R363" s="25" t="str"/>
      <x:c r="S363" s="25" t="str">
        <x:v>B?</x:v>
      </x:c>
      <x:c r="T363" s="25" t="str">
        <x:v>자동 표 신호는 최종 A/B로 승격하지 않음</x:v>
      </x:c>
      <x:c r="U363" s="22" t="str">
        <x:v>2021-2025</x:v>
      </x:c>
    </x:row>
    <x:row r="364">
      <x:c r="A364" s="22" t="str">
        <x:v>2020-00086</x:v>
      </x:c>
      <x:c r="B364" s="22" t="str">
        <x:v>L2023-00036-1</x:v>
      </x:c>
      <x:c r="C364" s="22" t="str">
        <x:v>WORKS</x:v>
      </x:c>
      <x:c r="D364" s="25" t="str">
        <x:v>L2023-00036-1/붙임3_입찰관련서류_검토완_0717/Section 4.  Bill of Quantities(Not-Priced)/공내역서/TTC견적서/TTC(Teacher Traing Center)/6 BH(CCTV)/ra3040.xlsx</x:v>
      </x:c>
      <x:c r="E364" s="22" t="str">
        <x:v>.xlsx</x:v>
      </x:c>
      <x:c r="F364" s="28" t="n">
        <x:v>15692</x:v>
      </x:c>
      <x:c r="G364" s="28" t="str">
        <x:v>f5e37918a701d900c3b2bbe9e1043f237d948b3b8b8e292ed0b3f2ded32bfeef</x:v>
      </x:c>
      <x:c r="H364" s="28" t="n">
        <x:v>1</x:v>
      </x:c>
      <x:c r="I364" s="28" t="n">
        <x:v>1</x:v>
      </x:c>
      <x:c r="J364" s="28" t="n">
        <x:v>1</x:v>
      </x:c>
      <x:c r="K364" s="28" t="n">
        <x:v>21</x:v>
      </x:c>
      <x:c r="L364" s="28" t="n">
        <x:v>0</x:v>
      </x:c>
      <x:c r="M364" s="28" t="n">
        <x:v>0</x:v>
      </x:c>
      <x:c r="N364" s="22" t="str">
        <x:v>ra_abc4</x:v>
      </x:c>
      <x:c r="O364" s="22" t="str">
        <x:v>visible</x:v>
      </x:c>
      <x:c r="P364" s="22" t="n">
        <x:v>11</x:v>
      </x:c>
      <x:c r="Q364" s="40" t="n">
        <x:v>0</x:v>
      </x:c>
      <x:c r="R364" s="25" t="str"/>
      <x:c r="S364" s="25" t="str">
        <x:v>B?</x:v>
      </x:c>
      <x:c r="T364" s="25" t="str">
        <x:v>자동 표 신호는 최종 A/B로 승격하지 않음</x:v>
      </x:c>
      <x:c r="U364" s="22" t="str">
        <x:v>2021-2025</x:v>
      </x:c>
    </x:row>
    <x:row r="365">
      <x:c r="A365" s="22" t="str">
        <x:v>2020-00086</x:v>
      </x:c>
      <x:c r="B365" s="22" t="str">
        <x:v>L2023-00036-1</x:v>
      </x:c>
      <x:c r="C365" s="22" t="str">
        <x:v>WORKS</x:v>
      </x:c>
      <x:c r="D365" s="25" t="str">
        <x:v>L2023-00036-1/붙임3_입찰관련서류_검토완_0717/Section 4.  Bill of Quantities(Not-Priced)/공내역서/TTC견적서/TTC(Teacher Traing Center)/3 ГП(Site Plan &amp; Landscape+Outdoor Infra)/bv3060.xlsx</x:v>
      </x:c>
      <x:c r="E365" s="22" t="str">
        <x:v>.xlsx</x:v>
      </x:c>
      <x:c r="F365" s="28" t="n">
        <x:v>27660</x:v>
      </x:c>
      <x:c r="G365" s="28" t="str">
        <x:v>d38cd3ff2234cd84ccd1adff4d2959195030ae5e3712b8ec0eff324533322e0f</x:v>
      </x:c>
      <x:c r="H365" s="28" t="n">
        <x:v>1</x:v>
      </x:c>
      <x:c r="I365" s="28" t="n">
        <x:v>1</x:v>
      </x:c>
      <x:c r="J365" s="28" t="n">
        <x:v>1</x:v>
      </x:c>
      <x:c r="K365" s="28" t="n">
        <x:v>119</x:v>
      </x:c>
      <x:c r="L365" s="28" t="n">
        <x:v>0</x:v>
      </x:c>
      <x:c r="M365" s="28" t="n">
        <x:v>0</x:v>
      </x:c>
      <x:c r="N365" s="22" t="str">
        <x:v>_ЛРВ</x:v>
      </x:c>
      <x:c r="O365" s="22" t="str">
        <x:v>visible</x:v>
      </x:c>
      <x:c r="P365" s="22" t="n">
        <x:v>10</x:v>
      </x:c>
      <x:c r="Q365" s="40" t="n">
        <x:v>0</x:v>
      </x:c>
      <x:c r="R365" s="25" t="str"/>
      <x:c r="S365" s="25" t="str">
        <x:v>B?</x:v>
      </x:c>
      <x:c r="T365" s="25" t="str">
        <x:v>자동 표 신호는 최종 A/B로 승격하지 않음</x:v>
      </x:c>
      <x:c r="U365" s="22" t="str">
        <x:v>2021-2025</x:v>
      </x:c>
    </x:row>
    <x:row r="366">
      <x:c r="A366" s="22" t="str">
        <x:v>2020-00086</x:v>
      </x:c>
      <x:c r="B366" s="22" t="str">
        <x:v>L2023-00036-1</x:v>
      </x:c>
      <x:c r="C366" s="22" t="str">
        <x:v>WORKS</x:v>
      </x:c>
      <x:c r="D366" s="25" t="str">
        <x:v>L2023-00036-1/붙임3_입찰관련서류_검토완_0717/Section 4.  Bill of Quantities(Not-Priced)/공내역서/TTC견적서/TTC(Teacher Traing Center)/3 ГП(Site Plan &amp; Landscape+Outdoor Infra)/ra3060.xlsx</x:v>
      </x:c>
      <x:c r="E366" s="22" t="str">
        <x:v>.xlsx</x:v>
      </x:c>
      <x:c r="F366" s="28" t="n">
        <x:v>18388</x:v>
      </x:c>
      <x:c r="G366" s="28" t="str">
        <x:v>7d07a0c0b1035748d075950f03fed1b0792f6c426640217f52f3e44a82850c98</x:v>
      </x:c>
      <x:c r="H366" s="28" t="n">
        <x:v>1</x:v>
      </x:c>
      <x:c r="I366" s="28" t="n">
        <x:v>1</x:v>
      </x:c>
      <x:c r="J366" s="28" t="n">
        <x:v>1</x:v>
      </x:c>
      <x:c r="K366" s="28" t="n">
        <x:v>47</x:v>
      </x:c>
      <x:c r="L366" s="28" t="n">
        <x:v>0</x:v>
      </x:c>
      <x:c r="M366" s="28" t="n">
        <x:v>0</x:v>
      </x:c>
      <x:c r="N366" s="22" t="str">
        <x:v>ra_abc4</x:v>
      </x:c>
      <x:c r="O366" s="22" t="str">
        <x:v>visible</x:v>
      </x:c>
      <x:c r="P366" s="22" t="n">
        <x:v>11</x:v>
      </x:c>
      <x:c r="Q366" s="40" t="n">
        <x:v>0</x:v>
      </x:c>
      <x:c r="R366" s="25" t="str"/>
      <x:c r="S366" s="25" t="str">
        <x:v>B?</x:v>
      </x:c>
      <x:c r="T366" s="25" t="str">
        <x:v>자동 표 신호는 최종 A/B로 승격하지 않음</x:v>
      </x:c>
      <x:c r="U366" s="22" t="str">
        <x:v>2021-2025</x:v>
      </x:c>
    </x:row>
    <x:row r="367">
      <x:c r="A367" s="22" t="str">
        <x:v>2020-00086</x:v>
      </x:c>
      <x:c r="B367" s="22" t="str">
        <x:v>L2023-00036-1</x:v>
      </x:c>
      <x:c r="C367" s="22" t="str">
        <x:v>WORKS</x:v>
      </x:c>
      <x:c r="D367" s="25" t="str">
        <x:v>L2023-00036-1/붙임3_입찰관련서류_검토완_0717/Section 4.  Bill of Quantities(Not-Priced)/공내역서/TTC견적서/TTC(Teacher Traing Center)/11 ПС(Fire Alarm)/ra890.xlsx</x:v>
      </x:c>
      <x:c r="E367" s="22" t="str">
        <x:v>.xlsx</x:v>
      </x:c>
      <x:c r="F367" s="28" t="n">
        <x:v>16065</x:v>
      </x:c>
      <x:c r="G367" s="28" t="str">
        <x:v>d8b2c9b85f45400cc7d8c27f259fa0c5b3e76d1b545bb75354989dbb43135b4d</x:v>
      </x:c>
      <x:c r="H367" s="28" t="n">
        <x:v>1</x:v>
      </x:c>
      <x:c r="I367" s="28" t="n">
        <x:v>1</x:v>
      </x:c>
      <x:c r="J367" s="28" t="n">
        <x:v>1</x:v>
      </x:c>
      <x:c r="K367" s="28" t="n">
        <x:v>26</x:v>
      </x:c>
      <x:c r="L367" s="28" t="n">
        <x:v>0</x:v>
      </x:c>
      <x:c r="M367" s="28" t="n">
        <x:v>0</x:v>
      </x:c>
      <x:c r="N367" s="22" t="str">
        <x:v>ra_abc4</x:v>
      </x:c>
      <x:c r="O367" s="22" t="str">
        <x:v>visible</x:v>
      </x:c>
      <x:c r="P367" s="22" t="n">
        <x:v>8</x:v>
      </x:c>
      <x:c r="Q367" s="40" t="n">
        <x:v>0</x:v>
      </x:c>
      <x:c r="R367" s="25" t="str"/>
      <x:c r="S367" s="25" t="str">
        <x:v>B?</x:v>
      </x:c>
      <x:c r="T367" s="25" t="str">
        <x:v>자동 표 신호는 최종 A/B로 승격하지 않음</x:v>
      </x:c>
      <x:c r="U367" s="22" t="str">
        <x:v>2021-2025</x:v>
      </x:c>
    </x:row>
    <x:row r="368">
      <x:c r="A368" s="22" t="str">
        <x:v>2020-00086</x:v>
      </x:c>
      <x:c r="B368" s="22" t="str">
        <x:v>L2023-00036-1</x:v>
      </x:c>
      <x:c r="C368" s="22" t="str">
        <x:v>WORKS</x:v>
      </x:c>
      <x:c r="D368" s="25" t="str">
        <x:v>L2023-00036-1/붙임3_입찰관련서류_검토완_0717/Section 4.  Bill of Quantities(Not-Priced)/공내역서/TTC견적서/TTC(Teacher Traing Center)/11 ПС(Fire Alarm)/bv890.xlsx</x:v>
      </x:c>
      <x:c r="E368" s="22" t="str">
        <x:v>.xlsx</x:v>
      </x:c>
      <x:c r="F368" s="28" t="n">
        <x:v>16239</x:v>
      </x:c>
      <x:c r="G368" s="28" t="str">
        <x:v>8129ceac07201b1e597cc0f6a8cb95da3e9b128c6c78d846cc24a60a01eda92a</x:v>
      </x:c>
      <x:c r="H368" s="28" t="n">
        <x:v>1</x:v>
      </x:c>
      <x:c r="I368" s="28" t="n">
        <x:v>1</x:v>
      </x:c>
      <x:c r="J368" s="28" t="n">
        <x:v>1</x:v>
      </x:c>
      <x:c r="K368" s="28" t="n">
        <x:v>50</x:v>
      </x:c>
      <x:c r="L368" s="28" t="n">
        <x:v>0</x:v>
      </x:c>
      <x:c r="M368" s="28" t="n">
        <x:v>0</x:v>
      </x:c>
      <x:c r="N368" s="22" t="str">
        <x:v>_ЛРВ</x:v>
      </x:c>
      <x:c r="O368" s="22" t="str">
        <x:v>visible</x:v>
      </x:c>
      <x:c r="P368" s="22" t="n">
        <x:v>9</x:v>
      </x:c>
      <x:c r="Q368" s="40" t="n">
        <x:v>0</x:v>
      </x:c>
      <x:c r="R368" s="25" t="str"/>
      <x:c r="S368" s="25" t="str">
        <x:v>B?</x:v>
      </x:c>
      <x:c r="T368" s="25" t="str">
        <x:v>자동 표 신호는 최종 A/B로 승격하지 않음</x:v>
      </x:c>
      <x:c r="U368" s="22" t="str">
        <x:v>2021-2025</x:v>
      </x:c>
    </x:row>
    <x:row r="369">
      <x:c r="A369" s="22" t="str">
        <x:v>2020-00086</x:v>
      </x:c>
      <x:c r="B369" s="22" t="str">
        <x:v>L2023-00036-1</x:v>
      </x:c>
      <x:c r="C369" s="22" t="str">
        <x:v>WORKS</x:v>
      </x:c>
      <x:c r="D369" s="25" t="str">
        <x:v>L2023-00036-1/붙임3_입찰관련서류_검토완_0717/Section 4.  Bill of Quantities(Not-Priced)/공내역서/TTC견적서/TTC(Teacher Traing Center)/8 TX(Technology)/ra1980.xlsx</x:v>
      </x:c>
      <x:c r="E369" s="22" t="str">
        <x:v>.xlsx</x:v>
      </x:c>
      <x:c r="F369" s="28" t="n">
        <x:v>20617</x:v>
      </x:c>
      <x:c r="G369" s="28" t="str">
        <x:v>622bb79188a8c68bb6c3ee2ce4251459a88c3c64cd720cfe0775331285385fe3</x:v>
      </x:c>
      <x:c r="H369" s="28" t="n">
        <x:v>1</x:v>
      </x:c>
      <x:c r="I369" s="28" t="n">
        <x:v>1</x:v>
      </x:c>
      <x:c r="J369" s="28" t="n">
        <x:v>1</x:v>
      </x:c>
      <x:c r="K369" s="28" t="n">
        <x:v>73</x:v>
      </x:c>
      <x:c r="L369" s="28" t="n">
        <x:v>0</x:v>
      </x:c>
      <x:c r="M369" s="28" t="n">
        <x:v>0</x:v>
      </x:c>
      <x:c r="N369" s="22" t="str">
        <x:v>ra_abc4</x:v>
      </x:c>
      <x:c r="O369" s="22" t="str">
        <x:v>visible</x:v>
      </x:c>
      <x:c r="P369" s="22" t="n">
        <x:v>10</x:v>
      </x:c>
      <x:c r="Q369" s="40" t="n">
        <x:v>0</x:v>
      </x:c>
      <x:c r="R369" s="25" t="str"/>
      <x:c r="S369" s="25" t="str">
        <x:v>B?</x:v>
      </x:c>
      <x:c r="T369" s="25" t="str">
        <x:v>자동 표 신호는 최종 A/B로 승격하지 않음</x:v>
      </x:c>
      <x:c r="U369" s="22" t="str">
        <x:v>2021-2025</x:v>
      </x:c>
    </x:row>
    <x:row r="370">
      <x:c r="A370" s="22" t="str">
        <x:v>2020-00086</x:v>
      </x:c>
      <x:c r="B370" s="22" t="str">
        <x:v>L2023-00036-1</x:v>
      </x:c>
      <x:c r="C370" s="22" t="str">
        <x:v>WORKS</x:v>
      </x:c>
      <x:c r="D370" s="25" t="str">
        <x:v>L2023-00036-1/붙임3_입찰관련서류_검토완_0717/Section 4.  Bill of Quantities(Not-Priced)/공내역서/TTC견적서/TTC(Teacher Traing Center)/8 TX(Technology)/bv1980.xlsx</x:v>
      </x:c>
      <x:c r="E370" s="22" t="str">
        <x:v>.xlsx</x:v>
      </x:c>
      <x:c r="F370" s="28" t="n">
        <x:v>26757</x:v>
      </x:c>
      <x:c r="G370" s="28" t="str">
        <x:v>658f831982ac98d8cfbab1681ad4e3120d4258ebd2fe84176ecd04c364fd7c9f</x:v>
      </x:c>
      <x:c r="H370" s="28" t="n">
        <x:v>1</x:v>
      </x:c>
      <x:c r="I370" s="28" t="n">
        <x:v>1</x:v>
      </x:c>
      <x:c r="J370" s="28" t="n">
        <x:v>1</x:v>
      </x:c>
      <x:c r="K370" s="28" t="n">
        <x:v>122</x:v>
      </x:c>
      <x:c r="L370" s="28" t="n">
        <x:v>0</x:v>
      </x:c>
      <x:c r="M370" s="28" t="n">
        <x:v>0</x:v>
      </x:c>
      <x:c r="N370" s="22" t="str">
        <x:v>_ЛРВ</x:v>
      </x:c>
      <x:c r="O370" s="22" t="str">
        <x:v>visible</x:v>
      </x:c>
      <x:c r="P370" s="22" t="n">
        <x:v>10</x:v>
      </x:c>
      <x:c r="Q370" s="40" t="n">
        <x:v>0</x:v>
      </x:c>
      <x:c r="R370" s="25" t="str"/>
      <x:c r="S370" s="25" t="str">
        <x:v>B?</x:v>
      </x:c>
      <x:c r="T370" s="25" t="str">
        <x:v>자동 표 신호는 최종 A/B로 승격하지 않음</x:v>
      </x:c>
      <x:c r="U370" s="22" t="str">
        <x:v>2021-2025</x:v>
      </x:c>
    </x:row>
    <x:row r="371">
      <x:c r="A371" s="22" t="str">
        <x:v>2020-00086</x:v>
      </x:c>
      <x:c r="B371" s="22" t="str">
        <x:v>L2023-00036-1</x:v>
      </x:c>
      <x:c r="C371" s="22" t="str">
        <x:v>WORKS</x:v>
      </x:c>
      <x:c r="D371" s="25" t="str">
        <x:v>L2023-00036-1/붙임3_입찰관련서류_검토완_0717/Section 4.  Bill of Quantities(Not-Priced)/공내역서/TTC견적서/TTC(Teacher Traing Center)/1 КЖ(Structure)/bv1960bvvv.xlsx</x:v>
      </x:c>
      <x:c r="E371" s="22" t="str">
        <x:v>.xlsx</x:v>
      </x:c>
      <x:c r="F371" s="28" t="n">
        <x:v>182869</x:v>
      </x:c>
      <x:c r="G371" s="28" t="str">
        <x:v>e5c99030dcc522bfbec53f93e2065da4eb585f95ef5433d19a6f5060946eda14</x:v>
      </x:c>
      <x:c r="H371" s="28" t="n">
        <x:v>1</x:v>
      </x:c>
      <x:c r="I371" s="28" t="n">
        <x:v>1</x:v>
      </x:c>
      <x:c r="J371" s="28" t="n">
        <x:v>1</x:v>
      </x:c>
      <x:c r="K371" s="28" t="n">
        <x:v>1896</x:v>
      </x:c>
      <x:c r="L371" s="28" t="n">
        <x:v>0</x:v>
      </x:c>
      <x:c r="M371" s="28" t="n">
        <x:v>0</x:v>
      </x:c>
      <x:c r="N371" s="22" t="str">
        <x:v>_ЛРВ</x:v>
      </x:c>
      <x:c r="O371" s="22" t="str">
        <x:v>visible</x:v>
      </x:c>
      <x:c r="P371" s="22" t="n">
        <x:v>9</x:v>
      </x:c>
      <x:c r="Q371" s="40" t="n">
        <x:v>0</x:v>
      </x:c>
      <x:c r="R371" s="25" t="str"/>
      <x:c r="S371" s="25" t="str">
        <x:v>B?</x:v>
      </x:c>
      <x:c r="T371" s="25" t="str">
        <x:v>자동 표 신호는 최종 A/B로 승격하지 않음</x:v>
      </x:c>
      <x:c r="U371" s="22" t="str">
        <x:v>2021-2025</x:v>
      </x:c>
    </x:row>
    <x:row r="372">
      <x:c r="A372" s="22" t="str">
        <x:v>2020-00086</x:v>
      </x:c>
      <x:c r="B372" s="22" t="str">
        <x:v>L2023-00036-1</x:v>
      </x:c>
      <x:c r="C372" s="22" t="str">
        <x:v>WORKS</x:v>
      </x:c>
      <x:c r="D372" s="25" t="str">
        <x:v>L2023-00036-1/붙임3_입찰관련서류_검토완_0717/Section 4.  Bill of Quantities(Not-Priced)/공내역서/TTC견적서/TTC(Teacher Traing Center)/1 КЖ(Structure)/ra1960.xlsx</x:v>
      </x:c>
      <x:c r="E372" s="22" t="str">
        <x:v>.xlsx</x:v>
      </x:c>
      <x:c r="F372" s="28" t="n">
        <x:v>22697</x:v>
      </x:c>
      <x:c r="G372" s="28" t="str">
        <x:v>1df141d69100814db5f9704fbd37ab0da50fd60867b7be892d994f292bba0530</x:v>
      </x:c>
      <x:c r="H372" s="28" t="n">
        <x:v>1</x:v>
      </x:c>
      <x:c r="I372" s="28" t="n">
        <x:v>1</x:v>
      </x:c>
      <x:c r="J372" s="28" t="n">
        <x:v>1</x:v>
      </x:c>
      <x:c r="K372" s="28" t="n">
        <x:v>93</x:v>
      </x:c>
      <x:c r="L372" s="28" t="n">
        <x:v>0</x:v>
      </x:c>
      <x:c r="M372" s="28" t="n">
        <x:v>0</x:v>
      </x:c>
      <x:c r="N372" s="22" t="str">
        <x:v>ra_abc4</x:v>
      </x:c>
      <x:c r="O372" s="22" t="str">
        <x:v>visible</x:v>
      </x:c>
      <x:c r="P372" s="22" t="n">
        <x:v>10</x:v>
      </x:c>
      <x:c r="Q372" s="40" t="n">
        <x:v>0</x:v>
      </x:c>
      <x:c r="R372" s="25" t="str"/>
      <x:c r="S372" s="25" t="str">
        <x:v>B?</x:v>
      </x:c>
      <x:c r="T372" s="25" t="str">
        <x:v>자동 표 신호는 최종 A/B로 승격하지 않음</x:v>
      </x:c>
      <x:c r="U372" s="22" t="str">
        <x:v>2021-2025</x:v>
      </x:c>
    </x:row>
    <x:row r="373">
      <x:c r="A373" s="22" t="str">
        <x:v>2020-00086</x:v>
      </x:c>
      <x:c r="B373" s="22" t="str">
        <x:v>L2023-00036-1</x:v>
      </x:c>
      <x:c r="C373" s="22" t="str">
        <x:v>WORKS</x:v>
      </x:c>
      <x:c r="D373" s="25" t="str">
        <x:v>L2023-00036-1/붙임3_입찰관련서류_검토완_0717/Section 4.  Bill of Quantities(Not-Priced)/공내역서/TTC견적서/TTC(Teacher Traing Center)/4 Fence &amp; Gate/ra1970.xlsx</x:v>
      </x:c>
      <x:c r="E373" s="22" t="str">
        <x:v>.xlsx</x:v>
      </x:c>
      <x:c r="F373" s="28" t="n">
        <x:v>17488</x:v>
      </x:c>
      <x:c r="G373" s="28" t="str">
        <x:v>2ce08b34a8bc5b4c30202b96999f24f8b8143955bb33db40aa4a9b418396dc3e</x:v>
      </x:c>
      <x:c r="H373" s="28" t="n">
        <x:v>1</x:v>
      </x:c>
      <x:c r="I373" s="28" t="n">
        <x:v>1</x:v>
      </x:c>
      <x:c r="J373" s="28" t="n">
        <x:v>1</x:v>
      </x:c>
      <x:c r="K373" s="28" t="n">
        <x:v>47</x:v>
      </x:c>
      <x:c r="L373" s="28" t="n">
        <x:v>0</x:v>
      </x:c>
      <x:c r="M373" s="28" t="n">
        <x:v>0</x:v>
      </x:c>
      <x:c r="N373" s="22" t="str">
        <x:v>ra_abc4</x:v>
      </x:c>
      <x:c r="O373" s="22" t="str">
        <x:v>visible</x:v>
      </x:c>
      <x:c r="P373" s="22" t="n">
        <x:v>10</x:v>
      </x:c>
      <x:c r="Q373" s="40" t="n">
        <x:v>0</x:v>
      </x:c>
      <x:c r="R373" s="25" t="str"/>
      <x:c r="S373" s="25" t="str">
        <x:v>B?</x:v>
      </x:c>
      <x:c r="T373" s="25" t="str">
        <x:v>자동 표 신호는 최종 A/B로 승격하지 않음</x:v>
      </x:c>
      <x:c r="U373" s="22" t="str">
        <x:v>2021-2025</x:v>
      </x:c>
    </x:row>
    <x:row r="374">
      <x:c r="A374" s="22" t="str">
        <x:v>2020-00086</x:v>
      </x:c>
      <x:c r="B374" s="22" t="str">
        <x:v>L2023-00036-1</x:v>
      </x:c>
      <x:c r="C374" s="22" t="str">
        <x:v>WORKS</x:v>
      </x:c>
      <x:c r="D374" s="25" t="str">
        <x:v>L2023-00036-1/붙임3_입찰관련서류_검토완_0717/Section 4.  Bill of Quantities(Not-Priced)/공내역서/TTC견적서/TTC(Teacher Traing Center)/4 Fence &amp; Gate/bv1970.xlsx</x:v>
      </x:c>
      <x:c r="E374" s="22" t="str">
        <x:v>.xlsx</x:v>
      </x:c>
      <x:c r="F374" s="28" t="n">
        <x:v>31247</x:v>
      </x:c>
      <x:c r="G374" s="28" t="str">
        <x:v>72f147bedce1773ad4eb4cb1322cdb8560daad6b74664382be38ab6b252391e8</x:v>
      </x:c>
      <x:c r="H374" s="28" t="n">
        <x:v>1</x:v>
      </x:c>
      <x:c r="I374" s="28" t="n">
        <x:v>1</x:v>
      </x:c>
      <x:c r="J374" s="28" t="n">
        <x:v>1</x:v>
      </x:c>
      <x:c r="K374" s="28" t="n">
        <x:v>160</x:v>
      </x:c>
      <x:c r="L374" s="28" t="n">
        <x:v>0</x:v>
      </x:c>
      <x:c r="M374" s="28" t="n">
        <x:v>0</x:v>
      </x:c>
      <x:c r="N374" s="22" t="str">
        <x:v>_ЛРВ</x:v>
      </x:c>
      <x:c r="O374" s="22" t="str">
        <x:v>visible</x:v>
      </x:c>
      <x:c r="P374" s="22" t="n">
        <x:v>10</x:v>
      </x:c>
      <x:c r="Q374" s="40" t="n">
        <x:v>0</x:v>
      </x:c>
      <x:c r="R374" s="25" t="str"/>
      <x:c r="S374" s="25" t="str">
        <x:v>B?</x:v>
      </x:c>
      <x:c r="T374" s="25" t="str">
        <x:v>자동 표 신호는 최종 A/B로 승격하지 않음</x:v>
      </x:c>
      <x:c r="U374" s="22" t="str">
        <x:v>2021-2025</x:v>
      </x:c>
    </x:row>
    <x:row r="375">
      <x:c r="A375" s="22" t="str">
        <x:v>2020-00086</x:v>
      </x:c>
      <x:c r="B375" s="22" t="str">
        <x:v>L2023-00036-1</x:v>
      </x:c>
      <x:c r="C375" s="22" t="str">
        <x:v>WORKS</x:v>
      </x:c>
      <x:c r="D375" s="25" t="str">
        <x:v>L2023-00036-1/붙임3_입찰관련서류_검토완_0717/Section 4.  Bill of Quantities(Not-Priced)/공내역서/TTC견적서/TTC(Teacher Traing Center)/5 BK(Water &amp; Drain)/ra3070.xlsx</x:v>
      </x:c>
      <x:c r="E375" s="22" t="str">
        <x:v>.xlsx</x:v>
      </x:c>
      <x:c r="F375" s="28" t="n">
        <x:v>25278</x:v>
      </x:c>
      <x:c r="G375" s="28" t="str">
        <x:v>fd300044379245c1d80d88ba74fe1633f3b5207511979bfda5b2a1dcd3740796</x:v>
      </x:c>
      <x:c r="H375" s="28" t="n">
        <x:v>1</x:v>
      </x:c>
      <x:c r="I375" s="28" t="n">
        <x:v>1</x:v>
      </x:c>
      <x:c r="J375" s="28" t="n">
        <x:v>1</x:v>
      </x:c>
      <x:c r="K375" s="28" t="n">
        <x:v>129</x:v>
      </x:c>
      <x:c r="L375" s="28" t="n">
        <x:v>0</x:v>
      </x:c>
      <x:c r="M375" s="28" t="n">
        <x:v>0</x:v>
      </x:c>
      <x:c r="N375" s="22" t="str">
        <x:v>ra_abc4</x:v>
      </x:c>
      <x:c r="O375" s="22" t="str">
        <x:v>visible</x:v>
      </x:c>
      <x:c r="P375" s="22" t="n">
        <x:v>11</x:v>
      </x:c>
      <x:c r="Q375" s="40" t="n">
        <x:v>0</x:v>
      </x:c>
      <x:c r="R375" s="25" t="str"/>
      <x:c r="S375" s="25" t="str">
        <x:v>B?</x:v>
      </x:c>
      <x:c r="T375" s="25" t="str">
        <x:v>자동 표 신호는 최종 A/B로 승격하지 않음</x:v>
      </x:c>
      <x:c r="U375" s="22" t="str">
        <x:v>2021-2025</x:v>
      </x:c>
    </x:row>
    <x:row r="376">
      <x:c r="A376" s="22" t="str">
        <x:v>2020-00086</x:v>
      </x:c>
      <x:c r="B376" s="22" t="str">
        <x:v>L2023-00036-1</x:v>
      </x:c>
      <x:c r="C376" s="22" t="str">
        <x:v>WORKS</x:v>
      </x:c>
      <x:c r="D376" s="25" t="str">
        <x:v>L2023-00036-1/붙임3_입찰관련서류_검토완_0717/Section 4.  Bill of Quantities(Not-Priced)/공내역서/TTC견적서/TTC(Teacher Traing Center)/5 BK(Water &amp; Drain)/bv3070.xlsx</x:v>
      </x:c>
      <x:c r="E376" s="22" t="str">
        <x:v>.xlsx</x:v>
      </x:c>
      <x:c r="F376" s="28" t="n">
        <x:v>49531</x:v>
      </x:c>
      <x:c r="G376" s="28" t="str">
        <x:v>6acc573f07036eef8ca050dcd24be3037151b90e25f2d5c5ee04ffd429ce3bd4</x:v>
      </x:c>
      <x:c r="H376" s="28" t="n">
        <x:v>1</x:v>
      </x:c>
      <x:c r="I376" s="28" t="n">
        <x:v>1</x:v>
      </x:c>
      <x:c r="J376" s="28" t="n">
        <x:v>1</x:v>
      </x:c>
      <x:c r="K376" s="28" t="n">
        <x:v>351</x:v>
      </x:c>
      <x:c r="L376" s="28" t="n">
        <x:v>0</x:v>
      </x:c>
      <x:c r="M376" s="28" t="n">
        <x:v>0</x:v>
      </x:c>
      <x:c r="N376" s="22" t="str">
        <x:v>_ЛРВ</x:v>
      </x:c>
      <x:c r="O376" s="22" t="str">
        <x:v>visible</x:v>
      </x:c>
      <x:c r="P376" s="22" t="n">
        <x:v>10</x:v>
      </x:c>
      <x:c r="Q376" s="40" t="n">
        <x:v>0</x:v>
      </x:c>
      <x:c r="R376" s="25" t="str"/>
      <x:c r="S376" s="25" t="str">
        <x:v>B?</x:v>
      </x:c>
      <x:c r="T376" s="25" t="str">
        <x:v>자동 표 신호는 최종 A/B로 승격하지 않음</x:v>
      </x:c>
      <x:c r="U376" s="22" t="str">
        <x:v>2021-2025</x:v>
      </x:c>
    </x:row>
    <x:row r="377">
      <x:c r="A377" s="22" t="str">
        <x:v>2020-00086</x:v>
      </x:c>
      <x:c r="B377" s="22" t="str">
        <x:v>L2023-00036-1</x:v>
      </x:c>
      <x:c r="C377" s="22" t="str">
        <x:v>WORKS</x:v>
      </x:c>
      <x:c r="D377" s="25" t="str">
        <x:v>L2023-00036-1/붙임3_입찰관련서류_검토완_0717/Section 4.  Bill of Quantities(Not-Priced)/공내역서/TTC견적서/TTC(Teacher Traing Center)/13 ТП(Transformers)/13-2 ЭО(Electric)/bv13620.xls</x:v>
      </x:c>
      <x:c r="E377" s="22" t="str">
        <x:v>.xls</x:v>
      </x:c>
      <x:c r="F377" s="28" t="n">
        <x:v>41984</x:v>
      </x:c>
      <x:c r="G377" s="28" t="str">
        <x:v>7e8bd22f2ccb96108964380fcbdbcd8324c2a0724a07718109c2bb550faa2db3</x:v>
      </x:c>
      <x:c r="H377" s="28" t="n">
        <x:v>1</x:v>
      </x:c>
      <x:c r="I377" s="28" t="n">
        <x:v>1</x:v>
      </x:c>
      <x:c r="J377" s="28" t="n">
        <x:v>1</x:v>
      </x:c>
      <x:c r="K377" s="28" t="n">
        <x:v>20</x:v>
      </x:c>
      <x:c r="L377" s="28" t="n">
        <x:v>1</x:v>
      </x:c>
      <x:c r="M377" s="28" t="n">
        <x:v>0</x:v>
      </x:c>
      <x:c r="N377" s="22" t="str">
        <x:v>Лист1</x:v>
      </x:c>
      <x:c r="O377" s="22" t="str">
        <x:v>visible</x:v>
      </x:c>
      <x:c r="P377" s="22" t="n">
        <x:v>10</x:v>
      </x:c>
      <x:c r="Q377" s="40" t="n">
        <x:v>0.05</x:v>
      </x:c>
      <x:c r="R377" s="25" t="str"/>
      <x:c r="S377" s="25" t="str">
        <x:v>B?</x:v>
      </x:c>
      <x:c r="T377" s="25" t="str">
        <x:v>자동 표 신호는 최종 A/B로 승격하지 않음</x:v>
      </x:c>
      <x:c r="U377" s="22" t="str">
        <x:v>2021-2025</x:v>
      </x:c>
    </x:row>
    <x:row r="378">
      <x:c r="A378" s="22" t="str">
        <x:v>2020-00086</x:v>
      </x:c>
      <x:c r="B378" s="22" t="str">
        <x:v>L2023-00036-1</x:v>
      </x:c>
      <x:c r="C378" s="22" t="str">
        <x:v>WORKS</x:v>
      </x:c>
      <x:c r="D378" s="25" t="str">
        <x:v>L2023-00036-1/붙임3_입찰관련서류_검토완_0717/Section 4.  Bill of Quantities(Not-Priced)/공내역서/TTC견적서/TTC(Teacher Traing Center)/13 ТП(Transformers)/13-2 ЭО(Electric)/ra13620.xls</x:v>
      </x:c>
      <x:c r="E378" s="22" t="str">
        <x:v>.xls</x:v>
      </x:c>
      <x:c r="F378" s="28" t="n">
        <x:v>65024</x:v>
      </x:c>
      <x:c r="G378" s="28" t="str">
        <x:v>5a96dab71fd5d42b3c00fe59751a4460f6fc39aa8bf201852715f2b9b272d1d5</x:v>
      </x:c>
      <x:c r="H378" s="28" t="n">
        <x:v>1</x:v>
      </x:c>
      <x:c r="I378" s="28" t="n">
        <x:v>1</x:v>
      </x:c>
      <x:c r="J378" s="28" t="n">
        <x:v>0</x:v>
      </x:c>
      <x:c r="K378" s="28" t="n">
        <x:v>0</x:v>
      </x:c>
      <x:c r="L378" s="28" t="n">
        <x:v>0</x:v>
      </x:c>
      <x:c r="M378" s="28" t="n">
        <x:v>0</x:v>
      </x:c>
      <x:c r="N378" s="22" t="str"/>
      <x:c r="O378" s="22" t="str"/>
      <x:c r="P378" s="22" t="n">
        <x:v>0</x:v>
      </x:c>
      <x:c r="Q378" s="40" t="n">
        <x:v>0</x:v>
      </x:c>
      <x:c r="R378" s="25" t="str"/>
      <x:c r="S378" s="25" t="str">
        <x:v>BOQ_NAME_ONLY</x:v>
      </x:c>
      <x:c r="T378" s="25" t="str">
        <x:v>자동 표 신호는 최종 A/B로 승격하지 않음</x:v>
      </x:c>
      <x:c r="U378" s="22" t="str">
        <x:v>2021-2025</x:v>
      </x:c>
    </x:row>
    <x:row r="379">
      <x:c r="A379" s="22" t="str">
        <x:v>2020-00086</x:v>
      </x:c>
      <x:c r="B379" s="22" t="str">
        <x:v>L2023-00036-1</x:v>
      </x:c>
      <x:c r="C379" s="22" t="str">
        <x:v>WORKS</x:v>
      </x:c>
      <x:c r="D379" s="25" t="str">
        <x:v>L2023-00036-1/붙임3_입찰관련서류_검토완_0717/Section 4.  Bill of Quantities(Not-Priced)/공내역서/TTC견적서/TTC(Teacher Traing Center)/13 ТП(Transformers)/13-1 AC(Architecture+Structure)/ra13610.xls</x:v>
      </x:c>
      <x:c r="E379" s="22" t="str">
        <x:v>.xls</x:v>
      </x:c>
      <x:c r="F379" s="28" t="n">
        <x:v>80896</x:v>
      </x:c>
      <x:c r="G379" s="28" t="str">
        <x:v>2d4926fc91e958ec0627a1ae92e834125bb395be03f2a1749895e985115bbf2f</x:v>
      </x:c>
      <x:c r="H379" s="28" t="n">
        <x:v>1</x:v>
      </x:c>
      <x:c r="I379" s="28" t="n">
        <x:v>1</x:v>
      </x:c>
      <x:c r="J379" s="28" t="n">
        <x:v>0</x:v>
      </x:c>
      <x:c r="K379" s="28" t="n">
        <x:v>0</x:v>
      </x:c>
      <x:c r="L379" s="28" t="n">
        <x:v>0</x:v>
      </x:c>
      <x:c r="M379" s="28" t="n">
        <x:v>0</x:v>
      </x:c>
      <x:c r="N379" s="22" t="str"/>
      <x:c r="O379" s="22" t="str"/>
      <x:c r="P379" s="22" t="n">
        <x:v>0</x:v>
      </x:c>
      <x:c r="Q379" s="40" t="n">
        <x:v>0</x:v>
      </x:c>
      <x:c r="R379" s="25" t="str"/>
      <x:c r="S379" s="25" t="str">
        <x:v>BOQ_NAME_ONLY</x:v>
      </x:c>
      <x:c r="T379" s="25" t="str">
        <x:v>자동 표 신호는 최종 A/B로 승격하지 않음</x:v>
      </x:c>
      <x:c r="U379" s="22" t="str">
        <x:v>2021-2025</x:v>
      </x:c>
    </x:row>
    <x:row r="380">
      <x:c r="A380" s="22" t="str">
        <x:v>2020-00086</x:v>
      </x:c>
      <x:c r="B380" s="22" t="str">
        <x:v>L2023-00036-1</x:v>
      </x:c>
      <x:c r="C380" s="22" t="str">
        <x:v>WORKS</x:v>
      </x:c>
      <x:c r="D380" s="25" t="str">
        <x:v>L2023-00036-1/붙임3_입찰관련서류_검토완_0717/Section 4.  Bill of Quantities(Not-Priced)/공내역서/TTC견적서/TTC(Teacher Traing Center)/13 ТП(Transformers)/13-1 AC(Architecture+Structure)/bv13610.xls</x:v>
      </x:c>
      <x:c r="E380" s="22" t="str">
        <x:v>.xls</x:v>
      </x:c>
      <x:c r="F380" s="28" t="n">
        <x:v>48640</x:v>
      </x:c>
      <x:c r="G380" s="28" t="str">
        <x:v>6e059fc8e195c66ee541a50f09da94021c8a9f0d41e662173e8be5b9bd43b5a9</x:v>
      </x:c>
      <x:c r="H380" s="28" t="n">
        <x:v>1</x:v>
      </x:c>
      <x:c r="I380" s="28" t="n">
        <x:v>1</x:v>
      </x:c>
      <x:c r="J380" s="28" t="n">
        <x:v>1</x:v>
      </x:c>
      <x:c r="K380" s="28" t="n">
        <x:v>53</x:v>
      </x:c>
      <x:c r="L380" s="28" t="n">
        <x:v>1</x:v>
      </x:c>
      <x:c r="M380" s="28" t="n">
        <x:v>0</x:v>
      </x:c>
      <x:c r="N380" s="22" t="str">
        <x:v>Лист1</x:v>
      </x:c>
      <x:c r="O380" s="22" t="str">
        <x:v>visible</x:v>
      </x:c>
      <x:c r="P380" s="22" t="n">
        <x:v>10</x:v>
      </x:c>
      <x:c r="Q380" s="40" t="n">
        <x:v>0.018867924528301886</x:v>
      </x:c>
      <x:c r="R380" s="25" t="str"/>
      <x:c r="S380" s="25" t="str">
        <x:v>B?</x:v>
      </x:c>
      <x:c r="T380" s="25" t="str">
        <x:v>자동 표 신호는 최종 A/B로 승격하지 않음</x:v>
      </x:c>
      <x:c r="U380" s="22" t="str">
        <x:v>2021-2025</x:v>
      </x:c>
    </x:row>
    <x:row r="381">
      <x:c r="A381" s="22" t="str">
        <x:v>2020-00053</x:v>
      </x:c>
      <x:c r="B381" s="22" t="str">
        <x:v>L2022-00068-1</x:v>
      </x:c>
      <x:c r="C381" s="22" t="str">
        <x:v>WORKS</x:v>
      </x:c>
      <x:c r="D381" s="25" t="str">
        <x:v>L2022-00068-1/붙임 2. 입찰 관련 서류/02_Part2(░·╛≈┴÷╜├╝¡)/Section_8_BOQ_unpriced/Section_08_BOQ_unpriced.docx</x:v>
      </x:c>
      <x:c r="E381" s="22" t="str">
        <x:v>.docx</x:v>
      </x:c>
      <x:c r="F381" s="28" t="n">
        <x:v>22122</x:v>
      </x:c>
      <x:c r="G381" s="28" t="str">
        <x:v>5afc968d5d913464aee1298ddb9d2dff4b27466b7dc41ddff1c88c6b3d93bc7b</x:v>
      </x:c>
      <x:c r="H381" s="28" t="n">
        <x:v>1</x:v>
      </x:c>
      <x:c r="I381" s="28" t="n">
        <x:v>1</x:v>
      </x:c>
      <x:c r="J381" s="28" t="n">
        <x:v>0</x:v>
      </x:c>
      <x:c r="K381" s="28" t="n">
        <x:v>0</x:v>
      </x:c>
      <x:c r="L381" s="28" t="n">
        <x:v>0</x:v>
      </x:c>
      <x:c r="M381" s="28" t="n">
        <x:v>0</x:v>
      </x:c>
      <x:c r="N381" s="22" t="str"/>
      <x:c r="O381" s="22" t="str"/>
      <x:c r="P381" s="22" t="str"/>
      <x:c r="Q381" s="40" t="n">
        <x:v>0</x:v>
      </x:c>
      <x:c r="R381" s="25" t="str"/>
      <x:c r="S381" s="25" t="str">
        <x:v>BOQ_NAME_ONLY</x:v>
      </x:c>
      <x:c r="T381" s="25" t="str">
        <x:v>자동 표 신호는 최종 A/B로 승격하지 않음</x:v>
      </x:c>
      <x:c r="U381" s="22" t="str">
        <x:v>2021-2025</x:v>
      </x:c>
    </x:row>
    <x:row r="382">
      <x:c r="A382" s="22" t="str">
        <x:v>2020-00053</x:v>
      </x:c>
      <x:c r="B382" s="22" t="str">
        <x:v>L2022-00068-1</x:v>
      </x:c>
      <x:c r="C382" s="22" t="str">
        <x:v>WORKS</x:v>
      </x:c>
      <x:c r="D382" s="25" t="str">
        <x:v>L2022-00068-1/붙임 2. 입찰 관련 서류/02_Part2(░·╛≈┴÷╜├╝¡)/Section_8_BOQ_unpriced/ICT PROJECT ESTIMATION_empty.xlsx</x:v>
      </x:c>
      <x:c r="E382" s="22" t="str">
        <x:v>.xlsx</x:v>
      </x:c>
      <x:c r="F382" s="28" t="n">
        <x:v>302269</x:v>
      </x:c>
      <x:c r="G382" s="28" t="str">
        <x:v>7f217d93428791e3672733e5071aef7a85463f0b816f910282eba52219d3ff0e</x:v>
      </x:c>
      <x:c r="H382" s="28" t="n">
        <x:v>1</x:v>
      </x:c>
      <x:c r="I382" s="28" t="n">
        <x:v>1</x:v>
      </x:c>
      <x:c r="J382" s="28" t="n">
        <x:v>6</x:v>
      </x:c>
      <x:c r="K382" s="28" t="n">
        <x:v>72</x:v>
      </x:c>
      <x:c r="L382" s="28" t="n">
        <x:v>0</x:v>
      </x:c>
      <x:c r="M382" s="28" t="n">
        <x:v>0</x:v>
      </x:c>
      <x:c r="N382" s="22" t="str">
        <x:v>04_ELEC. SAFETY &amp; SE</x:v>
      </x:c>
      <x:c r="O382" s="22" t="str">
        <x:v>visible</x:v>
      </x:c>
      <x:c r="P382" s="22" t="n">
        <x:v>2</x:v>
      </x:c>
      <x:c r="Q382" s="40" t="n">
        <x:v>0</x:v>
      </x:c>
      <x:c r="R382" s="25" t="str"/>
      <x:c r="S382" s="25" t="str">
        <x:v>B?</x:v>
      </x:c>
      <x:c r="T382" s="25" t="str">
        <x:v>자동 표 신호는 최종 A/B로 승격하지 않음</x:v>
      </x:c>
      <x:c r="U382" s="22" t="str">
        <x:v>2021-2025</x:v>
      </x:c>
    </x:row>
    <x:row r="383">
      <x:c r="A383" s="22" t="str">
        <x:v>2020-00053</x:v>
      </x:c>
      <x:c r="B383" s="22" t="str">
        <x:v>L2022-00068-1</x:v>
      </x:c>
      <x:c r="C383" s="22" t="str">
        <x:v>WORKS</x:v>
      </x:c>
      <x:c r="D383" s="25" t="str">
        <x:v>L2022-00068-1/붙임 2. 입찰 관련 서류/03_Part3(░Φ╛α╝¡ ╣╫ ▒Γ┼╕ └┌╖ß)/Section_12_Other Form/Reference3_Design Review.xlsx</x:v>
      </x:c>
      <x:c r="E383" s="22" t="str">
        <x:v>.xlsx</x:v>
      </x:c>
      <x:c r="F383" s="28" t="n">
        <x:v>486902</x:v>
      </x:c>
      <x:c r="G383" s="28" t="str">
        <x:v>08c77bec6c1ff43fbe8ea7a4beb3c8518b1ebab658d776bd6a8da3a60ba62715</x:v>
      </x:c>
      <x:c r="H383" s="28" t="n">
        <x:v>0</x:v>
      </x:c>
      <x:c r="I383" s="28" t="n">
        <x:v>0</x:v>
      </x:c>
      <x:c r="J383" s="28" t="n">
        <x:v>0</x:v>
      </x:c>
      <x:c r="K383" s="28" t="n">
        <x:v>0</x:v>
      </x:c>
      <x:c r="L383" s="28" t="n">
        <x:v>0</x:v>
      </x:c>
      <x:c r="M383" s="28" t="n">
        <x:v>0</x:v>
      </x:c>
      <x:c r="N383" s="22" t="str"/>
      <x:c r="O383" s="22" t="str"/>
      <x:c r="P383" s="22" t="str"/>
      <x:c r="Q383" s="40" t="n">
        <x:v>0</x:v>
      </x:c>
      <x:c r="R383" s="25" t="str"/>
      <x:c r="S383" s="25" t="str">
        <x:v>NONE</x:v>
      </x:c>
      <x:c r="T383" s="25" t="str">
        <x:v>자동 표 신호는 최종 A/B로 승격하지 않음</x:v>
      </x:c>
      <x:c r="U383" s="22" t="str">
        <x:v>2021-2025</x:v>
      </x:c>
    </x:row>
    <x:row r="384">
      <x:c r="A384" s="22" t="str">
        <x:v>2020-00086</x:v>
      </x:c>
      <x:c r="B384" s="22" t="str">
        <x:v>L2023-00053-1</x:v>
      </x:c>
      <x:c r="C384" s="22" t="str">
        <x:v>WORKS</x:v>
      </x:c>
      <x:c r="D384" s="25" t="str">
        <x:v>L2023-00053-1/Urgench VTC Bid Attachment Documents/Urgench VTC Bid Attachment Documents/Section 4.  Bill of Quantities(Not-Priced).zip</x:v>
      </x:c>
      <x:c r="E384" s="22" t="str">
        <x:v>.zip</x:v>
      </x:c>
      <x:c r="F384" s="28" t="n">
        <x:v>13052503</x:v>
      </x:c>
      <x:c r="G384" s="28" t="str">
        <x:v>99a055acc422a26b58aeb64cff198b7e527518a20cc52f0be4eb5bc26fb3afca</x:v>
      </x:c>
      <x:c r="H384" s="28" t="n">
        <x:v>1</x:v>
      </x:c>
      <x:c r="I384" s="28" t="n">
        <x:v>1</x:v>
      </x:c>
      <x:c r="J384" s="28" t="n">
        <x:v>0</x:v>
      </x:c>
      <x:c r="K384" s="28" t="n">
        <x:v>0</x:v>
      </x:c>
      <x:c r="L384" s="28" t="n">
        <x:v>0</x:v>
      </x:c>
      <x:c r="M384" s="28" t="n">
        <x:v>0</x:v>
      </x:c>
      <x:c r="N384" s="22" t="str"/>
      <x:c r="O384" s="22" t="str"/>
      <x:c r="P384" s="22" t="str"/>
      <x:c r="Q384" s="40" t="n">
        <x:v>0</x:v>
      </x:c>
      <x:c r="R384" s="25" t="str"/>
      <x:c r="S384" s="25" t="str">
        <x:v>BOQ_NAME_ONLY</x:v>
      </x:c>
      <x:c r="T384" s="25" t="str">
        <x:v>자동 표 신호는 최종 A/B로 승격하지 않음</x:v>
      </x:c>
      <x:c r="U384" s="22" t="str">
        <x:v>2021-2025</x:v>
      </x:c>
    </x:row>
    <x:row r="385">
      <x:c r="A385" s="22" t="str">
        <x:v>2020-00086</x:v>
      </x:c>
      <x:c r="B385" s="22" t="str">
        <x:v>L2023-00053-1</x:v>
      </x:c>
      <x:c r="C385" s="22" t="str">
        <x:v>WORKS</x:v>
      </x:c>
      <x:c r="D385" s="25" t="str">
        <x:v>L2023-00053-1/Urgench VTC Bid Attachment Documents/Urgench VTC Bid Attachment Documents/Section 4.  Bill of Quantities(Not-Priced)/Estimate Detailed Conditions)(VTC+TTC)_Final_.docx</x:v>
      </x:c>
      <x:c r="E385" s="22" t="str">
        <x:v>.docx</x:v>
      </x:c>
      <x:c r="F385" s="28" t="n">
        <x:v>80256</x:v>
      </x:c>
      <x:c r="G385" s="28" t="str">
        <x:v>85e95a0b24220bc384b973a8b80ddf9f69be2a1263001b8c8ae3065ad7d3c962</x:v>
      </x:c>
      <x:c r="H385" s="28" t="n">
        <x:v>1</x:v>
      </x:c>
      <x:c r="I385" s="28" t="n">
        <x:v>1</x:v>
      </x:c>
      <x:c r="J385" s="28" t="n">
        <x:v>0</x:v>
      </x:c>
      <x:c r="K385" s="28" t="n">
        <x:v>0</x:v>
      </x:c>
      <x:c r="L385" s="28" t="n">
        <x:v>0</x:v>
      </x:c>
      <x:c r="M385" s="28" t="n">
        <x:v>0</x:v>
      </x:c>
      <x:c r="N385" s="22" t="str"/>
      <x:c r="O385" s="22" t="str"/>
      <x:c r="P385" s="22" t="str"/>
      <x:c r="Q385" s="40" t="n">
        <x:v>0</x:v>
      </x:c>
      <x:c r="R385" s="25" t="str"/>
      <x:c r="S385" s="25" t="str">
        <x:v>BOQ_NAME_ONLY</x:v>
      </x:c>
      <x:c r="T385" s="25" t="str">
        <x:v>자동 표 신호는 최종 A/B로 승격하지 않음</x:v>
      </x:c>
      <x:c r="U385" s="22" t="str">
        <x:v>2021-2025</x:v>
      </x:c>
    </x:row>
    <x:row r="386">
      <x:c r="A386" s="22" t="str">
        <x:v>2020-00086</x:v>
      </x:c>
      <x:c r="B386" s="22" t="str">
        <x:v>L2023-00053-1</x:v>
      </x:c>
      <x:c r="C386" s="22" t="str">
        <x:v>WORKS</x:v>
      </x:c>
      <x:c r="D386" s="25" t="str">
        <x:v>L2023-00053-1/Urgench VTC Bid Attachment Documents/Urgench VTC Bid Attachment Documents/Section 4.  Bill of Quantities(Not-Priced)/.Urgench_CM_Comments_Arch_VTC_and_TTC_ENG_20230707.zip</x:v>
      </x:c>
      <x:c r="E386" s="22" t="str">
        <x:v>.zip</x:v>
      </x:c>
      <x:c r="F386" s="28" t="n">
        <x:v>6277094</x:v>
      </x:c>
      <x:c r="G386" s="28" t="str">
        <x:v>bb0bb341fea9c97c5d1f6886bfc0e8d81bef7ec0a0005c4732279204d73f6f30</x:v>
      </x:c>
      <x:c r="H386" s="28" t="n">
        <x:v>1</x:v>
      </x:c>
      <x:c r="I386" s="28" t="n">
        <x:v>1</x:v>
      </x:c>
      <x:c r="J386" s="28" t="n">
        <x:v>0</x:v>
      </x:c>
      <x:c r="K386" s="28" t="n">
        <x:v>0</x:v>
      </x:c>
      <x:c r="L386" s="28" t="n">
        <x:v>0</x:v>
      </x:c>
      <x:c r="M386" s="28" t="n">
        <x:v>0</x:v>
      </x:c>
      <x:c r="N386" s="22" t="str"/>
      <x:c r="O386" s="22" t="str"/>
      <x:c r="P386" s="22" t="str"/>
      <x:c r="Q386" s="40" t="n">
        <x:v>0</x:v>
      </x:c>
      <x:c r="R386" s="25" t="str"/>
      <x:c r="S386" s="25" t="str">
        <x:v>BOQ_NAME_ONLY</x:v>
      </x:c>
      <x:c r="T386" s="25" t="str">
        <x:v>자동 표 신호는 최종 A/B로 승격하지 않음</x:v>
      </x:c>
      <x:c r="U386" s="22" t="str">
        <x:v>2021-2025</x:v>
      </x:c>
    </x:row>
    <x:row r="387">
      <x:c r="A387" s="22" t="str">
        <x:v>2020-00086</x:v>
      </x:c>
      <x:c r="B387" s="22" t="str">
        <x:v>L2023-00053-1</x:v>
      </x:c>
      <x:c r="C387" s="22" t="str">
        <x:v>WORKS</x:v>
      </x:c>
      <x:c r="D387" s="25" t="str">
        <x:v>L2023-00053-1/Urgench VTC Bid Attachment Documents/Urgench VTC Bid Attachment Documents/Section 4.  Bill of Quantities(Not-Priced)/Section 4. Bill of Quantity(Not-Priced) Summary.xls</x:v>
      </x:c>
      <x:c r="E387" s="22" t="str">
        <x:v>.xls</x:v>
      </x:c>
      <x:c r="F387" s="28" t="n">
        <x:v>76800</x:v>
      </x:c>
      <x:c r="G387" s="28" t="str">
        <x:v>037a7d1fe991db0c65622821b70b45e6af52d1e48416557c86b53041692045d7</x:v>
      </x:c>
      <x:c r="H387" s="28" t="n">
        <x:v>1</x:v>
      </x:c>
      <x:c r="I387" s="28" t="n">
        <x:v>1</x:v>
      </x:c>
      <x:c r="J387" s="28" t="n">
        <x:v>0</x:v>
      </x:c>
      <x:c r="K387" s="28" t="n">
        <x:v>0</x:v>
      </x:c>
      <x:c r="L387" s="28" t="n">
        <x:v>0</x:v>
      </x:c>
      <x:c r="M387" s="28" t="n">
        <x:v>0</x:v>
      </x:c>
      <x:c r="N387" s="22" t="str"/>
      <x:c r="O387" s="22" t="str"/>
      <x:c r="P387" s="22" t="n">
        <x:v>0</x:v>
      </x:c>
      <x:c r="Q387" s="40" t="n">
        <x:v>0</x:v>
      </x:c>
      <x:c r="R387" s="25" t="str"/>
      <x:c r="S387" s="25" t="str">
        <x:v>BOQ_NAME_ONLY</x:v>
      </x:c>
      <x:c r="T387" s="25" t="str">
        <x:v>자동 표 신호는 최종 A/B로 승격하지 않음</x:v>
      </x:c>
      <x:c r="U387" s="22" t="str">
        <x:v>2021-2025</x:v>
      </x:c>
    </x:row>
    <x:row r="388">
      <x:c r="A388" s="22" t="str">
        <x:v>2020-00086</x:v>
      </x:c>
      <x:c r="B388" s="22" t="str">
        <x:v>L2023-00053-1</x:v>
      </x:c>
      <x:c r="C388" s="22" t="str">
        <x:v>WORKS</x:v>
      </x:c>
      <x:c r="D388" s="25" t="str">
        <x:v>L2023-00053-1/Urgench VTC Bid Attachment Documents/Urgench VTC Bid Attachment Documents/Section 4.  Bill of Quantities(Not-Priced)/.Urgench_CM_Comments_Arch_VTC_and_TTC_ENG_20230707/1.3.3. Urgench CM_Comments_Mech_VTC_and_TTC_Main_ENG_20230707.xlsx.docx</x:v>
      </x:c>
      <x:c r="E388" s="22" t="str">
        <x:v>.docx</x:v>
      </x:c>
      <x:c r="F388" s="28" t="n">
        <x:v>16615</x:v>
      </x:c>
      <x:c r="G388" s="28" t="str">
        <x:v>29ae17bcfb236300ba73df96caa054ed9ce989b8ba57084acd00b934eb9595a3</x:v>
      </x:c>
      <x:c r="H388" s="28" t="n">
        <x:v>1</x:v>
      </x:c>
      <x:c r="I388" s="28" t="n">
        <x:v>1</x:v>
      </x:c>
      <x:c r="J388" s="28" t="n">
        <x:v>0</x:v>
      </x:c>
      <x:c r="K388" s="28" t="n">
        <x:v>0</x:v>
      </x:c>
      <x:c r="L388" s="28" t="n">
        <x:v>0</x:v>
      </x:c>
      <x:c r="M388" s="28" t="n">
        <x:v>0</x:v>
      </x:c>
      <x:c r="N388" s="22" t="str"/>
      <x:c r="O388" s="22" t="str"/>
      <x:c r="P388" s="22" t="str"/>
      <x:c r="Q388" s="40" t="n">
        <x:v>0</x:v>
      </x:c>
      <x:c r="R388" s="25" t="str"/>
      <x:c r="S388" s="25" t="str">
        <x:v>BOQ_NAME_ONLY</x:v>
      </x:c>
      <x:c r="T388" s="25" t="str">
        <x:v>자동 표 신호는 최종 A/B로 승격하지 않음</x:v>
      </x:c>
      <x:c r="U388" s="22" t="str">
        <x:v>2021-2025</x:v>
      </x:c>
    </x:row>
    <x:row r="389">
      <x:c r="A389" s="22" t="str">
        <x:v>2020-00086</x:v>
      </x:c>
      <x:c r="B389" s="22" t="str">
        <x:v>L2023-00053-1</x:v>
      </x:c>
      <x:c r="C389" s="22" t="str">
        <x:v>WORKS</x:v>
      </x:c>
      <x:c r="D389" s="25" t="str">
        <x:v>L2023-00053-1/Urgench VTC Bid Attachment Documents/Urgench VTC Bid Attachment Documents/Section 4.  Bill of Quantities(Not-Priced)/.Urgench_CM_Comments_Arch_VTC_and_TTC_ENG_20230707/1.4. Urgench CM_Comments_PMC_VTC_and_TTC_ENG_20230707.xlsx</x:v>
      </x:c>
      <x:c r="E389" s="22" t="str">
        <x:v>.xlsx</x:v>
      </x:c>
      <x:c r="F389" s="28" t="n">
        <x:v>18240</x:v>
      </x:c>
      <x:c r="G389" s="28" t="str">
        <x:v>6267ba3be03e15ebb107a67e18bd725ae8b33e8b48c5827fa075966fde925d4a</x:v>
      </x:c>
      <x:c r="H389" s="28" t="n">
        <x:v>1</x:v>
      </x:c>
      <x:c r="I389" s="28" t="n">
        <x:v>1</x:v>
      </x:c>
      <x:c r="J389" s="28" t="n">
        <x:v>0</x:v>
      </x:c>
      <x:c r="K389" s="28" t="n">
        <x:v>0</x:v>
      </x:c>
      <x:c r="L389" s="28" t="n">
        <x:v>0</x:v>
      </x:c>
      <x:c r="M389" s="28" t="n">
        <x:v>0</x:v>
      </x:c>
      <x:c r="N389" s="22" t="str"/>
      <x:c r="O389" s="22" t="str"/>
      <x:c r="P389" s="22" t="n">
        <x:v>0</x:v>
      </x:c>
      <x:c r="Q389" s="40" t="n">
        <x:v>0</x:v>
      </x:c>
      <x:c r="R389" s="25" t="str"/>
      <x:c r="S389" s="25" t="str">
        <x:v>BOQ_NAME_ONLY</x:v>
      </x:c>
      <x:c r="T389" s="25" t="str">
        <x:v>자동 표 신호는 최종 A/B로 승격하지 않음</x:v>
      </x:c>
      <x:c r="U389" s="22" t="str">
        <x:v>2021-2025</x:v>
      </x:c>
    </x:row>
    <x:row r="390">
      <x:c r="A390" s="22" t="str">
        <x:v>2020-00086</x:v>
      </x:c>
      <x:c r="B390" s="22" t="str">
        <x:v>L2023-00053-1</x:v>
      </x:c>
      <x:c r="C390" s="22" t="str">
        <x:v>WORKS</x:v>
      </x:c>
      <x:c r="D390" s="25" t="str">
        <x:v>L2023-00053-1/Urgench VTC Bid Attachment Documents/Urgench VTC Bid Attachment Documents/Section 4.  Bill of Quantities(Not-Priced)/.Urgench_CM_Comments_Arch_VTC_and_TTC_ENG_20230707/1.3.1. Urgench CM Comments(Mech) VTC_20230704_R3.xlsx</x:v>
      </x:c>
      <x:c r="E390" s="22" t="str">
        <x:v>.xlsx</x:v>
      </x:c>
      <x:c r="F390" s="28" t="n">
        <x:v>6188237</x:v>
      </x:c>
      <x:c r="G390" s="28" t="str">
        <x:v>3748d4f009cd54f2282e881d0536c882181a3e457e4d641bd2f93b9ae5b7fc3b</x:v>
      </x:c>
      <x:c r="H390" s="28" t="n">
        <x:v>1</x:v>
      </x:c>
      <x:c r="I390" s="28" t="n">
        <x:v>1</x:v>
      </x:c>
      <x:c r="J390" s="28" t="n">
        <x:v>0</x:v>
      </x:c>
      <x:c r="K390" s="28" t="n">
        <x:v>0</x:v>
      </x:c>
      <x:c r="L390" s="28" t="n">
        <x:v>0</x:v>
      </x:c>
      <x:c r="M390" s="28" t="n">
        <x:v>0</x:v>
      </x:c>
      <x:c r="N390" s="22" t="str"/>
      <x:c r="O390" s="22" t="str"/>
      <x:c r="P390" s="22" t="n">
        <x:v>0</x:v>
      </x:c>
      <x:c r="Q390" s="40" t="n">
        <x:v>0</x:v>
      </x:c>
      <x:c r="R390" s="25" t="str"/>
      <x:c r="S390" s="25" t="str">
        <x:v>BOQ_NAME_ONLY</x:v>
      </x:c>
      <x:c r="T390" s="25" t="str">
        <x:v>자동 표 신호는 최종 A/B로 승격하지 않음</x:v>
      </x:c>
      <x:c r="U390" s="22" t="str">
        <x:v>2021-2025</x:v>
      </x:c>
    </x:row>
    <x:row r="391">
      <x:c r="A391" s="22" t="str">
        <x:v>2020-00086</x:v>
      </x:c>
      <x:c r="B391" s="22" t="str">
        <x:v>L2023-00053-1</x:v>
      </x:c>
      <x:c r="C391" s="22" t="str">
        <x:v>WORKS</x:v>
      </x:c>
      <x:c r="D391" s="25" t="str">
        <x:v>L2023-00053-1/Urgench VTC Bid Attachment Documents/Urgench VTC Bid Attachment Documents/Section 4.  Bill of Quantities(Not-Priced)/.Urgench_CM_Comments_Arch_VTC_and_TTC_ENG_20230707/1.1.Urgench_CM_Comments_Arch_VTC_and_TTC_ENG_20230505.xlsx</x:v>
      </x:c>
      <x:c r="E391" s="22" t="str">
        <x:v>.xlsx</x:v>
      </x:c>
      <x:c r="F391" s="28" t="n">
        <x:v>26633</x:v>
      </x:c>
      <x:c r="G391" s="28" t="str">
        <x:v>08702e1b68ae13cb4ea31105eb2d1413073365045e5def30a2c799ad087aa8e7</x:v>
      </x:c>
      <x:c r="H391" s="28" t="n">
        <x:v>1</x:v>
      </x:c>
      <x:c r="I391" s="28" t="n">
        <x:v>1</x:v>
      </x:c>
      <x:c r="J391" s="28" t="n">
        <x:v>0</x:v>
      </x:c>
      <x:c r="K391" s="28" t="n">
        <x:v>0</x:v>
      </x:c>
      <x:c r="L391" s="28" t="n">
        <x:v>0</x:v>
      </x:c>
      <x:c r="M391" s="28" t="n">
        <x:v>0</x:v>
      </x:c>
      <x:c r="N391" s="22" t="str"/>
      <x:c r="O391" s="22" t="str"/>
      <x:c r="P391" s="22" t="n">
        <x:v>0</x:v>
      </x:c>
      <x:c r="Q391" s="40" t="n">
        <x:v>0</x:v>
      </x:c>
      <x:c r="R391" s="25" t="str"/>
      <x:c r="S391" s="25" t="str">
        <x:v>BOQ_NAME_ONLY</x:v>
      </x:c>
      <x:c r="T391" s="25" t="str">
        <x:v>자동 표 신호는 최종 A/B로 승격하지 않음</x:v>
      </x:c>
      <x:c r="U391" s="22" t="str">
        <x:v>2021-2025</x:v>
      </x:c>
    </x:row>
    <x:row r="392">
      <x:c r="A392" s="22" t="str">
        <x:v>2020-00086</x:v>
      </x:c>
      <x:c r="B392" s="22" t="str">
        <x:v>L2023-00053-1</x:v>
      </x:c>
      <x:c r="C392" s="22" t="str">
        <x:v>WORKS</x:v>
      </x:c>
      <x:c r="D392" s="25" t="str">
        <x:v>L2023-00053-1/Urgench VTC Bid Attachment Documents/Urgench VTC Bid Attachment Documents/Section 4.  Bill of Quantities(Not-Priced)/.Urgench_CM_Comments_Arch_VTC_and_TTC_ENG_20230707/1.3.2. Urgench CM Comments(Mech)_Tashkent_TTC_Drawings_20230704.xlsx</x:v>
      </x:c>
      <x:c r="E392" s="22" t="str">
        <x:v>.xlsx</x:v>
      </x:c>
      <x:c r="F392" s="28" t="n">
        <x:v>788369</x:v>
      </x:c>
      <x:c r="G392" s="28" t="str">
        <x:v>d6dcc478819c73e452f13add3e10ce964f21104cb779fc3b9992106eb0026c87</x:v>
      </x:c>
      <x:c r="H392" s="28" t="n">
        <x:v>1</x:v>
      </x:c>
      <x:c r="I392" s="28" t="n">
        <x:v>1</x:v>
      </x:c>
      <x:c r="J392" s="28" t="n">
        <x:v>0</x:v>
      </x:c>
      <x:c r="K392" s="28" t="n">
        <x:v>0</x:v>
      </x:c>
      <x:c r="L392" s="28" t="n">
        <x:v>0</x:v>
      </x:c>
      <x:c r="M392" s="28" t="n">
        <x:v>0</x:v>
      </x:c>
      <x:c r="N392" s="22" t="str"/>
      <x:c r="O392" s="22" t="str"/>
      <x:c r="P392" s="22" t="n">
        <x:v>0</x:v>
      </x:c>
      <x:c r="Q392" s="40" t="n">
        <x:v>0</x:v>
      </x:c>
      <x:c r="R392" s="25" t="str"/>
      <x:c r="S392" s="25" t="str">
        <x:v>BOQ_NAME_ONLY</x:v>
      </x:c>
      <x:c r="T392" s="25" t="str">
        <x:v>자동 표 신호는 최종 A/B로 승격하지 않음</x:v>
      </x:c>
      <x:c r="U392" s="22" t="str">
        <x:v>2021-2025</x:v>
      </x:c>
    </x:row>
    <x:row r="393">
      <x:c r="A393" s="22" t="str">
        <x:v>2020-00086</x:v>
      </x:c>
      <x:c r="B393" s="22" t="str">
        <x:v>L2023-00053-1</x:v>
      </x:c>
      <x:c r="C393" s="22" t="str">
        <x:v>WORKS</x:v>
      </x:c>
      <x:c r="D393" s="25" t="str">
        <x:v>L2023-00053-1/Urgench VTC Bid Attachment Documents/Urgench VTC Bid Attachment Documents/Section 4.  Bill of Quantities(Not-Priced)/.Urgench_CM_Comments_Arch_VTC_and_TTC_ENG_20230707/1.2. Urgench CM Comments(Elec)_VTC+TTC-(ENG)__20230707.xlsx</x:v>
      </x:c>
      <x:c r="E393" s="22" t="str">
        <x:v>.xlsx</x:v>
      </x:c>
      <x:c r="F393" s="28" t="n">
        <x:v>18391</x:v>
      </x:c>
      <x:c r="G393" s="28" t="str">
        <x:v>97cbb7c5606fd8e13d33953e0c4258dc32df19871ad462ac80d3d9ab0de4ebe3</x:v>
      </x:c>
      <x:c r="H393" s="28" t="n">
        <x:v>1</x:v>
      </x:c>
      <x:c r="I393" s="28" t="n">
        <x:v>1</x:v>
      </x:c>
      <x:c r="J393" s="28" t="n">
        <x:v>0</x:v>
      </x:c>
      <x:c r="K393" s="28" t="n">
        <x:v>0</x:v>
      </x:c>
      <x:c r="L393" s="28" t="n">
        <x:v>0</x:v>
      </x:c>
      <x:c r="M393" s="28" t="n">
        <x:v>0</x:v>
      </x:c>
      <x:c r="N393" s="22" t="str"/>
      <x:c r="O393" s="22" t="str"/>
      <x:c r="P393" s="22" t="n">
        <x:v>0</x:v>
      </x:c>
      <x:c r="Q393" s="40" t="n">
        <x:v>0</x:v>
      </x:c>
      <x:c r="R393" s="25" t="str"/>
      <x:c r="S393" s="25" t="str">
        <x:v>BOQ_NAME_ONLY</x:v>
      </x:c>
      <x:c r="T393" s="25" t="str">
        <x:v>자동 표 신호는 최종 A/B로 승격하지 않음</x:v>
      </x:c>
      <x:c r="U393" s="22" t="str">
        <x:v>2021-2025</x:v>
      </x:c>
    </x:row>
    <x:row r="394">
      <x:c r="A394" s="22" t="str">
        <x:v>2020-00086</x:v>
      </x:c>
      <x:c r="B394" s="22" t="str">
        <x:v>L2023-00053-1</x:v>
      </x:c>
      <x:c r="C394" s="22" t="str">
        <x:v>WORKS</x:v>
      </x:c>
      <x:c r="D394" s="25" t="str">
        <x:v>L2023-00053-1/Urgench VTC Bid Attachment Documents/Urgench VTC Bid Attachment Documents/Section 4.  Bill of Quantities(Not-Priced)/공내역서/Total Table(VTC+TTC o).xls</x:v>
      </x:c>
      <x:c r="E394" s="22" t="str">
        <x:v>.xls</x:v>
      </x:c>
      <x:c r="F394" s="28" t="n">
        <x:v>46592</x:v>
      </x:c>
      <x:c r="G394" s="28" t="str">
        <x:v>2b31964c93f2361fea7c845e3bb14da51759b044460b06d74d5174fc81a876a8</x:v>
      </x:c>
      <x:c r="H394" s="28" t="n">
        <x:v>1</x:v>
      </x:c>
      <x:c r="I394" s="28" t="n">
        <x:v>1</x:v>
      </x:c>
      <x:c r="J394" s="28" t="n">
        <x:v>0</x:v>
      </x:c>
      <x:c r="K394" s="28" t="n">
        <x:v>0</x:v>
      </x:c>
      <x:c r="L394" s="28" t="n">
        <x:v>0</x:v>
      </x:c>
      <x:c r="M394" s="28" t="n">
        <x:v>0</x:v>
      </x:c>
      <x:c r="N394" s="22" t="str"/>
      <x:c r="O394" s="22" t="str"/>
      <x:c r="P394" s="22" t="n">
        <x:v>0</x:v>
      </x:c>
      <x:c r="Q394" s="40" t="n">
        <x:v>0</x:v>
      </x:c>
      <x:c r="R394" s="25" t="str"/>
      <x:c r="S394" s="25" t="str">
        <x:v>BOQ_NAME_ONLY</x:v>
      </x:c>
      <x:c r="T394" s="25" t="str">
        <x:v>자동 표 신호는 최종 A/B로 승격하지 않음</x:v>
      </x:c>
      <x:c r="U394" s="22" t="str">
        <x:v>2021-2025</x:v>
      </x:c>
    </x:row>
    <x:row r="395">
      <x:c r="A395" s="22" t="str">
        <x:v>2020-00086</x:v>
      </x:c>
      <x:c r="B395" s="22" t="str">
        <x:v>L2023-00053-1</x:v>
      </x:c>
      <x:c r="C395" s="22" t="str">
        <x:v>WORKS</x:v>
      </x:c>
      <x:c r="D395" s="25" t="str">
        <x:v>L2023-00053-1/Urgench VTC Bid Attachment Documents/Urgench VTC Bid Attachment Documents/Section 4.  Bill of Quantities(Not-Priced)/공내역서/TTC견적서/Estimate Manual(VTC+TTC).docx</x:v>
      </x:c>
      <x:c r="E395" s="22" t="str">
        <x:v>.docx</x:v>
      </x:c>
      <x:c r="F395" s="28" t="n">
        <x:v>61925</x:v>
      </x:c>
      <x:c r="G395" s="28" t="str">
        <x:v>45d6dcb2d563481212a18017b78a268e453685bae9d504e1f74e23b5679e21b1</x:v>
      </x:c>
      <x:c r="H395" s="28" t="n">
        <x:v>1</x:v>
      </x:c>
      <x:c r="I395" s="28" t="n">
        <x:v>1</x:v>
      </x:c>
      <x:c r="J395" s="28" t="n">
        <x:v>0</x:v>
      </x:c>
      <x:c r="K395" s="28" t="n">
        <x:v>0</x:v>
      </x:c>
      <x:c r="L395" s="28" t="n">
        <x:v>0</x:v>
      </x:c>
      <x:c r="M395" s="28" t="n">
        <x:v>0</x:v>
      </x:c>
      <x:c r="N395" s="22" t="str"/>
      <x:c r="O395" s="22" t="str"/>
      <x:c r="P395" s="22" t="str"/>
      <x:c r="Q395" s="40" t="n">
        <x:v>0</x:v>
      </x:c>
      <x:c r="R395" s="25" t="str"/>
      <x:c r="S395" s="25" t="str">
        <x:v>BOQ_NAME_ONLY</x:v>
      </x:c>
      <x:c r="T395" s="25" t="str">
        <x:v>자동 표 신호는 최종 A/B로 승격하지 않음</x:v>
      </x:c>
      <x:c r="U395" s="22" t="str">
        <x:v>2021-2025</x:v>
      </x:c>
    </x:row>
    <x:row r="396">
      <x:c r="A396" s="22" t="str">
        <x:v>2020-00086</x:v>
      </x:c>
      <x:c r="B396" s="22" t="str">
        <x:v>L2023-00053-1</x:v>
      </x:c>
      <x:c r="C396" s="22" t="str">
        <x:v>WORKS</x:v>
      </x:c>
      <x:c r="D396" s="25" t="str">
        <x:v>L2023-00053-1/Urgench VTC Bid Attachment Documents/Urgench VTC Bid Attachment Documents/Section 4.  Bill of Quantities(Not-Priced)/공내역서/TTC견적서/Total Table(TTC o).xls</x:v>
      </x:c>
      <x:c r="E396" s="22" t="str">
        <x:v>.xls</x:v>
      </x:c>
      <x:c r="F396" s="28" t="n">
        <x:v>46080</x:v>
      </x:c>
      <x:c r="G396" s="28" t="str">
        <x:v>28d446c09dedabb50892b509edb8f58f15a29925ca0afbc015ed89632a9de30e</x:v>
      </x:c>
      <x:c r="H396" s="28" t="n">
        <x:v>1</x:v>
      </x:c>
      <x:c r="I396" s="28" t="n">
        <x:v>1</x:v>
      </x:c>
      <x:c r="J396" s="28" t="n">
        <x:v>0</x:v>
      </x:c>
      <x:c r="K396" s="28" t="n">
        <x:v>0</x:v>
      </x:c>
      <x:c r="L396" s="28" t="n">
        <x:v>0</x:v>
      </x:c>
      <x:c r="M396" s="28" t="n">
        <x:v>0</x:v>
      </x:c>
      <x:c r="N396" s="22" t="str"/>
      <x:c r="O396" s="22" t="str"/>
      <x:c r="P396" s="22" t="n">
        <x:v>0</x:v>
      </x:c>
      <x:c r="Q396" s="40" t="n">
        <x:v>0</x:v>
      </x:c>
      <x:c r="R396" s="25" t="str"/>
      <x:c r="S396" s="25" t="str">
        <x:v>BOQ_NAME_ONLY</x:v>
      </x:c>
      <x:c r="T396" s="25" t="str">
        <x:v>자동 표 신호는 최종 A/B로 승격하지 않음</x:v>
      </x:c>
      <x:c r="U396" s="22" t="str">
        <x:v>2021-2025</x:v>
      </x:c>
    </x:row>
    <x:row r="397">
      <x:c r="A397" s="22" t="str">
        <x:v>2020-00086</x:v>
      </x:c>
      <x:c r="B397" s="22" t="str">
        <x:v>L2023-00053-1</x:v>
      </x:c>
      <x:c r="C397" s="22" t="str">
        <x:v>WORKS</x:v>
      </x:c>
      <x:c r="D397" s="25" t="str">
        <x:v>L2023-00053-1/Urgench VTC Bid Attachment Documents/Urgench VTC Bid Attachment Documents/Section 4.  Bill of Quantities(Not-Priced)/공내역서/VTC견적서/Estimate Manual(VTC+TTC).docx</x:v>
      </x:c>
      <x:c r="E397" s="22" t="str">
        <x:v>.docx</x:v>
      </x:c>
      <x:c r="F397" s="28" t="n">
        <x:v>61925</x:v>
      </x:c>
      <x:c r="G397" s="28" t="str">
        <x:v>45d6dcb2d563481212a18017b78a268e453685bae9d504e1f74e23b5679e21b1</x:v>
      </x:c>
      <x:c r="H397" s="28" t="n">
        <x:v>1</x:v>
      </x:c>
      <x:c r="I397" s="28" t="n">
        <x:v>1</x:v>
      </x:c>
      <x:c r="J397" s="28" t="n">
        <x:v>0</x:v>
      </x:c>
      <x:c r="K397" s="28" t="n">
        <x:v>0</x:v>
      </x:c>
      <x:c r="L397" s="28" t="n">
        <x:v>0</x:v>
      </x:c>
      <x:c r="M397" s="28" t="n">
        <x:v>0</x:v>
      </x:c>
      <x:c r="N397" s="22" t="str"/>
      <x:c r="O397" s="22" t="str"/>
      <x:c r="P397" s="22" t="str"/>
      <x:c r="Q397" s="40" t="n">
        <x:v>0</x:v>
      </x:c>
      <x:c r="R397" s="25" t="str"/>
      <x:c r="S397" s="25" t="str">
        <x:v>BOQ_NAME_ONLY</x:v>
      </x:c>
      <x:c r="T397" s="25" t="str">
        <x:v>자동 표 신호는 최종 A/B로 승격하지 않음</x:v>
      </x:c>
      <x:c r="U397" s="22" t="str">
        <x:v>2021-2025</x:v>
      </x:c>
    </x:row>
    <x:row r="398">
      <x:c r="A398" s="22" t="str">
        <x:v>2020-00086</x:v>
      </x:c>
      <x:c r="B398" s="22" t="str">
        <x:v>L2023-00053-1</x:v>
      </x:c>
      <x:c r="C398" s="22" t="str">
        <x:v>WORKS</x:v>
      </x:c>
      <x:c r="D398" s="25" t="str">
        <x:v>L2023-00053-1/Urgench VTC Bid Attachment Documents/Urgench VTC Bid Attachment Documents/Section 4.  Bill of Quantities(Not-Priced)/공내역서/VTC견적서/Total Table(VTC o).xls</x:v>
      </x:c>
      <x:c r="E398" s="22" t="str">
        <x:v>.xls</x:v>
      </x:c>
      <x:c r="F398" s="28" t="n">
        <x:v>53248</x:v>
      </x:c>
      <x:c r="G398" s="28" t="str">
        <x:v>95215ae6e2ec160e32c5a08207e13a9f849e9f0f7420e9315a16d201c6b36283</x:v>
      </x:c>
      <x:c r="H398" s="28" t="n">
        <x:v>1</x:v>
      </x:c>
      <x:c r="I398" s="28" t="n">
        <x:v>1</x:v>
      </x:c>
      <x:c r="J398" s="28" t="n">
        <x:v>0</x:v>
      </x:c>
      <x:c r="K398" s="28" t="n">
        <x:v>0</x:v>
      </x:c>
      <x:c r="L398" s="28" t="n">
        <x:v>0</x:v>
      </x:c>
      <x:c r="M398" s="28" t="n">
        <x:v>0</x:v>
      </x:c>
      <x:c r="N398" s="22" t="str"/>
      <x:c r="O398" s="22" t="str"/>
      <x:c r="P398" s="22" t="n">
        <x:v>0</x:v>
      </x:c>
      <x:c r="Q398" s="40" t="n">
        <x:v>0</x:v>
      </x:c>
      <x:c r="R398" s="25" t="str"/>
      <x:c r="S398" s="25" t="str">
        <x:v>BOQ_NAME_ONLY</x:v>
      </x:c>
      <x:c r="T398" s="25" t="str">
        <x:v>자동 표 신호는 최종 A/B로 승격하지 않음</x:v>
      </x:c>
      <x:c r="U398" s="22" t="str">
        <x:v>2021-2025</x:v>
      </x:c>
    </x:row>
    <x:row r="399">
      <x:c r="A399" s="22" t="str">
        <x:v>2020-00086</x:v>
      </x:c>
      <x:c r="B399" s="22" t="str">
        <x:v>L2023-00053-1</x:v>
      </x:c>
      <x:c r="C399" s="22" t="str">
        <x:v>WORKS</x:v>
      </x:c>
      <x:c r="D399" s="25" t="str">
        <x:v>L2023-00053-1/Urgench VTC Bid Attachment Documents/Urgench VTC Bid Attachment Documents/Section 4.  Bill of Quantities(Not-Priced)/공내역서/VTC견적서/9 ТП(Transformers)/СВОДКА ТП o.xls</x:v>
      </x:c>
      <x:c r="E399" s="22" t="str">
        <x:v>.xls</x:v>
      </x:c>
      <x:c r="F399" s="28" t="n">
        <x:v>37376</x:v>
      </x:c>
      <x:c r="G399" s="28" t="str">
        <x:v>facd6690ec26530b590132959b7d4a075ba1994b5106b4bcde8fc118b849ef8c</x:v>
      </x:c>
      <x:c r="H399" s="28" t="n">
        <x:v>1</x:v>
      </x:c>
      <x:c r="I399" s="28" t="n">
        <x:v>1</x:v>
      </x:c>
      <x:c r="J399" s="28" t="n">
        <x:v>0</x:v>
      </x:c>
      <x:c r="K399" s="28" t="n">
        <x:v>0</x:v>
      </x:c>
      <x:c r="L399" s="28" t="n">
        <x:v>0</x:v>
      </x:c>
      <x:c r="M399" s="28" t="n">
        <x:v>0</x:v>
      </x:c>
      <x:c r="N399" s="22" t="str"/>
      <x:c r="O399" s="22" t="str"/>
      <x:c r="P399" s="22" t="n">
        <x:v>0</x:v>
      </x:c>
      <x:c r="Q399" s="40" t="n">
        <x:v>0</x:v>
      </x:c>
      <x:c r="R399" s="25" t="str"/>
      <x:c r="S399" s="25" t="str">
        <x:v>BOQ_NAME_ONLY</x:v>
      </x:c>
      <x:c r="T399" s="25" t="str">
        <x:v>자동 표 신호는 최종 A/B로 승격하지 않음</x:v>
      </x:c>
      <x:c r="U399" s="22" t="str">
        <x:v>2021-2025</x:v>
      </x:c>
    </x:row>
    <x:row r="400">
      <x:c r="A400" s="22" t="str">
        <x:v>2020-00086</x:v>
      </x:c>
      <x:c r="B400" s="22" t="str">
        <x:v>L2023-00053-1</x:v>
      </x:c>
      <x:c r="C400" s="22" t="str">
        <x:v>WORKS</x:v>
      </x:c>
      <x:c r="D400" s="25" t="str">
        <x:v>L2023-00053-1/Urgench VTC Bid Attachment Documents/Urgench VTC Bid Attachment Documents/Section 4.  Bill of Quantities(Not-Priced)/공내역서/VTC견적서/9 ТП(Transformers)/Титул  ТОМ XI.doc</x:v>
      </x:c>
      <x:c r="E400" s="22" t="str">
        <x:v>.doc</x:v>
      </x:c>
      <x:c r="F400" s="28" t="n">
        <x:v>31232</x:v>
      </x:c>
      <x:c r="G400" s="28" t="str">
        <x:v>562b75d717c841e3583929c3dc728976da62eae357252f326b5e55a04f1d196c</x:v>
      </x:c>
      <x:c r="H400" s="28" t="n">
        <x:v>1</x:v>
      </x:c>
      <x:c r="I400" s="28" t="n">
        <x:v>1</x:v>
      </x:c>
      <x:c r="J400" s="28" t="n">
        <x:v>0</x:v>
      </x:c>
      <x:c r="K400" s="28" t="n">
        <x:v>0</x:v>
      </x:c>
      <x:c r="L400" s="28" t="n">
        <x:v>0</x:v>
      </x:c>
      <x:c r="M400" s="28" t="n">
        <x:v>0</x:v>
      </x:c>
      <x:c r="N400" s="22" t="str"/>
      <x:c r="O400" s="22" t="str"/>
      <x:c r="P400" s="22" t="str"/>
      <x:c r="Q400" s="40" t="n">
        <x:v>0</x:v>
      </x:c>
      <x:c r="R400" s="25" t="str"/>
      <x:c r="S400" s="25" t="str">
        <x:v>BOQ_NAME_ONLY</x:v>
      </x:c>
      <x:c r="T400" s="25" t="str">
        <x:v>자동 표 신호는 최종 A/B로 승격하지 않음</x:v>
      </x:c>
      <x:c r="U400" s="22" t="str">
        <x:v>2021-2025</x:v>
      </x:c>
    </x:row>
    <x:row r="401">
      <x:c r="A401" s="22" t="str">
        <x:v>2020-00086</x:v>
      </x:c>
      <x:c r="B401" s="22" t="str">
        <x:v>L2023-00053-1</x:v>
      </x:c>
      <x:c r="C401" s="22" t="str">
        <x:v>WORKS</x:v>
      </x:c>
      <x:c r="D401" s="25" t="str">
        <x:v>L2023-00053-1/Urgench VTC Bid Attachment Documents/Urgench VTC Bid Attachment Documents/Section 4.  Bill of Quantities(Not-Priced)/공내역서/VTC견적서/5 МИНИКУХНЯ(Mini Cafe)/СВОДКА МИНИ-КУХНЯ o.xls</x:v>
      </x:c>
      <x:c r="E401" s="22" t="str">
        <x:v>.xls</x:v>
      </x:c>
      <x:c r="F401" s="28" t="n">
        <x:v>40448</x:v>
      </x:c>
      <x:c r="G401" s="28" t="str">
        <x:v>8f914360b8e4f1fc5d8468deaf2b61af743e6873fa2b694c0fb7dbcc7a4bed51</x:v>
      </x:c>
      <x:c r="H401" s="28" t="n">
        <x:v>1</x:v>
      </x:c>
      <x:c r="I401" s="28" t="n">
        <x:v>1</x:v>
      </x:c>
      <x:c r="J401" s="28" t="n">
        <x:v>0</x:v>
      </x:c>
      <x:c r="K401" s="28" t="n">
        <x:v>0</x:v>
      </x:c>
      <x:c r="L401" s="28" t="n">
        <x:v>0</x:v>
      </x:c>
      <x:c r="M401" s="28" t="n">
        <x:v>0</x:v>
      </x:c>
      <x:c r="N401" s="22" t="str"/>
      <x:c r="O401" s="22" t="str"/>
      <x:c r="P401" s="22" t="n">
        <x:v>0</x:v>
      </x:c>
      <x:c r="Q401" s="40" t="n">
        <x:v>0</x:v>
      </x:c>
      <x:c r="R401" s="25" t="str"/>
      <x:c r="S401" s="25" t="str">
        <x:v>BOQ_NAME_ONLY</x:v>
      </x:c>
      <x:c r="T401" s="25" t="str">
        <x:v>자동 표 신호는 최종 A/B로 승격하지 않음</x:v>
      </x:c>
      <x:c r="U401" s="22" t="str">
        <x:v>2021-2025</x:v>
      </x:c>
    </x:row>
    <x:row r="402">
      <x:c r="A402" s="22" t="str">
        <x:v>2020-00086</x:v>
      </x:c>
      <x:c r="B402" s="22" t="str">
        <x:v>L2023-00053-1</x:v>
      </x:c>
      <x:c r="C402" s="22" t="str">
        <x:v>WORKS</x:v>
      </x:c>
      <x:c r="D402" s="25" t="str">
        <x:v>L2023-00053-1/Urgench VTC Bid Attachment Documents/Urgench VTC Bid Attachment Documents/Section 4.  Bill of Quantities(Not-Priced)/공내역서/VTC견적서/5 МИНИКУХНЯ(Mini Cafe)/Титул  ТОМ VI.doc</x:v>
      </x:c>
      <x:c r="E402" s="22" t="str">
        <x:v>.doc</x:v>
      </x:c>
      <x:c r="F402" s="28" t="n">
        <x:v>31232</x:v>
      </x:c>
      <x:c r="G402" s="28" t="str">
        <x:v>5d3df82f7fc981a9739b9b7c058a93fee78c22081ac1c704fbb85f9f85a42c87</x:v>
      </x:c>
      <x:c r="H402" s="28" t="n">
        <x:v>1</x:v>
      </x:c>
      <x:c r="I402" s="28" t="n">
        <x:v>1</x:v>
      </x:c>
      <x:c r="J402" s="28" t="n">
        <x:v>0</x:v>
      </x:c>
      <x:c r="K402" s="28" t="n">
        <x:v>0</x:v>
      </x:c>
      <x:c r="L402" s="28" t="n">
        <x:v>0</x:v>
      </x:c>
      <x:c r="M402" s="28" t="n">
        <x:v>0</x:v>
      </x:c>
      <x:c r="N402" s="22" t="str"/>
      <x:c r="O402" s="22" t="str"/>
      <x:c r="P402" s="22" t="str"/>
      <x:c r="Q402" s="40" t="n">
        <x:v>0</x:v>
      </x:c>
      <x:c r="R402" s="25" t="str"/>
      <x:c r="S402" s="25" t="str">
        <x:v>BOQ_NAME_ONLY</x:v>
      </x:c>
      <x:c r="T402" s="25" t="str">
        <x:v>자동 표 신호는 최종 A/B로 승격하지 않음</x:v>
      </x:c>
      <x:c r="U402" s="22" t="str">
        <x:v>2021-2025</x:v>
      </x:c>
    </x:row>
    <x:row r="403">
      <x:c r="A403" s="22" t="str">
        <x:v>2020-00086</x:v>
      </x:c>
      <x:c r="B403" s="22" t="str">
        <x:v>L2023-00053-1</x:v>
      </x:c>
      <x:c r="C403" s="22" t="str">
        <x:v>WORKS</x:v>
      </x:c>
      <x:c r="D403" s="25" t="str">
        <x:v>L2023-00053-1/Urgench VTC Bid Attachment Documents/Urgench VTC Bid Attachment Documents/Section 4.  Bill of Quantities(Not-Priced)/공내역서/VTC견적서/1 АДМИН ЗДАНИЕ(Admin. Build)/СВОДКА АДМИН ЗДАНИЕ o.xls</x:v>
      </x:c>
      <x:c r="E403" s="22" t="str">
        <x:v>.xls</x:v>
      </x:c>
      <x:c r="F403" s="28" t="n">
        <x:v>43008</x:v>
      </x:c>
      <x:c r="G403" s="28" t="str">
        <x:v>239cf320377a69c6514a677d854e57982e433342b7a55f43a6b4565f1d6e2655</x:v>
      </x:c>
      <x:c r="H403" s="28" t="n">
        <x:v>1</x:v>
      </x:c>
      <x:c r="I403" s="28" t="n">
        <x:v>1</x:v>
      </x:c>
      <x:c r="J403" s="28" t="n">
        <x:v>0</x:v>
      </x:c>
      <x:c r="K403" s="28" t="n">
        <x:v>0</x:v>
      </x:c>
      <x:c r="L403" s="28" t="n">
        <x:v>0</x:v>
      </x:c>
      <x:c r="M403" s="28" t="n">
        <x:v>0</x:v>
      </x:c>
      <x:c r="N403" s="22" t="str"/>
      <x:c r="O403" s="22" t="str"/>
      <x:c r="P403" s="22" t="n">
        <x:v>0</x:v>
      </x:c>
      <x:c r="Q403" s="40" t="n">
        <x:v>0</x:v>
      </x:c>
      <x:c r="R403" s="25" t="str"/>
      <x:c r="S403" s="25" t="str">
        <x:v>BOQ_NAME_ONLY</x:v>
      </x:c>
      <x:c r="T403" s="25" t="str">
        <x:v>자동 표 신호는 최종 A/B로 승격하지 않음</x:v>
      </x:c>
      <x:c r="U403" s="22" t="str">
        <x:v>2021-2025</x:v>
      </x:c>
    </x:row>
    <x:row r="404">
      <x:c r="A404" s="22" t="str">
        <x:v>2020-00086</x:v>
      </x:c>
      <x:c r="B404" s="22" t="str">
        <x:v>L2023-00053-1</x:v>
      </x:c>
      <x:c r="C404" s="22" t="str">
        <x:v>WORKS</x:v>
      </x:c>
      <x:c r="D404" s="25" t="str">
        <x:v>L2023-00053-1/Urgench VTC Bid Attachment Documents/Urgench VTC Bid Attachment Documents/Section 4.  Bill of Quantities(Not-Priced)/공내역서/VTC견적서/1 АДМИН ЗДАНИЕ(Admin. Build)/Титул  ТОМ II.doc</x:v>
      </x:c>
      <x:c r="E404" s="22" t="str">
        <x:v>.doc</x:v>
      </x:c>
      <x:c r="F404" s="28" t="n">
        <x:v>30720</x:v>
      </x:c>
      <x:c r="G404" s="28" t="str">
        <x:v>835c98ce909b2e964c2710e36061eb15d37eb1fc6a1e589b4eb01f7a428e6ab1</x:v>
      </x:c>
      <x:c r="H404" s="28" t="n">
        <x:v>1</x:v>
      </x:c>
      <x:c r="I404" s="28" t="n">
        <x:v>1</x:v>
      </x:c>
      <x:c r="J404" s="28" t="n">
        <x:v>0</x:v>
      </x:c>
      <x:c r="K404" s="28" t="n">
        <x:v>0</x:v>
      </x:c>
      <x:c r="L404" s="28" t="n">
        <x:v>0</x:v>
      </x:c>
      <x:c r="M404" s="28" t="n">
        <x:v>0</x:v>
      </x:c>
      <x:c r="N404" s="22" t="str"/>
      <x:c r="O404" s="22" t="str"/>
      <x:c r="P404" s="22" t="str"/>
      <x:c r="Q404" s="40" t="n">
        <x:v>0</x:v>
      </x:c>
      <x:c r="R404" s="25" t="str"/>
      <x:c r="S404" s="25" t="str">
        <x:v>BOQ_NAME_ONLY</x:v>
      </x:c>
      <x:c r="T404" s="25" t="str">
        <x:v>자동 표 신호는 최종 A/B로 승격하지 않음</x:v>
      </x:c>
      <x:c r="U404" s="22" t="str">
        <x:v>2021-2025</x:v>
      </x:c>
    </x:row>
    <x:row r="405">
      <x:c r="A405" s="22" t="str">
        <x:v>2020-00086</x:v>
      </x:c>
      <x:c r="B405" s="22" t="str">
        <x:v>L2023-00053-1</x:v>
      </x:c>
      <x:c r="C405" s="22" t="str">
        <x:v>WORKS</x:v>
      </x:c>
      <x:c r="D405" s="25" t="str">
        <x:v>L2023-00053-1/Urgench VTC Bid Attachment Documents/Urgench VTC Bid Attachment Documents/Section 4.  Bill of Quantities(Not-Priced)/공내역서/VTC견적서/2 УПК(Practice and Education Building)/СВОДКА УНП o.xls</x:v>
      </x:c>
      <x:c r="E405" s="22" t="str">
        <x:v>.xls</x:v>
      </x:c>
      <x:c r="F405" s="28" t="n">
        <x:v>41984</x:v>
      </x:c>
      <x:c r="G405" s="28" t="str">
        <x:v>4e9e4173d9aaf338992fc1a73bdba899f9b1309cc10a476fa73a616edd0c77fa</x:v>
      </x:c>
      <x:c r="H405" s="28" t="n">
        <x:v>1</x:v>
      </x:c>
      <x:c r="I405" s="28" t="n">
        <x:v>1</x:v>
      </x:c>
      <x:c r="J405" s="28" t="n">
        <x:v>0</x:v>
      </x:c>
      <x:c r="K405" s="28" t="n">
        <x:v>0</x:v>
      </x:c>
      <x:c r="L405" s="28" t="n">
        <x:v>0</x:v>
      </x:c>
      <x:c r="M405" s="28" t="n">
        <x:v>0</x:v>
      </x:c>
      <x:c r="N405" s="22" t="str"/>
      <x:c r="O405" s="22" t="str"/>
      <x:c r="P405" s="22" t="n">
        <x:v>0</x:v>
      </x:c>
      <x:c r="Q405" s="40" t="n">
        <x:v>0</x:v>
      </x:c>
      <x:c r="R405" s="25" t="str"/>
      <x:c r="S405" s="25" t="str">
        <x:v>BOQ_NAME_ONLY</x:v>
      </x:c>
      <x:c r="T405" s="25" t="str">
        <x:v>자동 표 신호는 최종 A/B로 승격하지 않음</x:v>
      </x:c>
      <x:c r="U405" s="22" t="str">
        <x:v>2021-2025</x:v>
      </x:c>
    </x:row>
    <x:row r="406">
      <x:c r="A406" s="22" t="str">
        <x:v>2020-00086</x:v>
      </x:c>
      <x:c r="B406" s="22" t="str">
        <x:v>L2023-00053-1</x:v>
      </x:c>
      <x:c r="C406" s="22" t="str">
        <x:v>WORKS</x:v>
      </x:c>
      <x:c r="D406" s="25" t="str">
        <x:v>L2023-00053-1/Urgench VTC Bid Attachment Documents/Urgench VTC Bid Attachment Documents/Section 4.  Bill of Quantities(Not-Priced)/공내역서/VTC견적서/2 УПК(Practice and Education Building)/Титул  ТОМ III.doc</x:v>
      </x:c>
      <x:c r="E406" s="22" t="str">
        <x:v>.doc</x:v>
      </x:c>
      <x:c r="F406" s="28" t="n">
        <x:v>31232</x:v>
      </x:c>
      <x:c r="G406" s="28" t="str">
        <x:v>f8ec15c11cbb553ae2762ca699a90e16cd13aa1ef2cbd491e594fed4da383a69</x:v>
      </x:c>
      <x:c r="H406" s="28" t="n">
        <x:v>1</x:v>
      </x:c>
      <x:c r="I406" s="28" t="n">
        <x:v>1</x:v>
      </x:c>
      <x:c r="J406" s="28" t="n">
        <x:v>0</x:v>
      </x:c>
      <x:c r="K406" s="28" t="n">
        <x:v>0</x:v>
      </x:c>
      <x:c r="L406" s="28" t="n">
        <x:v>0</x:v>
      </x:c>
      <x:c r="M406" s="28" t="n">
        <x:v>0</x:v>
      </x:c>
      <x:c r="N406" s="22" t="str"/>
      <x:c r="O406" s="22" t="str"/>
      <x:c r="P406" s="22" t="str"/>
      <x:c r="Q406" s="40" t="n">
        <x:v>0</x:v>
      </x:c>
      <x:c r="R406" s="25" t="str"/>
      <x:c r="S406" s="25" t="str">
        <x:v>BOQ_NAME_ONLY</x:v>
      </x:c>
      <x:c r="T406" s="25" t="str">
        <x:v>자동 표 신호는 최종 A/B로 승격하지 않음</x:v>
      </x:c>
      <x:c r="U406" s="22" t="str">
        <x:v>2021-2025</x:v>
      </x:c>
    </x:row>
    <x:row r="407">
      <x:c r="A407" s="22" t="str">
        <x:v>2020-00086</x:v>
      </x:c>
      <x:c r="B407" s="22" t="str">
        <x:v>L2023-00053-1</x:v>
      </x:c>
      <x:c r="C407" s="22" t="str">
        <x:v>WORKS</x:v>
      </x:c>
      <x:c r="D407" s="25" t="str">
        <x:v>L2023-00053-1/Urgench VTC Bid Attachment Documents/Urgench VTC Bid Attachment Documents/Section 4.  Bill of Quantities(Not-Priced)/공내역서/VTC견적서/6 КПП(Guard House+Fence &amp; Gate)/СВОДКА КПП o.xls</x:v>
      </x:c>
      <x:c r="E407" s="22" t="str">
        <x:v>.xls</x:v>
      </x:c>
      <x:c r="F407" s="28" t="n">
        <x:v>39936</x:v>
      </x:c>
      <x:c r="G407" s="28" t="str">
        <x:v>d27c5152b98d05c4e041485209c2097fc8c59879eaa9b7191d41891200560736</x:v>
      </x:c>
      <x:c r="H407" s="28" t="n">
        <x:v>1</x:v>
      </x:c>
      <x:c r="I407" s="28" t="n">
        <x:v>1</x:v>
      </x:c>
      <x:c r="J407" s="28" t="n">
        <x:v>0</x:v>
      </x:c>
      <x:c r="K407" s="28" t="n">
        <x:v>0</x:v>
      </x:c>
      <x:c r="L407" s="28" t="n">
        <x:v>0</x:v>
      </x:c>
      <x:c r="M407" s="28" t="n">
        <x:v>0</x:v>
      </x:c>
      <x:c r="N407" s="22" t="str"/>
      <x:c r="O407" s="22" t="str"/>
      <x:c r="P407" s="22" t="n">
        <x:v>0</x:v>
      </x:c>
      <x:c r="Q407" s="40" t="n">
        <x:v>0</x:v>
      </x:c>
      <x:c r="R407" s="25" t="str"/>
      <x:c r="S407" s="25" t="str">
        <x:v>BOQ_NAME_ONLY</x:v>
      </x:c>
      <x:c r="T407" s="25" t="str">
        <x:v>자동 표 신호는 최종 A/B로 승격하지 않음</x:v>
      </x:c>
      <x:c r="U407" s="22" t="str">
        <x:v>2021-2025</x:v>
      </x:c>
    </x:row>
    <x:row r="408">
      <x:c r="A408" s="22" t="str">
        <x:v>2020-00086</x:v>
      </x:c>
      <x:c r="B408" s="22" t="str">
        <x:v>L2023-00053-1</x:v>
      </x:c>
      <x:c r="C408" s="22" t="str">
        <x:v>WORKS</x:v>
      </x:c>
      <x:c r="D408" s="25" t="str">
        <x:v>L2023-00053-1/Urgench VTC Bid Attachment Documents/Urgench VTC Bid Attachment Documents/Section 4.  Bill of Quantities(Not-Priced)/공내역서/VTC견적서/6 КПП(Guard House+Fence &amp; Gate)/Титул  ТОМ VII.doc</x:v>
      </x:c>
      <x:c r="E408" s="22" t="str">
        <x:v>.doc</x:v>
      </x:c>
      <x:c r="F408" s="28" t="n">
        <x:v>31232</x:v>
      </x:c>
      <x:c r="G408" s="28" t="str">
        <x:v>d3a2878206d1a5ed18bf735bd8e0e29bcf39f0f7e7908670880919bce45c4d64</x:v>
      </x:c>
      <x:c r="H408" s="28" t="n">
        <x:v>1</x:v>
      </x:c>
      <x:c r="I408" s="28" t="n">
        <x:v>1</x:v>
      </x:c>
      <x:c r="J408" s="28" t="n">
        <x:v>0</x:v>
      </x:c>
      <x:c r="K408" s="28" t="n">
        <x:v>0</x:v>
      </x:c>
      <x:c r="L408" s="28" t="n">
        <x:v>0</x:v>
      </x:c>
      <x:c r="M408" s="28" t="n">
        <x:v>0</x:v>
      </x:c>
      <x:c r="N408" s="22" t="str"/>
      <x:c r="O408" s="22" t="str"/>
      <x:c r="P408" s="22" t="str"/>
      <x:c r="Q408" s="40" t="n">
        <x:v>0</x:v>
      </x:c>
      <x:c r="R408" s="25" t="str"/>
      <x:c r="S408" s="25" t="str">
        <x:v>BOQ_NAME_ONLY</x:v>
      </x:c>
      <x:c r="T408" s="25" t="str">
        <x:v>자동 표 신호는 최종 A/B로 승격하지 않음</x:v>
      </x:c>
      <x:c r="U408" s="22" t="str">
        <x:v>2021-2025</x:v>
      </x:c>
    </x:row>
    <x:row r="409">
      <x:c r="A409" s="22" t="str">
        <x:v>2020-00086</x:v>
      </x:c>
      <x:c r="B409" s="22" t="str">
        <x:v>L2023-00053-1</x:v>
      </x:c>
      <x:c r="C409" s="22" t="str">
        <x:v>WORKS</x:v>
      </x:c>
      <x:c r="D409" s="25" t="str">
        <x:v>L2023-00053-1/Urgench VTC Bid Attachment Documents/Urgench VTC Bid Attachment Documents/Section 4.  Bill of Quantities(Not-Priced)/공내역서/VTC견적서/0 ГП(Site Plan &amp; Landscape+Outdoor Infra)/Титул  ГП.doc</x:v>
      </x:c>
      <x:c r="E409" s="22" t="str">
        <x:v>.doc</x:v>
      </x:c>
      <x:c r="F409" s="28" t="n">
        <x:v>31232</x:v>
      </x:c>
      <x:c r="G409" s="28" t="str">
        <x:v>668b31d75f72b7e552805f9881eb1194815e756808fbb34626fafe827afacac8</x:v>
      </x:c>
      <x:c r="H409" s="28" t="n">
        <x:v>1</x:v>
      </x:c>
      <x:c r="I409" s="28" t="n">
        <x:v>1</x:v>
      </x:c>
      <x:c r="J409" s="28" t="n">
        <x:v>0</x:v>
      </x:c>
      <x:c r="K409" s="28" t="n">
        <x:v>0</x:v>
      </x:c>
      <x:c r="L409" s="28" t="n">
        <x:v>0</x:v>
      </x:c>
      <x:c r="M409" s="28" t="n">
        <x:v>0</x:v>
      </x:c>
      <x:c r="N409" s="22" t="str"/>
      <x:c r="O409" s="22" t="str"/>
      <x:c r="P409" s="22" t="str"/>
      <x:c r="Q409" s="40" t="n">
        <x:v>0</x:v>
      </x:c>
      <x:c r="R409" s="25" t="str"/>
      <x:c r="S409" s="25" t="str">
        <x:v>BOQ_NAME_ONLY</x:v>
      </x:c>
      <x:c r="T409" s="25" t="str">
        <x:v>자동 표 신호는 최종 A/B로 승격하지 않음</x:v>
      </x:c>
      <x:c r="U409" s="22" t="str">
        <x:v>2021-2025</x:v>
      </x:c>
    </x:row>
    <x:row r="410">
      <x:c r="A410" s="22" t="str">
        <x:v>2020-00086</x:v>
      </x:c>
      <x:c r="B410" s="22" t="str">
        <x:v>L2023-00053-1</x:v>
      </x:c>
      <x:c r="C410" s="22" t="str">
        <x:v>WORKS</x:v>
      </x:c>
      <x:c r="D410" s="25" t="str">
        <x:v>L2023-00053-1/Urgench VTC Bid Attachment Documents/Urgench VTC Bid Attachment Documents/Section 4.  Bill of Quantities(Not-Priced)/공내역서/VTC견적서/0 ГП(Site Plan &amp; Landscape+Outdoor Infra)/СВОДКА ГП o.xls</x:v>
      </x:c>
      <x:c r="E410" s="22" t="str">
        <x:v>.xls</x:v>
      </x:c>
      <x:c r="F410" s="28" t="n">
        <x:v>45568</x:v>
      </x:c>
      <x:c r="G410" s="28" t="str">
        <x:v>ea3f4e528b188609521baeecebb2d8c370f0b8bcb04912b0ecc7b6f576cead23</x:v>
      </x:c>
      <x:c r="H410" s="28" t="n">
        <x:v>1</x:v>
      </x:c>
      <x:c r="I410" s="28" t="n">
        <x:v>1</x:v>
      </x:c>
      <x:c r="J410" s="28" t="n">
        <x:v>0</x:v>
      </x:c>
      <x:c r="K410" s="28" t="n">
        <x:v>0</x:v>
      </x:c>
      <x:c r="L410" s="28" t="n">
        <x:v>0</x:v>
      </x:c>
      <x:c r="M410" s="28" t="n">
        <x:v>0</x:v>
      </x:c>
      <x:c r="N410" s="22" t="str"/>
      <x:c r="O410" s="22" t="str"/>
      <x:c r="P410" s="22" t="n">
        <x:v>0</x:v>
      </x:c>
      <x:c r="Q410" s="40" t="n">
        <x:v>0</x:v>
      </x:c>
      <x:c r="R410" s="25" t="str"/>
      <x:c r="S410" s="25" t="str">
        <x:v>BOQ_NAME_ONLY</x:v>
      </x:c>
      <x:c r="T410" s="25" t="str">
        <x:v>자동 표 신호는 최종 A/B로 승격하지 않음</x:v>
      </x:c>
      <x:c r="U410" s="22" t="str">
        <x:v>2021-2025</x:v>
      </x:c>
    </x:row>
    <x:row r="411">
      <x:c r="A411" s="22" t="str">
        <x:v>2020-00086</x:v>
      </x:c>
      <x:c r="B411" s="22" t="str">
        <x:v>L2023-00053-1</x:v>
      </x:c>
      <x:c r="C411" s="22" t="str">
        <x:v>WORKS</x:v>
      </x:c>
      <x:c r="D411" s="25" t="str">
        <x:v>L2023-00053-1/Urgench VTC Bid Attachment Documents/Urgench VTC Bid Attachment Documents/Section 4.  Bill of Quantities(Not-Priced)/공내역서/VTC견적서/7 КОМПРЕССОРАНЯ(Comp.+GAS storage)/Титул  ТОМ VIII.doc</x:v>
      </x:c>
      <x:c r="E411" s="22" t="str">
        <x:v>.doc</x:v>
      </x:c>
      <x:c r="F411" s="28" t="n">
        <x:v>31232</x:v>
      </x:c>
      <x:c r="G411" s="28" t="str">
        <x:v>f5cd809cdb57d6a998fcf268c2026e9e6273e70367355d3819724a2f5393a610</x:v>
      </x:c>
      <x:c r="H411" s="28" t="n">
        <x:v>1</x:v>
      </x:c>
      <x:c r="I411" s="28" t="n">
        <x:v>1</x:v>
      </x:c>
      <x:c r="J411" s="28" t="n">
        <x:v>0</x:v>
      </x:c>
      <x:c r="K411" s="28" t="n">
        <x:v>0</x:v>
      </x:c>
      <x:c r="L411" s="28" t="n">
        <x:v>0</x:v>
      </x:c>
      <x:c r="M411" s="28" t="n">
        <x:v>0</x:v>
      </x:c>
      <x:c r="N411" s="22" t="str"/>
      <x:c r="O411" s="22" t="str"/>
      <x:c r="P411" s="22" t="str"/>
      <x:c r="Q411" s="40" t="n">
        <x:v>0</x:v>
      </x:c>
      <x:c r="R411" s="25" t="str"/>
      <x:c r="S411" s="25" t="str">
        <x:v>BOQ_NAME_ONLY</x:v>
      </x:c>
      <x:c r="T411" s="25" t="str">
        <x:v>자동 표 신호는 최종 A/B로 승격하지 않음</x:v>
      </x:c>
      <x:c r="U411" s="22" t="str">
        <x:v>2021-2025</x:v>
      </x:c>
    </x:row>
    <x:row r="412">
      <x:c r="A412" s="22" t="str">
        <x:v>2020-00086</x:v>
      </x:c>
      <x:c r="B412" s="22" t="str">
        <x:v>L2023-00053-1</x:v>
      </x:c>
      <x:c r="C412" s="22" t="str">
        <x:v>WORKS</x:v>
      </x:c>
      <x:c r="D412" s="25" t="str">
        <x:v>L2023-00053-1/Urgench VTC Bid Attachment Documents/Urgench VTC Bid Attachment Documents/Section 4.  Bill of Quantities(Not-Priced)/공내역서/VTC견적서/7 КОМПРЕССОРАНЯ(Comp.+GAS storage)/СВОДКА КОМПРЕССОРНАЯ o.xls</x:v>
      </x:c>
      <x:c r="E412" s="22" t="str">
        <x:v>.xls</x:v>
      </x:c>
      <x:c r="F412" s="28" t="n">
        <x:v>38400</x:v>
      </x:c>
      <x:c r="G412" s="28" t="str">
        <x:v>0b2724d38273defda9a531465cca025007abde2b3afdd8f53e7888f815118475</x:v>
      </x:c>
      <x:c r="H412" s="28" t="n">
        <x:v>1</x:v>
      </x:c>
      <x:c r="I412" s="28" t="n">
        <x:v>1</x:v>
      </x:c>
      <x:c r="J412" s="28" t="n">
        <x:v>0</x:v>
      </x:c>
      <x:c r="K412" s="28" t="n">
        <x:v>0</x:v>
      </x:c>
      <x:c r="L412" s="28" t="n">
        <x:v>0</x:v>
      </x:c>
      <x:c r="M412" s="28" t="n">
        <x:v>0</x:v>
      </x:c>
      <x:c r="N412" s="22" t="str"/>
      <x:c r="O412" s="22" t="str"/>
      <x:c r="P412" s="22" t="n">
        <x:v>0</x:v>
      </x:c>
      <x:c r="Q412" s="40" t="n">
        <x:v>0</x:v>
      </x:c>
      <x:c r="R412" s="25" t="str"/>
      <x:c r="S412" s="25" t="str">
        <x:v>BOQ_NAME_ONLY</x:v>
      </x:c>
      <x:c r="T412" s="25" t="str">
        <x:v>자동 표 신호는 최종 A/B로 승격하지 않음</x:v>
      </x:c>
      <x:c r="U412" s="22" t="str">
        <x:v>2021-2025</x:v>
      </x:c>
    </x:row>
    <x:row r="413">
      <x:c r="A413" s="22" t="str">
        <x:v>2020-00086</x:v>
      </x:c>
      <x:c r="B413" s="22" t="str">
        <x:v>L2023-00053-1</x:v>
      </x:c>
      <x:c r="C413" s="22" t="str">
        <x:v>WORKS</x:v>
      </x:c>
      <x:c r="D413" s="25" t="str">
        <x:v>L2023-00053-1/Urgench VTC Bid Attachment Documents/Urgench VTC Bid Attachment Documents/Section 4.  Bill of Quantities(Not-Priced)/공내역서/VTC견적서/3 ОБЩЕЖИТИЕ(Dormitory)/СВОДКА ОБЩЕЖИТИЕ o.xls</x:v>
      </x:c>
      <x:c r="E413" s="22" t="str">
        <x:v>.xls</x:v>
      </x:c>
      <x:c r="F413" s="28" t="n">
        <x:v>41984</x:v>
      </x:c>
      <x:c r="G413" s="28" t="str">
        <x:v>9e450ed4764d68cf1717aec94480771f8ac30c1c153541e64da47a920e09d403</x:v>
      </x:c>
      <x:c r="H413" s="28" t="n">
        <x:v>1</x:v>
      </x:c>
      <x:c r="I413" s="28" t="n">
        <x:v>1</x:v>
      </x:c>
      <x:c r="J413" s="28" t="n">
        <x:v>0</x:v>
      </x:c>
      <x:c r="K413" s="28" t="n">
        <x:v>0</x:v>
      </x:c>
      <x:c r="L413" s="28" t="n">
        <x:v>0</x:v>
      </x:c>
      <x:c r="M413" s="28" t="n">
        <x:v>0</x:v>
      </x:c>
      <x:c r="N413" s="22" t="str"/>
      <x:c r="O413" s="22" t="str"/>
      <x:c r="P413" s="22" t="n">
        <x:v>0</x:v>
      </x:c>
      <x:c r="Q413" s="40" t="n">
        <x:v>0</x:v>
      </x:c>
      <x:c r="R413" s="25" t="str"/>
      <x:c r="S413" s="25" t="str">
        <x:v>BOQ_NAME_ONLY</x:v>
      </x:c>
      <x:c r="T413" s="25" t="str">
        <x:v>자동 표 신호는 최종 A/B로 승격하지 않음</x:v>
      </x:c>
      <x:c r="U413" s="22" t="str">
        <x:v>2021-2025</x:v>
      </x:c>
    </x:row>
    <x:row r="414">
      <x:c r="A414" s="22" t="str">
        <x:v>2020-00086</x:v>
      </x:c>
      <x:c r="B414" s="22" t="str">
        <x:v>L2023-00053-1</x:v>
      </x:c>
      <x:c r="C414" s="22" t="str">
        <x:v>WORKS</x:v>
      </x:c>
      <x:c r="D414" s="25" t="str">
        <x:v>L2023-00053-1/Urgench VTC Bid Attachment Documents/Urgench VTC Bid Attachment Documents/Section 4.  Bill of Quantities(Not-Priced)/공내역서/VTC견적서/8 ПОЖАРНАЯ ЕМЪКОСТЬ(Fire Tank)/СВОДКА НАСОСНАЯ o.xls</x:v>
      </x:c>
      <x:c r="E414" s="22" t="str">
        <x:v>.xls</x:v>
      </x:c>
      <x:c r="F414" s="28" t="n">
        <x:v>36864</x:v>
      </x:c>
      <x:c r="G414" s="28" t="str">
        <x:v>8ef74923d250818b9dc846d7e1e8cf5532a3e349c007a54e4475abbae35c2b29</x:v>
      </x:c>
      <x:c r="H414" s="28" t="n">
        <x:v>1</x:v>
      </x:c>
      <x:c r="I414" s="28" t="n">
        <x:v>1</x:v>
      </x:c>
      <x:c r="J414" s="28" t="n">
        <x:v>0</x:v>
      </x:c>
      <x:c r="K414" s="28" t="n">
        <x:v>0</x:v>
      </x:c>
      <x:c r="L414" s="28" t="n">
        <x:v>0</x:v>
      </x:c>
      <x:c r="M414" s="28" t="n">
        <x:v>0</x:v>
      </x:c>
      <x:c r="N414" s="22" t="str"/>
      <x:c r="O414" s="22" t="str"/>
      <x:c r="P414" s="22" t="n">
        <x:v>0</x:v>
      </x:c>
      <x:c r="Q414" s="40" t="n">
        <x:v>0</x:v>
      </x:c>
      <x:c r="R414" s="25" t="str"/>
      <x:c r="S414" s="25" t="str">
        <x:v>BOQ_NAME_ONLY</x:v>
      </x:c>
      <x:c r="T414" s="25" t="str">
        <x:v>자동 표 신호는 최종 A/B로 승격하지 않음</x:v>
      </x:c>
      <x:c r="U414" s="22" t="str">
        <x:v>2021-2025</x:v>
      </x:c>
    </x:row>
    <x:row r="415">
      <x:c r="A415" s="22" t="str">
        <x:v>2020-00086</x:v>
      </x:c>
      <x:c r="B415" s="22" t="str">
        <x:v>L2023-00053-1</x:v>
      </x:c>
      <x:c r="C415" s="22" t="str">
        <x:v>WORKS</x:v>
      </x:c>
      <x:c r="D415" s="25" t="str">
        <x:v>L2023-00053-1/Urgench VTC Bid Attachment Documents/Urgench VTC Bid Attachment Documents/Section 4.  Bill of Quantities(Not-Priced)/공내역서/VTC견적서/8 ПОЖАРНАЯ ЕМЪКОСТЬ(Fire Tank)/Титул  ТОМ VIII.doc</x:v>
      </x:c>
      <x:c r="E415" s="22" t="str">
        <x:v>.doc</x:v>
      </x:c>
      <x:c r="F415" s="28" t="n">
        <x:v>31232</x:v>
      </x:c>
      <x:c r="G415" s="28" t="str">
        <x:v>5ddb37550ef46644b2b3d4e63ede77d94e36e452ec009253911c901adac38784</x:v>
      </x:c>
      <x:c r="H415" s="28" t="n">
        <x:v>1</x:v>
      </x:c>
      <x:c r="I415" s="28" t="n">
        <x:v>1</x:v>
      </x:c>
      <x:c r="J415" s="28" t="n">
        <x:v>0</x:v>
      </x:c>
      <x:c r="K415" s="28" t="n">
        <x:v>0</x:v>
      </x:c>
      <x:c r="L415" s="28" t="n">
        <x:v>0</x:v>
      </x:c>
      <x:c r="M415" s="28" t="n">
        <x:v>0</x:v>
      </x:c>
      <x:c r="N415" s="22" t="str"/>
      <x:c r="O415" s="22" t="str"/>
      <x:c r="P415" s="22" t="str"/>
      <x:c r="Q415" s="40" t="n">
        <x:v>0</x:v>
      </x:c>
      <x:c r="R415" s="25" t="str"/>
      <x:c r="S415" s="25" t="str">
        <x:v>BOQ_NAME_ONLY</x:v>
      </x:c>
      <x:c r="T415" s="25" t="str">
        <x:v>자동 표 신호는 최종 A/B로 승격하지 않음</x:v>
      </x:c>
      <x:c r="U415" s="22" t="str">
        <x:v>2021-2025</x:v>
      </x:c>
    </x:row>
    <x:row r="416">
      <x:c r="A416" s="22" t="str">
        <x:v>2020-00086</x:v>
      </x:c>
      <x:c r="B416" s="22" t="str">
        <x:v>L2023-00053-1</x:v>
      </x:c>
      <x:c r="C416" s="22" t="str">
        <x:v>WORKS</x:v>
      </x:c>
      <x:c r="D416" s="25" t="str">
        <x:v>L2023-00053-1/Urgench VTC Bid Attachment Documents/Urgench VTC Bid Attachment Documents/Section 4.  Bill of Quantities(Not-Priced)/공내역서/VTC견적서/4 БУФЕТ(Cafeteria)/Титул  ТОМ V.doc</x:v>
      </x:c>
      <x:c r="E416" s="22" t="str">
        <x:v>.doc</x:v>
      </x:c>
      <x:c r="F416" s="28" t="n">
        <x:v>31232</x:v>
      </x:c>
      <x:c r="G416" s="28" t="str">
        <x:v>a0409474de93963ccc2edc98b174358d13a0f332a3278a64d7054f37b8652ce2</x:v>
      </x:c>
      <x:c r="H416" s="28" t="n">
        <x:v>1</x:v>
      </x:c>
      <x:c r="I416" s="28" t="n">
        <x:v>1</x:v>
      </x:c>
      <x:c r="J416" s="28" t="n">
        <x:v>0</x:v>
      </x:c>
      <x:c r="K416" s="28" t="n">
        <x:v>0</x:v>
      </x:c>
      <x:c r="L416" s="28" t="n">
        <x:v>0</x:v>
      </x:c>
      <x:c r="M416" s="28" t="n">
        <x:v>0</x:v>
      </x:c>
      <x:c r="N416" s="22" t="str"/>
      <x:c r="O416" s="22" t="str"/>
      <x:c r="P416" s="22" t="str"/>
      <x:c r="Q416" s="40" t="n">
        <x:v>0</x:v>
      </x:c>
      <x:c r="R416" s="25" t="str"/>
      <x:c r="S416" s="25" t="str">
        <x:v>BOQ_NAME_ONLY</x:v>
      </x:c>
      <x:c r="T416" s="25" t="str">
        <x:v>자동 표 신호는 최종 A/B로 승격하지 않음</x:v>
      </x:c>
      <x:c r="U416" s="22" t="str">
        <x:v>2021-2025</x:v>
      </x:c>
    </x:row>
    <x:row r="417">
      <x:c r="A417" s="22" t="str">
        <x:v>2020-00086</x:v>
      </x:c>
      <x:c r="B417" s="22" t="str">
        <x:v>L2023-00053-1</x:v>
      </x:c>
      <x:c r="C417" s="22" t="str">
        <x:v>WORKS</x:v>
      </x:c>
      <x:c r="D417" s="25" t="str">
        <x:v>L2023-00053-1/Urgench VTC Bid Attachment Documents/Urgench VTC Bid Attachment Documents/Section 4.  Bill of Quantities(Not-Priced)/공내역서/VTC견적서/4 БУФЕТ(Cafeteria)/СВОДКА БУФЕТ o.xls</x:v>
      </x:c>
      <x:c r="E417" s="22" t="str">
        <x:v>.xls</x:v>
      </x:c>
      <x:c r="F417" s="28" t="n">
        <x:v>41984</x:v>
      </x:c>
      <x:c r="G417" s="28" t="str">
        <x:v>4ecacaffd035763b281b2ec0f37463659ed1670d177cc1b38809ca7cbec90628</x:v>
      </x:c>
      <x:c r="H417" s="28" t="n">
        <x:v>1</x:v>
      </x:c>
      <x:c r="I417" s="28" t="n">
        <x:v>1</x:v>
      </x:c>
      <x:c r="J417" s="28" t="n">
        <x:v>0</x:v>
      </x:c>
      <x:c r="K417" s="28" t="n">
        <x:v>0</x:v>
      </x:c>
      <x:c r="L417" s="28" t="n">
        <x:v>0</x:v>
      </x:c>
      <x:c r="M417" s="28" t="n">
        <x:v>0</x:v>
      </x:c>
      <x:c r="N417" s="22" t="str"/>
      <x:c r="O417" s="22" t="str"/>
      <x:c r="P417" s="22" t="n">
        <x:v>0</x:v>
      </x:c>
      <x:c r="Q417" s="40" t="n">
        <x:v>0</x:v>
      </x:c>
      <x:c r="R417" s="25" t="str"/>
      <x:c r="S417" s="25" t="str">
        <x:v>BOQ_NAME_ONLY</x:v>
      </x:c>
      <x:c r="T417" s="25" t="str">
        <x:v>자동 표 신호는 최종 A/B로 승격하지 않음</x:v>
      </x:c>
      <x:c r="U417" s="22" t="str">
        <x:v>2021-2025</x:v>
      </x:c>
    </x:row>
    <x:row r="418">
      <x:c r="A418" s="22" t="str">
        <x:v>2020-00086</x:v>
      </x:c>
      <x:c r="B418" s="22" t="str">
        <x:v>L2023-00053-1</x:v>
      </x:c>
      <x:c r="C418" s="22" t="str">
        <x:v>WORKS</x:v>
      </x:c>
      <x:c r="D418" s="25" t="str">
        <x:v>L2023-00053-1/Urgench VTC Bid Attachment Documents/Urgench VTC Bid Attachment Documents/Section 4.  Bill of Quantities(Not-Priced)/공내역서/VTC견적서/4 БУФЕТ(Cafeteria)/4-9 ТХ/13743_vfor.xls</x:v>
      </x:c>
      <x:c r="E418" s="22" t="str">
        <x:v>.xls</x:v>
      </x:c>
      <x:c r="F418" s="28" t="n">
        <x:v>33280</x:v>
      </x:c>
      <x:c r="G418" s="28" t="str">
        <x:v>c8d68a7f99bd5aa730939196a85ab57f191b2ab524c3c5bac885dcbbdbecaa69</x:v>
      </x:c>
      <x:c r="H418" s="28" t="n">
        <x:v>1</x:v>
      </x:c>
      <x:c r="I418" s="28" t="n">
        <x:v>1</x:v>
      </x:c>
      <x:c r="J418" s="28" t="n">
        <x:v>0</x:v>
      </x:c>
      <x:c r="K418" s="28" t="n">
        <x:v>0</x:v>
      </x:c>
      <x:c r="L418" s="28" t="n">
        <x:v>0</x:v>
      </x:c>
      <x:c r="M418" s="28" t="n">
        <x:v>0</x:v>
      </x:c>
      <x:c r="N418" s="22" t="str"/>
      <x:c r="O418" s="22" t="str"/>
      <x:c r="P418" s="22" t="n">
        <x:v>0</x:v>
      </x:c>
      <x:c r="Q418" s="40" t="n">
        <x:v>0</x:v>
      </x:c>
      <x:c r="R418" s="25" t="str"/>
      <x:c r="S418" s="25" t="str">
        <x:v>BOQ_NAME_ONLY</x:v>
      </x:c>
      <x:c r="T418" s="25" t="str">
        <x:v>자동 표 신호는 최종 A/B로 승격하지 않음</x:v>
      </x:c>
      <x:c r="U418" s="22" t="str">
        <x:v>2021-2025</x:v>
      </x:c>
    </x:row>
    <x:row r="419">
      <x:c r="A419" s="22" t="str">
        <x:v>2020-00086</x:v>
      </x:c>
      <x:c r="B419" s="22" t="str">
        <x:v>L2023-00053-1</x:v>
      </x:c>
      <x:c r="C419" s="22" t="str">
        <x:v>WORKS</x:v>
      </x:c>
      <x:c r="D419" s="25" t="str">
        <x:v>L2023-00053-1/Urgench VTC Bid Attachment Documents/Urgench VTC Bid Attachment Documents/Section 4.  Bill of Quantities(Not-Priced)/공내역서/VTC견적서/4 БУФЕТ(Cafeteria)/4-9 ТХ/13743_vrmu.xls</x:v>
      </x:c>
      <x:c r="E419" s="22" t="str">
        <x:v>.xls</x:v>
      </x:c>
      <x:c r="F419" s="28" t="n">
        <x:v>44032</x:v>
      </x:c>
      <x:c r="G419" s="28" t="str">
        <x:v>78405bf4dba631faab9d2df8eb3c9871b3b3e6bcb3d8da1b40aa473f959fda6a</x:v>
      </x:c>
      <x:c r="H419" s="28" t="n">
        <x:v>1</x:v>
      </x:c>
      <x:c r="I419" s="28" t="n">
        <x:v>1</x:v>
      </x:c>
      <x:c r="J419" s="28" t="n">
        <x:v>0</x:v>
      </x:c>
      <x:c r="K419" s="28" t="n">
        <x:v>0</x:v>
      </x:c>
      <x:c r="L419" s="28" t="n">
        <x:v>0</x:v>
      </x:c>
      <x:c r="M419" s="28" t="n">
        <x:v>0</x:v>
      </x:c>
      <x:c r="N419" s="22" t="str"/>
      <x:c r="O419" s="22" t="str"/>
      <x:c r="P419" s="22" t="n">
        <x:v>0</x:v>
      </x:c>
      <x:c r="Q419" s="40" t="n">
        <x:v>0</x:v>
      </x:c>
      <x:c r="R419" s="25" t="str"/>
      <x:c r="S419" s="25" t="str">
        <x:v>BOQ_NAME_ONLY</x:v>
      </x:c>
      <x:c r="T419" s="25" t="str">
        <x:v>자동 표 신호는 최종 A/B로 승격하지 않음</x:v>
      </x:c>
      <x:c r="U419" s="22" t="str">
        <x:v>2021-2025</x:v>
      </x:c>
    </x:row>
    <x:row r="420">
      <x:c r="A420" s="22" t="str">
        <x:v>2020-00086</x:v>
      </x:c>
      <x:c r="B420" s="22" t="str">
        <x:v>L2023-00053-1</x:v>
      </x:c>
      <x:c r="C420" s="22" t="str">
        <x:v>WORKS</x:v>
      </x:c>
      <x:c r="D420" s="25" t="str">
        <x:v>L2023-00053-1/Urgench VTC Bid Attachment Documents/Urgench VTC Bid Attachment Documents/Section 4.  Bill of Quantities(Not-Priced)/공내역서/VTC견적서/4 БУФЕТ(Cafeteria)/4-9 ТХ/bv13740.xls</x:v>
      </x:c>
      <x:c r="E420" s="22" t="str">
        <x:v>.xls</x:v>
      </x:c>
      <x:c r="F420" s="28" t="n">
        <x:v>45056</x:v>
      </x:c>
      <x:c r="G420" s="28" t="str">
        <x:v>81b3b9a2bd4d7715fcfc6a79b81680314cf0ee94a009ceab7a13cc679ca3f9a0</x:v>
      </x:c>
      <x:c r="H420" s="28" t="n">
        <x:v>1</x:v>
      </x:c>
      <x:c r="I420" s="28" t="n">
        <x:v>1</x:v>
      </x:c>
      <x:c r="J420" s="28" t="n">
        <x:v>0</x:v>
      </x:c>
      <x:c r="K420" s="28" t="n">
        <x:v>0</x:v>
      </x:c>
      <x:c r="L420" s="28" t="n">
        <x:v>0</x:v>
      </x:c>
      <x:c r="M420" s="28" t="n">
        <x:v>0</x:v>
      </x:c>
      <x:c r="N420" s="22" t="str"/>
      <x:c r="O420" s="22" t="str"/>
      <x:c r="P420" s="22" t="n">
        <x:v>0</x:v>
      </x:c>
      <x:c r="Q420" s="40" t="n">
        <x:v>0</x:v>
      </x:c>
      <x:c r="R420" s="25" t="str"/>
      <x:c r="S420" s="25" t="str">
        <x:v>BOQ_NAME_ONLY</x:v>
      </x:c>
      <x:c r="T420" s="25" t="str">
        <x:v>자동 표 신호는 최종 A/B로 승격하지 않음</x:v>
      </x:c>
      <x:c r="U420" s="22" t="str">
        <x:v>2021-2025</x:v>
      </x:c>
    </x:row>
    <x:row r="421">
      <x:c r="A421" s="22" t="str">
        <x:v>2020-00086</x:v>
      </x:c>
      <x:c r="B421" s="22" t="str">
        <x:v>L2023-00053-1</x:v>
      </x:c>
      <x:c r="C421" s="22" t="str">
        <x:v>WORKS</x:v>
      </x:c>
      <x:c r="D421" s="25" t="str">
        <x:v>L2023-00053-1/Urgench VTC Bid Attachment Documents/Urgench VTC Bid Attachment Documents/Section 4.  Bill of Quantities(Not-Priced)/공내역서/VTC견적서/4 БУФЕТ(Cafeteria)/4-7 ВН, СКС(CCTV &amp; Network)/13323_vfor.xls</x:v>
      </x:c>
      <x:c r="E421" s="22" t="str">
        <x:v>.xls</x:v>
      </x:c>
      <x:c r="F421" s="28" t="n">
        <x:v>47616</x:v>
      </x:c>
      <x:c r="G421" s="28" t="str">
        <x:v>bd337520c73d4d2e111bd320f563772ebf15d04cc070a3c51c25a2f9742c00de</x:v>
      </x:c>
      <x:c r="H421" s="28" t="n">
        <x:v>1</x:v>
      </x:c>
      <x:c r="I421" s="28" t="n">
        <x:v>1</x:v>
      </x:c>
      <x:c r="J421" s="28" t="n">
        <x:v>0</x:v>
      </x:c>
      <x:c r="K421" s="28" t="n">
        <x:v>0</x:v>
      </x:c>
      <x:c r="L421" s="28" t="n">
        <x:v>0</x:v>
      </x:c>
      <x:c r="M421" s="28" t="n">
        <x:v>0</x:v>
      </x:c>
      <x:c r="N421" s="22" t="str"/>
      <x:c r="O421" s="22" t="str"/>
      <x:c r="P421" s="22" t="n">
        <x:v>0</x:v>
      </x:c>
      <x:c r="Q421" s="40" t="n">
        <x:v>0</x:v>
      </x:c>
      <x:c r="R421" s="25" t="str"/>
      <x:c r="S421" s="25" t="str">
        <x:v>BOQ_NAME_ONLY</x:v>
      </x:c>
      <x:c r="T421" s="25" t="str">
        <x:v>자동 표 신호는 최종 A/B로 승격하지 않음</x:v>
      </x:c>
      <x:c r="U421" s="22" t="str">
        <x:v>2021-2025</x:v>
      </x:c>
    </x:row>
    <x:row r="422">
      <x:c r="A422" s="22" t="str">
        <x:v>2020-00086</x:v>
      </x:c>
      <x:c r="B422" s="22" t="str">
        <x:v>L2023-00053-1</x:v>
      </x:c>
      <x:c r="C422" s="22" t="str">
        <x:v>WORKS</x:v>
      </x:c>
      <x:c r="D422" s="25" t="str">
        <x:v>L2023-00053-1/Urgench VTC Bid Attachment Documents/Urgench VTC Bid Attachment Documents/Section 4.  Bill of Quantities(Not-Priced)/공내역서/VTC견적서/4 БУФЕТ(Cafeteria)/4-7 ВН, СКС(CCTV &amp; Network)/13323_vrmu.xls</x:v>
      </x:c>
      <x:c r="E422" s="22" t="str">
        <x:v>.xls</x:v>
      </x:c>
      <x:c r="F422" s="28" t="n">
        <x:v>56832</x:v>
      </x:c>
      <x:c r="G422" s="28" t="str">
        <x:v>a965a9f3d225f89ea5505676fa4b27565617d1ccd45171df72e2d792f5246df8</x:v>
      </x:c>
      <x:c r="H422" s="28" t="n">
        <x:v>1</x:v>
      </x:c>
      <x:c r="I422" s="28" t="n">
        <x:v>1</x:v>
      </x:c>
      <x:c r="J422" s="28" t="n">
        <x:v>1</x:v>
      </x:c>
      <x:c r="K422" s="28" t="n">
        <x:v>85</x:v>
      </x:c>
      <x:c r="L422" s="28" t="n">
        <x:v>1</x:v>
      </x:c>
      <x:c r="M422" s="28" t="n">
        <x:v>0</x:v>
      </x:c>
      <x:c r="N422" s="22" t="str">
        <x:v>Лист1</x:v>
      </x:c>
      <x:c r="O422" s="22" t="str">
        <x:v>visible</x:v>
      </x:c>
      <x:c r="P422" s="22" t="n">
        <x:v>8</x:v>
      </x:c>
      <x:c r="Q422" s="40" t="n">
        <x:v>0.011764705882352941</x:v>
      </x:c>
      <x:c r="R422" s="25" t="str"/>
      <x:c r="S422" s="25" t="str">
        <x:v>B?</x:v>
      </x:c>
      <x:c r="T422" s="25" t="str">
        <x:v>자동 표 신호는 최종 A/B로 승격하지 않음</x:v>
      </x:c>
      <x:c r="U422" s="22" t="str">
        <x:v>2021-2025</x:v>
      </x:c>
    </x:row>
    <x:row r="423">
      <x:c r="A423" s="22" t="str">
        <x:v>2020-00086</x:v>
      </x:c>
      <x:c r="B423" s="22" t="str">
        <x:v>L2023-00053-1</x:v>
      </x:c>
      <x:c r="C423" s="22" t="str">
        <x:v>WORKS</x:v>
      </x:c>
      <x:c r="D423" s="25" t="str">
        <x:v>L2023-00053-1/Urgench VTC Bid Attachment Documents/Urgench VTC Bid Attachment Documents/Section 4.  Bill of Quantities(Not-Priced)/공내역서/VTC견적서/4 БУФЕТ(Cafeteria)/4-7 ВН, СКС(CCTV &amp; Network)/bv13320.xls</x:v>
      </x:c>
      <x:c r="E423" s="22" t="str">
        <x:v>.xls</x:v>
      </x:c>
      <x:c r="F423" s="28" t="n">
        <x:v>87040</x:v>
      </x:c>
      <x:c r="G423" s="28" t="str">
        <x:v>361a226fbda147a7d7ef7fb5d8d6d1c8872c0ed1662beb04e60fbd5668ac0762</x:v>
      </x:c>
      <x:c r="H423" s="28" t="n">
        <x:v>1</x:v>
      </x:c>
      <x:c r="I423" s="28" t="n">
        <x:v>1</x:v>
      </x:c>
      <x:c r="J423" s="28" t="n">
        <x:v>0</x:v>
      </x:c>
      <x:c r="K423" s="28" t="n">
        <x:v>0</x:v>
      </x:c>
      <x:c r="L423" s="28" t="n">
        <x:v>0</x:v>
      </x:c>
      <x:c r="M423" s="28" t="n">
        <x:v>0</x:v>
      </x:c>
      <x:c r="N423" s="22" t="str"/>
      <x:c r="O423" s="22" t="str"/>
      <x:c r="P423" s="22" t="n">
        <x:v>0</x:v>
      </x:c>
      <x:c r="Q423" s="40" t="n">
        <x:v>0</x:v>
      </x:c>
      <x:c r="R423" s="25" t="str"/>
      <x:c r="S423" s="25" t="str">
        <x:v>BOQ_NAME_ONLY</x:v>
      </x:c>
      <x:c r="T423" s="25" t="str">
        <x:v>자동 표 신호는 최종 A/B로 승격하지 않음</x:v>
      </x:c>
      <x:c r="U423" s="22" t="str">
        <x:v>2021-2025</x:v>
      </x:c>
    </x:row>
    <x:row r="424">
      <x:c r="A424" s="22" t="str">
        <x:v>2020-00086</x:v>
      </x:c>
      <x:c r="B424" s="22" t="str">
        <x:v>L2023-00053-1</x:v>
      </x:c>
      <x:c r="C424" s="22" t="str">
        <x:v>WORKS</x:v>
      </x:c>
      <x:c r="D424" s="25" t="str">
        <x:v>L2023-00053-1/Urgench VTC Bid Attachment Documents/Urgench VTC Bid Attachment Documents/Section 4.  Bill of Quantities(Not-Priced)/공내역서/VTC견적서/4 БУФЕТ(Cafeteria)/4-5 ЭО(Electric)/13383_vrmu.xls</x:v>
      </x:c>
      <x:c r="E424" s="22" t="str">
        <x:v>.xls</x:v>
      </x:c>
      <x:c r="F424" s="28" t="n">
        <x:v>60416</x:v>
      </x:c>
      <x:c r="G424" s="28" t="str">
        <x:v>2277aa6b32da71292f8a69faae1241528367c8c6929e15a3ba1b26669f36572d</x:v>
      </x:c>
      <x:c r="H424" s="28" t="n">
        <x:v>1</x:v>
      </x:c>
      <x:c r="I424" s="28" t="n">
        <x:v>1</x:v>
      </x:c>
      <x:c r="J424" s="28" t="n">
        <x:v>1</x:v>
      </x:c>
      <x:c r="K424" s="28" t="n">
        <x:v>83</x:v>
      </x:c>
      <x:c r="L424" s="28" t="n">
        <x:v>1</x:v>
      </x:c>
      <x:c r="M424" s="28" t="n">
        <x:v>0</x:v>
      </x:c>
      <x:c r="N424" s="22" t="str">
        <x:v>Лист1</x:v>
      </x:c>
      <x:c r="O424" s="22" t="str">
        <x:v>visible</x:v>
      </x:c>
      <x:c r="P424" s="22" t="n">
        <x:v>8</x:v>
      </x:c>
      <x:c r="Q424" s="40" t="n">
        <x:v>0.012048192771084338</x:v>
      </x:c>
      <x:c r="R424" s="25" t="str"/>
      <x:c r="S424" s="25" t="str">
        <x:v>B?</x:v>
      </x:c>
      <x:c r="T424" s="25" t="str">
        <x:v>자동 표 신호는 최종 A/B로 승격하지 않음</x:v>
      </x:c>
      <x:c r="U424" s="22" t="str">
        <x:v>2021-2025</x:v>
      </x:c>
    </x:row>
    <x:row r="425">
      <x:c r="A425" s="22" t="str">
        <x:v>2020-00086</x:v>
      </x:c>
      <x:c r="B425" s="22" t="str">
        <x:v>L2023-00053-1</x:v>
      </x:c>
      <x:c r="C425" s="22" t="str">
        <x:v>WORKS</x:v>
      </x:c>
      <x:c r="D425" s="25" t="str">
        <x:v>L2023-00053-1/Urgench VTC Bid Attachment Documents/Urgench VTC Bid Attachment Documents/Section 4.  Bill of Quantities(Not-Priced)/공내역서/VTC견적서/4 БУФЕТ(Cafeteria)/4-5 ЭО(Electric)/bv13380.xls</x:v>
      </x:c>
      <x:c r="E425" s="22" t="str">
        <x:v>.xls</x:v>
      </x:c>
      <x:c r="F425" s="28" t="n">
        <x:v>105984</x:v>
      </x:c>
      <x:c r="G425" s="28" t="str">
        <x:v>ca022ac74868089349f7351ccbad69acd7123e242598613111ebc50d6fe072f5</x:v>
      </x:c>
      <x:c r="H425" s="28" t="n">
        <x:v>1</x:v>
      </x:c>
      <x:c r="I425" s="28" t="n">
        <x:v>1</x:v>
      </x:c>
      <x:c r="J425" s="28" t="n">
        <x:v>0</x:v>
      </x:c>
      <x:c r="K425" s="28" t="n">
        <x:v>0</x:v>
      </x:c>
      <x:c r="L425" s="28" t="n">
        <x:v>0</x:v>
      </x:c>
      <x:c r="M425" s="28" t="n">
        <x:v>0</x:v>
      </x:c>
      <x:c r="N425" s="22" t="str"/>
      <x:c r="O425" s="22" t="str"/>
      <x:c r="P425" s="22" t="n">
        <x:v>0</x:v>
      </x:c>
      <x:c r="Q425" s="40" t="n">
        <x:v>0</x:v>
      </x:c>
      <x:c r="R425" s="25" t="str"/>
      <x:c r="S425" s="25" t="str">
        <x:v>BOQ_NAME_ONLY</x:v>
      </x:c>
      <x:c r="T425" s="25" t="str">
        <x:v>자동 표 신호는 최종 A/B로 승격하지 않음</x:v>
      </x:c>
      <x:c r="U425" s="22" t="str">
        <x:v>2021-2025</x:v>
      </x:c>
    </x:row>
    <x:row r="426">
      <x:c r="A426" s="22" t="str">
        <x:v>2020-00086</x:v>
      </x:c>
      <x:c r="B426" s="22" t="str">
        <x:v>L2023-00053-1</x:v>
      </x:c>
      <x:c r="C426" s="22" t="str">
        <x:v>WORKS</x:v>
      </x:c>
      <x:c r="D426" s="25" t="str">
        <x:v>L2023-00053-1/Urgench VTC Bid Attachment Documents/Urgench VTC Bid Attachment Documents/Section 4.  Bill of Quantities(Not-Priced)/공내역서/VTC견적서/4 БУФЕТ(Cafeteria)/4-5 ЭО(Electric)/13383_vfor.xls</x:v>
      </x:c>
      <x:c r="E426" s="22" t="str">
        <x:v>.xls</x:v>
      </x:c>
      <x:c r="F426" s="28" t="n">
        <x:v>52736</x:v>
      </x:c>
      <x:c r="G426" s="28" t="str">
        <x:v>aa89940fa2c1f84aa2274538c4d5e33fe9d0802c4f52e1d9d71978122c7ca737</x:v>
      </x:c>
      <x:c r="H426" s="28" t="n">
        <x:v>1</x:v>
      </x:c>
      <x:c r="I426" s="28" t="n">
        <x:v>1</x:v>
      </x:c>
      <x:c r="J426" s="28" t="n">
        <x:v>0</x:v>
      </x:c>
      <x:c r="K426" s="28" t="n">
        <x:v>0</x:v>
      </x:c>
      <x:c r="L426" s="28" t="n">
        <x:v>0</x:v>
      </x:c>
      <x:c r="M426" s="28" t="n">
        <x:v>0</x:v>
      </x:c>
      <x:c r="N426" s="22" t="str"/>
      <x:c r="O426" s="22" t="str"/>
      <x:c r="P426" s="22" t="n">
        <x:v>0</x:v>
      </x:c>
      <x:c r="Q426" s="40" t="n">
        <x:v>0</x:v>
      </x:c>
      <x:c r="R426" s="25" t="str"/>
      <x:c r="S426" s="25" t="str">
        <x:v>BOQ_NAME_ONLY</x:v>
      </x:c>
      <x:c r="T426" s="25" t="str">
        <x:v>자동 표 신호는 최종 A/B로 승격하지 않음</x:v>
      </x:c>
      <x:c r="U426" s="22" t="str">
        <x:v>2021-2025</x:v>
      </x:c>
    </x:row>
    <x:row r="427">
      <x:c r="A427" s="22" t="str">
        <x:v>2020-00086</x:v>
      </x:c>
      <x:c r="B427" s="22" t="str">
        <x:v>L2023-00053-1</x:v>
      </x:c>
      <x:c r="C427" s="22" t="str">
        <x:v>WORKS</x:v>
      </x:c>
      <x:c r="D427" s="25" t="str">
        <x:v>L2023-00053-1/Urgench VTC Bid Attachment Documents/Urgench VTC Bid Attachment Documents/Section 4.  Bill of Quantities(Not-Priced)/공내역서/VTC견적서/4 БУФЕТ(Cafeteria)/4-3 ОВ(Heating &amp; Ventilation)/bv13570.xls</x:v>
      </x:c>
      <x:c r="E427" s="22" t="str">
        <x:v>.xls</x:v>
      </x:c>
      <x:c r="F427" s="28" t="n">
        <x:v>122368</x:v>
      </x:c>
      <x:c r="G427" s="28" t="str">
        <x:v>60e01915d1915446e6fbcf0c477ec5ae0ee632ec951cf92acae51a0c7039940e</x:v>
      </x:c>
      <x:c r="H427" s="28" t="n">
        <x:v>1</x:v>
      </x:c>
      <x:c r="I427" s="28" t="n">
        <x:v>1</x:v>
      </x:c>
      <x:c r="J427" s="28" t="n">
        <x:v>0</x:v>
      </x:c>
      <x:c r="K427" s="28" t="n">
        <x:v>0</x:v>
      </x:c>
      <x:c r="L427" s="28" t="n">
        <x:v>0</x:v>
      </x:c>
      <x:c r="M427" s="28" t="n">
        <x:v>0</x:v>
      </x:c>
      <x:c r="N427" s="22" t="str"/>
      <x:c r="O427" s="22" t="str"/>
      <x:c r="P427" s="22" t="n">
        <x:v>0</x:v>
      </x:c>
      <x:c r="Q427" s="40" t="n">
        <x:v>0</x:v>
      </x:c>
      <x:c r="R427" s="25" t="str"/>
      <x:c r="S427" s="25" t="str">
        <x:v>BOQ_NAME_ONLY</x:v>
      </x:c>
      <x:c r="T427" s="25" t="str">
        <x:v>자동 표 신호는 최종 A/B로 승격하지 않음</x:v>
      </x:c>
      <x:c r="U427" s="22" t="str">
        <x:v>2021-2025</x:v>
      </x:c>
    </x:row>
    <x:row r="428">
      <x:c r="A428" s="22" t="str">
        <x:v>2020-00086</x:v>
      </x:c>
      <x:c r="B428" s="22" t="str">
        <x:v>L2023-00053-1</x:v>
      </x:c>
      <x:c r="C428" s="22" t="str">
        <x:v>WORKS</x:v>
      </x:c>
      <x:c r="D428" s="25" t="str">
        <x:v>L2023-00053-1/Urgench VTC Bid Attachment Documents/Urgench VTC Bid Attachment Documents/Section 4.  Bill of Quantities(Not-Priced)/공내역서/VTC견적서/4 БУФЕТ(Cafeteria)/4-3 ОВ(Heating &amp; Ventilation)/13573_vfor.xls</x:v>
      </x:c>
      <x:c r="E428" s="22" t="str">
        <x:v>.xls</x:v>
      </x:c>
      <x:c r="F428" s="28" t="n">
        <x:v>51200</x:v>
      </x:c>
      <x:c r="G428" s="28" t="str">
        <x:v>d5904d9daa78238ff69eaa06732493e5c87423d6e508d7e7e0b3f03109494c34</x:v>
      </x:c>
      <x:c r="H428" s="28" t="n">
        <x:v>1</x:v>
      </x:c>
      <x:c r="I428" s="28" t="n">
        <x:v>1</x:v>
      </x:c>
      <x:c r="J428" s="28" t="n">
        <x:v>0</x:v>
      </x:c>
      <x:c r="K428" s="28" t="n">
        <x:v>0</x:v>
      </x:c>
      <x:c r="L428" s="28" t="n">
        <x:v>0</x:v>
      </x:c>
      <x:c r="M428" s="28" t="n">
        <x:v>0</x:v>
      </x:c>
      <x:c r="N428" s="22" t="str"/>
      <x:c r="O428" s="22" t="str"/>
      <x:c r="P428" s="22" t="n">
        <x:v>0</x:v>
      </x:c>
      <x:c r="Q428" s="40" t="n">
        <x:v>0</x:v>
      </x:c>
      <x:c r="R428" s="25" t="str"/>
      <x:c r="S428" s="25" t="str">
        <x:v>BOQ_NAME_ONLY</x:v>
      </x:c>
      <x:c r="T428" s="25" t="str">
        <x:v>자동 표 신호는 최종 A/B로 승격하지 않음</x:v>
      </x:c>
      <x:c r="U428" s="22" t="str">
        <x:v>2021-2025</x:v>
      </x:c>
    </x:row>
    <x:row r="429">
      <x:c r="A429" s="22" t="str">
        <x:v>2020-00086</x:v>
      </x:c>
      <x:c r="B429" s="22" t="str">
        <x:v>L2023-00053-1</x:v>
      </x:c>
      <x:c r="C429" s="22" t="str">
        <x:v>WORKS</x:v>
      </x:c>
      <x:c r="D429" s="25" t="str">
        <x:v>L2023-00053-1/Urgench VTC Bid Attachment Documents/Urgench VTC Bid Attachment Documents/Section 4.  Bill of Quantities(Not-Priced)/공내역서/VTC견적서/4 БУФЕТ(Cafeteria)/4-3 ОВ(Heating &amp; Ventilation)/13573_vrmu.xls</x:v>
      </x:c>
      <x:c r="E429" s="22" t="str">
        <x:v>.xls</x:v>
      </x:c>
      <x:c r="F429" s="28" t="n">
        <x:v>60928</x:v>
      </x:c>
      <x:c r="G429" s="28" t="str">
        <x:v>a5a7bba5cee708cae574407190c4325ce23010e6102a49546438bd114ab4ad90</x:v>
      </x:c>
      <x:c r="H429" s="28" t="n">
        <x:v>1</x:v>
      </x:c>
      <x:c r="I429" s="28" t="n">
        <x:v>1</x:v>
      </x:c>
      <x:c r="J429" s="28" t="n">
        <x:v>1</x:v>
      </x:c>
      <x:c r="K429" s="28" t="n">
        <x:v>101</x:v>
      </x:c>
      <x:c r="L429" s="28" t="n">
        <x:v>1</x:v>
      </x:c>
      <x:c r="M429" s="28" t="n">
        <x:v>0</x:v>
      </x:c>
      <x:c r="N429" s="22" t="str">
        <x:v>Лист1</x:v>
      </x:c>
      <x:c r="O429" s="22" t="str">
        <x:v>visible</x:v>
      </x:c>
      <x:c r="P429" s="22" t="n">
        <x:v>8</x:v>
      </x:c>
      <x:c r="Q429" s="40" t="n">
        <x:v>0.009900990099009901</x:v>
      </x:c>
      <x:c r="R429" s="25" t="str"/>
      <x:c r="S429" s="25" t="str">
        <x:v>B?</x:v>
      </x:c>
      <x:c r="T429" s="25" t="str">
        <x:v>자동 표 신호는 최종 A/B로 승격하지 않음</x:v>
      </x:c>
      <x:c r="U429" s="22" t="str">
        <x:v>2021-2025</x:v>
      </x:c>
    </x:row>
    <x:row r="430">
      <x:c r="A430" s="22" t="str">
        <x:v>2020-00086</x:v>
      </x:c>
      <x:c r="B430" s="22" t="str">
        <x:v>L2023-00053-1</x:v>
      </x:c>
      <x:c r="C430" s="22" t="str">
        <x:v>WORKS</x:v>
      </x:c>
      <x:c r="D430" s="25" t="str">
        <x:v>L2023-00053-1/Urgench VTC Bid Attachment Documents/Urgench VTC Bid Attachment Documents/Section 4.  Bill of Quantities(Not-Priced)/공내역서/VTC견적서/4 БУФЕТ(Cafeteria)/4-2 АР(Architecture)/13173_vfor.xls</x:v>
      </x:c>
      <x:c r="E430" s="22" t="str">
        <x:v>.xls</x:v>
      </x:c>
      <x:c r="F430" s="28" t="n">
        <x:v>46080</x:v>
      </x:c>
      <x:c r="G430" s="28" t="str">
        <x:v>c8b6f0c18efd3eccb7d44d4f282da38be8bd7c5687a2b12e1320ea9b2d445a18</x:v>
      </x:c>
      <x:c r="H430" s="28" t="n">
        <x:v>1</x:v>
      </x:c>
      <x:c r="I430" s="28" t="n">
        <x:v>1</x:v>
      </x:c>
      <x:c r="J430" s="28" t="n">
        <x:v>0</x:v>
      </x:c>
      <x:c r="K430" s="28" t="n">
        <x:v>0</x:v>
      </x:c>
      <x:c r="L430" s="28" t="n">
        <x:v>0</x:v>
      </x:c>
      <x:c r="M430" s="28" t="n">
        <x:v>0</x:v>
      </x:c>
      <x:c r="N430" s="22" t="str"/>
      <x:c r="O430" s="22" t="str"/>
      <x:c r="P430" s="22" t="n">
        <x:v>0</x:v>
      </x:c>
      <x:c r="Q430" s="40" t="n">
        <x:v>0</x:v>
      </x:c>
      <x:c r="R430" s="25" t="str"/>
      <x:c r="S430" s="25" t="str">
        <x:v>BOQ_NAME_ONLY</x:v>
      </x:c>
      <x:c r="T430" s="25" t="str">
        <x:v>자동 표 신호는 최종 A/B로 승격하지 않음</x:v>
      </x:c>
      <x:c r="U430" s="22" t="str">
        <x:v>2021-2025</x:v>
      </x:c>
    </x:row>
    <x:row r="431">
      <x:c r="A431" s="22" t="str">
        <x:v>2020-00086</x:v>
      </x:c>
      <x:c r="B431" s="22" t="str">
        <x:v>L2023-00053-1</x:v>
      </x:c>
      <x:c r="C431" s="22" t="str">
        <x:v>WORKS</x:v>
      </x:c>
      <x:c r="D431" s="25" t="str">
        <x:v>L2023-00053-1/Urgench VTC Bid Attachment Documents/Urgench VTC Bid Attachment Documents/Section 4.  Bill of Quantities(Not-Priced)/공내역서/VTC견적서/4 БУФЕТ(Cafeteria)/4-2 АР(Architecture)/bv13170.xls</x:v>
      </x:c>
      <x:c r="E431" s="22" t="str">
        <x:v>.xls</x:v>
      </x:c>
      <x:c r="F431" s="28" t="n">
        <x:v>115200</x:v>
      </x:c>
      <x:c r="G431" s="28" t="str">
        <x:v>90d2bed5ebcd297c0fb0bd22fc2a056d950d9a2b3cc977b05f9c01dfd7e4410e</x:v>
      </x:c>
      <x:c r="H431" s="28" t="n">
        <x:v>1</x:v>
      </x:c>
      <x:c r="I431" s="28" t="n">
        <x:v>1</x:v>
      </x:c>
      <x:c r="J431" s="28" t="n">
        <x:v>0</x:v>
      </x:c>
      <x:c r="K431" s="28" t="n">
        <x:v>0</x:v>
      </x:c>
      <x:c r="L431" s="28" t="n">
        <x:v>0</x:v>
      </x:c>
      <x:c r="M431" s="28" t="n">
        <x:v>0</x:v>
      </x:c>
      <x:c r="N431" s="22" t="str"/>
      <x:c r="O431" s="22" t="str"/>
      <x:c r="P431" s="22" t="n">
        <x:v>0</x:v>
      </x:c>
      <x:c r="Q431" s="40" t="n">
        <x:v>0</x:v>
      </x:c>
      <x:c r="R431" s="25" t="str"/>
      <x:c r="S431" s="25" t="str">
        <x:v>BOQ_NAME_ONLY</x:v>
      </x:c>
      <x:c r="T431" s="25" t="str">
        <x:v>자동 표 신호는 최종 A/B로 승격하지 않음</x:v>
      </x:c>
      <x:c r="U431" s="22" t="str">
        <x:v>2021-2025</x:v>
      </x:c>
    </x:row>
    <x:row r="432">
      <x:c r="A432" s="22" t="str">
        <x:v>2020-00086</x:v>
      </x:c>
      <x:c r="B432" s="22" t="str">
        <x:v>L2023-00053-1</x:v>
      </x:c>
      <x:c r="C432" s="22" t="str">
        <x:v>WORKS</x:v>
      </x:c>
      <x:c r="D432" s="25" t="str">
        <x:v>L2023-00053-1/Urgench VTC Bid Attachment Documents/Urgench VTC Bid Attachment Documents/Section 4.  Bill of Quantities(Not-Priced)/공내역서/VTC견적서/4 БУФЕТ(Cafeteria)/4-2 АР(Architecture)/13173_vrmu.xls</x:v>
      </x:c>
      <x:c r="E432" s="22" t="str">
        <x:v>.xls</x:v>
      </x:c>
      <x:c r="F432" s="28" t="n">
        <x:v>57344</x:v>
      </x:c>
      <x:c r="G432" s="28" t="str">
        <x:v>41f2d0b5bfa1724a0a6f25b395a07b6a4bbfa2179ab0651f1ac22066c407f406</x:v>
      </x:c>
      <x:c r="H432" s="28" t="n">
        <x:v>1</x:v>
      </x:c>
      <x:c r="I432" s="28" t="n">
        <x:v>1</x:v>
      </x:c>
      <x:c r="J432" s="28" t="n">
        <x:v>1</x:v>
      </x:c>
      <x:c r="K432" s="28" t="n">
        <x:v>97</x:v>
      </x:c>
      <x:c r="L432" s="28" t="n">
        <x:v>1</x:v>
      </x:c>
      <x:c r="M432" s="28" t="n">
        <x:v>0</x:v>
      </x:c>
      <x:c r="N432" s="22" t="str">
        <x:v>Лист1</x:v>
      </x:c>
      <x:c r="O432" s="22" t="str">
        <x:v>visible</x:v>
      </x:c>
      <x:c r="P432" s="22" t="n">
        <x:v>8</x:v>
      </x:c>
      <x:c r="Q432" s="40" t="n">
        <x:v>0.010309278350515464</x:v>
      </x:c>
      <x:c r="R432" s="25" t="str"/>
      <x:c r="S432" s="25" t="str">
        <x:v>B?</x:v>
      </x:c>
      <x:c r="T432" s="25" t="str">
        <x:v>자동 표 신호는 최종 A/B로 승격하지 않음</x:v>
      </x:c>
      <x:c r="U432" s="22" t="str">
        <x:v>2021-2025</x:v>
      </x:c>
    </x:row>
    <x:row r="433">
      <x:c r="A433" s="22" t="str">
        <x:v>2020-00086</x:v>
      </x:c>
      <x:c r="B433" s="22" t="str">
        <x:v>L2023-00053-1</x:v>
      </x:c>
      <x:c r="C433" s="22" t="str">
        <x:v>WORKS</x:v>
      </x:c>
      <x:c r="D433" s="25" t="str">
        <x:v>L2023-00053-1/Urgench VTC Bid Attachment Documents/Urgench VTC Bid Attachment Documents/Section 4.  Bill of Quantities(Not-Priced)/공내역서/VTC견적서/4 БУФЕТ(Cafeteria)/4-4 ВК(Water &amp; Sewer &amp; Fireplug)/13143_vrmu.xls</x:v>
      </x:c>
      <x:c r="E433" s="22" t="str">
        <x:v>.xls</x:v>
      </x:c>
      <x:c r="F433" s="28" t="n">
        <x:v>58880</x:v>
      </x:c>
      <x:c r="G433" s="28" t="str">
        <x:v>027d687c679bf6e9cdeb0a54bacb5e7bb8bbeb103807f88b0bfeb421b7cf4c55</x:v>
      </x:c>
      <x:c r="H433" s="28" t="n">
        <x:v>1</x:v>
      </x:c>
      <x:c r="I433" s="28" t="n">
        <x:v>1</x:v>
      </x:c>
      <x:c r="J433" s="28" t="n">
        <x:v>1</x:v>
      </x:c>
      <x:c r="K433" s="28" t="n">
        <x:v>92</x:v>
      </x:c>
      <x:c r="L433" s="28" t="n">
        <x:v>1</x:v>
      </x:c>
      <x:c r="M433" s="28" t="n">
        <x:v>0</x:v>
      </x:c>
      <x:c r="N433" s="22" t="str">
        <x:v>Лист1</x:v>
      </x:c>
      <x:c r="O433" s="22" t="str">
        <x:v>visible</x:v>
      </x:c>
      <x:c r="P433" s="22" t="n">
        <x:v>8</x:v>
      </x:c>
      <x:c r="Q433" s="40" t="n">
        <x:v>0.010869565217391304</x:v>
      </x:c>
      <x:c r="R433" s="25" t="str"/>
      <x:c r="S433" s="25" t="str">
        <x:v>B?</x:v>
      </x:c>
      <x:c r="T433" s="25" t="str">
        <x:v>자동 표 신호는 최종 A/B로 승격하지 않음</x:v>
      </x:c>
      <x:c r="U433" s="22" t="str">
        <x:v>2021-2025</x:v>
      </x:c>
    </x:row>
    <x:row r="434">
      <x:c r="A434" s="22" t="str">
        <x:v>2020-00086</x:v>
      </x:c>
      <x:c r="B434" s="22" t="str">
        <x:v>L2023-00053-1</x:v>
      </x:c>
      <x:c r="C434" s="22" t="str">
        <x:v>WORKS</x:v>
      </x:c>
      <x:c r="D434" s="25" t="str">
        <x:v>L2023-00053-1/Urgench VTC Bid Attachment Documents/Urgench VTC Bid Attachment Documents/Section 4.  Bill of Quantities(Not-Priced)/공내역서/VTC견적서/4 БУФЕТ(Cafeteria)/4-4 ВК(Water &amp; Sewer &amp; Fireplug)/bv13140.xls</x:v>
      </x:c>
      <x:c r="E434" s="22" t="str">
        <x:v>.xls</x:v>
      </x:c>
      <x:c r="F434" s="28" t="n">
        <x:v>101376</x:v>
      </x:c>
      <x:c r="G434" s="28" t="str">
        <x:v>30d7129e70a2f8c02e76abae0bdc44883ba9865a77d3abb89c0c70e00a6481d7</x:v>
      </x:c>
      <x:c r="H434" s="28" t="n">
        <x:v>1</x:v>
      </x:c>
      <x:c r="I434" s="28" t="n">
        <x:v>1</x:v>
      </x:c>
      <x:c r="J434" s="28" t="n">
        <x:v>0</x:v>
      </x:c>
      <x:c r="K434" s="28" t="n">
        <x:v>0</x:v>
      </x:c>
      <x:c r="L434" s="28" t="n">
        <x:v>0</x:v>
      </x:c>
      <x:c r="M434" s="28" t="n">
        <x:v>0</x:v>
      </x:c>
      <x:c r="N434" s="22" t="str"/>
      <x:c r="O434" s="22" t="str"/>
      <x:c r="P434" s="22" t="n">
        <x:v>0</x:v>
      </x:c>
      <x:c r="Q434" s="40" t="n">
        <x:v>0</x:v>
      </x:c>
      <x:c r="R434" s="25" t="str"/>
      <x:c r="S434" s="25" t="str">
        <x:v>BOQ_NAME_ONLY</x:v>
      </x:c>
      <x:c r="T434" s="25" t="str">
        <x:v>자동 표 신호는 최종 A/B로 승격하지 않음</x:v>
      </x:c>
      <x:c r="U434" s="22" t="str">
        <x:v>2021-2025</x:v>
      </x:c>
    </x:row>
    <x:row r="435">
      <x:c r="A435" s="22" t="str">
        <x:v>2020-00086</x:v>
      </x:c>
      <x:c r="B435" s="22" t="str">
        <x:v>L2023-00053-1</x:v>
      </x:c>
      <x:c r="C435" s="22" t="str">
        <x:v>WORKS</x:v>
      </x:c>
      <x:c r="D435" s="25" t="str">
        <x:v>L2023-00053-1/Urgench VTC Bid Attachment Documents/Urgench VTC Bid Attachment Documents/Section 4.  Bill of Quantities(Not-Priced)/공내역서/VTC견적서/4 БУФЕТ(Cafeteria)/4-4 ВК(Water &amp; Sewer &amp; Fireplug)/13143_vfor.xls</x:v>
      </x:c>
      <x:c r="E435" s="22" t="str">
        <x:v>.xls</x:v>
      </x:c>
      <x:c r="F435" s="28" t="n">
        <x:v>44544</x:v>
      </x:c>
      <x:c r="G435" s="28" t="str">
        <x:v>98b13878ef8ab7c9d3cae5fa8b44fee5f5ee24bd74d0cf10dc4c1be4092da457</x:v>
      </x:c>
      <x:c r="H435" s="28" t="n">
        <x:v>1</x:v>
      </x:c>
      <x:c r="I435" s="28" t="n">
        <x:v>1</x:v>
      </x:c>
      <x:c r="J435" s="28" t="n">
        <x:v>0</x:v>
      </x:c>
      <x:c r="K435" s="28" t="n">
        <x:v>0</x:v>
      </x:c>
      <x:c r="L435" s="28" t="n">
        <x:v>0</x:v>
      </x:c>
      <x:c r="M435" s="28" t="n">
        <x:v>0</x:v>
      </x:c>
      <x:c r="N435" s="22" t="str"/>
      <x:c r="O435" s="22" t="str"/>
      <x:c r="P435" s="22" t="n">
        <x:v>0</x:v>
      </x:c>
      <x:c r="Q435" s="40" t="n">
        <x:v>0</x:v>
      </x:c>
      <x:c r="R435" s="25" t="str"/>
      <x:c r="S435" s="25" t="str">
        <x:v>BOQ_NAME_ONLY</x:v>
      </x:c>
      <x:c r="T435" s="25" t="str">
        <x:v>자동 표 신호는 최종 A/B로 승격하지 않음</x:v>
      </x:c>
      <x:c r="U435" s="22" t="str">
        <x:v>2021-2025</x:v>
      </x:c>
    </x:row>
    <x:row r="436">
      <x:c r="A436" s="22" t="str">
        <x:v>2020-00086</x:v>
      </x:c>
      <x:c r="B436" s="22" t="str">
        <x:v>L2023-00053-1</x:v>
      </x:c>
      <x:c r="C436" s="22" t="str">
        <x:v>WORKS</x:v>
      </x:c>
      <x:c r="D436" s="25" t="str">
        <x:v>L2023-00053-1/Urgench VTC Bid Attachment Documents/Urgench VTC Bid Attachment Documents/Section 4.  Bill of Quantities(Not-Priced)/공내역서/VTC견적서/4 БУФЕТ(Cafeteria)/4-1 КЖ(Structure)/bv13000.xls</x:v>
      </x:c>
      <x:c r="E436" s="22" t="str">
        <x:v>.xls</x:v>
      </x:c>
      <x:c r="F436" s="28" t="n">
        <x:v>156672</x:v>
      </x:c>
      <x:c r="G436" s="28" t="str">
        <x:v>e49a76056dacf893c3d8796df531ea37b5095b5abc0a8b4162cbcaa36a253bf9</x:v>
      </x:c>
      <x:c r="H436" s="28" t="n">
        <x:v>1</x:v>
      </x:c>
      <x:c r="I436" s="28" t="n">
        <x:v>1</x:v>
      </x:c>
      <x:c r="J436" s="28" t="n">
        <x:v>0</x:v>
      </x:c>
      <x:c r="K436" s="28" t="n">
        <x:v>0</x:v>
      </x:c>
      <x:c r="L436" s="28" t="n">
        <x:v>0</x:v>
      </x:c>
      <x:c r="M436" s="28" t="n">
        <x:v>0</x:v>
      </x:c>
      <x:c r="N436" s="22" t="str"/>
      <x:c r="O436" s="22" t="str"/>
      <x:c r="P436" s="22" t="n">
        <x:v>0</x:v>
      </x:c>
      <x:c r="Q436" s="40" t="n">
        <x:v>0</x:v>
      </x:c>
      <x:c r="R436" s="25" t="str"/>
      <x:c r="S436" s="25" t="str">
        <x:v>BOQ_NAME_ONLY</x:v>
      </x:c>
      <x:c r="T436" s="25" t="str">
        <x:v>자동 표 신호는 최종 A/B로 승격하지 않음</x:v>
      </x:c>
      <x:c r="U436" s="22" t="str">
        <x:v>2021-2025</x:v>
      </x:c>
    </x:row>
    <x:row r="437">
      <x:c r="A437" s="22" t="str">
        <x:v>2020-00086</x:v>
      </x:c>
      <x:c r="B437" s="22" t="str">
        <x:v>L2023-00053-1</x:v>
      </x:c>
      <x:c r="C437" s="22" t="str">
        <x:v>WORKS</x:v>
      </x:c>
      <x:c r="D437" s="25" t="str">
        <x:v>L2023-00053-1/Urgench VTC Bid Attachment Documents/Urgench VTC Bid Attachment Documents/Section 4.  Bill of Quantities(Not-Priced)/공내역서/VTC견적서/4 БУФЕТ(Cafeteria)/4-1 КЖ(Structure)/13003_vrmu.xls</x:v>
      </x:c>
      <x:c r="E437" s="22" t="str">
        <x:v>.xls</x:v>
      </x:c>
      <x:c r="F437" s="28" t="n">
        <x:v>62464</x:v>
      </x:c>
      <x:c r="G437" s="28" t="str">
        <x:v>d72b64907d7daa57e525829fef7b974213dd612efc93728136b1f9a32ba64193</x:v>
      </x:c>
      <x:c r="H437" s="28" t="n">
        <x:v>1</x:v>
      </x:c>
      <x:c r="I437" s="28" t="n">
        <x:v>1</x:v>
      </x:c>
      <x:c r="J437" s="28" t="n">
        <x:v>1</x:v>
      </x:c>
      <x:c r="K437" s="28" t="n">
        <x:v>101</x:v>
      </x:c>
      <x:c r="L437" s="28" t="n">
        <x:v>1</x:v>
      </x:c>
      <x:c r="M437" s="28" t="n">
        <x:v>0</x:v>
      </x:c>
      <x:c r="N437" s="22" t="str">
        <x:v>Лист1</x:v>
      </x:c>
      <x:c r="O437" s="22" t="str">
        <x:v>visible</x:v>
      </x:c>
      <x:c r="P437" s="22" t="n">
        <x:v>8</x:v>
      </x:c>
      <x:c r="Q437" s="40" t="n">
        <x:v>0.009900990099009901</x:v>
      </x:c>
      <x:c r="R437" s="25" t="str"/>
      <x:c r="S437" s="25" t="str">
        <x:v>B?</x:v>
      </x:c>
      <x:c r="T437" s="25" t="str">
        <x:v>자동 표 신호는 최종 A/B로 승격하지 않음</x:v>
      </x:c>
      <x:c r="U437" s="22" t="str">
        <x:v>2021-2025</x:v>
      </x:c>
    </x:row>
    <x:row r="438">
      <x:c r="A438" s="22" t="str">
        <x:v>2020-00086</x:v>
      </x:c>
      <x:c r="B438" s="22" t="str">
        <x:v>L2023-00053-1</x:v>
      </x:c>
      <x:c r="C438" s="22" t="str">
        <x:v>WORKS</x:v>
      </x:c>
      <x:c r="D438" s="25" t="str">
        <x:v>L2023-00053-1/Urgench VTC Bid Attachment Documents/Urgench VTC Bid Attachment Documents/Section 4.  Bill of Quantities(Not-Priced)/공내역서/VTC견적서/4 БУФЕТ(Cafeteria)/4-1 КЖ(Structure)/13003_vfor.xls</x:v>
      </x:c>
      <x:c r="E438" s="22" t="str">
        <x:v>.xls</x:v>
      </x:c>
      <x:c r="F438" s="28" t="n">
        <x:v>50688</x:v>
      </x:c>
      <x:c r="G438" s="28" t="str">
        <x:v>3b1e98bbc6de0c72870866ac1c0c8db81940cd52c11496ff73a104140e3b986b</x:v>
      </x:c>
      <x:c r="H438" s="28" t="n">
        <x:v>1</x:v>
      </x:c>
      <x:c r="I438" s="28" t="n">
        <x:v>1</x:v>
      </x:c>
      <x:c r="J438" s="28" t="n">
        <x:v>0</x:v>
      </x:c>
      <x:c r="K438" s="28" t="n">
        <x:v>0</x:v>
      </x:c>
      <x:c r="L438" s="28" t="n">
        <x:v>0</x:v>
      </x:c>
      <x:c r="M438" s="28" t="n">
        <x:v>0</x:v>
      </x:c>
      <x:c r="N438" s="22" t="str"/>
      <x:c r="O438" s="22" t="str"/>
      <x:c r="P438" s="22" t="n">
        <x:v>0</x:v>
      </x:c>
      <x:c r="Q438" s="40" t="n">
        <x:v>0</x:v>
      </x:c>
      <x:c r="R438" s="25" t="str"/>
      <x:c r="S438" s="25" t="str">
        <x:v>BOQ_NAME_ONLY</x:v>
      </x:c>
      <x:c r="T438" s="25" t="str">
        <x:v>자동 표 신호는 최종 A/B로 승격하지 않음</x:v>
      </x:c>
      <x:c r="U438" s="22" t="str">
        <x:v>2021-2025</x:v>
      </x:c>
    </x:row>
    <x:row r="439">
      <x:c r="A439" s="22" t="str">
        <x:v>2020-00086</x:v>
      </x:c>
      <x:c r="B439" s="22" t="str">
        <x:v>L2023-00053-1</x:v>
      </x:c>
      <x:c r="C439" s="22" t="str">
        <x:v>WORKS</x:v>
      </x:c>
      <x:c r="D439" s="25" t="str">
        <x:v>L2023-00053-1/Urgench VTC Bid Attachment Documents/Urgench VTC Bid Attachment Documents/Section 4.  Bill of Quantities(Not-Priced)/공내역서/VTC견적서/4 БУФЕТ(Cafeteria)/4-6 ПС(Fire Alarm)/bv13310.xls</x:v>
      </x:c>
      <x:c r="E439" s="22" t="str">
        <x:v>.xls</x:v>
      </x:c>
      <x:c r="F439" s="28" t="n">
        <x:v>69120</x:v>
      </x:c>
      <x:c r="G439" s="28" t="str">
        <x:v>81809811b78a8dd144fece047c059af1fd7e7d922ba4e5f2d70343d6a2180b31</x:v>
      </x:c>
      <x:c r="H439" s="28" t="n">
        <x:v>1</x:v>
      </x:c>
      <x:c r="I439" s="28" t="n">
        <x:v>1</x:v>
      </x:c>
      <x:c r="J439" s="28" t="n">
        <x:v>0</x:v>
      </x:c>
      <x:c r="K439" s="28" t="n">
        <x:v>0</x:v>
      </x:c>
      <x:c r="L439" s="28" t="n">
        <x:v>0</x:v>
      </x:c>
      <x:c r="M439" s="28" t="n">
        <x:v>0</x:v>
      </x:c>
      <x:c r="N439" s="22" t="str"/>
      <x:c r="O439" s="22" t="str"/>
      <x:c r="P439" s="22" t="n">
        <x:v>0</x:v>
      </x:c>
      <x:c r="Q439" s="40" t="n">
        <x:v>0</x:v>
      </x:c>
      <x:c r="R439" s="25" t="str"/>
      <x:c r="S439" s="25" t="str">
        <x:v>BOQ_NAME_ONLY</x:v>
      </x:c>
      <x:c r="T439" s="25" t="str">
        <x:v>자동 표 신호는 최종 A/B로 승격하지 않음</x:v>
      </x:c>
      <x:c r="U439" s="22" t="str">
        <x:v>2021-2025</x:v>
      </x:c>
    </x:row>
    <x:row r="440">
      <x:c r="A440" s="22" t="str">
        <x:v>2020-00086</x:v>
      </x:c>
      <x:c r="B440" s="22" t="str">
        <x:v>L2023-00053-1</x:v>
      </x:c>
      <x:c r="C440" s="22" t="str">
        <x:v>WORKS</x:v>
      </x:c>
      <x:c r="D440" s="25" t="str">
        <x:v>L2023-00053-1/Urgench VTC Bid Attachment Documents/Urgench VTC Bid Attachment Documents/Section 4.  Bill of Quantities(Not-Priced)/공내역서/VTC견적서/4 БУФЕТ(Cafeteria)/4-6 ПС(Fire Alarm)/13313_vrmu.xls</x:v>
      </x:c>
      <x:c r="E440" s="22" t="str">
        <x:v>.xls</x:v>
      </x:c>
      <x:c r="F440" s="28" t="n">
        <x:v>46080</x:v>
      </x:c>
      <x:c r="G440" s="28" t="str">
        <x:v>01d43896faa9af4d2e70ba503954aaa3dc7c7ca5760cd23fc5cb4b35df1973d8</x:v>
      </x:c>
      <x:c r="H440" s="28" t="n">
        <x:v>1</x:v>
      </x:c>
      <x:c r="I440" s="28" t="n">
        <x:v>1</x:v>
      </x:c>
      <x:c r="J440" s="28" t="n">
        <x:v>1</x:v>
      </x:c>
      <x:c r="K440" s="28" t="n">
        <x:v>46</x:v>
      </x:c>
      <x:c r="L440" s="28" t="n">
        <x:v>1</x:v>
      </x:c>
      <x:c r="M440" s="28" t="n">
        <x:v>0</x:v>
      </x:c>
      <x:c r="N440" s="22" t="str">
        <x:v>Лист1</x:v>
      </x:c>
      <x:c r="O440" s="22" t="str">
        <x:v>visible</x:v>
      </x:c>
      <x:c r="P440" s="22" t="n">
        <x:v>8</x:v>
      </x:c>
      <x:c r="Q440" s="40" t="n">
        <x:v>0.021739130434782608</x:v>
      </x:c>
      <x:c r="R440" s="25" t="str"/>
      <x:c r="S440" s="25" t="str">
        <x:v>B?</x:v>
      </x:c>
      <x:c r="T440" s="25" t="str">
        <x:v>자동 표 신호는 최종 A/B로 승격하지 않음</x:v>
      </x:c>
      <x:c r="U440" s="22" t="str">
        <x:v>2021-2025</x:v>
      </x:c>
    </x:row>
    <x:row r="441">
      <x:c r="A441" s="22" t="str">
        <x:v>2020-00086</x:v>
      </x:c>
      <x:c r="B441" s="22" t="str">
        <x:v>L2023-00053-1</x:v>
      </x:c>
      <x:c r="C441" s="22" t="str">
        <x:v>WORKS</x:v>
      </x:c>
      <x:c r="D441" s="25" t="str">
        <x:v>L2023-00053-1/Urgench VTC Bid Attachment Documents/Urgench VTC Bid Attachment Documents/Section 4.  Bill of Quantities(Not-Priced)/공내역서/VTC견적서/4 БУФЕТ(Cafeteria)/4-6 ПС(Fire Alarm)/13313_vfor.xls</x:v>
      </x:c>
      <x:c r="E441" s="22" t="str">
        <x:v>.xls</x:v>
      </x:c>
      <x:c r="F441" s="28" t="n">
        <x:v>40960</x:v>
      </x:c>
      <x:c r="G441" s="28" t="str">
        <x:v>3a4adfa8a2b2159255f5e5fc7479802f38be4f2cb149beebcf59d780125a0c16</x:v>
      </x:c>
      <x:c r="H441" s="28" t="n">
        <x:v>1</x:v>
      </x:c>
      <x:c r="I441" s="28" t="n">
        <x:v>1</x:v>
      </x:c>
      <x:c r="J441" s="28" t="n">
        <x:v>0</x:v>
      </x:c>
      <x:c r="K441" s="28" t="n">
        <x:v>0</x:v>
      </x:c>
      <x:c r="L441" s="28" t="n">
        <x:v>0</x:v>
      </x:c>
      <x:c r="M441" s="28" t="n">
        <x:v>0</x:v>
      </x:c>
      <x:c r="N441" s="22" t="str"/>
      <x:c r="O441" s="22" t="str"/>
      <x:c r="P441" s="22" t="n">
        <x:v>0</x:v>
      </x:c>
      <x:c r="Q441" s="40" t="n">
        <x:v>0</x:v>
      </x:c>
      <x:c r="R441" s="25" t="str"/>
      <x:c r="S441" s="25" t="str">
        <x:v>BOQ_NAME_ONLY</x:v>
      </x:c>
      <x:c r="T441" s="25" t="str">
        <x:v>자동 표 신호는 최종 A/B로 승격하지 않음</x:v>
      </x:c>
      <x:c r="U441" s="22" t="str">
        <x:v>2021-2025</x:v>
      </x:c>
    </x:row>
    <x:row r="442">
      <x:c r="A442" s="22" t="str">
        <x:v>2020-00086</x:v>
      </x:c>
      <x:c r="B442" s="22" t="str">
        <x:v>L2023-00053-1</x:v>
      </x:c>
      <x:c r="C442" s="22" t="str">
        <x:v>WORKS</x:v>
      </x:c>
      <x:c r="D442" s="25" t="str">
        <x:v>L2023-00053-1/Urgench VTC Bid Attachment Documents/Urgench VTC Bid Attachment Documents/Section 4.  Bill of Quantities(Not-Priced)/공내역서/VTC견적서/4 БУФЕТ(Cafeteria)/4-8 ГСВ(Gas)/13473_vfor.xls</x:v>
      </x:c>
      <x:c r="E442" s="22" t="str">
        <x:v>.xls</x:v>
      </x:c>
      <x:c r="F442" s="28" t="n">
        <x:v>43008</x:v>
      </x:c>
      <x:c r="G442" s="28" t="str">
        <x:v>5d603195cdfc413bea2240ef38ba9f4d3adfd29a3e4a64767494df660b2149df</x:v>
      </x:c>
      <x:c r="H442" s="28" t="n">
        <x:v>1</x:v>
      </x:c>
      <x:c r="I442" s="28" t="n">
        <x:v>1</x:v>
      </x:c>
      <x:c r="J442" s="28" t="n">
        <x:v>0</x:v>
      </x:c>
      <x:c r="K442" s="28" t="n">
        <x:v>0</x:v>
      </x:c>
      <x:c r="L442" s="28" t="n">
        <x:v>0</x:v>
      </x:c>
      <x:c r="M442" s="28" t="n">
        <x:v>0</x:v>
      </x:c>
      <x:c r="N442" s="22" t="str"/>
      <x:c r="O442" s="22" t="str"/>
      <x:c r="P442" s="22" t="n">
        <x:v>0</x:v>
      </x:c>
      <x:c r="Q442" s="40" t="n">
        <x:v>0</x:v>
      </x:c>
      <x:c r="R442" s="25" t="str"/>
      <x:c r="S442" s="25" t="str">
        <x:v>BOQ_NAME_ONLY</x:v>
      </x:c>
      <x:c r="T442" s="25" t="str">
        <x:v>자동 표 신호는 최종 A/B로 승격하지 않음</x:v>
      </x:c>
      <x:c r="U442" s="22" t="str">
        <x:v>2021-2025</x:v>
      </x:c>
    </x:row>
    <x:row r="443">
      <x:c r="A443" s="22" t="str">
        <x:v>2020-00086</x:v>
      </x:c>
      <x:c r="B443" s="22" t="str">
        <x:v>L2023-00053-1</x:v>
      </x:c>
      <x:c r="C443" s="22" t="str">
        <x:v>WORKS</x:v>
      </x:c>
      <x:c r="D443" s="25" t="str">
        <x:v>L2023-00053-1/Urgench VTC Bid Attachment Documents/Urgench VTC Bid Attachment Documents/Section 4.  Bill of Quantities(Not-Priced)/공내역서/VTC견적서/4 БУФЕТ(Cafeteria)/4-8 ГСВ(Gas)/bv13470.xls</x:v>
      </x:c>
      <x:c r="E443" s="22" t="str">
        <x:v>.xls</x:v>
      </x:c>
      <x:c r="F443" s="28" t="n">
        <x:v>86528</x:v>
      </x:c>
      <x:c r="G443" s="28" t="str">
        <x:v>9089df465dcf44624bcfa1339c6394342f5633ca53765547ae3967955305ecea</x:v>
      </x:c>
      <x:c r="H443" s="28" t="n">
        <x:v>1</x:v>
      </x:c>
      <x:c r="I443" s="28" t="n">
        <x:v>1</x:v>
      </x:c>
      <x:c r="J443" s="28" t="n">
        <x:v>0</x:v>
      </x:c>
      <x:c r="K443" s="28" t="n">
        <x:v>0</x:v>
      </x:c>
      <x:c r="L443" s="28" t="n">
        <x:v>0</x:v>
      </x:c>
      <x:c r="M443" s="28" t="n">
        <x:v>0</x:v>
      </x:c>
      <x:c r="N443" s="22" t="str"/>
      <x:c r="O443" s="22" t="str"/>
      <x:c r="P443" s="22" t="n">
        <x:v>0</x:v>
      </x:c>
      <x:c r="Q443" s="40" t="n">
        <x:v>0</x:v>
      </x:c>
      <x:c r="R443" s="25" t="str"/>
      <x:c r="S443" s="25" t="str">
        <x:v>BOQ_NAME_ONLY</x:v>
      </x:c>
      <x:c r="T443" s="25" t="str">
        <x:v>자동 표 신호는 최종 A/B로 승격하지 않음</x:v>
      </x:c>
      <x:c r="U443" s="22" t="str">
        <x:v>2021-2025</x:v>
      </x:c>
    </x:row>
    <x:row r="444">
      <x:c r="A444" s="22" t="str">
        <x:v>2020-00086</x:v>
      </x:c>
      <x:c r="B444" s="22" t="str">
        <x:v>L2023-00053-1</x:v>
      </x:c>
      <x:c r="C444" s="22" t="str">
        <x:v>WORKS</x:v>
      </x:c>
      <x:c r="D444" s="25" t="str">
        <x:v>L2023-00053-1/Urgench VTC Bid Attachment Documents/Urgench VTC Bid Attachment Documents/Section 4.  Bill of Quantities(Not-Priced)/공내역서/VTC견적서/4 БУФЕТ(Cafeteria)/4-8 ГСВ(Gas)/13473_vrmu.xls</x:v>
      </x:c>
      <x:c r="E444" s="22" t="str">
        <x:v>.xls</x:v>
      </x:c>
      <x:c r="F444" s="28" t="n">
        <x:v>51712</x:v>
      </x:c>
      <x:c r="G444" s="28" t="str">
        <x:v>7895280f53f85a8490bd3a4cba8955f4e0267d7828d7adaca5eac514a87c8039</x:v>
      </x:c>
      <x:c r="H444" s="28" t="n">
        <x:v>1</x:v>
      </x:c>
      <x:c r="I444" s="28" t="n">
        <x:v>1</x:v>
      </x:c>
      <x:c r="J444" s="28" t="n">
        <x:v>1</x:v>
      </x:c>
      <x:c r="K444" s="28" t="n">
        <x:v>58</x:v>
      </x:c>
      <x:c r="L444" s="28" t="n">
        <x:v>1</x:v>
      </x:c>
      <x:c r="M444" s="28" t="n">
        <x:v>0</x:v>
      </x:c>
      <x:c r="N444" s="22" t="str">
        <x:v>Лист1</x:v>
      </x:c>
      <x:c r="O444" s="22" t="str">
        <x:v>visible</x:v>
      </x:c>
      <x:c r="P444" s="22" t="n">
        <x:v>8</x:v>
      </x:c>
      <x:c r="Q444" s="40" t="n">
        <x:v>0.017241379310344827</x:v>
      </x:c>
      <x:c r="R444" s="25" t="str"/>
      <x:c r="S444" s="25" t="str">
        <x:v>B?</x:v>
      </x:c>
      <x:c r="T444" s="25" t="str">
        <x:v>자동 표 신호는 최종 A/B로 승격하지 않음</x:v>
      </x:c>
      <x:c r="U444" s="22" t="str">
        <x:v>2021-2025</x:v>
      </x:c>
    </x:row>
    <x:row r="445">
      <x:c r="A445" s="22" t="str">
        <x:v>2020-00086</x:v>
      </x:c>
      <x:c r="B445" s="22" t="str">
        <x:v>L2023-00053-1</x:v>
      </x:c>
      <x:c r="C445" s="22" t="str">
        <x:v>WORKS</x:v>
      </x:c>
      <x:c r="D445" s="25" t="str">
        <x:v>L2023-00053-1/Urgench VTC Bid Attachment Documents/Urgench VTC Bid Attachment Documents/Section 4.  Bill of Quantities(Not-Priced)/공내역서/VTC견적서/8 ПОЖАРНАЯ ЕМЪКОСТЬ(Fire Tank)/8-3 ЭО(Electric)/13733_vrmu.xls</x:v>
      </x:c>
      <x:c r="E445" s="22" t="str">
        <x:v>.xls</x:v>
      </x:c>
      <x:c r="F445" s="28" t="n">
        <x:v>55296</x:v>
      </x:c>
      <x:c r="G445" s="28" t="str">
        <x:v>dd26635add3df12c3c1ffa6d858087ee72aad2c51664c8f5af2ad5b1a0b3cbf1</x:v>
      </x:c>
      <x:c r="H445" s="28" t="n">
        <x:v>1</x:v>
      </x:c>
      <x:c r="I445" s="28" t="n">
        <x:v>1</x:v>
      </x:c>
      <x:c r="J445" s="28" t="n">
        <x:v>1</x:v>
      </x:c>
      <x:c r="K445" s="28" t="n">
        <x:v>76</x:v>
      </x:c>
      <x:c r="L445" s="28" t="n">
        <x:v>1</x:v>
      </x:c>
      <x:c r="M445" s="28" t="n">
        <x:v>0</x:v>
      </x:c>
      <x:c r="N445" s="22" t="str">
        <x:v>Лист1</x:v>
      </x:c>
      <x:c r="O445" s="22" t="str">
        <x:v>visible</x:v>
      </x:c>
      <x:c r="P445" s="22" t="n">
        <x:v>8</x:v>
      </x:c>
      <x:c r="Q445" s="40" t="n">
        <x:v>0.013157894736842105</x:v>
      </x:c>
      <x:c r="R445" s="25" t="str"/>
      <x:c r="S445" s="25" t="str">
        <x:v>B?</x:v>
      </x:c>
      <x:c r="T445" s="25" t="str">
        <x:v>자동 표 신호는 최종 A/B로 승격하지 않음</x:v>
      </x:c>
      <x:c r="U445" s="22" t="str">
        <x:v>2021-2025</x:v>
      </x:c>
    </x:row>
    <x:row r="446">
      <x:c r="A446" s="22" t="str">
        <x:v>2020-00086</x:v>
      </x:c>
      <x:c r="B446" s="22" t="str">
        <x:v>L2023-00053-1</x:v>
      </x:c>
      <x:c r="C446" s="22" t="str">
        <x:v>WORKS</x:v>
      </x:c>
      <x:c r="D446" s="25" t="str">
        <x:v>L2023-00053-1/Urgench VTC Bid Attachment Documents/Urgench VTC Bid Attachment Documents/Section 4.  Bill of Quantities(Not-Priced)/공내역서/VTC견적서/8 ПОЖАРНАЯ ЕМЪКОСТЬ(Fire Tank)/8-3 ЭО(Electric)/13733_vfor.xls</x:v>
      </x:c>
      <x:c r="E446" s="22" t="str">
        <x:v>.xls</x:v>
      </x:c>
      <x:c r="F446" s="28" t="n">
        <x:v>40448</x:v>
      </x:c>
      <x:c r="G446" s="28" t="str">
        <x:v>4b7ecea42e8e01f81fbf69ffbe105611f8e47711cbfac29373ac28d50d40fd4b</x:v>
      </x:c>
      <x:c r="H446" s="28" t="n">
        <x:v>1</x:v>
      </x:c>
      <x:c r="I446" s="28" t="n">
        <x:v>1</x:v>
      </x:c>
      <x:c r="J446" s="28" t="n">
        <x:v>0</x:v>
      </x:c>
      <x:c r="K446" s="28" t="n">
        <x:v>0</x:v>
      </x:c>
      <x:c r="L446" s="28" t="n">
        <x:v>0</x:v>
      </x:c>
      <x:c r="M446" s="28" t="n">
        <x:v>0</x:v>
      </x:c>
      <x:c r="N446" s="22" t="str"/>
      <x:c r="O446" s="22" t="str"/>
      <x:c r="P446" s="22" t="n">
        <x:v>0</x:v>
      </x:c>
      <x:c r="Q446" s="40" t="n">
        <x:v>0</x:v>
      </x:c>
      <x:c r="R446" s="25" t="str"/>
      <x:c r="S446" s="25" t="str">
        <x:v>BOQ_NAME_ONLY</x:v>
      </x:c>
      <x:c r="T446" s="25" t="str">
        <x:v>자동 표 신호는 최종 A/B로 승격하지 않음</x:v>
      </x:c>
      <x:c r="U446" s="22" t="str">
        <x:v>2021-2025</x:v>
      </x:c>
    </x:row>
    <x:row r="447">
      <x:c r="A447" s="22" t="str">
        <x:v>2020-00086</x:v>
      </x:c>
      <x:c r="B447" s="22" t="str">
        <x:v>L2023-00053-1</x:v>
      </x:c>
      <x:c r="C447" s="22" t="str">
        <x:v>WORKS</x:v>
      </x:c>
      <x:c r="D447" s="25" t="str">
        <x:v>L2023-00053-1/Urgench VTC Bid Attachment Documents/Urgench VTC Bid Attachment Documents/Section 4.  Bill of Quantities(Not-Priced)/공내역서/VTC견적서/8 ПОЖАРНАЯ ЕМЪКОСТЬ(Fire Tank)/8-3 ЭО(Electric)/bv13730.xls</x:v>
      </x:c>
      <x:c r="E447" s="22" t="str">
        <x:v>.xls</x:v>
      </x:c>
      <x:c r="F447" s="28" t="n">
        <x:v>90112</x:v>
      </x:c>
      <x:c r="G447" s="28" t="str">
        <x:v>a6ce3182f24e613f5aae906cca546b8467389ab8803175c900c5edc80050bdb9</x:v>
      </x:c>
      <x:c r="H447" s="28" t="n">
        <x:v>1</x:v>
      </x:c>
      <x:c r="I447" s="28" t="n">
        <x:v>1</x:v>
      </x:c>
      <x:c r="J447" s="28" t="n">
        <x:v>0</x:v>
      </x:c>
      <x:c r="K447" s="28" t="n">
        <x:v>0</x:v>
      </x:c>
      <x:c r="L447" s="28" t="n">
        <x:v>0</x:v>
      </x:c>
      <x:c r="M447" s="28" t="n">
        <x:v>0</x:v>
      </x:c>
      <x:c r="N447" s="22" t="str"/>
      <x:c r="O447" s="22" t="str"/>
      <x:c r="P447" s="22" t="n">
        <x:v>0</x:v>
      </x:c>
      <x:c r="Q447" s="40" t="n">
        <x:v>0</x:v>
      </x:c>
      <x:c r="R447" s="25" t="str"/>
      <x:c r="S447" s="25" t="str">
        <x:v>BOQ_NAME_ONLY</x:v>
      </x:c>
      <x:c r="T447" s="25" t="str">
        <x:v>자동 표 신호는 최종 A/B로 승격하지 않음</x:v>
      </x:c>
      <x:c r="U447" s="22" t="str">
        <x:v>2021-2025</x:v>
      </x:c>
    </x:row>
    <x:row r="448">
      <x:c r="A448" s="22" t="str">
        <x:v>2020-00086</x:v>
      </x:c>
      <x:c r="B448" s="22" t="str">
        <x:v>L2023-00053-1</x:v>
      </x:c>
      <x:c r="C448" s="22" t="str">
        <x:v>WORKS</x:v>
      </x:c>
      <x:c r="D448" s="25" t="str">
        <x:v>L2023-00053-1/Urgench VTC Bid Attachment Documents/Urgench VTC Bid Attachment Documents/Section 4.  Bill of Quantities(Not-Priced)/공내역서/VTC견적서/8 ПОЖАРНАЯ ЕМЪКОСТЬ(Fire Tank)/8-2 ТХ(Technology Plan)/13603_vfor.xls</x:v>
      </x:c>
      <x:c r="E448" s="22" t="str">
        <x:v>.xls</x:v>
      </x:c>
      <x:c r="F448" s="28" t="n">
        <x:v>35840</x:v>
      </x:c>
      <x:c r="G448" s="28" t="str">
        <x:v>aef3e1723acd7e063007694bdea3257d0d9172d1dfd94eea0adef60ffec47c04</x:v>
      </x:c>
      <x:c r="H448" s="28" t="n">
        <x:v>1</x:v>
      </x:c>
      <x:c r="I448" s="28" t="n">
        <x:v>1</x:v>
      </x:c>
      <x:c r="J448" s="28" t="n">
        <x:v>0</x:v>
      </x:c>
      <x:c r="K448" s="28" t="n">
        <x:v>0</x:v>
      </x:c>
      <x:c r="L448" s="28" t="n">
        <x:v>0</x:v>
      </x:c>
      <x:c r="M448" s="28" t="n">
        <x:v>0</x:v>
      </x:c>
      <x:c r="N448" s="22" t="str"/>
      <x:c r="O448" s="22" t="str"/>
      <x:c r="P448" s="22" t="n">
        <x:v>0</x:v>
      </x:c>
      <x:c r="Q448" s="40" t="n">
        <x:v>0</x:v>
      </x:c>
      <x:c r="R448" s="25" t="str"/>
      <x:c r="S448" s="25" t="str">
        <x:v>BOQ_NAME_ONLY</x:v>
      </x:c>
      <x:c r="T448" s="25" t="str">
        <x:v>자동 표 신호는 최종 A/B로 승격하지 않음</x:v>
      </x:c>
      <x:c r="U448" s="22" t="str">
        <x:v>2021-2025</x:v>
      </x:c>
    </x:row>
    <x:row r="449">
      <x:c r="A449" s="22" t="str">
        <x:v>2020-00086</x:v>
      </x:c>
      <x:c r="B449" s="22" t="str">
        <x:v>L2023-00053-1</x:v>
      </x:c>
      <x:c r="C449" s="22" t="str">
        <x:v>WORKS</x:v>
      </x:c>
      <x:c r="D449" s="25" t="str">
        <x:v>L2023-00053-1/Urgench VTC Bid Attachment Documents/Urgench VTC Bid Attachment Documents/Section 4.  Bill of Quantities(Not-Priced)/공내역서/VTC견적서/8 ПОЖАРНАЯ ЕМЪКОСТЬ(Fire Tank)/8-2 ТХ(Technology Plan)/bv13600.xls</x:v>
      </x:c>
      <x:c r="E449" s="22" t="str">
        <x:v>.xls</x:v>
      </x:c>
      <x:c r="F449" s="28" t="n">
        <x:v>80896</x:v>
      </x:c>
      <x:c r="G449" s="28" t="str">
        <x:v>c8b47be5d6000bcdfeef410c167b93e50c2f883be060652b37ff38542a97986f</x:v>
      </x:c>
      <x:c r="H449" s="28" t="n">
        <x:v>1</x:v>
      </x:c>
      <x:c r="I449" s="28" t="n">
        <x:v>1</x:v>
      </x:c>
      <x:c r="J449" s="28" t="n">
        <x:v>0</x:v>
      </x:c>
      <x:c r="K449" s="28" t="n">
        <x:v>0</x:v>
      </x:c>
      <x:c r="L449" s="28" t="n">
        <x:v>0</x:v>
      </x:c>
      <x:c r="M449" s="28" t="n">
        <x:v>0</x:v>
      </x:c>
      <x:c r="N449" s="22" t="str"/>
      <x:c r="O449" s="22" t="str"/>
      <x:c r="P449" s="22" t="n">
        <x:v>0</x:v>
      </x:c>
      <x:c r="Q449" s="40" t="n">
        <x:v>0</x:v>
      </x:c>
      <x:c r="R449" s="25" t="str"/>
      <x:c r="S449" s="25" t="str">
        <x:v>BOQ_NAME_ONLY</x:v>
      </x:c>
      <x:c r="T449" s="25" t="str">
        <x:v>자동 표 신호는 최종 A/B로 승격하지 않음</x:v>
      </x:c>
      <x:c r="U449" s="22" t="str">
        <x:v>2021-2025</x:v>
      </x:c>
    </x:row>
    <x:row r="450">
      <x:c r="A450" s="22" t="str">
        <x:v>2020-00086</x:v>
      </x:c>
      <x:c r="B450" s="22" t="str">
        <x:v>L2023-00053-1</x:v>
      </x:c>
      <x:c r="C450" s="22" t="str">
        <x:v>WORKS</x:v>
      </x:c>
      <x:c r="D450" s="25" t="str">
        <x:v>L2023-00053-1/Urgench VTC Bid Attachment Documents/Urgench VTC Bid Attachment Documents/Section 4.  Bill of Quantities(Not-Priced)/공내역서/VTC견적서/8 ПОЖАРНАЯ ЕМЪКОСТЬ(Fire Tank)/8-2 ТХ(Technology Plan)/13603_vrmu.xls</x:v>
      </x:c>
      <x:c r="E450" s="22" t="str">
        <x:v>.xls</x:v>
      </x:c>
      <x:c r="F450" s="28" t="n">
        <x:v>53248</x:v>
      </x:c>
      <x:c r="G450" s="28" t="str">
        <x:v>59e7c73eb0916c52e8edb0dc9f78a1ba785db1d8b39138ad6aae1b088f8c61f6</x:v>
      </x:c>
      <x:c r="H450" s="28" t="n">
        <x:v>1</x:v>
      </x:c>
      <x:c r="I450" s="28" t="n">
        <x:v>1</x:v>
      </x:c>
      <x:c r="J450" s="28" t="n">
        <x:v>1</x:v>
      </x:c>
      <x:c r="K450" s="28" t="n">
        <x:v>59</x:v>
      </x:c>
      <x:c r="L450" s="28" t="n">
        <x:v>1</x:v>
      </x:c>
      <x:c r="M450" s="28" t="n">
        <x:v>0</x:v>
      </x:c>
      <x:c r="N450" s="22" t="str">
        <x:v>Лист1</x:v>
      </x:c>
      <x:c r="O450" s="22" t="str">
        <x:v>visible</x:v>
      </x:c>
      <x:c r="P450" s="22" t="n">
        <x:v>8</x:v>
      </x:c>
      <x:c r="Q450" s="40" t="n">
        <x:v>0.01694915254237288</x:v>
      </x:c>
      <x:c r="R450" s="25" t="str"/>
      <x:c r="S450" s="25" t="str">
        <x:v>B?</x:v>
      </x:c>
      <x:c r="T450" s="25" t="str">
        <x:v>자동 표 신호는 최종 A/B로 승격하지 않음</x:v>
      </x:c>
      <x:c r="U450" s="22" t="str">
        <x:v>2021-2025</x:v>
      </x:c>
    </x:row>
    <x:row r="451">
      <x:c r="A451" s="22" t="str">
        <x:v>2020-00086</x:v>
      </x:c>
      <x:c r="B451" s="22" t="str">
        <x:v>L2023-00053-1</x:v>
      </x:c>
      <x:c r="C451" s="22" t="str">
        <x:v>WORKS</x:v>
      </x:c>
      <x:c r="D451" s="25" t="str">
        <x:v>L2023-00053-1/Urgench VTC Bid Attachment Documents/Urgench VTC Bid Attachment Documents/Section 4.  Bill of Quantities(Not-Priced)/공내역서/VTC견적서/8 ПОЖАРНАЯ ЕМЪКОСТЬ(Fire Tank)/8-1 АС(Architecture+Structure)/bv13560.xls</x:v>
      </x:c>
      <x:c r="E451" s="22" t="str">
        <x:v>.xls</x:v>
      </x:c>
      <x:c r="F451" s="28" t="n">
        <x:v>143360</x:v>
      </x:c>
      <x:c r="G451" s="28" t="str">
        <x:v>c0c38b80f51c65331020314872a4530efa2890a349a0bbfbe7546f3d325f3c4c</x:v>
      </x:c>
      <x:c r="H451" s="28" t="n">
        <x:v>1</x:v>
      </x:c>
      <x:c r="I451" s="28" t="n">
        <x:v>1</x:v>
      </x:c>
      <x:c r="J451" s="28" t="n">
        <x:v>0</x:v>
      </x:c>
      <x:c r="K451" s="28" t="n">
        <x:v>0</x:v>
      </x:c>
      <x:c r="L451" s="28" t="n">
        <x:v>0</x:v>
      </x:c>
      <x:c r="M451" s="28" t="n">
        <x:v>0</x:v>
      </x:c>
      <x:c r="N451" s="22" t="str"/>
      <x:c r="O451" s="22" t="str"/>
      <x:c r="P451" s="22" t="n">
        <x:v>0</x:v>
      </x:c>
      <x:c r="Q451" s="40" t="n">
        <x:v>0</x:v>
      </x:c>
      <x:c r="R451" s="25" t="str"/>
      <x:c r="S451" s="25" t="str">
        <x:v>BOQ_NAME_ONLY</x:v>
      </x:c>
      <x:c r="T451" s="25" t="str">
        <x:v>자동 표 신호는 최종 A/B로 승격하지 않음</x:v>
      </x:c>
      <x:c r="U451" s="22" t="str">
        <x:v>2021-2025</x:v>
      </x:c>
    </x:row>
    <x:row r="452">
      <x:c r="A452" s="22" t="str">
        <x:v>2020-00086</x:v>
      </x:c>
      <x:c r="B452" s="22" t="str">
        <x:v>L2023-00053-1</x:v>
      </x:c>
      <x:c r="C452" s="22" t="str">
        <x:v>WORKS</x:v>
      </x:c>
      <x:c r="D452" s="25" t="str">
        <x:v>L2023-00053-1/Urgench VTC Bid Attachment Documents/Urgench VTC Bid Attachment Documents/Section 4.  Bill of Quantities(Not-Priced)/공내역서/VTC견적서/8 ПОЖАРНАЯ ЕМЪКОСТЬ(Fire Tank)/8-1 АС(Architecture+Structure)/13563_vrmu.xls</x:v>
      </x:c>
      <x:c r="E452" s="22" t="str">
        <x:v>.xls</x:v>
      </x:c>
      <x:c r="F452" s="28" t="n">
        <x:v>56832</x:v>
      </x:c>
      <x:c r="G452" s="28" t="str">
        <x:v>79e14b24c7df19631df2b8c58f12863b08e7aa7d66983b2990f8ef0923fe886f</x:v>
      </x:c>
      <x:c r="H452" s="28" t="n">
        <x:v>1</x:v>
      </x:c>
      <x:c r="I452" s="28" t="n">
        <x:v>1</x:v>
      </x:c>
      <x:c r="J452" s="28" t="n">
        <x:v>1</x:v>
      </x:c>
      <x:c r="K452" s="28" t="n">
        <x:v>80</x:v>
      </x:c>
      <x:c r="L452" s="28" t="n">
        <x:v>1</x:v>
      </x:c>
      <x:c r="M452" s="28" t="n">
        <x:v>0</x:v>
      </x:c>
      <x:c r="N452" s="22" t="str">
        <x:v>Лист1</x:v>
      </x:c>
      <x:c r="O452" s="22" t="str">
        <x:v>visible</x:v>
      </x:c>
      <x:c r="P452" s="22" t="n">
        <x:v>8</x:v>
      </x:c>
      <x:c r="Q452" s="40" t="n">
        <x:v>0.0125</x:v>
      </x:c>
      <x:c r="R452" s="25" t="str"/>
      <x:c r="S452" s="25" t="str">
        <x:v>B?</x:v>
      </x:c>
      <x:c r="T452" s="25" t="str">
        <x:v>자동 표 신호는 최종 A/B로 승격하지 않음</x:v>
      </x:c>
      <x:c r="U452" s="22" t="str">
        <x:v>2021-2025</x:v>
      </x:c>
    </x:row>
    <x:row r="453">
      <x:c r="A453" s="22" t="str">
        <x:v>2020-00086</x:v>
      </x:c>
      <x:c r="B453" s="22" t="str">
        <x:v>L2023-00053-1</x:v>
      </x:c>
      <x:c r="C453" s="22" t="str">
        <x:v>WORKS</x:v>
      </x:c>
      <x:c r="D453" s="25" t="str">
        <x:v>L2023-00053-1/Urgench VTC Bid Attachment Documents/Urgench VTC Bid Attachment Documents/Section 4.  Bill of Quantities(Not-Priced)/공내역서/VTC견적서/8 ПОЖАРНАЯ ЕМЪКОСТЬ(Fire Tank)/8-1 АС(Architecture+Structure)/13563_vfor.xls</x:v>
      </x:c>
      <x:c r="E453" s="22" t="str">
        <x:v>.xls</x:v>
      </x:c>
      <x:c r="F453" s="28" t="n">
        <x:v>48128</x:v>
      </x:c>
      <x:c r="G453" s="28" t="str">
        <x:v>be5b745b940f05f1f41e44ed150503de2709f71b2406a43b2625fbeb73d92ced</x:v>
      </x:c>
      <x:c r="H453" s="28" t="n">
        <x:v>1</x:v>
      </x:c>
      <x:c r="I453" s="28" t="n">
        <x:v>1</x:v>
      </x:c>
      <x:c r="J453" s="28" t="n">
        <x:v>0</x:v>
      </x:c>
      <x:c r="K453" s="28" t="n">
        <x:v>0</x:v>
      </x:c>
      <x:c r="L453" s="28" t="n">
        <x:v>0</x:v>
      </x:c>
      <x:c r="M453" s="28" t="n">
        <x:v>0</x:v>
      </x:c>
      <x:c r="N453" s="22" t="str"/>
      <x:c r="O453" s="22" t="str"/>
      <x:c r="P453" s="22" t="n">
        <x:v>0</x:v>
      </x:c>
      <x:c r="Q453" s="40" t="n">
        <x:v>0</x:v>
      </x:c>
      <x:c r="R453" s="25" t="str"/>
      <x:c r="S453" s="25" t="str">
        <x:v>BOQ_NAME_ONLY</x:v>
      </x:c>
      <x:c r="T453" s="25" t="str">
        <x:v>자동 표 신호는 최종 A/B로 승격하지 않음</x:v>
      </x:c>
      <x:c r="U453" s="22" t="str">
        <x:v>2021-2025</x:v>
      </x:c>
    </x:row>
    <x:row r="454">
      <x:c r="A454" s="22" t="str">
        <x:v>2020-00086</x:v>
      </x:c>
      <x:c r="B454" s="22" t="str">
        <x:v>L2023-00053-1</x:v>
      </x:c>
      <x:c r="C454" s="22" t="str">
        <x:v>WORKS</x:v>
      </x:c>
      <x:c r="D454" s="25" t="str">
        <x:v>L2023-00053-1/Urgench VTC Bid Attachment Documents/Urgench VTC Bid Attachment Documents/Section 4.  Bill of Quantities(Not-Priced)/공내역서/VTC견적서/3 ОБЩЕЖИТИЕ(Dormitory)/3-7 ВН, СКС(CCTV &amp; Network)/13303_vfor.xls</x:v>
      </x:c>
      <x:c r="E454" s="22" t="str">
        <x:v>.xls</x:v>
      </x:c>
      <x:c r="F454" s="28" t="n">
        <x:v>48640</x:v>
      </x:c>
      <x:c r="G454" s="28" t="str">
        <x:v>5a18635d72aa11084ea9ace6f157b8628ca9366276bd4b01f0389389eb69dd15</x:v>
      </x:c>
      <x:c r="H454" s="28" t="n">
        <x:v>1</x:v>
      </x:c>
      <x:c r="I454" s="28" t="n">
        <x:v>1</x:v>
      </x:c>
      <x:c r="J454" s="28" t="n">
        <x:v>0</x:v>
      </x:c>
      <x:c r="K454" s="28" t="n">
        <x:v>0</x:v>
      </x:c>
      <x:c r="L454" s="28" t="n">
        <x:v>0</x:v>
      </x:c>
      <x:c r="M454" s="28" t="n">
        <x:v>0</x:v>
      </x:c>
      <x:c r="N454" s="22" t="str"/>
      <x:c r="O454" s="22" t="str"/>
      <x:c r="P454" s="22" t="n">
        <x:v>0</x:v>
      </x:c>
      <x:c r="Q454" s="40" t="n">
        <x:v>0</x:v>
      </x:c>
      <x:c r="R454" s="25" t="str"/>
      <x:c r="S454" s="25" t="str">
        <x:v>BOQ_NAME_ONLY</x:v>
      </x:c>
      <x:c r="T454" s="25" t="str">
        <x:v>자동 표 신호는 최종 A/B로 승격하지 않음</x:v>
      </x:c>
      <x:c r="U454" s="22" t="str">
        <x:v>2021-2025</x:v>
      </x:c>
    </x:row>
    <x:row r="455">
      <x:c r="A455" s="22" t="str">
        <x:v>2020-00086</x:v>
      </x:c>
      <x:c r="B455" s="22" t="str">
        <x:v>L2023-00053-1</x:v>
      </x:c>
      <x:c r="C455" s="22" t="str">
        <x:v>WORKS</x:v>
      </x:c>
      <x:c r="D455" s="25" t="str">
        <x:v>L2023-00053-1/Urgench VTC Bid Attachment Documents/Urgench VTC Bid Attachment Documents/Section 4.  Bill of Quantities(Not-Priced)/공내역서/VTC견적서/3 ОБЩЕЖИТИЕ(Dormitory)/3-7 ВН, СКС(CCTV &amp; Network)/bv13300.xls</x:v>
      </x:c>
      <x:c r="E455" s="22" t="str">
        <x:v>.xls</x:v>
      </x:c>
      <x:c r="F455" s="28" t="n">
        <x:v>91136</x:v>
      </x:c>
      <x:c r="G455" s="28" t="str">
        <x:v>eabe1189fd53fa553a7256019fdcd183629f090a5817c504e1c9f65e297f4127</x:v>
      </x:c>
      <x:c r="H455" s="28" t="n">
        <x:v>1</x:v>
      </x:c>
      <x:c r="I455" s="28" t="n">
        <x:v>1</x:v>
      </x:c>
      <x:c r="J455" s="28" t="n">
        <x:v>0</x:v>
      </x:c>
      <x:c r="K455" s="28" t="n">
        <x:v>0</x:v>
      </x:c>
      <x:c r="L455" s="28" t="n">
        <x:v>0</x:v>
      </x:c>
      <x:c r="M455" s="28" t="n">
        <x:v>0</x:v>
      </x:c>
      <x:c r="N455" s="22" t="str"/>
      <x:c r="O455" s="22" t="str"/>
      <x:c r="P455" s="22" t="n">
        <x:v>0</x:v>
      </x:c>
      <x:c r="Q455" s="40" t="n">
        <x:v>0</x:v>
      </x:c>
      <x:c r="R455" s="25" t="str"/>
      <x:c r="S455" s="25" t="str">
        <x:v>BOQ_NAME_ONLY</x:v>
      </x:c>
      <x:c r="T455" s="25" t="str">
        <x:v>자동 표 신호는 최종 A/B로 승격하지 않음</x:v>
      </x:c>
      <x:c r="U455" s="22" t="str">
        <x:v>2021-2025</x:v>
      </x:c>
    </x:row>
    <x:row r="456">
      <x:c r="A456" s="22" t="str">
        <x:v>2020-00086</x:v>
      </x:c>
      <x:c r="B456" s="22" t="str">
        <x:v>L2023-00053-1</x:v>
      </x:c>
      <x:c r="C456" s="22" t="str">
        <x:v>WORKS</x:v>
      </x:c>
      <x:c r="D456" s="25" t="str">
        <x:v>L2023-00053-1/Urgench VTC Bid Attachment Documents/Urgench VTC Bid Attachment Documents/Section 4.  Bill of Quantities(Not-Priced)/공내역서/VTC견적서/3 ОБЩЕЖИТИЕ(Dormitory)/3-7 ВН, СКС(CCTV &amp; Network)/13303_vrmu.xls</x:v>
      </x:c>
      <x:c r="E456" s="22" t="str">
        <x:v>.xls</x:v>
      </x:c>
      <x:c r="F456" s="28" t="n">
        <x:v>55808</x:v>
      </x:c>
      <x:c r="G456" s="28" t="str">
        <x:v>1446b4e9d4ca55f00683876eb3b47e8dfe2d96fd5f8331a988ddeb69272efd21</x:v>
      </x:c>
      <x:c r="H456" s="28" t="n">
        <x:v>1</x:v>
      </x:c>
      <x:c r="I456" s="28" t="n">
        <x:v>1</x:v>
      </x:c>
      <x:c r="J456" s="28" t="n">
        <x:v>1</x:v>
      </x:c>
      <x:c r="K456" s="28" t="n">
        <x:v>81</x:v>
      </x:c>
      <x:c r="L456" s="28" t="n">
        <x:v>1</x:v>
      </x:c>
      <x:c r="M456" s="28" t="n">
        <x:v>0</x:v>
      </x:c>
      <x:c r="N456" s="22" t="str">
        <x:v>Лист1</x:v>
      </x:c>
      <x:c r="O456" s="22" t="str">
        <x:v>visible</x:v>
      </x:c>
      <x:c r="P456" s="22" t="n">
        <x:v>8</x:v>
      </x:c>
      <x:c r="Q456" s="40" t="n">
        <x:v>0.012345679012345678</x:v>
      </x:c>
      <x:c r="R456" s="25" t="str"/>
      <x:c r="S456" s="25" t="str">
        <x:v>B?</x:v>
      </x:c>
      <x:c r="T456" s="25" t="str">
        <x:v>자동 표 신호는 최종 A/B로 승격하지 않음</x:v>
      </x:c>
      <x:c r="U456" s="22" t="str">
        <x:v>2021-2025</x:v>
      </x:c>
    </x:row>
    <x:row r="457">
      <x:c r="A457" s="22" t="str">
        <x:v>2020-00086</x:v>
      </x:c>
      <x:c r="B457" s="22" t="str">
        <x:v>L2023-00053-1</x:v>
      </x:c>
      <x:c r="C457" s="22" t="str">
        <x:v>WORKS</x:v>
      </x:c>
      <x:c r="D457" s="25" t="str">
        <x:v>L2023-00053-1/Urgench VTC Bid Attachment Documents/Urgench VTC Bid Attachment Documents/Section 4.  Bill of Quantities(Not-Priced)/공내역서/VTC견적서/3 ОБЩЕЖИТИЕ(Dormitory)/3-6 ПС(Fire Alarm)/13293_vfor.xls</x:v>
      </x:c>
      <x:c r="E457" s="22" t="str">
        <x:v>.xls</x:v>
      </x:c>
      <x:c r="F457" s="28" t="n">
        <x:v>47616</x:v>
      </x:c>
      <x:c r="G457" s="28" t="str">
        <x:v>13504304f6bbd4c322400660e78166be924c5a8a3f7a3d2fa32ea8eaabd6d151</x:v>
      </x:c>
      <x:c r="H457" s="28" t="n">
        <x:v>1</x:v>
      </x:c>
      <x:c r="I457" s="28" t="n">
        <x:v>1</x:v>
      </x:c>
      <x:c r="J457" s="28" t="n">
        <x:v>0</x:v>
      </x:c>
      <x:c r="K457" s="28" t="n">
        <x:v>0</x:v>
      </x:c>
      <x:c r="L457" s="28" t="n">
        <x:v>0</x:v>
      </x:c>
      <x:c r="M457" s="28" t="n">
        <x:v>0</x:v>
      </x:c>
      <x:c r="N457" s="22" t="str"/>
      <x:c r="O457" s="22" t="str"/>
      <x:c r="P457" s="22" t="n">
        <x:v>0</x:v>
      </x:c>
      <x:c r="Q457" s="40" t="n">
        <x:v>0</x:v>
      </x:c>
      <x:c r="R457" s="25" t="str"/>
      <x:c r="S457" s="25" t="str">
        <x:v>BOQ_NAME_ONLY</x:v>
      </x:c>
      <x:c r="T457" s="25" t="str">
        <x:v>자동 표 신호는 최종 A/B로 승격하지 않음</x:v>
      </x:c>
      <x:c r="U457" s="22" t="str">
        <x:v>2021-2025</x:v>
      </x:c>
    </x:row>
    <x:row r="458">
      <x:c r="A458" s="22" t="str">
        <x:v>2020-00086</x:v>
      </x:c>
      <x:c r="B458" s="22" t="str">
        <x:v>L2023-00053-1</x:v>
      </x:c>
      <x:c r="C458" s="22" t="str">
        <x:v>WORKS</x:v>
      </x:c>
      <x:c r="D458" s="25" t="str">
        <x:v>L2023-00053-1/Urgench VTC Bid Attachment Documents/Urgench VTC Bid Attachment Documents/Section 4.  Bill of Quantities(Not-Priced)/공내역서/VTC견적서/3 ОБЩЕЖИТИЕ(Dormitory)/3-6 ПС(Fire Alarm)/13293_vrmu.xls</x:v>
      </x:c>
      <x:c r="E458" s="22" t="str">
        <x:v>.xls</x:v>
      </x:c>
      <x:c r="F458" s="28" t="n">
        <x:v>52736</x:v>
      </x:c>
      <x:c r="G458" s="28" t="str">
        <x:v>d247ad0533474b0b1cedc26fffab2c9b866c1246de159a021e5b366aabc19286</x:v>
      </x:c>
      <x:c r="H458" s="28" t="n">
        <x:v>1</x:v>
      </x:c>
      <x:c r="I458" s="28" t="n">
        <x:v>1</x:v>
      </x:c>
      <x:c r="J458" s="28" t="n">
        <x:v>1</x:v>
      </x:c>
      <x:c r="K458" s="28" t="n">
        <x:v>62</x:v>
      </x:c>
      <x:c r="L458" s="28" t="n">
        <x:v>1</x:v>
      </x:c>
      <x:c r="M458" s="28" t="n">
        <x:v>0</x:v>
      </x:c>
      <x:c r="N458" s="22" t="str">
        <x:v>Лист1</x:v>
      </x:c>
      <x:c r="O458" s="22" t="str">
        <x:v>visible</x:v>
      </x:c>
      <x:c r="P458" s="22" t="n">
        <x:v>8</x:v>
      </x:c>
      <x:c r="Q458" s="40" t="n">
        <x:v>0.016129032258064516</x:v>
      </x:c>
      <x:c r="R458" s="25" t="str"/>
      <x:c r="S458" s="25" t="str">
        <x:v>B?</x:v>
      </x:c>
      <x:c r="T458" s="25" t="str">
        <x:v>자동 표 신호는 최종 A/B로 승격하지 않음</x:v>
      </x:c>
      <x:c r="U458" s="22" t="str">
        <x:v>2021-2025</x:v>
      </x:c>
    </x:row>
    <x:row r="459">
      <x:c r="A459" s="22" t="str">
        <x:v>2020-00086</x:v>
      </x:c>
      <x:c r="B459" s="22" t="str">
        <x:v>L2023-00053-1</x:v>
      </x:c>
      <x:c r="C459" s="22" t="str">
        <x:v>WORKS</x:v>
      </x:c>
      <x:c r="D459" s="25" t="str">
        <x:v>L2023-00053-1/Urgench VTC Bid Attachment Documents/Urgench VTC Bid Attachment Documents/Section 4.  Bill of Quantities(Not-Priced)/공내역서/VTC견적서/3 ОБЩЕЖИТИЕ(Dormitory)/3-6 ПС(Fire Alarm)/bv13290.xls</x:v>
      </x:c>
      <x:c r="E459" s="22" t="str">
        <x:v>.xls</x:v>
      </x:c>
      <x:c r="F459" s="28" t="n">
        <x:v>86016</x:v>
      </x:c>
      <x:c r="G459" s="28" t="str">
        <x:v>e18ef7fec05891daaad5066075ed8900b09d1ea1449184f0063fbb372759596e</x:v>
      </x:c>
      <x:c r="H459" s="28" t="n">
        <x:v>1</x:v>
      </x:c>
      <x:c r="I459" s="28" t="n">
        <x:v>1</x:v>
      </x:c>
      <x:c r="J459" s="28" t="n">
        <x:v>0</x:v>
      </x:c>
      <x:c r="K459" s="28" t="n">
        <x:v>0</x:v>
      </x:c>
      <x:c r="L459" s="28" t="n">
        <x:v>0</x:v>
      </x:c>
      <x:c r="M459" s="28" t="n">
        <x:v>0</x:v>
      </x:c>
      <x:c r="N459" s="22" t="str"/>
      <x:c r="O459" s="22" t="str"/>
      <x:c r="P459" s="22" t="n">
        <x:v>0</x:v>
      </x:c>
      <x:c r="Q459" s="40" t="n">
        <x:v>0</x:v>
      </x:c>
      <x:c r="R459" s="25" t="str"/>
      <x:c r="S459" s="25" t="str">
        <x:v>BOQ_NAME_ONLY</x:v>
      </x:c>
      <x:c r="T459" s="25" t="str">
        <x:v>자동 표 신호는 최종 A/B로 승격하지 않음</x:v>
      </x:c>
      <x:c r="U459" s="22" t="str">
        <x:v>2021-2025</x:v>
      </x:c>
    </x:row>
    <x:row r="460">
      <x:c r="A460" s="22" t="str">
        <x:v>2020-00086</x:v>
      </x:c>
      <x:c r="B460" s="22" t="str">
        <x:v>L2023-00053-1</x:v>
      </x:c>
      <x:c r="C460" s="22" t="str">
        <x:v>WORKS</x:v>
      </x:c>
      <x:c r="D460" s="25" t="str">
        <x:v>L2023-00053-1/Urgench VTC Bid Attachment Documents/Urgench VTC Bid Attachment Documents/Section 4.  Bill of Quantities(Not-Priced)/공내역서/VTC견적서/3 ОБЩЕЖИТИЕ(Dormitory)/3-2 АР(Architecture)/13093_vrmu.xls</x:v>
      </x:c>
      <x:c r="E460" s="22" t="str">
        <x:v>.xls</x:v>
      </x:c>
      <x:c r="F460" s="28" t="n">
        <x:v>71168</x:v>
      </x:c>
      <x:c r="G460" s="28" t="str">
        <x:v>e74ff7123038365d8a0bdcd1c7b2209df8480aa897b3fc0679910a92028a4f3e</x:v>
      </x:c>
      <x:c r="H460" s="28" t="n">
        <x:v>1</x:v>
      </x:c>
      <x:c r="I460" s="28" t="n">
        <x:v>1</x:v>
      </x:c>
      <x:c r="J460" s="28" t="n">
        <x:v>1</x:v>
      </x:c>
      <x:c r="K460" s="28" t="n">
        <x:v>145</x:v>
      </x:c>
      <x:c r="L460" s="28" t="n">
        <x:v>1</x:v>
      </x:c>
      <x:c r="M460" s="28" t="n">
        <x:v>0</x:v>
      </x:c>
      <x:c r="N460" s="22" t="str">
        <x:v>Лист1</x:v>
      </x:c>
      <x:c r="O460" s="22" t="str">
        <x:v>visible</x:v>
      </x:c>
      <x:c r="P460" s="22" t="n">
        <x:v>8</x:v>
      </x:c>
      <x:c r="Q460" s="40" t="n">
        <x:v>0.006896551724137931</x:v>
      </x:c>
      <x:c r="R460" s="25" t="str"/>
      <x:c r="S460" s="25" t="str">
        <x:v>B?</x:v>
      </x:c>
      <x:c r="T460" s="25" t="str">
        <x:v>자동 표 신호는 최종 A/B로 승격하지 않음</x:v>
      </x:c>
      <x:c r="U460" s="22" t="str">
        <x:v>2021-2025</x:v>
      </x:c>
    </x:row>
    <x:row r="461">
      <x:c r="A461" s="22" t="str">
        <x:v>2020-00086</x:v>
      </x:c>
      <x:c r="B461" s="22" t="str">
        <x:v>L2023-00053-1</x:v>
      </x:c>
      <x:c r="C461" s="22" t="str">
        <x:v>WORKS</x:v>
      </x:c>
      <x:c r="D461" s="25" t="str">
        <x:v>L2023-00053-1/Urgench VTC Bid Attachment Documents/Urgench VTC Bid Attachment Documents/Section 4.  Bill of Quantities(Not-Priced)/공내역서/VTC견적서/3 ОБЩЕЖИТИЕ(Dormitory)/3-2 АР(Architecture)/13093_vfor.xls</x:v>
      </x:c>
      <x:c r="E461" s="22" t="str">
        <x:v>.xls</x:v>
      </x:c>
      <x:c r="F461" s="28" t="n">
        <x:v>60928</x:v>
      </x:c>
      <x:c r="G461" s="28" t="str">
        <x:v>4d47568603d5e187d1e4c7fb6f4d61f9bbfd00c2e5ce279aa4cbc3e286009fda</x:v>
      </x:c>
      <x:c r="H461" s="28" t="n">
        <x:v>1</x:v>
      </x:c>
      <x:c r="I461" s="28" t="n">
        <x:v>1</x:v>
      </x:c>
      <x:c r="J461" s="28" t="n">
        <x:v>0</x:v>
      </x:c>
      <x:c r="K461" s="28" t="n">
        <x:v>0</x:v>
      </x:c>
      <x:c r="L461" s="28" t="n">
        <x:v>0</x:v>
      </x:c>
      <x:c r="M461" s="28" t="n">
        <x:v>0</x:v>
      </x:c>
      <x:c r="N461" s="22" t="str"/>
      <x:c r="O461" s="22" t="str"/>
      <x:c r="P461" s="22" t="n">
        <x:v>0</x:v>
      </x:c>
      <x:c r="Q461" s="40" t="n">
        <x:v>0</x:v>
      </x:c>
      <x:c r="R461" s="25" t="str"/>
      <x:c r="S461" s="25" t="str">
        <x:v>BOQ_NAME_ONLY</x:v>
      </x:c>
      <x:c r="T461" s="25" t="str">
        <x:v>자동 표 신호는 최종 A/B로 승격하지 않음</x:v>
      </x:c>
      <x:c r="U461" s="22" t="str">
        <x:v>2021-2025</x:v>
      </x:c>
    </x:row>
    <x:row r="462">
      <x:c r="A462" s="22" t="str">
        <x:v>2020-00086</x:v>
      </x:c>
      <x:c r="B462" s="22" t="str">
        <x:v>L2023-00053-1</x:v>
      </x:c>
      <x:c r="C462" s="22" t="str">
        <x:v>WORKS</x:v>
      </x:c>
      <x:c r="D462" s="25" t="str">
        <x:v>L2023-00053-1/Urgench VTC Bid Attachment Documents/Urgench VTC Bid Attachment Documents/Section 4.  Bill of Quantities(Not-Priced)/공내역서/VTC견적서/3 ОБЩЕЖИТИЕ(Dormitory)/3-2 АР(Architecture)/bv13090.xls</x:v>
      </x:c>
      <x:c r="E462" s="22" t="str">
        <x:v>.xls</x:v>
      </x:c>
      <x:c r="F462" s="28" t="n">
        <x:v>209920</x:v>
      </x:c>
      <x:c r="G462" s="28" t="str">
        <x:v>1685986296491a91628263cbf83b83623c64d74dd57af717e61f8666ff120e05</x:v>
      </x:c>
      <x:c r="H462" s="28" t="n">
        <x:v>1</x:v>
      </x:c>
      <x:c r="I462" s="28" t="n">
        <x:v>1</x:v>
      </x:c>
      <x:c r="J462" s="28" t="n">
        <x:v>0</x:v>
      </x:c>
      <x:c r="K462" s="28" t="n">
        <x:v>0</x:v>
      </x:c>
      <x:c r="L462" s="28" t="n">
        <x:v>0</x:v>
      </x:c>
      <x:c r="M462" s="28" t="n">
        <x:v>0</x:v>
      </x:c>
      <x:c r="N462" s="22" t="str"/>
      <x:c r="O462" s="22" t="str"/>
      <x:c r="P462" s="22" t="n">
        <x:v>0</x:v>
      </x:c>
      <x:c r="Q462" s="40" t="n">
        <x:v>0</x:v>
      </x:c>
      <x:c r="R462" s="25" t="str"/>
      <x:c r="S462" s="25" t="str">
        <x:v>BOQ_NAME_ONLY</x:v>
      </x:c>
      <x:c r="T462" s="25" t="str">
        <x:v>자동 표 신호는 최종 A/B로 승격하지 않음</x:v>
      </x:c>
      <x:c r="U462" s="22" t="str">
        <x:v>2021-2025</x:v>
      </x:c>
    </x:row>
    <x:row r="463">
      <x:c r="A463" s="22" t="str">
        <x:v>2020-00086</x:v>
      </x:c>
      <x:c r="B463" s="22" t="str">
        <x:v>L2023-00053-1</x:v>
      </x:c>
      <x:c r="C463" s="22" t="str">
        <x:v>WORKS</x:v>
      </x:c>
      <x:c r="D463" s="25" t="str">
        <x:v>L2023-00053-1/Urgench VTC Bid Attachment Documents/Urgench VTC Bid Attachment Documents/Section 4.  Bill of Quantities(Not-Priced)/공내역서/VTC견적서/3 ОБЩЕЖИТИЕ(Dormitory)/3-5 ЭО(Electric)/bv13390.xls</x:v>
      </x:c>
      <x:c r="E463" s="22" t="str">
        <x:v>.xls</x:v>
      </x:c>
      <x:c r="F463" s="28" t="n">
        <x:v>160768</x:v>
      </x:c>
      <x:c r="G463" s="28" t="str">
        <x:v>f253090ffac6492dc866ebd21e5932b06eb5866828914246cdec489ba998f2e4</x:v>
      </x:c>
      <x:c r="H463" s="28" t="n">
        <x:v>1</x:v>
      </x:c>
      <x:c r="I463" s="28" t="n">
        <x:v>1</x:v>
      </x:c>
      <x:c r="J463" s="28" t="n">
        <x:v>0</x:v>
      </x:c>
      <x:c r="K463" s="28" t="n">
        <x:v>0</x:v>
      </x:c>
      <x:c r="L463" s="28" t="n">
        <x:v>0</x:v>
      </x:c>
      <x:c r="M463" s="28" t="n">
        <x:v>0</x:v>
      </x:c>
      <x:c r="N463" s="22" t="str"/>
      <x:c r="O463" s="22" t="str"/>
      <x:c r="P463" s="22" t="n">
        <x:v>0</x:v>
      </x:c>
      <x:c r="Q463" s="40" t="n">
        <x:v>0</x:v>
      </x:c>
      <x:c r="R463" s="25" t="str"/>
      <x:c r="S463" s="25" t="str">
        <x:v>BOQ_NAME_ONLY</x:v>
      </x:c>
      <x:c r="T463" s="25" t="str">
        <x:v>자동 표 신호는 최종 A/B로 승격하지 않음</x:v>
      </x:c>
      <x:c r="U463" s="22" t="str">
        <x:v>2021-2025</x:v>
      </x:c>
    </x:row>
    <x:row r="464">
      <x:c r="A464" s="22" t="str">
        <x:v>2020-00086</x:v>
      </x:c>
      <x:c r="B464" s="22" t="str">
        <x:v>L2023-00053-1</x:v>
      </x:c>
      <x:c r="C464" s="22" t="str">
        <x:v>WORKS</x:v>
      </x:c>
      <x:c r="D464" s="25" t="str">
        <x:v>L2023-00053-1/Urgench VTC Bid Attachment Documents/Urgench VTC Bid Attachment Documents/Section 4.  Bill of Quantities(Not-Priced)/공내역서/VTC견적서/3 ОБЩЕЖИТИЕ(Dormitory)/3-5 ЭО(Electric)/13393_vfor.xls</x:v>
      </x:c>
      <x:c r="E464" s="22" t="str">
        <x:v>.xls</x:v>
      </x:c>
      <x:c r="F464" s="28" t="n">
        <x:v>74752</x:v>
      </x:c>
      <x:c r="G464" s="28" t="str">
        <x:v>c57faedafd23f56233bfb4c2b31f065e2adce41022cc4128bd3c30ee9cca34fb</x:v>
      </x:c>
      <x:c r="H464" s="28" t="n">
        <x:v>1</x:v>
      </x:c>
      <x:c r="I464" s="28" t="n">
        <x:v>1</x:v>
      </x:c>
      <x:c r="J464" s="28" t="n">
        <x:v>0</x:v>
      </x:c>
      <x:c r="K464" s="28" t="n">
        <x:v>0</x:v>
      </x:c>
      <x:c r="L464" s="28" t="n">
        <x:v>0</x:v>
      </x:c>
      <x:c r="M464" s="28" t="n">
        <x:v>0</x:v>
      </x:c>
      <x:c r="N464" s="22" t="str"/>
      <x:c r="O464" s="22" t="str"/>
      <x:c r="P464" s="22" t="n">
        <x:v>0</x:v>
      </x:c>
      <x:c r="Q464" s="40" t="n">
        <x:v>0</x:v>
      </x:c>
      <x:c r="R464" s="25" t="str"/>
      <x:c r="S464" s="25" t="str">
        <x:v>BOQ_NAME_ONLY</x:v>
      </x:c>
      <x:c r="T464" s="25" t="str">
        <x:v>자동 표 신호는 최종 A/B로 승격하지 않음</x:v>
      </x:c>
      <x:c r="U464" s="22" t="str">
        <x:v>2021-2025</x:v>
      </x:c>
    </x:row>
    <x:row r="465">
      <x:c r="A465" s="22" t="str">
        <x:v>2020-00086</x:v>
      </x:c>
      <x:c r="B465" s="22" t="str">
        <x:v>L2023-00053-1</x:v>
      </x:c>
      <x:c r="C465" s="22" t="str">
        <x:v>WORKS</x:v>
      </x:c>
      <x:c r="D465" s="25" t="str">
        <x:v>L2023-00053-1/Urgench VTC Bid Attachment Documents/Urgench VTC Bid Attachment Documents/Section 4.  Bill of Quantities(Not-Priced)/공내역서/VTC견적서/3 ОБЩЕЖИТИЕ(Dormitory)/3-5 ЭО(Electric)/13393_vrmu.xls</x:v>
      </x:c>
      <x:c r="E465" s="22" t="str">
        <x:v>.xls</x:v>
      </x:c>
      <x:c r="F465" s="28" t="n">
        <x:v>78336</x:v>
      </x:c>
      <x:c r="G465" s="28" t="str">
        <x:v>7add88d19ffe23920e0d357509a9de1536402bfcbd3a0ea5b119baa189db15ee</x:v>
      </x:c>
      <x:c r="H465" s="28" t="n">
        <x:v>1</x:v>
      </x:c>
      <x:c r="I465" s="28" t="n">
        <x:v>1</x:v>
      </x:c>
      <x:c r="J465" s="28" t="n">
        <x:v>0</x:v>
      </x:c>
      <x:c r="K465" s="28" t="n">
        <x:v>0</x:v>
      </x:c>
      <x:c r="L465" s="28" t="n">
        <x:v>0</x:v>
      </x:c>
      <x:c r="M465" s="28" t="n">
        <x:v>0</x:v>
      </x:c>
      <x:c r="N465" s="22" t="str"/>
      <x:c r="O465" s="22" t="str"/>
      <x:c r="P465" s="22" t="n">
        <x:v>0</x:v>
      </x:c>
      <x:c r="Q465" s="40" t="n">
        <x:v>0</x:v>
      </x:c>
      <x:c r="R465" s="25" t="str"/>
      <x:c r="S465" s="25" t="str">
        <x:v>BOQ_NAME_ONLY</x:v>
      </x:c>
      <x:c r="T465" s="25" t="str">
        <x:v>자동 표 신호는 최종 A/B로 승격하지 않음</x:v>
      </x:c>
      <x:c r="U465" s="22" t="str">
        <x:v>2021-2025</x:v>
      </x:c>
    </x:row>
    <x:row r="466">
      <x:c r="A466" s="22" t="str">
        <x:v>2020-00086</x:v>
      </x:c>
      <x:c r="B466" s="22" t="str">
        <x:v>L2023-00053-1</x:v>
      </x:c>
      <x:c r="C466" s="22" t="str">
        <x:v>WORKS</x:v>
      </x:c>
      <x:c r="D466" s="25" t="str">
        <x:v>L2023-00053-1/Urgench VTC Bid Attachment Documents/Urgench VTC Bid Attachment Documents/Section 4.  Bill of Quantities(Not-Priced)/공내역서/VTC견적서/3 ОБЩЕЖИТИЕ(Dormitory)/3-9 ГСВ(Gas)/13453_vfor.xls</x:v>
      </x:c>
      <x:c r="E466" s="22" t="str">
        <x:v>.xls</x:v>
      </x:c>
      <x:c r="F466" s="28" t="n">
        <x:v>44544</x:v>
      </x:c>
      <x:c r="G466" s="28" t="str">
        <x:v>b2b073542fbb835fe4e72757b8f29fa046145334ce54790769524e09e869dc87</x:v>
      </x:c>
      <x:c r="H466" s="28" t="n">
        <x:v>1</x:v>
      </x:c>
      <x:c r="I466" s="28" t="n">
        <x:v>1</x:v>
      </x:c>
      <x:c r="J466" s="28" t="n">
        <x:v>0</x:v>
      </x:c>
      <x:c r="K466" s="28" t="n">
        <x:v>0</x:v>
      </x:c>
      <x:c r="L466" s="28" t="n">
        <x:v>0</x:v>
      </x:c>
      <x:c r="M466" s="28" t="n">
        <x:v>0</x:v>
      </x:c>
      <x:c r="N466" s="22" t="str"/>
      <x:c r="O466" s="22" t="str"/>
      <x:c r="P466" s="22" t="n">
        <x:v>0</x:v>
      </x:c>
      <x:c r="Q466" s="40" t="n">
        <x:v>0</x:v>
      </x:c>
      <x:c r="R466" s="25" t="str"/>
      <x:c r="S466" s="25" t="str">
        <x:v>BOQ_NAME_ONLY</x:v>
      </x:c>
      <x:c r="T466" s="25" t="str">
        <x:v>자동 표 신호는 최종 A/B로 승격하지 않음</x:v>
      </x:c>
      <x:c r="U466" s="22" t="str">
        <x:v>2021-2025</x:v>
      </x:c>
    </x:row>
    <x:row r="467">
      <x:c r="A467" s="22" t="str">
        <x:v>2020-00086</x:v>
      </x:c>
      <x:c r="B467" s="22" t="str">
        <x:v>L2023-00053-1</x:v>
      </x:c>
      <x:c r="C467" s="22" t="str">
        <x:v>WORKS</x:v>
      </x:c>
      <x:c r="D467" s="25" t="str">
        <x:v>L2023-00053-1/Urgench VTC Bid Attachment Documents/Urgench VTC Bid Attachment Documents/Section 4.  Bill of Quantities(Not-Priced)/공내역서/VTC견적서/3 ОБЩЕЖИТИЕ(Dormitory)/3-9 ГСВ(Gas)/13453_vrmu.xls</x:v>
      </x:c>
      <x:c r="E467" s="22" t="str">
        <x:v>.xls</x:v>
      </x:c>
      <x:c r="F467" s="28" t="n">
        <x:v>54272</x:v>
      </x:c>
      <x:c r="G467" s="28" t="str">
        <x:v>3d2cb67c9a0dde2603871acfa78f9950ff40dd7781efbc8177d683b0c6dcf091</x:v>
      </x:c>
      <x:c r="H467" s="28" t="n">
        <x:v>1</x:v>
      </x:c>
      <x:c r="I467" s="28" t="n">
        <x:v>1</x:v>
      </x:c>
      <x:c r="J467" s="28" t="n">
        <x:v>1</x:v>
      </x:c>
      <x:c r="K467" s="28" t="n">
        <x:v>71</x:v>
      </x:c>
      <x:c r="L467" s="28" t="n">
        <x:v>1</x:v>
      </x:c>
      <x:c r="M467" s="28" t="n">
        <x:v>0</x:v>
      </x:c>
      <x:c r="N467" s="22" t="str">
        <x:v>Лист1</x:v>
      </x:c>
      <x:c r="O467" s="22" t="str">
        <x:v>visible</x:v>
      </x:c>
      <x:c r="P467" s="22" t="n">
        <x:v>8</x:v>
      </x:c>
      <x:c r="Q467" s="40" t="n">
        <x:v>0.014084507042253521</x:v>
      </x:c>
      <x:c r="R467" s="25" t="str"/>
      <x:c r="S467" s="25" t="str">
        <x:v>B?</x:v>
      </x:c>
      <x:c r="T467" s="25" t="str">
        <x:v>자동 표 신호는 최종 A/B로 승격하지 않음</x:v>
      </x:c>
      <x:c r="U467" s="22" t="str">
        <x:v>2021-2025</x:v>
      </x:c>
    </x:row>
    <x:row r="468">
      <x:c r="A468" s="22" t="str">
        <x:v>2020-00086</x:v>
      </x:c>
      <x:c r="B468" s="22" t="str">
        <x:v>L2023-00053-1</x:v>
      </x:c>
      <x:c r="C468" s="22" t="str">
        <x:v>WORKS</x:v>
      </x:c>
      <x:c r="D468" s="25" t="str">
        <x:v>L2023-00053-1/Urgench VTC Bid Attachment Documents/Urgench VTC Bid Attachment Documents/Section 4.  Bill of Quantities(Not-Priced)/공내역서/VTC견적서/3 ОБЩЕЖИТИЕ(Dormitory)/3-9 ГСВ(Gas)/bv13450.xls</x:v>
      </x:c>
      <x:c r="E468" s="22" t="str">
        <x:v>.xls</x:v>
      </x:c>
      <x:c r="F468" s="28" t="n">
        <x:v>101888</x:v>
      </x:c>
      <x:c r="G468" s="28" t="str">
        <x:v>5f4deb4ba0c0096f69c68e61171f182e5ed846594ec98a23e310f3970c06fa71</x:v>
      </x:c>
      <x:c r="H468" s="28" t="n">
        <x:v>1</x:v>
      </x:c>
      <x:c r="I468" s="28" t="n">
        <x:v>1</x:v>
      </x:c>
      <x:c r="J468" s="28" t="n">
        <x:v>0</x:v>
      </x:c>
      <x:c r="K468" s="28" t="n">
        <x:v>0</x:v>
      </x:c>
      <x:c r="L468" s="28" t="n">
        <x:v>0</x:v>
      </x:c>
      <x:c r="M468" s="28" t="n">
        <x:v>0</x:v>
      </x:c>
      <x:c r="N468" s="22" t="str"/>
      <x:c r="O468" s="22" t="str"/>
      <x:c r="P468" s="22" t="n">
        <x:v>0</x:v>
      </x:c>
      <x:c r="Q468" s="40" t="n">
        <x:v>0</x:v>
      </x:c>
      <x:c r="R468" s="25" t="str"/>
      <x:c r="S468" s="25" t="str">
        <x:v>BOQ_NAME_ONLY</x:v>
      </x:c>
      <x:c r="T468" s="25" t="str">
        <x:v>자동 표 신호는 최종 A/B로 승격하지 않음</x:v>
      </x:c>
      <x:c r="U468" s="22" t="str">
        <x:v>2021-2025</x:v>
      </x:c>
    </x:row>
    <x:row r="469">
      <x:c r="A469" s="22" t="str">
        <x:v>2020-00086</x:v>
      </x:c>
      <x:c r="B469" s="22" t="str">
        <x:v>L2023-00053-1</x:v>
      </x:c>
      <x:c r="C469" s="22" t="str">
        <x:v>WORKS</x:v>
      </x:c>
      <x:c r="D469" s="25" t="str">
        <x:v>L2023-00053-1/Urgench VTC Bid Attachment Documents/Urgench VTC Bid Attachment Documents/Section 4.  Bill of Quantities(Not-Priced)/공내역서/VTC견적서/3 ОБЩЕЖИТИЕ(Dormitory)/3-8 ТМ(Boiler &amp; Solar heating)/13443_vrmu.xls</x:v>
      </x:c>
      <x:c r="E469" s="22" t="str">
        <x:v>.xls</x:v>
      </x:c>
      <x:c r="F469" s="28" t="n">
        <x:v>86528</x:v>
      </x:c>
      <x:c r="G469" s="28" t="str">
        <x:v>d3c0a88886331817cb71e9575b7bdf7dcfbffd63454a29c052460c96407dc642</x:v>
      </x:c>
      <x:c r="H469" s="28" t="n">
        <x:v>1</x:v>
      </x:c>
      <x:c r="I469" s="28" t="n">
        <x:v>1</x:v>
      </x:c>
      <x:c r="J469" s="28" t="n">
        <x:v>1</x:v>
      </x:c>
      <x:c r="K469" s="28" t="n">
        <x:v>174</x:v>
      </x:c>
      <x:c r="L469" s="28" t="n">
        <x:v>1</x:v>
      </x:c>
      <x:c r="M469" s="28" t="n">
        <x:v>0</x:v>
      </x:c>
      <x:c r="N469" s="22" t="str">
        <x:v>Лист1</x:v>
      </x:c>
      <x:c r="O469" s="22" t="str">
        <x:v>visible</x:v>
      </x:c>
      <x:c r="P469" s="22" t="n">
        <x:v>8</x:v>
      </x:c>
      <x:c r="Q469" s="40" t="n">
        <x:v>0.005747126436781609</x:v>
      </x:c>
      <x:c r="R469" s="25" t="str"/>
      <x:c r="S469" s="25" t="str">
        <x:v>B?</x:v>
      </x:c>
      <x:c r="T469" s="25" t="str">
        <x:v>자동 표 신호는 최종 A/B로 승격하지 않음</x:v>
      </x:c>
      <x:c r="U469" s="22" t="str">
        <x:v>2021-2025</x:v>
      </x:c>
    </x:row>
    <x:row r="470">
      <x:c r="A470" s="22" t="str">
        <x:v>2020-00086</x:v>
      </x:c>
      <x:c r="B470" s="22" t="str">
        <x:v>L2023-00053-1</x:v>
      </x:c>
      <x:c r="C470" s="22" t="str">
        <x:v>WORKS</x:v>
      </x:c>
      <x:c r="D470" s="25" t="str">
        <x:v>L2023-00053-1/Urgench VTC Bid Attachment Documents/Urgench VTC Bid Attachment Documents/Section 4.  Bill of Quantities(Not-Priced)/공내역서/VTC견적서/3 ОБЩЕЖИТИЕ(Dormitory)/3-8 ТМ(Boiler &amp; Solar heating)/bv13440.xls</x:v>
      </x:c>
      <x:c r="E470" s="22" t="str">
        <x:v>.xls</x:v>
      </x:c>
      <x:c r="F470" s="28" t="n">
        <x:v>176128</x:v>
      </x:c>
      <x:c r="G470" s="28" t="str">
        <x:v>8f851a4587465612841b0497ea7ac0167998ac563b5dd9f8fd3cf937c6d20e25</x:v>
      </x:c>
      <x:c r="H470" s="28" t="n">
        <x:v>1</x:v>
      </x:c>
      <x:c r="I470" s="28" t="n">
        <x:v>1</x:v>
      </x:c>
      <x:c r="J470" s="28" t="n">
        <x:v>0</x:v>
      </x:c>
      <x:c r="K470" s="28" t="n">
        <x:v>0</x:v>
      </x:c>
      <x:c r="L470" s="28" t="n">
        <x:v>0</x:v>
      </x:c>
      <x:c r="M470" s="28" t="n">
        <x:v>0</x:v>
      </x:c>
      <x:c r="N470" s="22" t="str"/>
      <x:c r="O470" s="22" t="str"/>
      <x:c r="P470" s="22" t="n">
        <x:v>0</x:v>
      </x:c>
      <x:c r="Q470" s="40" t="n">
        <x:v>0</x:v>
      </x:c>
      <x:c r="R470" s="25" t="str"/>
      <x:c r="S470" s="25" t="str">
        <x:v>BOQ_NAME_ONLY</x:v>
      </x:c>
      <x:c r="T470" s="25" t="str">
        <x:v>자동 표 신호는 최종 A/B로 승격하지 않음</x:v>
      </x:c>
      <x:c r="U470" s="22" t="str">
        <x:v>2021-2025</x:v>
      </x:c>
    </x:row>
    <x:row r="471">
      <x:c r="A471" s="22" t="str">
        <x:v>2020-00086</x:v>
      </x:c>
      <x:c r="B471" s="22" t="str">
        <x:v>L2023-00053-1</x:v>
      </x:c>
      <x:c r="C471" s="22" t="str">
        <x:v>WORKS</x:v>
      </x:c>
      <x:c r="D471" s="25" t="str">
        <x:v>L2023-00053-1/Urgench VTC Bid Attachment Documents/Urgench VTC Bid Attachment Documents/Section 4.  Bill of Quantities(Not-Priced)/공내역서/VTC견적서/3 ОБЩЕЖИТИЕ(Dormitory)/3-8 ТМ(Boiler &amp; Solar heating)/13443_vfor.xls</x:v>
      </x:c>
      <x:c r="E471" s="22" t="str">
        <x:v>.xls</x:v>
      </x:c>
      <x:c r="F471" s="28" t="n">
        <x:v>70144</x:v>
      </x:c>
      <x:c r="G471" s="28" t="str">
        <x:v>95536513d6bf3158fb4d65daa1a681e30df8970af4be141270aaa7b89bb0d95a</x:v>
      </x:c>
      <x:c r="H471" s="28" t="n">
        <x:v>1</x:v>
      </x:c>
      <x:c r="I471" s="28" t="n">
        <x:v>1</x:v>
      </x:c>
      <x:c r="J471" s="28" t="n">
        <x:v>0</x:v>
      </x:c>
      <x:c r="K471" s="28" t="n">
        <x:v>0</x:v>
      </x:c>
      <x:c r="L471" s="28" t="n">
        <x:v>0</x:v>
      </x:c>
      <x:c r="M471" s="28" t="n">
        <x:v>0</x:v>
      </x:c>
      <x:c r="N471" s="22" t="str"/>
      <x:c r="O471" s="22" t="str"/>
      <x:c r="P471" s="22" t="n">
        <x:v>0</x:v>
      </x:c>
      <x:c r="Q471" s="40" t="n">
        <x:v>0</x:v>
      </x:c>
      <x:c r="R471" s="25" t="str"/>
      <x:c r="S471" s="25" t="str">
        <x:v>BOQ_NAME_ONLY</x:v>
      </x:c>
      <x:c r="T471" s="25" t="str">
        <x:v>자동 표 신호는 최종 A/B로 승격하지 않음</x:v>
      </x:c>
      <x:c r="U471" s="22" t="str">
        <x:v>2021-2025</x:v>
      </x:c>
    </x:row>
    <x:row r="472">
      <x:c r="A472" s="22" t="str">
        <x:v>2020-00086</x:v>
      </x:c>
      <x:c r="B472" s="22" t="str">
        <x:v>L2023-00053-1</x:v>
      </x:c>
      <x:c r="C472" s="22" t="str">
        <x:v>WORKS</x:v>
      </x:c>
      <x:c r="D472" s="25" t="str">
        <x:v>L2023-00053-1/Urgench VTC Bid Attachment Documents/Urgench VTC Bid Attachment Documents/Section 4.  Bill of Quantities(Not-Priced)/공내역서/VTC견적서/3 ОБЩЕЖИТИЕ(Dormitory)/3-3 ОВ(Heating &amp; Ventilation)/13103_vrmu.xls</x:v>
      </x:c>
      <x:c r="E472" s="22" t="str">
        <x:v>.xls</x:v>
      </x:c>
      <x:c r="F472" s="28" t="n">
        <x:v>61440</x:v>
      </x:c>
      <x:c r="G472" s="28" t="str">
        <x:v>1e94bb5552421589790c2b57554f506b5f1f0d69289ff4eee0eadf0c4411484b</x:v>
      </x:c>
      <x:c r="H472" s="28" t="n">
        <x:v>1</x:v>
      </x:c>
      <x:c r="I472" s="28" t="n">
        <x:v>1</x:v>
      </x:c>
      <x:c r="J472" s="28" t="n">
        <x:v>1</x:v>
      </x:c>
      <x:c r="K472" s="28" t="n">
        <x:v>87</x:v>
      </x:c>
      <x:c r="L472" s="28" t="n">
        <x:v>1</x:v>
      </x:c>
      <x:c r="M472" s="28" t="n">
        <x:v>0</x:v>
      </x:c>
      <x:c r="N472" s="22" t="str">
        <x:v>Лист1</x:v>
      </x:c>
      <x:c r="O472" s="22" t="str">
        <x:v>visible</x:v>
      </x:c>
      <x:c r="P472" s="22" t="n">
        <x:v>8</x:v>
      </x:c>
      <x:c r="Q472" s="40" t="n">
        <x:v>0.011494252873563218</x:v>
      </x:c>
      <x:c r="R472" s="25" t="str"/>
      <x:c r="S472" s="25" t="str">
        <x:v>B?</x:v>
      </x:c>
      <x:c r="T472" s="25" t="str">
        <x:v>자동 표 신호는 최종 A/B로 승격하지 않음</x:v>
      </x:c>
      <x:c r="U472" s="22" t="str">
        <x:v>2021-2025</x:v>
      </x:c>
    </x:row>
    <x:row r="473">
      <x:c r="A473" s="22" t="str">
        <x:v>2020-00086</x:v>
      </x:c>
      <x:c r="B473" s="22" t="str">
        <x:v>L2023-00053-1</x:v>
      </x:c>
      <x:c r="C473" s="22" t="str">
        <x:v>WORKS</x:v>
      </x:c>
      <x:c r="D473" s="25" t="str">
        <x:v>L2023-00053-1/Urgench VTC Bid Attachment Documents/Urgench VTC Bid Attachment Documents/Section 4.  Bill of Quantities(Not-Priced)/공내역서/VTC견적서/3 ОБЩЕЖИТИЕ(Dormitory)/3-3 ОВ(Heating &amp; Ventilation)/bv13100.xls</x:v>
      </x:c>
      <x:c r="E473" s="22" t="str">
        <x:v>.xls</x:v>
      </x:c>
      <x:c r="F473" s="28" t="n">
        <x:v>118784</x:v>
      </x:c>
      <x:c r="G473" s="28" t="str">
        <x:v>7a6af10e951e5b9fb0bc177d931c4ff15c4ecb1ebe83088b80ad66656bcd9ec6</x:v>
      </x:c>
      <x:c r="H473" s="28" t="n">
        <x:v>1</x:v>
      </x:c>
      <x:c r="I473" s="28" t="n">
        <x:v>1</x:v>
      </x:c>
      <x:c r="J473" s="28" t="n">
        <x:v>0</x:v>
      </x:c>
      <x:c r="K473" s="28" t="n">
        <x:v>0</x:v>
      </x:c>
      <x:c r="L473" s="28" t="n">
        <x:v>0</x:v>
      </x:c>
      <x:c r="M473" s="28" t="n">
        <x:v>0</x:v>
      </x:c>
      <x:c r="N473" s="22" t="str"/>
      <x:c r="O473" s="22" t="str"/>
      <x:c r="P473" s="22" t="n">
        <x:v>0</x:v>
      </x:c>
      <x:c r="Q473" s="40" t="n">
        <x:v>0</x:v>
      </x:c>
      <x:c r="R473" s="25" t="str"/>
      <x:c r="S473" s="25" t="str">
        <x:v>BOQ_NAME_ONLY</x:v>
      </x:c>
      <x:c r="T473" s="25" t="str">
        <x:v>자동 표 신호는 최종 A/B로 승격하지 않음</x:v>
      </x:c>
      <x:c r="U473" s="22" t="str">
        <x:v>2021-2025</x:v>
      </x:c>
    </x:row>
    <x:row r="474">
      <x:c r="A474" s="22" t="str">
        <x:v>2020-00086</x:v>
      </x:c>
      <x:c r="B474" s="22" t="str">
        <x:v>L2023-00053-1</x:v>
      </x:c>
      <x:c r="C474" s="22" t="str">
        <x:v>WORKS</x:v>
      </x:c>
      <x:c r="D474" s="25" t="str">
        <x:v>L2023-00053-1/Urgench VTC Bid Attachment Documents/Urgench VTC Bid Attachment Documents/Section 4.  Bill of Quantities(Not-Priced)/공내역서/VTC견적서/3 ОБЩЕЖИТИЕ(Dormitory)/3-3 ОВ(Heating &amp; Ventilation)/13103_vfor.xls</x:v>
      </x:c>
      <x:c r="E474" s="22" t="str">
        <x:v>.xls</x:v>
      </x:c>
      <x:c r="F474" s="28" t="n">
        <x:v>51712</x:v>
      </x:c>
      <x:c r="G474" s="28" t="str">
        <x:v>fc72408b079aa86e3fe987541b5e7735bf43a368e9fe333d8ae13603fde2a81f</x:v>
      </x:c>
      <x:c r="H474" s="28" t="n">
        <x:v>1</x:v>
      </x:c>
      <x:c r="I474" s="28" t="n">
        <x:v>1</x:v>
      </x:c>
      <x:c r="J474" s="28" t="n">
        <x:v>0</x:v>
      </x:c>
      <x:c r="K474" s="28" t="n">
        <x:v>0</x:v>
      </x:c>
      <x:c r="L474" s="28" t="n">
        <x:v>0</x:v>
      </x:c>
      <x:c r="M474" s="28" t="n">
        <x:v>0</x:v>
      </x:c>
      <x:c r="N474" s="22" t="str"/>
      <x:c r="O474" s="22" t="str"/>
      <x:c r="P474" s="22" t="n">
        <x:v>0</x:v>
      </x:c>
      <x:c r="Q474" s="40" t="n">
        <x:v>0</x:v>
      </x:c>
      <x:c r="R474" s="25" t="str"/>
      <x:c r="S474" s="25" t="str">
        <x:v>BOQ_NAME_ONLY</x:v>
      </x:c>
      <x:c r="T474" s="25" t="str">
        <x:v>자동 표 신호는 최종 A/B로 승격하지 않음</x:v>
      </x:c>
      <x:c r="U474" s="22" t="str">
        <x:v>2021-2025</x:v>
      </x:c>
    </x:row>
    <x:row r="475">
      <x:c r="A475" s="22" t="str">
        <x:v>2020-00086</x:v>
      </x:c>
      <x:c r="B475" s="22" t="str">
        <x:v>L2023-00053-1</x:v>
      </x:c>
      <x:c r="C475" s="22" t="str">
        <x:v>WORKS</x:v>
      </x:c>
      <x:c r="D475" s="25" t="str">
        <x:v>L2023-00053-1/Urgench VTC Bid Attachment Documents/Urgench VTC Bid Attachment Documents/Section 4.  Bill of Quantities(Not-Priced)/공내역서/VTC견적서/3 ОБЩЕЖИТИЕ(Dormitory)/3-4 ВК(Water &amp; Sewer &amp; Fireplug)/13113_vfor.xls</x:v>
      </x:c>
      <x:c r="E475" s="22" t="str">
        <x:v>.xls</x:v>
      </x:c>
      <x:c r="F475" s="28" t="n">
        <x:v>62464</x:v>
      </x:c>
      <x:c r="G475" s="28" t="str">
        <x:v>73e6dd7aa52e8cf03b392cc81de31620bc3e272e464fc12dbcafaed5d7906cd7</x:v>
      </x:c>
      <x:c r="H475" s="28" t="n">
        <x:v>1</x:v>
      </x:c>
      <x:c r="I475" s="28" t="n">
        <x:v>1</x:v>
      </x:c>
      <x:c r="J475" s="28" t="n">
        <x:v>0</x:v>
      </x:c>
      <x:c r="K475" s="28" t="n">
        <x:v>0</x:v>
      </x:c>
      <x:c r="L475" s="28" t="n">
        <x:v>0</x:v>
      </x:c>
      <x:c r="M475" s="28" t="n">
        <x:v>0</x:v>
      </x:c>
      <x:c r="N475" s="22" t="str"/>
      <x:c r="O475" s="22" t="str"/>
      <x:c r="P475" s="22" t="n">
        <x:v>0</x:v>
      </x:c>
      <x:c r="Q475" s="40" t="n">
        <x:v>0</x:v>
      </x:c>
      <x:c r="R475" s="25" t="str"/>
      <x:c r="S475" s="25" t="str">
        <x:v>BOQ_NAME_ONLY</x:v>
      </x:c>
      <x:c r="T475" s="25" t="str">
        <x:v>자동 표 신호는 최종 A/B로 승격하지 않음</x:v>
      </x:c>
      <x:c r="U475" s="22" t="str">
        <x:v>2021-2025</x:v>
      </x:c>
    </x:row>
    <x:row r="476">
      <x:c r="A476" s="22" t="str">
        <x:v>2020-00086</x:v>
      </x:c>
      <x:c r="B476" s="22" t="str">
        <x:v>L2023-00053-1</x:v>
      </x:c>
      <x:c r="C476" s="22" t="str">
        <x:v>WORKS</x:v>
      </x:c>
      <x:c r="D476" s="25" t="str">
        <x:v>L2023-00053-1/Urgench VTC Bid Attachment Documents/Urgench VTC Bid Attachment Documents/Section 4.  Bill of Quantities(Not-Priced)/공내역서/VTC견적서/3 ОБЩЕЖИТИЕ(Dormitory)/3-4 ВК(Water &amp; Sewer &amp; Fireplug)/bv13110.xls</x:v>
      </x:c>
      <x:c r="E476" s="22" t="str">
        <x:v>.xls</x:v>
      </x:c>
      <x:c r="F476" s="28" t="n">
        <x:v>162816</x:v>
      </x:c>
      <x:c r="G476" s="28" t="str">
        <x:v>88307ab28fb3650d960a3f58562bd7c34d3a46f3916c3f9c302c8d91b33946f4</x:v>
      </x:c>
      <x:c r="H476" s="28" t="n">
        <x:v>1</x:v>
      </x:c>
      <x:c r="I476" s="28" t="n">
        <x:v>1</x:v>
      </x:c>
      <x:c r="J476" s="28" t="n">
        <x:v>0</x:v>
      </x:c>
      <x:c r="K476" s="28" t="n">
        <x:v>0</x:v>
      </x:c>
      <x:c r="L476" s="28" t="n">
        <x:v>0</x:v>
      </x:c>
      <x:c r="M476" s="28" t="n">
        <x:v>0</x:v>
      </x:c>
      <x:c r="N476" s="22" t="str"/>
      <x:c r="O476" s="22" t="str"/>
      <x:c r="P476" s="22" t="n">
        <x:v>0</x:v>
      </x:c>
      <x:c r="Q476" s="40" t="n">
        <x:v>0</x:v>
      </x:c>
      <x:c r="R476" s="25" t="str"/>
      <x:c r="S476" s="25" t="str">
        <x:v>BOQ_NAME_ONLY</x:v>
      </x:c>
      <x:c r="T476" s="25" t="str">
        <x:v>자동 표 신호는 최종 A/B로 승격하지 않음</x:v>
      </x:c>
      <x:c r="U476" s="22" t="str">
        <x:v>2021-2025</x:v>
      </x:c>
    </x:row>
    <x:row r="477">
      <x:c r="A477" s="22" t="str">
        <x:v>2020-00086</x:v>
      </x:c>
      <x:c r="B477" s="22" t="str">
        <x:v>L2023-00053-1</x:v>
      </x:c>
      <x:c r="C477" s="22" t="str">
        <x:v>WORKS</x:v>
      </x:c>
      <x:c r="D477" s="25" t="str">
        <x:v>L2023-00053-1/Urgench VTC Bid Attachment Documents/Urgench VTC Bid Attachment Documents/Section 4.  Bill of Quantities(Not-Priced)/공내역서/VTC견적서/3 ОБЩЕЖИТИЕ(Dormitory)/3-4 ВК(Water &amp; Sewer &amp; Fireplug)/13113_vrmu.xls</x:v>
      </x:c>
      <x:c r="E477" s="22" t="str">
        <x:v>.xls</x:v>
      </x:c>
      <x:c r="F477" s="28" t="n">
        <x:v>78336</x:v>
      </x:c>
      <x:c r="G477" s="28" t="str">
        <x:v>23bb6dcb0e3ca3d9e11440aeecc7927f87168d16d5a2fb32594cc8f7c510f911</x:v>
      </x:c>
      <x:c r="H477" s="28" t="n">
        <x:v>1</x:v>
      </x:c>
      <x:c r="I477" s="28" t="n">
        <x:v>1</x:v>
      </x:c>
      <x:c r="J477" s="28" t="n">
        <x:v>0</x:v>
      </x:c>
      <x:c r="K477" s="28" t="n">
        <x:v>0</x:v>
      </x:c>
      <x:c r="L477" s="28" t="n">
        <x:v>0</x:v>
      </x:c>
      <x:c r="M477" s="28" t="n">
        <x:v>0</x:v>
      </x:c>
      <x:c r="N477" s="22" t="str"/>
      <x:c r="O477" s="22" t="str"/>
      <x:c r="P477" s="22" t="n">
        <x:v>0</x:v>
      </x:c>
      <x:c r="Q477" s="40" t="n">
        <x:v>0</x:v>
      </x:c>
      <x:c r="R477" s="25" t="str"/>
      <x:c r="S477" s="25" t="str">
        <x:v>BOQ_NAME_ONLY</x:v>
      </x:c>
      <x:c r="T477" s="25" t="str">
        <x:v>자동 표 신호는 최종 A/B로 승격하지 않음</x:v>
      </x:c>
      <x:c r="U477" s="22" t="str">
        <x:v>2021-2025</x:v>
      </x:c>
    </x:row>
    <x:row r="478">
      <x:c r="A478" s="22" t="str">
        <x:v>2020-00086</x:v>
      </x:c>
      <x:c r="B478" s="22" t="str">
        <x:v>L2023-00053-1</x:v>
      </x:c>
      <x:c r="C478" s="22" t="str">
        <x:v>WORKS</x:v>
      </x:c>
      <x:c r="D478" s="25" t="str">
        <x:v>L2023-00053-1/Urgench VTC Bid Attachment Documents/Urgench VTC Bid Attachment Documents/Section 4.  Bill of Quantities(Not-Priced)/공내역서/VTC견적서/3 ОБЩЕЖИТИЕ(Dormitory)/3-1 КЖ(Structure)/13023_vrmu.xls</x:v>
      </x:c>
      <x:c r="E478" s="22" t="str">
        <x:v>.xls</x:v>
      </x:c>
      <x:c r="F478" s="28" t="n">
        <x:v>71168</x:v>
      </x:c>
      <x:c r="G478" s="28" t="str">
        <x:v>1cd9211b72104c9dc7f6eee96daa2851e9bdb7ba1e1883dd402b4f613cca8d8f</x:v>
      </x:c>
      <x:c r="H478" s="28" t="n">
        <x:v>1</x:v>
      </x:c>
      <x:c r="I478" s="28" t="n">
        <x:v>1</x:v>
      </x:c>
      <x:c r="J478" s="28" t="n">
        <x:v>1</x:v>
      </x:c>
      <x:c r="K478" s="28" t="n">
        <x:v>130</x:v>
      </x:c>
      <x:c r="L478" s="28" t="n">
        <x:v>1</x:v>
      </x:c>
      <x:c r="M478" s="28" t="n">
        <x:v>0</x:v>
      </x:c>
      <x:c r="N478" s="22" t="str">
        <x:v>Лист1</x:v>
      </x:c>
      <x:c r="O478" s="22" t="str">
        <x:v>visible</x:v>
      </x:c>
      <x:c r="P478" s="22" t="n">
        <x:v>8</x:v>
      </x:c>
      <x:c r="Q478" s="40" t="n">
        <x:v>0.007692307692307693</x:v>
      </x:c>
      <x:c r="R478" s="25" t="str"/>
      <x:c r="S478" s="25" t="str">
        <x:v>B?</x:v>
      </x:c>
      <x:c r="T478" s="25" t="str">
        <x:v>자동 표 신호는 최종 A/B로 승격하지 않음</x:v>
      </x:c>
      <x:c r="U478" s="22" t="str">
        <x:v>2021-2025</x:v>
      </x:c>
    </x:row>
    <x:row r="479">
      <x:c r="A479" s="22" t="str">
        <x:v>2020-00086</x:v>
      </x:c>
      <x:c r="B479" s="22" t="str">
        <x:v>L2023-00053-1</x:v>
      </x:c>
      <x:c r="C479" s="22" t="str">
        <x:v>WORKS</x:v>
      </x:c>
      <x:c r="D479" s="25" t="str">
        <x:v>L2023-00053-1/Urgench VTC Bid Attachment Documents/Urgench VTC Bid Attachment Documents/Section 4.  Bill of Quantities(Not-Priced)/공내역서/VTC견적서/3 ОБЩЕЖИТИЕ(Dormitory)/3-1 КЖ(Structure)/13023_vfor.xls</x:v>
      </x:c>
      <x:c r="E479" s="22" t="str">
        <x:v>.xls</x:v>
      </x:c>
      <x:c r="F479" s="28" t="n">
        <x:v>71168</x:v>
      </x:c>
      <x:c r="G479" s="28" t="str">
        <x:v>673a85f5a1e9b6b7350bf66f3c67c715335e2cd418a95188f312dcbd098d438a</x:v>
      </x:c>
      <x:c r="H479" s="28" t="n">
        <x:v>1</x:v>
      </x:c>
      <x:c r="I479" s="28" t="n">
        <x:v>1</x:v>
      </x:c>
      <x:c r="J479" s="28" t="n">
        <x:v>1</x:v>
      </x:c>
      <x:c r="K479" s="28" t="n">
        <x:v>219</x:v>
      </x:c>
      <x:c r="L479" s="28" t="n">
        <x:v>0</x:v>
      </x:c>
      <x:c r="M479" s="28" t="n">
        <x:v>0</x:v>
      </x:c>
      <x:c r="N479" s="22" t="str">
        <x:v>Лист1</x:v>
      </x:c>
      <x:c r="O479" s="22" t="str">
        <x:v>visible</x:v>
      </x:c>
      <x:c r="P479" s="22" t="n">
        <x:v>9</x:v>
      </x:c>
      <x:c r="Q479" s="40" t="n">
        <x:v>0</x:v>
      </x:c>
      <x:c r="R479" s="25" t="str"/>
      <x:c r="S479" s="25" t="str">
        <x:v>B?</x:v>
      </x:c>
      <x:c r="T479" s="25" t="str">
        <x:v>자동 표 신호는 최종 A/B로 승격하지 않음</x:v>
      </x:c>
      <x:c r="U479" s="22" t="str">
        <x:v>2021-2025</x:v>
      </x:c>
    </x:row>
    <x:row r="480">
      <x:c r="A480" s="22" t="str">
        <x:v>2020-00086</x:v>
      </x:c>
      <x:c r="B480" s="22" t="str">
        <x:v>L2023-00053-1</x:v>
      </x:c>
      <x:c r="C480" s="22" t="str">
        <x:v>WORKS</x:v>
      </x:c>
      <x:c r="D480" s="25" t="str">
        <x:v>L2023-00053-1/Urgench VTC Bid Attachment Documents/Urgench VTC Bid Attachment Documents/Section 4.  Bill of Quantities(Not-Priced)/공내역서/VTC견적서/3 ОБЩЕЖИТИЕ(Dormitory)/3-1 КЖ(Structure)/bv13020.xls</x:v>
      </x:c>
      <x:c r="E480" s="22" t="str">
        <x:v>.xls</x:v>
      </x:c>
      <x:c r="F480" s="28" t="n">
        <x:v>286208</x:v>
      </x:c>
      <x:c r="G480" s="28" t="str">
        <x:v>aee487d6db0fed682c28fabba84e56d3b2d993351976b6197fbf6df4e3bc0506</x:v>
      </x:c>
      <x:c r="H480" s="28" t="n">
        <x:v>1</x:v>
      </x:c>
      <x:c r="I480" s="28" t="n">
        <x:v>1</x:v>
      </x:c>
      <x:c r="J480" s="28" t="n">
        <x:v>1</x:v>
      </x:c>
      <x:c r="K480" s="28" t="n">
        <x:v>1374</x:v>
      </x:c>
      <x:c r="L480" s="28" t="n">
        <x:v>0</x:v>
      </x:c>
      <x:c r="M480" s="28" t="n">
        <x:v>0</x:v>
      </x:c>
      <x:c r="N480" s="22" t="str">
        <x:v>3-1_ЛРВ</x:v>
      </x:c>
      <x:c r="O480" s="22" t="str">
        <x:v>visible</x:v>
      </x:c>
      <x:c r="P480" s="22" t="n">
        <x:v>10</x:v>
      </x:c>
      <x:c r="Q480" s="40" t="n">
        <x:v>0</x:v>
      </x:c>
      <x:c r="R480" s="25" t="str"/>
      <x:c r="S480" s="25" t="str">
        <x:v>B?</x:v>
      </x:c>
      <x:c r="T480" s="25" t="str">
        <x:v>자동 표 신호는 최종 A/B로 승격하지 않음</x:v>
      </x:c>
      <x:c r="U480" s="22" t="str">
        <x:v>2021-2025</x:v>
      </x:c>
    </x:row>
    <x:row r="481">
      <x:c r="A481" s="22" t="str">
        <x:v>2020-00086</x:v>
      </x:c>
      <x:c r="B481" s="22" t="str">
        <x:v>L2023-00053-1</x:v>
      </x:c>
      <x:c r="C481" s="22" t="str">
        <x:v>WORKS</x:v>
      </x:c>
      <x:c r="D481" s="25" t="str">
        <x:v>L2023-00053-1/Urgench VTC Bid Attachment Documents/Urgench VTC Bid Attachment Documents/Section 4.  Bill of Quantities(Not-Priced)/공내역서/VTC견적서/7 КОМПРЕССОРАНЯ(Comp.+GAS storage)/7-3 ЭО(Electric)/bv13500.xls</x:v>
      </x:c>
      <x:c r="E481" s="22" t="str">
        <x:v>.xls</x:v>
      </x:c>
      <x:c r="F481" s="28" t="n">
        <x:v>76800</x:v>
      </x:c>
      <x:c r="G481" s="28" t="str">
        <x:v>774c07e5846d462fcc00eda8f335b28050758f61dee53d10a4a56e44d829b2bb</x:v>
      </x:c>
      <x:c r="H481" s="28" t="n">
        <x:v>1</x:v>
      </x:c>
      <x:c r="I481" s="28" t="n">
        <x:v>1</x:v>
      </x:c>
      <x:c r="J481" s="28" t="n">
        <x:v>0</x:v>
      </x:c>
      <x:c r="K481" s="28" t="n">
        <x:v>0</x:v>
      </x:c>
      <x:c r="L481" s="28" t="n">
        <x:v>0</x:v>
      </x:c>
      <x:c r="M481" s="28" t="n">
        <x:v>0</x:v>
      </x:c>
      <x:c r="N481" s="22" t="str"/>
      <x:c r="O481" s="22" t="str"/>
      <x:c r="P481" s="22" t="n">
        <x:v>0</x:v>
      </x:c>
      <x:c r="Q481" s="40" t="n">
        <x:v>0</x:v>
      </x:c>
      <x:c r="R481" s="25" t="str"/>
      <x:c r="S481" s="25" t="str">
        <x:v>BOQ_NAME_ONLY</x:v>
      </x:c>
      <x:c r="T481" s="25" t="str">
        <x:v>자동 표 신호는 최종 A/B로 승격하지 않음</x:v>
      </x:c>
      <x:c r="U481" s="22" t="str">
        <x:v>2021-2025</x:v>
      </x:c>
    </x:row>
    <x:row r="482">
      <x:c r="A482" s="22" t="str">
        <x:v>2020-00086</x:v>
      </x:c>
      <x:c r="B482" s="22" t="str">
        <x:v>L2023-00053-1</x:v>
      </x:c>
      <x:c r="C482" s="22" t="str">
        <x:v>WORKS</x:v>
      </x:c>
      <x:c r="D482" s="25" t="str">
        <x:v>L2023-00053-1/Urgench VTC Bid Attachment Documents/Urgench VTC Bid Attachment Documents/Section 4.  Bill of Quantities(Not-Priced)/공내역서/VTC견적서/7 КОМПРЕССОРАНЯ(Comp.+GAS storage)/7-3 ЭО(Electric)/13503_vrmu.xls</x:v>
      </x:c>
      <x:c r="E482" s="22" t="str">
        <x:v>.xls</x:v>
      </x:c>
      <x:c r="F482" s="28" t="n">
        <x:v>51200</x:v>
      </x:c>
      <x:c r="G482" s="28" t="str">
        <x:v>557a980a68981d94391b523dccdccf4e876c9d6dcae8e97a692aa94929ddbec5</x:v>
      </x:c>
      <x:c r="H482" s="28" t="n">
        <x:v>1</x:v>
      </x:c>
      <x:c r="I482" s="28" t="n">
        <x:v>1</x:v>
      </x:c>
      <x:c r="J482" s="28" t="n">
        <x:v>1</x:v>
      </x:c>
      <x:c r="K482" s="28" t="n">
        <x:v>51</x:v>
      </x:c>
      <x:c r="L482" s="28" t="n">
        <x:v>1</x:v>
      </x:c>
      <x:c r="M482" s="28" t="n">
        <x:v>0</x:v>
      </x:c>
      <x:c r="N482" s="22" t="str">
        <x:v>Лист1</x:v>
      </x:c>
      <x:c r="O482" s="22" t="str">
        <x:v>visible</x:v>
      </x:c>
      <x:c r="P482" s="22" t="n">
        <x:v>8</x:v>
      </x:c>
      <x:c r="Q482" s="40" t="n">
        <x:v>0.0196078431372549</x:v>
      </x:c>
      <x:c r="R482" s="25" t="str"/>
      <x:c r="S482" s="25" t="str">
        <x:v>B?</x:v>
      </x:c>
      <x:c r="T482" s="25" t="str">
        <x:v>자동 표 신호는 최종 A/B로 승격하지 않음</x:v>
      </x:c>
      <x:c r="U482" s="22" t="str">
        <x:v>2021-2025</x:v>
      </x:c>
    </x:row>
    <x:row r="483">
      <x:c r="A483" s="22" t="str">
        <x:v>2020-00086</x:v>
      </x:c>
      <x:c r="B483" s="22" t="str">
        <x:v>L2023-00053-1</x:v>
      </x:c>
      <x:c r="C483" s="22" t="str">
        <x:v>WORKS</x:v>
      </x:c>
      <x:c r="D483" s="25" t="str">
        <x:v>L2023-00053-1/Urgench VTC Bid Attachment Documents/Urgench VTC Bid Attachment Documents/Section 4.  Bill of Quantities(Not-Priced)/공내역서/VTC견적서/7 КОМПРЕССОРАНЯ(Comp.+GAS storage)/7-3 ЭО(Electric)/13503_vfor.xls</x:v>
      </x:c>
      <x:c r="E483" s="22" t="str">
        <x:v>.xls</x:v>
      </x:c>
      <x:c r="F483" s="28" t="n">
        <x:v>44544</x:v>
      </x:c>
      <x:c r="G483" s="28" t="str">
        <x:v>fba80ba25d76993629553bd43cccae9188ce442e97030bea9bec4d66366073e1</x:v>
      </x:c>
      <x:c r="H483" s="28" t="n">
        <x:v>1</x:v>
      </x:c>
      <x:c r="I483" s="28" t="n">
        <x:v>1</x:v>
      </x:c>
      <x:c r="J483" s="28" t="n">
        <x:v>0</x:v>
      </x:c>
      <x:c r="K483" s="28" t="n">
        <x:v>0</x:v>
      </x:c>
      <x:c r="L483" s="28" t="n">
        <x:v>0</x:v>
      </x:c>
      <x:c r="M483" s="28" t="n">
        <x:v>0</x:v>
      </x:c>
      <x:c r="N483" s="22" t="str"/>
      <x:c r="O483" s="22" t="str"/>
      <x:c r="P483" s="22" t="n">
        <x:v>0</x:v>
      </x:c>
      <x:c r="Q483" s="40" t="n">
        <x:v>0</x:v>
      </x:c>
      <x:c r="R483" s="25" t="str"/>
      <x:c r="S483" s="25" t="str">
        <x:v>BOQ_NAME_ONLY</x:v>
      </x:c>
      <x:c r="T483" s="25" t="str">
        <x:v>자동 표 신호는 최종 A/B로 승격하지 않음</x:v>
      </x:c>
      <x:c r="U483" s="22" t="str">
        <x:v>2021-2025</x:v>
      </x:c>
    </x:row>
    <x:row r="484">
      <x:c r="A484" s="22" t="str">
        <x:v>2020-00086</x:v>
      </x:c>
      <x:c r="B484" s="22" t="str">
        <x:v>L2023-00053-1</x:v>
      </x:c>
      <x:c r="C484" s="22" t="str">
        <x:v>WORKS</x:v>
      </x:c>
      <x:c r="D484" s="25" t="str">
        <x:v>L2023-00053-1/Urgench VTC Bid Attachment Documents/Urgench VTC Bid Attachment Documents/Section 4.  Bill of Quantities(Not-Priced)/공내역서/VTC견적서/7 КОМПРЕССОРАНЯ(Comp.+GAS storage)/7-1 КЖ(Structure)/bv13070.xls</x:v>
      </x:c>
      <x:c r="E484" s="22" t="str">
        <x:v>.xls</x:v>
      </x:c>
      <x:c r="F484" s="28" t="n">
        <x:v>126464</x:v>
      </x:c>
      <x:c r="G484" s="28" t="str">
        <x:v>9d15fc0b7e8c4ef335b01731a25fd915a06431f5b409d64ed8e75bdf471e8c99</x:v>
      </x:c>
      <x:c r="H484" s="28" t="n">
        <x:v>1</x:v>
      </x:c>
      <x:c r="I484" s="28" t="n">
        <x:v>1</x:v>
      </x:c>
      <x:c r="J484" s="28" t="n">
        <x:v>0</x:v>
      </x:c>
      <x:c r="K484" s="28" t="n">
        <x:v>0</x:v>
      </x:c>
      <x:c r="L484" s="28" t="n">
        <x:v>0</x:v>
      </x:c>
      <x:c r="M484" s="28" t="n">
        <x:v>0</x:v>
      </x:c>
      <x:c r="N484" s="22" t="str"/>
      <x:c r="O484" s="22" t="str"/>
      <x:c r="P484" s="22" t="n">
        <x:v>0</x:v>
      </x:c>
      <x:c r="Q484" s="40" t="n">
        <x:v>0</x:v>
      </x:c>
      <x:c r="R484" s="25" t="str"/>
      <x:c r="S484" s="25" t="str">
        <x:v>BOQ_NAME_ONLY</x:v>
      </x:c>
      <x:c r="T484" s="25" t="str">
        <x:v>자동 표 신호는 최종 A/B로 승격하지 않음</x:v>
      </x:c>
      <x:c r="U484" s="22" t="str">
        <x:v>2021-2025</x:v>
      </x:c>
    </x:row>
    <x:row r="485">
      <x:c r="A485" s="22" t="str">
        <x:v>2020-00086</x:v>
      </x:c>
      <x:c r="B485" s="22" t="str">
        <x:v>L2023-00053-1</x:v>
      </x:c>
      <x:c r="C485" s="22" t="str">
        <x:v>WORKS</x:v>
      </x:c>
      <x:c r="D485" s="25" t="str">
        <x:v>L2023-00053-1/Urgench VTC Bid Attachment Documents/Urgench VTC Bid Attachment Documents/Section 4.  Bill of Quantities(Not-Priced)/공내역서/VTC견적서/7 КОМПРЕССОРАНЯ(Comp.+GAS storage)/7-1 КЖ(Structure)/13073_vfor.xls</x:v>
      </x:c>
      <x:c r="E485" s="22" t="str">
        <x:v>.xls</x:v>
      </x:c>
      <x:c r="F485" s="28" t="n">
        <x:v>45056</x:v>
      </x:c>
      <x:c r="G485" s="28" t="str">
        <x:v>d4075fede6ca06f6e076cc3a33d9c66485d394bc84c4f6204421ee0751c41c29</x:v>
      </x:c>
      <x:c r="H485" s="28" t="n">
        <x:v>1</x:v>
      </x:c>
      <x:c r="I485" s="28" t="n">
        <x:v>1</x:v>
      </x:c>
      <x:c r="J485" s="28" t="n">
        <x:v>0</x:v>
      </x:c>
      <x:c r="K485" s="28" t="n">
        <x:v>0</x:v>
      </x:c>
      <x:c r="L485" s="28" t="n">
        <x:v>0</x:v>
      </x:c>
      <x:c r="M485" s="28" t="n">
        <x:v>0</x:v>
      </x:c>
      <x:c r="N485" s="22" t="str"/>
      <x:c r="O485" s="22" t="str"/>
      <x:c r="P485" s="22" t="n">
        <x:v>0</x:v>
      </x:c>
      <x:c r="Q485" s="40" t="n">
        <x:v>0</x:v>
      </x:c>
      <x:c r="R485" s="25" t="str"/>
      <x:c r="S485" s="25" t="str">
        <x:v>BOQ_NAME_ONLY</x:v>
      </x:c>
      <x:c r="T485" s="25" t="str">
        <x:v>자동 표 신호는 최종 A/B로 승격하지 않음</x:v>
      </x:c>
      <x:c r="U485" s="22" t="str">
        <x:v>2021-2025</x:v>
      </x:c>
    </x:row>
    <x:row r="486">
      <x:c r="A486" s="22" t="str">
        <x:v>2020-00086</x:v>
      </x:c>
      <x:c r="B486" s="22" t="str">
        <x:v>L2023-00053-1</x:v>
      </x:c>
      <x:c r="C486" s="22" t="str">
        <x:v>WORKS</x:v>
      </x:c>
      <x:c r="D486" s="25" t="str">
        <x:v>L2023-00053-1/Urgench VTC Bid Attachment Documents/Urgench VTC Bid Attachment Documents/Section 4.  Bill of Quantities(Not-Priced)/공내역서/VTC견적서/7 КОМПРЕССОРАНЯ(Comp.+GAS storage)/7-1 КЖ(Structure)/13073_vrmu.xls</x:v>
      </x:c>
      <x:c r="E486" s="22" t="str">
        <x:v>.xls</x:v>
      </x:c>
      <x:c r="F486" s="28" t="n">
        <x:v>57344</x:v>
      </x:c>
      <x:c r="G486" s="28" t="str">
        <x:v>b2b87877d1df201ff70c4fded29e0c808c0cf38b05ea0ef976abf05e5e3bb3f1</x:v>
      </x:c>
      <x:c r="H486" s="28" t="n">
        <x:v>1</x:v>
      </x:c>
      <x:c r="I486" s="28" t="n">
        <x:v>1</x:v>
      </x:c>
      <x:c r="J486" s="28" t="n">
        <x:v>1</x:v>
      </x:c>
      <x:c r="K486" s="28" t="n">
        <x:v>85</x:v>
      </x:c>
      <x:c r="L486" s="28" t="n">
        <x:v>1</x:v>
      </x:c>
      <x:c r="M486" s="28" t="n">
        <x:v>0</x:v>
      </x:c>
      <x:c r="N486" s="22" t="str">
        <x:v>Лист1</x:v>
      </x:c>
      <x:c r="O486" s="22" t="str">
        <x:v>visible</x:v>
      </x:c>
      <x:c r="P486" s="22" t="n">
        <x:v>8</x:v>
      </x:c>
      <x:c r="Q486" s="40" t="n">
        <x:v>0.011764705882352941</x:v>
      </x:c>
      <x:c r="R486" s="25" t="str"/>
      <x:c r="S486" s="25" t="str">
        <x:v>B?</x:v>
      </x:c>
      <x:c r="T486" s="25" t="str">
        <x:v>자동 표 신호는 최종 A/B로 승격하지 않음</x:v>
      </x:c>
      <x:c r="U486" s="22" t="str">
        <x:v>2021-2025</x:v>
      </x:c>
    </x:row>
    <x:row r="487">
      <x:c r="A487" s="22" t="str">
        <x:v>2020-00086</x:v>
      </x:c>
      <x:c r="B487" s="22" t="str">
        <x:v>L2023-00053-1</x:v>
      </x:c>
      <x:c r="C487" s="22" t="str">
        <x:v>WORKS</x:v>
      </x:c>
      <x:c r="D487" s="25" t="str">
        <x:v>L2023-00053-1/Urgench VTC Bid Attachment Documents/Urgench VTC Bid Attachment Documents/Section 4.  Bill of Quantities(Not-Priced)/공내역서/VTC견적서/7 КОМПРЕССОРАНЯ(Comp.+GAS storage)/7-2 АР(Architecture)/13083_vfor.xls</x:v>
      </x:c>
      <x:c r="E487" s="22" t="str">
        <x:v>.xls</x:v>
      </x:c>
      <x:c r="F487" s="28" t="n">
        <x:v>37888</x:v>
      </x:c>
      <x:c r="G487" s="28" t="str">
        <x:v>0d0641098aaf99e56a206db663b79287befbb026eb9ae10d31713fe26751af88</x:v>
      </x:c>
      <x:c r="H487" s="28" t="n">
        <x:v>1</x:v>
      </x:c>
      <x:c r="I487" s="28" t="n">
        <x:v>1</x:v>
      </x:c>
      <x:c r="J487" s="28" t="n">
        <x:v>0</x:v>
      </x:c>
      <x:c r="K487" s="28" t="n">
        <x:v>0</x:v>
      </x:c>
      <x:c r="L487" s="28" t="n">
        <x:v>0</x:v>
      </x:c>
      <x:c r="M487" s="28" t="n">
        <x:v>0</x:v>
      </x:c>
      <x:c r="N487" s="22" t="str"/>
      <x:c r="O487" s="22" t="str"/>
      <x:c r="P487" s="22" t="n">
        <x:v>0</x:v>
      </x:c>
      <x:c r="Q487" s="40" t="n">
        <x:v>0</x:v>
      </x:c>
      <x:c r="R487" s="25" t="str"/>
      <x:c r="S487" s="25" t="str">
        <x:v>BOQ_NAME_ONLY</x:v>
      </x:c>
      <x:c r="T487" s="25" t="str">
        <x:v>자동 표 신호는 최종 A/B로 승격하지 않음</x:v>
      </x:c>
      <x:c r="U487" s="22" t="str">
        <x:v>2021-2025</x:v>
      </x:c>
    </x:row>
    <x:row r="488">
      <x:c r="A488" s="22" t="str">
        <x:v>2020-00086</x:v>
      </x:c>
      <x:c r="B488" s="22" t="str">
        <x:v>L2023-00053-1</x:v>
      </x:c>
      <x:c r="C488" s="22" t="str">
        <x:v>WORKS</x:v>
      </x:c>
      <x:c r="D488" s="25" t="str">
        <x:v>L2023-00053-1/Urgench VTC Bid Attachment Documents/Urgench VTC Bid Attachment Documents/Section 4.  Bill of Quantities(Not-Priced)/공내역서/VTC견적서/7 КОМПРЕССОРАНЯ(Comp.+GAS storage)/7-2 АР(Architecture)/13083_vrmu.xls</x:v>
      </x:c>
      <x:c r="E488" s="22" t="str">
        <x:v>.xls</x:v>
      </x:c>
      <x:c r="F488" s="28" t="n">
        <x:v>48128</x:v>
      </x:c>
      <x:c r="G488" s="28" t="str">
        <x:v>69688f446686a4d38925437ff702119b6f61b5ee8d3b5ed975f2c10dfc6291a5</x:v>
      </x:c>
      <x:c r="H488" s="28" t="n">
        <x:v>1</x:v>
      </x:c>
      <x:c r="I488" s="28" t="n">
        <x:v>1</x:v>
      </x:c>
      <x:c r="J488" s="28" t="n">
        <x:v>1</x:v>
      </x:c>
      <x:c r="K488" s="28" t="n">
        <x:v>48</x:v>
      </x:c>
      <x:c r="L488" s="28" t="n">
        <x:v>1</x:v>
      </x:c>
      <x:c r="M488" s="28" t="n">
        <x:v>0</x:v>
      </x:c>
      <x:c r="N488" s="22" t="str">
        <x:v>Лист1</x:v>
      </x:c>
      <x:c r="O488" s="22" t="str">
        <x:v>visible</x:v>
      </x:c>
      <x:c r="P488" s="22" t="n">
        <x:v>8</x:v>
      </x:c>
      <x:c r="Q488" s="40" t="n">
        <x:v>0.020833333333333332</x:v>
      </x:c>
      <x:c r="R488" s="25" t="str"/>
      <x:c r="S488" s="25" t="str">
        <x:v>B?</x:v>
      </x:c>
      <x:c r="T488" s="25" t="str">
        <x:v>자동 표 신호는 최종 A/B로 승격하지 않음</x:v>
      </x:c>
      <x:c r="U488" s="22" t="str">
        <x:v>2021-2025</x:v>
      </x:c>
    </x:row>
    <x:row r="489">
      <x:c r="A489" s="22" t="str">
        <x:v>2020-00086</x:v>
      </x:c>
      <x:c r="B489" s="22" t="str">
        <x:v>L2023-00053-1</x:v>
      </x:c>
      <x:c r="C489" s="22" t="str">
        <x:v>WORKS</x:v>
      </x:c>
      <x:c r="D489" s="25" t="str">
        <x:v>L2023-00053-1/Urgench VTC Bid Attachment Documents/Urgench VTC Bid Attachment Documents/Section 4.  Bill of Quantities(Not-Priced)/공내역서/VTC견적서/7 КОМПРЕССОРАНЯ(Comp.+GAS storage)/7-2 АР(Architecture)/bv13080.xls</x:v>
      </x:c>
      <x:c r="E489" s="22" t="str">
        <x:v>.xls</x:v>
      </x:c>
      <x:c r="F489" s="28" t="n">
        <x:v>76800</x:v>
      </x:c>
      <x:c r="G489" s="28" t="str">
        <x:v>49259d752c40853e7e634831a6035f4fc055b29c0dc905b007f082fffb42211e</x:v>
      </x:c>
      <x:c r="H489" s="28" t="n">
        <x:v>1</x:v>
      </x:c>
      <x:c r="I489" s="28" t="n">
        <x:v>1</x:v>
      </x:c>
      <x:c r="J489" s="28" t="n">
        <x:v>0</x:v>
      </x:c>
      <x:c r="K489" s="28" t="n">
        <x:v>0</x:v>
      </x:c>
      <x:c r="L489" s="28" t="n">
        <x:v>0</x:v>
      </x:c>
      <x:c r="M489" s="28" t="n">
        <x:v>0</x:v>
      </x:c>
      <x:c r="N489" s="22" t="str"/>
      <x:c r="O489" s="22" t="str"/>
      <x:c r="P489" s="22" t="n">
        <x:v>0</x:v>
      </x:c>
      <x:c r="Q489" s="40" t="n">
        <x:v>0</x:v>
      </x:c>
      <x:c r="R489" s="25" t="str"/>
      <x:c r="S489" s="25" t="str">
        <x:v>BOQ_NAME_ONLY</x:v>
      </x:c>
      <x:c r="T489" s="25" t="str">
        <x:v>자동 표 신호는 최종 A/B로 승격하지 않음</x:v>
      </x:c>
      <x:c r="U489" s="22" t="str">
        <x:v>2021-2025</x:v>
      </x:c>
    </x:row>
    <x:row r="490">
      <x:c r="A490" s="22" t="str">
        <x:v>2020-00086</x:v>
      </x:c>
      <x:c r="B490" s="22" t="str">
        <x:v>L2023-00053-1</x:v>
      </x:c>
      <x:c r="C490" s="22" t="str">
        <x:v>WORKS</x:v>
      </x:c>
      <x:c r="D490" s="25" t="str">
        <x:v>L2023-00053-1/Urgench VTC Bid Attachment Documents/Urgench VTC Bid Attachment Documents/Section 4.  Bill of Quantities(Not-Priced)/공내역서/VTC견적서/0 ГП(Site Plan &amp; Landscape+Outdoor Infra)/0-4 ФЛАГШТОК(Flog pole)/13643_vfor.xls</x:v>
      </x:c>
      <x:c r="E490" s="22" t="str">
        <x:v>.xls</x:v>
      </x:c>
      <x:c r="F490" s="28" t="n">
        <x:v>36352</x:v>
      </x:c>
      <x:c r="G490" s="28" t="str">
        <x:v>67966ce0d47aa65517abf1ac5bf4144c07e48cd2eaba531279ab70cb9dfbf6a2</x:v>
      </x:c>
      <x:c r="H490" s="28" t="n">
        <x:v>1</x:v>
      </x:c>
      <x:c r="I490" s="28" t="n">
        <x:v>1</x:v>
      </x:c>
      <x:c r="J490" s="28" t="n">
        <x:v>0</x:v>
      </x:c>
      <x:c r="K490" s="28" t="n">
        <x:v>0</x:v>
      </x:c>
      <x:c r="L490" s="28" t="n">
        <x:v>0</x:v>
      </x:c>
      <x:c r="M490" s="28" t="n">
        <x:v>0</x:v>
      </x:c>
      <x:c r="N490" s="22" t="str"/>
      <x:c r="O490" s="22" t="str"/>
      <x:c r="P490" s="22" t="n">
        <x:v>0</x:v>
      </x:c>
      <x:c r="Q490" s="40" t="n">
        <x:v>0</x:v>
      </x:c>
      <x:c r="R490" s="25" t="str"/>
      <x:c r="S490" s="25" t="str">
        <x:v>BOQ_NAME_ONLY</x:v>
      </x:c>
      <x:c r="T490" s="25" t="str">
        <x:v>자동 표 신호는 최종 A/B로 승격하지 않음</x:v>
      </x:c>
      <x:c r="U490" s="22" t="str">
        <x:v>2021-2025</x:v>
      </x:c>
    </x:row>
    <x:row r="491">
      <x:c r="A491" s="22" t="str">
        <x:v>2020-00086</x:v>
      </x:c>
      <x:c r="B491" s="22" t="str">
        <x:v>L2023-00053-1</x:v>
      </x:c>
      <x:c r="C491" s="22" t="str">
        <x:v>WORKS</x:v>
      </x:c>
      <x:c r="D491" s="25" t="str">
        <x:v>L2023-00053-1/Urgench VTC Bid Attachment Documents/Urgench VTC Bid Attachment Documents/Section 4.  Bill of Quantities(Not-Priced)/공내역서/VTC견적서/0 ГП(Site Plan &amp; Landscape+Outdoor Infra)/0-4 ФЛАГШТОК(Flog pole)/bv13640.xls</x:v>
      </x:c>
      <x:c r="E491" s="22" t="str">
        <x:v>.xls</x:v>
      </x:c>
      <x:c r="F491" s="28" t="n">
        <x:v>79872</x:v>
      </x:c>
      <x:c r="G491" s="28" t="str">
        <x:v>c2bccc679e99fec40afa6d24486761ae70a294b045dc7ac6cac4d9f7e61c164e</x:v>
      </x:c>
      <x:c r="H491" s="28" t="n">
        <x:v>1</x:v>
      </x:c>
      <x:c r="I491" s="28" t="n">
        <x:v>1</x:v>
      </x:c>
      <x:c r="J491" s="28" t="n">
        <x:v>0</x:v>
      </x:c>
      <x:c r="K491" s="28" t="n">
        <x:v>0</x:v>
      </x:c>
      <x:c r="L491" s="28" t="n">
        <x:v>0</x:v>
      </x:c>
      <x:c r="M491" s="28" t="n">
        <x:v>0</x:v>
      </x:c>
      <x:c r="N491" s="22" t="str"/>
      <x:c r="O491" s="22" t="str"/>
      <x:c r="P491" s="22" t="n">
        <x:v>0</x:v>
      </x:c>
      <x:c r="Q491" s="40" t="n">
        <x:v>0</x:v>
      </x:c>
      <x:c r="R491" s="25" t="str"/>
      <x:c r="S491" s="25" t="str">
        <x:v>BOQ_NAME_ONLY</x:v>
      </x:c>
      <x:c r="T491" s="25" t="str">
        <x:v>자동 표 신호는 최종 A/B로 승격하지 않음</x:v>
      </x:c>
      <x:c r="U491" s="22" t="str">
        <x:v>2021-2025</x:v>
      </x:c>
    </x:row>
    <x:row r="492">
      <x:c r="A492" s="22" t="str">
        <x:v>2020-00086</x:v>
      </x:c>
      <x:c r="B492" s="22" t="str">
        <x:v>L2023-00053-1</x:v>
      </x:c>
      <x:c r="C492" s="22" t="str">
        <x:v>WORKS</x:v>
      </x:c>
      <x:c r="D492" s="25" t="str">
        <x:v>L2023-00053-1/Urgench VTC Bid Attachment Documents/Urgench VTC Bid Attachment Documents/Section 4.  Bill of Quantities(Not-Priced)/공내역서/VTC견적서/0 ГП(Site Plan &amp; Landscape+Outdoor Infra)/0-4 ФЛАГШТОК(Flog pole)/13643_vrmu.xls</x:v>
      </x:c>
      <x:c r="E492" s="22" t="str">
        <x:v>.xls</x:v>
      </x:c>
      <x:c r="F492" s="28" t="n">
        <x:v>55808</x:v>
      </x:c>
      <x:c r="G492" s="28" t="str">
        <x:v>0f5b9d6f0d88cc8062fa6c5a0843bc51ec0ce77b9910f927cd9e6825241e7974</x:v>
      </x:c>
      <x:c r="H492" s="28" t="n">
        <x:v>1</x:v>
      </x:c>
      <x:c r="I492" s="28" t="n">
        <x:v>1</x:v>
      </x:c>
      <x:c r="J492" s="28" t="n">
        <x:v>1</x:v>
      </x:c>
      <x:c r="K492" s="28" t="n">
        <x:v>79</x:v>
      </x:c>
      <x:c r="L492" s="28" t="n">
        <x:v>1</x:v>
      </x:c>
      <x:c r="M492" s="28" t="n">
        <x:v>0</x:v>
      </x:c>
      <x:c r="N492" s="22" t="str">
        <x:v>Лист1</x:v>
      </x:c>
      <x:c r="O492" s="22" t="str">
        <x:v>visible</x:v>
      </x:c>
      <x:c r="P492" s="22" t="n">
        <x:v>8</x:v>
      </x:c>
      <x:c r="Q492" s="40" t="n">
        <x:v>0.012658227848101266</x:v>
      </x:c>
      <x:c r="R492" s="25" t="str"/>
      <x:c r="S492" s="25" t="str">
        <x:v>B?</x:v>
      </x:c>
      <x:c r="T492" s="25" t="str">
        <x:v>자동 표 신호는 최종 A/B로 승격하지 않음</x:v>
      </x:c>
      <x:c r="U492" s="22" t="str">
        <x:v>2021-2025</x:v>
      </x:c>
    </x:row>
    <x:row r="493">
      <x:c r="A493" s="22" t="str">
        <x:v>2020-00086</x:v>
      </x:c>
      <x:c r="B493" s="22" t="str">
        <x:v>L2023-00053-1</x:v>
      </x:c>
      <x:c r="C493" s="22" t="str">
        <x:v>WORKS</x:v>
      </x:c>
      <x:c r="D493" s="25" t="str">
        <x:v>L2023-00053-1/Urgench VTC Bid Attachment Documents/Urgench VTC Bid Attachment Documents/Section 4.  Bill of Quantities(Not-Priced)/공내역서/VTC견적서/0 ГП(Site Plan &amp; Landscape+Outdoor Infra)/0-10 ПВ(Landscape Water Piping)/bv13700.xls</x:v>
      </x:c>
      <x:c r="E493" s="22" t="str">
        <x:v>.xls</x:v>
      </x:c>
      <x:c r="F493" s="28" t="n">
        <x:v>108032</x:v>
      </x:c>
      <x:c r="G493" s="28" t="str">
        <x:v>7fce9c3406ee12ced99948fe837cc6e8d07c7892479efffdac7037793b89f75d</x:v>
      </x:c>
      <x:c r="H493" s="28" t="n">
        <x:v>1</x:v>
      </x:c>
      <x:c r="I493" s="28" t="n">
        <x:v>1</x:v>
      </x:c>
      <x:c r="J493" s="28" t="n">
        <x:v>0</x:v>
      </x:c>
      <x:c r="K493" s="28" t="n">
        <x:v>0</x:v>
      </x:c>
      <x:c r="L493" s="28" t="n">
        <x:v>0</x:v>
      </x:c>
      <x:c r="M493" s="28" t="n">
        <x:v>0</x:v>
      </x:c>
      <x:c r="N493" s="22" t="str"/>
      <x:c r="O493" s="22" t="str"/>
      <x:c r="P493" s="22" t="n">
        <x:v>0</x:v>
      </x:c>
      <x:c r="Q493" s="40" t="n">
        <x:v>0</x:v>
      </x:c>
      <x:c r="R493" s="25" t="str"/>
      <x:c r="S493" s="25" t="str">
        <x:v>BOQ_NAME_ONLY</x:v>
      </x:c>
      <x:c r="T493" s="25" t="str">
        <x:v>자동 표 신호는 최종 A/B로 승격하지 않음</x:v>
      </x:c>
      <x:c r="U493" s="22" t="str">
        <x:v>2021-2025</x:v>
      </x:c>
    </x:row>
    <x:row r="494">
      <x:c r="A494" s="22" t="str">
        <x:v>2020-00086</x:v>
      </x:c>
      <x:c r="B494" s="22" t="str">
        <x:v>L2023-00053-1</x:v>
      </x:c>
      <x:c r="C494" s="22" t="str">
        <x:v>WORKS</x:v>
      </x:c>
      <x:c r="D494" s="25" t="str">
        <x:v>L2023-00053-1/Urgench VTC Bid Attachment Documents/Urgench VTC Bid Attachment Documents/Section 4.  Bill of Quantities(Not-Priced)/공내역서/VTC견적서/0 ГП(Site Plan &amp; Landscape+Outdoor Infra)/0-10 ПВ(Landscape Water Piping)/13703_vfor.xls</x:v>
      </x:c>
      <x:c r="E494" s="22" t="str">
        <x:v>.xls</x:v>
      </x:c>
      <x:c r="F494" s="28" t="n">
        <x:v>44544</x:v>
      </x:c>
      <x:c r="G494" s="28" t="str">
        <x:v>223b6a365f4c188df7b71ab432b3cf0fb70ab37141f6befdb4176e797d1219a7</x:v>
      </x:c>
      <x:c r="H494" s="28" t="n">
        <x:v>1</x:v>
      </x:c>
      <x:c r="I494" s="28" t="n">
        <x:v>1</x:v>
      </x:c>
      <x:c r="J494" s="28" t="n">
        <x:v>0</x:v>
      </x:c>
      <x:c r="K494" s="28" t="n">
        <x:v>0</x:v>
      </x:c>
      <x:c r="L494" s="28" t="n">
        <x:v>0</x:v>
      </x:c>
      <x:c r="M494" s="28" t="n">
        <x:v>0</x:v>
      </x:c>
      <x:c r="N494" s="22" t="str"/>
      <x:c r="O494" s="22" t="str"/>
      <x:c r="P494" s="22" t="n">
        <x:v>0</x:v>
      </x:c>
      <x:c r="Q494" s="40" t="n">
        <x:v>0</x:v>
      </x:c>
      <x:c r="R494" s="25" t="str"/>
      <x:c r="S494" s="25" t="str">
        <x:v>BOQ_NAME_ONLY</x:v>
      </x:c>
      <x:c r="T494" s="25" t="str">
        <x:v>자동 표 신호는 최종 A/B로 승격하지 않음</x:v>
      </x:c>
      <x:c r="U494" s="22" t="str">
        <x:v>2021-2025</x:v>
      </x:c>
    </x:row>
    <x:row r="495">
      <x:c r="A495" s="22" t="str">
        <x:v>2020-00086</x:v>
      </x:c>
      <x:c r="B495" s="22" t="str">
        <x:v>L2023-00053-1</x:v>
      </x:c>
      <x:c r="C495" s="22" t="str">
        <x:v>WORKS</x:v>
      </x:c>
      <x:c r="D495" s="25" t="str">
        <x:v>L2023-00053-1/Urgench VTC Bid Attachment Documents/Urgench VTC Bid Attachment Documents/Section 4.  Bill of Quantities(Not-Priced)/공내역서/VTC견적서/0 ГП(Site Plan &amp; Landscape+Outdoor Infra)/0-10 ПВ(Landscape Water Piping)/13703_vrmu.xls</x:v>
      </x:c>
      <x:c r="E495" s="22" t="str">
        <x:v>.xls</x:v>
      </x:c>
      <x:c r="F495" s="28" t="n">
        <x:v>67584</x:v>
      </x:c>
      <x:c r="G495" s="28" t="str">
        <x:v>340757e0a5f7ca107ff9763eb6e78032fa52480ae47709f5c93d4b4d8acb1301</x:v>
      </x:c>
      <x:c r="H495" s="28" t="n">
        <x:v>1</x:v>
      </x:c>
      <x:c r="I495" s="28" t="n">
        <x:v>1</x:v>
      </x:c>
      <x:c r="J495" s="28" t="n">
        <x:v>1</x:v>
      </x:c>
      <x:c r="K495" s="28" t="n">
        <x:v>112</x:v>
      </x:c>
      <x:c r="L495" s="28" t="n">
        <x:v>1</x:v>
      </x:c>
      <x:c r="M495" s="28" t="n">
        <x:v>0</x:v>
      </x:c>
      <x:c r="N495" s="22" t="str">
        <x:v>Лист1</x:v>
      </x:c>
      <x:c r="O495" s="22" t="str">
        <x:v>visible</x:v>
      </x:c>
      <x:c r="P495" s="22" t="n">
        <x:v>8</x:v>
      </x:c>
      <x:c r="Q495" s="40" t="n">
        <x:v>0.008928571428571428</x:v>
      </x:c>
      <x:c r="R495" s="25" t="str"/>
      <x:c r="S495" s="25" t="str">
        <x:v>B?</x:v>
      </x:c>
      <x:c r="T495" s="25" t="str">
        <x:v>자동 표 신호는 최종 A/B로 승격하지 않음</x:v>
      </x:c>
      <x:c r="U495" s="22" t="str">
        <x:v>2021-2025</x:v>
      </x:c>
    </x:row>
    <x:row r="496">
      <x:c r="A496" s="22" t="str">
        <x:v>2020-00086</x:v>
      </x:c>
      <x:c r="B496" s="22" t="str">
        <x:v>L2023-00053-1</x:v>
      </x:c>
      <x:c r="C496" s="22" t="str">
        <x:v>WORKS</x:v>
      </x:c>
      <x:c r="D496" s="25" t="str">
        <x:v>L2023-00053-1/Urgench VTC Bid Attachment Documents/Urgench VTC Bid Attachment Documents/Section 4.  Bill of Quantities(Not-Priced)/공내역서/VTC견적서/0 ГП(Site Plan &amp; Landscape+Outdoor Infra)/0-6 ЭС(Outdoor Electric Infra)/bv13660.xls</x:v>
      </x:c>
      <x:c r="E496" s="22" t="str">
        <x:v>.xls</x:v>
      </x:c>
      <x:c r="F496" s="28" t="n">
        <x:v>85504</x:v>
      </x:c>
      <x:c r="G496" s="28" t="str">
        <x:v>00539b077799596b299656474c20d1f2bce4a015e4e5986c8ec3ef060d1c92be</x:v>
      </x:c>
      <x:c r="H496" s="28" t="n">
        <x:v>1</x:v>
      </x:c>
      <x:c r="I496" s="28" t="n">
        <x:v>1</x:v>
      </x:c>
      <x:c r="J496" s="28" t="n">
        <x:v>0</x:v>
      </x:c>
      <x:c r="K496" s="28" t="n">
        <x:v>0</x:v>
      </x:c>
      <x:c r="L496" s="28" t="n">
        <x:v>0</x:v>
      </x:c>
      <x:c r="M496" s="28" t="n">
        <x:v>0</x:v>
      </x:c>
      <x:c r="N496" s="22" t="str"/>
      <x:c r="O496" s="22" t="str"/>
      <x:c r="P496" s="22" t="n">
        <x:v>0</x:v>
      </x:c>
      <x:c r="Q496" s="40" t="n">
        <x:v>0</x:v>
      </x:c>
      <x:c r="R496" s="25" t="str"/>
      <x:c r="S496" s="25" t="str">
        <x:v>BOQ_NAME_ONLY</x:v>
      </x:c>
      <x:c r="T496" s="25" t="str">
        <x:v>자동 표 신호는 최종 A/B로 승격하지 않음</x:v>
      </x:c>
      <x:c r="U496" s="22" t="str">
        <x:v>2021-2025</x:v>
      </x:c>
    </x:row>
    <x:row r="497">
      <x:c r="A497" s="22" t="str">
        <x:v>2020-00086</x:v>
      </x:c>
      <x:c r="B497" s="22" t="str">
        <x:v>L2023-00053-1</x:v>
      </x:c>
      <x:c r="C497" s="22" t="str">
        <x:v>WORKS</x:v>
      </x:c>
      <x:c r="D497" s="25" t="str">
        <x:v>L2023-00053-1/Urgench VTC Bid Attachment Documents/Urgench VTC Bid Attachment Documents/Section 4.  Bill of Quantities(Not-Priced)/공내역서/VTC견적서/0 ГП(Site Plan &amp; Landscape+Outdoor Infra)/0-6 ЭС(Outdoor Electric Infra)/13663_vfor.xls</x:v>
      </x:c>
      <x:c r="E497" s="22" t="str">
        <x:v>.xls</x:v>
      </x:c>
      <x:c r="F497" s="28" t="n">
        <x:v>37888</x:v>
      </x:c>
      <x:c r="G497" s="28" t="str">
        <x:v>d6e264bc982e8ff16cc0d3f02f24b4bad1d12dac0c5106696da5050f02d894e3</x:v>
      </x:c>
      <x:c r="H497" s="28" t="n">
        <x:v>1</x:v>
      </x:c>
      <x:c r="I497" s="28" t="n">
        <x:v>1</x:v>
      </x:c>
      <x:c r="J497" s="28" t="n">
        <x:v>0</x:v>
      </x:c>
      <x:c r="K497" s="28" t="n">
        <x:v>0</x:v>
      </x:c>
      <x:c r="L497" s="28" t="n">
        <x:v>0</x:v>
      </x:c>
      <x:c r="M497" s="28" t="n">
        <x:v>0</x:v>
      </x:c>
      <x:c r="N497" s="22" t="str"/>
      <x:c r="O497" s="22" t="str"/>
      <x:c r="P497" s="22" t="n">
        <x:v>0</x:v>
      </x:c>
      <x:c r="Q497" s="40" t="n">
        <x:v>0</x:v>
      </x:c>
      <x:c r="R497" s="25" t="str"/>
      <x:c r="S497" s="25" t="str">
        <x:v>BOQ_NAME_ONLY</x:v>
      </x:c>
      <x:c r="T497" s="25" t="str">
        <x:v>자동 표 신호는 최종 A/B로 승격하지 않음</x:v>
      </x:c>
      <x:c r="U497" s="22" t="str">
        <x:v>2021-2025</x:v>
      </x:c>
    </x:row>
    <x:row r="498">
      <x:c r="A498" s="22" t="str">
        <x:v>2020-00086</x:v>
      </x:c>
      <x:c r="B498" s="22" t="str">
        <x:v>L2023-00053-1</x:v>
      </x:c>
      <x:c r="C498" s="22" t="str">
        <x:v>WORKS</x:v>
      </x:c>
      <x:c r="D498" s="25" t="str">
        <x:v>L2023-00053-1/Urgench VTC Bid Attachment Documents/Urgench VTC Bid Attachment Documents/Section 4.  Bill of Quantities(Not-Priced)/공내역서/VTC견적서/0 ГП(Site Plan &amp; Landscape+Outdoor Infra)/0-6 ЭС(Outdoor Electric Infra)/13663_vrmu.xls</x:v>
      </x:c>
      <x:c r="E498" s="22" t="str">
        <x:v>.xls</x:v>
      </x:c>
      <x:c r="F498" s="28" t="n">
        <x:v>55296</x:v>
      </x:c>
      <x:c r="G498" s="28" t="str">
        <x:v>5211f233ecc117ba1086040ece1ad8ce7323d32f4a4e8d1cdd6e35537116f52f</x:v>
      </x:c>
      <x:c r="H498" s="28" t="n">
        <x:v>1</x:v>
      </x:c>
      <x:c r="I498" s="28" t="n">
        <x:v>1</x:v>
      </x:c>
      <x:c r="J498" s="28" t="n">
        <x:v>1</x:v>
      </x:c>
      <x:c r="K498" s="28" t="n">
        <x:v>69</x:v>
      </x:c>
      <x:c r="L498" s="28" t="n">
        <x:v>1</x:v>
      </x:c>
      <x:c r="M498" s="28" t="n">
        <x:v>0</x:v>
      </x:c>
      <x:c r="N498" s="22" t="str">
        <x:v>Лист1</x:v>
      </x:c>
      <x:c r="O498" s="22" t="str">
        <x:v>visible</x:v>
      </x:c>
      <x:c r="P498" s="22" t="n">
        <x:v>8</x:v>
      </x:c>
      <x:c r="Q498" s="40" t="n">
        <x:v>0.014492753623188406</x:v>
      </x:c>
      <x:c r="R498" s="25" t="str"/>
      <x:c r="S498" s="25" t="str">
        <x:v>B?</x:v>
      </x:c>
      <x:c r="T498" s="25" t="str">
        <x:v>자동 표 신호는 최종 A/B로 승격하지 않음</x:v>
      </x:c>
      <x:c r="U498" s="22" t="str">
        <x:v>2021-2025</x:v>
      </x:c>
    </x:row>
    <x:row r="499">
      <x:c r="A499" s="22" t="str">
        <x:v>2020-00086</x:v>
      </x:c>
      <x:c r="B499" s="22" t="str">
        <x:v>L2023-00053-1</x:v>
      </x:c>
      <x:c r="C499" s="22" t="str">
        <x:v>WORKS</x:v>
      </x:c>
      <x:c r="D499" s="25" t="str">
        <x:v>L2023-00053-1/Urgench VTC Bid Attachment Documents/Urgench VTC Bid Attachment Documents/Section 4.  Bill of Quantities(Not-Priced)/공내역서/VTC견적서/0 ГП(Site Plan &amp; Landscape+Outdoor Infra)/0-3 БЕСЕДКА 5 ШТ(Pargola)/bv13630.xls</x:v>
      </x:c>
      <x:c r="E499" s="22" t="str">
        <x:v>.xls</x:v>
      </x:c>
      <x:c r="F499" s="28" t="n">
        <x:v>86016</x:v>
      </x:c>
      <x:c r="G499" s="28" t="str">
        <x:v>89900deeb95cc6c3d44955a4322c7d0b36aa7b7469220c2d8969211de3a71e9f</x:v>
      </x:c>
      <x:c r="H499" s="28" t="n">
        <x:v>1</x:v>
      </x:c>
      <x:c r="I499" s="28" t="n">
        <x:v>1</x:v>
      </x:c>
      <x:c r="J499" s="28" t="n">
        <x:v>0</x:v>
      </x:c>
      <x:c r="K499" s="28" t="n">
        <x:v>0</x:v>
      </x:c>
      <x:c r="L499" s="28" t="n">
        <x:v>0</x:v>
      </x:c>
      <x:c r="M499" s="28" t="n">
        <x:v>0</x:v>
      </x:c>
      <x:c r="N499" s="22" t="str"/>
      <x:c r="O499" s="22" t="str"/>
      <x:c r="P499" s="22" t="n">
        <x:v>0</x:v>
      </x:c>
      <x:c r="Q499" s="40" t="n">
        <x:v>0</x:v>
      </x:c>
      <x:c r="R499" s="25" t="str"/>
      <x:c r="S499" s="25" t="str">
        <x:v>BOQ_NAME_ONLY</x:v>
      </x:c>
      <x:c r="T499" s="25" t="str">
        <x:v>자동 표 신호는 최종 A/B로 승격하지 않음</x:v>
      </x:c>
      <x:c r="U499" s="22" t="str">
        <x:v>2021-2025</x:v>
      </x:c>
    </x:row>
    <x:row r="500">
      <x:c r="A500" s="22" t="str">
        <x:v>2020-00086</x:v>
      </x:c>
      <x:c r="B500" s="22" t="str">
        <x:v>L2023-00053-1</x:v>
      </x:c>
      <x:c r="C500" s="22" t="str">
        <x:v>WORKS</x:v>
      </x:c>
      <x:c r="D500" s="25" t="str">
        <x:v>L2023-00053-1/Urgench VTC Bid Attachment Documents/Urgench VTC Bid Attachment Documents/Section 4.  Bill of Quantities(Not-Priced)/공내역서/VTC견적서/0 ГП(Site Plan &amp; Landscape+Outdoor Infra)/0-3 БЕСЕДКА 5 ШТ(Pargola)/13633_vrmu.xls</x:v>
      </x:c>
      <x:c r="E500" s="22" t="str">
        <x:v>.xls</x:v>
      </x:c>
      <x:c r="F500" s="28" t="n">
        <x:v>54784</x:v>
      </x:c>
      <x:c r="G500" s="28" t="str">
        <x:v>91cd41b13250e518545986d37e21277c42f67ff63baa4fc5aa5bd8526a10da10</x:v>
      </x:c>
      <x:c r="H500" s="28" t="n">
        <x:v>1</x:v>
      </x:c>
      <x:c r="I500" s="28" t="n">
        <x:v>1</x:v>
      </x:c>
      <x:c r="J500" s="28" t="n">
        <x:v>1</x:v>
      </x:c>
      <x:c r="K500" s="28" t="n">
        <x:v>71</x:v>
      </x:c>
      <x:c r="L500" s="28" t="n">
        <x:v>1</x:v>
      </x:c>
      <x:c r="M500" s="28" t="n">
        <x:v>0</x:v>
      </x:c>
      <x:c r="N500" s="22" t="str">
        <x:v>Лист1</x:v>
      </x:c>
      <x:c r="O500" s="22" t="str">
        <x:v>visible</x:v>
      </x:c>
      <x:c r="P500" s="22" t="n">
        <x:v>8</x:v>
      </x:c>
      <x:c r="Q500" s="40" t="n">
        <x:v>0.014084507042253521</x:v>
      </x:c>
      <x:c r="R500" s="25" t="str"/>
      <x:c r="S500" s="25" t="str">
        <x:v>B?</x:v>
      </x:c>
      <x:c r="T500" s="25" t="str">
        <x:v>자동 표 신호는 최종 A/B로 승격하지 않음</x:v>
      </x:c>
      <x:c r="U500" s="22" t="str">
        <x:v>2021-2025</x:v>
      </x:c>
    </x:row>
    <x:row r="501">
      <x:c r="A501" s="22" t="str">
        <x:v>2020-00086</x:v>
      </x:c>
      <x:c r="B501" s="22" t="str">
        <x:v>L2023-00053-1</x:v>
      </x:c>
      <x:c r="C501" s="22" t="str">
        <x:v>WORKS</x:v>
      </x:c>
      <x:c r="D501" s="25" t="str">
        <x:v>L2023-00053-1/Urgench VTC Bid Attachment Documents/Urgench VTC Bid Attachment Documents/Section 4.  Bill of Quantities(Not-Priced)/공내역서/VTC견적서/0 ГП(Site Plan &amp; Landscape+Outdoor Infra)/0-3 БЕСЕДКА 5 ШТ(Pargola)/13633_vfor.xls</x:v>
      </x:c>
      <x:c r="E501" s="22" t="str">
        <x:v>.xls</x:v>
      </x:c>
      <x:c r="F501" s="28" t="n">
        <x:v>34304</x:v>
      </x:c>
      <x:c r="G501" s="28" t="str">
        <x:v>a4de5c64037addc65a3a0ea858a58150461f31b07ec98eb3374f87a100be5518</x:v>
      </x:c>
      <x:c r="H501" s="28" t="n">
        <x:v>1</x:v>
      </x:c>
      <x:c r="I501" s="28" t="n">
        <x:v>1</x:v>
      </x:c>
      <x:c r="J501" s="28" t="n">
        <x:v>0</x:v>
      </x:c>
      <x:c r="K501" s="28" t="n">
        <x:v>0</x:v>
      </x:c>
      <x:c r="L501" s="28" t="n">
        <x:v>0</x:v>
      </x:c>
      <x:c r="M501" s="28" t="n">
        <x:v>0</x:v>
      </x:c>
      <x:c r="N501" s="22" t="str"/>
      <x:c r="O501" s="22" t="str"/>
      <x:c r="P501" s="22" t="n">
        <x:v>0</x:v>
      </x:c>
      <x:c r="Q501" s="40" t="n">
        <x:v>0</x:v>
      </x:c>
      <x:c r="R501" s="25" t="str"/>
      <x:c r="S501" s="25" t="str">
        <x:v>BOQ_NAME_ONLY</x:v>
      </x:c>
      <x:c r="T501" s="25" t="str">
        <x:v>자동 표 신호는 최종 A/B로 승격하지 않음</x:v>
      </x:c>
      <x:c r="U501" s="22" t="str">
        <x:v>2021-2025</x:v>
      </x:c>
    </x:row>
    <x:row r="502">
      <x:c r="A502" s="22" t="str">
        <x:v>2020-00086</x:v>
      </x:c>
      <x:c r="B502" s="22" t="str">
        <x:v>L2023-00053-1</x:v>
      </x:c>
      <x:c r="C502" s="22" t="str">
        <x:v>WORKS</x:v>
      </x:c>
      <x:c r="D502" s="25" t="str">
        <x:v>L2023-00053-1/Urgench VTC Bid Attachment Documents/Urgench VTC Bid Attachment Documents/Section 4.  Bill of Quantities(Not-Priced)/공내역서/VTC견적서/0 ГП(Site Plan &amp; Landscape+Outdoor Infra)/0-12 АСКУЭ((Automatic Pump system)/13723_vfor.xls</x:v>
      </x:c>
      <x:c r="E502" s="22" t="str">
        <x:v>.xls</x:v>
      </x:c>
      <x:c r="F502" s="28" t="n">
        <x:v>33792</x:v>
      </x:c>
      <x:c r="G502" s="28" t="str">
        <x:v>eb99c1117217bd159b2705fd3fdba4dca427dbfee616518108fed741a867e4a9</x:v>
      </x:c>
      <x:c r="H502" s="28" t="n">
        <x:v>1</x:v>
      </x:c>
      <x:c r="I502" s="28" t="n">
        <x:v>1</x:v>
      </x:c>
      <x:c r="J502" s="28" t="n">
        <x:v>0</x:v>
      </x:c>
      <x:c r="K502" s="28" t="n">
        <x:v>0</x:v>
      </x:c>
      <x:c r="L502" s="28" t="n">
        <x:v>0</x:v>
      </x:c>
      <x:c r="M502" s="28" t="n">
        <x:v>0</x:v>
      </x:c>
      <x:c r="N502" s="22" t="str"/>
      <x:c r="O502" s="22" t="str"/>
      <x:c r="P502" s="22" t="n">
        <x:v>0</x:v>
      </x:c>
      <x:c r="Q502" s="40" t="n">
        <x:v>0</x:v>
      </x:c>
      <x:c r="R502" s="25" t="str"/>
      <x:c r="S502" s="25" t="str">
        <x:v>BOQ_NAME_ONLY</x:v>
      </x:c>
      <x:c r="T502" s="25" t="str">
        <x:v>자동 표 신호는 최종 A/B로 승격하지 않음</x:v>
      </x:c>
      <x:c r="U502" s="22" t="str">
        <x:v>2021-2025</x:v>
      </x:c>
    </x:row>
    <x:row r="503">
      <x:c r="A503" s="22" t="str">
        <x:v>2020-00086</x:v>
      </x:c>
      <x:c r="B503" s="22" t="str">
        <x:v>L2023-00053-1</x:v>
      </x:c>
      <x:c r="C503" s="22" t="str">
        <x:v>WORKS</x:v>
      </x:c>
      <x:c r="D503" s="25" t="str">
        <x:v>L2023-00053-1/Urgench VTC Bid Attachment Documents/Urgench VTC Bid Attachment Documents/Section 4.  Bill of Quantities(Not-Priced)/공내역서/VTC견적서/0 ГП(Site Plan &amp; Landscape+Outdoor Infra)/0-12 АСКУЭ((Automatic Pump system)/13723_vrmu.xls</x:v>
      </x:c>
      <x:c r="E503" s="22" t="str">
        <x:v>.xls</x:v>
      </x:c>
      <x:c r="F503" s="28" t="n">
        <x:v>49152</x:v>
      </x:c>
      <x:c r="G503" s="28" t="str">
        <x:v>748258beac5d82e7c3a847666f17f9ad1601ab24563b52999aa8e5d1b3e7ff6a</x:v>
      </x:c>
      <x:c r="H503" s="28" t="n">
        <x:v>1</x:v>
      </x:c>
      <x:c r="I503" s="28" t="n">
        <x:v>1</x:v>
      </x:c>
      <x:c r="J503" s="28" t="n">
        <x:v>1</x:v>
      </x:c>
      <x:c r="K503" s="28" t="n">
        <x:v>48</x:v>
      </x:c>
      <x:c r="L503" s="28" t="n">
        <x:v>1</x:v>
      </x:c>
      <x:c r="M503" s="28" t="n">
        <x:v>0</x:v>
      </x:c>
      <x:c r="N503" s="22" t="str">
        <x:v>Лист1</x:v>
      </x:c>
      <x:c r="O503" s="22" t="str">
        <x:v>visible</x:v>
      </x:c>
      <x:c r="P503" s="22" t="n">
        <x:v>8</x:v>
      </x:c>
      <x:c r="Q503" s="40" t="n">
        <x:v>0.020833333333333332</x:v>
      </x:c>
      <x:c r="R503" s="25" t="str"/>
      <x:c r="S503" s="25" t="str">
        <x:v>B?</x:v>
      </x:c>
      <x:c r="T503" s="25" t="str">
        <x:v>자동 표 신호는 최종 A/B로 승격하지 않음</x:v>
      </x:c>
      <x:c r="U503" s="22" t="str">
        <x:v>2021-2025</x:v>
      </x:c>
    </x:row>
    <x:row r="504">
      <x:c r="A504" s="22" t="str">
        <x:v>2020-00086</x:v>
      </x:c>
      <x:c r="B504" s="22" t="str">
        <x:v>L2023-00053-1</x:v>
      </x:c>
      <x:c r="C504" s="22" t="str">
        <x:v>WORKS</x:v>
      </x:c>
      <x:c r="D504" s="25" t="str">
        <x:v>L2023-00053-1/Urgench VTC Bid Attachment Documents/Urgench VTC Bid Attachment Documents/Section 4.  Bill of Quantities(Not-Priced)/공내역서/VTC견적서/0 ГП(Site Plan &amp; Landscape+Outdoor Infra)/0-12 АСКУЭ((Automatic Pump system)/bv13720.xls</x:v>
      </x:c>
      <x:c r="E504" s="22" t="str">
        <x:v>.xls</x:v>
      </x:c>
      <x:c r="F504" s="28" t="n">
        <x:v>54784</x:v>
      </x:c>
      <x:c r="G504" s="28" t="str">
        <x:v>73d4b495f41c4c5e62abe918e52313703f29267f7bda2774066dc0e5ffd96095</x:v>
      </x:c>
      <x:c r="H504" s="28" t="n">
        <x:v>1</x:v>
      </x:c>
      <x:c r="I504" s="28" t="n">
        <x:v>1</x:v>
      </x:c>
      <x:c r="J504" s="28" t="n">
        <x:v>0</x:v>
      </x:c>
      <x:c r="K504" s="28" t="n">
        <x:v>0</x:v>
      </x:c>
      <x:c r="L504" s="28" t="n">
        <x:v>0</x:v>
      </x:c>
      <x:c r="M504" s="28" t="n">
        <x:v>0</x:v>
      </x:c>
      <x:c r="N504" s="22" t="str"/>
      <x:c r="O504" s="22" t="str"/>
      <x:c r="P504" s="22" t="n">
        <x:v>0</x:v>
      </x:c>
      <x:c r="Q504" s="40" t="n">
        <x:v>0</x:v>
      </x:c>
      <x:c r="R504" s="25" t="str"/>
      <x:c r="S504" s="25" t="str">
        <x:v>BOQ_NAME_ONLY</x:v>
      </x:c>
      <x:c r="T504" s="25" t="str">
        <x:v>자동 표 신호는 최종 A/B로 승격하지 않음</x:v>
      </x:c>
      <x:c r="U504" s="22" t="str">
        <x:v>2021-2025</x:v>
      </x:c>
    </x:row>
    <x:row r="505">
      <x:c r="A505" s="22" t="str">
        <x:v>2020-00086</x:v>
      </x:c>
      <x:c r="B505" s="22" t="str">
        <x:v>L2023-00053-1</x:v>
      </x:c>
      <x:c r="C505" s="22" t="str">
        <x:v>WORKS</x:v>
      </x:c>
      <x:c r="D505" s="25" t="str">
        <x:v>L2023-00053-1/Urgench VTC Bid Attachment Documents/Urgench VTC Bid Attachment Documents/Section 4.  Bill of Quantities(Not-Priced)/공내역서/VTC견적서/0 ГП(Site Plan &amp; Landscape+Outdoor Infra)/0-2 ФУТБОЛНОЕ ПОЛЕ(Football)/13413_vfor.xls</x:v>
      </x:c>
      <x:c r="E505" s="22" t="str">
        <x:v>.xls</x:v>
      </x:c>
      <x:c r="F505" s="28" t="n">
        <x:v>35840</x:v>
      </x:c>
      <x:c r="G505" s="28" t="str">
        <x:v>b524a9fc3353cae7e72ebf771994c561b251158e684f12846f7be3e853e9b094</x:v>
      </x:c>
      <x:c r="H505" s="28" t="n">
        <x:v>1</x:v>
      </x:c>
      <x:c r="I505" s="28" t="n">
        <x:v>1</x:v>
      </x:c>
      <x:c r="J505" s="28" t="n">
        <x:v>0</x:v>
      </x:c>
      <x:c r="K505" s="28" t="n">
        <x:v>0</x:v>
      </x:c>
      <x:c r="L505" s="28" t="n">
        <x:v>0</x:v>
      </x:c>
      <x:c r="M505" s="28" t="n">
        <x:v>0</x:v>
      </x:c>
      <x:c r="N505" s="22" t="str"/>
      <x:c r="O505" s="22" t="str"/>
      <x:c r="P505" s="22" t="n">
        <x:v>0</x:v>
      </x:c>
      <x:c r="Q505" s="40" t="n">
        <x:v>0</x:v>
      </x:c>
      <x:c r="R505" s="25" t="str"/>
      <x:c r="S505" s="25" t="str">
        <x:v>BOQ_NAME_ONLY</x:v>
      </x:c>
      <x:c r="T505" s="25" t="str">
        <x:v>자동 표 신호는 최종 A/B로 승격하지 않음</x:v>
      </x:c>
      <x:c r="U505" s="22" t="str">
        <x:v>2021-2025</x:v>
      </x:c>
    </x:row>
    <x:row r="506">
      <x:c r="A506" s="22" t="str">
        <x:v>2020-00086</x:v>
      </x:c>
      <x:c r="B506" s="22" t="str">
        <x:v>L2023-00053-1</x:v>
      </x:c>
      <x:c r="C506" s="22" t="str">
        <x:v>WORKS</x:v>
      </x:c>
      <x:c r="D506" s="25" t="str">
        <x:v>L2023-00053-1/Urgench VTC Bid Attachment Documents/Urgench VTC Bid Attachment Documents/Section 4.  Bill of Quantities(Not-Priced)/공내역서/VTC견적서/0 ГП(Site Plan &amp; Landscape+Outdoor Infra)/0-2 ФУТБОЛНОЕ ПОЛЕ(Football)/13413_vrmu.xls</x:v>
      </x:c>
      <x:c r="E506" s="22" t="str">
        <x:v>.xls</x:v>
      </x:c>
      <x:c r="F506" s="28" t="n">
        <x:v>54784</x:v>
      </x:c>
      <x:c r="G506" s="28" t="str">
        <x:v>656fd24a77c94039bb6a228c6d395e89e1304637aa470a5b06fd4b70f791c7d3</x:v>
      </x:c>
      <x:c r="H506" s="28" t="n">
        <x:v>1</x:v>
      </x:c>
      <x:c r="I506" s="28" t="n">
        <x:v>1</x:v>
      </x:c>
      <x:c r="J506" s="28" t="n">
        <x:v>1</x:v>
      </x:c>
      <x:c r="K506" s="28" t="n">
        <x:v>69</x:v>
      </x:c>
      <x:c r="L506" s="28" t="n">
        <x:v>1</x:v>
      </x:c>
      <x:c r="M506" s="28" t="n">
        <x:v>0</x:v>
      </x:c>
      <x:c r="N506" s="22" t="str">
        <x:v>Лист1</x:v>
      </x:c>
      <x:c r="O506" s="22" t="str">
        <x:v>visible</x:v>
      </x:c>
      <x:c r="P506" s="22" t="n">
        <x:v>8</x:v>
      </x:c>
      <x:c r="Q506" s="40" t="n">
        <x:v>0.014492753623188406</x:v>
      </x:c>
      <x:c r="R506" s="25" t="str"/>
      <x:c r="S506" s="25" t="str">
        <x:v>B?</x:v>
      </x:c>
      <x:c r="T506" s="25" t="str">
        <x:v>자동 표 신호는 최종 A/B로 승격하지 않음</x:v>
      </x:c>
      <x:c r="U506" s="22" t="str">
        <x:v>2021-2025</x:v>
      </x:c>
    </x:row>
    <x:row r="507">
      <x:c r="A507" s="22" t="str">
        <x:v>2020-00086</x:v>
      </x:c>
      <x:c r="B507" s="22" t="str">
        <x:v>L2023-00053-1</x:v>
      </x:c>
      <x:c r="C507" s="22" t="str">
        <x:v>WORKS</x:v>
      </x:c>
      <x:c r="D507" s="25" t="str">
        <x:v>L2023-00053-1/Urgench VTC Bid Attachment Documents/Urgench VTC Bid Attachment Documents/Section 4.  Bill of Quantities(Not-Priced)/공내역서/VTC견적서/0 ГП(Site Plan &amp; Landscape+Outdoor Infra)/0-2 ФУТБОЛНОЕ ПОЛЕ(Football)/bv13410.xls</x:v>
      </x:c>
      <x:c r="E507" s="22" t="str">
        <x:v>.xls</x:v>
      </x:c>
      <x:c r="F507" s="28" t="n">
        <x:v>82432</x:v>
      </x:c>
      <x:c r="G507" s="28" t="str">
        <x:v>2749f4b67fbce5b996b82719eb992ca5140d514c5c3e0b6a254cbe8991a461ba</x:v>
      </x:c>
      <x:c r="H507" s="28" t="n">
        <x:v>1</x:v>
      </x:c>
      <x:c r="I507" s="28" t="n">
        <x:v>1</x:v>
      </x:c>
      <x:c r="J507" s="28" t="n">
        <x:v>0</x:v>
      </x:c>
      <x:c r="K507" s="28" t="n">
        <x:v>0</x:v>
      </x:c>
      <x:c r="L507" s="28" t="n">
        <x:v>0</x:v>
      </x:c>
      <x:c r="M507" s="28" t="n">
        <x:v>0</x:v>
      </x:c>
      <x:c r="N507" s="22" t="str"/>
      <x:c r="O507" s="22" t="str"/>
      <x:c r="P507" s="22" t="n">
        <x:v>0</x:v>
      </x:c>
      <x:c r="Q507" s="40" t="n">
        <x:v>0</x:v>
      </x:c>
      <x:c r="R507" s="25" t="str"/>
      <x:c r="S507" s="25" t="str">
        <x:v>BOQ_NAME_ONLY</x:v>
      </x:c>
      <x:c r="T507" s="25" t="str">
        <x:v>자동 표 신호는 최종 A/B로 승격하지 않음</x:v>
      </x:c>
      <x:c r="U507" s="22" t="str">
        <x:v>2021-2025</x:v>
      </x:c>
    </x:row>
    <x:row r="508">
      <x:c r="A508" s="22" t="str">
        <x:v>2020-00086</x:v>
      </x:c>
      <x:c r="B508" s="22" t="str">
        <x:v>L2023-00053-1</x:v>
      </x:c>
      <x:c r="C508" s="22" t="str">
        <x:v>WORKS</x:v>
      </x:c>
      <x:c r="D508" s="25" t="str">
        <x:v>L2023-00053-1/Urgench VTC Bid Attachment Documents/Urgench VTC Bid Attachment Documents/Section 4.  Bill of Quantities(Not-Priced)/공내역서/VTC견적서/0 ГП(Site Plan &amp; Landscape+Outdoor Infra)/0-7 НЭО(Outdoor Lighting)/13673_vrmu.xls</x:v>
      </x:c>
      <x:c r="E508" s="22" t="str">
        <x:v>.xls</x:v>
      </x:c>
      <x:c r="F508" s="28" t="n">
        <x:v>59904</x:v>
      </x:c>
      <x:c r="G508" s="28" t="str">
        <x:v>ff62cd8285dbfe8a4cd93911394279299b8c03d2069749850cffc7a2107aef50</x:v>
      </x:c>
      <x:c r="H508" s="28" t="n">
        <x:v>1</x:v>
      </x:c>
      <x:c r="I508" s="28" t="n">
        <x:v>1</x:v>
      </x:c>
      <x:c r="J508" s="28" t="n">
        <x:v>1</x:v>
      </x:c>
      <x:c r="K508" s="28" t="n">
        <x:v>88</x:v>
      </x:c>
      <x:c r="L508" s="28" t="n">
        <x:v>1</x:v>
      </x:c>
      <x:c r="M508" s="28" t="n">
        <x:v>0</x:v>
      </x:c>
      <x:c r="N508" s="22" t="str">
        <x:v>Лист1</x:v>
      </x:c>
      <x:c r="O508" s="22" t="str">
        <x:v>visible</x:v>
      </x:c>
      <x:c r="P508" s="22" t="n">
        <x:v>8</x:v>
      </x:c>
      <x:c r="Q508" s="40" t="n">
        <x:v>0.011363636363636364</x:v>
      </x:c>
      <x:c r="R508" s="25" t="str"/>
      <x:c r="S508" s="25" t="str">
        <x:v>B?</x:v>
      </x:c>
      <x:c r="T508" s="25" t="str">
        <x:v>자동 표 신호는 최종 A/B로 승격하지 않음</x:v>
      </x:c>
      <x:c r="U508" s="22" t="str">
        <x:v>2021-2025</x:v>
      </x:c>
    </x:row>
    <x:row r="509">
      <x:c r="A509" s="22" t="str">
        <x:v>2020-00086</x:v>
      </x:c>
      <x:c r="B509" s="22" t="str">
        <x:v>L2023-00053-1</x:v>
      </x:c>
      <x:c r="C509" s="22" t="str">
        <x:v>WORKS</x:v>
      </x:c>
      <x:c r="D509" s="25" t="str">
        <x:v>L2023-00053-1/Urgench VTC Bid Attachment Documents/Urgench VTC Bid Attachment Documents/Section 4.  Bill of Quantities(Not-Priced)/공내역서/VTC견적서/0 ГП(Site Plan &amp; Landscape+Outdoor Infra)/0-7 НЭО(Outdoor Lighting)/bv13670.xls</x:v>
      </x:c>
      <x:c r="E509" s="22" t="str">
        <x:v>.xls</x:v>
      </x:c>
      <x:c r="F509" s="28" t="n">
        <x:v>88576</x:v>
      </x:c>
      <x:c r="G509" s="28" t="str">
        <x:v>9ceeee982353f80a2bdb6f54623ab653597f61763c8bf5d6ff51e5212e6720af</x:v>
      </x:c>
      <x:c r="H509" s="28" t="n">
        <x:v>1</x:v>
      </x:c>
      <x:c r="I509" s="28" t="n">
        <x:v>1</x:v>
      </x:c>
      <x:c r="J509" s="28" t="n">
        <x:v>0</x:v>
      </x:c>
      <x:c r="K509" s="28" t="n">
        <x:v>0</x:v>
      </x:c>
      <x:c r="L509" s="28" t="n">
        <x:v>0</x:v>
      </x:c>
      <x:c r="M509" s="28" t="n">
        <x:v>0</x:v>
      </x:c>
      <x:c r="N509" s="22" t="str"/>
      <x:c r="O509" s="22" t="str"/>
      <x:c r="P509" s="22" t="n">
        <x:v>0</x:v>
      </x:c>
      <x:c r="Q509" s="40" t="n">
        <x:v>0</x:v>
      </x:c>
      <x:c r="R509" s="25" t="str"/>
      <x:c r="S509" s="25" t="str">
        <x:v>BOQ_NAME_ONLY</x:v>
      </x:c>
      <x:c r="T509" s="25" t="str">
        <x:v>자동 표 신호는 최종 A/B로 승격하지 않음</x:v>
      </x:c>
      <x:c r="U509" s="22" t="str">
        <x:v>2021-2025</x:v>
      </x:c>
    </x:row>
    <x:row r="510">
      <x:c r="A510" s="22" t="str">
        <x:v>2020-00086</x:v>
      </x:c>
      <x:c r="B510" s="22" t="str">
        <x:v>L2023-00053-1</x:v>
      </x:c>
      <x:c r="C510" s="22" t="str">
        <x:v>WORKS</x:v>
      </x:c>
      <x:c r="D510" s="25" t="str">
        <x:v>L2023-00053-1/Urgench VTC Bid Attachment Documents/Urgench VTC Bid Attachment Documents/Section 4.  Bill of Quantities(Not-Priced)/공내역서/VTC견적서/0 ГП(Site Plan &amp; Landscape+Outdoor Infra)/0-7 НЭО(Outdoor Lighting)/13673_vfor.xls</x:v>
      </x:c>
      <x:c r="E510" s="22" t="str">
        <x:v>.xls</x:v>
      </x:c>
      <x:c r="F510" s="28" t="n">
        <x:v>39936</x:v>
      </x:c>
      <x:c r="G510" s="28" t="str">
        <x:v>60eb4c1ec6baefd78c2277da9cc0f32f1a655aa123b894a0438e4580ed6b8ecc</x:v>
      </x:c>
      <x:c r="H510" s="28" t="n">
        <x:v>1</x:v>
      </x:c>
      <x:c r="I510" s="28" t="n">
        <x:v>1</x:v>
      </x:c>
      <x:c r="J510" s="28" t="n">
        <x:v>0</x:v>
      </x:c>
      <x:c r="K510" s="28" t="n">
        <x:v>0</x:v>
      </x:c>
      <x:c r="L510" s="28" t="n">
        <x:v>0</x:v>
      </x:c>
      <x:c r="M510" s="28" t="n">
        <x:v>0</x:v>
      </x:c>
      <x:c r="N510" s="22" t="str"/>
      <x:c r="O510" s="22" t="str"/>
      <x:c r="P510" s="22" t="n">
        <x:v>0</x:v>
      </x:c>
      <x:c r="Q510" s="40" t="n">
        <x:v>0</x:v>
      </x:c>
      <x:c r="R510" s="25" t="str"/>
      <x:c r="S510" s="25" t="str">
        <x:v>BOQ_NAME_ONLY</x:v>
      </x:c>
      <x:c r="T510" s="25" t="str">
        <x:v>자동 표 신호는 최종 A/B로 승격하지 않음</x:v>
      </x:c>
      <x:c r="U510" s="22" t="str">
        <x:v>2021-2025</x:v>
      </x:c>
    </x:row>
    <x:row r="511">
      <x:c r="A511" s="22" t="str">
        <x:v>2020-00086</x:v>
      </x:c>
      <x:c r="B511" s="22" t="str">
        <x:v>L2023-00053-1</x:v>
      </x:c>
      <x:c r="C511" s="22" t="str">
        <x:v>WORKS</x:v>
      </x:c>
      <x:c r="D511" s="25" t="str">
        <x:v>L2023-00053-1/Urgench VTC Bid Attachment Documents/Urgench VTC Bid Attachment Documents/Section 4.  Bill of Quantities(Not-Priced)/공내역서/VTC견적서/0 ГП(Site Plan &amp; Landscape+Outdoor Infra)/0-8 НСС(Outside CCTV)/13683_vrmu.xls</x:v>
      </x:c>
      <x:c r="E511" s="22" t="str">
        <x:v>.xls</x:v>
      </x:c>
      <x:c r="F511" s="28" t="n">
        <x:v>58880</x:v>
      </x:c>
      <x:c r="G511" s="28" t="str">
        <x:v>dec38e2426a3423e4a2628c92e9b35bce22644a2d4568e883cac23bda9af639f</x:v>
      </x:c>
      <x:c r="H511" s="28" t="n">
        <x:v>1</x:v>
      </x:c>
      <x:c r="I511" s="28" t="n">
        <x:v>1</x:v>
      </x:c>
      <x:c r="J511" s="28" t="n">
        <x:v>1</x:v>
      </x:c>
      <x:c r="K511" s="28" t="n">
        <x:v>87</x:v>
      </x:c>
      <x:c r="L511" s="28" t="n">
        <x:v>1</x:v>
      </x:c>
      <x:c r="M511" s="28" t="n">
        <x:v>0</x:v>
      </x:c>
      <x:c r="N511" s="22" t="str">
        <x:v>Лист1</x:v>
      </x:c>
      <x:c r="O511" s="22" t="str">
        <x:v>visible</x:v>
      </x:c>
      <x:c r="P511" s="22" t="n">
        <x:v>8</x:v>
      </x:c>
      <x:c r="Q511" s="40" t="n">
        <x:v>0.011494252873563218</x:v>
      </x:c>
      <x:c r="R511" s="25" t="str"/>
      <x:c r="S511" s="25" t="str">
        <x:v>B?</x:v>
      </x:c>
      <x:c r="T511" s="25" t="str">
        <x:v>자동 표 신호는 최종 A/B로 승격하지 않음</x:v>
      </x:c>
      <x:c r="U511" s="22" t="str">
        <x:v>2021-2025</x:v>
      </x:c>
    </x:row>
    <x:row r="512">
      <x:c r="A512" s="22" t="str">
        <x:v>2020-00086</x:v>
      </x:c>
      <x:c r="B512" s="22" t="str">
        <x:v>L2023-00053-1</x:v>
      </x:c>
      <x:c r="C512" s="22" t="str">
        <x:v>WORKS</x:v>
      </x:c>
      <x:c r="D512" s="25" t="str">
        <x:v>L2023-00053-1/Urgench VTC Bid Attachment Documents/Urgench VTC Bid Attachment Documents/Section 4.  Bill of Quantities(Not-Priced)/공내역서/VTC견적서/0 ГП(Site Plan &amp; Landscape+Outdoor Infra)/0-8 НСС(Outside CCTV)/13683_vfor.xls</x:v>
      </x:c>
      <x:c r="E512" s="22" t="str">
        <x:v>.xls</x:v>
      </x:c>
      <x:c r="F512" s="28" t="n">
        <x:v>43008</x:v>
      </x:c>
      <x:c r="G512" s="28" t="str">
        <x:v>1d07c8de41f0bc89f5bb0d45ff6b58a77c316e057c58e0078e76db334b69bcbb</x:v>
      </x:c>
      <x:c r="H512" s="28" t="n">
        <x:v>1</x:v>
      </x:c>
      <x:c r="I512" s="28" t="n">
        <x:v>1</x:v>
      </x:c>
      <x:c r="J512" s="28" t="n">
        <x:v>0</x:v>
      </x:c>
      <x:c r="K512" s="28" t="n">
        <x:v>0</x:v>
      </x:c>
      <x:c r="L512" s="28" t="n">
        <x:v>0</x:v>
      </x:c>
      <x:c r="M512" s="28" t="n">
        <x:v>0</x:v>
      </x:c>
      <x:c r="N512" s="22" t="str"/>
      <x:c r="O512" s="22" t="str"/>
      <x:c r="P512" s="22" t="n">
        <x:v>0</x:v>
      </x:c>
      <x:c r="Q512" s="40" t="n">
        <x:v>0</x:v>
      </x:c>
      <x:c r="R512" s="25" t="str"/>
      <x:c r="S512" s="25" t="str">
        <x:v>BOQ_NAME_ONLY</x:v>
      </x:c>
      <x:c r="T512" s="25" t="str">
        <x:v>자동 표 신호는 최종 A/B로 승격하지 않음</x:v>
      </x:c>
      <x:c r="U512" s="22" t="str">
        <x:v>2021-2025</x:v>
      </x:c>
    </x:row>
    <x:row r="513">
      <x:c r="A513" s="22" t="str">
        <x:v>2020-00086</x:v>
      </x:c>
      <x:c r="B513" s="22" t="str">
        <x:v>L2023-00053-1</x:v>
      </x:c>
      <x:c r="C513" s="22" t="str">
        <x:v>WORKS</x:v>
      </x:c>
      <x:c r="D513" s="25" t="str">
        <x:v>L2023-00053-1/Urgench VTC Bid Attachment Documents/Urgench VTC Bid Attachment Documents/Section 4.  Bill of Quantities(Not-Priced)/공내역서/VTC견적서/0 ГП(Site Plan &amp; Landscape+Outdoor Infra)/0-8 НСС(Outside CCTV)/bv13680.xls</x:v>
      </x:c>
      <x:c r="E513" s="22" t="str">
        <x:v>.xls</x:v>
      </x:c>
      <x:c r="F513" s="28" t="n">
        <x:v>90624</x:v>
      </x:c>
      <x:c r="G513" s="28" t="str">
        <x:v>ee1cb2dde73307bbbe1f35435c8c23142d9e8947f28e461d2ce3ddabd61afd05</x:v>
      </x:c>
      <x:c r="H513" s="28" t="n">
        <x:v>1</x:v>
      </x:c>
      <x:c r="I513" s="28" t="n">
        <x:v>1</x:v>
      </x:c>
      <x:c r="J513" s="28" t="n">
        <x:v>0</x:v>
      </x:c>
      <x:c r="K513" s="28" t="n">
        <x:v>0</x:v>
      </x:c>
      <x:c r="L513" s="28" t="n">
        <x:v>0</x:v>
      </x:c>
      <x:c r="M513" s="28" t="n">
        <x:v>0</x:v>
      </x:c>
      <x:c r="N513" s="22" t="str"/>
      <x:c r="O513" s="22" t="str"/>
      <x:c r="P513" s="22" t="n">
        <x:v>0</x:v>
      </x:c>
      <x:c r="Q513" s="40" t="n">
        <x:v>0</x:v>
      </x:c>
      <x:c r="R513" s="25" t="str"/>
      <x:c r="S513" s="25" t="str">
        <x:v>BOQ_NAME_ONLY</x:v>
      </x:c>
      <x:c r="T513" s="25" t="str">
        <x:v>자동 표 신호는 최종 A/B로 승격하지 않음</x:v>
      </x:c>
      <x:c r="U513" s="22" t="str">
        <x:v>2021-2025</x:v>
      </x:c>
    </x:row>
    <x:row r="514">
      <x:c r="A514" s="22" t="str">
        <x:v>2020-00086</x:v>
      </x:c>
      <x:c r="B514" s="22" t="str">
        <x:v>L2023-00053-1</x:v>
      </x:c>
      <x:c r="C514" s="22" t="str">
        <x:v>WORKS</x:v>
      </x:c>
      <x:c r="D514" s="25" t="str">
        <x:v>L2023-00053-1/Urgench VTC Bid Attachment Documents/Urgench VTC Bid Attachment Documents/Section 4.  Bill of Quantities(Not-Priced)/공내역서/VTC견적서/0 ГП(Site Plan &amp; Landscape+Outdoor Infra)/0-9 НВК(Outside Water Piping)/13693_vfor.xls</x:v>
      </x:c>
      <x:c r="E514" s="22" t="str">
        <x:v>.xls</x:v>
      </x:c>
      <x:c r="F514" s="28" t="n">
        <x:v>50688</x:v>
      </x:c>
      <x:c r="G514" s="28" t="str">
        <x:v>40205bc1eaad85a3c4553624b01d8e2e15cb4fbb02e2385cc4c618c196421564</x:v>
      </x:c>
      <x:c r="H514" s="28" t="n">
        <x:v>1</x:v>
      </x:c>
      <x:c r="I514" s="28" t="n">
        <x:v>1</x:v>
      </x:c>
      <x:c r="J514" s="28" t="n">
        <x:v>0</x:v>
      </x:c>
      <x:c r="K514" s="28" t="n">
        <x:v>0</x:v>
      </x:c>
      <x:c r="L514" s="28" t="n">
        <x:v>0</x:v>
      </x:c>
      <x:c r="M514" s="28" t="n">
        <x:v>0</x:v>
      </x:c>
      <x:c r="N514" s="22" t="str"/>
      <x:c r="O514" s="22" t="str"/>
      <x:c r="P514" s="22" t="n">
        <x:v>0</x:v>
      </x:c>
      <x:c r="Q514" s="40" t="n">
        <x:v>0</x:v>
      </x:c>
      <x:c r="R514" s="25" t="str"/>
      <x:c r="S514" s="25" t="str">
        <x:v>BOQ_NAME_ONLY</x:v>
      </x:c>
      <x:c r="T514" s="25" t="str">
        <x:v>자동 표 신호는 최종 A/B로 승격하지 않음</x:v>
      </x:c>
      <x:c r="U514" s="22" t="str">
        <x:v>2021-2025</x:v>
      </x:c>
    </x:row>
    <x:row r="515">
      <x:c r="A515" s="22" t="str">
        <x:v>2020-00086</x:v>
      </x:c>
      <x:c r="B515" s="22" t="str">
        <x:v>L2023-00053-1</x:v>
      </x:c>
      <x:c r="C515" s="22" t="str">
        <x:v>WORKS</x:v>
      </x:c>
      <x:c r="D515" s="25" t="str">
        <x:v>L2023-00053-1/Urgench VTC Bid Attachment Documents/Urgench VTC Bid Attachment Documents/Section 4.  Bill of Quantities(Not-Priced)/공내역서/VTC견적서/0 ГП(Site Plan &amp; Landscape+Outdoor Infra)/0-9 НВК(Outside Water Piping)/13693_vrmu.xls</x:v>
      </x:c>
      <x:c r="E515" s="22" t="str">
        <x:v>.xls</x:v>
      </x:c>
      <x:c r="F515" s="28" t="n">
        <x:v>73728</x:v>
      </x:c>
      <x:c r="G515" s="28" t="str">
        <x:v>7f90477cfd26b71bef664a93e1ccef28539b5f685b7d63c2d2a8a20c834c4893</x:v>
      </x:c>
      <x:c r="H515" s="28" t="n">
        <x:v>1</x:v>
      </x:c>
      <x:c r="I515" s="28" t="n">
        <x:v>1</x:v>
      </x:c>
      <x:c r="J515" s="28" t="n">
        <x:v>1</x:v>
      </x:c>
      <x:c r="K515" s="28" t="n">
        <x:v>123</x:v>
      </x:c>
      <x:c r="L515" s="28" t="n">
        <x:v>1</x:v>
      </x:c>
      <x:c r="M515" s="28" t="n">
        <x:v>0</x:v>
      </x:c>
      <x:c r="N515" s="22" t="str">
        <x:v>Лист1</x:v>
      </x:c>
      <x:c r="O515" s="22" t="str">
        <x:v>visible</x:v>
      </x:c>
      <x:c r="P515" s="22" t="n">
        <x:v>8</x:v>
      </x:c>
      <x:c r="Q515" s="40" t="n">
        <x:v>0.008130081300813009</x:v>
      </x:c>
      <x:c r="R515" s="25" t="str"/>
      <x:c r="S515" s="25" t="str">
        <x:v>B?</x:v>
      </x:c>
      <x:c r="T515" s="25" t="str">
        <x:v>자동 표 신호는 최종 A/B로 승격하지 않음</x:v>
      </x:c>
      <x:c r="U515" s="22" t="str">
        <x:v>2021-2025</x:v>
      </x:c>
    </x:row>
    <x:row r="516">
      <x:c r="A516" s="22" t="str">
        <x:v>2020-00086</x:v>
      </x:c>
      <x:c r="B516" s="22" t="str">
        <x:v>L2023-00053-1</x:v>
      </x:c>
      <x:c r="C516" s="22" t="str">
        <x:v>WORKS</x:v>
      </x:c>
      <x:c r="D516" s="25" t="str">
        <x:v>L2023-00053-1/Urgench VTC Bid Attachment Documents/Urgench VTC Bid Attachment Documents/Section 4.  Bill of Quantities(Not-Priced)/공내역서/VTC견적서/0 ГП(Site Plan &amp; Landscape+Outdoor Infra)/0-9 НВК(Outside Water Piping)/bv13690.xls</x:v>
      </x:c>
      <x:c r="E516" s="22" t="str">
        <x:v>.xls</x:v>
      </x:c>
      <x:c r="F516" s="28" t="n">
        <x:v>160256</x:v>
      </x:c>
      <x:c r="G516" s="28" t="str">
        <x:v>1cd6324bf7a0eaec27cb7142830672e0985ab1482b721a78911144c1c4a4cbef</x:v>
      </x:c>
      <x:c r="H516" s="28" t="n">
        <x:v>1</x:v>
      </x:c>
      <x:c r="I516" s="28" t="n">
        <x:v>1</x:v>
      </x:c>
      <x:c r="J516" s="28" t="n">
        <x:v>0</x:v>
      </x:c>
      <x:c r="K516" s="28" t="n">
        <x:v>0</x:v>
      </x:c>
      <x:c r="L516" s="28" t="n">
        <x:v>0</x:v>
      </x:c>
      <x:c r="M516" s="28" t="n">
        <x:v>0</x:v>
      </x:c>
      <x:c r="N516" s="22" t="str"/>
      <x:c r="O516" s="22" t="str"/>
      <x:c r="P516" s="22" t="n">
        <x:v>0</x:v>
      </x:c>
      <x:c r="Q516" s="40" t="n">
        <x:v>0</x:v>
      </x:c>
      <x:c r="R516" s="25" t="str"/>
      <x:c r="S516" s="25" t="str">
        <x:v>BOQ_NAME_ONLY</x:v>
      </x:c>
      <x:c r="T516" s="25" t="str">
        <x:v>자동 표 신호는 최종 A/B로 승격하지 않음</x:v>
      </x:c>
      <x:c r="U516" s="22" t="str">
        <x:v>2021-2025</x:v>
      </x:c>
    </x:row>
    <x:row r="517">
      <x:c r="A517" s="22" t="str">
        <x:v>2020-00086</x:v>
      </x:c>
      <x:c r="B517" s="22" t="str">
        <x:v>L2023-00053-1</x:v>
      </x:c>
      <x:c r="C517" s="22" t="str">
        <x:v>WORKS</x:v>
      </x:c>
      <x:c r="D517" s="25" t="str">
        <x:v>L2023-00053-1/Urgench VTC Bid Attachment Documents/Urgench VTC Bid Attachment Documents/Section 4.  Bill of Quantities(Not-Priced)/공내역서/VTC견적서/0 ГП(Site Plan &amp; Landscape+Outdoor Infra)/0-11 СВ(Underground Water Pumping)/bv13710.xls</x:v>
      </x:c>
      <x:c r="E517" s="22" t="str">
        <x:v>.xls</x:v>
      </x:c>
      <x:c r="F517" s="28" t="n">
        <x:v>108544</x:v>
      </x:c>
      <x:c r="G517" s="28" t="str">
        <x:v>78a4e1c483aad218148c44031dc0dbe4b3d4be6d9d60c09536a5798bd508b8f7</x:v>
      </x:c>
      <x:c r="H517" s="28" t="n">
        <x:v>1</x:v>
      </x:c>
      <x:c r="I517" s="28" t="n">
        <x:v>1</x:v>
      </x:c>
      <x:c r="J517" s="28" t="n">
        <x:v>0</x:v>
      </x:c>
      <x:c r="K517" s="28" t="n">
        <x:v>0</x:v>
      </x:c>
      <x:c r="L517" s="28" t="n">
        <x:v>0</x:v>
      </x:c>
      <x:c r="M517" s="28" t="n">
        <x:v>0</x:v>
      </x:c>
      <x:c r="N517" s="22" t="str"/>
      <x:c r="O517" s="22" t="str"/>
      <x:c r="P517" s="22" t="n">
        <x:v>0</x:v>
      </x:c>
      <x:c r="Q517" s="40" t="n">
        <x:v>0</x:v>
      </x:c>
      <x:c r="R517" s="25" t="str"/>
      <x:c r="S517" s="25" t="str">
        <x:v>BOQ_NAME_ONLY</x:v>
      </x:c>
      <x:c r="T517" s="25" t="str">
        <x:v>자동 표 신호는 최종 A/B로 승격하지 않음</x:v>
      </x:c>
      <x:c r="U517" s="22" t="str">
        <x:v>2021-2025</x:v>
      </x:c>
    </x:row>
    <x:row r="518">
      <x:c r="A518" s="22" t="str">
        <x:v>2020-00086</x:v>
      </x:c>
      <x:c r="B518" s="22" t="str">
        <x:v>L2023-00053-1</x:v>
      </x:c>
      <x:c r="C518" s="22" t="str">
        <x:v>WORKS</x:v>
      </x:c>
      <x:c r="D518" s="25" t="str">
        <x:v>L2023-00053-1/Urgench VTC Bid Attachment Documents/Urgench VTC Bid Attachment Documents/Section 4.  Bill of Quantities(Not-Priced)/공내역서/VTC견적서/0 ГП(Site Plan &amp; Landscape+Outdoor Infra)/0-11 СВ(Underground Water Pumping)/13713_vrmu.xls</x:v>
      </x:c>
      <x:c r="E518" s="22" t="str">
        <x:v>.xls</x:v>
      </x:c>
      <x:c r="F518" s="28" t="n">
        <x:v>67072</x:v>
      </x:c>
      <x:c r="G518" s="28" t="str">
        <x:v>9e59430416fb626364f3a259cffd4886e2e1573ee703ed00f728dac814d9f4da</x:v>
      </x:c>
      <x:c r="H518" s="28" t="n">
        <x:v>1</x:v>
      </x:c>
      <x:c r="I518" s="28" t="n">
        <x:v>1</x:v>
      </x:c>
      <x:c r="J518" s="28" t="n">
        <x:v>1</x:v>
      </x:c>
      <x:c r="K518" s="28" t="n">
        <x:v>101</x:v>
      </x:c>
      <x:c r="L518" s="28" t="n">
        <x:v>1</x:v>
      </x:c>
      <x:c r="M518" s="28" t="n">
        <x:v>0</x:v>
      </x:c>
      <x:c r="N518" s="22" t="str">
        <x:v>Лист1</x:v>
      </x:c>
      <x:c r="O518" s="22" t="str">
        <x:v>visible</x:v>
      </x:c>
      <x:c r="P518" s="22" t="n">
        <x:v>8</x:v>
      </x:c>
      <x:c r="Q518" s="40" t="n">
        <x:v>0.009900990099009901</x:v>
      </x:c>
      <x:c r="R518" s="25" t="str"/>
      <x:c r="S518" s="25" t="str">
        <x:v>B?</x:v>
      </x:c>
      <x:c r="T518" s="25" t="str">
        <x:v>자동 표 신호는 최종 A/B로 승격하지 않음</x:v>
      </x:c>
      <x:c r="U518" s="22" t="str">
        <x:v>2021-2025</x:v>
      </x:c>
    </x:row>
    <x:row r="519">
      <x:c r="A519" s="22" t="str">
        <x:v>2020-00086</x:v>
      </x:c>
      <x:c r="B519" s="22" t="str">
        <x:v>L2023-00053-1</x:v>
      </x:c>
      <x:c r="C519" s="22" t="str">
        <x:v>WORKS</x:v>
      </x:c>
      <x:c r="D519" s="25" t="str">
        <x:v>L2023-00053-1/Urgench VTC Bid Attachment Documents/Urgench VTC Bid Attachment Documents/Section 4.  Bill of Quantities(Not-Priced)/공내역서/VTC견적서/0 ГП(Site Plan &amp; Landscape+Outdoor Infra)/0-11 СВ(Underground Water Pumping)/13713_vfor.xls</x:v>
      </x:c>
      <x:c r="E519" s="22" t="str">
        <x:v>.xls</x:v>
      </x:c>
      <x:c r="F519" s="28" t="n">
        <x:v>40448</x:v>
      </x:c>
      <x:c r="G519" s="28" t="str">
        <x:v>b907108bac749dae0b04900b731d9c1a0b43fea8b519995542662c26c338b56c</x:v>
      </x:c>
      <x:c r="H519" s="28" t="n">
        <x:v>1</x:v>
      </x:c>
      <x:c r="I519" s="28" t="n">
        <x:v>1</x:v>
      </x:c>
      <x:c r="J519" s="28" t="n">
        <x:v>0</x:v>
      </x:c>
      <x:c r="K519" s="28" t="n">
        <x:v>0</x:v>
      </x:c>
      <x:c r="L519" s="28" t="n">
        <x:v>0</x:v>
      </x:c>
      <x:c r="M519" s="28" t="n">
        <x:v>0</x:v>
      </x:c>
      <x:c r="N519" s="22" t="str"/>
      <x:c r="O519" s="22" t="str"/>
      <x:c r="P519" s="22" t="n">
        <x:v>0</x:v>
      </x:c>
      <x:c r="Q519" s="40" t="n">
        <x:v>0</x:v>
      </x:c>
      <x:c r="R519" s="25" t="str"/>
      <x:c r="S519" s="25" t="str">
        <x:v>BOQ_NAME_ONLY</x:v>
      </x:c>
      <x:c r="T519" s="25" t="str">
        <x:v>자동 표 신호는 최종 A/B로 승격하지 않음</x:v>
      </x:c>
      <x:c r="U519" s="22" t="str">
        <x:v>2021-2025</x:v>
      </x:c>
    </x:row>
    <x:row r="520">
      <x:c r="A520" s="22" t="str">
        <x:v>2020-00086</x:v>
      </x:c>
      <x:c r="B520" s="22" t="str">
        <x:v>L2023-00053-1</x:v>
      </x:c>
      <x:c r="C520" s="22" t="str">
        <x:v>WORKS</x:v>
      </x:c>
      <x:c r="D520" s="25" t="str">
        <x:v>L2023-00053-1/Urgench VTC Bid Attachment Documents/Urgench VTC Bid Attachment Documents/Section 4.  Bill of Quantities(Not-Priced)/공내역서/VTC견적서/0 ГП(Site Plan &amp; Landscape+Outdoor Infra)/0-5 ГСН(Outdoor Gas Infra)/13653_vrmu.xls</x:v>
      </x:c>
      <x:c r="E520" s="22" t="str">
        <x:v>.xls</x:v>
      </x:c>
      <x:c r="F520" s="28" t="n">
        <x:v>83968</x:v>
      </x:c>
      <x:c r="G520" s="28" t="str">
        <x:v>73cdcf6c26608fd6ed09727e2837da02b88671e6e4a9cf14ce3d854ea7a831f7</x:v>
      </x:c>
      <x:c r="H520" s="28" t="n">
        <x:v>1</x:v>
      </x:c>
      <x:c r="I520" s="28" t="n">
        <x:v>1</x:v>
      </x:c>
      <x:c r="J520" s="28" t="n">
        <x:v>1</x:v>
      </x:c>
      <x:c r="K520" s="28" t="n">
        <x:v>158</x:v>
      </x:c>
      <x:c r="L520" s="28" t="n">
        <x:v>1</x:v>
      </x:c>
      <x:c r="M520" s="28" t="n">
        <x:v>0</x:v>
      </x:c>
      <x:c r="N520" s="22" t="str">
        <x:v>Лист1</x:v>
      </x:c>
      <x:c r="O520" s="22" t="str">
        <x:v>visible</x:v>
      </x:c>
      <x:c r="P520" s="22" t="n">
        <x:v>8</x:v>
      </x:c>
      <x:c r="Q520" s="40" t="n">
        <x:v>0.006329113924050633</x:v>
      </x:c>
      <x:c r="R520" s="25" t="str"/>
      <x:c r="S520" s="25" t="str">
        <x:v>B?</x:v>
      </x:c>
      <x:c r="T520" s="25" t="str">
        <x:v>자동 표 신호는 최종 A/B로 승격하지 않음</x:v>
      </x:c>
      <x:c r="U520" s="22" t="str">
        <x:v>2021-2025</x:v>
      </x:c>
    </x:row>
    <x:row r="521">
      <x:c r="A521" s="22" t="str">
        <x:v>2020-00086</x:v>
      </x:c>
      <x:c r="B521" s="22" t="str">
        <x:v>L2023-00053-1</x:v>
      </x:c>
      <x:c r="C521" s="22" t="str">
        <x:v>WORKS</x:v>
      </x:c>
      <x:c r="D521" s="25" t="str">
        <x:v>L2023-00053-1/Urgench VTC Bid Attachment Documents/Urgench VTC Bid Attachment Documents/Section 4.  Bill of Quantities(Not-Priced)/공내역서/VTC견적서/0 ГП(Site Plan &amp; Landscape+Outdoor Infra)/0-5 ГСН(Outdoor Gas Infra)/13653_vfor.xls</x:v>
      </x:c>
      <x:c r="E521" s="22" t="str">
        <x:v>.xls</x:v>
      </x:c>
      <x:c r="F521" s="28" t="n">
        <x:v>50176</x:v>
      </x:c>
      <x:c r="G521" s="28" t="str">
        <x:v>567efd592c487f7ff0d0c59fb9c7d182601f503045ac37195ca1d7619476918a</x:v>
      </x:c>
      <x:c r="H521" s="28" t="n">
        <x:v>1</x:v>
      </x:c>
      <x:c r="I521" s="28" t="n">
        <x:v>1</x:v>
      </x:c>
      <x:c r="J521" s="28" t="n">
        <x:v>0</x:v>
      </x:c>
      <x:c r="K521" s="28" t="n">
        <x:v>0</x:v>
      </x:c>
      <x:c r="L521" s="28" t="n">
        <x:v>0</x:v>
      </x:c>
      <x:c r="M521" s="28" t="n">
        <x:v>0</x:v>
      </x:c>
      <x:c r="N521" s="22" t="str"/>
      <x:c r="O521" s="22" t="str"/>
      <x:c r="P521" s="22" t="n">
        <x:v>0</x:v>
      </x:c>
      <x:c r="Q521" s="40" t="n">
        <x:v>0</x:v>
      </x:c>
      <x:c r="R521" s="25" t="str"/>
      <x:c r="S521" s="25" t="str">
        <x:v>BOQ_NAME_ONLY</x:v>
      </x:c>
      <x:c r="T521" s="25" t="str">
        <x:v>자동 표 신호는 최종 A/B로 승격하지 않음</x:v>
      </x:c>
      <x:c r="U521" s="22" t="str">
        <x:v>2021-2025</x:v>
      </x:c>
    </x:row>
    <x:row r="522">
      <x:c r="A522" s="22" t="str">
        <x:v>2020-00086</x:v>
      </x:c>
      <x:c r="B522" s="22" t="str">
        <x:v>L2023-00053-1</x:v>
      </x:c>
      <x:c r="C522" s="22" t="str">
        <x:v>WORKS</x:v>
      </x:c>
      <x:c r="D522" s="25" t="str">
        <x:v>L2023-00053-1/Urgench VTC Bid Attachment Documents/Urgench VTC Bid Attachment Documents/Section 4.  Bill of Quantities(Not-Priced)/공내역서/VTC견적서/0 ГП(Site Plan &amp; Landscape+Outdoor Infra)/0-5 ГСН(Outdoor Gas Infra)/bv13650.xls</x:v>
      </x:c>
      <x:c r="E522" s="22" t="str">
        <x:v>.xls</x:v>
      </x:c>
      <x:c r="F522" s="28" t="n">
        <x:v>158208</x:v>
      </x:c>
      <x:c r="G522" s="28" t="str">
        <x:v>5a395510c961855d96159b216312e8884d10e3b4d57bafd7a4326ad596851fb7</x:v>
      </x:c>
      <x:c r="H522" s="28" t="n">
        <x:v>1</x:v>
      </x:c>
      <x:c r="I522" s="28" t="n">
        <x:v>1</x:v>
      </x:c>
      <x:c r="J522" s="28" t="n">
        <x:v>0</x:v>
      </x:c>
      <x:c r="K522" s="28" t="n">
        <x:v>0</x:v>
      </x:c>
      <x:c r="L522" s="28" t="n">
        <x:v>0</x:v>
      </x:c>
      <x:c r="M522" s="28" t="n">
        <x:v>0</x:v>
      </x:c>
      <x:c r="N522" s="22" t="str"/>
      <x:c r="O522" s="22" t="str"/>
      <x:c r="P522" s="22" t="n">
        <x:v>0</x:v>
      </x:c>
      <x:c r="Q522" s="40" t="n">
        <x:v>0</x:v>
      </x:c>
      <x:c r="R522" s="25" t="str"/>
      <x:c r="S522" s="25" t="str">
        <x:v>BOQ_NAME_ONLY</x:v>
      </x:c>
      <x:c r="T522" s="25" t="str">
        <x:v>자동 표 신호는 최종 A/B로 승격하지 않음</x:v>
      </x:c>
      <x:c r="U522" s="22" t="str">
        <x:v>2021-2025</x:v>
      </x:c>
    </x:row>
    <x:row r="523">
      <x:c r="A523" s="22" t="str">
        <x:v>2020-00086</x:v>
      </x:c>
      <x:c r="B523" s="22" t="str">
        <x:v>L2023-00053-1</x:v>
      </x:c>
      <x:c r="C523" s="22" t="str">
        <x:v>WORKS</x:v>
      </x:c>
      <x:c r="D523" s="25" t="str">
        <x:v>L2023-00053-1/Urgench VTC Bid Attachment Documents/Urgench VTC Bid Attachment Documents/Section 4.  Bill of Quantities(Not-Priced)/공내역서/VTC견적서/0 ГП(Site Plan &amp; Landscape+Outdoor Infra)/0-1 ГП(Site Plan+Landscape)/13403_vrmu.xls</x:v>
      </x:c>
      <x:c r="E523" s="22" t="str">
        <x:v>.xls</x:v>
      </x:c>
      <x:c r="F523" s="28" t="n">
        <x:v>57344</x:v>
      </x:c>
      <x:c r="G523" s="28" t="str">
        <x:v>9e93c17fb83cb754c8b2b889d7c88e9d56b7b5e94ef2f36d2c7b96356a99bf8b</x:v>
      </x:c>
      <x:c r="H523" s="28" t="n">
        <x:v>1</x:v>
      </x:c>
      <x:c r="I523" s="28" t="n">
        <x:v>1</x:v>
      </x:c>
      <x:c r="J523" s="28" t="n">
        <x:v>1</x:v>
      </x:c>
      <x:c r="K523" s="28" t="n">
        <x:v>85</x:v>
      </x:c>
      <x:c r="L523" s="28" t="n">
        <x:v>1</x:v>
      </x:c>
      <x:c r="M523" s="28" t="n">
        <x:v>0</x:v>
      </x:c>
      <x:c r="N523" s="22" t="str">
        <x:v>Лист1</x:v>
      </x:c>
      <x:c r="O523" s="22" t="str">
        <x:v>visible</x:v>
      </x:c>
      <x:c r="P523" s="22" t="n">
        <x:v>8</x:v>
      </x:c>
      <x:c r="Q523" s="40" t="n">
        <x:v>0.011764705882352941</x:v>
      </x:c>
      <x:c r="R523" s="25" t="str"/>
      <x:c r="S523" s="25" t="str">
        <x:v>B?</x:v>
      </x:c>
      <x:c r="T523" s="25" t="str">
        <x:v>자동 표 신호는 최종 A/B로 승격하지 않음</x:v>
      </x:c>
      <x:c r="U523" s="22" t="str">
        <x:v>2021-2025</x:v>
      </x:c>
    </x:row>
    <x:row r="524">
      <x:c r="A524" s="22" t="str">
        <x:v>2020-00086</x:v>
      </x:c>
      <x:c r="B524" s="22" t="str">
        <x:v>L2023-00053-1</x:v>
      </x:c>
      <x:c r="C524" s="22" t="str">
        <x:v>WORKS</x:v>
      </x:c>
      <x:c r="D524" s="25" t="str">
        <x:v>L2023-00053-1/Urgench VTC Bid Attachment Documents/Urgench VTC Bid Attachment Documents/Section 4.  Bill of Quantities(Not-Priced)/공내역서/VTC견적서/0 ГП(Site Plan &amp; Landscape+Outdoor Infra)/0-1 ГП(Site Plan+Landscape)/bv13400.xls</x:v>
      </x:c>
      <x:c r="E524" s="22" t="str">
        <x:v>.xls</x:v>
      </x:c>
      <x:c r="F524" s="28" t="n">
        <x:v>100864</x:v>
      </x:c>
      <x:c r="G524" s="28" t="str">
        <x:v>c237827588a1b89c4b31b984ef80299ed0268e63e35039a34093895646b82cb6</x:v>
      </x:c>
      <x:c r="H524" s="28" t="n">
        <x:v>1</x:v>
      </x:c>
      <x:c r="I524" s="28" t="n">
        <x:v>1</x:v>
      </x:c>
      <x:c r="J524" s="28" t="n">
        <x:v>0</x:v>
      </x:c>
      <x:c r="K524" s="28" t="n">
        <x:v>0</x:v>
      </x:c>
      <x:c r="L524" s="28" t="n">
        <x:v>0</x:v>
      </x:c>
      <x:c r="M524" s="28" t="n">
        <x:v>0</x:v>
      </x:c>
      <x:c r="N524" s="22" t="str"/>
      <x:c r="O524" s="22" t="str"/>
      <x:c r="P524" s="22" t="n">
        <x:v>0</x:v>
      </x:c>
      <x:c r="Q524" s="40" t="n">
        <x:v>0</x:v>
      </x:c>
      <x:c r="R524" s="25" t="str"/>
      <x:c r="S524" s="25" t="str">
        <x:v>BOQ_NAME_ONLY</x:v>
      </x:c>
      <x:c r="T524" s="25" t="str">
        <x:v>자동 표 신호는 최종 A/B로 승격하지 않음</x:v>
      </x:c>
      <x:c r="U524" s="22" t="str">
        <x:v>2021-2025</x:v>
      </x:c>
    </x:row>
    <x:row r="525">
      <x:c r="A525" s="22" t="str">
        <x:v>2020-00086</x:v>
      </x:c>
      <x:c r="B525" s="22" t="str">
        <x:v>L2023-00053-1</x:v>
      </x:c>
      <x:c r="C525" s="22" t="str">
        <x:v>WORKS</x:v>
      </x:c>
      <x:c r="D525" s="25" t="str">
        <x:v>L2023-00053-1/Urgench VTC Bid Attachment Documents/Urgench VTC Bid Attachment Documents/Section 4.  Bill of Quantities(Not-Priced)/공내역서/VTC견적서/0 ГП(Site Plan &amp; Landscape+Outdoor Infra)/0-1 ГП(Site Plan+Landscape)/13403_vfor.xls</x:v>
      </x:c>
      <x:c r="E525" s="22" t="str">
        <x:v>.xls</x:v>
      </x:c>
      <x:c r="F525" s="28" t="n">
        <x:v>40960</x:v>
      </x:c>
      <x:c r="G525" s="28" t="str">
        <x:v>3f220fc5a5b364271bb7c01e7b3a9ffa53b430c77dd7e2b8da559aac8af53508</x:v>
      </x:c>
      <x:c r="H525" s="28" t="n">
        <x:v>1</x:v>
      </x:c>
      <x:c r="I525" s="28" t="n">
        <x:v>1</x:v>
      </x:c>
      <x:c r="J525" s="28" t="n">
        <x:v>0</x:v>
      </x:c>
      <x:c r="K525" s="28" t="n">
        <x:v>0</x:v>
      </x:c>
      <x:c r="L525" s="28" t="n">
        <x:v>0</x:v>
      </x:c>
      <x:c r="M525" s="28" t="n">
        <x:v>0</x:v>
      </x:c>
      <x:c r="N525" s="22" t="str"/>
      <x:c r="O525" s="22" t="str"/>
      <x:c r="P525" s="22" t="n">
        <x:v>0</x:v>
      </x:c>
      <x:c r="Q525" s="40" t="n">
        <x:v>0</x:v>
      </x:c>
      <x:c r="R525" s="25" t="str"/>
      <x:c r="S525" s="25" t="str">
        <x:v>BOQ_NAME_ONLY</x:v>
      </x:c>
      <x:c r="T525" s="25" t="str">
        <x:v>자동 표 신호는 최종 A/B로 승격하지 않음</x:v>
      </x:c>
      <x:c r="U525" s="22" t="str">
        <x:v>2021-2025</x:v>
      </x:c>
    </x:row>
    <x:row r="526">
      <x:c r="A526" s="22" t="str">
        <x:v>2020-00086</x:v>
      </x:c>
      <x:c r="B526" s="22" t="str">
        <x:v>L2023-00053-1</x:v>
      </x:c>
      <x:c r="C526" s="22" t="str">
        <x:v>WORKS</x:v>
      </x:c>
      <x:c r="D526" s="25" t="str">
        <x:v>L2023-00053-1/Urgench VTC Bid Attachment Documents/Urgench VTC Bid Attachment Documents/Section 4.  Bill of Quantities(Not-Priced)/공내역서/VTC견적서/6 КПП(Guard House+Fence &amp; Gate)/6-1 КЖ(Structure)/13053_vfor.xls</x:v>
      </x:c>
      <x:c r="E526" s="22" t="str">
        <x:v>.xls</x:v>
      </x:c>
      <x:c r="F526" s="28" t="n">
        <x:v>57856</x:v>
      </x:c>
      <x:c r="G526" s="28" t="str">
        <x:v>4b6138cf061524a28704b118bd7c9f47aac9302aca4030b86c5a714c09dbe871</x:v>
      </x:c>
      <x:c r="H526" s="28" t="n">
        <x:v>1</x:v>
      </x:c>
      <x:c r="I526" s="28" t="n">
        <x:v>1</x:v>
      </x:c>
      <x:c r="J526" s="28" t="n">
        <x:v>0</x:v>
      </x:c>
      <x:c r="K526" s="28" t="n">
        <x:v>0</x:v>
      </x:c>
      <x:c r="L526" s="28" t="n">
        <x:v>0</x:v>
      </x:c>
      <x:c r="M526" s="28" t="n">
        <x:v>0</x:v>
      </x:c>
      <x:c r="N526" s="22" t="str"/>
      <x:c r="O526" s="22" t="str"/>
      <x:c r="P526" s="22" t="n">
        <x:v>0</x:v>
      </x:c>
      <x:c r="Q526" s="40" t="n">
        <x:v>0</x:v>
      </x:c>
      <x:c r="R526" s="25" t="str"/>
      <x:c r="S526" s="25" t="str">
        <x:v>BOQ_NAME_ONLY</x:v>
      </x:c>
      <x:c r="T526" s="25" t="str">
        <x:v>자동 표 신호는 최종 A/B로 승격하지 않음</x:v>
      </x:c>
      <x:c r="U526" s="22" t="str">
        <x:v>2021-2025</x:v>
      </x:c>
    </x:row>
    <x:row r="527">
      <x:c r="A527" s="22" t="str">
        <x:v>2020-00086</x:v>
      </x:c>
      <x:c r="B527" s="22" t="str">
        <x:v>L2023-00053-1</x:v>
      </x:c>
      <x:c r="C527" s="22" t="str">
        <x:v>WORKS</x:v>
      </x:c>
      <x:c r="D527" s="25" t="str">
        <x:v>L2023-00053-1/Urgench VTC Bid Attachment Documents/Urgench VTC Bid Attachment Documents/Section 4.  Bill of Quantities(Not-Priced)/공내역서/VTC견적서/6 КПП(Guard House+Fence &amp; Gate)/6-1 КЖ(Structure)/13053_vrmu.xls</x:v>
      </x:c>
      <x:c r="E527" s="22" t="str">
        <x:v>.xls</x:v>
      </x:c>
      <x:c r="F527" s="28" t="n">
        <x:v>72704</x:v>
      </x:c>
      <x:c r="G527" s="28" t="str">
        <x:v>dcc0b7139d1a295111335bacbfa1dec0eb5c4d8fd84c4550f6c49f5003c87115</x:v>
      </x:c>
      <x:c r="H527" s="28" t="n">
        <x:v>1</x:v>
      </x:c>
      <x:c r="I527" s="28" t="n">
        <x:v>1</x:v>
      </x:c>
      <x:c r="J527" s="28" t="n">
        <x:v>1</x:v>
      </x:c>
      <x:c r="K527" s="28" t="n">
        <x:v>120</x:v>
      </x:c>
      <x:c r="L527" s="28" t="n">
        <x:v>1</x:v>
      </x:c>
      <x:c r="M527" s="28" t="n">
        <x:v>0</x:v>
      </x:c>
      <x:c r="N527" s="22" t="str">
        <x:v>Лист1</x:v>
      </x:c>
      <x:c r="O527" s="22" t="str">
        <x:v>visible</x:v>
      </x:c>
      <x:c r="P527" s="22" t="n">
        <x:v>8</x:v>
      </x:c>
      <x:c r="Q527" s="40" t="n">
        <x:v>0.008333333333333333</x:v>
      </x:c>
      <x:c r="R527" s="25" t="str"/>
      <x:c r="S527" s="25" t="str">
        <x:v>B?</x:v>
      </x:c>
      <x:c r="T527" s="25" t="str">
        <x:v>자동 표 신호는 최종 A/B로 승격하지 않음</x:v>
      </x:c>
      <x:c r="U527" s="22" t="str">
        <x:v>2021-2025</x:v>
      </x:c>
    </x:row>
    <x:row r="528">
      <x:c r="A528" s="22" t="str">
        <x:v>2020-00086</x:v>
      </x:c>
      <x:c r="B528" s="22" t="str">
        <x:v>L2023-00053-1</x:v>
      </x:c>
      <x:c r="C528" s="22" t="str">
        <x:v>WORKS</x:v>
      </x:c>
      <x:c r="D528" s="25" t="str">
        <x:v>L2023-00053-1/Urgench VTC Bid Attachment Documents/Urgench VTC Bid Attachment Documents/Section 4.  Bill of Quantities(Not-Priced)/공내역서/VTC견적서/6 КПП(Guard House+Fence &amp; Gate)/6-1 КЖ(Structure)/bv13050.xls</x:v>
      </x:c>
      <x:c r="E528" s="22" t="str">
        <x:v>.xls</x:v>
      </x:c>
      <x:c r="F528" s="28" t="n">
        <x:v>186368</x:v>
      </x:c>
      <x:c r="G528" s="28" t="str">
        <x:v>ecb8d5c1397c5c50289b9fbd88481d3cee7bb833c0a9a712edc967ee65d8af3f</x:v>
      </x:c>
      <x:c r="H528" s="28" t="n">
        <x:v>1</x:v>
      </x:c>
      <x:c r="I528" s="28" t="n">
        <x:v>1</x:v>
      </x:c>
      <x:c r="J528" s="28" t="n">
        <x:v>0</x:v>
      </x:c>
      <x:c r="K528" s="28" t="n">
        <x:v>0</x:v>
      </x:c>
      <x:c r="L528" s="28" t="n">
        <x:v>0</x:v>
      </x:c>
      <x:c r="M528" s="28" t="n">
        <x:v>0</x:v>
      </x:c>
      <x:c r="N528" s="22" t="str"/>
      <x:c r="O528" s="22" t="str"/>
      <x:c r="P528" s="22" t="n">
        <x:v>0</x:v>
      </x:c>
      <x:c r="Q528" s="40" t="n">
        <x:v>0</x:v>
      </x:c>
      <x:c r="R528" s="25" t="str"/>
      <x:c r="S528" s="25" t="str">
        <x:v>BOQ_NAME_ONLY</x:v>
      </x:c>
      <x:c r="T528" s="25" t="str">
        <x:v>자동 표 신호는 최종 A/B로 승격하지 않음</x:v>
      </x:c>
      <x:c r="U528" s="22" t="str">
        <x:v>2021-2025</x:v>
      </x:c>
    </x:row>
    <x:row r="529">
      <x:c r="A529" s="22" t="str">
        <x:v>2020-00086</x:v>
      </x:c>
      <x:c r="B529" s="22" t="str">
        <x:v>L2023-00053-1</x:v>
      </x:c>
      <x:c r="C529" s="22" t="str">
        <x:v>WORKS</x:v>
      </x:c>
      <x:c r="D529" s="25" t="str">
        <x:v>L2023-00053-1/Urgench VTC Bid Attachment Documents/Urgench VTC Bid Attachment Documents/Section 4.  Bill of Quantities(Not-Priced)/공내역서/VTC견적서/6 КПП(Guard House+Fence &amp; Gate)/6-5 ЭО(Electric)/13533_vfor.xls</x:v>
      </x:c>
      <x:c r="E529" s="22" t="str">
        <x:v>.xls</x:v>
      </x:c>
      <x:c r="F529" s="28" t="n">
        <x:v>45568</x:v>
      </x:c>
      <x:c r="G529" s="28" t="str">
        <x:v>a8c797c5c49f18bcd37916401194d6111b33f4cd1c1431c0bc17678dc1ef7507</x:v>
      </x:c>
      <x:c r="H529" s="28" t="n">
        <x:v>1</x:v>
      </x:c>
      <x:c r="I529" s="28" t="n">
        <x:v>1</x:v>
      </x:c>
      <x:c r="J529" s="28" t="n">
        <x:v>1</x:v>
      </x:c>
      <x:c r="K529" s="28" t="n">
        <x:v>28</x:v>
      </x:c>
      <x:c r="L529" s="28" t="n">
        <x:v>0</x:v>
      </x:c>
      <x:c r="M529" s="28" t="n">
        <x:v>0</x:v>
      </x:c>
      <x:c r="N529" s="22" t="str">
        <x:v>Лист1</x:v>
      </x:c>
      <x:c r="O529" s="22" t="str">
        <x:v>visible</x:v>
      </x:c>
      <x:c r="P529" s="22" t="n">
        <x:v>9</x:v>
      </x:c>
      <x:c r="Q529" s="40" t="n">
        <x:v>0</x:v>
      </x:c>
      <x:c r="R529" s="25" t="str"/>
      <x:c r="S529" s="25" t="str">
        <x:v>B?</x:v>
      </x:c>
      <x:c r="T529" s="25" t="str">
        <x:v>자동 표 신호는 최종 A/B로 승격하지 않음</x:v>
      </x:c>
      <x:c r="U529" s="22" t="str">
        <x:v>2021-2025</x:v>
      </x:c>
    </x:row>
    <x:row r="530">
      <x:c r="A530" s="22" t="str">
        <x:v>2020-00086</x:v>
      </x:c>
      <x:c r="B530" s="22" t="str">
        <x:v>L2023-00053-1</x:v>
      </x:c>
      <x:c r="C530" s="22" t="str">
        <x:v>WORKS</x:v>
      </x:c>
      <x:c r="D530" s="25" t="str">
        <x:v>L2023-00053-1/Urgench VTC Bid Attachment Documents/Urgench VTC Bid Attachment Documents/Section 4.  Bill of Quantities(Not-Priced)/공내역서/VTC견적서/6 КПП(Guard House+Fence &amp; Gate)/6-5 ЭО(Electric)/13533_vrmu.xls</x:v>
      </x:c>
      <x:c r="E530" s="22" t="str">
        <x:v>.xls</x:v>
      </x:c>
      <x:c r="F530" s="28" t="n">
        <x:v>51712</x:v>
      </x:c>
      <x:c r="G530" s="28" t="str">
        <x:v>adc4d0090b25860f05ae432980f8a84532193b463acbd300f4d5fa3acf31929d</x:v>
      </x:c>
      <x:c r="H530" s="28" t="n">
        <x:v>1</x:v>
      </x:c>
      <x:c r="I530" s="28" t="n">
        <x:v>1</x:v>
      </x:c>
      <x:c r="J530" s="28" t="n">
        <x:v>1</x:v>
      </x:c>
      <x:c r="K530" s="28" t="n">
        <x:v>51</x:v>
      </x:c>
      <x:c r="L530" s="28" t="n">
        <x:v>1</x:v>
      </x:c>
      <x:c r="M530" s="28" t="n">
        <x:v>0</x:v>
      </x:c>
      <x:c r="N530" s="22" t="str">
        <x:v>Лист1</x:v>
      </x:c>
      <x:c r="O530" s="22" t="str">
        <x:v>visible</x:v>
      </x:c>
      <x:c r="P530" s="22" t="n">
        <x:v>8</x:v>
      </x:c>
      <x:c r="Q530" s="40" t="n">
        <x:v>0.0196078431372549</x:v>
      </x:c>
      <x:c r="R530" s="25" t="str"/>
      <x:c r="S530" s="25" t="str">
        <x:v>B?</x:v>
      </x:c>
      <x:c r="T530" s="25" t="str">
        <x:v>자동 표 신호는 최종 A/B로 승격하지 않음</x:v>
      </x:c>
      <x:c r="U530" s="22" t="str">
        <x:v>2021-2025</x:v>
      </x:c>
    </x:row>
    <x:row r="531">
      <x:c r="A531" s="22" t="str">
        <x:v>2020-00086</x:v>
      </x:c>
      <x:c r="B531" s="22" t="str">
        <x:v>L2023-00053-1</x:v>
      </x:c>
      <x:c r="C531" s="22" t="str">
        <x:v>WORKS</x:v>
      </x:c>
      <x:c r="D531" s="25" t="str">
        <x:v>L2023-00053-1/Urgench VTC Bid Attachment Documents/Urgench VTC Bid Attachment Documents/Section 4.  Bill of Quantities(Not-Priced)/공내역서/VTC견적서/6 КПП(Guard House+Fence &amp; Gate)/6-5 ЭО(Electric)/bv13530.xls</x:v>
      </x:c>
      <x:c r="E531" s="22" t="str">
        <x:v>.xls</x:v>
      </x:c>
      <x:c r="F531" s="28" t="n">
        <x:v>77824</x:v>
      </x:c>
      <x:c r="G531" s="28" t="str">
        <x:v>245b723563475e969548ffaaf40bf6267f9670b17170e37180d848a6826ae285</x:v>
      </x:c>
      <x:c r="H531" s="28" t="n">
        <x:v>1</x:v>
      </x:c>
      <x:c r="I531" s="28" t="n">
        <x:v>1</x:v>
      </x:c>
      <x:c r="J531" s="28" t="n">
        <x:v>1</x:v>
      </x:c>
      <x:c r="K531" s="28" t="n">
        <x:v>123</x:v>
      </x:c>
      <x:c r="L531" s="28" t="n">
        <x:v>0</x:v>
      </x:c>
      <x:c r="M531" s="28" t="n">
        <x:v>0</x:v>
      </x:c>
      <x:c r="N531" s="22" t="str">
        <x:v>6-5_ЛРВ</x:v>
      </x:c>
      <x:c r="O531" s="22" t="str">
        <x:v>visible</x:v>
      </x:c>
      <x:c r="P531" s="22" t="n">
        <x:v>10</x:v>
      </x:c>
      <x:c r="Q531" s="40" t="n">
        <x:v>0</x:v>
      </x:c>
      <x:c r="R531" s="25" t="str"/>
      <x:c r="S531" s="25" t="str">
        <x:v>B?</x:v>
      </x:c>
      <x:c r="T531" s="25" t="str">
        <x:v>자동 표 신호는 최종 A/B로 승격하지 않음</x:v>
      </x:c>
      <x:c r="U531" s="22" t="str">
        <x:v>2021-2025</x:v>
      </x:c>
    </x:row>
    <x:row r="532">
      <x:c r="A532" s="22" t="str">
        <x:v>2020-00086</x:v>
      </x:c>
      <x:c r="B532" s="22" t="str">
        <x:v>L2023-00053-1</x:v>
      </x:c>
      <x:c r="C532" s="22" t="str">
        <x:v>WORKS</x:v>
      </x:c>
      <x:c r="D532" s="25" t="str">
        <x:v>L2023-00053-1/Urgench VTC Bid Attachment Documents/Urgench VTC Bid Attachment Documents/Section 4.  Bill of Quantities(Not-Priced)/공내역서/VTC견적서/6 КПП(Guard House+Fence &amp; Gate)/6-4 ВК(Water &amp; Sewer &amp; Fire plug)/13163_vrmu.xls</x:v>
      </x:c>
      <x:c r="E532" s="22" t="str">
        <x:v>.xls</x:v>
      </x:c>
      <x:c r="F532" s="28" t="n">
        <x:v>51712</x:v>
      </x:c>
      <x:c r="G532" s="28" t="str">
        <x:v>02996d3aeb403f16f777614300c531dffc91202f13226adbc63fdcd4170cf27b</x:v>
      </x:c>
      <x:c r="H532" s="28" t="n">
        <x:v>1</x:v>
      </x:c>
      <x:c r="I532" s="28" t="n">
        <x:v>1</x:v>
      </x:c>
      <x:c r="J532" s="28" t="n">
        <x:v>1</x:v>
      </x:c>
      <x:c r="K532" s="28" t="n">
        <x:v>69</x:v>
      </x:c>
      <x:c r="L532" s="28" t="n">
        <x:v>1</x:v>
      </x:c>
      <x:c r="M532" s="28" t="n">
        <x:v>0</x:v>
      </x:c>
      <x:c r="N532" s="22" t="str">
        <x:v>Лист1</x:v>
      </x:c>
      <x:c r="O532" s="22" t="str">
        <x:v>visible</x:v>
      </x:c>
      <x:c r="P532" s="22" t="n">
        <x:v>8</x:v>
      </x:c>
      <x:c r="Q532" s="40" t="n">
        <x:v>0.014492753623188406</x:v>
      </x:c>
      <x:c r="R532" s="25" t="str"/>
      <x:c r="S532" s="25" t="str">
        <x:v>B?</x:v>
      </x:c>
      <x:c r="T532" s="25" t="str">
        <x:v>자동 표 신호는 최종 A/B로 승격하지 않음</x:v>
      </x:c>
      <x:c r="U532" s="22" t="str">
        <x:v>2021-2025</x:v>
      </x:c>
    </x:row>
    <x:row r="533">
      <x:c r="A533" s="22" t="str">
        <x:v>2020-00086</x:v>
      </x:c>
      <x:c r="B533" s="22" t="str">
        <x:v>L2023-00053-1</x:v>
      </x:c>
      <x:c r="C533" s="22" t="str">
        <x:v>WORKS</x:v>
      </x:c>
      <x:c r="D533" s="25" t="str">
        <x:v>L2023-00053-1/Urgench VTC Bid Attachment Documents/Urgench VTC Bid Attachment Documents/Section 4.  Bill of Quantities(Not-Priced)/공내역서/VTC견적서/6 КПП(Guard House+Fence &amp; Gate)/6-4 ВК(Water &amp; Sewer &amp; Fire plug)/13163_vfor.xls</x:v>
      </x:c>
      <x:c r="E533" s="22" t="str">
        <x:v>.xls</x:v>
      </x:c>
      <x:c r="F533" s="28" t="n">
        <x:v>42496</x:v>
      </x:c>
      <x:c r="G533" s="28" t="str">
        <x:v>df6220b225173aa488bd8d4a23eb05263619cbf4e888bbe98ea36c01265e50fc</x:v>
      </x:c>
      <x:c r="H533" s="28" t="n">
        <x:v>1</x:v>
      </x:c>
      <x:c r="I533" s="28" t="n">
        <x:v>1</x:v>
      </x:c>
      <x:c r="J533" s="28" t="n">
        <x:v>1</x:v>
      </x:c>
      <x:c r="K533" s="28" t="n">
        <x:v>34</x:v>
      </x:c>
      <x:c r="L533" s="28" t="n">
        <x:v>0</x:v>
      </x:c>
      <x:c r="M533" s="28" t="n">
        <x:v>0</x:v>
      </x:c>
      <x:c r="N533" s="22" t="str">
        <x:v>Лист1</x:v>
      </x:c>
      <x:c r="O533" s="22" t="str">
        <x:v>visible</x:v>
      </x:c>
      <x:c r="P533" s="22" t="n">
        <x:v>9</x:v>
      </x:c>
      <x:c r="Q533" s="40" t="n">
        <x:v>0</x:v>
      </x:c>
      <x:c r="R533" s="25" t="str"/>
      <x:c r="S533" s="25" t="str">
        <x:v>B?</x:v>
      </x:c>
      <x:c r="T533" s="25" t="str">
        <x:v>자동 표 신호는 최종 A/B로 승격하지 않음</x:v>
      </x:c>
      <x:c r="U533" s="22" t="str">
        <x:v>2021-2025</x:v>
      </x:c>
    </x:row>
    <x:row r="534">
      <x:c r="A534" s="22" t="str">
        <x:v>2020-00086</x:v>
      </x:c>
      <x:c r="B534" s="22" t="str">
        <x:v>L2023-00053-1</x:v>
      </x:c>
      <x:c r="C534" s="22" t="str">
        <x:v>WORKS</x:v>
      </x:c>
      <x:c r="D534" s="25" t="str">
        <x:v>L2023-00053-1/Urgench VTC Bid Attachment Documents/Urgench VTC Bid Attachment Documents/Section 4.  Bill of Quantities(Not-Priced)/공내역서/VTC견적서/6 КПП(Guard House+Fence &amp; Gate)/6-4 ВК(Water &amp; Sewer &amp; Fire plug)/bv13160.xls</x:v>
      </x:c>
      <x:c r="E534" s="22" t="str">
        <x:v>.xls</x:v>
      </x:c>
      <x:c r="F534" s="28" t="n">
        <x:v>81408</x:v>
      </x:c>
      <x:c r="G534" s="28" t="str">
        <x:v>0da398eedf5f2bce997092265a779da29c1e9aad374c13682effe71359e455e6</x:v>
      </x:c>
      <x:c r="H534" s="28" t="n">
        <x:v>1</x:v>
      </x:c>
      <x:c r="I534" s="28" t="n">
        <x:v>1</x:v>
      </x:c>
      <x:c r="J534" s="28" t="n">
        <x:v>1</x:v>
      </x:c>
      <x:c r="K534" s="28" t="n">
        <x:v>127</x:v>
      </x:c>
      <x:c r="L534" s="28" t="n">
        <x:v>0</x:v>
      </x:c>
      <x:c r="M534" s="28" t="n">
        <x:v>0</x:v>
      </x:c>
      <x:c r="N534" s="22" t="str">
        <x:v>6-4_ЛРВ</x:v>
      </x:c>
      <x:c r="O534" s="22" t="str">
        <x:v>visible</x:v>
      </x:c>
      <x:c r="P534" s="22" t="n">
        <x:v>10</x:v>
      </x:c>
      <x:c r="Q534" s="40" t="n">
        <x:v>0</x:v>
      </x:c>
      <x:c r="R534" s="25" t="str"/>
      <x:c r="S534" s="25" t="str">
        <x:v>B?</x:v>
      </x:c>
      <x:c r="T534" s="25" t="str">
        <x:v>자동 표 신호는 최종 A/B로 승격하지 않음</x:v>
      </x:c>
      <x:c r="U534" s="22" t="str">
        <x:v>2021-2025</x:v>
      </x:c>
    </x:row>
    <x:row r="535">
      <x:c r="A535" s="22" t="str">
        <x:v>2020-00086</x:v>
      </x:c>
      <x:c r="B535" s="22" t="str">
        <x:v>L2023-00053-1</x:v>
      </x:c>
      <x:c r="C535" s="22" t="str">
        <x:v>WORKS</x:v>
      </x:c>
      <x:c r="D535" s="25" t="str">
        <x:v>L2023-00053-1/Urgench VTC Bid Attachment Documents/Urgench VTC Bid Attachment Documents/Section 4.  Bill of Quantities(Not-Priced)/공내역서/VTC견적서/6 КПП(Guard House+Fence &amp; Gate)/6-2 АР(Architecture)/bv13200.xls</x:v>
      </x:c>
      <x:c r="E535" s="22" t="str">
        <x:v>.xls</x:v>
      </x:c>
      <x:c r="F535" s="28" t="n">
        <x:v>129024</x:v>
      </x:c>
      <x:c r="G535" s="28" t="str">
        <x:v>438cdab323bc3e1f71d5b490c7094683b5141f8e682754558baf8ad56fb493b6</x:v>
      </x:c>
      <x:c r="H535" s="28" t="n">
        <x:v>1</x:v>
      </x:c>
      <x:c r="I535" s="28" t="n">
        <x:v>1</x:v>
      </x:c>
      <x:c r="J535" s="28" t="n">
        <x:v>1</x:v>
      </x:c>
      <x:c r="K535" s="28" t="n">
        <x:v>336</x:v>
      </x:c>
      <x:c r="L535" s="28" t="n">
        <x:v>0</x:v>
      </x:c>
      <x:c r="M535" s="28" t="n">
        <x:v>0</x:v>
      </x:c>
      <x:c r="N535" s="22" t="str">
        <x:v>6-2_ЛРВ</x:v>
      </x:c>
      <x:c r="O535" s="22" t="str">
        <x:v>visible</x:v>
      </x:c>
      <x:c r="P535" s="22" t="n">
        <x:v>10</x:v>
      </x:c>
      <x:c r="Q535" s="40" t="n">
        <x:v>0</x:v>
      </x:c>
      <x:c r="R535" s="25" t="str"/>
      <x:c r="S535" s="25" t="str">
        <x:v>B?</x:v>
      </x:c>
      <x:c r="T535" s="25" t="str">
        <x:v>자동 표 신호는 최종 A/B로 승격하지 않음</x:v>
      </x:c>
      <x:c r="U535" s="22" t="str">
        <x:v>2021-2025</x:v>
      </x:c>
    </x:row>
    <x:row r="536">
      <x:c r="A536" s="22" t="str">
        <x:v>2020-00086</x:v>
      </x:c>
      <x:c r="B536" s="22" t="str">
        <x:v>L2023-00053-1</x:v>
      </x:c>
      <x:c r="C536" s="22" t="str">
        <x:v>WORKS</x:v>
      </x:c>
      <x:c r="D536" s="25" t="str">
        <x:v>L2023-00053-1/Urgench VTC Bid Attachment Documents/Urgench VTC Bid Attachment Documents/Section 4.  Bill of Quantities(Not-Priced)/공내역서/VTC견적서/6 КПП(Guard House+Fence &amp; Gate)/6-2 АР(Architecture)/13203_vfor.xls</x:v>
      </x:c>
      <x:c r="E536" s="22" t="str">
        <x:v>.xls</x:v>
      </x:c>
      <x:c r="F536" s="28" t="n">
        <x:v>48640</x:v>
      </x:c>
      <x:c r="G536" s="28" t="str">
        <x:v>21fa111c58e5d02f90ed6d5bf2e47e5fc93e3e0b70ff150c2a2bfd5f7ce512f3</x:v>
      </x:c>
      <x:c r="H536" s="28" t="n">
        <x:v>1</x:v>
      </x:c>
      <x:c r="I536" s="28" t="n">
        <x:v>1</x:v>
      </x:c>
      <x:c r="J536" s="28" t="n">
        <x:v>0</x:v>
      </x:c>
      <x:c r="K536" s="28" t="n">
        <x:v>0</x:v>
      </x:c>
      <x:c r="L536" s="28" t="n">
        <x:v>0</x:v>
      </x:c>
      <x:c r="M536" s="28" t="n">
        <x:v>0</x:v>
      </x:c>
      <x:c r="N536" s="22" t="str"/>
      <x:c r="O536" s="22" t="str"/>
      <x:c r="P536" s="22" t="n">
        <x:v>0</x:v>
      </x:c>
      <x:c r="Q536" s="40" t="n">
        <x:v>0</x:v>
      </x:c>
      <x:c r="R536" s="25" t="str"/>
      <x:c r="S536" s="25" t="str">
        <x:v>BOQ_NAME_ONLY</x:v>
      </x:c>
      <x:c r="T536" s="25" t="str">
        <x:v>자동 표 신호는 최종 A/B로 승격하지 않음</x:v>
      </x:c>
      <x:c r="U536" s="22" t="str">
        <x:v>2021-2025</x:v>
      </x:c>
    </x:row>
    <x:row r="537">
      <x:c r="A537" s="22" t="str">
        <x:v>2020-00086</x:v>
      </x:c>
      <x:c r="B537" s="22" t="str">
        <x:v>L2023-00053-1</x:v>
      </x:c>
      <x:c r="C537" s="22" t="str">
        <x:v>WORKS</x:v>
      </x:c>
      <x:c r="D537" s="25" t="str">
        <x:v>L2023-00053-1/Urgench VTC Bid Attachment Documents/Urgench VTC Bid Attachment Documents/Section 4.  Bill of Quantities(Not-Priced)/공내역서/VTC견적서/6 КПП(Guard House+Fence &amp; Gate)/6-2 АР(Architecture)/13203_vrmu.xls</x:v>
      </x:c>
      <x:c r="E537" s="22" t="str">
        <x:v>.xls</x:v>
      </x:c>
      <x:c r="F537" s="28" t="n">
        <x:v>61440</x:v>
      </x:c>
      <x:c r="G537" s="28" t="str">
        <x:v>cdc00d62f8cb153c9478d025a81ca7bcec02338d395b64066ecdb866f099a689</x:v>
      </x:c>
      <x:c r="H537" s="28" t="n">
        <x:v>1</x:v>
      </x:c>
      <x:c r="I537" s="28" t="n">
        <x:v>1</x:v>
      </x:c>
      <x:c r="J537" s="28" t="n">
        <x:v>1</x:v>
      </x:c>
      <x:c r="K537" s="28" t="n">
        <x:v>112</x:v>
      </x:c>
      <x:c r="L537" s="28" t="n">
        <x:v>1</x:v>
      </x:c>
      <x:c r="M537" s="28" t="n">
        <x:v>0</x:v>
      </x:c>
      <x:c r="N537" s="22" t="str">
        <x:v>Лист1</x:v>
      </x:c>
      <x:c r="O537" s="22" t="str">
        <x:v>visible</x:v>
      </x:c>
      <x:c r="P537" s="22" t="n">
        <x:v>8</x:v>
      </x:c>
      <x:c r="Q537" s="40" t="n">
        <x:v>0.008928571428571428</x:v>
      </x:c>
      <x:c r="R537" s="25" t="str"/>
      <x:c r="S537" s="25" t="str">
        <x:v>B?</x:v>
      </x:c>
      <x:c r="T537" s="25" t="str">
        <x:v>자동 표 신호는 최종 A/B로 승격하지 않음</x:v>
      </x:c>
      <x:c r="U537" s="22" t="str">
        <x:v>2021-2025</x:v>
      </x:c>
    </x:row>
    <x:row r="538">
      <x:c r="A538" s="22" t="str">
        <x:v>2020-00086</x:v>
      </x:c>
      <x:c r="B538" s="22" t="str">
        <x:v>L2023-00053-1</x:v>
      </x:c>
      <x:c r="C538" s="22" t="str">
        <x:v>WORKS</x:v>
      </x:c>
      <x:c r="D538" s="25" t="str">
        <x:v>L2023-00053-1/Urgench VTC Bid Attachment Documents/Urgench VTC Bid Attachment Documents/Section 4.  Bill of Quantities(Not-Priced)/공내역서/VTC견적서/6 КПП(Guard House+Fence &amp; Gate)/6-7 ВН, СКС(CCTV &amp; Network)/13363_vfor.xls</x:v>
      </x:c>
      <x:c r="E538" s="22" t="str">
        <x:v>.xls</x:v>
      </x:c>
      <x:c r="F538" s="28" t="n">
        <x:v>48128</x:v>
      </x:c>
      <x:c r="G538" s="28" t="str">
        <x:v>36c9333a99d57c47105b911fbcb3486700e28e5017f87607868f0f75926dffa2</x:v>
      </x:c>
      <x:c r="H538" s="28" t="n">
        <x:v>1</x:v>
      </x:c>
      <x:c r="I538" s="28" t="n">
        <x:v>1</x:v>
      </x:c>
      <x:c r="J538" s="28" t="n">
        <x:v>1</x:v>
      </x:c>
      <x:c r="K538" s="28" t="n">
        <x:v>46</x:v>
      </x:c>
      <x:c r="L538" s="28" t="n">
        <x:v>0</x:v>
      </x:c>
      <x:c r="M538" s="28" t="n">
        <x:v>0</x:v>
      </x:c>
      <x:c r="N538" s="22" t="str">
        <x:v>Лист1</x:v>
      </x:c>
      <x:c r="O538" s="22" t="str">
        <x:v>visible</x:v>
      </x:c>
      <x:c r="P538" s="22" t="n">
        <x:v>9</x:v>
      </x:c>
      <x:c r="Q538" s="40" t="n">
        <x:v>0</x:v>
      </x:c>
      <x:c r="R538" s="25" t="str"/>
      <x:c r="S538" s="25" t="str">
        <x:v>B?</x:v>
      </x:c>
      <x:c r="T538" s="25" t="str">
        <x:v>자동 표 신호는 최종 A/B로 승격하지 않음</x:v>
      </x:c>
      <x:c r="U538" s="22" t="str">
        <x:v>2021-2025</x:v>
      </x:c>
    </x:row>
    <x:row r="539">
      <x:c r="A539" s="22" t="str">
        <x:v>2020-00086</x:v>
      </x:c>
      <x:c r="B539" s="22" t="str">
        <x:v>L2023-00053-1</x:v>
      </x:c>
      <x:c r="C539" s="22" t="str">
        <x:v>WORKS</x:v>
      </x:c>
      <x:c r="D539" s="25" t="str">
        <x:v>L2023-00053-1/Urgench VTC Bid Attachment Documents/Urgench VTC Bid Attachment Documents/Section 4.  Bill of Quantities(Not-Priced)/공내역서/VTC견적서/6 КПП(Guard House+Fence &amp; Gate)/6-7 ВН, СКС(CCTV &amp; Network)/bv13360.xls</x:v>
      </x:c>
      <x:c r="E539" s="22" t="str">
        <x:v>.xls</x:v>
      </x:c>
      <x:c r="F539" s="28" t="n">
        <x:v>88576</x:v>
      </x:c>
      <x:c r="G539" s="28" t="str">
        <x:v>74bc8b533c92a35d0c29c637a7feab7f5b9a68290b45af8b0e0690bf0416adab</x:v>
      </x:c>
      <x:c r="H539" s="28" t="n">
        <x:v>1</x:v>
      </x:c>
      <x:c r="I539" s="28" t="n">
        <x:v>1</x:v>
      </x:c>
      <x:c r="J539" s="28" t="n">
        <x:v>1</x:v>
      </x:c>
      <x:c r="K539" s="28" t="n">
        <x:v>157</x:v>
      </x:c>
      <x:c r="L539" s="28" t="n">
        <x:v>0</x:v>
      </x:c>
      <x:c r="M539" s="28" t="n">
        <x:v>0</x:v>
      </x:c>
      <x:c r="N539" s="22" t="str">
        <x:v>6-7_ЛРВ</x:v>
      </x:c>
      <x:c r="O539" s="22" t="str">
        <x:v>visible</x:v>
      </x:c>
      <x:c r="P539" s="22" t="n">
        <x:v>10</x:v>
      </x:c>
      <x:c r="Q539" s="40" t="n">
        <x:v>0</x:v>
      </x:c>
      <x:c r="R539" s="25" t="str"/>
      <x:c r="S539" s="25" t="str">
        <x:v>B?</x:v>
      </x:c>
      <x:c r="T539" s="25" t="str">
        <x:v>자동 표 신호는 최종 A/B로 승격하지 않음</x:v>
      </x:c>
      <x:c r="U539" s="22" t="str">
        <x:v>2021-2025</x:v>
      </x:c>
    </x:row>
    <x:row r="540">
      <x:c r="A540" s="22" t="str">
        <x:v>2020-00086</x:v>
      </x:c>
      <x:c r="B540" s="22" t="str">
        <x:v>L2023-00053-1</x:v>
      </x:c>
      <x:c r="C540" s="22" t="str">
        <x:v>WORKS</x:v>
      </x:c>
      <x:c r="D540" s="25" t="str">
        <x:v>L2023-00053-1/Urgench VTC Bid Attachment Documents/Urgench VTC Bid Attachment Documents/Section 4.  Bill of Quantities(Not-Priced)/공내역서/VTC견적서/6 КПП(Guard House+Fence &amp; Gate)/6-7 ВН, СКС(CCTV &amp; Network)/13363_vrmu.xls</x:v>
      </x:c>
      <x:c r="E540" s="22" t="str">
        <x:v>.xls</x:v>
      </x:c>
      <x:c r="F540" s="28" t="n">
        <x:v>57344</x:v>
      </x:c>
      <x:c r="G540" s="28" t="str">
        <x:v>bb45d8fce2bdc88caf7c66fd7cb3a7b238228ed5926d5e1cd6c17d10d95924ee</x:v>
      </x:c>
      <x:c r="H540" s="28" t="n">
        <x:v>1</x:v>
      </x:c>
      <x:c r="I540" s="28" t="n">
        <x:v>1</x:v>
      </x:c>
      <x:c r="J540" s="28" t="n">
        <x:v>1</x:v>
      </x:c>
      <x:c r="K540" s="28" t="n">
        <x:v>79</x:v>
      </x:c>
      <x:c r="L540" s="28" t="n">
        <x:v>1</x:v>
      </x:c>
      <x:c r="M540" s="28" t="n">
        <x:v>0</x:v>
      </x:c>
      <x:c r="N540" s="22" t="str">
        <x:v>Лист1</x:v>
      </x:c>
      <x:c r="O540" s="22" t="str">
        <x:v>visible</x:v>
      </x:c>
      <x:c r="P540" s="22" t="n">
        <x:v>8</x:v>
      </x:c>
      <x:c r="Q540" s="40" t="n">
        <x:v>0.012658227848101266</x:v>
      </x:c>
      <x:c r="R540" s="25" t="str"/>
      <x:c r="S540" s="25" t="str">
        <x:v>B?</x:v>
      </x:c>
      <x:c r="T540" s="25" t="str">
        <x:v>자동 표 신호는 최종 A/B로 승격하지 않음</x:v>
      </x:c>
      <x:c r="U540" s="22" t="str">
        <x:v>2021-2025</x:v>
      </x:c>
    </x:row>
    <x:row r="541">
      <x:c r="A541" s="22" t="str">
        <x:v>2020-00086</x:v>
      </x:c>
      <x:c r="B541" s="22" t="str">
        <x:v>L2023-00053-1</x:v>
      </x:c>
      <x:c r="C541" s="22" t="str">
        <x:v>WORKS</x:v>
      </x:c>
      <x:c r="D541" s="25" t="str">
        <x:v>L2023-00053-1/Urgench VTC Bid Attachment Documents/Urgench VTC Bid Attachment Documents/Section 4.  Bill of Quantities(Not-Priced)/공내역서/VTC견적서/6 КПП(Guard House+Fence &amp; Gate)/6-6 ПС(Fire Alarm)/bv13350.xls</x:v>
      </x:c>
      <x:c r="E541" s="22" t="str">
        <x:v>.xls</x:v>
      </x:c>
      <x:c r="F541" s="28" t="n">
        <x:v>68608</x:v>
      </x:c>
      <x:c r="G541" s="28" t="str">
        <x:v>3fedac4c69065bad31ff8ef486ec7a572c6b66408b084530fddeb99286af3107</x:v>
      </x:c>
      <x:c r="H541" s="28" t="n">
        <x:v>1</x:v>
      </x:c>
      <x:c r="I541" s="28" t="n">
        <x:v>1</x:v>
      </x:c>
      <x:c r="J541" s="28" t="n">
        <x:v>0</x:v>
      </x:c>
      <x:c r="K541" s="28" t="n">
        <x:v>0</x:v>
      </x:c>
      <x:c r="L541" s="28" t="n">
        <x:v>0</x:v>
      </x:c>
      <x:c r="M541" s="28" t="n">
        <x:v>0</x:v>
      </x:c>
      <x:c r="N541" s="22" t="str"/>
      <x:c r="O541" s="22" t="str"/>
      <x:c r="P541" s="22" t="n">
        <x:v>0</x:v>
      </x:c>
      <x:c r="Q541" s="40" t="n">
        <x:v>0</x:v>
      </x:c>
      <x:c r="R541" s="25" t="str"/>
      <x:c r="S541" s="25" t="str">
        <x:v>BOQ_NAME_ONLY</x:v>
      </x:c>
      <x:c r="T541" s="25" t="str">
        <x:v>자동 표 신호는 최종 A/B로 승격하지 않음</x:v>
      </x:c>
      <x:c r="U541" s="22" t="str">
        <x:v>2021-2025</x:v>
      </x:c>
    </x:row>
    <x:row r="542">
      <x:c r="A542" s="22" t="str">
        <x:v>2020-00086</x:v>
      </x:c>
      <x:c r="B542" s="22" t="str">
        <x:v>L2023-00053-1</x:v>
      </x:c>
      <x:c r="C542" s="22" t="str">
        <x:v>WORKS</x:v>
      </x:c>
      <x:c r="D542" s="25" t="str">
        <x:v>L2023-00053-1/Urgench VTC Bid Attachment Documents/Urgench VTC Bid Attachment Documents/Section 4.  Bill of Quantities(Not-Priced)/공내역서/VTC견적서/6 КПП(Guard House+Fence &amp; Gate)/6-6 ПС(Fire Alarm)/13353_vrmu.xls</x:v>
      </x:c>
      <x:c r="E542" s="22" t="str">
        <x:v>.xls</x:v>
      </x:c>
      <x:c r="F542" s="28" t="n">
        <x:v>45568</x:v>
      </x:c>
      <x:c r="G542" s="28" t="str">
        <x:v>1042a9e9f47e2df7996e894c927dd8ac8c3cc20fef3dfd2e0469d34176fb67a4</x:v>
      </x:c>
      <x:c r="H542" s="28" t="n">
        <x:v>1</x:v>
      </x:c>
      <x:c r="I542" s="28" t="n">
        <x:v>1</x:v>
      </x:c>
      <x:c r="J542" s="28" t="n">
        <x:v>0</x:v>
      </x:c>
      <x:c r="K542" s="28" t="n">
        <x:v>0</x:v>
      </x:c>
      <x:c r="L542" s="28" t="n">
        <x:v>0</x:v>
      </x:c>
      <x:c r="M542" s="28" t="n">
        <x:v>0</x:v>
      </x:c>
      <x:c r="N542" s="22" t="str"/>
      <x:c r="O542" s="22" t="str"/>
      <x:c r="P542" s="22" t="n">
        <x:v>0</x:v>
      </x:c>
      <x:c r="Q542" s="40" t="n">
        <x:v>0</x:v>
      </x:c>
      <x:c r="R542" s="25" t="str"/>
      <x:c r="S542" s="25" t="str">
        <x:v>BOQ_NAME_ONLY</x:v>
      </x:c>
      <x:c r="T542" s="25" t="str">
        <x:v>자동 표 신호는 최종 A/B로 승격하지 않음</x:v>
      </x:c>
      <x:c r="U542" s="22" t="str">
        <x:v>2021-2025</x:v>
      </x:c>
    </x:row>
    <x:row r="543">
      <x:c r="A543" s="22" t="str">
        <x:v>2020-00086</x:v>
      </x:c>
      <x:c r="B543" s="22" t="str">
        <x:v>L2023-00053-1</x:v>
      </x:c>
      <x:c r="C543" s="22" t="str">
        <x:v>WORKS</x:v>
      </x:c>
      <x:c r="D543" s="25" t="str">
        <x:v>L2023-00053-1/Urgench VTC Bid Attachment Documents/Urgench VTC Bid Attachment Documents/Section 4.  Bill of Quantities(Not-Priced)/공내역서/VTC견적서/6 КПП(Guard House+Fence &amp; Gate)/6-6 ПС(Fire Alarm)/13353_vfor.xls</x:v>
      </x:c>
      <x:c r="E543" s="22" t="str">
        <x:v>.xls</x:v>
      </x:c>
      <x:c r="F543" s="28" t="n">
        <x:v>39936</x:v>
      </x:c>
      <x:c r="G543" s="28" t="str">
        <x:v>ada6a09861b75baeced88918213281f646dd23f8d179cda036079e272dedf6d9</x:v>
      </x:c>
      <x:c r="H543" s="28" t="n">
        <x:v>1</x:v>
      </x:c>
      <x:c r="I543" s="28" t="n">
        <x:v>1</x:v>
      </x:c>
      <x:c r="J543" s="28" t="n">
        <x:v>1</x:v>
      </x:c>
      <x:c r="K543" s="28" t="n">
        <x:v>25</x:v>
      </x:c>
      <x:c r="L543" s="28" t="n">
        <x:v>0</x:v>
      </x:c>
      <x:c r="M543" s="28" t="n">
        <x:v>0</x:v>
      </x:c>
      <x:c r="N543" s="22" t="str">
        <x:v>Лист1</x:v>
      </x:c>
      <x:c r="O543" s="22" t="str">
        <x:v>visible</x:v>
      </x:c>
      <x:c r="P543" s="22" t="n">
        <x:v>9</x:v>
      </x:c>
      <x:c r="Q543" s="40" t="n">
        <x:v>0</x:v>
      </x:c>
      <x:c r="R543" s="25" t="str"/>
      <x:c r="S543" s="25" t="str">
        <x:v>B?</x:v>
      </x:c>
      <x:c r="T543" s="25" t="str">
        <x:v>자동 표 신호는 최종 A/B로 승격하지 않음</x:v>
      </x:c>
      <x:c r="U543" s="22" t="str">
        <x:v>2021-2025</x:v>
      </x:c>
    </x:row>
    <x:row r="544">
      <x:c r="A544" s="22" t="str">
        <x:v>2020-00086</x:v>
      </x:c>
      <x:c r="B544" s="22" t="str">
        <x:v>L2023-00053-1</x:v>
      </x:c>
      <x:c r="C544" s="22" t="str">
        <x:v>WORKS</x:v>
      </x:c>
      <x:c r="D544" s="25" t="str">
        <x:v>L2023-00053-1/Urgench VTC Bid Attachment Documents/Urgench VTC Bid Attachment Documents/Section 4.  Bill of Quantities(Not-Priced)/공내역서/VTC견적서/6 КПП(Guard House+Fence &amp; Gate)/6-3 ОВ(Heating &amp; Ventilation)/13553_vfor.xls</x:v>
      </x:c>
      <x:c r="E544" s="22" t="str">
        <x:v>.xls</x:v>
      </x:c>
      <x:c r="F544" s="28" t="n">
        <x:v>39424</x:v>
      </x:c>
      <x:c r="G544" s="28" t="str">
        <x:v>221afcc766216a2167659cd706b07c07df791349f680a06ec88931f4e140e87d</x:v>
      </x:c>
      <x:c r="H544" s="28" t="n">
        <x:v>1</x:v>
      </x:c>
      <x:c r="I544" s="28" t="n">
        <x:v>1</x:v>
      </x:c>
      <x:c r="J544" s="28" t="n">
        <x:v>1</x:v>
      </x:c>
      <x:c r="K544" s="28" t="n">
        <x:v>10</x:v>
      </x:c>
      <x:c r="L544" s="28" t="n">
        <x:v>0</x:v>
      </x:c>
      <x:c r="M544" s="28" t="n">
        <x:v>0</x:v>
      </x:c>
      <x:c r="N544" s="22" t="str">
        <x:v>Лист1</x:v>
      </x:c>
      <x:c r="O544" s="22" t="str">
        <x:v>visible</x:v>
      </x:c>
      <x:c r="P544" s="22" t="n">
        <x:v>9</x:v>
      </x:c>
      <x:c r="Q544" s="40" t="n">
        <x:v>0</x:v>
      </x:c>
      <x:c r="R544" s="25" t="str"/>
      <x:c r="S544" s="25" t="str">
        <x:v>B?</x:v>
      </x:c>
      <x:c r="T544" s="25" t="str">
        <x:v>자동 표 신호는 최종 A/B로 승격하지 않음</x:v>
      </x:c>
      <x:c r="U544" s="22" t="str">
        <x:v>2021-2025</x:v>
      </x:c>
    </x:row>
    <x:row r="545">
      <x:c r="A545" s="22" t="str">
        <x:v>2020-00086</x:v>
      </x:c>
      <x:c r="B545" s="22" t="str">
        <x:v>L2023-00053-1</x:v>
      </x:c>
      <x:c r="C545" s="22" t="str">
        <x:v>WORKS</x:v>
      </x:c>
      <x:c r="D545" s="25" t="str">
        <x:v>L2023-00053-1/Urgench VTC Bid Attachment Documents/Urgench VTC Bid Attachment Documents/Section 4.  Bill of Quantities(Not-Priced)/공내역서/VTC견적서/6 КПП(Guard House+Fence &amp; Gate)/6-3 ОВ(Heating &amp; Ventilation)/13553_vrmu.xls</x:v>
      </x:c>
      <x:c r="E545" s="22" t="str">
        <x:v>.xls</x:v>
      </x:c>
      <x:c r="F545" s="28" t="n">
        <x:v>47104</x:v>
      </x:c>
      <x:c r="G545" s="28" t="str">
        <x:v>7c9d9051925373dc66d2ca05fefd5ea839554e87b692910a8f4c2f7831d68277</x:v>
      </x:c>
      <x:c r="H545" s="28" t="n">
        <x:v>1</x:v>
      </x:c>
      <x:c r="I545" s="28" t="n">
        <x:v>1</x:v>
      </x:c>
      <x:c r="J545" s="28" t="n">
        <x:v>1</x:v>
      </x:c>
      <x:c r="K545" s="28" t="n">
        <x:v>43</x:v>
      </x:c>
      <x:c r="L545" s="28" t="n">
        <x:v>1</x:v>
      </x:c>
      <x:c r="M545" s="28" t="n">
        <x:v>0</x:v>
      </x:c>
      <x:c r="N545" s="22" t="str">
        <x:v>Лист1</x:v>
      </x:c>
      <x:c r="O545" s="22" t="str">
        <x:v>visible</x:v>
      </x:c>
      <x:c r="P545" s="22" t="n">
        <x:v>8</x:v>
      </x:c>
      <x:c r="Q545" s="40" t="n">
        <x:v>0.023255813953488372</x:v>
      </x:c>
      <x:c r="R545" s="25" t="str"/>
      <x:c r="S545" s="25" t="str">
        <x:v>B?</x:v>
      </x:c>
      <x:c r="T545" s="25" t="str">
        <x:v>자동 표 신호는 최종 A/B로 승격하지 않음</x:v>
      </x:c>
      <x:c r="U545" s="22" t="str">
        <x:v>2021-2025</x:v>
      </x:c>
    </x:row>
    <x:row r="546">
      <x:c r="A546" s="22" t="str">
        <x:v>2020-00086</x:v>
      </x:c>
      <x:c r="B546" s="22" t="str">
        <x:v>L2023-00053-1</x:v>
      </x:c>
      <x:c r="C546" s="22" t="str">
        <x:v>WORKS</x:v>
      </x:c>
      <x:c r="D546" s="25" t="str">
        <x:v>L2023-00053-1/Urgench VTC Bid Attachment Documents/Urgench VTC Bid Attachment Documents/Section 4.  Bill of Quantities(Not-Priced)/공내역서/VTC견적서/6 КПП(Guard House+Fence &amp; Gate)/6-3 ОВ(Heating &amp; Ventilation)/bv13550.xls</x:v>
      </x:c>
      <x:c r="E546" s="22" t="str">
        <x:v>.xls</x:v>
      </x:c>
      <x:c r="F546" s="28" t="n">
        <x:v>64000</x:v>
      </x:c>
      <x:c r="G546" s="28" t="str">
        <x:v>028f57741a7980eb9293cf32591884faf6ce3b4531076bbbf2f780cc5aeb3c5c</x:v>
      </x:c>
      <x:c r="H546" s="28" t="n">
        <x:v>1</x:v>
      </x:c>
      <x:c r="I546" s="28" t="n">
        <x:v>1</x:v>
      </x:c>
      <x:c r="J546" s="28" t="n">
        <x:v>1</x:v>
      </x:c>
      <x:c r="K546" s="28" t="n">
        <x:v>58</x:v>
      </x:c>
      <x:c r="L546" s="28" t="n">
        <x:v>0</x:v>
      </x:c>
      <x:c r="M546" s="28" t="n">
        <x:v>0</x:v>
      </x:c>
      <x:c r="N546" s="22" t="str">
        <x:v>6-3_ЛРВ</x:v>
      </x:c>
      <x:c r="O546" s="22" t="str">
        <x:v>visible</x:v>
      </x:c>
      <x:c r="P546" s="22" t="n">
        <x:v>10</x:v>
      </x:c>
      <x:c r="Q546" s="40" t="n">
        <x:v>0</x:v>
      </x:c>
      <x:c r="R546" s="25" t="str"/>
      <x:c r="S546" s="25" t="str">
        <x:v>B?</x:v>
      </x:c>
      <x:c r="T546" s="25" t="str">
        <x:v>자동 표 신호는 최종 A/B로 승격하지 않음</x:v>
      </x:c>
      <x:c r="U546" s="22" t="str">
        <x:v>2021-2025</x:v>
      </x:c>
    </x:row>
    <x:row r="547">
      <x:c r="A547" s="22" t="str">
        <x:v>2020-00086</x:v>
      </x:c>
      <x:c r="B547" s="22" t="str">
        <x:v>L2023-00053-1</x:v>
      </x:c>
      <x:c r="C547" s="22" t="str">
        <x:v>WORKS</x:v>
      </x:c>
      <x:c r="D547" s="25" t="str">
        <x:v>L2023-00053-1/Urgench VTC Bid Attachment Documents/Urgench VTC Bid Attachment Documents/Section 4.  Bill of Quantities(Not-Priced)/공내역서/VTC견적서/2 УПК(Practice and Education Building)/2-9 ГСВ(Gas)/13583_vfor.xls</x:v>
      </x:c>
      <x:c r="E547" s="22" t="str">
        <x:v>.xls</x:v>
      </x:c>
      <x:c r="F547" s="28" t="n">
        <x:v>38400</x:v>
      </x:c>
      <x:c r="G547" s="28" t="str">
        <x:v>ec378189ec8e3fc423efb9636e24d6a2214a259d2af40c14f92b5626a47a4b53</x:v>
      </x:c>
      <x:c r="H547" s="28" t="n">
        <x:v>1</x:v>
      </x:c>
      <x:c r="I547" s="28" t="n">
        <x:v>1</x:v>
      </x:c>
      <x:c r="J547" s="28" t="n">
        <x:v>0</x:v>
      </x:c>
      <x:c r="K547" s="28" t="n">
        <x:v>0</x:v>
      </x:c>
      <x:c r="L547" s="28" t="n">
        <x:v>0</x:v>
      </x:c>
      <x:c r="M547" s="28" t="n">
        <x:v>0</x:v>
      </x:c>
      <x:c r="N547" s="22" t="str"/>
      <x:c r="O547" s="22" t="str"/>
      <x:c r="P547" s="22" t="n">
        <x:v>0</x:v>
      </x:c>
      <x:c r="Q547" s="40" t="n">
        <x:v>0</x:v>
      </x:c>
      <x:c r="R547" s="25" t="str"/>
      <x:c r="S547" s="25" t="str">
        <x:v>BOQ_NAME_ONLY</x:v>
      </x:c>
      <x:c r="T547" s="25" t="str">
        <x:v>자동 표 신호는 최종 A/B로 승격하지 않음</x:v>
      </x:c>
      <x:c r="U547" s="22" t="str">
        <x:v>2021-2025</x:v>
      </x:c>
    </x:row>
    <x:row r="548">
      <x:c r="A548" s="22" t="str">
        <x:v>2020-00086</x:v>
      </x:c>
      <x:c r="B548" s="22" t="str">
        <x:v>L2023-00053-1</x:v>
      </x:c>
      <x:c r="C548" s="22" t="str">
        <x:v>WORKS</x:v>
      </x:c>
      <x:c r="D548" s="25" t="str">
        <x:v>L2023-00053-1/Urgench VTC Bid Attachment Documents/Urgench VTC Bid Attachment Documents/Section 4.  Bill of Quantities(Not-Priced)/공내역서/VTC견적서/2 УПК(Practice and Education Building)/2-9 ГСВ(Gas)/13583_vrmu.xls</x:v>
      </x:c>
      <x:c r="E548" s="22" t="str">
        <x:v>.xls</x:v>
      </x:c>
      <x:c r="F548" s="28" t="n">
        <x:v>58368</x:v>
      </x:c>
      <x:c r="G548" s="28" t="str">
        <x:v>79c0d45acad111aa632a5123591aee7f4aaf88bfcc819bf29af6b23500a562ad</x:v>
      </x:c>
      <x:c r="H548" s="28" t="n">
        <x:v>1</x:v>
      </x:c>
      <x:c r="I548" s="28" t="n">
        <x:v>1</x:v>
      </x:c>
      <x:c r="J548" s="28" t="n">
        <x:v>1</x:v>
      </x:c>
      <x:c r="K548" s="28" t="n">
        <x:v>75</x:v>
      </x:c>
      <x:c r="L548" s="28" t="n">
        <x:v>1</x:v>
      </x:c>
      <x:c r="M548" s="28" t="n">
        <x:v>0</x:v>
      </x:c>
      <x:c r="N548" s="22" t="str">
        <x:v>Лист1</x:v>
      </x:c>
      <x:c r="O548" s="22" t="str">
        <x:v>visible</x:v>
      </x:c>
      <x:c r="P548" s="22" t="n">
        <x:v>8</x:v>
      </x:c>
      <x:c r="Q548" s="40" t="n">
        <x:v>0.013333333333333334</x:v>
      </x:c>
      <x:c r="R548" s="25" t="str"/>
      <x:c r="S548" s="25" t="str">
        <x:v>B?</x:v>
      </x:c>
      <x:c r="T548" s="25" t="str">
        <x:v>자동 표 신호는 최종 A/B로 승격하지 않음</x:v>
      </x:c>
      <x:c r="U548" s="22" t="str">
        <x:v>2021-2025</x:v>
      </x:c>
    </x:row>
    <x:row r="549">
      <x:c r="A549" s="22" t="str">
        <x:v>2020-00086</x:v>
      </x:c>
      <x:c r="B549" s="22" t="str">
        <x:v>L2023-00053-1</x:v>
      </x:c>
      <x:c r="C549" s="22" t="str">
        <x:v>WORKS</x:v>
      </x:c>
      <x:c r="D549" s="25" t="str">
        <x:v>L2023-00053-1/Urgench VTC Bid Attachment Documents/Urgench VTC Bid Attachment Documents/Section 4.  Bill of Quantities(Not-Priced)/공내역서/VTC견적서/2 УПК(Practice and Education Building)/2-9 ГСВ(Gas)/bv13580.xls</x:v>
      </x:c>
      <x:c r="E549" s="22" t="str">
        <x:v>.xls</x:v>
      </x:c>
      <x:c r="F549" s="28" t="n">
        <x:v>97792</x:v>
      </x:c>
      <x:c r="G549" s="28" t="str">
        <x:v>e2f79d457ed4fef8a6f0beb829b71d27adcc667ae940dd195ceb0fc2d6b8be1f</x:v>
      </x:c>
      <x:c r="H549" s="28" t="n">
        <x:v>1</x:v>
      </x:c>
      <x:c r="I549" s="28" t="n">
        <x:v>1</x:v>
      </x:c>
      <x:c r="J549" s="28" t="n">
        <x:v>0</x:v>
      </x:c>
      <x:c r="K549" s="28" t="n">
        <x:v>0</x:v>
      </x:c>
      <x:c r="L549" s="28" t="n">
        <x:v>0</x:v>
      </x:c>
      <x:c r="M549" s="28" t="n">
        <x:v>0</x:v>
      </x:c>
      <x:c r="N549" s="22" t="str"/>
      <x:c r="O549" s="22" t="str"/>
      <x:c r="P549" s="22" t="n">
        <x:v>0</x:v>
      </x:c>
      <x:c r="Q549" s="40" t="n">
        <x:v>0</x:v>
      </x:c>
      <x:c r="R549" s="25" t="str"/>
      <x:c r="S549" s="25" t="str">
        <x:v>BOQ_NAME_ONLY</x:v>
      </x:c>
      <x:c r="T549" s="25" t="str">
        <x:v>자동 표 신호는 최종 A/B로 승격하지 않음</x:v>
      </x:c>
      <x:c r="U549" s="22" t="str">
        <x:v>2021-2025</x:v>
      </x:c>
    </x:row>
    <x:row r="550">
      <x:c r="A550" s="22" t="str">
        <x:v>2020-00086</x:v>
      </x:c>
      <x:c r="B550" s="22" t="str">
        <x:v>L2023-00053-1</x:v>
      </x:c>
      <x:c r="C550" s="22" t="str">
        <x:v>WORKS</x:v>
      </x:c>
      <x:c r="D550" s="25" t="str">
        <x:v>L2023-00053-1/Urgench VTC Bid Attachment Documents/Urgench VTC Bid Attachment Documents/Section 4.  Bill of Quantities(Not-Priced)/공내역서/VTC견적서/2 УПК(Practice and Education Building)/2-6 ПС(Fire Alarm)/bv13270.xls</x:v>
      </x:c>
      <x:c r="E550" s="22" t="str">
        <x:v>.xls</x:v>
      </x:c>
      <x:c r="F550" s="28" t="n">
        <x:v>81408</x:v>
      </x:c>
      <x:c r="G550" s="28" t="str">
        <x:v>d46cd1888c84107a56dd7e1a1f3e026e361cbd56a90fe559692389429af17a31</x:v>
      </x:c>
      <x:c r="H550" s="28" t="n">
        <x:v>1</x:v>
      </x:c>
      <x:c r="I550" s="28" t="n">
        <x:v>1</x:v>
      </x:c>
      <x:c r="J550" s="28" t="n">
        <x:v>0</x:v>
      </x:c>
      <x:c r="K550" s="28" t="n">
        <x:v>0</x:v>
      </x:c>
      <x:c r="L550" s="28" t="n">
        <x:v>0</x:v>
      </x:c>
      <x:c r="M550" s="28" t="n">
        <x:v>0</x:v>
      </x:c>
      <x:c r="N550" s="22" t="str"/>
      <x:c r="O550" s="22" t="str"/>
      <x:c r="P550" s="22" t="n">
        <x:v>0</x:v>
      </x:c>
      <x:c r="Q550" s="40" t="n">
        <x:v>0</x:v>
      </x:c>
      <x:c r="R550" s="25" t="str"/>
      <x:c r="S550" s="25" t="str">
        <x:v>BOQ_NAME_ONLY</x:v>
      </x:c>
      <x:c r="T550" s="25" t="str">
        <x:v>자동 표 신호는 최종 A/B로 승격하지 않음</x:v>
      </x:c>
      <x:c r="U550" s="22" t="str">
        <x:v>2021-2025</x:v>
      </x:c>
    </x:row>
    <x:row r="551">
      <x:c r="A551" s="22" t="str">
        <x:v>2020-00086</x:v>
      </x:c>
      <x:c r="B551" s="22" t="str">
        <x:v>L2023-00053-1</x:v>
      </x:c>
      <x:c r="C551" s="22" t="str">
        <x:v>WORKS</x:v>
      </x:c>
      <x:c r="D551" s="25" t="str">
        <x:v>L2023-00053-1/Urgench VTC Bid Attachment Documents/Urgench VTC Bid Attachment Documents/Section 4.  Bill of Quantities(Not-Priced)/공내역서/VTC견적서/2 УПК(Practice and Education Building)/2-6 ПС(Fire Alarm)/13273_vrmu.xls</x:v>
      </x:c>
      <x:c r="E551" s="22" t="str">
        <x:v>.xls</x:v>
      </x:c>
      <x:c r="F551" s="28" t="n">
        <x:v>51712</x:v>
      </x:c>
      <x:c r="G551" s="28" t="str">
        <x:v>37a7d416719880479a04287f43738c935aabd798ceb429a6996cc4e3c53eacf9</x:v>
      </x:c>
      <x:c r="H551" s="28" t="n">
        <x:v>1</x:v>
      </x:c>
      <x:c r="I551" s="28" t="n">
        <x:v>1</x:v>
      </x:c>
      <x:c r="J551" s="28" t="n">
        <x:v>1</x:v>
      </x:c>
      <x:c r="K551" s="28" t="n">
        <x:v>64</x:v>
      </x:c>
      <x:c r="L551" s="28" t="n">
        <x:v>1</x:v>
      </x:c>
      <x:c r="M551" s="28" t="n">
        <x:v>0</x:v>
      </x:c>
      <x:c r="N551" s="22" t="str">
        <x:v>Лист1</x:v>
      </x:c>
      <x:c r="O551" s="22" t="str">
        <x:v>visible</x:v>
      </x:c>
      <x:c r="P551" s="22" t="n">
        <x:v>8</x:v>
      </x:c>
      <x:c r="Q551" s="40" t="n">
        <x:v>0.015625</x:v>
      </x:c>
      <x:c r="R551" s="25" t="str"/>
      <x:c r="S551" s="25" t="str">
        <x:v>B?</x:v>
      </x:c>
      <x:c r="T551" s="25" t="str">
        <x:v>자동 표 신호는 최종 A/B로 승격하지 않음</x:v>
      </x:c>
      <x:c r="U551" s="22" t="str">
        <x:v>2021-2025</x:v>
      </x:c>
    </x:row>
    <x:row r="552">
      <x:c r="A552" s="22" t="str">
        <x:v>2020-00086</x:v>
      </x:c>
      <x:c r="B552" s="22" t="str">
        <x:v>L2023-00053-1</x:v>
      </x:c>
      <x:c r="C552" s="22" t="str">
        <x:v>WORKS</x:v>
      </x:c>
      <x:c r="D552" s="25" t="str">
        <x:v>L2023-00053-1/Urgench VTC Bid Attachment Documents/Urgench VTC Bid Attachment Documents/Section 4.  Bill of Quantities(Not-Priced)/공내역서/VTC견적서/2 УПК(Practice and Education Building)/2-6 ПС(Fire Alarm)/13273_vfor.xls</x:v>
      </x:c>
      <x:c r="E552" s="22" t="str">
        <x:v>.xls</x:v>
      </x:c>
      <x:c r="F552" s="28" t="n">
        <x:v>39424</x:v>
      </x:c>
      <x:c r="G552" s="28" t="str">
        <x:v>9253b08795feafb761135dfb7172359fd6821432264e5cec4a3ba2c9aaaef0df</x:v>
      </x:c>
      <x:c r="H552" s="28" t="n">
        <x:v>1</x:v>
      </x:c>
      <x:c r="I552" s="28" t="n">
        <x:v>1</x:v>
      </x:c>
      <x:c r="J552" s="28" t="n">
        <x:v>0</x:v>
      </x:c>
      <x:c r="K552" s="28" t="n">
        <x:v>0</x:v>
      </x:c>
      <x:c r="L552" s="28" t="n">
        <x:v>0</x:v>
      </x:c>
      <x:c r="M552" s="28" t="n">
        <x:v>0</x:v>
      </x:c>
      <x:c r="N552" s="22" t="str"/>
      <x:c r="O552" s="22" t="str"/>
      <x:c r="P552" s="22" t="n">
        <x:v>0</x:v>
      </x:c>
      <x:c r="Q552" s="40" t="n">
        <x:v>0</x:v>
      </x:c>
      <x:c r="R552" s="25" t="str"/>
      <x:c r="S552" s="25" t="str">
        <x:v>BOQ_NAME_ONLY</x:v>
      </x:c>
      <x:c r="T552" s="25" t="str">
        <x:v>자동 표 신호는 최종 A/B로 승격하지 않음</x:v>
      </x:c>
      <x:c r="U552" s="22" t="str">
        <x:v>2021-2025</x:v>
      </x:c>
    </x:row>
    <x:row r="553">
      <x:c r="A553" s="22" t="str">
        <x:v>2020-00086</x:v>
      </x:c>
      <x:c r="B553" s="22" t="str">
        <x:v>L2023-00053-1</x:v>
      </x:c>
      <x:c r="C553" s="22" t="str">
        <x:v>WORKS</x:v>
      </x:c>
      <x:c r="D553" s="25" t="str">
        <x:v>L2023-00053-1/Urgench VTC Bid Attachment Documents/Urgench VTC Bid Attachment Documents/Section 4.  Bill of Quantities(Not-Priced)/공내역서/VTC견적서/2 УПК(Practice and Education Building)/2-8 ТМ(Boiler &amp; Solar heating)/13433_vfor.xls</x:v>
      </x:c>
      <x:c r="E553" s="22" t="str">
        <x:v>.xls</x:v>
      </x:c>
      <x:c r="F553" s="28" t="n">
        <x:v>61952</x:v>
      </x:c>
      <x:c r="G553" s="28" t="str">
        <x:v>d1c10b9aaca880e34e432f14a598fbfa9d3620e37ff970f3d323e49ce5560785</x:v>
      </x:c>
      <x:c r="H553" s="28" t="n">
        <x:v>1</x:v>
      </x:c>
      <x:c r="I553" s="28" t="n">
        <x:v>1</x:v>
      </x:c>
      <x:c r="J553" s="28" t="n">
        <x:v>0</x:v>
      </x:c>
      <x:c r="K553" s="28" t="n">
        <x:v>0</x:v>
      </x:c>
      <x:c r="L553" s="28" t="n">
        <x:v>0</x:v>
      </x:c>
      <x:c r="M553" s="28" t="n">
        <x:v>0</x:v>
      </x:c>
      <x:c r="N553" s="22" t="str"/>
      <x:c r="O553" s="22" t="str"/>
      <x:c r="P553" s="22" t="n">
        <x:v>0</x:v>
      </x:c>
      <x:c r="Q553" s="40" t="n">
        <x:v>0</x:v>
      </x:c>
      <x:c r="R553" s="25" t="str"/>
      <x:c r="S553" s="25" t="str">
        <x:v>BOQ_NAME_ONLY</x:v>
      </x:c>
      <x:c r="T553" s="25" t="str">
        <x:v>자동 표 신호는 최종 A/B로 승격하지 않음</x:v>
      </x:c>
      <x:c r="U553" s="22" t="str">
        <x:v>2021-2025</x:v>
      </x:c>
    </x:row>
    <x:row r="554">
      <x:c r="A554" s="22" t="str">
        <x:v>2020-00086</x:v>
      </x:c>
      <x:c r="B554" s="22" t="str">
        <x:v>L2023-00053-1</x:v>
      </x:c>
      <x:c r="C554" s="22" t="str">
        <x:v>WORKS</x:v>
      </x:c>
      <x:c r="D554" s="25" t="str">
        <x:v>L2023-00053-1/Urgench VTC Bid Attachment Documents/Urgench VTC Bid Attachment Documents/Section 4.  Bill of Quantities(Not-Priced)/공내역서/VTC견적서/2 УПК(Practice and Education Building)/2-8 ТМ(Boiler &amp; Solar heating)/bv13430.xls</x:v>
      </x:c>
      <x:c r="E554" s="22" t="str">
        <x:v>.xls</x:v>
      </x:c>
      <x:c r="F554" s="28" t="n">
        <x:v>178176</x:v>
      </x:c>
      <x:c r="G554" s="28" t="str">
        <x:v>1e6b0f50a2a378878bb06672f894f03a587ce5a0d49a819318305705775920d7</x:v>
      </x:c>
      <x:c r="H554" s="28" t="n">
        <x:v>1</x:v>
      </x:c>
      <x:c r="I554" s="28" t="n">
        <x:v>1</x:v>
      </x:c>
      <x:c r="J554" s="28" t="n">
        <x:v>0</x:v>
      </x:c>
      <x:c r="K554" s="28" t="n">
        <x:v>0</x:v>
      </x:c>
      <x:c r="L554" s="28" t="n">
        <x:v>0</x:v>
      </x:c>
      <x:c r="M554" s="28" t="n">
        <x:v>0</x:v>
      </x:c>
      <x:c r="N554" s="22" t="str"/>
      <x:c r="O554" s="22" t="str"/>
      <x:c r="P554" s="22" t="n">
        <x:v>0</x:v>
      </x:c>
      <x:c r="Q554" s="40" t="n">
        <x:v>0</x:v>
      </x:c>
      <x:c r="R554" s="25" t="str"/>
      <x:c r="S554" s="25" t="str">
        <x:v>BOQ_NAME_ONLY</x:v>
      </x:c>
      <x:c r="T554" s="25" t="str">
        <x:v>자동 표 신호는 최종 A/B로 승격하지 않음</x:v>
      </x:c>
      <x:c r="U554" s="22" t="str">
        <x:v>2021-2025</x:v>
      </x:c>
    </x:row>
    <x:row r="555">
      <x:c r="A555" s="22" t="str">
        <x:v>2020-00086</x:v>
      </x:c>
      <x:c r="B555" s="22" t="str">
        <x:v>L2023-00053-1</x:v>
      </x:c>
      <x:c r="C555" s="22" t="str">
        <x:v>WORKS</x:v>
      </x:c>
      <x:c r="D555" s="25" t="str">
        <x:v>L2023-00053-1/Urgench VTC Bid Attachment Documents/Urgench VTC Bid Attachment Documents/Section 4.  Bill of Quantities(Not-Priced)/공내역서/VTC견적서/2 УПК(Practice and Education Building)/2-8 ТМ(Boiler &amp; Solar heating)/13433_vrmu.xls</x:v>
      </x:c>
      <x:c r="E555" s="22" t="str">
        <x:v>.xls</x:v>
      </x:c>
      <x:c r="F555" s="28" t="n">
        <x:v>86528</x:v>
      </x:c>
      <x:c r="G555" s="28" t="str">
        <x:v>07503448a7270dbdb8f63ef2ae2d8ee1d85bc1ce1b33df86927763a7c6a90f7c</x:v>
      </x:c>
      <x:c r="H555" s="28" t="n">
        <x:v>1</x:v>
      </x:c>
      <x:c r="I555" s="28" t="n">
        <x:v>1</x:v>
      </x:c>
      <x:c r="J555" s="28" t="n">
        <x:v>1</x:v>
      </x:c>
      <x:c r="K555" s="28" t="n">
        <x:v>175</x:v>
      </x:c>
      <x:c r="L555" s="28" t="n">
        <x:v>1</x:v>
      </x:c>
      <x:c r="M555" s="28" t="n">
        <x:v>0</x:v>
      </x:c>
      <x:c r="N555" s="22" t="str">
        <x:v>Лист1</x:v>
      </x:c>
      <x:c r="O555" s="22" t="str">
        <x:v>visible</x:v>
      </x:c>
      <x:c r="P555" s="22" t="n">
        <x:v>8</x:v>
      </x:c>
      <x:c r="Q555" s="40" t="n">
        <x:v>0.005714285714285714</x:v>
      </x:c>
      <x:c r="R555" s="25" t="str"/>
      <x:c r="S555" s="25" t="str">
        <x:v>B?</x:v>
      </x:c>
      <x:c r="T555" s="25" t="str">
        <x:v>자동 표 신호는 최종 A/B로 승격하지 않음</x:v>
      </x:c>
      <x:c r="U555" s="22" t="str">
        <x:v>2021-2025</x:v>
      </x:c>
    </x:row>
    <x:row r="556">
      <x:c r="A556" s="22" t="str">
        <x:v>2020-00086</x:v>
      </x:c>
      <x:c r="B556" s="22" t="str">
        <x:v>L2023-00053-1</x:v>
      </x:c>
      <x:c r="C556" s="22" t="str">
        <x:v>WORKS</x:v>
      </x:c>
      <x:c r="D556" s="25" t="str">
        <x:v>L2023-00053-1/Urgench VTC Bid Attachment Documents/Urgench VTC Bid Attachment Documents/Section 4.  Bill of Quantities(Not-Priced)/공내역서/VTC견적서/2 УПК(Practice and Education Building)/2-5 ЭО(Electric)/13593_vrmu.xls</x:v>
      </x:c>
      <x:c r="E556" s="22" t="str">
        <x:v>.xls</x:v>
      </x:c>
      <x:c r="F556" s="28" t="n">
        <x:v>88064</x:v>
      </x:c>
      <x:c r="G556" s="28" t="str">
        <x:v>939da5ac56da64a557c1ad8bd96b90cc057f9a01d7ed01a90287001de59cfd7e</x:v>
      </x:c>
      <x:c r="H556" s="28" t="n">
        <x:v>1</x:v>
      </x:c>
      <x:c r="I556" s="28" t="n">
        <x:v>1</x:v>
      </x:c>
      <x:c r="J556" s="28" t="n">
        <x:v>1</x:v>
      </x:c>
      <x:c r="K556" s="28" t="n">
        <x:v>140</x:v>
      </x:c>
      <x:c r="L556" s="28" t="n">
        <x:v>1</x:v>
      </x:c>
      <x:c r="M556" s="28" t="n">
        <x:v>0</x:v>
      </x:c>
      <x:c r="N556" s="22" t="str">
        <x:v>Лист1</x:v>
      </x:c>
      <x:c r="O556" s="22" t="str">
        <x:v>visible</x:v>
      </x:c>
      <x:c r="P556" s="22" t="n">
        <x:v>8</x:v>
      </x:c>
      <x:c r="Q556" s="40" t="n">
        <x:v>0.007142857142857143</x:v>
      </x:c>
      <x:c r="R556" s="25" t="str"/>
      <x:c r="S556" s="25" t="str">
        <x:v>B?</x:v>
      </x:c>
      <x:c r="T556" s="25" t="str">
        <x:v>자동 표 신호는 최종 A/B로 승격하지 않음</x:v>
      </x:c>
      <x:c r="U556" s="22" t="str">
        <x:v>2021-2025</x:v>
      </x:c>
    </x:row>
    <x:row r="557">
      <x:c r="A557" s="22" t="str">
        <x:v>2020-00086</x:v>
      </x:c>
      <x:c r="B557" s="22" t="str">
        <x:v>L2023-00053-1</x:v>
      </x:c>
      <x:c r="C557" s="22" t="str">
        <x:v>WORKS</x:v>
      </x:c>
      <x:c r="D557" s="25" t="str">
        <x:v>L2023-00053-1/Urgench VTC Bid Attachment Documents/Urgench VTC Bid Attachment Documents/Section 4.  Bill of Quantities(Not-Priced)/공내역서/VTC견적서/2 УПК(Practice and Education Building)/2-5 ЭО(Electric)/13593_vfor.xls</x:v>
      </x:c>
      <x:c r="E557" s="22" t="str">
        <x:v>.xls</x:v>
      </x:c>
      <x:c r="F557" s="28" t="n">
        <x:v>76288</x:v>
      </x:c>
      <x:c r="G557" s="28" t="str">
        <x:v>c30b8ac327c03590384c07e2e8f0356db3b6aa949e01439f1bd4eb1866809498</x:v>
      </x:c>
      <x:c r="H557" s="28" t="n">
        <x:v>1</x:v>
      </x:c>
      <x:c r="I557" s="28" t="n">
        <x:v>1</x:v>
      </x:c>
      <x:c r="J557" s="28" t="n">
        <x:v>0</x:v>
      </x:c>
      <x:c r="K557" s="28" t="n">
        <x:v>0</x:v>
      </x:c>
      <x:c r="L557" s="28" t="n">
        <x:v>0</x:v>
      </x:c>
      <x:c r="M557" s="28" t="n">
        <x:v>0</x:v>
      </x:c>
      <x:c r="N557" s="22" t="str"/>
      <x:c r="O557" s="22" t="str"/>
      <x:c r="P557" s="22" t="n">
        <x:v>0</x:v>
      </x:c>
      <x:c r="Q557" s="40" t="n">
        <x:v>0</x:v>
      </x:c>
      <x:c r="R557" s="25" t="str"/>
      <x:c r="S557" s="25" t="str">
        <x:v>BOQ_NAME_ONLY</x:v>
      </x:c>
      <x:c r="T557" s="25" t="str">
        <x:v>자동 표 신호는 최종 A/B로 승격하지 않음</x:v>
      </x:c>
      <x:c r="U557" s="22" t="str">
        <x:v>2021-2025</x:v>
      </x:c>
    </x:row>
    <x:row r="558">
      <x:c r="A558" s="22" t="str">
        <x:v>2020-00086</x:v>
      </x:c>
      <x:c r="B558" s="22" t="str">
        <x:v>L2023-00053-1</x:v>
      </x:c>
      <x:c r="C558" s="22" t="str">
        <x:v>WORKS</x:v>
      </x:c>
      <x:c r="D558" s="25" t="str">
        <x:v>L2023-00053-1/Urgench VTC Bid Attachment Documents/Urgench VTC Bid Attachment Documents/Section 4.  Bill of Quantities(Not-Priced)/공내역서/VTC견적서/2 УПК(Practice and Education Building)/2-5 ЭО(Electric)/bv13590.xls</x:v>
      </x:c>
      <x:c r="E558" s="22" t="str">
        <x:v>.xls</x:v>
      </x:c>
      <x:c r="F558" s="28" t="n">
        <x:v>165376</x:v>
      </x:c>
      <x:c r="G558" s="28" t="str">
        <x:v>66663efa81309957bad47d81b20bef6148a275bbbdc2760911baebfc3d44937b</x:v>
      </x:c>
      <x:c r="H558" s="28" t="n">
        <x:v>1</x:v>
      </x:c>
      <x:c r="I558" s="28" t="n">
        <x:v>1</x:v>
      </x:c>
      <x:c r="J558" s="28" t="n">
        <x:v>0</x:v>
      </x:c>
      <x:c r="K558" s="28" t="n">
        <x:v>0</x:v>
      </x:c>
      <x:c r="L558" s="28" t="n">
        <x:v>0</x:v>
      </x:c>
      <x:c r="M558" s="28" t="n">
        <x:v>0</x:v>
      </x:c>
      <x:c r="N558" s="22" t="str"/>
      <x:c r="O558" s="22" t="str"/>
      <x:c r="P558" s="22" t="n">
        <x:v>0</x:v>
      </x:c>
      <x:c r="Q558" s="40" t="n">
        <x:v>0</x:v>
      </x:c>
      <x:c r="R558" s="25" t="str"/>
      <x:c r="S558" s="25" t="str">
        <x:v>BOQ_NAME_ONLY</x:v>
      </x:c>
      <x:c r="T558" s="25" t="str">
        <x:v>자동 표 신호는 최종 A/B로 승격하지 않음</x:v>
      </x:c>
      <x:c r="U558" s="22" t="str">
        <x:v>2021-2025</x:v>
      </x:c>
    </x:row>
    <x:row r="559">
      <x:c r="A559" s="22" t="str">
        <x:v>2020-00086</x:v>
      </x:c>
      <x:c r="B559" s="22" t="str">
        <x:v>L2023-00053-1</x:v>
      </x:c>
      <x:c r="C559" s="22" t="str">
        <x:v>WORKS</x:v>
      </x:c>
      <x:c r="D559" s="25" t="str">
        <x:v>L2023-00053-1/Urgench VTC Bid Attachment Documents/Urgench VTC Bid Attachment Documents/Section 4.  Bill of Quantities(Not-Priced)/공내역서/VTC견적서/2 УПК(Practice and Education Building)/2-1 КЖ(Structure)/bv13010.xls</x:v>
      </x:c>
      <x:c r="E559" s="22" t="str">
        <x:v>.xls</x:v>
      </x:c>
      <x:c r="F559" s="28" t="n">
        <x:v>438784</x:v>
      </x:c>
      <x:c r="G559" s="28" t="str">
        <x:v>9a08a9249b066c02507c7d7b6711bbd0214f8d0d66dfa4d6052663da0fc7d2fe</x:v>
      </x:c>
      <x:c r="H559" s="28" t="n">
        <x:v>1</x:v>
      </x:c>
      <x:c r="I559" s="28" t="n">
        <x:v>1</x:v>
      </x:c>
      <x:c r="J559" s="28" t="n">
        <x:v>0</x:v>
      </x:c>
      <x:c r="K559" s="28" t="n">
        <x:v>0</x:v>
      </x:c>
      <x:c r="L559" s="28" t="n">
        <x:v>0</x:v>
      </x:c>
      <x:c r="M559" s="28" t="n">
        <x:v>0</x:v>
      </x:c>
      <x:c r="N559" s="22" t="str"/>
      <x:c r="O559" s="22" t="str"/>
      <x:c r="P559" s="22" t="n">
        <x:v>0</x:v>
      </x:c>
      <x:c r="Q559" s="40" t="n">
        <x:v>0</x:v>
      </x:c>
      <x:c r="R559" s="25" t="str"/>
      <x:c r="S559" s="25" t="str">
        <x:v>BOQ_NAME_ONLY</x:v>
      </x:c>
      <x:c r="T559" s="25" t="str">
        <x:v>자동 표 신호는 최종 A/B로 승격하지 않음</x:v>
      </x:c>
      <x:c r="U559" s="22" t="str">
        <x:v>2021-2025</x:v>
      </x:c>
    </x:row>
    <x:row r="560">
      <x:c r="A560" s="22" t="str">
        <x:v>2020-00086</x:v>
      </x:c>
      <x:c r="B560" s="22" t="str">
        <x:v>L2023-00053-1</x:v>
      </x:c>
      <x:c r="C560" s="22" t="str">
        <x:v>WORKS</x:v>
      </x:c>
      <x:c r="D560" s="25" t="str">
        <x:v>L2023-00053-1/Urgench VTC Bid Attachment Documents/Urgench VTC Bid Attachment Documents/Section 4.  Bill of Quantities(Not-Priced)/공내역서/VTC견적서/2 УПК(Practice and Education Building)/2-1 КЖ(Structure)/13013_vfor.xls</x:v>
      </x:c>
      <x:c r="E560" s="22" t="str">
        <x:v>.xls</x:v>
      </x:c>
      <x:c r="F560" s="28" t="n">
        <x:v>90112</x:v>
      </x:c>
      <x:c r="G560" s="28" t="str">
        <x:v>eb125c00f27b73c161614158902fe9f7296eb1d8eee1c3f3da800522e1d82334</x:v>
      </x:c>
      <x:c r="H560" s="28" t="n">
        <x:v>1</x:v>
      </x:c>
      <x:c r="I560" s="28" t="n">
        <x:v>1</x:v>
      </x:c>
      <x:c r="J560" s="28" t="n">
        <x:v>0</x:v>
      </x:c>
      <x:c r="K560" s="28" t="n">
        <x:v>0</x:v>
      </x:c>
      <x:c r="L560" s="28" t="n">
        <x:v>0</x:v>
      </x:c>
      <x:c r="M560" s="28" t="n">
        <x:v>0</x:v>
      </x:c>
      <x:c r="N560" s="22" t="str"/>
      <x:c r="O560" s="22" t="str"/>
      <x:c r="P560" s="22" t="n">
        <x:v>0</x:v>
      </x:c>
      <x:c r="Q560" s="40" t="n">
        <x:v>0</x:v>
      </x:c>
      <x:c r="R560" s="25" t="str"/>
      <x:c r="S560" s="25" t="str">
        <x:v>BOQ_NAME_ONLY</x:v>
      </x:c>
      <x:c r="T560" s="25" t="str">
        <x:v>자동 표 신호는 최종 A/B로 승격하지 않음</x:v>
      </x:c>
      <x:c r="U560" s="22" t="str">
        <x:v>2021-2025</x:v>
      </x:c>
    </x:row>
    <x:row r="561">
      <x:c r="A561" s="22" t="str">
        <x:v>2020-00086</x:v>
      </x:c>
      <x:c r="B561" s="22" t="str">
        <x:v>L2023-00053-1</x:v>
      </x:c>
      <x:c r="C561" s="22" t="str">
        <x:v>WORKS</x:v>
      </x:c>
      <x:c r="D561" s="25" t="str">
        <x:v>L2023-00053-1/Urgench VTC Bid Attachment Documents/Urgench VTC Bid Attachment Documents/Section 4.  Bill of Quantities(Not-Priced)/공내역서/VTC견적서/2 УПК(Practice and Education Building)/2-1 КЖ(Structure)/13013_vrmu.xls</x:v>
      </x:c>
      <x:c r="E561" s="22" t="str">
        <x:v>.xls</x:v>
      </x:c>
      <x:c r="F561" s="28" t="n">
        <x:v>78336</x:v>
      </x:c>
      <x:c r="G561" s="28" t="str">
        <x:v>894f30fba7d6ceffd13ac600a3933b3b9c6ef0d085d61f97bad1695d4a782097</x:v>
      </x:c>
      <x:c r="H561" s="28" t="n">
        <x:v>1</x:v>
      </x:c>
      <x:c r="I561" s="28" t="n">
        <x:v>1</x:v>
      </x:c>
      <x:c r="J561" s="28" t="n">
        <x:v>1</x:v>
      </x:c>
      <x:c r="K561" s="28" t="n">
        <x:v>151</x:v>
      </x:c>
      <x:c r="L561" s="28" t="n">
        <x:v>1</x:v>
      </x:c>
      <x:c r="M561" s="28" t="n">
        <x:v>0</x:v>
      </x:c>
      <x:c r="N561" s="22" t="str">
        <x:v>Лист1</x:v>
      </x:c>
      <x:c r="O561" s="22" t="str">
        <x:v>visible</x:v>
      </x:c>
      <x:c r="P561" s="22" t="n">
        <x:v>8</x:v>
      </x:c>
      <x:c r="Q561" s="40" t="n">
        <x:v>0.006622516556291391</x:v>
      </x:c>
      <x:c r="R561" s="25" t="str"/>
      <x:c r="S561" s="25" t="str">
        <x:v>B?</x:v>
      </x:c>
      <x:c r="T561" s="25" t="str">
        <x:v>자동 표 신호는 최종 A/B로 승격하지 않음</x:v>
      </x:c>
      <x:c r="U561" s="22" t="str">
        <x:v>2021-2025</x:v>
      </x:c>
    </x:row>
    <x:row r="562">
      <x:c r="A562" s="22" t="str">
        <x:v>2020-00086</x:v>
      </x:c>
      <x:c r="B562" s="22" t="str">
        <x:v>L2023-00053-1</x:v>
      </x:c>
      <x:c r="C562" s="22" t="str">
        <x:v>WORKS</x:v>
      </x:c>
      <x:c r="D562" s="25" t="str">
        <x:v>L2023-00053-1/Urgench VTC Bid Attachment Documents/Urgench VTC Bid Attachment Documents/Section 4.  Bill of Quantities(Not-Priced)/공내역서/VTC견적서/2 УПК(Practice and Education Building)/2-3 ОВ(Heating &amp; Ventilation)/bv13510.xls</x:v>
      </x:c>
      <x:c r="E562" s="22" t="str">
        <x:v>.xls</x:v>
      </x:c>
      <x:c r="F562" s="28" t="n">
        <x:v>450048</x:v>
      </x:c>
      <x:c r="G562" s="28" t="str">
        <x:v>f64d8d027c4f2b4232513b0b8605c8f8092aa552cac0b7ed425ff53f6db6908f</x:v>
      </x:c>
      <x:c r="H562" s="28" t="n">
        <x:v>1</x:v>
      </x:c>
      <x:c r="I562" s="28" t="n">
        <x:v>1</x:v>
      </x:c>
      <x:c r="J562" s="28" t="n">
        <x:v>0</x:v>
      </x:c>
      <x:c r="K562" s="28" t="n">
        <x:v>0</x:v>
      </x:c>
      <x:c r="L562" s="28" t="n">
        <x:v>0</x:v>
      </x:c>
      <x:c r="M562" s="28" t="n">
        <x:v>0</x:v>
      </x:c>
      <x:c r="N562" s="22" t="str"/>
      <x:c r="O562" s="22" t="str"/>
      <x:c r="P562" s="22" t="n">
        <x:v>0</x:v>
      </x:c>
      <x:c r="Q562" s="40" t="n">
        <x:v>0</x:v>
      </x:c>
      <x:c r="R562" s="25" t="str"/>
      <x:c r="S562" s="25" t="str">
        <x:v>BOQ_NAME_ONLY</x:v>
      </x:c>
      <x:c r="T562" s="25" t="str">
        <x:v>자동 표 신호는 최종 A/B로 승격하지 않음</x:v>
      </x:c>
      <x:c r="U562" s="22" t="str">
        <x:v>2021-2025</x:v>
      </x:c>
    </x:row>
    <x:row r="563">
      <x:c r="A563" s="22" t="str">
        <x:v>2020-00086</x:v>
      </x:c>
      <x:c r="B563" s="22" t="str">
        <x:v>L2023-00053-1</x:v>
      </x:c>
      <x:c r="C563" s="22" t="str">
        <x:v>WORKS</x:v>
      </x:c>
      <x:c r="D563" s="25" t="str">
        <x:v>L2023-00053-1/Urgench VTC Bid Attachment Documents/Urgench VTC Bid Attachment Documents/Section 4.  Bill of Quantities(Not-Priced)/공내역서/VTC견적서/2 УПК(Practice and Education Building)/2-3 ОВ(Heating &amp; Ventilation)/13513_vfor.xls</x:v>
      </x:c>
      <x:c r="E563" s="22" t="str">
        <x:v>.xls</x:v>
      </x:c>
      <x:c r="F563" s="28" t="n">
        <x:v>99840</x:v>
      </x:c>
      <x:c r="G563" s="28" t="str">
        <x:v>12c5ca43305042fecde990e14ec0489f64e6a5bfb76e9a69fab76bb26799d793</x:v>
      </x:c>
      <x:c r="H563" s="28" t="n">
        <x:v>1</x:v>
      </x:c>
      <x:c r="I563" s="28" t="n">
        <x:v>1</x:v>
      </x:c>
      <x:c r="J563" s="28" t="n">
        <x:v>0</x:v>
      </x:c>
      <x:c r="K563" s="28" t="n">
        <x:v>0</x:v>
      </x:c>
      <x:c r="L563" s="28" t="n">
        <x:v>0</x:v>
      </x:c>
      <x:c r="M563" s="28" t="n">
        <x:v>0</x:v>
      </x:c>
      <x:c r="N563" s="22" t="str"/>
      <x:c r="O563" s="22" t="str"/>
      <x:c r="P563" s="22" t="n">
        <x:v>0</x:v>
      </x:c>
      <x:c r="Q563" s="40" t="n">
        <x:v>0</x:v>
      </x:c>
      <x:c r="R563" s="25" t="str"/>
      <x:c r="S563" s="25" t="str">
        <x:v>BOQ_NAME_ONLY</x:v>
      </x:c>
      <x:c r="T563" s="25" t="str">
        <x:v>자동 표 신호는 최종 A/B로 승격하지 않음</x:v>
      </x:c>
      <x:c r="U563" s="22" t="str">
        <x:v>2021-2025</x:v>
      </x:c>
    </x:row>
    <x:row r="564">
      <x:c r="A564" s="22" t="str">
        <x:v>2020-00086</x:v>
      </x:c>
      <x:c r="B564" s="22" t="str">
        <x:v>L2023-00053-1</x:v>
      </x:c>
      <x:c r="C564" s="22" t="str">
        <x:v>WORKS</x:v>
      </x:c>
      <x:c r="D564" s="25" t="str">
        <x:v>L2023-00053-1/Urgench VTC Bid Attachment Documents/Urgench VTC Bid Attachment Documents/Section 4.  Bill of Quantities(Not-Priced)/공내역서/VTC견적서/2 УПК(Practice and Education Building)/2-3 ОВ(Heating &amp; Ventilation)/13513_vrmu.xls</x:v>
      </x:c>
      <x:c r="E564" s="22" t="str">
        <x:v>.xls</x:v>
      </x:c>
      <x:c r="F564" s="28" t="n">
        <x:v>100352</x:v>
      </x:c>
      <x:c r="G564" s="28" t="str">
        <x:v>c598552db7e0e86089126d4ffff68c3be6e09016d43faddb5648dc76758c1996</x:v>
      </x:c>
      <x:c r="H564" s="28" t="n">
        <x:v>1</x:v>
      </x:c>
      <x:c r="I564" s="28" t="n">
        <x:v>1</x:v>
      </x:c>
      <x:c r="J564" s="28" t="n">
        <x:v>1</x:v>
      </x:c>
      <x:c r="K564" s="28" t="n">
        <x:v>228</x:v>
      </x:c>
      <x:c r="L564" s="28" t="n">
        <x:v>1</x:v>
      </x:c>
      <x:c r="M564" s="28" t="n">
        <x:v>0</x:v>
      </x:c>
      <x:c r="N564" s="22" t="str">
        <x:v>Лист1</x:v>
      </x:c>
      <x:c r="O564" s="22" t="str">
        <x:v>visible</x:v>
      </x:c>
      <x:c r="P564" s="22" t="n">
        <x:v>8</x:v>
      </x:c>
      <x:c r="Q564" s="40" t="n">
        <x:v>0.0043859649122807015</x:v>
      </x:c>
      <x:c r="R564" s="25" t="str"/>
      <x:c r="S564" s="25" t="str">
        <x:v>B?</x:v>
      </x:c>
      <x:c r="T564" s="25" t="str">
        <x:v>자동 표 신호는 최종 A/B로 승격하지 않음</x:v>
      </x:c>
      <x:c r="U564" s="22" t="str">
        <x:v>2021-2025</x:v>
      </x:c>
    </x:row>
    <x:row r="565">
      <x:c r="A565" s="22" t="str">
        <x:v>2020-00086</x:v>
      </x:c>
      <x:c r="B565" s="22" t="str">
        <x:v>L2023-00053-1</x:v>
      </x:c>
      <x:c r="C565" s="22" t="str">
        <x:v>WORKS</x:v>
      </x:c>
      <x:c r="D565" s="25" t="str">
        <x:v>L2023-00053-1/Urgench VTC Bid Attachment Documents/Urgench VTC Bid Attachment Documents/Section 4.  Bill of Quantities(Not-Priced)/공내역서/VTC견적서/2 УПК(Practice and Education Building)/2-4 ВК(Water &amp; Sewer &amp; Fireplug)/13123_vrmu.xls</x:v>
      </x:c>
      <x:c r="E565" s="22" t="str">
        <x:v>.xls</x:v>
      </x:c>
      <x:c r="F565" s="28" t="n">
        <x:v>88576</x:v>
      </x:c>
      <x:c r="G565" s="28" t="str">
        <x:v>355c8ae16063462d4e7d9dacb0087baa7fe1d5550fffd04313e146fe418e2cc7</x:v>
      </x:c>
      <x:c r="H565" s="28" t="n">
        <x:v>1</x:v>
      </x:c>
      <x:c r="I565" s="28" t="n">
        <x:v>1</x:v>
      </x:c>
      <x:c r="J565" s="28" t="n">
        <x:v>1</x:v>
      </x:c>
      <x:c r="K565" s="28" t="n">
        <x:v>198</x:v>
      </x:c>
      <x:c r="L565" s="28" t="n">
        <x:v>1</x:v>
      </x:c>
      <x:c r="M565" s="28" t="n">
        <x:v>0</x:v>
      </x:c>
      <x:c r="N565" s="22" t="str">
        <x:v>Лист1</x:v>
      </x:c>
      <x:c r="O565" s="22" t="str">
        <x:v>visible</x:v>
      </x:c>
      <x:c r="P565" s="22" t="n">
        <x:v>8</x:v>
      </x:c>
      <x:c r="Q565" s="40" t="n">
        <x:v>0.005050505050505051</x:v>
      </x:c>
      <x:c r="R565" s="25" t="str"/>
      <x:c r="S565" s="25" t="str">
        <x:v>B?</x:v>
      </x:c>
      <x:c r="T565" s="25" t="str">
        <x:v>자동 표 신호는 최종 A/B로 승격하지 않음</x:v>
      </x:c>
      <x:c r="U565" s="22" t="str">
        <x:v>2021-2025</x:v>
      </x:c>
    </x:row>
    <x:row r="566">
      <x:c r="A566" s="22" t="str">
        <x:v>2020-00086</x:v>
      </x:c>
      <x:c r="B566" s="22" t="str">
        <x:v>L2023-00053-1</x:v>
      </x:c>
      <x:c r="C566" s="22" t="str">
        <x:v>WORKS</x:v>
      </x:c>
      <x:c r="D566" s="25" t="str">
        <x:v>L2023-00053-1/Urgench VTC Bid Attachment Documents/Urgench VTC Bid Attachment Documents/Section 4.  Bill of Quantities(Not-Priced)/공내역서/VTC견적서/2 УПК(Practice and Education Building)/2-4 ВК(Water &amp; Sewer &amp; Fireplug)/13123_vfor.xls</x:v>
      </x:c>
      <x:c r="E566" s="22" t="str">
        <x:v>.xls</x:v>
      </x:c>
      <x:c r="F566" s="28" t="n">
        <x:v>59904</x:v>
      </x:c>
      <x:c r="G566" s="28" t="str">
        <x:v>a7d4c30f7d188cff8e06d5929b7943ca6001dd6edf34d708f09e06ff60bad3a9</x:v>
      </x:c>
      <x:c r="H566" s="28" t="n">
        <x:v>1</x:v>
      </x:c>
      <x:c r="I566" s="28" t="n">
        <x:v>1</x:v>
      </x:c>
      <x:c r="J566" s="28" t="n">
        <x:v>0</x:v>
      </x:c>
      <x:c r="K566" s="28" t="n">
        <x:v>0</x:v>
      </x:c>
      <x:c r="L566" s="28" t="n">
        <x:v>0</x:v>
      </x:c>
      <x:c r="M566" s="28" t="n">
        <x:v>0</x:v>
      </x:c>
      <x:c r="N566" s="22" t="str"/>
      <x:c r="O566" s="22" t="str"/>
      <x:c r="P566" s="22" t="n">
        <x:v>0</x:v>
      </x:c>
      <x:c r="Q566" s="40" t="n">
        <x:v>0</x:v>
      </x:c>
      <x:c r="R566" s="25" t="str"/>
      <x:c r="S566" s="25" t="str">
        <x:v>BOQ_NAME_ONLY</x:v>
      </x:c>
      <x:c r="T566" s="25" t="str">
        <x:v>자동 표 신호는 최종 A/B로 승격하지 않음</x:v>
      </x:c>
      <x:c r="U566" s="22" t="str">
        <x:v>2021-2025</x:v>
      </x:c>
    </x:row>
    <x:row r="567">
      <x:c r="A567" s="22" t="str">
        <x:v>2020-00086</x:v>
      </x:c>
      <x:c r="B567" s="22" t="str">
        <x:v>L2023-00053-1</x:v>
      </x:c>
      <x:c r="C567" s="22" t="str">
        <x:v>WORKS</x:v>
      </x:c>
      <x:c r="D567" s="25" t="str">
        <x:v>L2023-00053-1/Urgench VTC Bid Attachment Documents/Urgench VTC Bid Attachment Documents/Section 4.  Bill of Quantities(Not-Priced)/공내역서/VTC견적서/2 УПК(Practice and Education Building)/2-4 ВК(Water &amp; Sewer &amp; Fireplug)/bv13120.xls</x:v>
      </x:c>
      <x:c r="E567" s="22" t="str">
        <x:v>.xls</x:v>
      </x:c>
      <x:c r="F567" s="28" t="n">
        <x:v>172032</x:v>
      </x:c>
      <x:c r="G567" s="28" t="str">
        <x:v>3e907a310c004ae321d7eebac0f5fce2c118ec91ebfb9514f3a8a5c68894b05c</x:v>
      </x:c>
      <x:c r="H567" s="28" t="n">
        <x:v>1</x:v>
      </x:c>
      <x:c r="I567" s="28" t="n">
        <x:v>1</x:v>
      </x:c>
      <x:c r="J567" s="28" t="n">
        <x:v>0</x:v>
      </x:c>
      <x:c r="K567" s="28" t="n">
        <x:v>0</x:v>
      </x:c>
      <x:c r="L567" s="28" t="n">
        <x:v>0</x:v>
      </x:c>
      <x:c r="M567" s="28" t="n">
        <x:v>0</x:v>
      </x:c>
      <x:c r="N567" s="22" t="str"/>
      <x:c r="O567" s="22" t="str"/>
      <x:c r="P567" s="22" t="n">
        <x:v>0</x:v>
      </x:c>
      <x:c r="Q567" s="40" t="n">
        <x:v>0</x:v>
      </x:c>
      <x:c r="R567" s="25" t="str"/>
      <x:c r="S567" s="25" t="str">
        <x:v>BOQ_NAME_ONLY</x:v>
      </x:c>
      <x:c r="T567" s="25" t="str">
        <x:v>자동 표 신호는 최종 A/B로 승격하지 않음</x:v>
      </x:c>
      <x:c r="U567" s="22" t="str">
        <x:v>2021-2025</x:v>
      </x:c>
    </x:row>
    <x:row r="568">
      <x:c r="A568" s="22" t="str">
        <x:v>2020-00086</x:v>
      </x:c>
      <x:c r="B568" s="22" t="str">
        <x:v>L2023-00053-1</x:v>
      </x:c>
      <x:c r="C568" s="22" t="str">
        <x:v>WORKS</x:v>
      </x:c>
      <x:c r="D568" s="25" t="str">
        <x:v>L2023-00053-1/Urgench VTC Bid Attachment Documents/Urgench VTC Bid Attachment Documents/Section 4.  Bill of Quantities(Not-Priced)/공내역서/VTC견적서/2 УПК(Practice and Education Building)/2-7 ВН, СКС(CCTV &amp; Network)/13283_vrmu.xls</x:v>
      </x:c>
      <x:c r="E568" s="22" t="str">
        <x:v>.xls</x:v>
      </x:c>
      <x:c r="F568" s="28" t="n">
        <x:v>67072</x:v>
      </x:c>
      <x:c r="G568" s="28" t="str">
        <x:v>b6846cb5505886d26e2d8e4507951919d190aa8d9ba9fa7ba7df632cb03e888d</x:v>
      </x:c>
      <x:c r="H568" s="28" t="n">
        <x:v>1</x:v>
      </x:c>
      <x:c r="I568" s="28" t="n">
        <x:v>1</x:v>
      </x:c>
      <x:c r="J568" s="28" t="n">
        <x:v>1</x:v>
      </x:c>
      <x:c r="K568" s="28" t="n">
        <x:v>121</x:v>
      </x:c>
      <x:c r="L568" s="28" t="n">
        <x:v>1</x:v>
      </x:c>
      <x:c r="M568" s="28" t="n">
        <x:v>0</x:v>
      </x:c>
      <x:c r="N568" s="22" t="str">
        <x:v>Лист1</x:v>
      </x:c>
      <x:c r="O568" s="22" t="str">
        <x:v>visible</x:v>
      </x:c>
      <x:c r="P568" s="22" t="n">
        <x:v>8</x:v>
      </x:c>
      <x:c r="Q568" s="40" t="n">
        <x:v>0.008264462809917356</x:v>
      </x:c>
      <x:c r="R568" s="25" t="str"/>
      <x:c r="S568" s="25" t="str">
        <x:v>B?</x:v>
      </x:c>
      <x:c r="T568" s="25" t="str">
        <x:v>자동 표 신호는 최종 A/B로 승격하지 않음</x:v>
      </x:c>
      <x:c r="U568" s="22" t="str">
        <x:v>2021-2025</x:v>
      </x:c>
    </x:row>
    <x:row r="569">
      <x:c r="A569" s="22" t="str">
        <x:v>2020-00086</x:v>
      </x:c>
      <x:c r="B569" s="22" t="str">
        <x:v>L2023-00053-1</x:v>
      </x:c>
      <x:c r="C569" s="22" t="str">
        <x:v>WORKS</x:v>
      </x:c>
      <x:c r="D569" s="25" t="str">
        <x:v>L2023-00053-1/Urgench VTC Bid Attachment Documents/Urgench VTC Bid Attachment Documents/Section 4.  Bill of Quantities(Not-Priced)/공내역서/VTC견적서/2 УПК(Practice and Education Building)/2-7 ВН, СКС(CCTV &amp; Network)/13283_vfor.xls</x:v>
      </x:c>
      <x:c r="E569" s="22" t="str">
        <x:v>.xls</x:v>
      </x:c>
      <x:c r="F569" s="28" t="n">
        <x:v>47104</x:v>
      </x:c>
      <x:c r="G569" s="28" t="str">
        <x:v>db6c3cc502fbc8f749a5c19609ddf016fd8932c4cc11020c6bd9ee1e3229f05d</x:v>
      </x:c>
      <x:c r="H569" s="28" t="n">
        <x:v>1</x:v>
      </x:c>
      <x:c r="I569" s="28" t="n">
        <x:v>1</x:v>
      </x:c>
      <x:c r="J569" s="28" t="n">
        <x:v>0</x:v>
      </x:c>
      <x:c r="K569" s="28" t="n">
        <x:v>0</x:v>
      </x:c>
      <x:c r="L569" s="28" t="n">
        <x:v>0</x:v>
      </x:c>
      <x:c r="M569" s="28" t="n">
        <x:v>0</x:v>
      </x:c>
      <x:c r="N569" s="22" t="str"/>
      <x:c r="O569" s="22" t="str"/>
      <x:c r="P569" s="22" t="n">
        <x:v>0</x:v>
      </x:c>
      <x:c r="Q569" s="40" t="n">
        <x:v>0</x:v>
      </x:c>
      <x:c r="R569" s="25" t="str"/>
      <x:c r="S569" s="25" t="str">
        <x:v>BOQ_NAME_ONLY</x:v>
      </x:c>
      <x:c r="T569" s="25" t="str">
        <x:v>자동 표 신호는 최종 A/B로 승격하지 않음</x:v>
      </x:c>
      <x:c r="U569" s="22" t="str">
        <x:v>2021-2025</x:v>
      </x:c>
    </x:row>
    <x:row r="570">
      <x:c r="A570" s="22" t="str">
        <x:v>2020-00086</x:v>
      </x:c>
      <x:c r="B570" s="22" t="str">
        <x:v>L2023-00053-1</x:v>
      </x:c>
      <x:c r="C570" s="22" t="str">
        <x:v>WORKS</x:v>
      </x:c>
      <x:c r="D570" s="25" t="str">
        <x:v>L2023-00053-1/Urgench VTC Bid Attachment Documents/Urgench VTC Bid Attachment Documents/Section 4.  Bill of Quantities(Not-Priced)/공내역서/VTC견적서/2 УПК(Practice and Education Building)/2-7 ВН, СКС(CCTV &amp; Network)/bv13280.xls</x:v>
      </x:c>
      <x:c r="E570" s="22" t="str">
        <x:v>.xls</x:v>
      </x:c>
      <x:c r="F570" s="28" t="n">
        <x:v>108032</x:v>
      </x:c>
      <x:c r="G570" s="28" t="str">
        <x:v>6992044beb67c2e32411290725db35b2c64559310aff468a4b53db8d3f90312f</x:v>
      </x:c>
      <x:c r="H570" s="28" t="n">
        <x:v>1</x:v>
      </x:c>
      <x:c r="I570" s="28" t="n">
        <x:v>1</x:v>
      </x:c>
      <x:c r="J570" s="28" t="n">
        <x:v>0</x:v>
      </x:c>
      <x:c r="K570" s="28" t="n">
        <x:v>0</x:v>
      </x:c>
      <x:c r="L570" s="28" t="n">
        <x:v>0</x:v>
      </x:c>
      <x:c r="M570" s="28" t="n">
        <x:v>0</x:v>
      </x:c>
      <x:c r="N570" s="22" t="str"/>
      <x:c r="O570" s="22" t="str"/>
      <x:c r="P570" s="22" t="n">
        <x:v>0</x:v>
      </x:c>
      <x:c r="Q570" s="40" t="n">
        <x:v>0</x:v>
      </x:c>
      <x:c r="R570" s="25" t="str"/>
      <x:c r="S570" s="25" t="str">
        <x:v>BOQ_NAME_ONLY</x:v>
      </x:c>
      <x:c r="T570" s="25" t="str">
        <x:v>자동 표 신호는 최종 A/B로 승격하지 않음</x:v>
      </x:c>
      <x:c r="U570" s="22" t="str">
        <x:v>2021-2025</x:v>
      </x:c>
    </x:row>
    <x:row r="571">
      <x:c r="A571" s="22" t="str">
        <x:v>2020-00086</x:v>
      </x:c>
      <x:c r="B571" s="22" t="str">
        <x:v>L2023-00053-1</x:v>
      </x:c>
      <x:c r="C571" s="22" t="str">
        <x:v>WORKS</x:v>
      </x:c>
      <x:c r="D571" s="25" t="str">
        <x:v>L2023-00053-1/Urgench VTC Bid Attachment Documents/Urgench VTC Bid Attachment Documents/Section 4.  Bill of Quantities(Not-Priced)/공내역서/VTC견적서/2 УПК(Practice and Education Building)/2-2 АР(Architecture)/bv13180.xls</x:v>
      </x:c>
      <x:c r="E571" s="22" t="str">
        <x:v>.xls</x:v>
      </x:c>
      <x:c r="F571" s="28" t="n">
        <x:v>216064</x:v>
      </x:c>
      <x:c r="G571" s="28" t="str">
        <x:v>0a4453a2cbcb0fb035d5a2ee0e7a231433a198a6bc5351d8192be15d300f39db</x:v>
      </x:c>
      <x:c r="H571" s="28" t="n">
        <x:v>1</x:v>
      </x:c>
      <x:c r="I571" s="28" t="n">
        <x:v>1</x:v>
      </x:c>
      <x:c r="J571" s="28" t="n">
        <x:v>0</x:v>
      </x:c>
      <x:c r="K571" s="28" t="n">
        <x:v>0</x:v>
      </x:c>
      <x:c r="L571" s="28" t="n">
        <x:v>0</x:v>
      </x:c>
      <x:c r="M571" s="28" t="n">
        <x:v>0</x:v>
      </x:c>
      <x:c r="N571" s="22" t="str"/>
      <x:c r="O571" s="22" t="str"/>
      <x:c r="P571" s="22" t="n">
        <x:v>0</x:v>
      </x:c>
      <x:c r="Q571" s="40" t="n">
        <x:v>0</x:v>
      </x:c>
      <x:c r="R571" s="25" t="str"/>
      <x:c r="S571" s="25" t="str">
        <x:v>BOQ_NAME_ONLY</x:v>
      </x:c>
      <x:c r="T571" s="25" t="str">
        <x:v>자동 표 신호는 최종 A/B로 승격하지 않음</x:v>
      </x:c>
      <x:c r="U571" s="22" t="str">
        <x:v>2021-2025</x:v>
      </x:c>
    </x:row>
    <x:row r="572">
      <x:c r="A572" s="22" t="str">
        <x:v>2020-00086</x:v>
      </x:c>
      <x:c r="B572" s="22" t="str">
        <x:v>L2023-00053-1</x:v>
      </x:c>
      <x:c r="C572" s="22" t="str">
        <x:v>WORKS</x:v>
      </x:c>
      <x:c r="D572" s="25" t="str">
        <x:v>L2023-00053-1/Urgench VTC Bid Attachment Documents/Urgench VTC Bid Attachment Documents/Section 4.  Bill of Quantities(Not-Priced)/공내역서/VTC견적서/2 УПК(Practice and Education Building)/2-2 АР(Architecture)/13183_vfor.xls</x:v>
      </x:c>
      <x:c r="E572" s="22" t="str">
        <x:v>.xls</x:v>
      </x:c>
      <x:c r="F572" s="28" t="n">
        <x:v>57344</x:v>
      </x:c>
      <x:c r="G572" s="28" t="str">
        <x:v>ced6d9cc5f0dc47f2fbaa02466c757851c746ad533d0b2a7e89d6670c94b95f5</x:v>
      </x:c>
      <x:c r="H572" s="28" t="n">
        <x:v>1</x:v>
      </x:c>
      <x:c r="I572" s="28" t="n">
        <x:v>1</x:v>
      </x:c>
      <x:c r="J572" s="28" t="n">
        <x:v>0</x:v>
      </x:c>
      <x:c r="K572" s="28" t="n">
        <x:v>0</x:v>
      </x:c>
      <x:c r="L572" s="28" t="n">
        <x:v>0</x:v>
      </x:c>
      <x:c r="M572" s="28" t="n">
        <x:v>0</x:v>
      </x:c>
      <x:c r="N572" s="22" t="str"/>
      <x:c r="O572" s="22" t="str"/>
      <x:c r="P572" s="22" t="n">
        <x:v>0</x:v>
      </x:c>
      <x:c r="Q572" s="40" t="n">
        <x:v>0</x:v>
      </x:c>
      <x:c r="R572" s="25" t="str"/>
      <x:c r="S572" s="25" t="str">
        <x:v>BOQ_NAME_ONLY</x:v>
      </x:c>
      <x:c r="T572" s="25" t="str">
        <x:v>자동 표 신호는 최종 A/B로 승격하지 않음</x:v>
      </x:c>
      <x:c r="U572" s="22" t="str">
        <x:v>2021-2025</x:v>
      </x:c>
    </x:row>
    <x:row r="573">
      <x:c r="A573" s="22" t="str">
        <x:v>2020-00086</x:v>
      </x:c>
      <x:c r="B573" s="22" t="str">
        <x:v>L2023-00053-1</x:v>
      </x:c>
      <x:c r="C573" s="22" t="str">
        <x:v>WORKS</x:v>
      </x:c>
      <x:c r="D573" s="25" t="str">
        <x:v>L2023-00053-1/Urgench VTC Bid Attachment Documents/Urgench VTC Bid Attachment Documents/Section 4.  Bill of Quantities(Not-Priced)/공내역서/VTC견적서/2 УПК(Practice and Education Building)/2-2 АР(Architecture)/13183_vrmu.xls</x:v>
      </x:c>
      <x:c r="E573" s="22" t="str">
        <x:v>.xls</x:v>
      </x:c>
      <x:c r="F573" s="28" t="n">
        <x:v>82432</x:v>
      </x:c>
      <x:c r="G573" s="28" t="str">
        <x:v>d785547f100119bf8fe99b2cf9a925055b4fd0715cf243dd3de72fa18b6a5902</x:v>
      </x:c>
      <x:c r="H573" s="28" t="n">
        <x:v>1</x:v>
      </x:c>
      <x:c r="I573" s="28" t="n">
        <x:v>1</x:v>
      </x:c>
      <x:c r="J573" s="28" t="n">
        <x:v>1</x:v>
      </x:c>
      <x:c r="K573" s="28" t="n">
        <x:v>189</x:v>
      </x:c>
      <x:c r="L573" s="28" t="n">
        <x:v>1</x:v>
      </x:c>
      <x:c r="M573" s="28" t="n">
        <x:v>0</x:v>
      </x:c>
      <x:c r="N573" s="22" t="str">
        <x:v>Лист1</x:v>
      </x:c>
      <x:c r="O573" s="22" t="str">
        <x:v>visible</x:v>
      </x:c>
      <x:c r="P573" s="22" t="n">
        <x:v>8</x:v>
      </x:c>
      <x:c r="Q573" s="40" t="n">
        <x:v>0.005291005291005291</x:v>
      </x:c>
      <x:c r="R573" s="25" t="str"/>
      <x:c r="S573" s="25" t="str">
        <x:v>B?</x:v>
      </x:c>
      <x:c r="T573" s="25" t="str">
        <x:v>자동 표 신호는 최종 A/B로 승격하지 않음</x:v>
      </x:c>
      <x:c r="U573" s="22" t="str">
        <x:v>2021-2025</x:v>
      </x:c>
    </x:row>
    <x:row r="574">
      <x:c r="A574" s="22" t="str">
        <x:v>2020-00086</x:v>
      </x:c>
      <x:c r="B574" s="22" t="str">
        <x:v>L2023-00053-1</x:v>
      </x:c>
      <x:c r="C574" s="22" t="str">
        <x:v>WORKS</x:v>
      </x:c>
      <x:c r="D574" s="25" t="str">
        <x:v>L2023-00053-1/Urgench VTC Bid Attachment Documents/Urgench VTC Bid Attachment Documents/Section 4.  Bill of Quantities(Not-Priced)/공내역서/VTC견적서/1 АДМИН ЗДАНИЕ(Admin. Build)/1-1 КЖ(Structure)/bv13060.xls</x:v>
      </x:c>
      <x:c r="E574" s="22" t="str">
        <x:v>.xls</x:v>
      </x:c>
      <x:c r="F574" s="28" t="n">
        <x:v>726528</x:v>
      </x:c>
      <x:c r="G574" s="28" t="str">
        <x:v>24109ba5131665957977d77e5eaf5651afc7be65b2c614927a1f2a469e3a4094</x:v>
      </x:c>
      <x:c r="H574" s="28" t="n">
        <x:v>1</x:v>
      </x:c>
      <x:c r="I574" s="28" t="n">
        <x:v>1</x:v>
      </x:c>
      <x:c r="J574" s="28" t="n">
        <x:v>0</x:v>
      </x:c>
      <x:c r="K574" s="28" t="n">
        <x:v>0</x:v>
      </x:c>
      <x:c r="L574" s="28" t="n">
        <x:v>0</x:v>
      </x:c>
      <x:c r="M574" s="28" t="n">
        <x:v>0</x:v>
      </x:c>
      <x:c r="N574" s="22" t="str"/>
      <x:c r="O574" s="22" t="str"/>
      <x:c r="P574" s="22" t="n">
        <x:v>0</x:v>
      </x:c>
      <x:c r="Q574" s="40" t="n">
        <x:v>0</x:v>
      </x:c>
      <x:c r="R574" s="25" t="str"/>
      <x:c r="S574" s="25" t="str">
        <x:v>BOQ_NAME_ONLY</x:v>
      </x:c>
      <x:c r="T574" s="25" t="str">
        <x:v>자동 표 신호는 최종 A/B로 승격하지 않음</x:v>
      </x:c>
      <x:c r="U574" s="22" t="str">
        <x:v>2021-2025</x:v>
      </x:c>
    </x:row>
    <x:row r="575">
      <x:c r="A575" s="22" t="str">
        <x:v>2020-00086</x:v>
      </x:c>
      <x:c r="B575" s="22" t="str">
        <x:v>L2023-00053-1</x:v>
      </x:c>
      <x:c r="C575" s="22" t="str">
        <x:v>WORKS</x:v>
      </x:c>
      <x:c r="D575" s="25" t="str">
        <x:v>L2023-00053-1/Urgench VTC Bid Attachment Documents/Urgench VTC Bid Attachment Documents/Section 4.  Bill of Quantities(Not-Priced)/공내역서/VTC견적서/1 АДМИН ЗДАНИЕ(Admin. Build)/1-1 КЖ(Structure)/13063_vrmu.xls</x:v>
      </x:c>
      <x:c r="E575" s="22" t="str">
        <x:v>.xls</x:v>
      </x:c>
      <x:c r="F575" s="28" t="n">
        <x:v>79360</x:v>
      </x:c>
      <x:c r="G575" s="28" t="str">
        <x:v>97ca88b1db2e39ab8d470cd74e64acd38eb9c5888d5f78c83da36d324fa0e727</x:v>
      </x:c>
      <x:c r="H575" s="28" t="n">
        <x:v>1</x:v>
      </x:c>
      <x:c r="I575" s="28" t="n">
        <x:v>1</x:v>
      </x:c>
      <x:c r="J575" s="28" t="n">
        <x:v>1</x:v>
      </x:c>
      <x:c r="K575" s="28" t="n">
        <x:v>163</x:v>
      </x:c>
      <x:c r="L575" s="28" t="n">
        <x:v>1</x:v>
      </x:c>
      <x:c r="M575" s="28" t="n">
        <x:v>0</x:v>
      </x:c>
      <x:c r="N575" s="22" t="str">
        <x:v>Лист1</x:v>
      </x:c>
      <x:c r="O575" s="22" t="str">
        <x:v>visible</x:v>
      </x:c>
      <x:c r="P575" s="22" t="n">
        <x:v>8</x:v>
      </x:c>
      <x:c r="Q575" s="40" t="n">
        <x:v>0.006134969325153374</x:v>
      </x:c>
      <x:c r="R575" s="25" t="str"/>
      <x:c r="S575" s="25" t="str">
        <x:v>B?</x:v>
      </x:c>
      <x:c r="T575" s="25" t="str">
        <x:v>자동 표 신호는 최종 A/B로 승격하지 않음</x:v>
      </x:c>
      <x:c r="U575" s="22" t="str">
        <x:v>2021-2025</x:v>
      </x:c>
    </x:row>
    <x:row r="576">
      <x:c r="A576" s="22" t="str">
        <x:v>2020-00086</x:v>
      </x:c>
      <x:c r="B576" s="22" t="str">
        <x:v>L2023-00053-1</x:v>
      </x:c>
      <x:c r="C576" s="22" t="str">
        <x:v>WORKS</x:v>
      </x:c>
      <x:c r="D576" s="25" t="str">
        <x:v>L2023-00053-1/Urgench VTC Bid Attachment Documents/Urgench VTC Bid Attachment Documents/Section 4.  Bill of Quantities(Not-Priced)/공내역서/VTC견적서/1 АДМИН ЗДАНИЕ(Admin. Build)/1-1 КЖ(Structure)/13063_vfor.xls</x:v>
      </x:c>
      <x:c r="E576" s="22" t="str">
        <x:v>.xls</x:v>
      </x:c>
      <x:c r="F576" s="28" t="n">
        <x:v>118272</x:v>
      </x:c>
      <x:c r="G576" s="28" t="str">
        <x:v>722aad89cd38a9a05303abe12485831eca2450747711346f1c22d77bdb78f05b</x:v>
      </x:c>
      <x:c r="H576" s="28" t="n">
        <x:v>1</x:v>
      </x:c>
      <x:c r="I576" s="28" t="n">
        <x:v>1</x:v>
      </x:c>
      <x:c r="J576" s="28" t="n">
        <x:v>0</x:v>
      </x:c>
      <x:c r="K576" s="28" t="n">
        <x:v>0</x:v>
      </x:c>
      <x:c r="L576" s="28" t="n">
        <x:v>0</x:v>
      </x:c>
      <x:c r="M576" s="28" t="n">
        <x:v>0</x:v>
      </x:c>
      <x:c r="N576" s="22" t="str"/>
      <x:c r="O576" s="22" t="str"/>
      <x:c r="P576" s="22" t="n">
        <x:v>0</x:v>
      </x:c>
      <x:c r="Q576" s="40" t="n">
        <x:v>0</x:v>
      </x:c>
      <x:c r="R576" s="25" t="str"/>
      <x:c r="S576" s="25" t="str">
        <x:v>BOQ_NAME_ONLY</x:v>
      </x:c>
      <x:c r="T576" s="25" t="str">
        <x:v>자동 표 신호는 최종 A/B로 승격하지 않음</x:v>
      </x:c>
      <x:c r="U576" s="22" t="str">
        <x:v>2021-2025</x:v>
      </x:c>
    </x:row>
    <x:row r="577">
      <x:c r="A577" s="22" t="str">
        <x:v>2020-00086</x:v>
      </x:c>
      <x:c r="B577" s="22" t="str">
        <x:v>L2023-00053-1</x:v>
      </x:c>
      <x:c r="C577" s="22" t="str">
        <x:v>WORKS</x:v>
      </x:c>
      <x:c r="D577" s="25" t="str">
        <x:v>L2023-00053-1/Urgench VTC Bid Attachment Documents/Urgench VTC Bid Attachment Documents/Section 4.  Bill of Quantities(Not-Priced)/공내역서/VTC견적서/1 АДМИН ЗДАНИЕ(Admin. Build)/1-5 ЭО(Electric)/13493_vrmu.xls</x:v>
      </x:c>
      <x:c r="E577" s="22" t="str">
        <x:v>.xls</x:v>
      </x:c>
      <x:c r="F577" s="28" t="n">
        <x:v>95744</x:v>
      </x:c>
      <x:c r="G577" s="28" t="str">
        <x:v>ebe77e774131a081d32956fc8861c1d8f742a8828afd9bed0fd71db438f6f165</x:v>
      </x:c>
      <x:c r="H577" s="28" t="n">
        <x:v>1</x:v>
      </x:c>
      <x:c r="I577" s="28" t="n">
        <x:v>1</x:v>
      </x:c>
      <x:c r="J577" s="28" t="n">
        <x:v>0</x:v>
      </x:c>
      <x:c r="K577" s="28" t="n">
        <x:v>0</x:v>
      </x:c>
      <x:c r="L577" s="28" t="n">
        <x:v>0</x:v>
      </x:c>
      <x:c r="M577" s="28" t="n">
        <x:v>0</x:v>
      </x:c>
      <x:c r="N577" s="22" t="str"/>
      <x:c r="O577" s="22" t="str"/>
      <x:c r="P577" s="22" t="n">
        <x:v>0</x:v>
      </x:c>
      <x:c r="Q577" s="40" t="n">
        <x:v>0</x:v>
      </x:c>
      <x:c r="R577" s="25" t="str"/>
      <x:c r="S577" s="25" t="str">
        <x:v>BOQ_NAME_ONLY</x:v>
      </x:c>
      <x:c r="T577" s="25" t="str">
        <x:v>자동 표 신호는 최종 A/B로 승격하지 않음</x:v>
      </x:c>
      <x:c r="U577" s="22" t="str">
        <x:v>2021-2025</x:v>
      </x:c>
    </x:row>
    <x:row r="578">
      <x:c r="A578" s="22" t="str">
        <x:v>2020-00086</x:v>
      </x:c>
      <x:c r="B578" s="22" t="str">
        <x:v>L2023-00053-1</x:v>
      </x:c>
      <x:c r="C578" s="22" t="str">
        <x:v>WORKS</x:v>
      </x:c>
      <x:c r="D578" s="25" t="str">
        <x:v>L2023-00053-1/Urgench VTC Bid Attachment Documents/Urgench VTC Bid Attachment Documents/Section 4.  Bill of Quantities(Not-Priced)/공내역서/VTC견적서/1 АДМИН ЗДАНИЕ(Admin. Build)/1-5 ЭО(Electric)/bv13490.xls</x:v>
      </x:c>
      <x:c r="E578" s="22" t="str">
        <x:v>.xls</x:v>
      </x:c>
      <x:c r="F578" s="28" t="n">
        <x:v>158720</x:v>
      </x:c>
      <x:c r="G578" s="28" t="str">
        <x:v>bd5f8e35593e9c7efc6d645f53dd05706c78ef405c09926c16e8f6574c780cc0</x:v>
      </x:c>
      <x:c r="H578" s="28" t="n">
        <x:v>1</x:v>
      </x:c>
      <x:c r="I578" s="28" t="n">
        <x:v>1</x:v>
      </x:c>
      <x:c r="J578" s="28" t="n">
        <x:v>0</x:v>
      </x:c>
      <x:c r="K578" s="28" t="n">
        <x:v>0</x:v>
      </x:c>
      <x:c r="L578" s="28" t="n">
        <x:v>0</x:v>
      </x:c>
      <x:c r="M578" s="28" t="n">
        <x:v>0</x:v>
      </x:c>
      <x:c r="N578" s="22" t="str"/>
      <x:c r="O578" s="22" t="str"/>
      <x:c r="P578" s="22" t="n">
        <x:v>0</x:v>
      </x:c>
      <x:c r="Q578" s="40" t="n">
        <x:v>0</x:v>
      </x:c>
      <x:c r="R578" s="25" t="str"/>
      <x:c r="S578" s="25" t="str">
        <x:v>BOQ_NAME_ONLY</x:v>
      </x:c>
      <x:c r="T578" s="25" t="str">
        <x:v>자동 표 신호는 최종 A/B로 승격하지 않음</x:v>
      </x:c>
      <x:c r="U578" s="22" t="str">
        <x:v>2021-2025</x:v>
      </x:c>
    </x:row>
    <x:row r="579">
      <x:c r="A579" s="22" t="str">
        <x:v>2020-00086</x:v>
      </x:c>
      <x:c r="B579" s="22" t="str">
        <x:v>L2023-00053-1</x:v>
      </x:c>
      <x:c r="C579" s="22" t="str">
        <x:v>WORKS</x:v>
      </x:c>
      <x:c r="D579" s="25" t="str">
        <x:v>L2023-00053-1/Urgench VTC Bid Attachment Documents/Urgench VTC Bid Attachment Documents/Section 4.  Bill of Quantities(Not-Priced)/공내역서/VTC견적서/1 АДМИН ЗДАНИЕ(Admin. Build)/1-7 ВН, СКС(CCTV &amp; Network)/bv13260.xls</x:v>
      </x:c>
      <x:c r="E579" s="22" t="str">
        <x:v>.xls</x:v>
      </x:c>
      <x:c r="F579" s="28" t="n">
        <x:v>107520</x:v>
      </x:c>
      <x:c r="G579" s="28" t="str">
        <x:v>da9736d6f767a8ecd457f4daac55033b9573e34d0967a3842ac2dd832de749d3</x:v>
      </x:c>
      <x:c r="H579" s="28" t="n">
        <x:v>1</x:v>
      </x:c>
      <x:c r="I579" s="28" t="n">
        <x:v>1</x:v>
      </x:c>
      <x:c r="J579" s="28" t="n">
        <x:v>0</x:v>
      </x:c>
      <x:c r="K579" s="28" t="n">
        <x:v>0</x:v>
      </x:c>
      <x:c r="L579" s="28" t="n">
        <x:v>0</x:v>
      </x:c>
      <x:c r="M579" s="28" t="n">
        <x:v>0</x:v>
      </x:c>
      <x:c r="N579" s="22" t="str"/>
      <x:c r="O579" s="22" t="str"/>
      <x:c r="P579" s="22" t="n">
        <x:v>0</x:v>
      </x:c>
      <x:c r="Q579" s="40" t="n">
        <x:v>0</x:v>
      </x:c>
      <x:c r="R579" s="25" t="str"/>
      <x:c r="S579" s="25" t="str">
        <x:v>BOQ_NAME_ONLY</x:v>
      </x:c>
      <x:c r="T579" s="25" t="str">
        <x:v>자동 표 신호는 최종 A/B로 승격하지 않음</x:v>
      </x:c>
      <x:c r="U579" s="22" t="str">
        <x:v>2021-2025</x:v>
      </x:c>
    </x:row>
    <x:row r="580">
      <x:c r="A580" s="22" t="str">
        <x:v>2020-00086</x:v>
      </x:c>
      <x:c r="B580" s="22" t="str">
        <x:v>L2023-00053-1</x:v>
      </x:c>
      <x:c r="C580" s="22" t="str">
        <x:v>WORKS</x:v>
      </x:c>
      <x:c r="D580" s="25" t="str">
        <x:v>L2023-00053-1/Urgench VTC Bid Attachment Documents/Urgench VTC Bid Attachment Documents/Section 4.  Bill of Quantities(Not-Priced)/공내역서/VTC견적서/1 АДМИН ЗДАНИЕ(Admin. Build)/1-7 ВН, СКС(CCTV &amp; Network)/13263_vfor.xls</x:v>
      </x:c>
      <x:c r="E580" s="22" t="str">
        <x:v>.xls</x:v>
      </x:c>
      <x:c r="F580" s="28" t="n">
        <x:v>47616</x:v>
      </x:c>
      <x:c r="G580" s="28" t="str">
        <x:v>7a8b4feeaa0c2b59e5da2fb55f1768d770b5ad657133ec053d138eb8e9bce861</x:v>
      </x:c>
      <x:c r="H580" s="28" t="n">
        <x:v>1</x:v>
      </x:c>
      <x:c r="I580" s="28" t="n">
        <x:v>1</x:v>
      </x:c>
      <x:c r="J580" s="28" t="n">
        <x:v>0</x:v>
      </x:c>
      <x:c r="K580" s="28" t="n">
        <x:v>0</x:v>
      </x:c>
      <x:c r="L580" s="28" t="n">
        <x:v>0</x:v>
      </x:c>
      <x:c r="M580" s="28" t="n">
        <x:v>0</x:v>
      </x:c>
      <x:c r="N580" s="22" t="str"/>
      <x:c r="O580" s="22" t="str"/>
      <x:c r="P580" s="22" t="n">
        <x:v>0</x:v>
      </x:c>
      <x:c r="Q580" s="40" t="n">
        <x:v>0</x:v>
      </x:c>
      <x:c r="R580" s="25" t="str"/>
      <x:c r="S580" s="25" t="str">
        <x:v>BOQ_NAME_ONLY</x:v>
      </x:c>
      <x:c r="T580" s="25" t="str">
        <x:v>자동 표 신호는 최종 A/B로 승격하지 않음</x:v>
      </x:c>
      <x:c r="U580" s="22" t="str">
        <x:v>2021-2025</x:v>
      </x:c>
    </x:row>
    <x:row r="581">
      <x:c r="A581" s="22" t="str">
        <x:v>2020-00086</x:v>
      </x:c>
      <x:c r="B581" s="22" t="str">
        <x:v>L2023-00053-1</x:v>
      </x:c>
      <x:c r="C581" s="22" t="str">
        <x:v>WORKS</x:v>
      </x:c>
      <x:c r="D581" s="25" t="str">
        <x:v>L2023-00053-1/Urgench VTC Bid Attachment Documents/Urgench VTC Bid Attachment Documents/Section 4.  Bill of Quantities(Not-Priced)/공내역서/VTC견적서/1 АДМИН ЗДАНИЕ(Admin. Build)/1-7 ВН, СКС(CCTV &amp; Network)/13263_vrmu.xls</x:v>
      </x:c>
      <x:c r="E581" s="22" t="str">
        <x:v>.xls</x:v>
      </x:c>
      <x:c r="F581" s="28" t="n">
        <x:v>68608</x:v>
      </x:c>
      <x:c r="G581" s="28" t="str">
        <x:v>6c0471c582338da570a451cd77b90965fe575e9f9b5a76c47f242fa9f7baf869</x:v>
      </x:c>
      <x:c r="H581" s="28" t="n">
        <x:v>1</x:v>
      </x:c>
      <x:c r="I581" s="28" t="n">
        <x:v>1</x:v>
      </x:c>
      <x:c r="J581" s="28" t="n">
        <x:v>1</x:v>
      </x:c>
      <x:c r="K581" s="28" t="n">
        <x:v>121</x:v>
      </x:c>
      <x:c r="L581" s="28" t="n">
        <x:v>1</x:v>
      </x:c>
      <x:c r="M581" s="28" t="n">
        <x:v>0</x:v>
      </x:c>
      <x:c r="N581" s="22" t="str">
        <x:v>Лист1</x:v>
      </x:c>
      <x:c r="O581" s="22" t="str">
        <x:v>visible</x:v>
      </x:c>
      <x:c r="P581" s="22" t="n">
        <x:v>8</x:v>
      </x:c>
      <x:c r="Q581" s="40" t="n">
        <x:v>0.008264462809917356</x:v>
      </x:c>
      <x:c r="R581" s="25" t="str"/>
      <x:c r="S581" s="25" t="str">
        <x:v>B?</x:v>
      </x:c>
      <x:c r="T581" s="25" t="str">
        <x:v>자동 표 신호는 최종 A/B로 승격하지 않음</x:v>
      </x:c>
      <x:c r="U581" s="22" t="str">
        <x:v>2021-2025</x:v>
      </x:c>
    </x:row>
    <x:row r="582">
      <x:c r="A582" s="22" t="str">
        <x:v>2020-00086</x:v>
      </x:c>
      <x:c r="B582" s="22" t="str">
        <x:v>L2023-00053-1</x:v>
      </x:c>
      <x:c r="C582" s="22" t="str">
        <x:v>WORKS</x:v>
      </x:c>
      <x:c r="D582" s="25" t="str">
        <x:v>L2023-00053-1/Urgench VTC Bid Attachment Documents/Urgench VTC Bid Attachment Documents/Section 4.  Bill of Quantities(Not-Priced)/공내역서/VTC견적서/1 АДМИН ЗДАНИЕ(Admin. Build)/1-4 ВК(Water &amp; Sewer &amp; Fireplug)/13133_vfor.xls</x:v>
      </x:c>
      <x:c r="E582" s="22" t="str">
        <x:v>.xls</x:v>
      </x:c>
      <x:c r="F582" s="28" t="n">
        <x:v>52736</x:v>
      </x:c>
      <x:c r="G582" s="28" t="str">
        <x:v>741ec748efad6c50d4f9031854c9af39efdae94a7f251502f482d1e634696395</x:v>
      </x:c>
      <x:c r="H582" s="28" t="n">
        <x:v>1</x:v>
      </x:c>
      <x:c r="I582" s="28" t="n">
        <x:v>1</x:v>
      </x:c>
      <x:c r="J582" s="28" t="n">
        <x:v>0</x:v>
      </x:c>
      <x:c r="K582" s="28" t="n">
        <x:v>0</x:v>
      </x:c>
      <x:c r="L582" s="28" t="n">
        <x:v>0</x:v>
      </x:c>
      <x:c r="M582" s="28" t="n">
        <x:v>0</x:v>
      </x:c>
      <x:c r="N582" s="22" t="str"/>
      <x:c r="O582" s="22" t="str"/>
      <x:c r="P582" s="22" t="n">
        <x:v>0</x:v>
      </x:c>
      <x:c r="Q582" s="40" t="n">
        <x:v>0</x:v>
      </x:c>
      <x:c r="R582" s="25" t="str"/>
      <x:c r="S582" s="25" t="str">
        <x:v>BOQ_NAME_ONLY</x:v>
      </x:c>
      <x:c r="T582" s="25" t="str">
        <x:v>자동 표 신호는 최종 A/B로 승격하지 않음</x:v>
      </x:c>
      <x:c r="U582" s="22" t="str">
        <x:v>2021-2025</x:v>
      </x:c>
    </x:row>
    <x:row r="583">
      <x:c r="A583" s="22" t="str">
        <x:v>2020-00086</x:v>
      </x:c>
      <x:c r="B583" s="22" t="str">
        <x:v>L2023-00053-1</x:v>
      </x:c>
      <x:c r="C583" s="22" t="str">
        <x:v>WORKS</x:v>
      </x:c>
      <x:c r="D583" s="25" t="str">
        <x:v>L2023-00053-1/Urgench VTC Bid Attachment Documents/Urgench VTC Bid Attachment Documents/Section 4.  Bill of Quantities(Not-Priced)/공내역서/VTC견적서/1 АДМИН ЗДАНИЕ(Admin. Build)/1-4 ВК(Water &amp; Sewer &amp; Fireplug)/bv13130.xls</x:v>
      </x:c>
      <x:c r="E583" s="22" t="str">
        <x:v>.xls</x:v>
      </x:c>
      <x:c r="F583" s="28" t="n">
        <x:v>154624</x:v>
      </x:c>
      <x:c r="G583" s="28" t="str">
        <x:v>1223ff48761e0fa74c64b76affe4f9a0bba0f90d9621723ff81afca192aa3ec9</x:v>
      </x:c>
      <x:c r="H583" s="28" t="n">
        <x:v>1</x:v>
      </x:c>
      <x:c r="I583" s="28" t="n">
        <x:v>1</x:v>
      </x:c>
      <x:c r="J583" s="28" t="n">
        <x:v>0</x:v>
      </x:c>
      <x:c r="K583" s="28" t="n">
        <x:v>0</x:v>
      </x:c>
      <x:c r="L583" s="28" t="n">
        <x:v>0</x:v>
      </x:c>
      <x:c r="M583" s="28" t="n">
        <x:v>0</x:v>
      </x:c>
      <x:c r="N583" s="22" t="str"/>
      <x:c r="O583" s="22" t="str"/>
      <x:c r="P583" s="22" t="n">
        <x:v>0</x:v>
      </x:c>
      <x:c r="Q583" s="40" t="n">
        <x:v>0</x:v>
      </x:c>
      <x:c r="R583" s="25" t="str"/>
      <x:c r="S583" s="25" t="str">
        <x:v>BOQ_NAME_ONLY</x:v>
      </x:c>
      <x:c r="T583" s="25" t="str">
        <x:v>자동 표 신호는 최종 A/B로 승격하지 않음</x:v>
      </x:c>
      <x:c r="U583" s="22" t="str">
        <x:v>2021-2025</x:v>
      </x:c>
    </x:row>
    <x:row r="584">
      <x:c r="A584" s="22" t="str">
        <x:v>2020-00086</x:v>
      </x:c>
      <x:c r="B584" s="22" t="str">
        <x:v>L2023-00053-1</x:v>
      </x:c>
      <x:c r="C584" s="22" t="str">
        <x:v>WORKS</x:v>
      </x:c>
      <x:c r="D584" s="25" t="str">
        <x:v>L2023-00053-1/Urgench VTC Bid Attachment Documents/Urgench VTC Bid Attachment Documents/Section 4.  Bill of Quantities(Not-Priced)/공내역서/VTC견적서/1 АДМИН ЗДАНИЕ(Admin. Build)/1-4 ВК(Water &amp; Sewer &amp; Fireplug)/13133_vrmu.xls</x:v>
      </x:c>
      <x:c r="E584" s="22" t="str">
        <x:v>.xls</x:v>
      </x:c>
      <x:c r="F584" s="28" t="n">
        <x:v>79360</x:v>
      </x:c>
      <x:c r="G584" s="28" t="str">
        <x:v>b0afbc4d11efcf493a5e6015f97ca5b4a7b9097194af5dc00c5ac2e9b8482153</x:v>
      </x:c>
      <x:c r="H584" s="28" t="n">
        <x:v>1</x:v>
      </x:c>
      <x:c r="I584" s="28" t="n">
        <x:v>1</x:v>
      </x:c>
      <x:c r="J584" s="28" t="n">
        <x:v>1</x:v>
      </x:c>
      <x:c r="K584" s="28" t="n">
        <x:v>169</x:v>
      </x:c>
      <x:c r="L584" s="28" t="n">
        <x:v>1</x:v>
      </x:c>
      <x:c r="M584" s="28" t="n">
        <x:v>0</x:v>
      </x:c>
      <x:c r="N584" s="22" t="str">
        <x:v>Лист1</x:v>
      </x:c>
      <x:c r="O584" s="22" t="str">
        <x:v>visible</x:v>
      </x:c>
      <x:c r="P584" s="22" t="n">
        <x:v>8</x:v>
      </x:c>
      <x:c r="Q584" s="40" t="n">
        <x:v>0.005917159763313609</x:v>
      </x:c>
      <x:c r="R584" s="25" t="str"/>
      <x:c r="S584" s="25" t="str">
        <x:v>B?</x:v>
      </x:c>
      <x:c r="T584" s="25" t="str">
        <x:v>자동 표 신호는 최종 A/B로 승격하지 않음</x:v>
      </x:c>
      <x:c r="U584" s="22" t="str">
        <x:v>2021-2025</x:v>
      </x:c>
    </x:row>
    <x:row r="585">
      <x:c r="A585" s="22" t="str">
        <x:v>2020-00086</x:v>
      </x:c>
      <x:c r="B585" s="22" t="str">
        <x:v>L2023-00053-1</x:v>
      </x:c>
      <x:c r="C585" s="22" t="str">
        <x:v>WORKS</x:v>
      </x:c>
      <x:c r="D585" s="25" t="str">
        <x:v>L2023-00053-1/Urgench VTC Bid Attachment Documents/Urgench VTC Bid Attachment Documents/Section 4.  Bill of Quantities(Not-Priced)/공내역서/VTC견적서/1 АДМИН ЗДАНИЕ(Admin. Build)/1-10 ЛИФТ(ELEV)/13753_vrmu.xls</x:v>
      </x:c>
      <x:c r="E585" s="22" t="str">
        <x:v>.xls</x:v>
      </x:c>
      <x:c r="F585" s="28" t="n">
        <x:v>43008</x:v>
      </x:c>
      <x:c r="G585" s="28" t="str">
        <x:v>d8c8c9194e19cccc526a10c247d70181deba40b1b4cf1c4603bfe482647ccc57</x:v>
      </x:c>
      <x:c r="H585" s="28" t="n">
        <x:v>1</x:v>
      </x:c>
      <x:c r="I585" s="28" t="n">
        <x:v>1</x:v>
      </x:c>
      <x:c r="J585" s="28" t="n">
        <x:v>0</x:v>
      </x:c>
      <x:c r="K585" s="28" t="n">
        <x:v>0</x:v>
      </x:c>
      <x:c r="L585" s="28" t="n">
        <x:v>0</x:v>
      </x:c>
      <x:c r="M585" s="28" t="n">
        <x:v>0</x:v>
      </x:c>
      <x:c r="N585" s="22" t="str"/>
      <x:c r="O585" s="22" t="str"/>
      <x:c r="P585" s="22" t="n">
        <x:v>0</x:v>
      </x:c>
      <x:c r="Q585" s="40" t="n">
        <x:v>0</x:v>
      </x:c>
      <x:c r="R585" s="25" t="str"/>
      <x:c r="S585" s="25" t="str">
        <x:v>BOQ_NAME_ONLY</x:v>
      </x:c>
      <x:c r="T585" s="25" t="str">
        <x:v>자동 표 신호는 최종 A/B로 승격하지 않음</x:v>
      </x:c>
      <x:c r="U585" s="22" t="str">
        <x:v>2021-2025</x:v>
      </x:c>
    </x:row>
    <x:row r="586">
      <x:c r="A586" s="22" t="str">
        <x:v>2020-00086</x:v>
      </x:c>
      <x:c r="B586" s="22" t="str">
        <x:v>L2023-00053-1</x:v>
      </x:c>
      <x:c r="C586" s="22" t="str">
        <x:v>WORKS</x:v>
      </x:c>
      <x:c r="D586" s="25" t="str">
        <x:v>L2023-00053-1/Urgench VTC Bid Attachment Documents/Urgench VTC Bid Attachment Documents/Section 4.  Bill of Quantities(Not-Priced)/공내역서/VTC견적서/1 АДМИН ЗДАНИЕ(Admin. Build)/1-10 ЛИФТ(ELEV)/13753_vfor.xls</x:v>
      </x:c>
      <x:c r="E586" s="22" t="str">
        <x:v>.xls</x:v>
      </x:c>
      <x:c r="F586" s="28" t="n">
        <x:v>30208</x:v>
      </x:c>
      <x:c r="G586" s="28" t="str">
        <x:v>b3579f537710c58124f00338f7e0f9e99571d8b9b633597f327e8b17d0a47566</x:v>
      </x:c>
      <x:c r="H586" s="28" t="n">
        <x:v>1</x:v>
      </x:c>
      <x:c r="I586" s="28" t="n">
        <x:v>1</x:v>
      </x:c>
      <x:c r="J586" s="28" t="n">
        <x:v>0</x:v>
      </x:c>
      <x:c r="K586" s="28" t="n">
        <x:v>0</x:v>
      </x:c>
      <x:c r="L586" s="28" t="n">
        <x:v>0</x:v>
      </x:c>
      <x:c r="M586" s="28" t="n">
        <x:v>0</x:v>
      </x:c>
      <x:c r="N586" s="22" t="str"/>
      <x:c r="O586" s="22" t="str"/>
      <x:c r="P586" s="22" t="n">
        <x:v>0</x:v>
      </x:c>
      <x:c r="Q586" s="40" t="n">
        <x:v>0</x:v>
      </x:c>
      <x:c r="R586" s="25" t="str"/>
      <x:c r="S586" s="25" t="str">
        <x:v>BOQ_NAME_ONLY</x:v>
      </x:c>
      <x:c r="T586" s="25" t="str">
        <x:v>자동 표 신호는 최종 A/B로 승격하지 않음</x:v>
      </x:c>
      <x:c r="U586" s="22" t="str">
        <x:v>2021-2025</x:v>
      </x:c>
    </x:row>
    <x:row r="587">
      <x:c r="A587" s="22" t="str">
        <x:v>2020-00086</x:v>
      </x:c>
      <x:c r="B587" s="22" t="str">
        <x:v>L2023-00053-1</x:v>
      </x:c>
      <x:c r="C587" s="22" t="str">
        <x:v>WORKS</x:v>
      </x:c>
      <x:c r="D587" s="25" t="str">
        <x:v>L2023-00053-1/Urgench VTC Bid Attachment Documents/Urgench VTC Bid Attachment Documents/Section 4.  Bill of Quantities(Not-Priced)/공내역서/VTC견적서/1 АДМИН ЗДАНИЕ(Admin. Build)/1-10 ЛИФТ(ELEV)/bv13750.xls</x:v>
      </x:c>
      <x:c r="E587" s="22" t="str">
        <x:v>.xls</x:v>
      </x:c>
      <x:c r="F587" s="28" t="n">
        <x:v>54784</x:v>
      </x:c>
      <x:c r="G587" s="28" t="str">
        <x:v>eb9c87be647fc11b224374cdaaccddcc279ef6fd030d266e10a9e18b670be321</x:v>
      </x:c>
      <x:c r="H587" s="28" t="n">
        <x:v>1</x:v>
      </x:c>
      <x:c r="I587" s="28" t="n">
        <x:v>1</x:v>
      </x:c>
      <x:c r="J587" s="28" t="n">
        <x:v>0</x:v>
      </x:c>
      <x:c r="K587" s="28" t="n">
        <x:v>0</x:v>
      </x:c>
      <x:c r="L587" s="28" t="n">
        <x:v>0</x:v>
      </x:c>
      <x:c r="M587" s="28" t="n">
        <x:v>0</x:v>
      </x:c>
      <x:c r="N587" s="22" t="str"/>
      <x:c r="O587" s="22" t="str"/>
      <x:c r="P587" s="22" t="n">
        <x:v>0</x:v>
      </x:c>
      <x:c r="Q587" s="40" t="n">
        <x:v>0</x:v>
      </x:c>
      <x:c r="R587" s="25" t="str"/>
      <x:c r="S587" s="25" t="str">
        <x:v>BOQ_NAME_ONLY</x:v>
      </x:c>
      <x:c r="T587" s="25" t="str">
        <x:v>자동 표 신호는 최종 A/B로 승격하지 않음</x:v>
      </x:c>
      <x:c r="U587" s="22" t="str">
        <x:v>2021-2025</x:v>
      </x:c>
    </x:row>
    <x:row r="588">
      <x:c r="A588" s="22" t="str">
        <x:v>2020-00086</x:v>
      </x:c>
      <x:c r="B588" s="22" t="str">
        <x:v>L2023-00053-1</x:v>
      </x:c>
      <x:c r="C588" s="22" t="str">
        <x:v>WORKS</x:v>
      </x:c>
      <x:c r="D588" s="25" t="str">
        <x:v>L2023-00053-1/Urgench VTC Bid Attachment Documents/Urgench VTC Bid Attachment Documents/Section 4.  Bill of Quantities(Not-Priced)/공내역서/VTC견적서/1 АДМИН ЗДАНИЕ(Admin. Build)/1-3 ОВ(Heating &amp; Ventilation)/13483_vfor.xls</x:v>
      </x:c>
      <x:c r="E588" s="22" t="str">
        <x:v>.xls</x:v>
      </x:c>
      <x:c r="F588" s="28" t="n">
        <x:v>99328</x:v>
      </x:c>
      <x:c r="G588" s="28" t="str">
        <x:v>ea2c98759901d209006d0bf437f6b47db3db59af4a523229e57e8127d6eaec66</x:v>
      </x:c>
      <x:c r="H588" s="28" t="n">
        <x:v>1</x:v>
      </x:c>
      <x:c r="I588" s="28" t="n">
        <x:v>1</x:v>
      </x:c>
      <x:c r="J588" s="28" t="n">
        <x:v>0</x:v>
      </x:c>
      <x:c r="K588" s="28" t="n">
        <x:v>0</x:v>
      </x:c>
      <x:c r="L588" s="28" t="n">
        <x:v>0</x:v>
      </x:c>
      <x:c r="M588" s="28" t="n">
        <x:v>0</x:v>
      </x:c>
      <x:c r="N588" s="22" t="str"/>
      <x:c r="O588" s="22" t="str"/>
      <x:c r="P588" s="22" t="n">
        <x:v>0</x:v>
      </x:c>
      <x:c r="Q588" s="40" t="n">
        <x:v>0</x:v>
      </x:c>
      <x:c r="R588" s="25" t="str"/>
      <x:c r="S588" s="25" t="str">
        <x:v>BOQ_NAME_ONLY</x:v>
      </x:c>
      <x:c r="T588" s="25" t="str">
        <x:v>자동 표 신호는 최종 A/B로 승격하지 않음</x:v>
      </x:c>
      <x:c r="U588" s="22" t="str">
        <x:v>2021-2025</x:v>
      </x:c>
    </x:row>
    <x:row r="589">
      <x:c r="A589" s="22" t="str">
        <x:v>2020-00086</x:v>
      </x:c>
      <x:c r="B589" s="22" t="str">
        <x:v>L2023-00053-1</x:v>
      </x:c>
      <x:c r="C589" s="22" t="str">
        <x:v>WORKS</x:v>
      </x:c>
      <x:c r="D589" s="25" t="str">
        <x:v>L2023-00053-1/Urgench VTC Bid Attachment Documents/Urgench VTC Bid Attachment Documents/Section 4.  Bill of Quantities(Not-Priced)/공내역서/VTC견적서/1 АДМИН ЗДАНИЕ(Admin. Build)/1-3 ОВ(Heating &amp; Ventilation)/bv13480.xls</x:v>
      </x:c>
      <x:c r="E589" s="22" t="str">
        <x:v>.xls</x:v>
      </x:c>
      <x:c r="F589" s="28" t="n">
        <x:v>427008</x:v>
      </x:c>
      <x:c r="G589" s="28" t="str">
        <x:v>09bb65db10a11858d8ac285c8181d79f56e81b7cf85edc982df2b0f23f6c6b66</x:v>
      </x:c>
      <x:c r="H589" s="28" t="n">
        <x:v>1</x:v>
      </x:c>
      <x:c r="I589" s="28" t="n">
        <x:v>1</x:v>
      </x:c>
      <x:c r="J589" s="28" t="n">
        <x:v>0</x:v>
      </x:c>
      <x:c r="K589" s="28" t="n">
        <x:v>0</x:v>
      </x:c>
      <x:c r="L589" s="28" t="n">
        <x:v>0</x:v>
      </x:c>
      <x:c r="M589" s="28" t="n">
        <x:v>0</x:v>
      </x:c>
      <x:c r="N589" s="22" t="str"/>
      <x:c r="O589" s="22" t="str"/>
      <x:c r="P589" s="22" t="n">
        <x:v>0</x:v>
      </x:c>
      <x:c r="Q589" s="40" t="n">
        <x:v>0</x:v>
      </x:c>
      <x:c r="R589" s="25" t="str"/>
      <x:c r="S589" s="25" t="str">
        <x:v>BOQ_NAME_ONLY</x:v>
      </x:c>
      <x:c r="T589" s="25" t="str">
        <x:v>자동 표 신호는 최종 A/B로 승격하지 않음</x:v>
      </x:c>
      <x:c r="U589" s="22" t="str">
        <x:v>2021-2025</x:v>
      </x:c>
    </x:row>
    <x:row r="590">
      <x:c r="A590" s="22" t="str">
        <x:v>2020-00086</x:v>
      </x:c>
      <x:c r="B590" s="22" t="str">
        <x:v>L2023-00053-1</x:v>
      </x:c>
      <x:c r="C590" s="22" t="str">
        <x:v>WORKS</x:v>
      </x:c>
      <x:c r="D590" s="25" t="str">
        <x:v>L2023-00053-1/Urgench VTC Bid Attachment Documents/Urgench VTC Bid Attachment Documents/Section 4.  Bill of Quantities(Not-Priced)/공내역서/VTC견적서/1 АДМИН ЗДАНИЕ(Admin. Build)/1-3 ОВ(Heating &amp; Ventilation)/13483_vrmu.xls</x:v>
      </x:c>
      <x:c r="E590" s="22" t="str">
        <x:v>.xls</x:v>
      </x:c>
      <x:c r="F590" s="28" t="n">
        <x:v>103936</x:v>
      </x:c>
      <x:c r="G590" s="28" t="str">
        <x:v>a04ed59f23ea1ae61745cad683d4cbaf5ae363e309db5658d259973ecd8f543d</x:v>
      </x:c>
      <x:c r="H590" s="28" t="n">
        <x:v>1</x:v>
      </x:c>
      <x:c r="I590" s="28" t="n">
        <x:v>1</x:v>
      </x:c>
      <x:c r="J590" s="28" t="n">
        <x:v>1</x:v>
      </x:c>
      <x:c r="K590" s="28" t="n">
        <x:v>244</x:v>
      </x:c>
      <x:c r="L590" s="28" t="n">
        <x:v>1</x:v>
      </x:c>
      <x:c r="M590" s="28" t="n">
        <x:v>0</x:v>
      </x:c>
      <x:c r="N590" s="22" t="str">
        <x:v>Лист1</x:v>
      </x:c>
      <x:c r="O590" s="22" t="str">
        <x:v>visible</x:v>
      </x:c>
      <x:c r="P590" s="22" t="n">
        <x:v>8</x:v>
      </x:c>
      <x:c r="Q590" s="40" t="n">
        <x:v>0.004098360655737705</x:v>
      </x:c>
      <x:c r="R590" s="25" t="str"/>
      <x:c r="S590" s="25" t="str">
        <x:v>B?</x:v>
      </x:c>
      <x:c r="T590" s="25" t="str">
        <x:v>자동 표 신호는 최종 A/B로 승격하지 않음</x:v>
      </x:c>
      <x:c r="U590" s="22" t="str">
        <x:v>2021-2025</x:v>
      </x:c>
    </x:row>
    <x:row r="591">
      <x:c r="A591" s="22" t="str">
        <x:v>2020-00086</x:v>
      </x:c>
      <x:c r="B591" s="22" t="str">
        <x:v>L2023-00053-1</x:v>
      </x:c>
      <x:c r="C591" s="22" t="str">
        <x:v>WORKS</x:v>
      </x:c>
      <x:c r="D591" s="25" t="str">
        <x:v>L2023-00053-1/Urgench VTC Bid Attachment Documents/Urgench VTC Bid Attachment Documents/Section 4.  Bill of Quantities(Not-Priced)/공내역서/VTC견적서/1 АДМИН ЗДАНИЕ(Admin. Build)/1-6 ПС(Fire Alarm)/13253_vrmu.xls</x:v>
      </x:c>
      <x:c r="E591" s="22" t="str">
        <x:v>.xls</x:v>
      </x:c>
      <x:c r="F591" s="28" t="n">
        <x:v>49152</x:v>
      </x:c>
      <x:c r="G591" s="28" t="str">
        <x:v>638ac1d9b3e1c826c7350759798f5c9e7977ba6841161f9a0604aab9275f55ae</x:v>
      </x:c>
      <x:c r="H591" s="28" t="n">
        <x:v>1</x:v>
      </x:c>
      <x:c r="I591" s="28" t="n">
        <x:v>1</x:v>
      </x:c>
      <x:c r="J591" s="28" t="n">
        <x:v>0</x:v>
      </x:c>
      <x:c r="K591" s="28" t="n">
        <x:v>0</x:v>
      </x:c>
      <x:c r="L591" s="28" t="n">
        <x:v>0</x:v>
      </x:c>
      <x:c r="M591" s="28" t="n">
        <x:v>0</x:v>
      </x:c>
      <x:c r="N591" s="22" t="str"/>
      <x:c r="O591" s="22" t="str"/>
      <x:c r="P591" s="22" t="n">
        <x:v>0</x:v>
      </x:c>
      <x:c r="Q591" s="40" t="n">
        <x:v>0</x:v>
      </x:c>
      <x:c r="R591" s="25" t="str"/>
      <x:c r="S591" s="25" t="str">
        <x:v>BOQ_NAME_ONLY</x:v>
      </x:c>
      <x:c r="T591" s="25" t="str">
        <x:v>자동 표 신호는 최종 A/B로 승격하지 않음</x:v>
      </x:c>
      <x:c r="U591" s="22" t="str">
        <x:v>2021-2025</x:v>
      </x:c>
    </x:row>
    <x:row r="592">
      <x:c r="A592" s="22" t="str">
        <x:v>2020-00086</x:v>
      </x:c>
      <x:c r="B592" s="22" t="str">
        <x:v>L2023-00053-1</x:v>
      </x:c>
      <x:c r="C592" s="22" t="str">
        <x:v>WORKS</x:v>
      </x:c>
      <x:c r="D592" s="25" t="str">
        <x:v>L2023-00053-1/Urgench VTC Bid Attachment Documents/Urgench VTC Bid Attachment Documents/Section 4.  Bill of Quantities(Not-Priced)/공내역서/VTC견적서/1 АДМИН ЗДАНИЕ(Admin. Build)/1-6 ПС(Fire Alarm)/13253_vfor.xls</x:v>
      </x:c>
      <x:c r="E592" s="22" t="str">
        <x:v>.xls</x:v>
      </x:c>
      <x:c r="F592" s="28" t="n">
        <x:v>36864</x:v>
      </x:c>
      <x:c r="G592" s="28" t="str">
        <x:v>4bb2f66c458714b2e47664a339164cdd7ab4a42d68218d6abcca1ab11bf69708</x:v>
      </x:c>
      <x:c r="H592" s="28" t="n">
        <x:v>1</x:v>
      </x:c>
      <x:c r="I592" s="28" t="n">
        <x:v>1</x:v>
      </x:c>
      <x:c r="J592" s="28" t="n">
        <x:v>0</x:v>
      </x:c>
      <x:c r="K592" s="28" t="n">
        <x:v>0</x:v>
      </x:c>
      <x:c r="L592" s="28" t="n">
        <x:v>0</x:v>
      </x:c>
      <x:c r="M592" s="28" t="n">
        <x:v>0</x:v>
      </x:c>
      <x:c r="N592" s="22" t="str"/>
      <x:c r="O592" s="22" t="str"/>
      <x:c r="P592" s="22" t="n">
        <x:v>0</x:v>
      </x:c>
      <x:c r="Q592" s="40" t="n">
        <x:v>0</x:v>
      </x:c>
      <x:c r="R592" s="25" t="str"/>
      <x:c r="S592" s="25" t="str">
        <x:v>BOQ_NAME_ONLY</x:v>
      </x:c>
      <x:c r="T592" s="25" t="str">
        <x:v>자동 표 신호는 최종 A/B로 승격하지 않음</x:v>
      </x:c>
      <x:c r="U592" s="22" t="str">
        <x:v>2021-2025</x:v>
      </x:c>
    </x:row>
    <x:row r="593">
      <x:c r="A593" s="22" t="str">
        <x:v>2020-00086</x:v>
      </x:c>
      <x:c r="B593" s="22" t="str">
        <x:v>L2023-00053-1</x:v>
      </x:c>
      <x:c r="C593" s="22" t="str">
        <x:v>WORKS</x:v>
      </x:c>
      <x:c r="D593" s="25" t="str">
        <x:v>L2023-00053-1/Urgench VTC Bid Attachment Documents/Urgench VTC Bid Attachment Documents/Section 4.  Bill of Quantities(Not-Priced)/공내역서/VTC견적서/1 АДМИН ЗДАНИЕ(Admin. Build)/1-6 ПС(Fire Alarm)/bv13250.xls</x:v>
      </x:c>
      <x:c r="E593" s="22" t="str">
        <x:v>.xls</x:v>
      </x:c>
      <x:c r="F593" s="28" t="n">
        <x:v>71680</x:v>
      </x:c>
      <x:c r="G593" s="28" t="str">
        <x:v>6dde06584b8e720185be54b7abd01bc9cfe2672da2dbd294b9972d6ed3dfea7d</x:v>
      </x:c>
      <x:c r="H593" s="28" t="n">
        <x:v>1</x:v>
      </x:c>
      <x:c r="I593" s="28" t="n">
        <x:v>1</x:v>
      </x:c>
      <x:c r="J593" s="28" t="n">
        <x:v>0</x:v>
      </x:c>
      <x:c r="K593" s="28" t="n">
        <x:v>0</x:v>
      </x:c>
      <x:c r="L593" s="28" t="n">
        <x:v>0</x:v>
      </x:c>
      <x:c r="M593" s="28" t="n">
        <x:v>0</x:v>
      </x:c>
      <x:c r="N593" s="22" t="str"/>
      <x:c r="O593" s="22" t="str"/>
      <x:c r="P593" s="22" t="n">
        <x:v>0</x:v>
      </x:c>
      <x:c r="Q593" s="40" t="n">
        <x:v>0</x:v>
      </x:c>
      <x:c r="R593" s="25" t="str"/>
      <x:c r="S593" s="25" t="str">
        <x:v>BOQ_NAME_ONLY</x:v>
      </x:c>
      <x:c r="T593" s="25" t="str">
        <x:v>자동 표 신호는 최종 A/B로 승격하지 않음</x:v>
      </x:c>
      <x:c r="U593" s="22" t="str">
        <x:v>2021-2025</x:v>
      </x:c>
    </x:row>
    <x:row r="594">
      <x:c r="A594" s="22" t="str">
        <x:v>2020-00086</x:v>
      </x:c>
      <x:c r="B594" s="22" t="str">
        <x:v>L2023-00053-1</x:v>
      </x:c>
      <x:c r="C594" s="22" t="str">
        <x:v>WORKS</x:v>
      </x:c>
      <x:c r="D594" s="25" t="str">
        <x:v>L2023-00053-1/Urgench VTC Bid Attachment Documents/Urgench VTC Bid Attachment Documents/Section 4.  Bill of Quantities(Not-Priced)/공내역서/VTC견적서/1 АДМИН ЗДАНИЕ(Admin. Build)/1-8 ТМ (Boiler &amp; Solar heating)/bv13420.xls</x:v>
      </x:c>
      <x:c r="E594" s="22" t="str">
        <x:v>.xls</x:v>
      </x:c>
      <x:c r="F594" s="28" t="n">
        <x:v>164864</x:v>
      </x:c>
      <x:c r="G594" s="28" t="str">
        <x:v>54879a728d46d53dde25618dd54da54ee91a6d2d51486ebe13b0999701943dd6</x:v>
      </x:c>
      <x:c r="H594" s="28" t="n">
        <x:v>1</x:v>
      </x:c>
      <x:c r="I594" s="28" t="n">
        <x:v>1</x:v>
      </x:c>
      <x:c r="J594" s="28" t="n">
        <x:v>0</x:v>
      </x:c>
      <x:c r="K594" s="28" t="n">
        <x:v>0</x:v>
      </x:c>
      <x:c r="L594" s="28" t="n">
        <x:v>0</x:v>
      </x:c>
      <x:c r="M594" s="28" t="n">
        <x:v>0</x:v>
      </x:c>
      <x:c r="N594" s="22" t="str"/>
      <x:c r="O594" s="22" t="str"/>
      <x:c r="P594" s="22" t="n">
        <x:v>0</x:v>
      </x:c>
      <x:c r="Q594" s="40" t="n">
        <x:v>0</x:v>
      </x:c>
      <x:c r="R594" s="25" t="str"/>
      <x:c r="S594" s="25" t="str">
        <x:v>BOQ_NAME_ONLY</x:v>
      </x:c>
      <x:c r="T594" s="25" t="str">
        <x:v>자동 표 신호는 최종 A/B로 승격하지 않음</x:v>
      </x:c>
      <x:c r="U594" s="22" t="str">
        <x:v>2021-2025</x:v>
      </x:c>
    </x:row>
    <x:row r="595">
      <x:c r="A595" s="22" t="str">
        <x:v>2020-00086</x:v>
      </x:c>
      <x:c r="B595" s="22" t="str">
        <x:v>L2023-00053-1</x:v>
      </x:c>
      <x:c r="C595" s="22" t="str">
        <x:v>WORKS</x:v>
      </x:c>
      <x:c r="D595" s="25" t="str">
        <x:v>L2023-00053-1/Urgench VTC Bid Attachment Documents/Urgench VTC Bid Attachment Documents/Section 4.  Bill of Quantities(Not-Priced)/공내역서/VTC견적서/1 АДМИН ЗДАНИЕ(Admin. Build)/1-8 ТМ (Boiler &amp; Solar heating)/13423_vrmu.xls</x:v>
      </x:c>
      <x:c r="E595" s="22" t="str">
        <x:v>.xls</x:v>
      </x:c>
      <x:c r="F595" s="28" t="n">
        <x:v>84480</x:v>
      </x:c>
      <x:c r="G595" s="28" t="str">
        <x:v>a54c2fcb25747bfe4b9ef498e03a257b08f2e783b9e9f49c3876e0aff148bd9c</x:v>
      </x:c>
      <x:c r="H595" s="28" t="n">
        <x:v>1</x:v>
      </x:c>
      <x:c r="I595" s="28" t="n">
        <x:v>1</x:v>
      </x:c>
      <x:c r="J595" s="28" t="n">
        <x:v>1</x:v>
      </x:c>
      <x:c r="K595" s="28" t="n">
        <x:v>170</x:v>
      </x:c>
      <x:c r="L595" s="28" t="n">
        <x:v>1</x:v>
      </x:c>
      <x:c r="M595" s="28" t="n">
        <x:v>0</x:v>
      </x:c>
      <x:c r="N595" s="22" t="str">
        <x:v>Лист1</x:v>
      </x:c>
      <x:c r="O595" s="22" t="str">
        <x:v>visible</x:v>
      </x:c>
      <x:c r="P595" s="22" t="n">
        <x:v>8</x:v>
      </x:c>
      <x:c r="Q595" s="40" t="n">
        <x:v>0.0058823529411764705</x:v>
      </x:c>
      <x:c r="R595" s="25" t="str"/>
      <x:c r="S595" s="25" t="str">
        <x:v>B?</x:v>
      </x:c>
      <x:c r="T595" s="25" t="str">
        <x:v>자동 표 신호는 최종 A/B로 승격하지 않음</x:v>
      </x:c>
      <x:c r="U595" s="22" t="str">
        <x:v>2021-2025</x:v>
      </x:c>
    </x:row>
    <x:row r="596">
      <x:c r="A596" s="22" t="str">
        <x:v>2020-00086</x:v>
      </x:c>
      <x:c r="B596" s="22" t="str">
        <x:v>L2023-00053-1</x:v>
      </x:c>
      <x:c r="C596" s="22" t="str">
        <x:v>WORKS</x:v>
      </x:c>
      <x:c r="D596" s="25" t="str">
        <x:v>L2023-00053-1/Urgench VTC Bid Attachment Documents/Urgench VTC Bid Attachment Documents/Section 4.  Bill of Quantities(Not-Priced)/공내역서/VTC견적서/1 АДМИН ЗДАНИЕ(Admin. Build)/1-8 ТМ (Boiler &amp; Solar heating)/13423_vfor.xls</x:v>
      </x:c>
      <x:c r="E596" s="22" t="str">
        <x:v>.xls</x:v>
      </x:c>
      <x:c r="F596" s="28" t="n">
        <x:v>59392</x:v>
      </x:c>
      <x:c r="G596" s="28" t="str">
        <x:v>4fe45df97a3ca51ea360b356de5895b9deb0d9cd61ae11d2664eed6687d6f3d6</x:v>
      </x:c>
      <x:c r="H596" s="28" t="n">
        <x:v>1</x:v>
      </x:c>
      <x:c r="I596" s="28" t="n">
        <x:v>1</x:v>
      </x:c>
      <x:c r="J596" s="28" t="n">
        <x:v>0</x:v>
      </x:c>
      <x:c r="K596" s="28" t="n">
        <x:v>0</x:v>
      </x:c>
      <x:c r="L596" s="28" t="n">
        <x:v>0</x:v>
      </x:c>
      <x:c r="M596" s="28" t="n">
        <x:v>0</x:v>
      </x:c>
      <x:c r="N596" s="22" t="str"/>
      <x:c r="O596" s="22" t="str"/>
      <x:c r="P596" s="22" t="n">
        <x:v>0</x:v>
      </x:c>
      <x:c r="Q596" s="40" t="n">
        <x:v>0</x:v>
      </x:c>
      <x:c r="R596" s="25" t="str"/>
      <x:c r="S596" s="25" t="str">
        <x:v>BOQ_NAME_ONLY</x:v>
      </x:c>
      <x:c r="T596" s="25" t="str">
        <x:v>자동 표 신호는 최종 A/B로 승격하지 않음</x:v>
      </x:c>
      <x:c r="U596" s="22" t="str">
        <x:v>2021-2025</x:v>
      </x:c>
    </x:row>
    <x:row r="597">
      <x:c r="A597" s="22" t="str">
        <x:v>2020-00086</x:v>
      </x:c>
      <x:c r="B597" s="22" t="str">
        <x:v>L2023-00053-1</x:v>
      </x:c>
      <x:c r="C597" s="22" t="str">
        <x:v>WORKS</x:v>
      </x:c>
      <x:c r="D597" s="25" t="str">
        <x:v>L2023-00053-1/Urgench VTC Bid Attachment Documents/Urgench VTC Bid Attachment Documents/Section 4.  Bill of Quantities(Not-Priced)/공내역서/VTC견적서/1 АДМИН ЗДАНИЕ(Admin. Build)/1-2 АР(Architecture)/13373_vrmu.xls</x:v>
      </x:c>
      <x:c r="E597" s="22" t="str">
        <x:v>.xls</x:v>
      </x:c>
      <x:c r="F597" s="28" t="n">
        <x:v>78336</x:v>
      </x:c>
      <x:c r="G597" s="28" t="str">
        <x:v>d8937a8073c4ef846f2a1d0ed67d95e4a5466aa94bfcffaee1af02f63a42d713</x:v>
      </x:c>
      <x:c r="H597" s="28" t="n">
        <x:v>1</x:v>
      </x:c>
      <x:c r="I597" s="28" t="n">
        <x:v>1</x:v>
      </x:c>
      <x:c r="J597" s="28" t="n">
        <x:v>1</x:v>
      </x:c>
      <x:c r="K597" s="28" t="n">
        <x:v>173</x:v>
      </x:c>
      <x:c r="L597" s="28" t="n">
        <x:v>1</x:v>
      </x:c>
      <x:c r="M597" s="28" t="n">
        <x:v>0</x:v>
      </x:c>
      <x:c r="N597" s="22" t="str">
        <x:v>Лист1</x:v>
      </x:c>
      <x:c r="O597" s="22" t="str">
        <x:v>visible</x:v>
      </x:c>
      <x:c r="P597" s="22" t="n">
        <x:v>8</x:v>
      </x:c>
      <x:c r="Q597" s="40" t="n">
        <x:v>0.005780346820809248</x:v>
      </x:c>
      <x:c r="R597" s="25" t="str"/>
      <x:c r="S597" s="25" t="str">
        <x:v>B?</x:v>
      </x:c>
      <x:c r="T597" s="25" t="str">
        <x:v>자동 표 신호는 최종 A/B로 승격하지 않음</x:v>
      </x:c>
      <x:c r="U597" s="22" t="str">
        <x:v>2021-2025</x:v>
      </x:c>
    </x:row>
    <x:row r="598">
      <x:c r="A598" s="22" t="str">
        <x:v>2020-00086</x:v>
      </x:c>
      <x:c r="B598" s="22" t="str">
        <x:v>L2023-00053-1</x:v>
      </x:c>
      <x:c r="C598" s="22" t="str">
        <x:v>WORKS</x:v>
      </x:c>
      <x:c r="D598" s="25" t="str">
        <x:v>L2023-00053-1/Urgench VTC Bid Attachment Documents/Urgench VTC Bid Attachment Documents/Section 4.  Bill of Quantities(Not-Priced)/공내역서/VTC견적서/1 АДМИН ЗДАНИЕ(Admin. Build)/1-2 АР(Architecture)/bv13370.xls</x:v>
      </x:c>
      <x:c r="E598" s="22" t="str">
        <x:v>.xls</x:v>
      </x:c>
      <x:c r="F598" s="28" t="n">
        <x:v>210944</x:v>
      </x:c>
      <x:c r="G598" s="28" t="str">
        <x:v>8de2bc3d895d879ac1baa522646d817648368da6f2ca6310cdce9e83c7414649</x:v>
      </x:c>
      <x:c r="H598" s="28" t="n">
        <x:v>1</x:v>
      </x:c>
      <x:c r="I598" s="28" t="n">
        <x:v>1</x:v>
      </x:c>
      <x:c r="J598" s="28" t="n">
        <x:v>0</x:v>
      </x:c>
      <x:c r="K598" s="28" t="n">
        <x:v>0</x:v>
      </x:c>
      <x:c r="L598" s="28" t="n">
        <x:v>0</x:v>
      </x:c>
      <x:c r="M598" s="28" t="n">
        <x:v>0</x:v>
      </x:c>
      <x:c r="N598" s="22" t="str"/>
      <x:c r="O598" s="22" t="str"/>
      <x:c r="P598" s="22" t="n">
        <x:v>0</x:v>
      </x:c>
      <x:c r="Q598" s="40" t="n">
        <x:v>0</x:v>
      </x:c>
      <x:c r="R598" s="25" t="str"/>
      <x:c r="S598" s="25" t="str">
        <x:v>BOQ_NAME_ONLY</x:v>
      </x:c>
      <x:c r="T598" s="25" t="str">
        <x:v>자동 표 신호는 최종 A/B로 승격하지 않음</x:v>
      </x:c>
      <x:c r="U598" s="22" t="str">
        <x:v>2021-2025</x:v>
      </x:c>
    </x:row>
    <x:row r="599">
      <x:c r="A599" s="22" t="str">
        <x:v>2020-00086</x:v>
      </x:c>
      <x:c r="B599" s="22" t="str">
        <x:v>L2023-00053-1</x:v>
      </x:c>
      <x:c r="C599" s="22" t="str">
        <x:v>WORKS</x:v>
      </x:c>
      <x:c r="D599" s="25" t="str">
        <x:v>L2023-00053-1/Urgench VTC Bid Attachment Documents/Urgench VTC Bid Attachment Documents/Section 4.  Bill of Quantities(Not-Priced)/공내역서/VTC견적서/1 АДМИН ЗДАНИЕ(Admin. Build)/1-2 АР(Architecture)/13373_vfor.xls</x:v>
      </x:c>
      <x:c r="E599" s="22" t="str">
        <x:v>.xls</x:v>
      </x:c>
      <x:c r="F599" s="28" t="n">
        <x:v>53248</x:v>
      </x:c>
      <x:c r="G599" s="28" t="str">
        <x:v>1fd794da035727f9b400374fd614b001fa502fae9e609f298084c9c1ba246f47</x:v>
      </x:c>
      <x:c r="H599" s="28" t="n">
        <x:v>1</x:v>
      </x:c>
      <x:c r="I599" s="28" t="n">
        <x:v>1</x:v>
      </x:c>
      <x:c r="J599" s="28" t="n">
        <x:v>0</x:v>
      </x:c>
      <x:c r="K599" s="28" t="n">
        <x:v>0</x:v>
      </x:c>
      <x:c r="L599" s="28" t="n">
        <x:v>0</x:v>
      </x:c>
      <x:c r="M599" s="28" t="n">
        <x:v>0</x:v>
      </x:c>
      <x:c r="N599" s="22" t="str"/>
      <x:c r="O599" s="22" t="str"/>
      <x:c r="P599" s="22" t="n">
        <x:v>0</x:v>
      </x:c>
      <x:c r="Q599" s="40" t="n">
        <x:v>0</x:v>
      </x:c>
      <x:c r="R599" s="25" t="str"/>
      <x:c r="S599" s="25" t="str">
        <x:v>BOQ_NAME_ONLY</x:v>
      </x:c>
      <x:c r="T599" s="25" t="str">
        <x:v>자동 표 신호는 최종 A/B로 승격하지 않음</x:v>
      </x:c>
      <x:c r="U599" s="22" t="str">
        <x:v>2021-2025</x:v>
      </x:c>
    </x:row>
    <x:row r="600">
      <x:c r="A600" s="22" t="str">
        <x:v>2020-00086</x:v>
      </x:c>
      <x:c r="B600" s="22" t="str">
        <x:v>L2023-00053-1</x:v>
      </x:c>
      <x:c r="C600" s="22" t="str">
        <x:v>WORKS</x:v>
      </x:c>
      <x:c r="D600" s="25" t="str">
        <x:v>L2023-00053-1/Urgench VTC Bid Attachment Documents/Urgench VTC Bid Attachment Documents/Section 4.  Bill of Quantities(Not-Priced)/공내역서/VTC견적서/1 АДМИН ЗДАНИЕ(Admin. Build)/1-9 ГСВ(Gas)/13463_vrmu.xls</x:v>
      </x:c>
      <x:c r="E600" s="22" t="str">
        <x:v>.xls</x:v>
      </x:c>
      <x:c r="F600" s="28" t="n">
        <x:v>57344</x:v>
      </x:c>
      <x:c r="G600" s="28" t="str">
        <x:v>1501c33f8e5b96476ddea53841abdd3c2adb92e4d3e866d7096938be3f8c71a6</x:v>
      </x:c>
      <x:c r="H600" s="28" t="n">
        <x:v>1</x:v>
      </x:c>
      <x:c r="I600" s="28" t="n">
        <x:v>1</x:v>
      </x:c>
      <x:c r="J600" s="28" t="n">
        <x:v>1</x:v>
      </x:c>
      <x:c r="K600" s="28" t="n">
        <x:v>72</x:v>
      </x:c>
      <x:c r="L600" s="28" t="n">
        <x:v>1</x:v>
      </x:c>
      <x:c r="M600" s="28" t="n">
        <x:v>0</x:v>
      </x:c>
      <x:c r="N600" s="22" t="str">
        <x:v>Лист1</x:v>
      </x:c>
      <x:c r="O600" s="22" t="str">
        <x:v>visible</x:v>
      </x:c>
      <x:c r="P600" s="22" t="n">
        <x:v>8</x:v>
      </x:c>
      <x:c r="Q600" s="40" t="n">
        <x:v>0.013888888888888888</x:v>
      </x:c>
      <x:c r="R600" s="25" t="str"/>
      <x:c r="S600" s="25" t="str">
        <x:v>B?</x:v>
      </x:c>
      <x:c r="T600" s="25" t="str">
        <x:v>자동 표 신호는 최종 A/B로 승격하지 않음</x:v>
      </x:c>
      <x:c r="U600" s="22" t="str">
        <x:v>2021-2025</x:v>
      </x:c>
    </x:row>
    <x:row r="601">
      <x:c r="A601" s="22" t="str">
        <x:v>2020-00086</x:v>
      </x:c>
      <x:c r="B601" s="22" t="str">
        <x:v>L2023-00053-1</x:v>
      </x:c>
      <x:c r="C601" s="22" t="str">
        <x:v>WORKS</x:v>
      </x:c>
      <x:c r="D601" s="25" t="str">
        <x:v>L2023-00053-1/Urgench VTC Bid Attachment Documents/Urgench VTC Bid Attachment Documents/Section 4.  Bill of Quantities(Not-Priced)/공내역서/VTC견적서/1 АДМИН ЗДАНИЕ(Admin. Build)/1-9 ГСВ(Gas)/bv13460.xls</x:v>
      </x:c>
      <x:c r="E601" s="22" t="str">
        <x:v>.xls</x:v>
      </x:c>
      <x:c r="F601" s="28" t="n">
        <x:v>96256</x:v>
      </x:c>
      <x:c r="G601" s="28" t="str">
        <x:v>588c1f649649826e30b0665d9a48f62f1bb7b8c32ecd2910dbcab3cb69e9168f</x:v>
      </x:c>
      <x:c r="H601" s="28" t="n">
        <x:v>1</x:v>
      </x:c>
      <x:c r="I601" s="28" t="n">
        <x:v>1</x:v>
      </x:c>
      <x:c r="J601" s="28" t="n">
        <x:v>0</x:v>
      </x:c>
      <x:c r="K601" s="28" t="n">
        <x:v>0</x:v>
      </x:c>
      <x:c r="L601" s="28" t="n">
        <x:v>0</x:v>
      </x:c>
      <x:c r="M601" s="28" t="n">
        <x:v>0</x:v>
      </x:c>
      <x:c r="N601" s="22" t="str"/>
      <x:c r="O601" s="22" t="str"/>
      <x:c r="P601" s="22" t="n">
        <x:v>0</x:v>
      </x:c>
      <x:c r="Q601" s="40" t="n">
        <x:v>0</x:v>
      </x:c>
      <x:c r="R601" s="25" t="str"/>
      <x:c r="S601" s="25" t="str">
        <x:v>BOQ_NAME_ONLY</x:v>
      </x:c>
      <x:c r="T601" s="25" t="str">
        <x:v>자동 표 신호는 최종 A/B로 승격하지 않음</x:v>
      </x:c>
      <x:c r="U601" s="22" t="str">
        <x:v>2021-2025</x:v>
      </x:c>
    </x:row>
    <x:row r="602">
      <x:c r="A602" s="22" t="str">
        <x:v>2020-00086</x:v>
      </x:c>
      <x:c r="B602" s="22" t="str">
        <x:v>L2023-00053-1</x:v>
      </x:c>
      <x:c r="C602" s="22" t="str">
        <x:v>WORKS</x:v>
      </x:c>
      <x:c r="D602" s="25" t="str">
        <x:v>L2023-00053-1/Urgench VTC Bid Attachment Documents/Urgench VTC Bid Attachment Documents/Section 4.  Bill of Quantities(Not-Priced)/공내역서/VTC견적서/1 АДМИН ЗДАНИЕ(Admin. Build)/1-9 ГСВ(Gas)/13463_vfor.xls</x:v>
      </x:c>
      <x:c r="E602" s="22" t="str">
        <x:v>.xls</x:v>
      </x:c>
      <x:c r="F602" s="28" t="n">
        <x:v>37888</x:v>
      </x:c>
      <x:c r="G602" s="28" t="str">
        <x:v>25912c3b07a4bfa20711c5089964aa1b96918b731753114e83bff382b00543b4</x:v>
      </x:c>
      <x:c r="H602" s="28" t="n">
        <x:v>1</x:v>
      </x:c>
      <x:c r="I602" s="28" t="n">
        <x:v>1</x:v>
      </x:c>
      <x:c r="J602" s="28" t="n">
        <x:v>0</x:v>
      </x:c>
      <x:c r="K602" s="28" t="n">
        <x:v>0</x:v>
      </x:c>
      <x:c r="L602" s="28" t="n">
        <x:v>0</x:v>
      </x:c>
      <x:c r="M602" s="28" t="n">
        <x:v>0</x:v>
      </x:c>
      <x:c r="N602" s="22" t="str"/>
      <x:c r="O602" s="22" t="str"/>
      <x:c r="P602" s="22" t="n">
        <x:v>0</x:v>
      </x:c>
      <x:c r="Q602" s="40" t="n">
        <x:v>0</x:v>
      </x:c>
      <x:c r="R602" s="25" t="str"/>
      <x:c r="S602" s="25" t="str">
        <x:v>BOQ_NAME_ONLY</x:v>
      </x:c>
      <x:c r="T602" s="25" t="str">
        <x:v>자동 표 신호는 최종 A/B로 승격하지 않음</x:v>
      </x:c>
      <x:c r="U602" s="22" t="str">
        <x:v>2021-2025</x:v>
      </x:c>
    </x:row>
    <x:row r="603">
      <x:c r="A603" s="22" t="str">
        <x:v>2020-00086</x:v>
      </x:c>
      <x:c r="B603" s="22" t="str">
        <x:v>L2023-00053-1</x:v>
      </x:c>
      <x:c r="C603" s="22" t="str">
        <x:v>WORKS</x:v>
      </x:c>
      <x:c r="D603" s="25" t="str">
        <x:v>L2023-00053-1/Urgench VTC Bid Attachment Documents/Urgench VTC Bid Attachment Documents/Section 4.  Bill of Quantities(Not-Priced)/공내역서/VTC견적서/5 МИНИКУХНЯ(Mini Cafe)/5-3 ОВ(Heating &amp; Ventilation)/13543_vrmu.xls</x:v>
      </x:c>
      <x:c r="E603" s="22" t="str">
        <x:v>.xls</x:v>
      </x:c>
      <x:c r="F603" s="28" t="n">
        <x:v>49664</x:v>
      </x:c>
      <x:c r="G603" s="28" t="str">
        <x:v>2e0c5447782587d021f6d8f036576bc903e602712197c33721262ba5cc1fc354</x:v>
      </x:c>
      <x:c r="H603" s="28" t="n">
        <x:v>1</x:v>
      </x:c>
      <x:c r="I603" s="28" t="n">
        <x:v>1</x:v>
      </x:c>
      <x:c r="J603" s="28" t="n">
        <x:v>1</x:v>
      </x:c>
      <x:c r="K603" s="28" t="n">
        <x:v>45</x:v>
      </x:c>
      <x:c r="L603" s="28" t="n">
        <x:v>1</x:v>
      </x:c>
      <x:c r="M603" s="28" t="n">
        <x:v>0</x:v>
      </x:c>
      <x:c r="N603" s="22" t="str">
        <x:v>Лист1</x:v>
      </x:c>
      <x:c r="O603" s="22" t="str">
        <x:v>visible</x:v>
      </x:c>
      <x:c r="P603" s="22" t="n">
        <x:v>8</x:v>
      </x:c>
      <x:c r="Q603" s="40" t="n">
        <x:v>0.022222222222222223</x:v>
      </x:c>
      <x:c r="R603" s="25" t="str"/>
      <x:c r="S603" s="25" t="str">
        <x:v>B?</x:v>
      </x:c>
      <x:c r="T603" s="25" t="str">
        <x:v>자동 표 신호는 최종 A/B로 승격하지 않음</x:v>
      </x:c>
      <x:c r="U603" s="22" t="str">
        <x:v>2021-2025</x:v>
      </x:c>
    </x:row>
    <x:row r="604">
      <x:c r="A604" s="22" t="str">
        <x:v>2020-00086</x:v>
      </x:c>
      <x:c r="B604" s="22" t="str">
        <x:v>L2023-00053-1</x:v>
      </x:c>
      <x:c r="C604" s="22" t="str">
        <x:v>WORKS</x:v>
      </x:c>
      <x:c r="D604" s="25" t="str">
        <x:v>L2023-00053-1/Urgench VTC Bid Attachment Documents/Urgench VTC Bid Attachment Documents/Section 4.  Bill of Quantities(Not-Priced)/공내역서/VTC견적서/5 МИНИКУХНЯ(Mini Cafe)/5-3 ОВ(Heating &amp; Ventilation)/13543_vfor.xls</x:v>
      </x:c>
      <x:c r="E604" s="22" t="str">
        <x:v>.xls</x:v>
      </x:c>
      <x:c r="F604" s="28" t="n">
        <x:v>32768</x:v>
      </x:c>
      <x:c r="G604" s="28" t="str">
        <x:v>876a0957fc6163b0b1e4ad5810ee7d53956a2d9014cbba2d4ea4baf23224ec61</x:v>
      </x:c>
      <x:c r="H604" s="28" t="n">
        <x:v>1</x:v>
      </x:c>
      <x:c r="I604" s="28" t="n">
        <x:v>1</x:v>
      </x:c>
      <x:c r="J604" s="28" t="n">
        <x:v>0</x:v>
      </x:c>
      <x:c r="K604" s="28" t="n">
        <x:v>0</x:v>
      </x:c>
      <x:c r="L604" s="28" t="n">
        <x:v>0</x:v>
      </x:c>
      <x:c r="M604" s="28" t="n">
        <x:v>0</x:v>
      </x:c>
      <x:c r="N604" s="22" t="str"/>
      <x:c r="O604" s="22" t="str"/>
      <x:c r="P604" s="22" t="n">
        <x:v>0</x:v>
      </x:c>
      <x:c r="Q604" s="40" t="n">
        <x:v>0</x:v>
      </x:c>
      <x:c r="R604" s="25" t="str"/>
      <x:c r="S604" s="25" t="str">
        <x:v>BOQ_NAME_ONLY</x:v>
      </x:c>
      <x:c r="T604" s="25" t="str">
        <x:v>자동 표 신호는 최종 A/B로 승격하지 않음</x:v>
      </x:c>
      <x:c r="U604" s="22" t="str">
        <x:v>2021-2025</x:v>
      </x:c>
    </x:row>
    <x:row r="605">
      <x:c r="A605" s="22" t="str">
        <x:v>2020-00086</x:v>
      </x:c>
      <x:c r="B605" s="22" t="str">
        <x:v>L2023-00053-1</x:v>
      </x:c>
      <x:c r="C605" s="22" t="str">
        <x:v>WORKS</x:v>
      </x:c>
      <x:c r="D605" s="25" t="str">
        <x:v>L2023-00053-1/Urgench VTC Bid Attachment Documents/Urgench VTC Bid Attachment Documents/Section 4.  Bill of Quantities(Not-Priced)/공내역서/VTC견적서/5 МИНИКУХНЯ(Mini Cafe)/5-3 ОВ(Heating &amp; Ventilation)/bv13540.xls</x:v>
      </x:c>
      <x:c r="E605" s="22" t="str">
        <x:v>.xls</x:v>
      </x:c>
      <x:c r="F605" s="28" t="n">
        <x:v>65536</x:v>
      </x:c>
      <x:c r="G605" s="28" t="str">
        <x:v>f02a015b345ee86a5346018105e60337b5af91dc340467ec926133d010d70b8f</x:v>
      </x:c>
      <x:c r="H605" s="28" t="n">
        <x:v>1</x:v>
      </x:c>
      <x:c r="I605" s="28" t="n">
        <x:v>1</x:v>
      </x:c>
      <x:c r="J605" s="28" t="n">
        <x:v>0</x:v>
      </x:c>
      <x:c r="K605" s="28" t="n">
        <x:v>0</x:v>
      </x:c>
      <x:c r="L605" s="28" t="n">
        <x:v>0</x:v>
      </x:c>
      <x:c r="M605" s="28" t="n">
        <x:v>0</x:v>
      </x:c>
      <x:c r="N605" s="22" t="str"/>
      <x:c r="O605" s="22" t="str"/>
      <x:c r="P605" s="22" t="n">
        <x:v>0</x:v>
      </x:c>
      <x:c r="Q605" s="40" t="n">
        <x:v>0</x:v>
      </x:c>
      <x:c r="R605" s="25" t="str"/>
      <x:c r="S605" s="25" t="str">
        <x:v>BOQ_NAME_ONLY</x:v>
      </x:c>
      <x:c r="T605" s="25" t="str">
        <x:v>자동 표 신호는 최종 A/B로 승격하지 않음</x:v>
      </x:c>
      <x:c r="U605" s="22" t="str">
        <x:v>2021-2025</x:v>
      </x:c>
    </x:row>
    <x:row r="606">
      <x:c r="A606" s="22" t="str">
        <x:v>2020-00086</x:v>
      </x:c>
      <x:c r="B606" s="22" t="str">
        <x:v>L2023-00053-1</x:v>
      </x:c>
      <x:c r="C606" s="22" t="str">
        <x:v>WORKS</x:v>
      </x:c>
      <x:c r="D606" s="25" t="str">
        <x:v>L2023-00053-1/Urgench VTC Bid Attachment Documents/Urgench VTC Bid Attachment Documents/Section 4.  Bill of Quantities(Not-Priced)/공내역서/VTC견적서/5 МИНИКУХНЯ(Mini Cafe)/5-2 АР(Architecture)/bv13190.xls</x:v>
      </x:c>
      <x:c r="E606" s="22" t="str">
        <x:v>.xls</x:v>
      </x:c>
      <x:c r="F606" s="28" t="n">
        <x:v>114176</x:v>
      </x:c>
      <x:c r="G606" s="28" t="str">
        <x:v>4ade510ed9f6b01414dd3b9e208d36868bcf0fe70bb6352beb850b258163fe9f</x:v>
      </x:c>
      <x:c r="H606" s="28" t="n">
        <x:v>1</x:v>
      </x:c>
      <x:c r="I606" s="28" t="n">
        <x:v>1</x:v>
      </x:c>
      <x:c r="J606" s="28" t="n">
        <x:v>0</x:v>
      </x:c>
      <x:c r="K606" s="28" t="n">
        <x:v>0</x:v>
      </x:c>
      <x:c r="L606" s="28" t="n">
        <x:v>0</x:v>
      </x:c>
      <x:c r="M606" s="28" t="n">
        <x:v>0</x:v>
      </x:c>
      <x:c r="N606" s="22" t="str"/>
      <x:c r="O606" s="22" t="str"/>
      <x:c r="P606" s="22" t="n">
        <x:v>0</x:v>
      </x:c>
      <x:c r="Q606" s="40" t="n">
        <x:v>0</x:v>
      </x:c>
      <x:c r="R606" s="25" t="str"/>
      <x:c r="S606" s="25" t="str">
        <x:v>BOQ_NAME_ONLY</x:v>
      </x:c>
      <x:c r="T606" s="25" t="str">
        <x:v>자동 표 신호는 최종 A/B로 승격하지 않음</x:v>
      </x:c>
      <x:c r="U606" s="22" t="str">
        <x:v>2021-2025</x:v>
      </x:c>
    </x:row>
    <x:row r="607">
      <x:c r="A607" s="22" t="str">
        <x:v>2020-00086</x:v>
      </x:c>
      <x:c r="B607" s="22" t="str">
        <x:v>L2023-00053-1</x:v>
      </x:c>
      <x:c r="C607" s="22" t="str">
        <x:v>WORKS</x:v>
      </x:c>
      <x:c r="D607" s="25" t="str">
        <x:v>L2023-00053-1/Urgench VTC Bid Attachment Documents/Urgench VTC Bid Attachment Documents/Section 4.  Bill of Quantities(Not-Priced)/공내역서/VTC견적서/5 МИНИКУХНЯ(Mini Cafe)/5-2 АР(Architecture)/13193_vrmu.xls</x:v>
      </x:c>
      <x:c r="E607" s="22" t="str">
        <x:v>.xls</x:v>
      </x:c>
      <x:c r="F607" s="28" t="n">
        <x:v>59392</x:v>
      </x:c>
      <x:c r="G607" s="28" t="str">
        <x:v>32390eeba886734409c4cffd1bac48a8b2621f64ee819bc516ce95d6ce0de568</x:v>
      </x:c>
      <x:c r="H607" s="28" t="n">
        <x:v>1</x:v>
      </x:c>
      <x:c r="I607" s="28" t="n">
        <x:v>1</x:v>
      </x:c>
      <x:c r="J607" s="28" t="n">
        <x:v>1</x:v>
      </x:c>
      <x:c r="K607" s="28" t="n">
        <x:v>104</x:v>
      </x:c>
      <x:c r="L607" s="28" t="n">
        <x:v>1</x:v>
      </x:c>
      <x:c r="M607" s="28" t="n">
        <x:v>0</x:v>
      </x:c>
      <x:c r="N607" s="22" t="str">
        <x:v>Лист1</x:v>
      </x:c>
      <x:c r="O607" s="22" t="str">
        <x:v>visible</x:v>
      </x:c>
      <x:c r="P607" s="22" t="n">
        <x:v>8</x:v>
      </x:c>
      <x:c r="Q607" s="40" t="n">
        <x:v>0.009615384615384616</x:v>
      </x:c>
      <x:c r="R607" s="25" t="str"/>
      <x:c r="S607" s="25" t="str">
        <x:v>B?</x:v>
      </x:c>
      <x:c r="T607" s="25" t="str">
        <x:v>자동 표 신호는 최종 A/B로 승격하지 않음</x:v>
      </x:c>
      <x:c r="U607" s="22" t="str">
        <x:v>2021-2025</x:v>
      </x:c>
    </x:row>
    <x:row r="608">
      <x:c r="A608" s="22" t="str">
        <x:v>2020-00086</x:v>
      </x:c>
      <x:c r="B608" s="22" t="str">
        <x:v>L2023-00053-1</x:v>
      </x:c>
      <x:c r="C608" s="22" t="str">
        <x:v>WORKS</x:v>
      </x:c>
      <x:c r="D608" s="25" t="str">
        <x:v>L2023-00053-1/Urgench VTC Bid Attachment Documents/Urgench VTC Bid Attachment Documents/Section 4.  Bill of Quantities(Not-Priced)/공내역서/VTC견적서/5 МИНИКУХНЯ(Mini Cafe)/5-2 АР(Architecture)/13193_vfor.xls</x:v>
      </x:c>
      <x:c r="E608" s="22" t="str">
        <x:v>.xls</x:v>
      </x:c>
      <x:c r="F608" s="28" t="n">
        <x:v>40960</x:v>
      </x:c>
      <x:c r="G608" s="28" t="str">
        <x:v>f62d6e52a875e6096a3b3750725b2d51bc1fd31530c2873884d5a5d062914d99</x:v>
      </x:c>
      <x:c r="H608" s="28" t="n">
        <x:v>1</x:v>
      </x:c>
      <x:c r="I608" s="28" t="n">
        <x:v>1</x:v>
      </x:c>
      <x:c r="J608" s="28" t="n">
        <x:v>0</x:v>
      </x:c>
      <x:c r="K608" s="28" t="n">
        <x:v>0</x:v>
      </x:c>
      <x:c r="L608" s="28" t="n">
        <x:v>0</x:v>
      </x:c>
      <x:c r="M608" s="28" t="n">
        <x:v>0</x:v>
      </x:c>
      <x:c r="N608" s="22" t="str"/>
      <x:c r="O608" s="22" t="str"/>
      <x:c r="P608" s="22" t="n">
        <x:v>0</x:v>
      </x:c>
      <x:c r="Q608" s="40" t="n">
        <x:v>0</x:v>
      </x:c>
      <x:c r="R608" s="25" t="str"/>
      <x:c r="S608" s="25" t="str">
        <x:v>BOQ_NAME_ONLY</x:v>
      </x:c>
      <x:c r="T608" s="25" t="str">
        <x:v>자동 표 신호는 최종 A/B로 승격하지 않음</x:v>
      </x:c>
      <x:c r="U608" s="22" t="str">
        <x:v>2021-2025</x:v>
      </x:c>
    </x:row>
    <x:row r="609">
      <x:c r="A609" s="22" t="str">
        <x:v>2020-00086</x:v>
      </x:c>
      <x:c r="B609" s="22" t="str">
        <x:v>L2023-00053-1</x:v>
      </x:c>
      <x:c r="C609" s="22" t="str">
        <x:v>WORKS</x:v>
      </x:c>
      <x:c r="D609" s="25" t="str">
        <x:v>L2023-00053-1/Urgench VTC Bid Attachment Documents/Urgench VTC Bid Attachment Documents/Section 4.  Bill of Quantities(Not-Priced)/공내역서/VTC견적서/5 МИНИКУХНЯ(Mini Cafe)/5-5 ЭО(Electric)/13523_vrmu.xls</x:v>
      </x:c>
      <x:c r="E609" s="22" t="str">
        <x:v>.xls</x:v>
      </x:c>
      <x:c r="F609" s="28" t="n">
        <x:v>51712</x:v>
      </x:c>
      <x:c r="G609" s="28" t="str">
        <x:v>7e16265662d64e011839c6562a409b724755257307d17d53527af9a45b14d4e6</x:v>
      </x:c>
      <x:c r="H609" s="28" t="n">
        <x:v>1</x:v>
      </x:c>
      <x:c r="I609" s="28" t="n">
        <x:v>1</x:v>
      </x:c>
      <x:c r="J609" s="28" t="n">
        <x:v>1</x:v>
      </x:c>
      <x:c r="K609" s="28" t="n">
        <x:v>51</x:v>
      </x:c>
      <x:c r="L609" s="28" t="n">
        <x:v>1</x:v>
      </x:c>
      <x:c r="M609" s="28" t="n">
        <x:v>0</x:v>
      </x:c>
      <x:c r="N609" s="22" t="str">
        <x:v>Лист1</x:v>
      </x:c>
      <x:c r="O609" s="22" t="str">
        <x:v>visible</x:v>
      </x:c>
      <x:c r="P609" s="22" t="n">
        <x:v>8</x:v>
      </x:c>
      <x:c r="Q609" s="40" t="n">
        <x:v>0.0196078431372549</x:v>
      </x:c>
      <x:c r="R609" s="25" t="str"/>
      <x:c r="S609" s="25" t="str">
        <x:v>B?</x:v>
      </x:c>
      <x:c r="T609" s="25" t="str">
        <x:v>자동 표 신호는 최종 A/B로 승격하지 않음</x:v>
      </x:c>
      <x:c r="U609" s="22" t="str">
        <x:v>2021-2025</x:v>
      </x:c>
    </x:row>
    <x:row r="610">
      <x:c r="A610" s="22" t="str">
        <x:v>2020-00086</x:v>
      </x:c>
      <x:c r="B610" s="22" t="str">
        <x:v>L2023-00053-1</x:v>
      </x:c>
      <x:c r="C610" s="22" t="str">
        <x:v>WORKS</x:v>
      </x:c>
      <x:c r="D610" s="25" t="str">
        <x:v>L2023-00053-1/Urgench VTC Bid Attachment Documents/Urgench VTC Bid Attachment Documents/Section 4.  Bill of Quantities(Not-Priced)/공내역서/VTC견적서/5 МИНИКУХНЯ(Mini Cafe)/5-5 ЭО(Electric)/13523_vfor.xls</x:v>
      </x:c>
      <x:c r="E610" s="22" t="str">
        <x:v>.xls</x:v>
      </x:c>
      <x:c r="F610" s="28" t="n">
        <x:v>38912</x:v>
      </x:c>
      <x:c r="G610" s="28" t="str">
        <x:v>0b8abf0891da011114759f88243e0f71e1a95036c98ea30dad347b4f69ee2b1b</x:v>
      </x:c>
      <x:c r="H610" s="28" t="n">
        <x:v>1</x:v>
      </x:c>
      <x:c r="I610" s="28" t="n">
        <x:v>1</x:v>
      </x:c>
      <x:c r="J610" s="28" t="n">
        <x:v>0</x:v>
      </x:c>
      <x:c r="K610" s="28" t="n">
        <x:v>0</x:v>
      </x:c>
      <x:c r="L610" s="28" t="n">
        <x:v>0</x:v>
      </x:c>
      <x:c r="M610" s="28" t="n">
        <x:v>0</x:v>
      </x:c>
      <x:c r="N610" s="22" t="str"/>
      <x:c r="O610" s="22" t="str"/>
      <x:c r="P610" s="22" t="n">
        <x:v>0</x:v>
      </x:c>
      <x:c r="Q610" s="40" t="n">
        <x:v>0</x:v>
      </x:c>
      <x:c r="R610" s="25" t="str"/>
      <x:c r="S610" s="25" t="str">
        <x:v>BOQ_NAME_ONLY</x:v>
      </x:c>
      <x:c r="T610" s="25" t="str">
        <x:v>자동 표 신호는 최종 A/B로 승격하지 않음</x:v>
      </x:c>
      <x:c r="U610" s="22" t="str">
        <x:v>2021-2025</x:v>
      </x:c>
    </x:row>
    <x:row r="611">
      <x:c r="A611" s="22" t="str">
        <x:v>2020-00086</x:v>
      </x:c>
      <x:c r="B611" s="22" t="str">
        <x:v>L2023-00053-1</x:v>
      </x:c>
      <x:c r="C611" s="22" t="str">
        <x:v>WORKS</x:v>
      </x:c>
      <x:c r="D611" s="25" t="str">
        <x:v>L2023-00053-1/Urgench VTC Bid Attachment Documents/Urgench VTC Bid Attachment Documents/Section 4.  Bill of Quantities(Not-Priced)/공내역서/VTC견적서/5 МИНИКУХНЯ(Mini Cafe)/5-5 ЭО(Electric)/bv13520.xls</x:v>
      </x:c>
      <x:c r="E611" s="22" t="str">
        <x:v>.xls</x:v>
      </x:c>
      <x:c r="F611" s="28" t="n">
        <x:v>72704</x:v>
      </x:c>
      <x:c r="G611" s="28" t="str">
        <x:v>1ada1c8c043ded8552eb8c5daa2fa56c90309d301f171e5fe5761772acfa2c72</x:v>
      </x:c>
      <x:c r="H611" s="28" t="n">
        <x:v>1</x:v>
      </x:c>
      <x:c r="I611" s="28" t="n">
        <x:v>1</x:v>
      </x:c>
      <x:c r="J611" s="28" t="n">
        <x:v>0</x:v>
      </x:c>
      <x:c r="K611" s="28" t="n">
        <x:v>0</x:v>
      </x:c>
      <x:c r="L611" s="28" t="n">
        <x:v>0</x:v>
      </x:c>
      <x:c r="M611" s="28" t="n">
        <x:v>0</x:v>
      </x:c>
      <x:c r="N611" s="22" t="str"/>
      <x:c r="O611" s="22" t="str"/>
      <x:c r="P611" s="22" t="n">
        <x:v>0</x:v>
      </x:c>
      <x:c r="Q611" s="40" t="n">
        <x:v>0</x:v>
      </x:c>
      <x:c r="R611" s="25" t="str"/>
      <x:c r="S611" s="25" t="str">
        <x:v>BOQ_NAME_ONLY</x:v>
      </x:c>
      <x:c r="T611" s="25" t="str">
        <x:v>자동 표 신호는 최종 A/B로 승격하지 않음</x:v>
      </x:c>
      <x:c r="U611" s="22" t="str">
        <x:v>2021-2025</x:v>
      </x:c>
    </x:row>
    <x:row r="612">
      <x:c r="A612" s="22" t="str">
        <x:v>2020-00086</x:v>
      </x:c>
      <x:c r="B612" s="22" t="str">
        <x:v>L2023-00053-1</x:v>
      </x:c>
      <x:c r="C612" s="22" t="str">
        <x:v>WORKS</x:v>
      </x:c>
      <x:c r="D612" s="25" t="str">
        <x:v>L2023-00053-1/Urgench VTC Bid Attachment Documents/Urgench VTC Bid Attachment Documents/Section 4.  Bill of Quantities(Not-Priced)/공내역서/VTC견적서/5 МИНИКУХНЯ(Mini Cafe)/5-6 ПС(Fire Alarm)/13333_vrmu.xls</x:v>
      </x:c>
      <x:c r="E612" s="22" t="str">
        <x:v>.xls</x:v>
      </x:c>
      <x:c r="F612" s="28" t="n">
        <x:v>45568</x:v>
      </x:c>
      <x:c r="G612" s="28" t="str">
        <x:v>c129f77230778e4e75807137b0a081fda18b76c89bfafb91bf998c73b18b42b4</x:v>
      </x:c>
      <x:c r="H612" s="28" t="n">
        <x:v>1</x:v>
      </x:c>
      <x:c r="I612" s="28" t="n">
        <x:v>1</x:v>
      </x:c>
      <x:c r="J612" s="28" t="n">
        <x:v>1</x:v>
      </x:c>
      <x:c r="K612" s="28" t="n">
        <x:v>46</x:v>
      </x:c>
      <x:c r="L612" s="28" t="n">
        <x:v>1</x:v>
      </x:c>
      <x:c r="M612" s="28" t="n">
        <x:v>0</x:v>
      </x:c>
      <x:c r="N612" s="22" t="str">
        <x:v>Лист1</x:v>
      </x:c>
      <x:c r="O612" s="22" t="str">
        <x:v>visible</x:v>
      </x:c>
      <x:c r="P612" s="22" t="n">
        <x:v>8</x:v>
      </x:c>
      <x:c r="Q612" s="40" t="n">
        <x:v>0.021739130434782608</x:v>
      </x:c>
      <x:c r="R612" s="25" t="str"/>
      <x:c r="S612" s="25" t="str">
        <x:v>B?</x:v>
      </x:c>
      <x:c r="T612" s="25" t="str">
        <x:v>자동 표 신호는 최종 A/B로 승격하지 않음</x:v>
      </x:c>
      <x:c r="U612" s="22" t="str">
        <x:v>2021-2025</x:v>
      </x:c>
    </x:row>
    <x:row r="613">
      <x:c r="A613" s="22" t="str">
        <x:v>2020-00086</x:v>
      </x:c>
      <x:c r="B613" s="22" t="str">
        <x:v>L2023-00053-1</x:v>
      </x:c>
      <x:c r="C613" s="22" t="str">
        <x:v>WORKS</x:v>
      </x:c>
      <x:c r="D613" s="25" t="str">
        <x:v>L2023-00053-1/Urgench VTC Bid Attachment Documents/Urgench VTC Bid Attachment Documents/Section 4.  Bill of Quantities(Not-Priced)/공내역서/VTC견적서/5 МИНИКУХНЯ(Mini Cafe)/5-6 ПС(Fire Alarm)/13333_vfor.xls</x:v>
      </x:c>
      <x:c r="E613" s="22" t="str">
        <x:v>.xls</x:v>
      </x:c>
      <x:c r="F613" s="28" t="n">
        <x:v>35328</x:v>
      </x:c>
      <x:c r="G613" s="28" t="str">
        <x:v>10bb19b81831d3a84b82c28f1547ca3fe887463b9f75dee45ccc757eb0779c6c</x:v>
      </x:c>
      <x:c r="H613" s="28" t="n">
        <x:v>1</x:v>
      </x:c>
      <x:c r="I613" s="28" t="n">
        <x:v>1</x:v>
      </x:c>
      <x:c r="J613" s="28" t="n">
        <x:v>0</x:v>
      </x:c>
      <x:c r="K613" s="28" t="n">
        <x:v>0</x:v>
      </x:c>
      <x:c r="L613" s="28" t="n">
        <x:v>0</x:v>
      </x:c>
      <x:c r="M613" s="28" t="n">
        <x:v>0</x:v>
      </x:c>
      <x:c r="N613" s="22" t="str"/>
      <x:c r="O613" s="22" t="str"/>
      <x:c r="P613" s="22" t="n">
        <x:v>0</x:v>
      </x:c>
      <x:c r="Q613" s="40" t="n">
        <x:v>0</x:v>
      </x:c>
      <x:c r="R613" s="25" t="str"/>
      <x:c r="S613" s="25" t="str">
        <x:v>BOQ_NAME_ONLY</x:v>
      </x:c>
      <x:c r="T613" s="25" t="str">
        <x:v>자동 표 신호는 최종 A/B로 승격하지 않음</x:v>
      </x:c>
      <x:c r="U613" s="22" t="str">
        <x:v>2021-2025</x:v>
      </x:c>
    </x:row>
    <x:row r="614">
      <x:c r="A614" s="22" t="str">
        <x:v>2020-00086</x:v>
      </x:c>
      <x:c r="B614" s="22" t="str">
        <x:v>L2023-00053-1</x:v>
      </x:c>
      <x:c r="C614" s="22" t="str">
        <x:v>WORKS</x:v>
      </x:c>
      <x:c r="D614" s="25" t="str">
        <x:v>L2023-00053-1/Urgench VTC Bid Attachment Documents/Urgench VTC Bid Attachment Documents/Section 4.  Bill of Quantities(Not-Priced)/공내역서/VTC견적서/5 МИНИКУХНЯ(Mini Cafe)/5-6 ПС(Fire Alarm)/bv13330.xls</x:v>
      </x:c>
      <x:c r="E614" s="22" t="str">
        <x:v>.xls</x:v>
      </x:c>
      <x:c r="F614" s="28" t="n">
        <x:v>62976</x:v>
      </x:c>
      <x:c r="G614" s="28" t="str">
        <x:v>5285368cbc7c4336c65b8d5e64b9139cb7feafa61bb9ae14627cdc4c2d5c9f76</x:v>
      </x:c>
      <x:c r="H614" s="28" t="n">
        <x:v>1</x:v>
      </x:c>
      <x:c r="I614" s="28" t="n">
        <x:v>1</x:v>
      </x:c>
      <x:c r="J614" s="28" t="n">
        <x:v>0</x:v>
      </x:c>
      <x:c r="K614" s="28" t="n">
        <x:v>0</x:v>
      </x:c>
      <x:c r="L614" s="28" t="n">
        <x:v>0</x:v>
      </x:c>
      <x:c r="M614" s="28" t="n">
        <x:v>0</x:v>
      </x:c>
      <x:c r="N614" s="22" t="str"/>
      <x:c r="O614" s="22" t="str"/>
      <x:c r="P614" s="22" t="n">
        <x:v>0</x:v>
      </x:c>
      <x:c r="Q614" s="40" t="n">
        <x:v>0</x:v>
      </x:c>
      <x:c r="R614" s="25" t="str"/>
      <x:c r="S614" s="25" t="str">
        <x:v>BOQ_NAME_ONLY</x:v>
      </x:c>
      <x:c r="T614" s="25" t="str">
        <x:v>자동 표 신호는 최종 A/B로 승격하지 않음</x:v>
      </x:c>
      <x:c r="U614" s="22" t="str">
        <x:v>2021-2025</x:v>
      </x:c>
    </x:row>
    <x:row r="615">
      <x:c r="A615" s="22" t="str">
        <x:v>2020-00086</x:v>
      </x:c>
      <x:c r="B615" s="22" t="str">
        <x:v>L2023-00053-1</x:v>
      </x:c>
      <x:c r="C615" s="22" t="str">
        <x:v>WORKS</x:v>
      </x:c>
      <x:c r="D615" s="25" t="str">
        <x:v>L2023-00053-1/Urgench VTC Bid Attachment Documents/Urgench VTC Bid Attachment Documents/Section 4.  Bill of Quantities(Not-Priced)/공내역서/VTC견적서/5 МИНИКУХНЯ(Mini Cafe)/5-1 КЖ(Structure)/13043_vrmu.xls</x:v>
      </x:c>
      <x:c r="E615" s="22" t="str">
        <x:v>.xls</x:v>
      </x:c>
      <x:c r="F615" s="28" t="n">
        <x:v>64000</x:v>
      </x:c>
      <x:c r="G615" s="28" t="str">
        <x:v>380165b5ba6f48a8bc825a12a666a0aeb51807f94d8b2c20559637674f7d94b0</x:v>
      </x:c>
      <x:c r="H615" s="28" t="n">
        <x:v>1</x:v>
      </x:c>
      <x:c r="I615" s="28" t="n">
        <x:v>1</x:v>
      </x:c>
      <x:c r="J615" s="28" t="n">
        <x:v>1</x:v>
      </x:c>
      <x:c r="K615" s="28" t="n">
        <x:v>131</x:v>
      </x:c>
      <x:c r="L615" s="28" t="n">
        <x:v>1</x:v>
      </x:c>
      <x:c r="M615" s="28" t="n">
        <x:v>0</x:v>
      </x:c>
      <x:c r="N615" s="22" t="str">
        <x:v>Лист1</x:v>
      </x:c>
      <x:c r="O615" s="22" t="str">
        <x:v>visible</x:v>
      </x:c>
      <x:c r="P615" s="22" t="n">
        <x:v>8</x:v>
      </x:c>
      <x:c r="Q615" s="40" t="n">
        <x:v>0.007633587786259542</x:v>
      </x:c>
      <x:c r="R615" s="25" t="str"/>
      <x:c r="S615" s="25" t="str">
        <x:v>B?</x:v>
      </x:c>
      <x:c r="T615" s="25" t="str">
        <x:v>자동 표 신호는 최종 A/B로 승격하지 않음</x:v>
      </x:c>
      <x:c r="U615" s="22" t="str">
        <x:v>2021-2025</x:v>
      </x:c>
    </x:row>
    <x:row r="616">
      <x:c r="A616" s="22" t="str">
        <x:v>2020-00086</x:v>
      </x:c>
      <x:c r="B616" s="22" t="str">
        <x:v>L2023-00053-1</x:v>
      </x:c>
      <x:c r="C616" s="22" t="str">
        <x:v>WORKS</x:v>
      </x:c>
      <x:c r="D616" s="25" t="str">
        <x:v>L2023-00053-1/Urgench VTC Bid Attachment Documents/Urgench VTC Bid Attachment Documents/Section 4.  Bill of Quantities(Not-Priced)/공내역서/VTC견적서/5 МИНИКУХНЯ(Mini Cafe)/5-1 КЖ(Structure)/13043_vfor.xls</x:v>
      </x:c>
      <x:c r="E616" s="22" t="str">
        <x:v>.xls</x:v>
      </x:c>
      <x:c r="F616" s="28" t="n">
        <x:v>48128</x:v>
      </x:c>
      <x:c r="G616" s="28" t="str">
        <x:v>97f17253a08cf0cc8c9680898c42398ae08fe78103f09e01bf2a6835019a9ec3</x:v>
      </x:c>
      <x:c r="H616" s="28" t="n">
        <x:v>1</x:v>
      </x:c>
      <x:c r="I616" s="28" t="n">
        <x:v>1</x:v>
      </x:c>
      <x:c r="J616" s="28" t="n">
        <x:v>0</x:v>
      </x:c>
      <x:c r="K616" s="28" t="n">
        <x:v>0</x:v>
      </x:c>
      <x:c r="L616" s="28" t="n">
        <x:v>0</x:v>
      </x:c>
      <x:c r="M616" s="28" t="n">
        <x:v>0</x:v>
      </x:c>
      <x:c r="N616" s="22" t="str"/>
      <x:c r="O616" s="22" t="str"/>
      <x:c r="P616" s="22" t="n">
        <x:v>0</x:v>
      </x:c>
      <x:c r="Q616" s="40" t="n">
        <x:v>0</x:v>
      </x:c>
      <x:c r="R616" s="25" t="str"/>
      <x:c r="S616" s="25" t="str">
        <x:v>BOQ_NAME_ONLY</x:v>
      </x:c>
      <x:c r="T616" s="25" t="str">
        <x:v>자동 표 신호는 최종 A/B로 승격하지 않음</x:v>
      </x:c>
      <x:c r="U616" s="22" t="str">
        <x:v>2021-2025</x:v>
      </x:c>
    </x:row>
    <x:row r="617">
      <x:c r="A617" s="22" t="str">
        <x:v>2020-00086</x:v>
      </x:c>
      <x:c r="B617" s="22" t="str">
        <x:v>L2023-00053-1</x:v>
      </x:c>
      <x:c r="C617" s="22" t="str">
        <x:v>WORKS</x:v>
      </x:c>
      <x:c r="D617" s="25" t="str">
        <x:v>L2023-00053-1/Urgench VTC Bid Attachment Documents/Urgench VTC Bid Attachment Documents/Section 4.  Bill of Quantities(Not-Priced)/공내역서/VTC견적서/5 МИНИКУХНЯ(Mini Cafe)/5-1 КЖ(Structure)/bv13040.xls</x:v>
      </x:c>
      <x:c r="E617" s="22" t="str">
        <x:v>.xls</x:v>
      </x:c>
      <x:c r="F617" s="28" t="n">
        <x:v>174592</x:v>
      </x:c>
      <x:c r="G617" s="28" t="str">
        <x:v>863838e7bc7c9434fc3bd88bdcfea6aba7ac50f88f9f5db01b0e254da7998ff8</x:v>
      </x:c>
      <x:c r="H617" s="28" t="n">
        <x:v>1</x:v>
      </x:c>
      <x:c r="I617" s="28" t="n">
        <x:v>1</x:v>
      </x:c>
      <x:c r="J617" s="28" t="n">
        <x:v>0</x:v>
      </x:c>
      <x:c r="K617" s="28" t="n">
        <x:v>0</x:v>
      </x:c>
      <x:c r="L617" s="28" t="n">
        <x:v>0</x:v>
      </x:c>
      <x:c r="M617" s="28" t="n">
        <x:v>0</x:v>
      </x:c>
      <x:c r="N617" s="22" t="str"/>
      <x:c r="O617" s="22" t="str"/>
      <x:c r="P617" s="22" t="n">
        <x:v>0</x:v>
      </x:c>
      <x:c r="Q617" s="40" t="n">
        <x:v>0</x:v>
      </x:c>
      <x:c r="R617" s="25" t="str"/>
      <x:c r="S617" s="25" t="str">
        <x:v>BOQ_NAME_ONLY</x:v>
      </x:c>
      <x:c r="T617" s="25" t="str">
        <x:v>자동 표 신호는 최종 A/B로 승격하지 않음</x:v>
      </x:c>
      <x:c r="U617" s="22" t="str">
        <x:v>2021-2025</x:v>
      </x:c>
    </x:row>
    <x:row r="618">
      <x:c r="A618" s="22" t="str">
        <x:v>2020-00086</x:v>
      </x:c>
      <x:c r="B618" s="22" t="str">
        <x:v>L2023-00053-1</x:v>
      </x:c>
      <x:c r="C618" s="22" t="str">
        <x:v>WORKS</x:v>
      </x:c>
      <x:c r="D618" s="25" t="str">
        <x:v>L2023-00053-1/Urgench VTC Bid Attachment Documents/Urgench VTC Bid Attachment Documents/Section 4.  Bill of Quantities(Not-Priced)/공내역서/VTC견적서/5 МИНИКУХНЯ(Mini Cafe)/5-7 ВН, СКС(CCTV &amp; Network)/bv13340.xls</x:v>
      </x:c>
      <x:c r="E618" s="22" t="str">
        <x:v>.xls</x:v>
      </x:c>
      <x:c r="F618" s="28" t="n">
        <x:v>87552</x:v>
      </x:c>
      <x:c r="G618" s="28" t="str">
        <x:v>f7ebc1e11ee41682c73ffe4df54efdaf6f8776e3d1421e342e5d6efdf51b8f91</x:v>
      </x:c>
      <x:c r="H618" s="28" t="n">
        <x:v>1</x:v>
      </x:c>
      <x:c r="I618" s="28" t="n">
        <x:v>1</x:v>
      </x:c>
      <x:c r="J618" s="28" t="n">
        <x:v>0</x:v>
      </x:c>
      <x:c r="K618" s="28" t="n">
        <x:v>0</x:v>
      </x:c>
      <x:c r="L618" s="28" t="n">
        <x:v>0</x:v>
      </x:c>
      <x:c r="M618" s="28" t="n">
        <x:v>0</x:v>
      </x:c>
      <x:c r="N618" s="22" t="str"/>
      <x:c r="O618" s="22" t="str"/>
      <x:c r="P618" s="22" t="n">
        <x:v>0</x:v>
      </x:c>
      <x:c r="Q618" s="40" t="n">
        <x:v>0</x:v>
      </x:c>
      <x:c r="R618" s="25" t="str"/>
      <x:c r="S618" s="25" t="str">
        <x:v>BOQ_NAME_ONLY</x:v>
      </x:c>
      <x:c r="T618" s="25" t="str">
        <x:v>자동 표 신호는 최종 A/B로 승격하지 않음</x:v>
      </x:c>
      <x:c r="U618" s="22" t="str">
        <x:v>2021-2025</x:v>
      </x:c>
    </x:row>
    <x:row r="619">
      <x:c r="A619" s="22" t="str">
        <x:v>2020-00086</x:v>
      </x:c>
      <x:c r="B619" s="22" t="str">
        <x:v>L2023-00053-1</x:v>
      </x:c>
      <x:c r="C619" s="22" t="str">
        <x:v>WORKS</x:v>
      </x:c>
      <x:c r="D619" s="25" t="str">
        <x:v>L2023-00053-1/Urgench VTC Bid Attachment Documents/Urgench VTC Bid Attachment Documents/Section 4.  Bill of Quantities(Not-Priced)/공내역서/VTC견적서/5 МИНИКУХНЯ(Mini Cafe)/5-7 ВН, СКС(CCTV &amp; Network)/13343_vfor.xls</x:v>
      </x:c>
      <x:c r="E619" s="22" t="str">
        <x:v>.xls</x:v>
      </x:c>
      <x:c r="F619" s="28" t="n">
        <x:v>42496</x:v>
      </x:c>
      <x:c r="G619" s="28" t="str">
        <x:v>7ae45ebf6513a57ba6f4fb37a194629105af57885c6435d8e0b3fac1d07b54d7</x:v>
      </x:c>
      <x:c r="H619" s="28" t="n">
        <x:v>1</x:v>
      </x:c>
      <x:c r="I619" s="28" t="n">
        <x:v>1</x:v>
      </x:c>
      <x:c r="J619" s="28" t="n">
        <x:v>0</x:v>
      </x:c>
      <x:c r="K619" s="28" t="n">
        <x:v>0</x:v>
      </x:c>
      <x:c r="L619" s="28" t="n">
        <x:v>0</x:v>
      </x:c>
      <x:c r="M619" s="28" t="n">
        <x:v>0</x:v>
      </x:c>
      <x:c r="N619" s="22" t="str"/>
      <x:c r="O619" s="22" t="str"/>
      <x:c r="P619" s="22" t="n">
        <x:v>0</x:v>
      </x:c>
      <x:c r="Q619" s="40" t="n">
        <x:v>0</x:v>
      </x:c>
      <x:c r="R619" s="25" t="str"/>
      <x:c r="S619" s="25" t="str">
        <x:v>BOQ_NAME_ONLY</x:v>
      </x:c>
      <x:c r="T619" s="25" t="str">
        <x:v>자동 표 신호는 최종 A/B로 승격하지 않음</x:v>
      </x:c>
      <x:c r="U619" s="22" t="str">
        <x:v>2021-2025</x:v>
      </x:c>
    </x:row>
    <x:row r="620">
      <x:c r="A620" s="22" t="str">
        <x:v>2020-00086</x:v>
      </x:c>
      <x:c r="B620" s="22" t="str">
        <x:v>L2023-00053-1</x:v>
      </x:c>
      <x:c r="C620" s="22" t="str">
        <x:v>WORKS</x:v>
      </x:c>
      <x:c r="D620" s="25" t="str">
        <x:v>L2023-00053-1/Urgench VTC Bid Attachment Documents/Urgench VTC Bid Attachment Documents/Section 4.  Bill of Quantities(Not-Priced)/공내역서/VTC견적서/5 МИНИКУХНЯ(Mini Cafe)/5-7 ВН, СКС(CCTV &amp; Network)/13343_vrmu.xls</x:v>
      </x:c>
      <x:c r="E620" s="22" t="str">
        <x:v>.xls</x:v>
      </x:c>
      <x:c r="F620" s="28" t="n">
        <x:v>57344</x:v>
      </x:c>
      <x:c r="G620" s="28" t="str">
        <x:v>0c131dc024a728f09c19dc05519a4f69fc17da1dc83c0ff221c9fcbc28ca3e83</x:v>
      </x:c>
      <x:c r="H620" s="28" t="n">
        <x:v>1</x:v>
      </x:c>
      <x:c r="I620" s="28" t="n">
        <x:v>1</x:v>
      </x:c>
      <x:c r="J620" s="28" t="n">
        <x:v>1</x:v>
      </x:c>
      <x:c r="K620" s="28" t="n">
        <x:v>87</x:v>
      </x:c>
      <x:c r="L620" s="28" t="n">
        <x:v>1</x:v>
      </x:c>
      <x:c r="M620" s="28" t="n">
        <x:v>0</x:v>
      </x:c>
      <x:c r="N620" s="22" t="str">
        <x:v>Лист1</x:v>
      </x:c>
      <x:c r="O620" s="22" t="str">
        <x:v>visible</x:v>
      </x:c>
      <x:c r="P620" s="22" t="n">
        <x:v>8</x:v>
      </x:c>
      <x:c r="Q620" s="40" t="n">
        <x:v>0.011494252873563218</x:v>
      </x:c>
      <x:c r="R620" s="25" t="str"/>
      <x:c r="S620" s="25" t="str">
        <x:v>B?</x:v>
      </x:c>
      <x:c r="T620" s="25" t="str">
        <x:v>자동 표 신호는 최종 A/B로 승격하지 않음</x:v>
      </x:c>
      <x:c r="U620" s="22" t="str">
        <x:v>2021-2025</x:v>
      </x:c>
    </x:row>
    <x:row r="621">
      <x:c r="A621" s="22" t="str">
        <x:v>2020-00086</x:v>
      </x:c>
      <x:c r="B621" s="22" t="str">
        <x:v>L2023-00053-1</x:v>
      </x:c>
      <x:c r="C621" s="22" t="str">
        <x:v>WORKS</x:v>
      </x:c>
      <x:c r="D621" s="25" t="str">
        <x:v>L2023-00053-1/Urgench VTC Bid Attachment Documents/Urgench VTC Bid Attachment Documents/Section 4.  Bill of Quantities(Not-Priced)/공내역서/VTC견적서/5 МИНИКУХНЯ(Mini Cafe)/5-4 ВК(Water &amp; Sewer &amp; Fireplug)/bv13150.xls</x:v>
      </x:c>
      <x:c r="E621" s="22" t="str">
        <x:v>.xls</x:v>
      </x:c>
      <x:c r="F621" s="28" t="n">
        <x:v>81920</x:v>
      </x:c>
      <x:c r="G621" s="28" t="str">
        <x:v>ff40bc5d0ea432e7b1d7366c5d4fcb487b2c3880f96e4f78375825eafcfb95b6</x:v>
      </x:c>
      <x:c r="H621" s="28" t="n">
        <x:v>1</x:v>
      </x:c>
      <x:c r="I621" s="28" t="n">
        <x:v>1</x:v>
      </x:c>
      <x:c r="J621" s="28" t="n">
        <x:v>0</x:v>
      </x:c>
      <x:c r="K621" s="28" t="n">
        <x:v>0</x:v>
      </x:c>
      <x:c r="L621" s="28" t="n">
        <x:v>0</x:v>
      </x:c>
      <x:c r="M621" s="28" t="n">
        <x:v>0</x:v>
      </x:c>
      <x:c r="N621" s="22" t="str"/>
      <x:c r="O621" s="22" t="str"/>
      <x:c r="P621" s="22" t="n">
        <x:v>0</x:v>
      </x:c>
      <x:c r="Q621" s="40" t="n">
        <x:v>0</x:v>
      </x:c>
      <x:c r="R621" s="25" t="str"/>
      <x:c r="S621" s="25" t="str">
        <x:v>BOQ_NAME_ONLY</x:v>
      </x:c>
      <x:c r="T621" s="25" t="str">
        <x:v>자동 표 신호는 최종 A/B로 승격하지 않음</x:v>
      </x:c>
      <x:c r="U621" s="22" t="str">
        <x:v>2021-2025</x:v>
      </x:c>
    </x:row>
    <x:row r="622">
      <x:c r="A622" s="22" t="str">
        <x:v>2020-00086</x:v>
      </x:c>
      <x:c r="B622" s="22" t="str">
        <x:v>L2023-00053-1</x:v>
      </x:c>
      <x:c r="C622" s="22" t="str">
        <x:v>WORKS</x:v>
      </x:c>
      <x:c r="D622" s="25" t="str">
        <x:v>L2023-00053-1/Urgench VTC Bid Attachment Documents/Urgench VTC Bid Attachment Documents/Section 4.  Bill of Quantities(Not-Priced)/공내역서/VTC견적서/5 МИНИКУХНЯ(Mini Cafe)/5-4 ВК(Water &amp; Sewer &amp; Fireplug)/13153_vfor.xls</x:v>
      </x:c>
      <x:c r="E622" s="22" t="str">
        <x:v>.xls</x:v>
      </x:c>
      <x:c r="F622" s="28" t="n">
        <x:v>38912</x:v>
      </x:c>
      <x:c r="G622" s="28" t="str">
        <x:v>8c432bdc15c5f2e9b21d8cf64d2092af76e32ac769bcf6930a80498eda501c52</x:v>
      </x:c>
      <x:c r="H622" s="28" t="n">
        <x:v>1</x:v>
      </x:c>
      <x:c r="I622" s="28" t="n">
        <x:v>1</x:v>
      </x:c>
      <x:c r="J622" s="28" t="n">
        <x:v>0</x:v>
      </x:c>
      <x:c r="K622" s="28" t="n">
        <x:v>0</x:v>
      </x:c>
      <x:c r="L622" s="28" t="n">
        <x:v>0</x:v>
      </x:c>
      <x:c r="M622" s="28" t="n">
        <x:v>0</x:v>
      </x:c>
      <x:c r="N622" s="22" t="str"/>
      <x:c r="O622" s="22" t="str"/>
      <x:c r="P622" s="22" t="n">
        <x:v>0</x:v>
      </x:c>
      <x:c r="Q622" s="40" t="n">
        <x:v>0</x:v>
      </x:c>
      <x:c r="R622" s="25" t="str"/>
      <x:c r="S622" s="25" t="str">
        <x:v>BOQ_NAME_ONLY</x:v>
      </x:c>
      <x:c r="T622" s="25" t="str">
        <x:v>자동 표 신호는 최종 A/B로 승격하지 않음</x:v>
      </x:c>
      <x:c r="U622" s="22" t="str">
        <x:v>2021-2025</x:v>
      </x:c>
    </x:row>
    <x:row r="623">
      <x:c r="A623" s="22" t="str">
        <x:v>2020-00086</x:v>
      </x:c>
      <x:c r="B623" s="22" t="str">
        <x:v>L2023-00053-1</x:v>
      </x:c>
      <x:c r="C623" s="22" t="str">
        <x:v>WORKS</x:v>
      </x:c>
      <x:c r="D623" s="25" t="str">
        <x:v>L2023-00053-1/Urgench VTC Bid Attachment Documents/Urgench VTC Bid Attachment Documents/Section 4.  Bill of Quantities(Not-Priced)/공내역서/VTC견적서/5 МИНИКУХНЯ(Mini Cafe)/5-4 ВК(Water &amp; Sewer &amp; Fireplug)/13153_vrmu.xls</x:v>
      </x:c>
      <x:c r="E623" s="22" t="str">
        <x:v>.xls</x:v>
      </x:c>
      <x:c r="F623" s="28" t="n">
        <x:v>55296</x:v>
      </x:c>
      <x:c r="G623" s="28" t="str">
        <x:v>b73ea620ff03c68e64d826146d0e3fdf85d76c45d5f7b952398e75088501d5a8</x:v>
      </x:c>
      <x:c r="H623" s="28" t="n">
        <x:v>1</x:v>
      </x:c>
      <x:c r="I623" s="28" t="n">
        <x:v>1</x:v>
      </x:c>
      <x:c r="J623" s="28" t="n">
        <x:v>1</x:v>
      </x:c>
      <x:c r="K623" s="28" t="n">
        <x:v>89</x:v>
      </x:c>
      <x:c r="L623" s="28" t="n">
        <x:v>1</x:v>
      </x:c>
      <x:c r="M623" s="28" t="n">
        <x:v>0</x:v>
      </x:c>
      <x:c r="N623" s="22" t="str">
        <x:v>Лист1</x:v>
      </x:c>
      <x:c r="O623" s="22" t="str">
        <x:v>visible</x:v>
      </x:c>
      <x:c r="P623" s="22" t="n">
        <x:v>8</x:v>
      </x:c>
      <x:c r="Q623" s="40" t="n">
        <x:v>0.011235955056179775</x:v>
      </x:c>
      <x:c r="R623" s="25" t="str"/>
      <x:c r="S623" s="25" t="str">
        <x:v>B?</x:v>
      </x:c>
      <x:c r="T623" s="25" t="str">
        <x:v>자동 표 신호는 최종 A/B로 승격하지 않음</x:v>
      </x:c>
      <x:c r="U623" s="22" t="str">
        <x:v>2021-2025</x:v>
      </x:c>
    </x:row>
    <x:row r="624">
      <x:c r="A624" s="22" t="str">
        <x:v>2020-00086</x:v>
      </x:c>
      <x:c r="B624" s="22" t="str">
        <x:v>L2023-00053-1</x:v>
      </x:c>
      <x:c r="C624" s="22" t="str">
        <x:v>WORKS</x:v>
      </x:c>
      <x:c r="D624" s="25" t="str">
        <x:v>L2023-00053-1/Urgench VTC Bid Attachment Documents/Urgench VTC Bid Attachment Documents/Section 4.  Bill of Quantities(Not-Priced)/공내역서/VTC견적서/9 ТП(Transformers)/9-2 ЭО(Electric)/bv13620.xls</x:v>
      </x:c>
      <x:c r="E624" s="22" t="str">
        <x:v>.xls</x:v>
      </x:c>
      <x:c r="F624" s="28" t="n">
        <x:v>72192</x:v>
      </x:c>
      <x:c r="G624" s="28" t="str">
        <x:v>d12264dd66d83231e992bd650b7557870412089a06a2a0d4425c2f7ce9505b54</x:v>
      </x:c>
      <x:c r="H624" s="28" t="n">
        <x:v>1</x:v>
      </x:c>
      <x:c r="I624" s="28" t="n">
        <x:v>1</x:v>
      </x:c>
      <x:c r="J624" s="28" t="n">
        <x:v>0</x:v>
      </x:c>
      <x:c r="K624" s="28" t="n">
        <x:v>0</x:v>
      </x:c>
      <x:c r="L624" s="28" t="n">
        <x:v>0</x:v>
      </x:c>
      <x:c r="M624" s="28" t="n">
        <x:v>0</x:v>
      </x:c>
      <x:c r="N624" s="22" t="str"/>
      <x:c r="O624" s="22" t="str"/>
      <x:c r="P624" s="22" t="n">
        <x:v>0</x:v>
      </x:c>
      <x:c r="Q624" s="40" t="n">
        <x:v>0</x:v>
      </x:c>
      <x:c r="R624" s="25" t="str"/>
      <x:c r="S624" s="25" t="str">
        <x:v>BOQ_NAME_ONLY</x:v>
      </x:c>
      <x:c r="T624" s="25" t="str">
        <x:v>자동 표 신호는 최종 A/B로 승격하지 않음</x:v>
      </x:c>
      <x:c r="U624" s="22" t="str">
        <x:v>2021-2025</x:v>
      </x:c>
    </x:row>
    <x:row r="625">
      <x:c r="A625" s="22" t="str">
        <x:v>2020-00086</x:v>
      </x:c>
      <x:c r="B625" s="22" t="str">
        <x:v>L2023-00053-1</x:v>
      </x:c>
      <x:c r="C625" s="22" t="str">
        <x:v>WORKS</x:v>
      </x:c>
      <x:c r="D625" s="25" t="str">
        <x:v>L2023-00053-1/Urgench VTC Bid Attachment Documents/Urgench VTC Bid Attachment Documents/Section 4.  Bill of Quantities(Not-Priced)/공내역서/VTC견적서/9 ТП(Transformers)/9-2 ЭО(Electric)/13623_vfor.xls</x:v>
      </x:c>
      <x:c r="E625" s="22" t="str">
        <x:v>.xls</x:v>
      </x:c>
      <x:c r="F625" s="28" t="n">
        <x:v>43520</x:v>
      </x:c>
      <x:c r="G625" s="28" t="str">
        <x:v>45d383d1448e59a8f49860e92e6e7aa212038c27e4d7bce97a086cc21f88ccfe</x:v>
      </x:c>
      <x:c r="H625" s="28" t="n">
        <x:v>1</x:v>
      </x:c>
      <x:c r="I625" s="28" t="n">
        <x:v>1</x:v>
      </x:c>
      <x:c r="J625" s="28" t="n">
        <x:v>0</x:v>
      </x:c>
      <x:c r="K625" s="28" t="n">
        <x:v>0</x:v>
      </x:c>
      <x:c r="L625" s="28" t="n">
        <x:v>0</x:v>
      </x:c>
      <x:c r="M625" s="28" t="n">
        <x:v>0</x:v>
      </x:c>
      <x:c r="N625" s="22" t="str"/>
      <x:c r="O625" s="22" t="str"/>
      <x:c r="P625" s="22" t="n">
        <x:v>0</x:v>
      </x:c>
      <x:c r="Q625" s="40" t="n">
        <x:v>0</x:v>
      </x:c>
      <x:c r="R625" s="25" t="str"/>
      <x:c r="S625" s="25" t="str">
        <x:v>BOQ_NAME_ONLY</x:v>
      </x:c>
      <x:c r="T625" s="25" t="str">
        <x:v>자동 표 신호는 최종 A/B로 승격하지 않음</x:v>
      </x:c>
      <x:c r="U625" s="22" t="str">
        <x:v>2021-2025</x:v>
      </x:c>
    </x:row>
    <x:row r="626">
      <x:c r="A626" s="22" t="str">
        <x:v>2020-00086</x:v>
      </x:c>
      <x:c r="B626" s="22" t="str">
        <x:v>L2023-00053-1</x:v>
      </x:c>
      <x:c r="C626" s="22" t="str">
        <x:v>WORKS</x:v>
      </x:c>
      <x:c r="D626" s="25" t="str">
        <x:v>L2023-00053-1/Urgench VTC Bid Attachment Documents/Urgench VTC Bid Attachment Documents/Section 4.  Bill of Quantities(Not-Priced)/공내역서/VTC견적서/9 ТП(Transformers)/9-2 ЭО(Electric)/13623_vrmu.xls</x:v>
      </x:c>
      <x:c r="E626" s="22" t="str">
        <x:v>.xls</x:v>
      </x:c>
      <x:c r="F626" s="28" t="n">
        <x:v>44544</x:v>
      </x:c>
      <x:c r="G626" s="28" t="str">
        <x:v>9c376ffd83f74a7a0482782b87e52d87f3fd57e8ae172745d22dd2b5f75c87d3</x:v>
      </x:c>
      <x:c r="H626" s="28" t="n">
        <x:v>1</x:v>
      </x:c>
      <x:c r="I626" s="28" t="n">
        <x:v>1</x:v>
      </x:c>
      <x:c r="J626" s="28" t="n">
        <x:v>1</x:v>
      </x:c>
      <x:c r="K626" s="28" t="n">
        <x:v>25</x:v>
      </x:c>
      <x:c r="L626" s="28" t="n">
        <x:v>1</x:v>
      </x:c>
      <x:c r="M626" s="28" t="n">
        <x:v>0</x:v>
      </x:c>
      <x:c r="N626" s="22" t="str">
        <x:v>Лист1</x:v>
      </x:c>
      <x:c r="O626" s="22" t="str">
        <x:v>visible</x:v>
      </x:c>
      <x:c r="P626" s="22" t="n">
        <x:v>8</x:v>
      </x:c>
      <x:c r="Q626" s="40" t="n">
        <x:v>0.04</x:v>
      </x:c>
      <x:c r="R626" s="25" t="str"/>
      <x:c r="S626" s="25" t="str">
        <x:v>B?</x:v>
      </x:c>
      <x:c r="T626" s="25" t="str">
        <x:v>자동 표 신호는 최종 A/B로 승격하지 않음</x:v>
      </x:c>
      <x:c r="U626" s="22" t="str">
        <x:v>2021-2025</x:v>
      </x:c>
    </x:row>
    <x:row r="627">
      <x:c r="A627" s="22" t="str">
        <x:v>2020-00086</x:v>
      </x:c>
      <x:c r="B627" s="22" t="str">
        <x:v>L2023-00053-1</x:v>
      </x:c>
      <x:c r="C627" s="22" t="str">
        <x:v>WORKS</x:v>
      </x:c>
      <x:c r="D627" s="25" t="str">
        <x:v>L2023-00053-1/Urgench VTC Bid Attachment Documents/Urgench VTC Bid Attachment Documents/Section 4.  Bill of Quantities(Not-Priced)/공내역서/VTC견적서/9 ТП(Transformers)/9-1 AC(Architecture+Structure)/13613_vrmu.xls</x:v>
      </x:c>
      <x:c r="E627" s="22" t="str">
        <x:v>.xls</x:v>
      </x:c>
      <x:c r="F627" s="28" t="n">
        <x:v>52224</x:v>
      </x:c>
      <x:c r="G627" s="28" t="str">
        <x:v>dac492bc0da9304780f8cd01f3d5f4471428e5935002eef499f872bcaa423196</x:v>
      </x:c>
      <x:c r="H627" s="28" t="n">
        <x:v>1</x:v>
      </x:c>
      <x:c r="I627" s="28" t="n">
        <x:v>1</x:v>
      </x:c>
      <x:c r="J627" s="28" t="n">
        <x:v>1</x:v>
      </x:c>
      <x:c r="K627" s="28" t="n">
        <x:v>60</x:v>
      </x:c>
      <x:c r="L627" s="28" t="n">
        <x:v>1</x:v>
      </x:c>
      <x:c r="M627" s="28" t="n">
        <x:v>0</x:v>
      </x:c>
      <x:c r="N627" s="22" t="str">
        <x:v>Лист1</x:v>
      </x:c>
      <x:c r="O627" s="22" t="str">
        <x:v>visible</x:v>
      </x:c>
      <x:c r="P627" s="22" t="n">
        <x:v>8</x:v>
      </x:c>
      <x:c r="Q627" s="40" t="n">
        <x:v>0.016666666666666666</x:v>
      </x:c>
      <x:c r="R627" s="25" t="str"/>
      <x:c r="S627" s="25" t="str">
        <x:v>B?</x:v>
      </x:c>
      <x:c r="T627" s="25" t="str">
        <x:v>자동 표 신호는 최종 A/B로 승격하지 않음</x:v>
      </x:c>
      <x:c r="U627" s="22" t="str">
        <x:v>2021-2025</x:v>
      </x:c>
    </x:row>
    <x:row r="628">
      <x:c r="A628" s="22" t="str">
        <x:v>2020-00086</x:v>
      </x:c>
      <x:c r="B628" s="22" t="str">
        <x:v>L2023-00053-1</x:v>
      </x:c>
      <x:c r="C628" s="22" t="str">
        <x:v>WORKS</x:v>
      </x:c>
      <x:c r="D628" s="25" t="str">
        <x:v>L2023-00053-1/Urgench VTC Bid Attachment Documents/Urgench VTC Bid Attachment Documents/Section 4.  Bill of Quantities(Not-Priced)/공내역서/VTC견적서/9 ТП(Transformers)/9-1 AC(Architecture+Structure)/bv13610.xls</x:v>
      </x:c>
      <x:c r="E628" s="22" t="str">
        <x:v>.xls</x:v>
      </x:c>
      <x:c r="F628" s="28" t="n">
        <x:v>87552</x:v>
      </x:c>
      <x:c r="G628" s="28" t="str">
        <x:v>9c3b233e7eee9e95f4d7e3a8fd06879e5232932fea0154ee2d2ca48539bf46ec</x:v>
      </x:c>
      <x:c r="H628" s="28" t="n">
        <x:v>1</x:v>
      </x:c>
      <x:c r="I628" s="28" t="n">
        <x:v>1</x:v>
      </x:c>
      <x:c r="J628" s="28" t="n">
        <x:v>0</x:v>
      </x:c>
      <x:c r="K628" s="28" t="n">
        <x:v>0</x:v>
      </x:c>
      <x:c r="L628" s="28" t="n">
        <x:v>0</x:v>
      </x:c>
      <x:c r="M628" s="28" t="n">
        <x:v>0</x:v>
      </x:c>
      <x:c r="N628" s="22" t="str"/>
      <x:c r="O628" s="22" t="str"/>
      <x:c r="P628" s="22" t="n">
        <x:v>0</x:v>
      </x:c>
      <x:c r="Q628" s="40" t="n">
        <x:v>0</x:v>
      </x:c>
      <x:c r="R628" s="25" t="str"/>
      <x:c r="S628" s="25" t="str">
        <x:v>BOQ_NAME_ONLY</x:v>
      </x:c>
      <x:c r="T628" s="25" t="str">
        <x:v>자동 표 신호는 최종 A/B로 승격하지 않음</x:v>
      </x:c>
      <x:c r="U628" s="22" t="str">
        <x:v>2021-2025</x:v>
      </x:c>
    </x:row>
    <x:row r="629">
      <x:c r="A629" s="22" t="str">
        <x:v>2020-00086</x:v>
      </x:c>
      <x:c r="B629" s="22" t="str">
        <x:v>L2023-00053-1</x:v>
      </x:c>
      <x:c r="C629" s="22" t="str">
        <x:v>WORKS</x:v>
      </x:c>
      <x:c r="D629" s="25" t="str">
        <x:v>L2023-00053-1/Urgench VTC Bid Attachment Documents/Urgench VTC Bid Attachment Documents/Section 4.  Bill of Quantities(Not-Priced)/공내역서/VTC견적서/9 ТП(Transformers)/9-1 AC(Architecture+Structure)/13613_vfor.xls</x:v>
      </x:c>
      <x:c r="E629" s="22" t="str">
        <x:v>.xls</x:v>
      </x:c>
      <x:c r="F629" s="28" t="n">
        <x:v>43520</x:v>
      </x:c>
      <x:c r="G629" s="28" t="str">
        <x:v>d44f0b5ecfc1065f05341153878714679026a9bf6545cc1f41a3b99d2fc64e82</x:v>
      </x:c>
      <x:c r="H629" s="28" t="n">
        <x:v>1</x:v>
      </x:c>
      <x:c r="I629" s="28" t="n">
        <x:v>1</x:v>
      </x:c>
      <x:c r="J629" s="28" t="n">
        <x:v>0</x:v>
      </x:c>
      <x:c r="K629" s="28" t="n">
        <x:v>0</x:v>
      </x:c>
      <x:c r="L629" s="28" t="n">
        <x:v>0</x:v>
      </x:c>
      <x:c r="M629" s="28" t="n">
        <x:v>0</x:v>
      </x:c>
      <x:c r="N629" s="22" t="str"/>
      <x:c r="O629" s="22" t="str"/>
      <x:c r="P629" s="22" t="n">
        <x:v>0</x:v>
      </x:c>
      <x:c r="Q629" s="40" t="n">
        <x:v>0</x:v>
      </x:c>
      <x:c r="R629" s="25" t="str"/>
      <x:c r="S629" s="25" t="str">
        <x:v>BOQ_NAME_ONLY</x:v>
      </x:c>
      <x:c r="T629" s="25" t="str">
        <x:v>자동 표 신호는 최종 A/B로 승격하지 않음</x:v>
      </x:c>
      <x:c r="U629" s="22" t="str">
        <x:v>2021-2025</x:v>
      </x:c>
    </x:row>
    <x:row r="630">
      <x:c r="A630" s="22" t="str">
        <x:v>2020-00086</x:v>
      </x:c>
      <x:c r="B630" s="22" t="str">
        <x:v>L2023-00053-1</x:v>
      </x:c>
      <x:c r="C630" s="22" t="str">
        <x:v>WORKS</x:v>
      </x:c>
      <x:c r="D630" s="25" t="str">
        <x:v>L2023-00053-1/Urgench VTC Bid Attachment Documents/Urgench VTC Bid Attachment Documents/Section 4.  Bill of Quantities(Not-Priced)/공내역서/TTC견적서/TTC(Teacher Traing Center)/СВОДКА(TTC Total sum. o).xlsx</x:v>
      </x:c>
      <x:c r="E630" s="22" t="str">
        <x:v>.xlsx</x:v>
      </x:c>
      <x:c r="F630" s="28" t="n">
        <x:v>32243</x:v>
      </x:c>
      <x:c r="G630" s="28" t="str">
        <x:v>18f7fed124e549f8d045a52b65bfb032bfd797fb45093bfe24108488bd7f0010</x:v>
      </x:c>
      <x:c r="H630" s="28" t="n">
        <x:v>1</x:v>
      </x:c>
      <x:c r="I630" s="28" t="n">
        <x:v>1</x:v>
      </x:c>
      <x:c r="J630" s="28" t="n">
        <x:v>0</x:v>
      </x:c>
      <x:c r="K630" s="28" t="n">
        <x:v>0</x:v>
      </x:c>
      <x:c r="L630" s="28" t="n">
        <x:v>0</x:v>
      </x:c>
      <x:c r="M630" s="28" t="n">
        <x:v>0</x:v>
      </x:c>
      <x:c r="N630" s="22" t="str"/>
      <x:c r="O630" s="22" t="str"/>
      <x:c r="P630" s="22" t="n">
        <x:v>0</x:v>
      </x:c>
      <x:c r="Q630" s="40" t="n">
        <x:v>0</x:v>
      </x:c>
      <x:c r="R630" s="25" t="str"/>
      <x:c r="S630" s="25" t="str">
        <x:v>BOQ_NAME_ONLY</x:v>
      </x:c>
      <x:c r="T630" s="25" t="str">
        <x:v>자동 표 신호는 최종 A/B로 승격하지 않음</x:v>
      </x:c>
      <x:c r="U630" s="22" t="str">
        <x:v>2021-2025</x:v>
      </x:c>
    </x:row>
    <x:row r="631">
      <x:c r="A631" s="22" t="str">
        <x:v>2020-00086</x:v>
      </x:c>
      <x:c r="B631" s="22" t="str">
        <x:v>L2023-00053-1</x:v>
      </x:c>
      <x:c r="C631" s="22" t="str">
        <x:v>WORKS</x:v>
      </x:c>
      <x:c r="D631" s="25" t="str">
        <x:v>L2023-00053-1/Urgench VTC Bid Attachment Documents/Urgench VTC Bid Attachment Documents/Section 4.  Bill of Quantities(Not-Priced)/공내역서/TTC견적서/TTC(Teacher Traing Center)/12 OB( Heating &amp; Ventilation)/ra900.xlsx</x:v>
      </x:c>
      <x:c r="E631" s="22" t="str">
        <x:v>.xlsx</x:v>
      </x:c>
      <x:c r="F631" s="28" t="n">
        <x:v>25457</x:v>
      </x:c>
      <x:c r="G631" s="28" t="str">
        <x:v>c0e7dba7fed37589ec6340137fd80e3748fc4e6f60d5a31a1732a90a20c89215</x:v>
      </x:c>
      <x:c r="H631" s="28" t="n">
        <x:v>1</x:v>
      </x:c>
      <x:c r="I631" s="28" t="n">
        <x:v>1</x:v>
      </x:c>
      <x:c r="J631" s="28" t="n">
        <x:v>1</x:v>
      </x:c>
      <x:c r="K631" s="28" t="n">
        <x:v>145</x:v>
      </x:c>
      <x:c r="L631" s="28" t="n">
        <x:v>0</x:v>
      </x:c>
      <x:c r="M631" s="28" t="n">
        <x:v>0</x:v>
      </x:c>
      <x:c r="N631" s="22" t="str">
        <x:v>ra_abc4</x:v>
      </x:c>
      <x:c r="O631" s="22" t="str">
        <x:v>visible</x:v>
      </x:c>
      <x:c r="P631" s="22" t="n">
        <x:v>8</x:v>
      </x:c>
      <x:c r="Q631" s="40" t="n">
        <x:v>0</x:v>
      </x:c>
      <x:c r="R631" s="25" t="str"/>
      <x:c r="S631" s="25" t="str">
        <x:v>B?</x:v>
      </x:c>
      <x:c r="T631" s="25" t="str">
        <x:v>자동 표 신호는 최종 A/B로 승격하지 않음</x:v>
      </x:c>
      <x:c r="U631" s="22" t="str">
        <x:v>2021-2025</x:v>
      </x:c>
    </x:row>
    <x:row r="632">
      <x:c r="A632" s="22" t="str">
        <x:v>2020-00086</x:v>
      </x:c>
      <x:c r="B632" s="22" t="str">
        <x:v>L2023-00053-1</x:v>
      </x:c>
      <x:c r="C632" s="22" t="str">
        <x:v>WORKS</x:v>
      </x:c>
      <x:c r="D632" s="25" t="str">
        <x:v>L2023-00053-1/Urgench VTC Bid Attachment Documents/Urgench VTC Bid Attachment Documents/Section 4.  Bill of Quantities(Not-Priced)/공내역서/TTC견적서/TTC(Teacher Traing Center)/12 OB( Heating &amp; Ventilation)/bv900.xlsx</x:v>
      </x:c>
      <x:c r="E632" s="22" t="str">
        <x:v>.xlsx</x:v>
      </x:c>
      <x:c r="F632" s="28" t="n">
        <x:v>57114</x:v>
      </x:c>
      <x:c r="G632" s="28" t="str">
        <x:v>6ecb37ae086780f16e98b30e7632769c400d862e9e881341019571e4635cfe62</x:v>
      </x:c>
      <x:c r="H632" s="28" t="n">
        <x:v>1</x:v>
      </x:c>
      <x:c r="I632" s="28" t="n">
        <x:v>1</x:v>
      </x:c>
      <x:c r="J632" s="28" t="n">
        <x:v>1</x:v>
      </x:c>
      <x:c r="K632" s="28" t="n">
        <x:v>583</x:v>
      </x:c>
      <x:c r="L632" s="28" t="n">
        <x:v>0</x:v>
      </x:c>
      <x:c r="M632" s="28" t="n">
        <x:v>0</x:v>
      </x:c>
      <x:c r="N632" s="22" t="str">
        <x:v>_ЛРВ</x:v>
      </x:c>
      <x:c r="O632" s="22" t="str">
        <x:v>visible</x:v>
      </x:c>
      <x:c r="P632" s="22" t="n">
        <x:v>9</x:v>
      </x:c>
      <x:c r="Q632" s="40" t="n">
        <x:v>0</x:v>
      </x:c>
      <x:c r="R632" s="25" t="str"/>
      <x:c r="S632" s="25" t="str">
        <x:v>B?</x:v>
      </x:c>
      <x:c r="T632" s="25" t="str">
        <x:v>자동 표 신호는 최종 A/B로 승격하지 않음</x:v>
      </x:c>
      <x:c r="U632" s="22" t="str">
        <x:v>2021-2025</x:v>
      </x:c>
    </x:row>
    <x:row r="633">
      <x:c r="A633" s="22" t="str">
        <x:v>2020-00086</x:v>
      </x:c>
      <x:c r="B633" s="22" t="str">
        <x:v>L2023-00053-1</x:v>
      </x:c>
      <x:c r="C633" s="22" t="str">
        <x:v>WORKS</x:v>
      </x:c>
      <x:c r="D633" s="25" t="str">
        <x:v>L2023-00053-1/Urgench VTC Bid Attachment Documents/Urgench VTC Bid Attachment Documents/Section 4.  Bill of Quantities(Not-Priced)/공내역서/TTC견적서/TTC(Teacher Traing Center)/10 СКС(Network)/ra880.xlsx</x:v>
      </x:c>
      <x:c r="E633" s="22" t="str">
        <x:v>.xlsx</x:v>
      </x:c>
      <x:c r="F633" s="28" t="n">
        <x:v>18030</x:v>
      </x:c>
      <x:c r="G633" s="28" t="str">
        <x:v>199cd0082bbab1b40761e3488c1f1d8640ea614526e9e2299473c945cad04b3c</x:v>
      </x:c>
      <x:c r="H633" s="28" t="n">
        <x:v>1</x:v>
      </x:c>
      <x:c r="I633" s="28" t="n">
        <x:v>1</x:v>
      </x:c>
      <x:c r="J633" s="28" t="n">
        <x:v>1</x:v>
      </x:c>
      <x:c r="K633" s="28" t="n">
        <x:v>46</x:v>
      </x:c>
      <x:c r="L633" s="28" t="n">
        <x:v>0</x:v>
      </x:c>
      <x:c r="M633" s="28" t="n">
        <x:v>0</x:v>
      </x:c>
      <x:c r="N633" s="22" t="str">
        <x:v>ra_abc4</x:v>
      </x:c>
      <x:c r="O633" s="22" t="str">
        <x:v>visible</x:v>
      </x:c>
      <x:c r="P633" s="22" t="n">
        <x:v>8</x:v>
      </x:c>
      <x:c r="Q633" s="40" t="n">
        <x:v>0</x:v>
      </x:c>
      <x:c r="R633" s="25" t="str"/>
      <x:c r="S633" s="25" t="str">
        <x:v>B?</x:v>
      </x:c>
      <x:c r="T633" s="25" t="str">
        <x:v>자동 표 신호는 최종 A/B로 승격하지 않음</x:v>
      </x:c>
      <x:c r="U633" s="22" t="str">
        <x:v>2021-2025</x:v>
      </x:c>
    </x:row>
    <x:row r="634">
      <x:c r="A634" s="22" t="str">
        <x:v>2020-00086</x:v>
      </x:c>
      <x:c r="B634" s="22" t="str">
        <x:v>L2023-00053-1</x:v>
      </x:c>
      <x:c r="C634" s="22" t="str">
        <x:v>WORKS</x:v>
      </x:c>
      <x:c r="D634" s="25" t="str">
        <x:v>L2023-00053-1/Urgench VTC Bid Attachment Documents/Urgench VTC Bid Attachment Documents/Section 4.  Bill of Quantities(Not-Priced)/공내역서/TTC견적서/TTC(Teacher Traing Center)/10 СКС(Network)/bv880.xlsx</x:v>
      </x:c>
      <x:c r="E634" s="22" t="str">
        <x:v>.xlsx</x:v>
      </x:c>
      <x:c r="F634" s="28" t="n">
        <x:v>18727</x:v>
      </x:c>
      <x:c r="G634" s="28" t="str">
        <x:v>7dbc22ca005e0e4c226c79d089e7a86d1cf9d86c5ce303f40f114936328702ea</x:v>
      </x:c>
      <x:c r="H634" s="28" t="n">
        <x:v>1</x:v>
      </x:c>
      <x:c r="I634" s="28" t="n">
        <x:v>1</x:v>
      </x:c>
      <x:c r="J634" s="28" t="n">
        <x:v>1</x:v>
      </x:c>
      <x:c r="K634" s="28" t="n">
        <x:v>72</x:v>
      </x:c>
      <x:c r="L634" s="28" t="n">
        <x:v>0</x:v>
      </x:c>
      <x:c r="M634" s="28" t="n">
        <x:v>0</x:v>
      </x:c>
      <x:c r="N634" s="22" t="str">
        <x:v>_ЛРВ</x:v>
      </x:c>
      <x:c r="O634" s="22" t="str">
        <x:v>visible</x:v>
      </x:c>
      <x:c r="P634" s="22" t="n">
        <x:v>9</x:v>
      </x:c>
      <x:c r="Q634" s="40" t="n">
        <x:v>0</x:v>
      </x:c>
      <x:c r="R634" s="25" t="str"/>
      <x:c r="S634" s="25" t="str">
        <x:v>B?</x:v>
      </x:c>
      <x:c r="T634" s="25" t="str">
        <x:v>자동 표 신호는 최종 A/B로 승격하지 않음</x:v>
      </x:c>
      <x:c r="U634" s="22" t="str">
        <x:v>2021-2025</x:v>
      </x:c>
    </x:row>
    <x:row r="635">
      <x:c r="A635" s="22" t="str">
        <x:v>2020-00086</x:v>
      </x:c>
      <x:c r="B635" s="22" t="str">
        <x:v>L2023-00053-1</x:v>
      </x:c>
      <x:c r="C635" s="22" t="str">
        <x:v>WORKS</x:v>
      </x:c>
      <x:c r="D635" s="25" t="str">
        <x:v>L2023-00053-1/Urgench VTC Bid Attachment Documents/Urgench VTC Bid Attachment Documents/Section 4.  Bill of Quantities(Not-Priced)/공내역서/TTC견적서/TTC(Teacher Traing Center)/9 ЭО(Electric)/bv870.xlsx</x:v>
      </x:c>
      <x:c r="E635" s="22" t="str">
        <x:v>.xlsx</x:v>
      </x:c>
      <x:c r="F635" s="28" t="n">
        <x:v>24024</x:v>
      </x:c>
      <x:c r="G635" s="28" t="str">
        <x:v>590053cdfd59adba7a4b5f88ecdf76f97cfb3c4d11e98da39322368216c48da9</x:v>
      </x:c>
      <x:c r="H635" s="28" t="n">
        <x:v>1</x:v>
      </x:c>
      <x:c r="I635" s="28" t="n">
        <x:v>1</x:v>
      </x:c>
      <x:c r="J635" s="28" t="n">
        <x:v>1</x:v>
      </x:c>
      <x:c r="K635" s="28" t="n">
        <x:v>135</x:v>
      </x:c>
      <x:c r="L635" s="28" t="n">
        <x:v>0</x:v>
      </x:c>
      <x:c r="M635" s="28" t="n">
        <x:v>0</x:v>
      </x:c>
      <x:c r="N635" s="22" t="str">
        <x:v>_ЛРВ</x:v>
      </x:c>
      <x:c r="O635" s="22" t="str">
        <x:v>visible</x:v>
      </x:c>
      <x:c r="P635" s="22" t="n">
        <x:v>9</x:v>
      </x:c>
      <x:c r="Q635" s="40" t="n">
        <x:v>0</x:v>
      </x:c>
      <x:c r="R635" s="25" t="str"/>
      <x:c r="S635" s="25" t="str">
        <x:v>B?</x:v>
      </x:c>
      <x:c r="T635" s="25" t="str">
        <x:v>자동 표 신호는 최종 A/B로 승격하지 않음</x:v>
      </x:c>
      <x:c r="U635" s="22" t="str">
        <x:v>2021-2025</x:v>
      </x:c>
    </x:row>
    <x:row r="636">
      <x:c r="A636" s="22" t="str">
        <x:v>2020-00086</x:v>
      </x:c>
      <x:c r="B636" s="22" t="str">
        <x:v>L2023-00053-1</x:v>
      </x:c>
      <x:c r="C636" s="22" t="str">
        <x:v>WORKS</x:v>
      </x:c>
      <x:c r="D636" s="25" t="str">
        <x:v>L2023-00053-1/Urgench VTC Bid Attachment Documents/Urgench VTC Bid Attachment Documents/Section 4.  Bill of Quantities(Not-Priced)/공내역서/TTC견적서/TTC(Teacher Traing Center)/9 ЭО(Electric)/ra870.xlsx</x:v>
      </x:c>
      <x:c r="E636" s="22" t="str">
        <x:v>.xlsx</x:v>
      </x:c>
      <x:c r="F636" s="28" t="n">
        <x:v>17554</x:v>
      </x:c>
      <x:c r="G636" s="28" t="str">
        <x:v>86bcd13f1e122deed0898b8d011d1d581353131e0abde33c435654236fba8f3e</x:v>
      </x:c>
      <x:c r="H636" s="28" t="n">
        <x:v>1</x:v>
      </x:c>
      <x:c r="I636" s="28" t="n">
        <x:v>1</x:v>
      </x:c>
      <x:c r="J636" s="28" t="n">
        <x:v>1</x:v>
      </x:c>
      <x:c r="K636" s="28" t="n">
        <x:v>44</x:v>
      </x:c>
      <x:c r="L636" s="28" t="n">
        <x:v>0</x:v>
      </x:c>
      <x:c r="M636" s="28" t="n">
        <x:v>0</x:v>
      </x:c>
      <x:c r="N636" s="22" t="str">
        <x:v>ra_abc4</x:v>
      </x:c>
      <x:c r="O636" s="22" t="str">
        <x:v>visible</x:v>
      </x:c>
      <x:c r="P636" s="22" t="n">
        <x:v>8</x:v>
      </x:c>
      <x:c r="Q636" s="40" t="n">
        <x:v>0</x:v>
      </x:c>
      <x:c r="R636" s="25" t="str"/>
      <x:c r="S636" s="25" t="str">
        <x:v>B?</x:v>
      </x:c>
      <x:c r="T636" s="25" t="str">
        <x:v>자동 표 신호는 최종 A/B로 승격하지 않음</x:v>
      </x:c>
      <x:c r="U636" s="22" t="str">
        <x:v>2021-2025</x:v>
      </x:c>
    </x:row>
    <x:row r="637">
      <x:c r="A637" s="22" t="str">
        <x:v>2020-00086</x:v>
      </x:c>
      <x:c r="B637" s="22" t="str">
        <x:v>L2023-00053-1</x:v>
      </x:c>
      <x:c r="C637" s="22" t="str">
        <x:v>WORKS</x:v>
      </x:c>
      <x:c r="D637" s="25" t="str">
        <x:v>L2023-00053-1/Urgench VTC Bid Attachment Documents/Urgench VTC Bid Attachment Documents/Section 4.  Bill of Quantities(Not-Priced)/공내역서/TTC견적서/TTC(Teacher Traing Center)/2 АР(Architecture)/ra3030.xlsx</x:v>
      </x:c>
      <x:c r="E637" s="22" t="str">
        <x:v>.xlsx</x:v>
      </x:c>
      <x:c r="F637" s="28" t="n">
        <x:v>27171</x:v>
      </x:c>
      <x:c r="G637" s="28" t="str">
        <x:v>1ab32257b417f35173d37ca063d6c865481a2c4e20984dbfcccad7ba6691eea3</x:v>
      </x:c>
      <x:c r="H637" s="28" t="n">
        <x:v>1</x:v>
      </x:c>
      <x:c r="I637" s="28" t="n">
        <x:v>1</x:v>
      </x:c>
      <x:c r="J637" s="28" t="n">
        <x:v>1</x:v>
      </x:c>
      <x:c r="K637" s="28" t="n">
        <x:v>142</x:v>
      </x:c>
      <x:c r="L637" s="28" t="n">
        <x:v>0</x:v>
      </x:c>
      <x:c r="M637" s="28" t="n">
        <x:v>0</x:v>
      </x:c>
      <x:c r="N637" s="22" t="str">
        <x:v>ra_abc4</x:v>
      </x:c>
      <x:c r="O637" s="22" t="str">
        <x:v>visible</x:v>
      </x:c>
      <x:c r="P637" s="22" t="n">
        <x:v>10</x:v>
      </x:c>
      <x:c r="Q637" s="40" t="n">
        <x:v>0</x:v>
      </x:c>
      <x:c r="R637" s="25" t="str"/>
      <x:c r="S637" s="25" t="str">
        <x:v>B?</x:v>
      </x:c>
      <x:c r="T637" s="25" t="str">
        <x:v>자동 표 신호는 최종 A/B로 승격하지 않음</x:v>
      </x:c>
      <x:c r="U637" s="22" t="str">
        <x:v>2021-2025</x:v>
      </x:c>
    </x:row>
    <x:row r="638">
      <x:c r="A638" s="22" t="str">
        <x:v>2020-00086</x:v>
      </x:c>
      <x:c r="B638" s="22" t="str">
        <x:v>L2023-00053-1</x:v>
      </x:c>
      <x:c r="C638" s="22" t="str">
        <x:v>WORKS</x:v>
      </x:c>
      <x:c r="D638" s="25" t="str">
        <x:v>L2023-00053-1/Urgench VTC Bid Attachment Documents/Urgench VTC Bid Attachment Documents/Section 4.  Bill of Quantities(Not-Priced)/공내역서/TTC견적서/TTC(Teacher Traing Center)/2 АР(Architecture)/bv3030.xlsx</x:v>
      </x:c>
      <x:c r="E638" s="22" t="str">
        <x:v>.xlsx</x:v>
      </x:c>
      <x:c r="F638" s="28" t="n">
        <x:v>84434</x:v>
      </x:c>
      <x:c r="G638" s="28" t="str">
        <x:v>fe7024582a9e7a27577e95f0b5c83b062807ddf1c456cf8c97eea3f47349b1f3</x:v>
      </x:c>
      <x:c r="H638" s="28" t="n">
        <x:v>1</x:v>
      </x:c>
      <x:c r="I638" s="28" t="n">
        <x:v>1</x:v>
      </x:c>
      <x:c r="J638" s="28" t="n">
        <x:v>1</x:v>
      </x:c>
      <x:c r="K638" s="28" t="n">
        <x:v>720</x:v>
      </x:c>
      <x:c r="L638" s="28" t="n">
        <x:v>0</x:v>
      </x:c>
      <x:c r="M638" s="28" t="n">
        <x:v>0</x:v>
      </x:c>
      <x:c r="N638" s="22" t="str">
        <x:v>_ЛРВ</x:v>
      </x:c>
      <x:c r="O638" s="22" t="str">
        <x:v>visible</x:v>
      </x:c>
      <x:c r="P638" s="22" t="n">
        <x:v>10</x:v>
      </x:c>
      <x:c r="Q638" s="40" t="n">
        <x:v>0</x:v>
      </x:c>
      <x:c r="R638" s="25" t="str"/>
      <x:c r="S638" s="25" t="str">
        <x:v>B?</x:v>
      </x:c>
      <x:c r="T638" s="25" t="str">
        <x:v>자동 표 신호는 최종 A/B로 승격하지 않음</x:v>
      </x:c>
      <x:c r="U638" s="22" t="str">
        <x:v>2021-2025</x:v>
      </x:c>
    </x:row>
    <x:row r="639">
      <x:c r="A639" s="22" t="str">
        <x:v>2020-00086</x:v>
      </x:c>
      <x:c r="B639" s="22" t="str">
        <x:v>L2023-00053-1</x:v>
      </x:c>
      <x:c r="C639" s="22" t="str">
        <x:v>WORKS</x:v>
      </x:c>
      <x:c r="D639" s="25" t="str">
        <x:v>L2023-00053-1/Urgench VTC Bid Attachment Documents/Urgench VTC Bid Attachment Documents/Section 4.  Bill of Quantities(Not-Priced)/공내역서/TTC견적서/TTC(Teacher Traing Center)/7 CO(Suond)/ra3050.xlsx</x:v>
      </x:c>
      <x:c r="E639" s="22" t="str">
        <x:v>.xlsx</x:v>
      </x:c>
      <x:c r="F639" s="28" t="n">
        <x:v>16144</x:v>
      </x:c>
      <x:c r="G639" s="28" t="str">
        <x:v>3cf45bc9f2d27c43f48e134d2bfd9e01b5da1619124aac33d045fbd062047f42</x:v>
      </x:c>
      <x:c r="H639" s="28" t="n">
        <x:v>1</x:v>
      </x:c>
      <x:c r="I639" s="28" t="n">
        <x:v>1</x:v>
      </x:c>
      <x:c r="J639" s="28" t="n">
        <x:v>1</x:v>
      </x:c>
      <x:c r="K639" s="28" t="n">
        <x:v>26</x:v>
      </x:c>
      <x:c r="L639" s="28" t="n">
        <x:v>0</x:v>
      </x:c>
      <x:c r="M639" s="28" t="n">
        <x:v>0</x:v>
      </x:c>
      <x:c r="N639" s="22" t="str">
        <x:v>ra_abc4</x:v>
      </x:c>
      <x:c r="O639" s="22" t="str">
        <x:v>visible</x:v>
      </x:c>
      <x:c r="P639" s="22" t="n">
        <x:v>11</x:v>
      </x:c>
      <x:c r="Q639" s="40" t="n">
        <x:v>0</x:v>
      </x:c>
      <x:c r="R639" s="25" t="str"/>
      <x:c r="S639" s="25" t="str">
        <x:v>B?</x:v>
      </x:c>
      <x:c r="T639" s="25" t="str">
        <x:v>자동 표 신호는 최종 A/B로 승격하지 않음</x:v>
      </x:c>
      <x:c r="U639" s="22" t="str">
        <x:v>2021-2025</x:v>
      </x:c>
    </x:row>
    <x:row r="640">
      <x:c r="A640" s="22" t="str">
        <x:v>2020-00086</x:v>
      </x:c>
      <x:c r="B640" s="22" t="str">
        <x:v>L2023-00053-1</x:v>
      </x:c>
      <x:c r="C640" s="22" t="str">
        <x:v>WORKS</x:v>
      </x:c>
      <x:c r="D640" s="25" t="str">
        <x:v>L2023-00053-1/Urgench VTC Bid Attachment Documents/Urgench VTC Bid Attachment Documents/Section 4.  Bill of Quantities(Not-Priced)/공내역서/TTC견적서/TTC(Teacher Traing Center)/7 CO(Suond)/bv3050.xlsx</x:v>
      </x:c>
      <x:c r="E640" s="22" t="str">
        <x:v>.xlsx</x:v>
      </x:c>
      <x:c r="F640" s="28" t="n">
        <x:v>19167</x:v>
      </x:c>
      <x:c r="G640" s="28" t="str">
        <x:v>d8736b6fb22ca90bb5af5c298fc86e1ee24f5e86a706ccd04c842123ad6d6659</x:v>
      </x:c>
      <x:c r="H640" s="28" t="n">
        <x:v>1</x:v>
      </x:c>
      <x:c r="I640" s="28" t="n">
        <x:v>1</x:v>
      </x:c>
      <x:c r="J640" s="28" t="n">
        <x:v>1</x:v>
      </x:c>
      <x:c r="K640" s="28" t="n">
        <x:v>47</x:v>
      </x:c>
      <x:c r="L640" s="28" t="n">
        <x:v>0</x:v>
      </x:c>
      <x:c r="M640" s="28" t="n">
        <x:v>0</x:v>
      </x:c>
      <x:c r="N640" s="22" t="str">
        <x:v>_ЛРВ</x:v>
      </x:c>
      <x:c r="O640" s="22" t="str">
        <x:v>visible</x:v>
      </x:c>
      <x:c r="P640" s="22" t="n">
        <x:v>10</x:v>
      </x:c>
      <x:c r="Q640" s="40" t="n">
        <x:v>0</x:v>
      </x:c>
      <x:c r="R640" s="25" t="str"/>
      <x:c r="S640" s="25" t="str">
        <x:v>B?</x:v>
      </x:c>
      <x:c r="T640" s="25" t="str">
        <x:v>자동 표 신호는 최종 A/B로 승격하지 않음</x:v>
      </x:c>
      <x:c r="U640" s="22" t="str">
        <x:v>2021-2025</x:v>
      </x:c>
    </x:row>
    <x:row r="641">
      <x:c r="A641" s="22" t="str">
        <x:v>2020-00086</x:v>
      </x:c>
      <x:c r="B641" s="22" t="str">
        <x:v>L2023-00053-1</x:v>
      </x:c>
      <x:c r="C641" s="22" t="str">
        <x:v>WORKS</x:v>
      </x:c>
      <x:c r="D641" s="25" t="str">
        <x:v>L2023-00053-1/Urgench VTC Bid Attachment Documents/Urgench VTC Bid Attachment Documents/Section 4.  Bill of Quantities(Not-Priced)/공내역서/TTC견적서/TTC(Teacher Traing Center)/6 BH(CCTV)/bv3040.xlsx</x:v>
      </x:c>
      <x:c r="E641" s="22" t="str">
        <x:v>.xlsx</x:v>
      </x:c>
      <x:c r="F641" s="28" t="n">
        <x:v>17421</x:v>
      </x:c>
      <x:c r="G641" s="28" t="str">
        <x:v>c087a01a7f5ee8bc03972781ebf3fd9e8b22b9403edf8c1afc5f58ba62cd9347</x:v>
      </x:c>
      <x:c r="H641" s="28" t="n">
        <x:v>1</x:v>
      </x:c>
      <x:c r="I641" s="28" t="n">
        <x:v>1</x:v>
      </x:c>
      <x:c r="J641" s="28" t="n">
        <x:v>1</x:v>
      </x:c>
      <x:c r="K641" s="28" t="n">
        <x:v>41</x:v>
      </x:c>
      <x:c r="L641" s="28" t="n">
        <x:v>0</x:v>
      </x:c>
      <x:c r="M641" s="28" t="n">
        <x:v>0</x:v>
      </x:c>
      <x:c r="N641" s="22" t="str">
        <x:v>_ЛРВ</x:v>
      </x:c>
      <x:c r="O641" s="22" t="str">
        <x:v>visible</x:v>
      </x:c>
      <x:c r="P641" s="22" t="n">
        <x:v>10</x:v>
      </x:c>
      <x:c r="Q641" s="40" t="n">
        <x:v>0</x:v>
      </x:c>
      <x:c r="R641" s="25" t="str"/>
      <x:c r="S641" s="25" t="str">
        <x:v>B?</x:v>
      </x:c>
      <x:c r="T641" s="25" t="str">
        <x:v>자동 표 신호는 최종 A/B로 승격하지 않음</x:v>
      </x:c>
      <x:c r="U641" s="22" t="str">
        <x:v>2021-2025</x:v>
      </x:c>
    </x:row>
    <x:row r="642">
      <x:c r="A642" s="22" t="str">
        <x:v>2020-00086</x:v>
      </x:c>
      <x:c r="B642" s="22" t="str">
        <x:v>L2023-00053-1</x:v>
      </x:c>
      <x:c r="C642" s="22" t="str">
        <x:v>WORKS</x:v>
      </x:c>
      <x:c r="D642" s="25" t="str">
        <x:v>L2023-00053-1/Urgench VTC Bid Attachment Documents/Urgench VTC Bid Attachment Documents/Section 4.  Bill of Quantities(Not-Priced)/공내역서/TTC견적서/TTC(Teacher Traing Center)/6 BH(CCTV)/ra3040.xlsx</x:v>
      </x:c>
      <x:c r="E642" s="22" t="str">
        <x:v>.xlsx</x:v>
      </x:c>
      <x:c r="F642" s="28" t="n">
        <x:v>15692</x:v>
      </x:c>
      <x:c r="G642" s="28" t="str">
        <x:v>f5e37918a701d900c3b2bbe9e1043f237d948b3b8b8e292ed0b3f2ded32bfeef</x:v>
      </x:c>
      <x:c r="H642" s="28" t="n">
        <x:v>1</x:v>
      </x:c>
      <x:c r="I642" s="28" t="n">
        <x:v>1</x:v>
      </x:c>
      <x:c r="J642" s="28" t="n">
        <x:v>1</x:v>
      </x:c>
      <x:c r="K642" s="28" t="n">
        <x:v>21</x:v>
      </x:c>
      <x:c r="L642" s="28" t="n">
        <x:v>0</x:v>
      </x:c>
      <x:c r="M642" s="28" t="n">
        <x:v>0</x:v>
      </x:c>
      <x:c r="N642" s="22" t="str">
        <x:v>ra_abc4</x:v>
      </x:c>
      <x:c r="O642" s="22" t="str">
        <x:v>visible</x:v>
      </x:c>
      <x:c r="P642" s="22" t="n">
        <x:v>11</x:v>
      </x:c>
      <x:c r="Q642" s="40" t="n">
        <x:v>0</x:v>
      </x:c>
      <x:c r="R642" s="25" t="str"/>
      <x:c r="S642" s="25" t="str">
        <x:v>B?</x:v>
      </x:c>
      <x:c r="T642" s="25" t="str">
        <x:v>자동 표 신호는 최종 A/B로 승격하지 않음</x:v>
      </x:c>
      <x:c r="U642" s="22" t="str">
        <x:v>2021-2025</x:v>
      </x:c>
    </x:row>
    <x:row r="643">
      <x:c r="A643" s="22" t="str">
        <x:v>2020-00086</x:v>
      </x:c>
      <x:c r="B643" s="22" t="str">
        <x:v>L2023-00053-1</x:v>
      </x:c>
      <x:c r="C643" s="22" t="str">
        <x:v>WORKS</x:v>
      </x:c>
      <x:c r="D643" s="25" t="str">
        <x:v>L2023-00053-1/Urgench VTC Bid Attachment Documents/Urgench VTC Bid Attachment Documents/Section 4.  Bill of Quantities(Not-Priced)/공내역서/TTC견적서/TTC(Teacher Traing Center)/3 ГП(Site Plan &amp; Landscape+Outdoor Infra)/bv3060.xlsx</x:v>
      </x:c>
      <x:c r="E643" s="22" t="str">
        <x:v>.xlsx</x:v>
      </x:c>
      <x:c r="F643" s="28" t="n">
        <x:v>27660</x:v>
      </x:c>
      <x:c r="G643" s="28" t="str">
        <x:v>d38cd3ff2234cd84ccd1adff4d2959195030ae5e3712b8ec0eff324533322e0f</x:v>
      </x:c>
      <x:c r="H643" s="28" t="n">
        <x:v>1</x:v>
      </x:c>
      <x:c r="I643" s="28" t="n">
        <x:v>1</x:v>
      </x:c>
      <x:c r="J643" s="28" t="n">
        <x:v>1</x:v>
      </x:c>
      <x:c r="K643" s="28" t="n">
        <x:v>119</x:v>
      </x:c>
      <x:c r="L643" s="28" t="n">
        <x:v>0</x:v>
      </x:c>
      <x:c r="M643" s="28" t="n">
        <x:v>0</x:v>
      </x:c>
      <x:c r="N643" s="22" t="str">
        <x:v>_ЛРВ</x:v>
      </x:c>
      <x:c r="O643" s="22" t="str">
        <x:v>visible</x:v>
      </x:c>
      <x:c r="P643" s="22" t="n">
        <x:v>10</x:v>
      </x:c>
      <x:c r="Q643" s="40" t="n">
        <x:v>0</x:v>
      </x:c>
      <x:c r="R643" s="25" t="str"/>
      <x:c r="S643" s="25" t="str">
        <x:v>B?</x:v>
      </x:c>
      <x:c r="T643" s="25" t="str">
        <x:v>자동 표 신호는 최종 A/B로 승격하지 않음</x:v>
      </x:c>
      <x:c r="U643" s="22" t="str">
        <x:v>2021-2025</x:v>
      </x:c>
    </x:row>
    <x:row r="644">
      <x:c r="A644" s="22" t="str">
        <x:v>2020-00086</x:v>
      </x:c>
      <x:c r="B644" s="22" t="str">
        <x:v>L2023-00053-1</x:v>
      </x:c>
      <x:c r="C644" s="22" t="str">
        <x:v>WORKS</x:v>
      </x:c>
      <x:c r="D644" s="25" t="str">
        <x:v>L2023-00053-1/Urgench VTC Bid Attachment Documents/Urgench VTC Bid Attachment Documents/Section 4.  Bill of Quantities(Not-Priced)/공내역서/TTC견적서/TTC(Teacher Traing Center)/3 ГП(Site Plan &amp; Landscape+Outdoor Infra)/ra3060.xlsx</x:v>
      </x:c>
      <x:c r="E644" s="22" t="str">
        <x:v>.xlsx</x:v>
      </x:c>
      <x:c r="F644" s="28" t="n">
        <x:v>18388</x:v>
      </x:c>
      <x:c r="G644" s="28" t="str">
        <x:v>7d07a0c0b1035748d075950f03fed1b0792f6c426640217f52f3e44a82850c98</x:v>
      </x:c>
      <x:c r="H644" s="28" t="n">
        <x:v>1</x:v>
      </x:c>
      <x:c r="I644" s="28" t="n">
        <x:v>1</x:v>
      </x:c>
      <x:c r="J644" s="28" t="n">
        <x:v>1</x:v>
      </x:c>
      <x:c r="K644" s="28" t="n">
        <x:v>47</x:v>
      </x:c>
      <x:c r="L644" s="28" t="n">
        <x:v>0</x:v>
      </x:c>
      <x:c r="M644" s="28" t="n">
        <x:v>0</x:v>
      </x:c>
      <x:c r="N644" s="22" t="str">
        <x:v>ra_abc4</x:v>
      </x:c>
      <x:c r="O644" s="22" t="str">
        <x:v>visible</x:v>
      </x:c>
      <x:c r="P644" s="22" t="n">
        <x:v>11</x:v>
      </x:c>
      <x:c r="Q644" s="40" t="n">
        <x:v>0</x:v>
      </x:c>
      <x:c r="R644" s="25" t="str"/>
      <x:c r="S644" s="25" t="str">
        <x:v>B?</x:v>
      </x:c>
      <x:c r="T644" s="25" t="str">
        <x:v>자동 표 신호는 최종 A/B로 승격하지 않음</x:v>
      </x:c>
      <x:c r="U644" s="22" t="str">
        <x:v>2021-2025</x:v>
      </x:c>
    </x:row>
    <x:row r="645">
      <x:c r="A645" s="22" t="str">
        <x:v>2020-00086</x:v>
      </x:c>
      <x:c r="B645" s="22" t="str">
        <x:v>L2023-00053-1</x:v>
      </x:c>
      <x:c r="C645" s="22" t="str">
        <x:v>WORKS</x:v>
      </x:c>
      <x:c r="D645" s="25" t="str">
        <x:v>L2023-00053-1/Urgench VTC Bid Attachment Documents/Urgench VTC Bid Attachment Documents/Section 4.  Bill of Quantities(Not-Priced)/공내역서/TTC견적서/TTC(Teacher Traing Center)/11 ПС(Fire Alarm)/ra890.xlsx</x:v>
      </x:c>
      <x:c r="E645" s="22" t="str">
        <x:v>.xlsx</x:v>
      </x:c>
      <x:c r="F645" s="28" t="n">
        <x:v>16065</x:v>
      </x:c>
      <x:c r="G645" s="28" t="str">
        <x:v>d8b2c9b85f45400cc7d8c27f259fa0c5b3e76d1b545bb75354989dbb43135b4d</x:v>
      </x:c>
      <x:c r="H645" s="28" t="n">
        <x:v>1</x:v>
      </x:c>
      <x:c r="I645" s="28" t="n">
        <x:v>1</x:v>
      </x:c>
      <x:c r="J645" s="28" t="n">
        <x:v>1</x:v>
      </x:c>
      <x:c r="K645" s="28" t="n">
        <x:v>26</x:v>
      </x:c>
      <x:c r="L645" s="28" t="n">
        <x:v>0</x:v>
      </x:c>
      <x:c r="M645" s="28" t="n">
        <x:v>0</x:v>
      </x:c>
      <x:c r="N645" s="22" t="str">
        <x:v>ra_abc4</x:v>
      </x:c>
      <x:c r="O645" s="22" t="str">
        <x:v>visible</x:v>
      </x:c>
      <x:c r="P645" s="22" t="n">
        <x:v>8</x:v>
      </x:c>
      <x:c r="Q645" s="40" t="n">
        <x:v>0</x:v>
      </x:c>
      <x:c r="R645" s="25" t="str"/>
      <x:c r="S645" s="25" t="str">
        <x:v>B?</x:v>
      </x:c>
      <x:c r="T645" s="25" t="str">
        <x:v>자동 표 신호는 최종 A/B로 승격하지 않음</x:v>
      </x:c>
      <x:c r="U645" s="22" t="str">
        <x:v>2021-2025</x:v>
      </x:c>
    </x:row>
    <x:row r="646">
      <x:c r="A646" s="22" t="str">
        <x:v>2020-00086</x:v>
      </x:c>
      <x:c r="B646" s="22" t="str">
        <x:v>L2023-00053-1</x:v>
      </x:c>
      <x:c r="C646" s="22" t="str">
        <x:v>WORKS</x:v>
      </x:c>
      <x:c r="D646" s="25" t="str">
        <x:v>L2023-00053-1/Urgench VTC Bid Attachment Documents/Urgench VTC Bid Attachment Documents/Section 4.  Bill of Quantities(Not-Priced)/공내역서/TTC견적서/TTC(Teacher Traing Center)/11 ПС(Fire Alarm)/bv890.xlsx</x:v>
      </x:c>
      <x:c r="E646" s="22" t="str">
        <x:v>.xlsx</x:v>
      </x:c>
      <x:c r="F646" s="28" t="n">
        <x:v>16239</x:v>
      </x:c>
      <x:c r="G646" s="28" t="str">
        <x:v>8129ceac07201b1e597cc0f6a8cb95da3e9b128c6c78d846cc24a60a01eda92a</x:v>
      </x:c>
      <x:c r="H646" s="28" t="n">
        <x:v>1</x:v>
      </x:c>
      <x:c r="I646" s="28" t="n">
        <x:v>1</x:v>
      </x:c>
      <x:c r="J646" s="28" t="n">
        <x:v>1</x:v>
      </x:c>
      <x:c r="K646" s="28" t="n">
        <x:v>50</x:v>
      </x:c>
      <x:c r="L646" s="28" t="n">
        <x:v>0</x:v>
      </x:c>
      <x:c r="M646" s="28" t="n">
        <x:v>0</x:v>
      </x:c>
      <x:c r="N646" s="22" t="str">
        <x:v>_ЛРВ</x:v>
      </x:c>
      <x:c r="O646" s="22" t="str">
        <x:v>visible</x:v>
      </x:c>
      <x:c r="P646" s="22" t="n">
        <x:v>9</x:v>
      </x:c>
      <x:c r="Q646" s="40" t="n">
        <x:v>0</x:v>
      </x:c>
      <x:c r="R646" s="25" t="str"/>
      <x:c r="S646" s="25" t="str">
        <x:v>B?</x:v>
      </x:c>
      <x:c r="T646" s="25" t="str">
        <x:v>자동 표 신호는 최종 A/B로 승격하지 않음</x:v>
      </x:c>
      <x:c r="U646" s="22" t="str">
        <x:v>2021-2025</x:v>
      </x:c>
    </x:row>
    <x:row r="647">
      <x:c r="A647" s="22" t="str">
        <x:v>2020-00086</x:v>
      </x:c>
      <x:c r="B647" s="22" t="str">
        <x:v>L2023-00053-1</x:v>
      </x:c>
      <x:c r="C647" s="22" t="str">
        <x:v>WORKS</x:v>
      </x:c>
      <x:c r="D647" s="25" t="str">
        <x:v>L2023-00053-1/Urgench VTC Bid Attachment Documents/Urgench VTC Bid Attachment Documents/Section 4.  Bill of Quantities(Not-Priced)/공내역서/TTC견적서/TTC(Teacher Traing Center)/8 TX(Technology)/ra1980.xlsx</x:v>
      </x:c>
      <x:c r="E647" s="22" t="str">
        <x:v>.xlsx</x:v>
      </x:c>
      <x:c r="F647" s="28" t="n">
        <x:v>20617</x:v>
      </x:c>
      <x:c r="G647" s="28" t="str">
        <x:v>622bb79188a8c68bb6c3ee2ce4251459a88c3c64cd720cfe0775331285385fe3</x:v>
      </x:c>
      <x:c r="H647" s="28" t="n">
        <x:v>1</x:v>
      </x:c>
      <x:c r="I647" s="28" t="n">
        <x:v>1</x:v>
      </x:c>
      <x:c r="J647" s="28" t="n">
        <x:v>1</x:v>
      </x:c>
      <x:c r="K647" s="28" t="n">
        <x:v>73</x:v>
      </x:c>
      <x:c r="L647" s="28" t="n">
        <x:v>0</x:v>
      </x:c>
      <x:c r="M647" s="28" t="n">
        <x:v>0</x:v>
      </x:c>
      <x:c r="N647" s="22" t="str">
        <x:v>ra_abc4</x:v>
      </x:c>
      <x:c r="O647" s="22" t="str">
        <x:v>visible</x:v>
      </x:c>
      <x:c r="P647" s="22" t="n">
        <x:v>10</x:v>
      </x:c>
      <x:c r="Q647" s="40" t="n">
        <x:v>0</x:v>
      </x:c>
      <x:c r="R647" s="25" t="str"/>
      <x:c r="S647" s="25" t="str">
        <x:v>B?</x:v>
      </x:c>
      <x:c r="T647" s="25" t="str">
        <x:v>자동 표 신호는 최종 A/B로 승격하지 않음</x:v>
      </x:c>
      <x:c r="U647" s="22" t="str">
        <x:v>2021-2025</x:v>
      </x:c>
    </x:row>
    <x:row r="648">
      <x:c r="A648" s="22" t="str">
        <x:v>2020-00086</x:v>
      </x:c>
      <x:c r="B648" s="22" t="str">
        <x:v>L2023-00053-1</x:v>
      </x:c>
      <x:c r="C648" s="22" t="str">
        <x:v>WORKS</x:v>
      </x:c>
      <x:c r="D648" s="25" t="str">
        <x:v>L2023-00053-1/Urgench VTC Bid Attachment Documents/Urgench VTC Bid Attachment Documents/Section 4.  Bill of Quantities(Not-Priced)/공내역서/TTC견적서/TTC(Teacher Traing Center)/8 TX(Technology)/bv1980.xlsx</x:v>
      </x:c>
      <x:c r="E648" s="22" t="str">
        <x:v>.xlsx</x:v>
      </x:c>
      <x:c r="F648" s="28" t="n">
        <x:v>26757</x:v>
      </x:c>
      <x:c r="G648" s="28" t="str">
        <x:v>658f831982ac98d8cfbab1681ad4e3120d4258ebd2fe84176ecd04c364fd7c9f</x:v>
      </x:c>
      <x:c r="H648" s="28" t="n">
        <x:v>1</x:v>
      </x:c>
      <x:c r="I648" s="28" t="n">
        <x:v>1</x:v>
      </x:c>
      <x:c r="J648" s="28" t="n">
        <x:v>1</x:v>
      </x:c>
      <x:c r="K648" s="28" t="n">
        <x:v>122</x:v>
      </x:c>
      <x:c r="L648" s="28" t="n">
        <x:v>0</x:v>
      </x:c>
      <x:c r="M648" s="28" t="n">
        <x:v>0</x:v>
      </x:c>
      <x:c r="N648" s="22" t="str">
        <x:v>_ЛРВ</x:v>
      </x:c>
      <x:c r="O648" s="22" t="str">
        <x:v>visible</x:v>
      </x:c>
      <x:c r="P648" s="22" t="n">
        <x:v>10</x:v>
      </x:c>
      <x:c r="Q648" s="40" t="n">
        <x:v>0</x:v>
      </x:c>
      <x:c r="R648" s="25" t="str"/>
      <x:c r="S648" s="25" t="str">
        <x:v>B?</x:v>
      </x:c>
      <x:c r="T648" s="25" t="str">
        <x:v>자동 표 신호는 최종 A/B로 승격하지 않음</x:v>
      </x:c>
      <x:c r="U648" s="22" t="str">
        <x:v>2021-2025</x:v>
      </x:c>
    </x:row>
    <x:row r="649">
      <x:c r="A649" s="22" t="str">
        <x:v>2020-00086</x:v>
      </x:c>
      <x:c r="B649" s="22" t="str">
        <x:v>L2023-00053-1</x:v>
      </x:c>
      <x:c r="C649" s="22" t="str">
        <x:v>WORKS</x:v>
      </x:c>
      <x:c r="D649" s="25" t="str">
        <x:v>L2023-00053-1/Urgench VTC Bid Attachment Documents/Urgench VTC Bid Attachment Documents/Section 4.  Bill of Quantities(Not-Priced)/공내역서/TTC견적서/TTC(Teacher Traing Center)/1 КЖ(Structure)/bv1960bvvv.xlsx</x:v>
      </x:c>
      <x:c r="E649" s="22" t="str">
        <x:v>.xlsx</x:v>
      </x:c>
      <x:c r="F649" s="28" t="n">
        <x:v>182869</x:v>
      </x:c>
      <x:c r="G649" s="28" t="str">
        <x:v>e5c99030dcc522bfbec53f93e2065da4eb585f95ef5433d19a6f5060946eda14</x:v>
      </x:c>
      <x:c r="H649" s="28" t="n">
        <x:v>1</x:v>
      </x:c>
      <x:c r="I649" s="28" t="n">
        <x:v>1</x:v>
      </x:c>
      <x:c r="J649" s="28" t="n">
        <x:v>1</x:v>
      </x:c>
      <x:c r="K649" s="28" t="n">
        <x:v>1896</x:v>
      </x:c>
      <x:c r="L649" s="28" t="n">
        <x:v>0</x:v>
      </x:c>
      <x:c r="M649" s="28" t="n">
        <x:v>0</x:v>
      </x:c>
      <x:c r="N649" s="22" t="str">
        <x:v>_ЛРВ</x:v>
      </x:c>
      <x:c r="O649" s="22" t="str">
        <x:v>visible</x:v>
      </x:c>
      <x:c r="P649" s="22" t="n">
        <x:v>9</x:v>
      </x:c>
      <x:c r="Q649" s="40" t="n">
        <x:v>0</x:v>
      </x:c>
      <x:c r="R649" s="25" t="str"/>
      <x:c r="S649" s="25" t="str">
        <x:v>B?</x:v>
      </x:c>
      <x:c r="T649" s="25" t="str">
        <x:v>자동 표 신호는 최종 A/B로 승격하지 않음</x:v>
      </x:c>
      <x:c r="U649" s="22" t="str">
        <x:v>2021-2025</x:v>
      </x:c>
    </x:row>
    <x:row r="650">
      <x:c r="A650" s="22" t="str">
        <x:v>2020-00086</x:v>
      </x:c>
      <x:c r="B650" s="22" t="str">
        <x:v>L2023-00053-1</x:v>
      </x:c>
      <x:c r="C650" s="22" t="str">
        <x:v>WORKS</x:v>
      </x:c>
      <x:c r="D650" s="25" t="str">
        <x:v>L2023-00053-1/Urgench VTC Bid Attachment Documents/Urgench VTC Bid Attachment Documents/Section 4.  Bill of Quantities(Not-Priced)/공내역서/TTC견적서/TTC(Teacher Traing Center)/1 КЖ(Structure)/ra1960.xlsx</x:v>
      </x:c>
      <x:c r="E650" s="22" t="str">
        <x:v>.xlsx</x:v>
      </x:c>
      <x:c r="F650" s="28" t="n">
        <x:v>22697</x:v>
      </x:c>
      <x:c r="G650" s="28" t="str">
        <x:v>1df141d69100814db5f9704fbd37ab0da50fd60867b7be892d994f292bba0530</x:v>
      </x:c>
      <x:c r="H650" s="28" t="n">
        <x:v>1</x:v>
      </x:c>
      <x:c r="I650" s="28" t="n">
        <x:v>1</x:v>
      </x:c>
      <x:c r="J650" s="28" t="n">
        <x:v>1</x:v>
      </x:c>
      <x:c r="K650" s="28" t="n">
        <x:v>93</x:v>
      </x:c>
      <x:c r="L650" s="28" t="n">
        <x:v>0</x:v>
      </x:c>
      <x:c r="M650" s="28" t="n">
        <x:v>0</x:v>
      </x:c>
      <x:c r="N650" s="22" t="str">
        <x:v>ra_abc4</x:v>
      </x:c>
      <x:c r="O650" s="22" t="str">
        <x:v>visible</x:v>
      </x:c>
      <x:c r="P650" s="22" t="n">
        <x:v>10</x:v>
      </x:c>
      <x:c r="Q650" s="40" t="n">
        <x:v>0</x:v>
      </x:c>
      <x:c r="R650" s="25" t="str"/>
      <x:c r="S650" s="25" t="str">
        <x:v>B?</x:v>
      </x:c>
      <x:c r="T650" s="25" t="str">
        <x:v>자동 표 신호는 최종 A/B로 승격하지 않음</x:v>
      </x:c>
      <x:c r="U650" s="22" t="str">
        <x:v>2021-2025</x:v>
      </x:c>
    </x:row>
    <x:row r="651">
      <x:c r="A651" s="22" t="str">
        <x:v>2020-00086</x:v>
      </x:c>
      <x:c r="B651" s="22" t="str">
        <x:v>L2023-00053-1</x:v>
      </x:c>
      <x:c r="C651" s="22" t="str">
        <x:v>WORKS</x:v>
      </x:c>
      <x:c r="D651" s="25" t="str">
        <x:v>L2023-00053-1/Urgench VTC Bid Attachment Documents/Urgench VTC Bid Attachment Documents/Section 4.  Bill of Quantities(Not-Priced)/공내역서/TTC견적서/TTC(Teacher Traing Center)/4 Fence &amp; Gate/ra1970.xlsx</x:v>
      </x:c>
      <x:c r="E651" s="22" t="str">
        <x:v>.xlsx</x:v>
      </x:c>
      <x:c r="F651" s="28" t="n">
        <x:v>17488</x:v>
      </x:c>
      <x:c r="G651" s="28" t="str">
        <x:v>2ce08b34a8bc5b4c30202b96999f24f8b8143955bb33db40aa4a9b418396dc3e</x:v>
      </x:c>
      <x:c r="H651" s="28" t="n">
        <x:v>1</x:v>
      </x:c>
      <x:c r="I651" s="28" t="n">
        <x:v>1</x:v>
      </x:c>
      <x:c r="J651" s="28" t="n">
        <x:v>1</x:v>
      </x:c>
      <x:c r="K651" s="28" t="n">
        <x:v>47</x:v>
      </x:c>
      <x:c r="L651" s="28" t="n">
        <x:v>0</x:v>
      </x:c>
      <x:c r="M651" s="28" t="n">
        <x:v>0</x:v>
      </x:c>
      <x:c r="N651" s="22" t="str">
        <x:v>ra_abc4</x:v>
      </x:c>
      <x:c r="O651" s="22" t="str">
        <x:v>visible</x:v>
      </x:c>
      <x:c r="P651" s="22" t="n">
        <x:v>10</x:v>
      </x:c>
      <x:c r="Q651" s="40" t="n">
        <x:v>0</x:v>
      </x:c>
      <x:c r="R651" s="25" t="str"/>
      <x:c r="S651" s="25" t="str">
        <x:v>B?</x:v>
      </x:c>
      <x:c r="T651" s="25" t="str">
        <x:v>자동 표 신호는 최종 A/B로 승격하지 않음</x:v>
      </x:c>
      <x:c r="U651" s="22" t="str">
        <x:v>2021-2025</x:v>
      </x:c>
    </x:row>
    <x:row r="652">
      <x:c r="A652" s="22" t="str">
        <x:v>2020-00086</x:v>
      </x:c>
      <x:c r="B652" s="22" t="str">
        <x:v>L2023-00053-1</x:v>
      </x:c>
      <x:c r="C652" s="22" t="str">
        <x:v>WORKS</x:v>
      </x:c>
      <x:c r="D652" s="25" t="str">
        <x:v>L2023-00053-1/Urgench VTC Bid Attachment Documents/Urgench VTC Bid Attachment Documents/Section 4.  Bill of Quantities(Not-Priced)/공내역서/TTC견적서/TTC(Teacher Traing Center)/4 Fence &amp; Gate/bv1970.xlsx</x:v>
      </x:c>
      <x:c r="E652" s="22" t="str">
        <x:v>.xlsx</x:v>
      </x:c>
      <x:c r="F652" s="28" t="n">
        <x:v>31247</x:v>
      </x:c>
      <x:c r="G652" s="28" t="str">
        <x:v>72f147bedce1773ad4eb4cb1322cdb8560daad6b74664382be38ab6b252391e8</x:v>
      </x:c>
      <x:c r="H652" s="28" t="n">
        <x:v>1</x:v>
      </x:c>
      <x:c r="I652" s="28" t="n">
        <x:v>1</x:v>
      </x:c>
      <x:c r="J652" s="28" t="n">
        <x:v>1</x:v>
      </x:c>
      <x:c r="K652" s="28" t="n">
        <x:v>160</x:v>
      </x:c>
      <x:c r="L652" s="28" t="n">
        <x:v>0</x:v>
      </x:c>
      <x:c r="M652" s="28" t="n">
        <x:v>0</x:v>
      </x:c>
      <x:c r="N652" s="22" t="str">
        <x:v>_ЛРВ</x:v>
      </x:c>
      <x:c r="O652" s="22" t="str">
        <x:v>visible</x:v>
      </x:c>
      <x:c r="P652" s="22" t="n">
        <x:v>10</x:v>
      </x:c>
      <x:c r="Q652" s="40" t="n">
        <x:v>0</x:v>
      </x:c>
      <x:c r="R652" s="25" t="str"/>
      <x:c r="S652" s="25" t="str">
        <x:v>B?</x:v>
      </x:c>
      <x:c r="T652" s="25" t="str">
        <x:v>자동 표 신호는 최종 A/B로 승격하지 않음</x:v>
      </x:c>
      <x:c r="U652" s="22" t="str">
        <x:v>2021-2025</x:v>
      </x:c>
    </x:row>
    <x:row r="653">
      <x:c r="A653" s="22" t="str">
        <x:v>2020-00086</x:v>
      </x:c>
      <x:c r="B653" s="22" t="str">
        <x:v>L2023-00053-1</x:v>
      </x:c>
      <x:c r="C653" s="22" t="str">
        <x:v>WORKS</x:v>
      </x:c>
      <x:c r="D653" s="25" t="str">
        <x:v>L2023-00053-1/Urgench VTC Bid Attachment Documents/Urgench VTC Bid Attachment Documents/Section 4.  Bill of Quantities(Not-Priced)/공내역서/TTC견적서/TTC(Teacher Traing Center)/5 BK(Water &amp; Drain)/ra3070.xlsx</x:v>
      </x:c>
      <x:c r="E653" s="22" t="str">
        <x:v>.xlsx</x:v>
      </x:c>
      <x:c r="F653" s="28" t="n">
        <x:v>25278</x:v>
      </x:c>
      <x:c r="G653" s="28" t="str">
        <x:v>fd300044379245c1d80d88ba74fe1633f3b5207511979bfda5b2a1dcd3740796</x:v>
      </x:c>
      <x:c r="H653" s="28" t="n">
        <x:v>1</x:v>
      </x:c>
      <x:c r="I653" s="28" t="n">
        <x:v>1</x:v>
      </x:c>
      <x:c r="J653" s="28" t="n">
        <x:v>1</x:v>
      </x:c>
      <x:c r="K653" s="28" t="n">
        <x:v>129</x:v>
      </x:c>
      <x:c r="L653" s="28" t="n">
        <x:v>0</x:v>
      </x:c>
      <x:c r="M653" s="28" t="n">
        <x:v>0</x:v>
      </x:c>
      <x:c r="N653" s="22" t="str">
        <x:v>ra_abc4</x:v>
      </x:c>
      <x:c r="O653" s="22" t="str">
        <x:v>visible</x:v>
      </x:c>
      <x:c r="P653" s="22" t="n">
        <x:v>11</x:v>
      </x:c>
      <x:c r="Q653" s="40" t="n">
        <x:v>0</x:v>
      </x:c>
      <x:c r="R653" s="25" t="str"/>
      <x:c r="S653" s="25" t="str">
        <x:v>B?</x:v>
      </x:c>
      <x:c r="T653" s="25" t="str">
        <x:v>자동 표 신호는 최종 A/B로 승격하지 않음</x:v>
      </x:c>
      <x:c r="U653" s="22" t="str">
        <x:v>2021-2025</x:v>
      </x:c>
    </x:row>
    <x:row r="654">
      <x:c r="A654" s="22" t="str">
        <x:v>2020-00086</x:v>
      </x:c>
      <x:c r="B654" s="22" t="str">
        <x:v>L2023-00053-1</x:v>
      </x:c>
      <x:c r="C654" s="22" t="str">
        <x:v>WORKS</x:v>
      </x:c>
      <x:c r="D654" s="25" t="str">
        <x:v>L2023-00053-1/Urgench VTC Bid Attachment Documents/Urgench VTC Bid Attachment Documents/Section 4.  Bill of Quantities(Not-Priced)/공내역서/TTC견적서/TTC(Teacher Traing Center)/5 BK(Water &amp; Drain)/bv3070.xlsx</x:v>
      </x:c>
      <x:c r="E654" s="22" t="str">
        <x:v>.xlsx</x:v>
      </x:c>
      <x:c r="F654" s="28" t="n">
        <x:v>49531</x:v>
      </x:c>
      <x:c r="G654" s="28" t="str">
        <x:v>6acc573f07036eef8ca050dcd24be3037151b90e25f2d5c5ee04ffd429ce3bd4</x:v>
      </x:c>
      <x:c r="H654" s="28" t="n">
        <x:v>1</x:v>
      </x:c>
      <x:c r="I654" s="28" t="n">
        <x:v>1</x:v>
      </x:c>
      <x:c r="J654" s="28" t="n">
        <x:v>1</x:v>
      </x:c>
      <x:c r="K654" s="28" t="n">
        <x:v>351</x:v>
      </x:c>
      <x:c r="L654" s="28" t="n">
        <x:v>0</x:v>
      </x:c>
      <x:c r="M654" s="28" t="n">
        <x:v>0</x:v>
      </x:c>
      <x:c r="N654" s="22" t="str">
        <x:v>_ЛРВ</x:v>
      </x:c>
      <x:c r="O654" s="22" t="str">
        <x:v>visible</x:v>
      </x:c>
      <x:c r="P654" s="22" t="n">
        <x:v>10</x:v>
      </x:c>
      <x:c r="Q654" s="40" t="n">
        <x:v>0</x:v>
      </x:c>
      <x:c r="R654" s="25" t="str"/>
      <x:c r="S654" s="25" t="str">
        <x:v>B?</x:v>
      </x:c>
      <x:c r="T654" s="25" t="str">
        <x:v>자동 표 신호는 최종 A/B로 승격하지 않음</x:v>
      </x:c>
      <x:c r="U654" s="22" t="str">
        <x:v>2021-2025</x:v>
      </x:c>
    </x:row>
    <x:row r="655">
      <x:c r="A655" s="22" t="str">
        <x:v>2020-00086</x:v>
      </x:c>
      <x:c r="B655" s="22" t="str">
        <x:v>L2023-00053-1</x:v>
      </x:c>
      <x:c r="C655" s="22" t="str">
        <x:v>WORKS</x:v>
      </x:c>
      <x:c r="D655" s="25" t="str">
        <x:v>L2023-00053-1/Urgench VTC Bid Attachment Documents/Urgench VTC Bid Attachment Documents/Section 4.  Bill of Quantities(Not-Priced)/공내역서/TTC견적서/TTC(Teacher Traing Center)/13 ТП(Transformers)/13-2 ЭО(Electric)/bv13620.xls</x:v>
      </x:c>
      <x:c r="E655" s="22" t="str">
        <x:v>.xls</x:v>
      </x:c>
      <x:c r="F655" s="28" t="n">
        <x:v>41984</x:v>
      </x:c>
      <x:c r="G655" s="28" t="str">
        <x:v>7e8bd22f2ccb96108964380fcbdbcd8324c2a0724a07718109c2bb550faa2db3</x:v>
      </x:c>
      <x:c r="H655" s="28" t="n">
        <x:v>1</x:v>
      </x:c>
      <x:c r="I655" s="28" t="n">
        <x:v>1</x:v>
      </x:c>
      <x:c r="J655" s="28" t="n">
        <x:v>1</x:v>
      </x:c>
      <x:c r="K655" s="28" t="n">
        <x:v>20</x:v>
      </x:c>
      <x:c r="L655" s="28" t="n">
        <x:v>1</x:v>
      </x:c>
      <x:c r="M655" s="28" t="n">
        <x:v>0</x:v>
      </x:c>
      <x:c r="N655" s="22" t="str">
        <x:v>Лист1</x:v>
      </x:c>
      <x:c r="O655" s="22" t="str">
        <x:v>visible</x:v>
      </x:c>
      <x:c r="P655" s="22" t="n">
        <x:v>10</x:v>
      </x:c>
      <x:c r="Q655" s="40" t="n">
        <x:v>0.05</x:v>
      </x:c>
      <x:c r="R655" s="25" t="str"/>
      <x:c r="S655" s="25" t="str">
        <x:v>B?</x:v>
      </x:c>
      <x:c r="T655" s="25" t="str">
        <x:v>자동 표 신호는 최종 A/B로 승격하지 않음</x:v>
      </x:c>
      <x:c r="U655" s="22" t="str">
        <x:v>2021-2025</x:v>
      </x:c>
    </x:row>
    <x:row r="656">
      <x:c r="A656" s="22" t="str">
        <x:v>2020-00086</x:v>
      </x:c>
      <x:c r="B656" s="22" t="str">
        <x:v>L2023-00053-1</x:v>
      </x:c>
      <x:c r="C656" s="22" t="str">
        <x:v>WORKS</x:v>
      </x:c>
      <x:c r="D656" s="25" t="str">
        <x:v>L2023-00053-1/Urgench VTC Bid Attachment Documents/Urgench VTC Bid Attachment Documents/Section 4.  Bill of Quantities(Not-Priced)/공내역서/TTC견적서/TTC(Teacher Traing Center)/13 ТП(Transformers)/13-2 ЭО(Electric)/ra13620.xls</x:v>
      </x:c>
      <x:c r="E656" s="22" t="str">
        <x:v>.xls</x:v>
      </x:c>
      <x:c r="F656" s="28" t="n">
        <x:v>65024</x:v>
      </x:c>
      <x:c r="G656" s="28" t="str">
        <x:v>5a96dab71fd5d42b3c00fe59751a4460f6fc39aa8bf201852715f2b9b272d1d5</x:v>
      </x:c>
      <x:c r="H656" s="28" t="n">
        <x:v>1</x:v>
      </x:c>
      <x:c r="I656" s="28" t="n">
        <x:v>1</x:v>
      </x:c>
      <x:c r="J656" s="28" t="n">
        <x:v>0</x:v>
      </x:c>
      <x:c r="K656" s="28" t="n">
        <x:v>0</x:v>
      </x:c>
      <x:c r="L656" s="28" t="n">
        <x:v>0</x:v>
      </x:c>
      <x:c r="M656" s="28" t="n">
        <x:v>0</x:v>
      </x:c>
      <x:c r="N656" s="22" t="str"/>
      <x:c r="O656" s="22" t="str"/>
      <x:c r="P656" s="22" t="n">
        <x:v>0</x:v>
      </x:c>
      <x:c r="Q656" s="40" t="n">
        <x:v>0</x:v>
      </x:c>
      <x:c r="R656" s="25" t="str"/>
      <x:c r="S656" s="25" t="str">
        <x:v>BOQ_NAME_ONLY</x:v>
      </x:c>
      <x:c r="T656" s="25" t="str">
        <x:v>자동 표 신호는 최종 A/B로 승격하지 않음</x:v>
      </x:c>
      <x:c r="U656" s="22" t="str">
        <x:v>2021-2025</x:v>
      </x:c>
    </x:row>
    <x:row r="657">
      <x:c r="A657" s="22" t="str">
        <x:v>2020-00086</x:v>
      </x:c>
      <x:c r="B657" s="22" t="str">
        <x:v>L2023-00053-1</x:v>
      </x:c>
      <x:c r="C657" s="22" t="str">
        <x:v>WORKS</x:v>
      </x:c>
      <x:c r="D657" s="25" t="str">
        <x:v>L2023-00053-1/Urgench VTC Bid Attachment Documents/Urgench VTC Bid Attachment Documents/Section 4.  Bill of Quantities(Not-Priced)/공내역서/TTC견적서/TTC(Teacher Traing Center)/13 ТП(Transformers)/13-1 AC(Architecture+Structure)/ra13610.xls</x:v>
      </x:c>
      <x:c r="E657" s="22" t="str">
        <x:v>.xls</x:v>
      </x:c>
      <x:c r="F657" s="28" t="n">
        <x:v>80896</x:v>
      </x:c>
      <x:c r="G657" s="28" t="str">
        <x:v>2d4926fc91e958ec0627a1ae92e834125bb395be03f2a1749895e985115bbf2f</x:v>
      </x:c>
      <x:c r="H657" s="28" t="n">
        <x:v>1</x:v>
      </x:c>
      <x:c r="I657" s="28" t="n">
        <x:v>1</x:v>
      </x:c>
      <x:c r="J657" s="28" t="n">
        <x:v>0</x:v>
      </x:c>
      <x:c r="K657" s="28" t="n">
        <x:v>0</x:v>
      </x:c>
      <x:c r="L657" s="28" t="n">
        <x:v>0</x:v>
      </x:c>
      <x:c r="M657" s="28" t="n">
        <x:v>0</x:v>
      </x:c>
      <x:c r="N657" s="22" t="str"/>
      <x:c r="O657" s="22" t="str"/>
      <x:c r="P657" s="22" t="n">
        <x:v>0</x:v>
      </x:c>
      <x:c r="Q657" s="40" t="n">
        <x:v>0</x:v>
      </x:c>
      <x:c r="R657" s="25" t="str"/>
      <x:c r="S657" s="25" t="str">
        <x:v>BOQ_NAME_ONLY</x:v>
      </x:c>
      <x:c r="T657" s="25" t="str">
        <x:v>자동 표 신호는 최종 A/B로 승격하지 않음</x:v>
      </x:c>
      <x:c r="U657" s="22" t="str">
        <x:v>2021-2025</x:v>
      </x:c>
    </x:row>
    <x:row r="658">
      <x:c r="A658" s="22" t="str">
        <x:v>2020-00086</x:v>
      </x:c>
      <x:c r="B658" s="22" t="str">
        <x:v>L2023-00053-1</x:v>
      </x:c>
      <x:c r="C658" s="22" t="str">
        <x:v>WORKS</x:v>
      </x:c>
      <x:c r="D658" s="25" t="str">
        <x:v>L2023-00053-1/Urgench VTC Bid Attachment Documents/Urgench VTC Bid Attachment Documents/Section 4.  Bill of Quantities(Not-Priced)/공내역서/TTC견적서/TTC(Teacher Traing Center)/13 ТП(Transformers)/13-1 AC(Architecture+Structure)/bv13610.xls</x:v>
      </x:c>
      <x:c r="E658" s="22" t="str">
        <x:v>.xls</x:v>
      </x:c>
      <x:c r="F658" s="28" t="n">
        <x:v>48640</x:v>
      </x:c>
      <x:c r="G658" s="28" t="str">
        <x:v>6e059fc8e195c66ee541a50f09da94021c8a9f0d41e662173e8be5b9bd43b5a9</x:v>
      </x:c>
      <x:c r="H658" s="28" t="n">
        <x:v>1</x:v>
      </x:c>
      <x:c r="I658" s="28" t="n">
        <x:v>1</x:v>
      </x:c>
      <x:c r="J658" s="28" t="n">
        <x:v>1</x:v>
      </x:c>
      <x:c r="K658" s="28" t="n">
        <x:v>53</x:v>
      </x:c>
      <x:c r="L658" s="28" t="n">
        <x:v>1</x:v>
      </x:c>
      <x:c r="M658" s="28" t="n">
        <x:v>0</x:v>
      </x:c>
      <x:c r="N658" s="22" t="str">
        <x:v>Лист1</x:v>
      </x:c>
      <x:c r="O658" s="22" t="str">
        <x:v>visible</x:v>
      </x:c>
      <x:c r="P658" s="22" t="n">
        <x:v>10</x:v>
      </x:c>
      <x:c r="Q658" s="40" t="n">
        <x:v>0.018867924528301886</x:v>
      </x:c>
      <x:c r="R658" s="25" t="str"/>
      <x:c r="S658" s="25" t="str">
        <x:v>B?</x:v>
      </x:c>
      <x:c r="T658" s="25" t="str">
        <x:v>자동 표 신호는 최종 A/B로 승격하지 않음</x:v>
      </x:c>
      <x:c r="U658" s="22" t="str">
        <x:v>2021-2025</x:v>
      </x:c>
    </x:row>
    <x:row r="659">
      <x:c r="A659" s="22" t="str">
        <x:v>2020-00046</x:v>
      </x:c>
      <x:c r="B659" s="22" t="str">
        <x:v>L2023-00032-1</x:v>
      </x:c>
      <x:c r="C659" s="22" t="str">
        <x:v>NONBUILDING_OR_FALSE_AREA</x:v>
      </x:c>
      <x:c r="D659" s="25" t="str">
        <x:v>L2023-00032-1/2. 입찰서류(영문)/Section 4 - Unpriced Bill of Quantities.xlsx</x:v>
      </x:c>
      <x:c r="E659" s="22" t="str">
        <x:v>.xlsx</x:v>
      </x:c>
      <x:c r="F659" s="28" t="n">
        <x:v>97554</x:v>
      </x:c>
      <x:c r="G659" s="28" t="str">
        <x:v>37c01f5ce61faf4028bc8073e6cbc4aee56d442a0de2fd7d2b4f208ec01d246c</x:v>
      </x:c>
      <x:c r="H659" s="28" t="n">
        <x:v>1</x:v>
      </x:c>
      <x:c r="I659" s="28" t="n">
        <x:v>1</x:v>
      </x:c>
      <x:c r="J659" s="28" t="n">
        <x:v>4</x:v>
      </x:c>
      <x:c r="K659" s="28" t="n">
        <x:v>113</x:v>
      </x:c>
      <x:c r="L659" s="28" t="n">
        <x:v>0</x:v>
      </x:c>
      <x:c r="M659" s="28" t="n">
        <x:v>0</x:v>
      </x:c>
      <x:c r="N659" s="22" t="str">
        <x:v>BOQ_Total</x:v>
      </x:c>
      <x:c r="O659" s="22" t="str">
        <x:v>visible</x:v>
      </x:c>
      <x:c r="P659" s="22" t="n">
        <x:v>1</x:v>
      </x:c>
      <x:c r="Q659" s="40" t="n">
        <x:v>0</x:v>
      </x:c>
      <x:c r="R659" s="25" t="str"/>
      <x:c r="S659" s="25" t="str">
        <x:v>B?</x:v>
      </x:c>
      <x:c r="T659" s="25" t="str">
        <x:v>자동 표 신호는 최종 A/B로 승격하지 않음</x:v>
      </x:c>
      <x:c r="U659" s="22" t="str">
        <x:v>2021-2025</x:v>
      </x:c>
    </x:row>
    <x:row r="660">
      <x:c r="A660" s="22" t="str">
        <x:v>2020-00119</x:v>
      </x:c>
      <x:c r="B660" s="22" t="str">
        <x:v>L2025-00071-1</x:v>
      </x:c>
      <x:c r="C660" s="22" t="str">
        <x:v>WORKS</x:v>
      </x:c>
      <x:c r="D660" s="25" t="str">
        <x:v>L2025-00071-1/붙임2. 현지입찰(재공고입찰) 서류 및 계약서류(안)/IKHCC Section 4,5,6 BOQ, Drawing, Spec.docx</x:v>
      </x:c>
      <x:c r="E660" s="22" t="str">
        <x:v>.docx</x:v>
      </x:c>
      <x:c r="F660" s="28" t="n">
        <x:v>11941</x:v>
      </x:c>
      <x:c r="G660" s="28" t="str">
        <x:v>aab74da4619bd3a8a368567d5620e0116eb9da42f75975717f485ef6a83a41b6</x:v>
      </x:c>
      <x:c r="H660" s="28" t="n">
        <x:v>1</x:v>
      </x:c>
      <x:c r="I660" s="28" t="n">
        <x:v>0</x:v>
      </x:c>
      <x:c r="J660" s="28" t="n">
        <x:v>0</x:v>
      </x:c>
      <x:c r="K660" s="28" t="n">
        <x:v>0</x:v>
      </x:c>
      <x:c r="L660" s="28" t="n">
        <x:v>0</x:v>
      </x:c>
      <x:c r="M660" s="28" t="n">
        <x:v>0</x:v>
      </x:c>
      <x:c r="N660" s="22" t="str"/>
      <x:c r="O660" s="22" t="str"/>
      <x:c r="P660" s="22" t="str"/>
      <x:c r="Q660" s="40" t="n">
        <x:v>0</x:v>
      </x:c>
      <x:c r="R660" s="25" t="str"/>
      <x:c r="S660" s="25" t="str">
        <x:v>BOQ_NAME_ONLY</x:v>
      </x:c>
      <x:c r="T660" s="25" t="str">
        <x:v>자동 표 신호는 최종 A/B로 승격하지 않음</x:v>
      </x:c>
      <x:c r="U660" s="22" t="str">
        <x:v>2021-2025</x:v>
      </x:c>
    </x:row>
    <x:row r="661">
      <x:c r="A661" s="22" t="str">
        <x:v>2020-00119</x:v>
      </x:c>
      <x:c r="B661" s="22" t="str">
        <x:v>L2025-00071-1</x:v>
      </x:c>
      <x:c r="C661" s="22" t="str">
        <x:v>WORKS</x:v>
      </x:c>
      <x:c r="D661" s="25" t="str">
        <x:v>L2025-00071-1/붙임2. 현지입찰(재공고입찰) 서류 및 계약서류(안)/IKHCC Section 4 - IKHCC BLANK BOQ 250903.Zip</x:v>
      </x:c>
      <x:c r="E661" s="22" t="str">
        <x:v>.zip</x:v>
      </x:c>
      <x:c r="F661" s="28" t="n">
        <x:v>7985148</x:v>
      </x:c>
      <x:c r="G661" s="28" t="str">
        <x:v>41eb5e8df4f7ff512ab97dd9920db979fc6a54eed36365c0e00b4eb1a26f4f6b</x:v>
      </x:c>
      <x:c r="H661" s="28" t="n">
        <x:v>1</x:v>
      </x:c>
      <x:c r="I661" s="28" t="n">
        <x:v>1</x:v>
      </x:c>
      <x:c r="J661" s="28" t="n">
        <x:v>0</x:v>
      </x:c>
      <x:c r="K661" s="28" t="n">
        <x:v>0</x:v>
      </x:c>
      <x:c r="L661" s="28" t="n">
        <x:v>0</x:v>
      </x:c>
      <x:c r="M661" s="28" t="n">
        <x:v>0</x:v>
      </x:c>
      <x:c r="N661" s="22" t="str"/>
      <x:c r="O661" s="22" t="str"/>
      <x:c r="P661" s="22" t="str"/>
      <x:c r="Q661" s="40" t="n">
        <x:v>0</x:v>
      </x:c>
      <x:c r="R661" s="25" t="str"/>
      <x:c r="S661" s="25" t="str">
        <x:v>BOQ_NAME_ONLY</x:v>
      </x:c>
      <x:c r="T661" s="25" t="str">
        <x:v>자동 표 신호는 최종 A/B로 승격하지 않음</x:v>
      </x:c>
      <x:c r="U661" s="22" t="str">
        <x:v>2021-2025</x:v>
      </x:c>
    </x:row>
    <x:row r="662">
      <x:c r="A662" s="22" t="str">
        <x:v>2020-00119</x:v>
      </x:c>
      <x:c r="B662" s="22" t="str">
        <x:v>L2025-00071-1</x:v>
      </x:c>
      <x:c r="C662" s="22" t="str">
        <x:v>WORKS</x:v>
      </x:c>
      <x:c r="D662" s="25" t="str">
        <x:v>L2025-00071-1/붙임2. 현지입찰(재공고입찰) 서류 및 계약서류(안)/IKHCC Section 4 - IKHCC BLANK BOQ 250903/5. Blank bill Elec revised 250812/BLANK BILL-ELEC - B (MEP BUILDING).xlsm</x:v>
      </x:c>
      <x:c r="E662" s="22" t="str">
        <x:v>.xlsm</x:v>
      </x:c>
      <x:c r="F662" s="28" t="n">
        <x:v>501858</x:v>
      </x:c>
      <x:c r="G662" s="28" t="str">
        <x:v>91dd2575abb4beee6373cfeec8125758dfdc79a1c61a375c7ca02a671198036f</x:v>
      </x:c>
      <x:c r="H662" s="28" t="n">
        <x:v>1</x:v>
      </x:c>
      <x:c r="I662" s="28" t="n">
        <x:v>1</x:v>
      </x:c>
      <x:c r="J662" s="28" t="n">
        <x:v>3</x:v>
      </x:c>
      <x:c r="K662" s="28" t="n">
        <x:v>1476</x:v>
      </x:c>
      <x:c r="L662" s="28" t="n">
        <x:v>782</x:v>
      </x:c>
      <x:c r="M662" s="28" t="n">
        <x:v>1</x:v>
      </x:c>
      <x:c r="N662" s="22" t="str">
        <x:v>일위을지</x:v>
      </x:c>
      <x:c r="O662" s="22" t="str">
        <x:v>hidden</x:v>
      </x:c>
      <x:c r="P662" s="22" t="n">
        <x:v>1</x:v>
      </x:c>
      <x:c r="Q662" s="40" t="n">
        <x:v>0.5298102981029811</x:v>
      </x:c>
      <x:c r="R662" s="25" t="str"/>
      <x:c r="S662" s="25" t="str">
        <x:v>A?</x:v>
      </x:c>
      <x:c r="T662" s="25" t="str">
        <x:v>자동 표 신호는 최종 A/B로 승격하지 않음</x:v>
      </x:c>
      <x:c r="U662" s="22" t="str">
        <x:v>2021-2025</x:v>
      </x:c>
    </x:row>
    <x:row r="663">
      <x:c r="A663" s="22" t="str">
        <x:v>2020-00119</x:v>
      </x:c>
      <x:c r="B663" s="22" t="str">
        <x:v>L2025-00071-1</x:v>
      </x:c>
      <x:c r="C663" s="22" t="str">
        <x:v>WORKS</x:v>
      </x:c>
      <x:c r="D663" s="25" t="str">
        <x:v>L2025-00071-1/붙임2. 현지입찰(재공고입찰) 서류 및 계약서류(안)/IKHCC Section 4 - IKHCC BLANK BOQ 250903/5. Blank bill Elec revised 250812/BLANK BILL-ELEC - 0 (TOTAL).xlsm</x:v>
      </x:c>
      <x:c r="E663" s="22" t="str">
        <x:v>.xlsm</x:v>
      </x:c>
      <x:c r="F663" s="28" t="n">
        <x:v>526626</x:v>
      </x:c>
      <x:c r="G663" s="28" t="str">
        <x:v>21096095d93be985d074b4a1e68330275ef71f2824b32410d598c7a1594b07f6</x:v>
      </x:c>
      <x:c r="H663" s="28" t="n">
        <x:v>1</x:v>
      </x:c>
      <x:c r="I663" s="28" t="n">
        <x:v>1</x:v>
      </x:c>
      <x:c r="J663" s="28" t="n">
        <x:v>3</x:v>
      </x:c>
      <x:c r="K663" s="28" t="n">
        <x:v>1476</x:v>
      </x:c>
      <x:c r="L663" s="28" t="n">
        <x:v>782</x:v>
      </x:c>
      <x:c r="M663" s="28" t="n">
        <x:v>1</x:v>
      </x:c>
      <x:c r="N663" s="22" t="str">
        <x:v>일위을지</x:v>
      </x:c>
      <x:c r="O663" s="22" t="str">
        <x:v>hidden</x:v>
      </x:c>
      <x:c r="P663" s="22" t="n">
        <x:v>1</x:v>
      </x:c>
      <x:c r="Q663" s="40" t="n">
        <x:v>0.5298102981029811</x:v>
      </x:c>
      <x:c r="R663" s="25" t="str"/>
      <x:c r="S663" s="25" t="str">
        <x:v>A?</x:v>
      </x:c>
      <x:c r="T663" s="25" t="str">
        <x:v>자동 표 신호는 최종 A/B로 승격하지 않음</x:v>
      </x:c>
      <x:c r="U663" s="22" t="str">
        <x:v>2021-2025</x:v>
      </x:c>
    </x:row>
    <x:row r="664">
      <x:c r="A664" s="22" t="str">
        <x:v>2020-00119</x:v>
      </x:c>
      <x:c r="B664" s="22" t="str">
        <x:v>L2025-00071-1</x:v>
      </x:c>
      <x:c r="C664" s="22" t="str">
        <x:v>WORKS</x:v>
      </x:c>
      <x:c r="D664" s="25" t="str">
        <x:v>L2025-00071-1/붙임2. 현지입찰(재공고입찰) 서류 및 계약서류(안)/IKHCC Section 4 - IKHCC BLANK BOQ 250903/5. Blank bill Elec revised 250812/BLANK BILL-ELEC - A (HOSPITAL).xlsm</x:v>
      </x:c>
      <x:c r="E664" s="22" t="str">
        <x:v>.xlsm</x:v>
      </x:c>
      <x:c r="F664" s="28" t="n">
        <x:v>481577</x:v>
      </x:c>
      <x:c r="G664" s="28" t="str">
        <x:v>33433bc4c641e89eb4c2ef46824bdc7e1a1d079f323f9d96823049336987ae6e</x:v>
      </x:c>
      <x:c r="H664" s="28" t="n">
        <x:v>1</x:v>
      </x:c>
      <x:c r="I664" s="28" t="n">
        <x:v>1</x:v>
      </x:c>
      <x:c r="J664" s="28" t="n">
        <x:v>3</x:v>
      </x:c>
      <x:c r="K664" s="28" t="n">
        <x:v>1476</x:v>
      </x:c>
      <x:c r="L664" s="28" t="n">
        <x:v>782</x:v>
      </x:c>
      <x:c r="M664" s="28" t="n">
        <x:v>0</x:v>
      </x:c>
      <x:c r="N664" s="22" t="str">
        <x:v>일위을지</x:v>
      </x:c>
      <x:c r="O664" s="22" t="str">
        <x:v>hidden</x:v>
      </x:c>
      <x:c r="P664" s="22" t="n">
        <x:v>1</x:v>
      </x:c>
      <x:c r="Q664" s="40" t="n">
        <x:v>0.5298102981029811</x:v>
      </x:c>
      <x:c r="R664" s="25" t="str"/>
      <x:c r="S664" s="25" t="str">
        <x:v>B?</x:v>
      </x:c>
      <x:c r="T664" s="25" t="str">
        <x:v>자동 표 신호는 최종 A/B로 승격하지 않음</x:v>
      </x:c>
      <x:c r="U664" s="22" t="str">
        <x:v>2021-2025</x:v>
      </x:c>
    </x:row>
    <x:row r="665">
      <x:c r="A665" s="22" t="str">
        <x:v>2020-00119</x:v>
      </x:c>
      <x:c r="B665" s="22" t="str">
        <x:v>L2025-00071-1</x:v>
      </x:c>
      <x:c r="C665" s="22" t="str">
        <x:v>WORKS</x:v>
      </x:c>
      <x:c r="D665" s="25" t="str">
        <x:v>L2025-00071-1/붙임2. 현지입찰(재공고입찰) 서류 및 계약서류(안)/IKHCC Section 4 - IKHCC BLANK BOQ 250903/5. Blank bill Elec revised 250812/BLANK BILL-ELEC - C (BRIDGE).xlsm</x:v>
      </x:c>
      <x:c r="E665" s="22" t="str">
        <x:v>.xlsm</x:v>
      </x:c>
      <x:c r="F665" s="28" t="n">
        <x:v>528512</x:v>
      </x:c>
      <x:c r="G665" s="28" t="str">
        <x:v>e9e9c097356f19ace92baa9eb41371ddaf6c4410bacb4fd4aeccd3016a75f597</x:v>
      </x:c>
      <x:c r="H665" s="28" t="n">
        <x:v>1</x:v>
      </x:c>
      <x:c r="I665" s="28" t="n">
        <x:v>1</x:v>
      </x:c>
      <x:c r="J665" s="28" t="n">
        <x:v>3</x:v>
      </x:c>
      <x:c r="K665" s="28" t="n">
        <x:v>1476</x:v>
      </x:c>
      <x:c r="L665" s="28" t="n">
        <x:v>782</x:v>
      </x:c>
      <x:c r="M665" s="28" t="n">
        <x:v>1</x:v>
      </x:c>
      <x:c r="N665" s="22" t="str">
        <x:v>일위을지</x:v>
      </x:c>
      <x:c r="O665" s="22" t="str">
        <x:v>hidden</x:v>
      </x:c>
      <x:c r="P665" s="22" t="n">
        <x:v>1</x:v>
      </x:c>
      <x:c r="Q665" s="40" t="n">
        <x:v>0.5298102981029811</x:v>
      </x:c>
      <x:c r="R665" s="25" t="str"/>
      <x:c r="S665" s="25" t="str">
        <x:v>A?</x:v>
      </x:c>
      <x:c r="T665" s="25" t="str">
        <x:v>자동 표 신호는 최종 A/B로 승격하지 않음</x:v>
      </x:c>
      <x:c r="U665" s="22" t="str">
        <x:v>2021-2025</x:v>
      </x:c>
    </x:row>
    <x:row r="666">
      <x:c r="A666" s="22" t="str">
        <x:v>2020-00119</x:v>
      </x:c>
      <x:c r="B666" s="22" t="str">
        <x:v>L2025-00071-1</x:v>
      </x:c>
      <x:c r="C666" s="22" t="str">
        <x:v>WORKS</x:v>
      </x:c>
      <x:c r="D666" s="25" t="str">
        <x:v>L2025-00071-1/붙임2. 현지입찰(재공고입찰) 서류 및 계약서류(안)/IKHCC Section 4 - IKHCC BLANK BOQ 250903/3 CIVIL/BLANK BILL.CIVIL(HOSPITAL) .xls</x:v>
      </x:c>
      <x:c r="E666" s="22" t="str">
        <x:v>.xls</x:v>
      </x:c>
      <x:c r="F666" s="28" t="n">
        <x:v>81920</x:v>
      </x:c>
      <x:c r="G666" s="28" t="str">
        <x:v>c0b0e1d857d357e06310785027eb14b6c6e3c28491c19fed4dfc9e3030f34ef2</x:v>
      </x:c>
      <x:c r="H666" s="28" t="n">
        <x:v>1</x:v>
      </x:c>
      <x:c r="I666" s="28" t="n">
        <x:v>1</x:v>
      </x:c>
      <x:c r="J666" s="28" t="n">
        <x:v>0</x:v>
      </x:c>
      <x:c r="K666" s="28" t="n">
        <x:v>0</x:v>
      </x:c>
      <x:c r="L666" s="28" t="n">
        <x:v>0</x:v>
      </x:c>
      <x:c r="M666" s="28" t="n">
        <x:v>0</x:v>
      </x:c>
      <x:c r="N666" s="22" t="str"/>
      <x:c r="O666" s="22" t="str"/>
      <x:c r="P666" s="22" t="n">
        <x:v>0</x:v>
      </x:c>
      <x:c r="Q666" s="40" t="n">
        <x:v>0</x:v>
      </x:c>
      <x:c r="R666" s="25" t="str"/>
      <x:c r="S666" s="25" t="str">
        <x:v>BOQ_NAME_ONLY</x:v>
      </x:c>
      <x:c r="T666" s="25" t="str">
        <x:v>자동 표 신호는 최종 A/B로 승격하지 않음</x:v>
      </x:c>
      <x:c r="U666" s="22" t="str">
        <x:v>2021-2025</x:v>
      </x:c>
    </x:row>
    <x:row r="667">
      <x:c r="A667" s="22" t="str">
        <x:v>2020-00119</x:v>
      </x:c>
      <x:c r="B667" s="22" t="str">
        <x:v>L2025-00071-1</x:v>
      </x:c>
      <x:c r="C667" s="22" t="str">
        <x:v>WORKS</x:v>
      </x:c>
      <x:c r="D667" s="25" t="str">
        <x:v>L2025-00071-1/붙임2. 현지입찰(재공고입찰) 서류 및 계약서류(안)/IKHCC Section 4 - IKHCC BLANK BOQ 250903/3 CIVIL/BLANK BILL.CIVIL(PARKING LOT).xls</x:v>
      </x:c>
      <x:c r="E667" s="22" t="str">
        <x:v>.xls</x:v>
      </x:c>
      <x:c r="F667" s="28" t="n">
        <x:v>58368</x:v>
      </x:c>
      <x:c r="G667" s="28" t="str">
        <x:v>33510cb6918366ccd2e38ca39a6fe6a3a14e1ad8a37570bc850277811837ef6a</x:v>
      </x:c>
      <x:c r="H667" s="28" t="n">
        <x:v>1</x:v>
      </x:c>
      <x:c r="I667" s="28" t="n">
        <x:v>1</x:v>
      </x:c>
      <x:c r="J667" s="28" t="n">
        <x:v>0</x:v>
      </x:c>
      <x:c r="K667" s="28" t="n">
        <x:v>0</x:v>
      </x:c>
      <x:c r="L667" s="28" t="n">
        <x:v>0</x:v>
      </x:c>
      <x:c r="M667" s="28" t="n">
        <x:v>0</x:v>
      </x:c>
      <x:c r="N667" s="22" t="str"/>
      <x:c r="O667" s="22" t="str"/>
      <x:c r="P667" s="22" t="n">
        <x:v>0</x:v>
      </x:c>
      <x:c r="Q667" s="40" t="n">
        <x:v>0</x:v>
      </x:c>
      <x:c r="R667" s="25" t="str"/>
      <x:c r="S667" s="25" t="str">
        <x:v>BOQ_NAME_ONLY</x:v>
      </x:c>
      <x:c r="T667" s="25" t="str">
        <x:v>자동 표 신호는 최종 A/B로 승격하지 않음</x:v>
      </x:c>
      <x:c r="U667" s="22" t="str">
        <x:v>2021-2025</x:v>
      </x:c>
    </x:row>
    <x:row r="668">
      <x:c r="A668" s="22" t="str">
        <x:v>2020-00119</x:v>
      </x:c>
      <x:c r="B668" s="22" t="str">
        <x:v>L2025-00071-1</x:v>
      </x:c>
      <x:c r="C668" s="22" t="str">
        <x:v>WORKS</x:v>
      </x:c>
      <x:c r="D668" s="25" t="str">
        <x:v>L2025-00071-1/붙임2. 현지입찰(재공고입찰) 서류 및 계약서류(안)/IKHCC Section 4 - IKHCC BLANK BOQ 250903/3 CIVIL/BLANK BILL.CIVIL(BRIDGE)).xls</x:v>
      </x:c>
      <x:c r="E668" s="22" t="str">
        <x:v>.xls</x:v>
      </x:c>
      <x:c r="F668" s="28" t="n">
        <x:v>74240</x:v>
      </x:c>
      <x:c r="G668" s="28" t="str">
        <x:v>7fbae1f3c71758b2f9dd4d91fc045323ea1864b4be9d2d301a2cbf63a5072570</x:v>
      </x:c>
      <x:c r="H668" s="28" t="n">
        <x:v>1</x:v>
      </x:c>
      <x:c r="I668" s="28" t="n">
        <x:v>1</x:v>
      </x:c>
      <x:c r="J668" s="28" t="n">
        <x:v>0</x:v>
      </x:c>
      <x:c r="K668" s="28" t="n">
        <x:v>0</x:v>
      </x:c>
      <x:c r="L668" s="28" t="n">
        <x:v>0</x:v>
      </x:c>
      <x:c r="M668" s="28" t="n">
        <x:v>0</x:v>
      </x:c>
      <x:c r="N668" s="22" t="str"/>
      <x:c r="O668" s="22" t="str"/>
      <x:c r="P668" s="22" t="n">
        <x:v>0</x:v>
      </x:c>
      <x:c r="Q668" s="40" t="n">
        <x:v>0</x:v>
      </x:c>
      <x:c r="R668" s="25" t="str"/>
      <x:c r="S668" s="25" t="str">
        <x:v>BOQ_NAME_ONLY</x:v>
      </x:c>
      <x:c r="T668" s="25" t="str">
        <x:v>자동 표 신호는 최종 A/B로 승격하지 않음</x:v>
      </x:c>
      <x:c r="U668" s="22" t="str">
        <x:v>2021-2025</x:v>
      </x:c>
    </x:row>
    <x:row r="669">
      <x:c r="A669" s="22" t="str">
        <x:v>2020-00119</x:v>
      </x:c>
      <x:c r="B669" s="22" t="str">
        <x:v>L2025-00071-1</x:v>
      </x:c>
      <x:c r="C669" s="22" t="str">
        <x:v>WORKS</x:v>
      </x:c>
      <x:c r="D669" s="25" t="str">
        <x:v>L2025-00071-1/붙임2. 현지입찰(재공고입찰) 서류 및 계약서류(안)/IKHCC Section 4 - IKHCC BLANK BOQ 250903/3 CIVIL/BLANK BILL.CIVIL (MEP).xls</x:v>
      </x:c>
      <x:c r="E669" s="22" t="str">
        <x:v>.xls</x:v>
      </x:c>
      <x:c r="F669" s="28" t="n">
        <x:v>74240</x:v>
      </x:c>
      <x:c r="G669" s="28" t="str">
        <x:v>1c50470f6121836494e92fb616d765f06e8b3bc5153b11a3c8540a29ac1ec615</x:v>
      </x:c>
      <x:c r="H669" s="28" t="n">
        <x:v>1</x:v>
      </x:c>
      <x:c r="I669" s="28" t="n">
        <x:v>1</x:v>
      </x:c>
      <x:c r="J669" s="28" t="n">
        <x:v>0</x:v>
      </x:c>
      <x:c r="K669" s="28" t="n">
        <x:v>0</x:v>
      </x:c>
      <x:c r="L669" s="28" t="n">
        <x:v>0</x:v>
      </x:c>
      <x:c r="M669" s="28" t="n">
        <x:v>0</x:v>
      </x:c>
      <x:c r="N669" s="22" t="str"/>
      <x:c r="O669" s="22" t="str"/>
      <x:c r="P669" s="22" t="n">
        <x:v>0</x:v>
      </x:c>
      <x:c r="Q669" s="40" t="n">
        <x:v>0</x:v>
      </x:c>
      <x:c r="R669" s="25" t="str"/>
      <x:c r="S669" s="25" t="str">
        <x:v>BOQ_NAME_ONLY</x:v>
      </x:c>
      <x:c r="T669" s="25" t="str">
        <x:v>자동 표 신호는 최종 A/B로 승격하지 않음</x:v>
      </x:c>
      <x:c r="U669" s="22" t="str">
        <x:v>2021-2025</x:v>
      </x:c>
    </x:row>
    <x:row r="670">
      <x:c r="A670" s="22" t="str">
        <x:v>2020-00119</x:v>
      </x:c>
      <x:c r="B670" s="22" t="str">
        <x:v>L2025-00071-1</x:v>
      </x:c>
      <x:c r="C670" s="22" t="str">
        <x:v>WORKS</x:v>
      </x:c>
      <x:c r="D670" s="25" t="str">
        <x:v>L2025-00071-1/붙임2. 현지입찰(재공고입찰) 서류 및 계약서류(안)/IKHCC Section 4 - IKHCC BLANK BOQ 250903/8 Mob &amp; Signage/BILL No8-2 Signages-blank.xlsx</x:v>
      </x:c>
      <x:c r="E670" s="22" t="str">
        <x:v>.xlsx</x:v>
      </x:c>
      <x:c r="F670" s="28" t="n">
        <x:v>31619</x:v>
      </x:c>
      <x:c r="G670" s="28" t="str">
        <x:v>4421d3cb9982d35873aa1763a4a7b1ee4b0d235faaeed68ee92551a4fa1c803f</x:v>
      </x:c>
      <x:c r="H670" s="28" t="n">
        <x:v>1</x:v>
      </x:c>
      <x:c r="I670" s="28" t="n">
        <x:v>1</x:v>
      </x:c>
      <x:c r="J670" s="28" t="n">
        <x:v>1</x:v>
      </x:c>
      <x:c r="K670" s="28" t="n">
        <x:v>6</x:v>
      </x:c>
      <x:c r="L670" s="28" t="n">
        <x:v>0</x:v>
      </x:c>
      <x:c r="M670" s="28" t="n">
        <x:v>0</x:v>
      </x:c>
      <x:c r="N670" s="22" t="str">
        <x:v>Works particular bill</x:v>
      </x:c>
      <x:c r="O670" s="22" t="str">
        <x:v>visible</x:v>
      </x:c>
      <x:c r="P670" s="22" t="n">
        <x:v>1</x:v>
      </x:c>
      <x:c r="Q670" s="40" t="n">
        <x:v>0</x:v>
      </x:c>
      <x:c r="R670" s="25" t="str"/>
      <x:c r="S670" s="25" t="str">
        <x:v>B?</x:v>
      </x:c>
      <x:c r="T670" s="25" t="str">
        <x:v>자동 표 신호는 최종 A/B로 승격하지 않음</x:v>
      </x:c>
      <x:c r="U670" s="22" t="str">
        <x:v>2021-2025</x:v>
      </x:c>
    </x:row>
    <x:row r="671">
      <x:c r="A671" s="22" t="str">
        <x:v>2020-00119</x:v>
      </x:c>
      <x:c r="B671" s="22" t="str">
        <x:v>L2025-00071-1</x:v>
      </x:c>
      <x:c r="C671" s="22" t="str">
        <x:v>WORKS</x:v>
      </x:c>
      <x:c r="D671" s="25" t="str">
        <x:v>L2025-00071-1/붙임2. 현지입찰(재공고입찰) 서류 및 계약서류(안)/IKHCC Section 4 - IKHCC BLANK BOQ 250903/8 Mob &amp; Signage/BILL No8-1 -Mobilization Works-blank.xlsx</x:v>
      </x:c>
      <x:c r="E671" s="22" t="str">
        <x:v>.xlsx</x:v>
      </x:c>
      <x:c r="F671" s="28" t="n">
        <x:v>638347</x:v>
      </x:c>
      <x:c r="G671" s="28" t="str">
        <x:v>95772272ef1568157e0f604c1bb0cae64d776ffaf2b58cf9d26e389a796bb67e</x:v>
      </x:c>
      <x:c r="H671" s="28" t="n">
        <x:v>1</x:v>
      </x:c>
      <x:c r="I671" s="28" t="n">
        <x:v>1</x:v>
      </x:c>
      <x:c r="J671" s="28" t="n">
        <x:v>1</x:v>
      </x:c>
      <x:c r="K671" s="28" t="n">
        <x:v>34</x:v>
      </x:c>
      <x:c r="L671" s="28" t="n">
        <x:v>0</x:v>
      </x:c>
      <x:c r="M671" s="28" t="n">
        <x:v>0</x:v>
      </x:c>
      <x:c r="N671" s="22" t="str">
        <x:v>Mobilization</x:v>
      </x:c>
      <x:c r="O671" s="22" t="str">
        <x:v>visible</x:v>
      </x:c>
      <x:c r="P671" s="22" t="n">
        <x:v>1</x:v>
      </x:c>
      <x:c r="Q671" s="40" t="n">
        <x:v>0</x:v>
      </x:c>
      <x:c r="R671" s="25" t="str"/>
      <x:c r="S671" s="25" t="str">
        <x:v>B?</x:v>
      </x:c>
      <x:c r="T671" s="25" t="str">
        <x:v>자동 표 신호는 최종 A/B로 승격하지 않음</x:v>
      </x:c>
      <x:c r="U671" s="22" t="str">
        <x:v>2021-2025</x:v>
      </x:c>
    </x:row>
    <x:row r="672">
      <x:c r="A672" s="22" t="str">
        <x:v>2020-00119</x:v>
      </x:c>
      <x:c r="B672" s="22" t="str">
        <x:v>L2025-00071-1</x:v>
      </x:c>
      <x:c r="C672" s="22" t="str">
        <x:v>WORKS</x:v>
      </x:c>
      <x:c r="D672" s="25" t="str">
        <x:v>L2025-00071-1/붙임2. 현지입찰(재공고입찰) 서류 및 계약서류(안)/IKHCC Section 4 - IKHCC BLANK BOQ 250903/4 MECH/BLANK  BILL.MECH(TOTAL).xls</x:v>
      </x:c>
      <x:c r="E672" s="22" t="str">
        <x:v>.xls</x:v>
      </x:c>
      <x:c r="F672" s="28" t="n">
        <x:v>1402880</x:v>
      </x:c>
      <x:c r="G672" s="28" t="str">
        <x:v>943c92d368e4e26e68ff2d5dc17a80fc0672c2766d586d3aa6c68578e0614040</x:v>
      </x:c>
      <x:c r="H672" s="28" t="n">
        <x:v>1</x:v>
      </x:c>
      <x:c r="I672" s="28" t="n">
        <x:v>1</x:v>
      </x:c>
      <x:c r="J672" s="28" t="n">
        <x:v>1</x:v>
      </x:c>
      <x:c r="K672" s="28" t="n">
        <x:v>831</x:v>
      </x:c>
      <x:c r="L672" s="28" t="n">
        <x:v>823</x:v>
      </x:c>
      <x:c r="M672" s="28" t="n">
        <x:v>1</x:v>
      </x:c>
      <x:c r="N672" s="22" t="str">
        <x:v>일위대가</x:v>
      </x:c>
      <x:c r="O672" s="22" t="str">
        <x:v>hidden</x:v>
      </x:c>
      <x:c r="P672" s="22" t="n">
        <x:v>1</x:v>
      </x:c>
      <x:c r="Q672" s="40" t="n">
        <x:v>0.9903730445246691</x:v>
      </x:c>
      <x:c r="R672" s="25" t="str"/>
      <x:c r="S672" s="25" t="str">
        <x:v>A?</x:v>
      </x:c>
      <x:c r="T672" s="25" t="str">
        <x:v>자동 표 신호는 최종 A/B로 승격하지 않음</x:v>
      </x:c>
      <x:c r="U672" s="22" t="str">
        <x:v>2021-2025</x:v>
      </x:c>
    </x:row>
    <x:row r="673">
      <x:c r="A673" s="22" t="str">
        <x:v>2020-00119</x:v>
      </x:c>
      <x:c r="B673" s="22" t="str">
        <x:v>L2025-00071-1</x:v>
      </x:c>
      <x:c r="C673" s="22" t="str">
        <x:v>WORKS</x:v>
      </x:c>
      <x:c r="D673" s="25" t="str">
        <x:v>L2025-00071-1/붙임2. 현지입찰(재공고입찰) 서류 및 계약서류(안)/IKHCC Section 4 - IKHCC BLANK BOQ 250903/4 MECH/BLANK BILL.MECH(MEP).xls</x:v>
      </x:c>
      <x:c r="E673" s="22" t="str">
        <x:v>.xls</x:v>
      </x:c>
      <x:c r="F673" s="28" t="n">
        <x:v>1337344</x:v>
      </x:c>
      <x:c r="G673" s="28" t="str">
        <x:v>2d0e5689227e4bbd2311904d4351ff0bca308e5b11c4d1d202496909acd5388c</x:v>
      </x:c>
      <x:c r="H673" s="28" t="n">
        <x:v>1</x:v>
      </x:c>
      <x:c r="I673" s="28" t="n">
        <x:v>1</x:v>
      </x:c>
      <x:c r="J673" s="28" t="n">
        <x:v>1</x:v>
      </x:c>
      <x:c r="K673" s="28" t="n">
        <x:v>831</x:v>
      </x:c>
      <x:c r="L673" s="28" t="n">
        <x:v>823</x:v>
      </x:c>
      <x:c r="M673" s="28" t="n">
        <x:v>1</x:v>
      </x:c>
      <x:c r="N673" s="22" t="str">
        <x:v>일위대가</x:v>
      </x:c>
      <x:c r="O673" s="22" t="str">
        <x:v>hidden</x:v>
      </x:c>
      <x:c r="P673" s="22" t="n">
        <x:v>1</x:v>
      </x:c>
      <x:c r="Q673" s="40" t="n">
        <x:v>0.9903730445246691</x:v>
      </x:c>
      <x:c r="R673" s="25" t="str"/>
      <x:c r="S673" s="25" t="str">
        <x:v>A?</x:v>
      </x:c>
      <x:c r="T673" s="25" t="str">
        <x:v>자동 표 신호는 최종 A/B로 승격하지 않음</x:v>
      </x:c>
      <x:c r="U673" s="22" t="str">
        <x:v>2021-2025</x:v>
      </x:c>
    </x:row>
    <x:row r="674">
      <x:c r="A674" s="22" t="str">
        <x:v>2020-00119</x:v>
      </x:c>
      <x:c r="B674" s="22" t="str">
        <x:v>L2025-00071-1</x:v>
      </x:c>
      <x:c r="C674" s="22" t="str">
        <x:v>WORKS</x:v>
      </x:c>
      <x:c r="D674" s="25" t="str">
        <x:v>L2025-00071-1/붙임2. 현지입찰(재공고입찰) 서류 및 계약서류(안)/IKHCC Section 4 - IKHCC BLANK BOQ 250903/4 MECH/BLANK BILL.MECH(HOSPITAL).xls</x:v>
      </x:c>
      <x:c r="E674" s="22" t="str">
        <x:v>.xls</x:v>
      </x:c>
      <x:c r="F674" s="28" t="n">
        <x:v>1235968</x:v>
      </x:c>
      <x:c r="G674" s="28" t="str">
        <x:v>8720d754cc3e986be036e1cfdef45baf74559f7549f20d481b8bac23e8336af7</x:v>
      </x:c>
      <x:c r="H674" s="28" t="n">
        <x:v>1</x:v>
      </x:c>
      <x:c r="I674" s="28" t="n">
        <x:v>1</x:v>
      </x:c>
      <x:c r="J674" s="28" t="n">
        <x:v>1</x:v>
      </x:c>
      <x:c r="K674" s="28" t="n">
        <x:v>831</x:v>
      </x:c>
      <x:c r="L674" s="28" t="n">
        <x:v>823</x:v>
      </x:c>
      <x:c r="M674" s="28" t="n">
        <x:v>1</x:v>
      </x:c>
      <x:c r="N674" s="22" t="str">
        <x:v>일위대가</x:v>
      </x:c>
      <x:c r="O674" s="22" t="str">
        <x:v>hidden</x:v>
      </x:c>
      <x:c r="P674" s="22" t="n">
        <x:v>1</x:v>
      </x:c>
      <x:c r="Q674" s="40" t="n">
        <x:v>0.9903730445246691</x:v>
      </x:c>
      <x:c r="R674" s="25" t="str"/>
      <x:c r="S674" s="25" t="str">
        <x:v>A?</x:v>
      </x:c>
      <x:c r="T674" s="25" t="str">
        <x:v>자동 표 신호는 최종 A/B로 승격하지 않음</x:v>
      </x:c>
      <x:c r="U674" s="22" t="str">
        <x:v>2021-2025</x:v>
      </x:c>
    </x:row>
    <x:row r="675">
      <x:c r="A675" s="22" t="str">
        <x:v>2020-00119</x:v>
      </x:c>
      <x:c r="B675" s="22" t="str">
        <x:v>L2025-00071-1</x:v>
      </x:c>
      <x:c r="C675" s="22" t="str">
        <x:v>WORKS</x:v>
      </x:c>
      <x:c r="D675" s="25" t="str">
        <x:v>L2025-00071-1/붙임2. 현지입찰(재공고입찰) 서류 및 계약서류(안)/IKHCC Section 4 - IKHCC BLANK BOQ 250903/4 MECH/BLANK BILL.MECH(BRIDGE).xls</x:v>
      </x:c>
      <x:c r="E675" s="22" t="str">
        <x:v>.xls</x:v>
      </x:c>
      <x:c r="F675" s="28" t="n">
        <x:v>1424896</x:v>
      </x:c>
      <x:c r="G675" s="28" t="str">
        <x:v>b61e26e6dff7092b2fe58420cc843f0e7722f7a0335f7bcb6684128a02b6ec16</x:v>
      </x:c>
      <x:c r="H675" s="28" t="n">
        <x:v>1</x:v>
      </x:c>
      <x:c r="I675" s="28" t="n">
        <x:v>1</x:v>
      </x:c>
      <x:c r="J675" s="28" t="n">
        <x:v>1</x:v>
      </x:c>
      <x:c r="K675" s="28" t="n">
        <x:v>831</x:v>
      </x:c>
      <x:c r="L675" s="28" t="n">
        <x:v>823</x:v>
      </x:c>
      <x:c r="M675" s="28" t="n">
        <x:v>1</x:v>
      </x:c>
      <x:c r="N675" s="22" t="str">
        <x:v>일위대가</x:v>
      </x:c>
      <x:c r="O675" s="22" t="str">
        <x:v>hidden</x:v>
      </x:c>
      <x:c r="P675" s="22" t="n">
        <x:v>1</x:v>
      </x:c>
      <x:c r="Q675" s="40" t="n">
        <x:v>0.9903730445246691</x:v>
      </x:c>
      <x:c r="R675" s="25" t="str"/>
      <x:c r="S675" s="25" t="str">
        <x:v>A?</x:v>
      </x:c>
      <x:c r="T675" s="25" t="str">
        <x:v>자동 표 신호는 최종 A/B로 승격하지 않음</x:v>
      </x:c>
      <x:c r="U675" s="22" t="str">
        <x:v>2021-2025</x:v>
      </x:c>
    </x:row>
    <x:row r="676">
      <x:c r="A676" s="22" t="str">
        <x:v>2020-00119</x:v>
      </x:c>
      <x:c r="B676" s="22" t="str">
        <x:v>L2025-00071-1</x:v>
      </x:c>
      <x:c r="C676" s="22" t="str">
        <x:v>WORKS</x:v>
      </x:c>
      <x:c r="D676" s="25" t="str">
        <x:v>L2025-00071-1/붙임2. 현지입찰(재공고입찰) 서류 및 계약서류(안)/IKHCC Section 4 - IKHCC BLANK BOQ 250903/1 Architectural &amp; summery/BILL No1 -Architectural Works-01. HOSPITAL(BLANK BILL).xlsx</x:v>
      </x:c>
      <x:c r="E676" s="22" t="str">
        <x:v>.xlsx</x:v>
      </x:c>
      <x:c r="F676" s="28" t="n">
        <x:v>677921</x:v>
      </x:c>
      <x:c r="G676" s="28" t="str">
        <x:v>47d79c95e2c3273f84778935276c94526e369cc1b1bc057f6b03c998f44e253f</x:v>
      </x:c>
      <x:c r="H676" s="28" t="n">
        <x:v>1</x:v>
      </x:c>
      <x:c r="I676" s="28" t="n">
        <x:v>1</x:v>
      </x:c>
      <x:c r="J676" s="28" t="n">
        <x:v>2</x:v>
      </x:c>
      <x:c r="K676" s="28" t="n">
        <x:v>377</x:v>
      </x:c>
      <x:c r="L676" s="28" t="n">
        <x:v>0</x:v>
      </x:c>
      <x:c r="M676" s="28" t="n">
        <x:v>0</x:v>
      </x:c>
      <x:c r="N676" s="22" t="str">
        <x:v>Works particular bill</x:v>
      </x:c>
      <x:c r="O676" s="22" t="str">
        <x:v>visible</x:v>
      </x:c>
      <x:c r="P676" s="22" t="n">
        <x:v>1</x:v>
      </x:c>
      <x:c r="Q676" s="40" t="n">
        <x:v>0</x:v>
      </x:c>
      <x:c r="R676" s="25" t="str"/>
      <x:c r="S676" s="25" t="str">
        <x:v>B?</x:v>
      </x:c>
      <x:c r="T676" s="25" t="str">
        <x:v>자동 표 신호는 최종 A/B로 승격하지 않음</x:v>
      </x:c>
      <x:c r="U676" s="22" t="str">
        <x:v>2021-2025</x:v>
      </x:c>
    </x:row>
    <x:row r="677">
      <x:c r="A677" s="22" t="str">
        <x:v>2020-00119</x:v>
      </x:c>
      <x:c r="B677" s="22" t="str">
        <x:v>L2025-00071-1</x:v>
      </x:c>
      <x:c r="C677" s="22" t="str">
        <x:v>WORKS</x:v>
      </x:c>
      <x:c r="D677" s="25" t="str">
        <x:v>L2025-00071-1/붙임2. 현지입찰(재공고입찰) 서류 및 계약서류(안)/IKHCC Section 4 - IKHCC BLANK BOQ 250903/1 Architectural &amp; summery/BILL No1 -Architectural Works-03. BRIDGE(BLANK BILL).xlsx</x:v>
      </x:c>
      <x:c r="E677" s="22" t="str">
        <x:v>.xlsx</x:v>
      </x:c>
      <x:c r="F677" s="28" t="n">
        <x:v>643812</x:v>
      </x:c>
      <x:c r="G677" s="28" t="str">
        <x:v>9af2b1263622fb9487fbf8ea97b31ead65763962f1c58d657985557a58983e83</x:v>
      </x:c>
      <x:c r="H677" s="28" t="n">
        <x:v>1</x:v>
      </x:c>
      <x:c r="I677" s="28" t="n">
        <x:v>1</x:v>
      </x:c>
      <x:c r="J677" s="28" t="n">
        <x:v>2</x:v>
      </x:c>
      <x:c r="K677" s="28" t="n">
        <x:v>48</x:v>
      </x:c>
      <x:c r="L677" s="28" t="n">
        <x:v>0</x:v>
      </x:c>
      <x:c r="M677" s="28" t="n">
        <x:v>0</x:v>
      </x:c>
      <x:c r="N677" s="22" t="str">
        <x:v>Works particular bill</x:v>
      </x:c>
      <x:c r="O677" s="22" t="str">
        <x:v>visible</x:v>
      </x:c>
      <x:c r="P677" s="22" t="n">
        <x:v>1</x:v>
      </x:c>
      <x:c r="Q677" s="40" t="n">
        <x:v>0</x:v>
      </x:c>
      <x:c r="R677" s="25" t="str"/>
      <x:c r="S677" s="25" t="str">
        <x:v>B?</x:v>
      </x:c>
      <x:c r="T677" s="25" t="str">
        <x:v>자동 표 신호는 최종 A/B로 승격하지 않음</x:v>
      </x:c>
      <x:c r="U677" s="22" t="str">
        <x:v>2021-2025</x:v>
      </x:c>
    </x:row>
    <x:row r="678">
      <x:c r="A678" s="22" t="str">
        <x:v>2020-00119</x:v>
      </x:c>
      <x:c r="B678" s="22" t="str">
        <x:v>L2025-00071-1</x:v>
      </x:c>
      <x:c r="C678" s="22" t="str">
        <x:v>WORKS</x:v>
      </x:c>
      <x:c r="D678" s="25" t="str">
        <x:v>L2025-00071-1/붙임2. 현지입찰(재공고입찰) 서류 및 계약서류(안)/IKHCC Section 4 - IKHCC BLANK BOQ 250903/1 Architectural &amp; summery/BILL No1 -Architectural Works-02. MEP BUILDING(BLANK BILL).xlsx</x:v>
      </x:c>
      <x:c r="E678" s="22" t="str">
        <x:v>.xlsx</x:v>
      </x:c>
      <x:c r="F678" s="28" t="n">
        <x:v>670008</x:v>
      </x:c>
      <x:c r="G678" s="28" t="str">
        <x:v>e882c3f7b2c691fc22ee6ee99fba87f9ca830eb3c133892b8c8800d7d02e97cb</x:v>
      </x:c>
      <x:c r="H678" s="28" t="n">
        <x:v>1</x:v>
      </x:c>
      <x:c r="I678" s="28" t="n">
        <x:v>1</x:v>
      </x:c>
      <x:c r="J678" s="28" t="n">
        <x:v>2</x:v>
      </x:c>
      <x:c r="K678" s="28" t="n">
        <x:v>149</x:v>
      </x:c>
      <x:c r="L678" s="28" t="n">
        <x:v>0</x:v>
      </x:c>
      <x:c r="M678" s="28" t="n">
        <x:v>0</x:v>
      </x:c>
      <x:c r="N678" s="22" t="str">
        <x:v>Works particular bill</x:v>
      </x:c>
      <x:c r="O678" s="22" t="str">
        <x:v>visible</x:v>
      </x:c>
      <x:c r="P678" s="22" t="n">
        <x:v>1</x:v>
      </x:c>
      <x:c r="Q678" s="40" t="n">
        <x:v>0</x:v>
      </x:c>
      <x:c r="R678" s="25" t="str"/>
      <x:c r="S678" s="25" t="str">
        <x:v>B?</x:v>
      </x:c>
      <x:c r="T678" s="25" t="str">
        <x:v>자동 표 신호는 최종 A/B로 승격하지 않음</x:v>
      </x:c>
      <x:c r="U678" s="22" t="str">
        <x:v>2021-2025</x:v>
      </x:c>
    </x:row>
    <x:row r="679">
      <x:c r="A679" s="22" t="str">
        <x:v>2020-00119</x:v>
      </x:c>
      <x:c r="B679" s="22" t="str">
        <x:v>L2025-00071-1</x:v>
      </x:c>
      <x:c r="C679" s="22" t="str">
        <x:v>WORKS</x:v>
      </x:c>
      <x:c r="D679" s="25" t="str">
        <x:v>L2025-00071-1/붙임2. 현지입찰(재공고입찰) 서류 및 계약서류(안)/IKHCC Section 4 - IKHCC BLANK BOQ 250903/1 Architectural &amp; summery/Bill _Total Cost Summary-Blank 250306.xlsx</x:v>
      </x:c>
      <x:c r="E679" s="22" t="str">
        <x:v>.xlsx</x:v>
      </x:c>
      <x:c r="F679" s="28" t="n">
        <x:v>636201</x:v>
      </x:c>
      <x:c r="G679" s="28" t="str">
        <x:v>91332400de69e34ae40026af2416f1b516644fe7da6004e86983efa25e049eac</x:v>
      </x:c>
      <x:c r="H679" s="28" t="n">
        <x:v>1</x:v>
      </x:c>
      <x:c r="I679" s="28" t="n">
        <x:v>1</x:v>
      </x:c>
      <x:c r="J679" s="28" t="n">
        <x:v>0</x:v>
      </x:c>
      <x:c r="K679" s="28" t="n">
        <x:v>0</x:v>
      </x:c>
      <x:c r="L679" s="28" t="n">
        <x:v>0</x:v>
      </x:c>
      <x:c r="M679" s="28" t="n">
        <x:v>0</x:v>
      </x:c>
      <x:c r="N679" s="22" t="str"/>
      <x:c r="O679" s="22" t="str"/>
      <x:c r="P679" s="22" t="n">
        <x:v>0</x:v>
      </x:c>
      <x:c r="Q679" s="40" t="n">
        <x:v>0</x:v>
      </x:c>
      <x:c r="R679" s="25" t="str"/>
      <x:c r="S679" s="25" t="str">
        <x:v>BOQ_NAME_ONLY</x:v>
      </x:c>
      <x:c r="T679" s="25" t="str">
        <x:v>자동 표 신호는 최종 A/B로 승격하지 않음</x:v>
      </x:c>
      <x:c r="U679" s="22" t="str">
        <x:v>2021-2025</x:v>
      </x:c>
    </x:row>
    <x:row r="680">
      <x:c r="A680" s="22" t="str">
        <x:v>2020-00119</x:v>
      </x:c>
      <x:c r="B680" s="22" t="str">
        <x:v>L2025-00071-1</x:v>
      </x:c>
      <x:c r="C680" s="22" t="str">
        <x:v>WORKS</x:v>
      </x:c>
      <x:c r="D680" s="25" t="str">
        <x:v>L2025-00071-1/붙임2. 현지입찰(재공고입찰) 서류 및 계약서류(안)/IKHCC Section 4 - IKHCC BLANK BOQ 250903/6.Blank bill Comm revised 250812/BLANK BILL-COMMUN - 0 (TOTAL).xlsm</x:v>
      </x:c>
      <x:c r="E680" s="22" t="str">
        <x:v>.xlsm</x:v>
      </x:c>
      <x:c r="F680" s="28" t="n">
        <x:v>326212</x:v>
      </x:c>
      <x:c r="G680" s="28" t="str">
        <x:v>531209bc36fd5556f27cda100673dc9536c73b02d3f9bf7a6a89f35435375b14</x:v>
      </x:c>
      <x:c r="H680" s="28" t="n">
        <x:v>1</x:v>
      </x:c>
      <x:c r="I680" s="28" t="n">
        <x:v>1</x:v>
      </x:c>
      <x:c r="J680" s="28" t="n">
        <x:v>3</x:v>
      </x:c>
      <x:c r="K680" s="28" t="n">
        <x:v>826</x:v>
      </x:c>
      <x:c r="L680" s="28" t="n">
        <x:v>479</x:v>
      </x:c>
      <x:c r="M680" s="28" t="n">
        <x:v>1</x:v>
      </x:c>
      <x:c r="N680" s="22" t="str">
        <x:v>일위을지</x:v>
      </x:c>
      <x:c r="O680" s="22" t="str">
        <x:v>hidden</x:v>
      </x:c>
      <x:c r="P680" s="22" t="n">
        <x:v>1</x:v>
      </x:c>
      <x:c r="Q680" s="40" t="n">
        <x:v>0.5799031476997578</x:v>
      </x:c>
      <x:c r="R680" s="25" t="str"/>
      <x:c r="S680" s="25" t="str">
        <x:v>A?</x:v>
      </x:c>
      <x:c r="T680" s="25" t="str">
        <x:v>자동 표 신호는 최종 A/B로 승격하지 않음</x:v>
      </x:c>
      <x:c r="U680" s="22" t="str">
        <x:v>2021-2025</x:v>
      </x:c>
    </x:row>
    <x:row r="681">
      <x:c r="A681" s="22" t="str">
        <x:v>2020-00119</x:v>
      </x:c>
      <x:c r="B681" s="22" t="str">
        <x:v>L2025-00071-1</x:v>
      </x:c>
      <x:c r="C681" s="22" t="str">
        <x:v>WORKS</x:v>
      </x:c>
      <x:c r="D681" s="25" t="str">
        <x:v>L2025-00071-1/붙임2. 현지입찰(재공고입찰) 서류 및 계약서류(안)/IKHCC Section 4 - IKHCC BLANK BOQ 250903/6.Blank bill Comm revised 250812/BLANK BILL-COMMUN - C (BRIDGE).xlsm</x:v>
      </x:c>
      <x:c r="E681" s="22" t="str">
        <x:v>.xlsm</x:v>
      </x:c>
      <x:c r="F681" s="28" t="n">
        <x:v>330971</x:v>
      </x:c>
      <x:c r="G681" s="28" t="str">
        <x:v>40e1a242e8e22894db16ff02bc88da5a0378a15809bb07beacad2f113b644167</x:v>
      </x:c>
      <x:c r="H681" s="28" t="n">
        <x:v>1</x:v>
      </x:c>
      <x:c r="I681" s="28" t="n">
        <x:v>1</x:v>
      </x:c>
      <x:c r="J681" s="28" t="n">
        <x:v>3</x:v>
      </x:c>
      <x:c r="K681" s="28" t="n">
        <x:v>826</x:v>
      </x:c>
      <x:c r="L681" s="28" t="n">
        <x:v>479</x:v>
      </x:c>
      <x:c r="M681" s="28" t="n">
        <x:v>1</x:v>
      </x:c>
      <x:c r="N681" s="22" t="str">
        <x:v>일위을지</x:v>
      </x:c>
      <x:c r="O681" s="22" t="str">
        <x:v>hidden</x:v>
      </x:c>
      <x:c r="P681" s="22" t="n">
        <x:v>1</x:v>
      </x:c>
      <x:c r="Q681" s="40" t="n">
        <x:v>0.5799031476997578</x:v>
      </x:c>
      <x:c r="R681" s="25" t="str"/>
      <x:c r="S681" s="25" t="str">
        <x:v>A?</x:v>
      </x:c>
      <x:c r="T681" s="25" t="str">
        <x:v>자동 표 신호는 최종 A/B로 승격하지 않음</x:v>
      </x:c>
      <x:c r="U681" s="22" t="str">
        <x:v>2021-2025</x:v>
      </x:c>
    </x:row>
    <x:row r="682">
      <x:c r="A682" s="22" t="str">
        <x:v>2020-00119</x:v>
      </x:c>
      <x:c r="B682" s="22" t="str">
        <x:v>L2025-00071-1</x:v>
      </x:c>
      <x:c r="C682" s="22" t="str">
        <x:v>WORKS</x:v>
      </x:c>
      <x:c r="D682" s="25" t="str">
        <x:v>L2025-00071-1/붙임2. 현지입찰(재공고입찰) 서류 및 계약서류(안)/IKHCC Section 4 - IKHCC BLANK BOQ 250903/6.Blank bill Comm revised 250812/BLANK BILL-COMMUN - B (MEP BUILDING).xlsm</x:v>
      </x:c>
      <x:c r="E682" s="22" t="str">
        <x:v>.xlsm</x:v>
      </x:c>
      <x:c r="F682" s="28" t="n">
        <x:v>326315</x:v>
      </x:c>
      <x:c r="G682" s="28" t="str">
        <x:v>3578e3ca6d1f3136990f2e12009056b0b070e80a5e53b0f0746f3c42e9dc0f79</x:v>
      </x:c>
      <x:c r="H682" s="28" t="n">
        <x:v>1</x:v>
      </x:c>
      <x:c r="I682" s="28" t="n">
        <x:v>1</x:v>
      </x:c>
      <x:c r="J682" s="28" t="n">
        <x:v>3</x:v>
      </x:c>
      <x:c r="K682" s="28" t="n">
        <x:v>826</x:v>
      </x:c>
      <x:c r="L682" s="28" t="n">
        <x:v>479</x:v>
      </x:c>
      <x:c r="M682" s="28" t="n">
        <x:v>1</x:v>
      </x:c>
      <x:c r="N682" s="22" t="str">
        <x:v>일위을지</x:v>
      </x:c>
      <x:c r="O682" s="22" t="str">
        <x:v>hidden</x:v>
      </x:c>
      <x:c r="P682" s="22" t="n">
        <x:v>1</x:v>
      </x:c>
      <x:c r="Q682" s="40" t="n">
        <x:v>0.5799031476997578</x:v>
      </x:c>
      <x:c r="R682" s="25" t="str"/>
      <x:c r="S682" s="25" t="str">
        <x:v>A?</x:v>
      </x:c>
      <x:c r="T682" s="25" t="str">
        <x:v>자동 표 신호는 최종 A/B로 승격하지 않음</x:v>
      </x:c>
      <x:c r="U682" s="22" t="str">
        <x:v>2021-2025</x:v>
      </x:c>
    </x:row>
    <x:row r="683">
      <x:c r="A683" s="22" t="str">
        <x:v>2020-00119</x:v>
      </x:c>
      <x:c r="B683" s="22" t="str">
        <x:v>L2025-00071-1</x:v>
      </x:c>
      <x:c r="C683" s="22" t="str">
        <x:v>WORKS</x:v>
      </x:c>
      <x:c r="D683" s="25" t="str">
        <x:v>L2025-00071-1/붙임2. 현지입찰(재공고입찰) 서류 및 계약서류(안)/IKHCC Section 4 - IKHCC BLANK BOQ 250903/6.Blank bill Comm revised 250812/BLANK BILL-COMMUN - A (HOSPITAL).xlsm</x:v>
      </x:c>
      <x:c r="E683" s="22" t="str">
        <x:v>.xlsm</x:v>
      </x:c>
      <x:c r="F683" s="28" t="n">
        <x:v>289659</x:v>
      </x:c>
      <x:c r="G683" s="28" t="str">
        <x:v>e77a6c920e625055518141f190d459882c70792f382551359dd5293c03a7a322</x:v>
      </x:c>
      <x:c r="H683" s="28" t="n">
        <x:v>1</x:v>
      </x:c>
      <x:c r="I683" s="28" t="n">
        <x:v>1</x:v>
      </x:c>
      <x:c r="J683" s="28" t="n">
        <x:v>3</x:v>
      </x:c>
      <x:c r="K683" s="28" t="n">
        <x:v>826</x:v>
      </x:c>
      <x:c r="L683" s="28" t="n">
        <x:v>479</x:v>
      </x:c>
      <x:c r="M683" s="28" t="n">
        <x:v>0</x:v>
      </x:c>
      <x:c r="N683" s="22" t="str">
        <x:v>일위을지</x:v>
      </x:c>
      <x:c r="O683" s="22" t="str">
        <x:v>hidden</x:v>
      </x:c>
      <x:c r="P683" s="22" t="n">
        <x:v>1</x:v>
      </x:c>
      <x:c r="Q683" s="40" t="n">
        <x:v>0.5799031476997578</x:v>
      </x:c>
      <x:c r="R683" s="25" t="str"/>
      <x:c r="S683" s="25" t="str">
        <x:v>B?</x:v>
      </x:c>
      <x:c r="T683" s="25" t="str">
        <x:v>자동 표 신호는 최종 A/B로 승격하지 않음</x:v>
      </x:c>
      <x:c r="U683" s="22" t="str">
        <x:v>2021-2025</x:v>
      </x:c>
    </x:row>
    <x:row r="684">
      <x:c r="A684" s="22" t="str">
        <x:v>2020-00119</x:v>
      </x:c>
      <x:c r="B684" s="22" t="str">
        <x:v>L2025-00071-1</x:v>
      </x:c>
      <x:c r="C684" s="22" t="str">
        <x:v>WORKS</x:v>
      </x:c>
      <x:c r="D684" s="25" t="str">
        <x:v>L2025-00071-1/붙임2. 현지입찰(재공고입찰) 서류 및 계약서류(안)/IKHCC Section 4 - IKHCC BLANK BOQ 250903/2 Land/BILL No2-LAND-blank.xlsx</x:v>
      </x:c>
      <x:c r="E684" s="22" t="str">
        <x:v>.xlsx</x:v>
      </x:c>
      <x:c r="F684" s="28" t="n">
        <x:v>61604</x:v>
      </x:c>
      <x:c r="G684" s="28" t="str">
        <x:v>c1bc5d70f7890380284bc1ac52db2ebd9027a588f1855aab191d262d2d5e98ba</x:v>
      </x:c>
      <x:c r="H684" s="28" t="n">
        <x:v>1</x:v>
      </x:c>
      <x:c r="I684" s="28" t="n">
        <x:v>1</x:v>
      </x:c>
      <x:c r="J684" s="28" t="n">
        <x:v>0</x:v>
      </x:c>
      <x:c r="K684" s="28" t="n">
        <x:v>0</x:v>
      </x:c>
      <x:c r="L684" s="28" t="n">
        <x:v>0</x:v>
      </x:c>
      <x:c r="M684" s="28" t="n">
        <x:v>0</x:v>
      </x:c>
      <x:c r="N684" s="22" t="str"/>
      <x:c r="O684" s="22" t="str"/>
      <x:c r="P684" s="22" t="n">
        <x:v>0</x:v>
      </x:c>
      <x:c r="Q684" s="40" t="n">
        <x:v>0</x:v>
      </x:c>
      <x:c r="R684" s="25" t="str"/>
      <x:c r="S684" s="25" t="str">
        <x:v>BOQ_NAME_ONLY</x:v>
      </x:c>
      <x:c r="T684" s="25" t="str">
        <x:v>자동 표 신호는 최종 A/B로 승격하지 않음</x:v>
      </x:c>
      <x:c r="U684" s="22" t="str">
        <x:v>2021-2025</x:v>
      </x:c>
    </x:row>
    <x:row r="685">
      <x:c r="A685" s="22" t="str">
        <x:v>2020-00119</x:v>
      </x:c>
      <x:c r="B685" s="22" t="str">
        <x:v>L2025-00071-1</x:v>
      </x:c>
      <x:c r="C685" s="22" t="str">
        <x:v>WORKS</x:v>
      </x:c>
      <x:c r="D685" s="25" t="str">
        <x:v>L2025-00071-1/붙임2. 현지입찰(재공고입찰) 서류 및 계약서류(안)/IKHCC Section 4 - IKHCC BLANK BOQ 250903/7. Blank bill Firefighting revised 250811/FIREFIGHTING_ELEC/BLANK BILL-FIRE FIGHTING ELEC - 0 (TOTAL).xlsm</x:v>
      </x:c>
      <x:c r="E685" s="22" t="str">
        <x:v>.xlsm</x:v>
      </x:c>
      <x:c r="F685" s="28" t="n">
        <x:v>107555</x:v>
      </x:c>
      <x:c r="G685" s="28" t="str">
        <x:v>83f64c03b3ed36d32e44a5a855a050c75a9fdca09e13d0409d4bbfc481a02d66</x:v>
      </x:c>
      <x:c r="H685" s="28" t="n">
        <x:v>1</x:v>
      </x:c>
      <x:c r="I685" s="28" t="n">
        <x:v>1</x:v>
      </x:c>
      <x:c r="J685" s="28" t="n">
        <x:v>3</x:v>
      </x:c>
      <x:c r="K685" s="28" t="n">
        <x:v>250</x:v>
      </x:c>
      <x:c r="L685" s="28" t="n">
        <x:v>86</x:v>
      </x:c>
      <x:c r="M685" s="28" t="n">
        <x:v>0</x:v>
      </x:c>
      <x:c r="N685" s="22" t="str">
        <x:v>일위을지</x:v>
      </x:c>
      <x:c r="O685" s="22" t="str">
        <x:v>hidden</x:v>
      </x:c>
      <x:c r="P685" s="22" t="n">
        <x:v>1</x:v>
      </x:c>
      <x:c r="Q685" s="40" t="n">
        <x:v>0</x:v>
      </x:c>
      <x:c r="R685" s="25" t="str"/>
      <x:c r="S685" s="25" t="str">
        <x:v>B?</x:v>
      </x:c>
      <x:c r="T685" s="25" t="str">
        <x:v>자동 표 신호는 최종 A/B로 승격하지 않음</x:v>
      </x:c>
      <x:c r="U685" s="22" t="str">
        <x:v>2021-2025</x:v>
      </x:c>
    </x:row>
    <x:row r="686">
      <x:c r="A686" s="22" t="str">
        <x:v>2020-00119</x:v>
      </x:c>
      <x:c r="B686" s="22" t="str">
        <x:v>L2025-00071-1</x:v>
      </x:c>
      <x:c r="C686" s="22" t="str">
        <x:v>WORKS</x:v>
      </x:c>
      <x:c r="D686" s="25" t="str">
        <x:v>L2025-00071-1/붙임2. 현지입찰(재공고입찰) 서류 및 계약서류(안)/IKHCC Section 4 - IKHCC BLANK BOQ 250903/7. Blank bill Firefighting revised 250811/FIREFIGHTING_ELEC/BLANK BILL-FIRE FIGHTING ELEC - C (BRIDGE).xlsm</x:v>
      </x:c>
      <x:c r="E686" s="22" t="str">
        <x:v>.xlsm</x:v>
      </x:c>
      <x:c r="F686" s="28" t="n">
        <x:v>108291</x:v>
      </x:c>
      <x:c r="G686" s="28" t="str">
        <x:v>a66b56e34694551d25d1c71e5d21cdd34ef6cdc5d1fe9913d7a8fdd2168407ed</x:v>
      </x:c>
      <x:c r="H686" s="28" t="n">
        <x:v>1</x:v>
      </x:c>
      <x:c r="I686" s="28" t="n">
        <x:v>1</x:v>
      </x:c>
      <x:c r="J686" s="28" t="n">
        <x:v>3</x:v>
      </x:c>
      <x:c r="K686" s="28" t="n">
        <x:v>250</x:v>
      </x:c>
      <x:c r="L686" s="28" t="n">
        <x:v>75</x:v>
      </x:c>
      <x:c r="M686" s="28" t="n">
        <x:v>0</x:v>
      </x:c>
      <x:c r="N686" s="22" t="str">
        <x:v>일위을지</x:v>
      </x:c>
      <x:c r="O686" s="22" t="str">
        <x:v>hidden</x:v>
      </x:c>
      <x:c r="P686" s="22" t="n">
        <x:v>1</x:v>
      </x:c>
      <x:c r="Q686" s="40" t="n">
        <x:v>0</x:v>
      </x:c>
      <x:c r="R686" s="25" t="str"/>
      <x:c r="S686" s="25" t="str">
        <x:v>B?</x:v>
      </x:c>
      <x:c r="T686" s="25" t="str">
        <x:v>자동 표 신호는 최종 A/B로 승격하지 않음</x:v>
      </x:c>
      <x:c r="U686" s="22" t="str">
        <x:v>2021-2025</x:v>
      </x:c>
    </x:row>
    <x:row r="687">
      <x:c r="A687" s="22" t="str">
        <x:v>2020-00119</x:v>
      </x:c>
      <x:c r="B687" s="22" t="str">
        <x:v>L2025-00071-1</x:v>
      </x:c>
      <x:c r="C687" s="22" t="str">
        <x:v>WORKS</x:v>
      </x:c>
      <x:c r="D687" s="25" t="str">
        <x:v>L2025-00071-1/붙임2. 현지입찰(재공고입찰) 서류 및 계약서류(안)/IKHCC Section 4 - IKHCC BLANK BOQ 250903/7. Blank bill Firefighting revised 250811/FIREFIGHTING_ELEC/BLANK BILL-FIRE FIGHTING ELEC - B (MEP BUILDING).xlsm</x:v>
      </x:c>
      <x:c r="E687" s="22" t="str">
        <x:v>.xlsm</x:v>
      </x:c>
      <x:c r="F687" s="28" t="n">
        <x:v>105175</x:v>
      </x:c>
      <x:c r="G687" s="28" t="str">
        <x:v>21ba91bb3b87cc4a3fbb83a64a4685c946ad254bee1449d1f253a46e3fbf8544</x:v>
      </x:c>
      <x:c r="H687" s="28" t="n">
        <x:v>1</x:v>
      </x:c>
      <x:c r="I687" s="28" t="n">
        <x:v>1</x:v>
      </x:c>
      <x:c r="J687" s="28" t="n">
        <x:v>3</x:v>
      </x:c>
      <x:c r="K687" s="28" t="n">
        <x:v>250</x:v>
      </x:c>
      <x:c r="L687" s="28" t="n">
        <x:v>51</x:v>
      </x:c>
      <x:c r="M687" s="28" t="n">
        <x:v>0</x:v>
      </x:c>
      <x:c r="N687" s="22" t="str">
        <x:v>일위을지</x:v>
      </x:c>
      <x:c r="O687" s="22" t="str">
        <x:v>hidden</x:v>
      </x:c>
      <x:c r="P687" s="22" t="n">
        <x:v>1</x:v>
      </x:c>
      <x:c r="Q687" s="40" t="n">
        <x:v>0</x:v>
      </x:c>
      <x:c r="R687" s="25" t="str"/>
      <x:c r="S687" s="25" t="str">
        <x:v>B?</x:v>
      </x:c>
      <x:c r="T687" s="25" t="str">
        <x:v>자동 표 신호는 최종 A/B로 승격하지 않음</x:v>
      </x:c>
      <x:c r="U687" s="22" t="str">
        <x:v>2021-2025</x:v>
      </x:c>
    </x:row>
    <x:row r="688">
      <x:c r="A688" s="22" t="str">
        <x:v>2020-00119</x:v>
      </x:c>
      <x:c r="B688" s="22" t="str">
        <x:v>L2025-00071-1</x:v>
      </x:c>
      <x:c r="C688" s="22" t="str">
        <x:v>WORKS</x:v>
      </x:c>
      <x:c r="D688" s="25" t="str">
        <x:v>L2025-00071-1/붙임2. 현지입찰(재공고입찰) 서류 및 계약서류(안)/IKHCC Section 4 - IKHCC BLANK BOQ 250903/7. Blank bill Firefighting revised 250811/FIREFIGHTING_ELEC/BLANK BILL-FIRE FIGHTING ELEC - A (HOSPITAL).xlsm</x:v>
      </x:c>
      <x:c r="E688" s="22" t="str">
        <x:v>.xlsm</x:v>
      </x:c>
      <x:c r="F688" s="28" t="n">
        <x:v>105228</x:v>
      </x:c>
      <x:c r="G688" s="28" t="str">
        <x:v>9ffa9d47d2ec91c02914ee0d70e0bb54b361f4e85b738b4d24ed32dc1887b98a</x:v>
      </x:c>
      <x:c r="H688" s="28" t="n">
        <x:v>1</x:v>
      </x:c>
      <x:c r="I688" s="28" t="n">
        <x:v>1</x:v>
      </x:c>
      <x:c r="J688" s="28" t="n">
        <x:v>3</x:v>
      </x:c>
      <x:c r="K688" s="28" t="n">
        <x:v>250</x:v>
      </x:c>
      <x:c r="L688" s="28" t="n">
        <x:v>46</x:v>
      </x:c>
      <x:c r="M688" s="28" t="n">
        <x:v>0</x:v>
      </x:c>
      <x:c r="N688" s="22" t="str">
        <x:v>일위을지</x:v>
      </x:c>
      <x:c r="O688" s="22" t="str">
        <x:v>hidden</x:v>
      </x:c>
      <x:c r="P688" s="22" t="n">
        <x:v>1</x:v>
      </x:c>
      <x:c r="Q688" s="40" t="n">
        <x:v>0</x:v>
      </x:c>
      <x:c r="R688" s="25" t="str"/>
      <x:c r="S688" s="25" t="str">
        <x:v>B?</x:v>
      </x:c>
      <x:c r="T688" s="25" t="str">
        <x:v>자동 표 신호는 최종 A/B로 승격하지 않음</x:v>
      </x:c>
      <x:c r="U688" s="22" t="str">
        <x:v>2021-2025</x:v>
      </x:c>
    </x:row>
    <x:row r="689">
      <x:c r="A689" s="22" t="str">
        <x:v>2020-00119</x:v>
      </x:c>
      <x:c r="B689" s="22" t="str">
        <x:v>L2025-00071-1</x:v>
      </x:c>
      <x:c r="C689" s="22" t="str">
        <x:v>WORKS</x:v>
      </x:c>
      <x:c r="D689" s="25" t="str">
        <x:v>L2025-00071-1/붙임2. 현지입찰(재공고입찰) 서류 및 계약서류(안)/IKHCC Section 4 - IKHCC BLANK BOQ 250903/7. Blank bill Firefighting revised 250811/Fire fighting - Mech revised 250812/BLANK BILL.FIREFIGHTING MECH (TOTAL) revised 250812.xls</x:v>
      </x:c>
      <x:c r="E689" s="22" t="str">
        <x:v>.xls</x:v>
      </x:c>
      <x:c r="F689" s="28" t="n">
        <x:v>342528</x:v>
      </x:c>
      <x:c r="G689" s="28" t="str">
        <x:v>b86f9e7d916e329fa492ae9cc76913ba3ae04e606ab3dd8fc8f2491cad9cfcf4</x:v>
      </x:c>
      <x:c r="H689" s="28" t="n">
        <x:v>1</x:v>
      </x:c>
      <x:c r="I689" s="28" t="n">
        <x:v>1</x:v>
      </x:c>
      <x:c r="J689" s="28" t="n">
        <x:v>1</x:v>
      </x:c>
      <x:c r="K689" s="28" t="n">
        <x:v>195</x:v>
      </x:c>
      <x:c r="L689" s="28" t="n">
        <x:v>195</x:v>
      </x:c>
      <x:c r="M689" s="28" t="n">
        <x:v>1</x:v>
      </x:c>
      <x:c r="N689" s="22" t="str">
        <x:v>일위대가</x:v>
      </x:c>
      <x:c r="O689" s="22" t="str">
        <x:v>hidden</x:v>
      </x:c>
      <x:c r="P689" s="22" t="n">
        <x:v>1</x:v>
      </x:c>
      <x:c r="Q689" s="40" t="n">
        <x:v>1</x:v>
      </x:c>
      <x:c r="R689" s="25" t="str"/>
      <x:c r="S689" s="25" t="str">
        <x:v>A?</x:v>
      </x:c>
      <x:c r="T689" s="25" t="str">
        <x:v>자동 표 신호는 최종 A/B로 승격하지 않음</x:v>
      </x:c>
      <x:c r="U689" s="22" t="str">
        <x:v>2021-2025</x:v>
      </x:c>
    </x:row>
    <x:row r="690">
      <x:c r="A690" s="22" t="str">
        <x:v>2020-00119</x:v>
      </x:c>
      <x:c r="B690" s="22" t="str">
        <x:v>L2025-00071-1</x:v>
      </x:c>
      <x:c r="C690" s="22" t="str">
        <x:v>WORKS</x:v>
      </x:c>
      <x:c r="D690" s="25" t="str">
        <x:v>L2025-00071-1/붙임2. 현지입찰(재공고입찰) 서류 및 계약서류(안)/IKHCC Section 4 - IKHCC BLANK BOQ 250903/7. Blank bill Firefighting revised 250811/Fire fighting - Mech revised 250812/BLANK BILL. FIREFIGHTING MECH (HOSPITAL) revised 250812.xls</x:v>
      </x:c>
      <x:c r="E690" s="22" t="str">
        <x:v>.xls</x:v>
      </x:c>
      <x:c r="F690" s="28" t="n">
        <x:v>327168</x:v>
      </x:c>
      <x:c r="G690" s="28" t="str">
        <x:v>1bce2eb84aabd6f325628ec262acfed2e1741993139ba7d051d86b605fce68c2</x:v>
      </x:c>
      <x:c r="H690" s="28" t="n">
        <x:v>1</x:v>
      </x:c>
      <x:c r="I690" s="28" t="n">
        <x:v>1</x:v>
      </x:c>
      <x:c r="J690" s="28" t="n">
        <x:v>1</x:v>
      </x:c>
      <x:c r="K690" s="28" t="n">
        <x:v>195</x:v>
      </x:c>
      <x:c r="L690" s="28" t="n">
        <x:v>195</x:v>
      </x:c>
      <x:c r="M690" s="28" t="n">
        <x:v>1</x:v>
      </x:c>
      <x:c r="N690" s="22" t="str">
        <x:v>일위대가</x:v>
      </x:c>
      <x:c r="O690" s="22" t="str">
        <x:v>hidden</x:v>
      </x:c>
      <x:c r="P690" s="22" t="n">
        <x:v>1</x:v>
      </x:c>
      <x:c r="Q690" s="40" t="n">
        <x:v>1</x:v>
      </x:c>
      <x:c r="R690" s="25" t="str"/>
      <x:c r="S690" s="25" t="str">
        <x:v>A?</x:v>
      </x:c>
      <x:c r="T690" s="25" t="str">
        <x:v>자동 표 신호는 최종 A/B로 승격하지 않음</x:v>
      </x:c>
      <x:c r="U690" s="22" t="str">
        <x:v>2021-2025</x:v>
      </x:c>
    </x:row>
    <x:row r="691">
      <x:c r="A691" s="22" t="str">
        <x:v>2020-00119</x:v>
      </x:c>
      <x:c r="B691" s="22" t="str">
        <x:v>L2025-00071-1</x:v>
      </x:c>
      <x:c r="C691" s="22" t="str">
        <x:v>WORKS</x:v>
      </x:c>
      <x:c r="D691" s="25" t="str">
        <x:v>L2025-00071-1/붙임2. 현지입찰(재공고입찰) 서류 및 계약서류(안)/IKHCC Section 4 - IKHCC BLANK BOQ 250903/7. Blank bill Firefighting revised 250811/Fire fighting - Mech revised 250812/BLANK BILL. FIRFEIGHTING MECH(MEP BUILDING) revised 250812.xls</x:v>
      </x:c>
      <x:c r="E691" s="22" t="str">
        <x:v>.xls</x:v>
      </x:c>
      <x:c r="F691" s="28" t="n">
        <x:v>324096</x:v>
      </x:c>
      <x:c r="G691" s="28" t="str">
        <x:v>bfa53a58df75fc8fcf1655e49ee0157f687c1027acd02cdd85a11035db84447a</x:v>
      </x:c>
      <x:c r="H691" s="28" t="n">
        <x:v>1</x:v>
      </x:c>
      <x:c r="I691" s="28" t="n">
        <x:v>1</x:v>
      </x:c>
      <x:c r="J691" s="28" t="n">
        <x:v>1</x:v>
      </x:c>
      <x:c r="K691" s="28" t="n">
        <x:v>195</x:v>
      </x:c>
      <x:c r="L691" s="28" t="n">
        <x:v>195</x:v>
      </x:c>
      <x:c r="M691" s="28" t="n">
        <x:v>1</x:v>
      </x:c>
      <x:c r="N691" s="22" t="str">
        <x:v>일위대가</x:v>
      </x:c>
      <x:c r="O691" s="22" t="str">
        <x:v>hidden</x:v>
      </x:c>
      <x:c r="P691" s="22" t="n">
        <x:v>1</x:v>
      </x:c>
      <x:c r="Q691" s="40" t="n">
        <x:v>1</x:v>
      </x:c>
      <x:c r="R691" s="25" t="str"/>
      <x:c r="S691" s="25" t="str">
        <x:v>A?</x:v>
      </x:c>
      <x:c r="T691" s="25" t="str">
        <x:v>자동 표 신호는 최종 A/B로 승격하지 않음</x:v>
      </x:c>
      <x:c r="U691" s="22" t="str">
        <x:v>2021-2025</x:v>
      </x:c>
    </x:row>
    <x:row r="692">
      <x:c r="A692" s="22" t="str">
        <x:v>2013-00064</x:v>
      </x:c>
      <x:c r="B692" s="22" t="str">
        <x:v>L2025-00012-2</x:v>
      </x:c>
      <x:c r="C692" s="22" t="str">
        <x:v>WORKS</x:v>
      </x:c>
      <x:c r="D692" s="25" t="str">
        <x:v>L2025-00012-2/(붙임2) 입찰 관련 부속서류/Q-Lab_Chacala_Bidding Doc/Section 4. Q-Lab_Chacala_BOQ_blanked/G LAND SCAPE.xls</x:v>
      </x:c>
      <x:c r="E692" s="22" t="str">
        <x:v>.xls</x:v>
      </x:c>
      <x:c r="F692" s="28" t="n">
        <x:v>1558528</x:v>
      </x:c>
      <x:c r="G692" s="28" t="str">
        <x:v>ece87bec3c596a52b49808e23eaf8b7452691f478f3458db783f7a5925cc41dc</x:v>
      </x:c>
      <x:c r="H692" s="28" t="n">
        <x:v>0</x:v>
      </x:c>
      <x:c r="I692" s="28" t="n">
        <x:v>1</x:v>
      </x:c>
      <x:c r="J692" s="28" t="n">
        <x:v>0</x:v>
      </x:c>
      <x:c r="K692" s="28" t="n">
        <x:v>0</x:v>
      </x:c>
      <x:c r="L692" s="28" t="n">
        <x:v>0</x:v>
      </x:c>
      <x:c r="M692" s="28" t="n">
        <x:v>0</x:v>
      </x:c>
      <x:c r="N692" s="22" t="str"/>
      <x:c r="O692" s="22" t="str"/>
      <x:c r="P692" s="22" t="n">
        <x:v>0</x:v>
      </x:c>
      <x:c r="Q692" s="40" t="n">
        <x:v>0</x:v>
      </x:c>
      <x:c r="R692" s="25" t="str"/>
      <x:c r="S692" s="25" t="str">
        <x:v>NONE</x:v>
      </x:c>
      <x:c r="T692" s="25" t="str">
        <x:v>자동 표 신호는 최종 A/B로 승격하지 않음</x:v>
      </x:c>
      <x:c r="U692" s="22" t="str">
        <x:v>2021-2025</x:v>
      </x:c>
    </x:row>
    <x:row r="693">
      <x:c r="A693" s="22" t="str">
        <x:v>2013-00064</x:v>
      </x:c>
      <x:c r="B693" s="22" t="str">
        <x:v>L2025-00012-2</x:v>
      </x:c>
      <x:c r="C693" s="22" t="str">
        <x:v>WORKS</x:v>
      </x:c>
      <x:c r="D693" s="25" t="str">
        <x:v>L2025-00012-2/(붙임2) 입찰 관련 부속서류/Q-Lab_Chacala_Bidding Doc/Section 4. Q-Lab_Chacala_BOQ_blanked/A3 EM STRUCTURE.xls</x:v>
      </x:c>
      <x:c r="E693" s="22" t="str">
        <x:v>.xls</x:v>
      </x:c>
      <x:c r="F693" s="28" t="n">
        <x:v>1427456</x:v>
      </x:c>
      <x:c r="G693" s="28" t="str">
        <x:v>be4eb3ffac3c73f6eaf90474e2eddf0a2ffa149db63a257d36852c3adf6f913f</x:v>
      </x:c>
      <x:c r="H693" s="28" t="n">
        <x:v>0</x:v>
      </x:c>
      <x:c r="I693" s="28" t="n">
        <x:v>1</x:v>
      </x:c>
      <x:c r="J693" s="28" t="n">
        <x:v>0</x:v>
      </x:c>
      <x:c r="K693" s="28" t="n">
        <x:v>0</x:v>
      </x:c>
      <x:c r="L693" s="28" t="n">
        <x:v>0</x:v>
      </x:c>
      <x:c r="M693" s="28" t="n">
        <x:v>0</x:v>
      </x:c>
      <x:c r="N693" s="22" t="str"/>
      <x:c r="O693" s="22" t="str"/>
      <x:c r="P693" s="22" t="n">
        <x:v>0</x:v>
      </x:c>
      <x:c r="Q693" s="40" t="n">
        <x:v>0</x:v>
      </x:c>
      <x:c r="R693" s="25" t="str"/>
      <x:c r="S693" s="25" t="str">
        <x:v>NONE</x:v>
      </x:c>
      <x:c r="T693" s="25" t="str">
        <x:v>자동 표 신호는 최종 A/B로 승격하지 않음</x:v>
      </x:c>
      <x:c r="U693" s="22" t="str">
        <x:v>2021-2025</x:v>
      </x:c>
    </x:row>
    <x:row r="694">
      <x:c r="A694" s="22" t="str">
        <x:v>2013-00064</x:v>
      </x:c>
      <x:c r="B694" s="22" t="str">
        <x:v>L2025-00012-2</x:v>
      </x:c>
      <x:c r="C694" s="22" t="str">
        <x:v>WORKS</x:v>
      </x:c>
      <x:c r="D694" s="25" t="str">
        <x:v>L2025-00012-2/(붙임2) 입찰 관련 부속서류/Q-Lab_Chacala_Bidding Doc/Section 4. Q-Lab_Chacala_BOQ_blanked/F HYDRO SANITARY SYSTEM.xlsx</x:v>
      </x:c>
      <x:c r="E694" s="22" t="str">
        <x:v>.xlsx</x:v>
      </x:c>
      <x:c r="F694" s="28" t="n">
        <x:v>2229362</x:v>
      </x:c>
      <x:c r="G694" s="28" t="str">
        <x:v>6b11639d6fabaaa1823187ee5ba99fb4622ca894447107d8a88e8e14f09fefc9</x:v>
      </x:c>
      <x:c r="H694" s="28" t="n">
        <x:v>0</x:v>
      </x:c>
      <x:c r="I694" s="28" t="n">
        <x:v>1</x:v>
      </x:c>
      <x:c r="J694" s="28" t="n">
        <x:v>2</x:v>
      </x:c>
      <x:c r="K694" s="28" t="n">
        <x:v>191</x:v>
      </x:c>
      <x:c r="L694" s="28" t="n">
        <x:v>0</x:v>
      </x:c>
      <x:c r="M694" s="28" t="n">
        <x:v>0</x:v>
      </x:c>
      <x:c r="N694" s="22" t="str">
        <x:v>Computos Métricos Quinoa</x:v>
      </x:c>
      <x:c r="O694" s="22" t="str">
        <x:v>visible</x:v>
      </x:c>
      <x:c r="P694" s="22" t="n">
        <x:v>1</x:v>
      </x:c>
      <x:c r="Q694" s="40" t="n">
        <x:v>0</x:v>
      </x:c>
      <x:c r="R694" s="25" t="str"/>
      <x:c r="S694" s="25" t="str">
        <x:v>B?</x:v>
      </x:c>
      <x:c r="T694" s="25" t="str">
        <x:v>자동 표 신호는 최종 A/B로 승격하지 않음</x:v>
      </x:c>
      <x:c r="U694" s="22" t="str">
        <x:v>2021-2025</x:v>
      </x:c>
    </x:row>
    <x:row r="695">
      <x:c r="A695" s="22" t="str">
        <x:v>2013-00064</x:v>
      </x:c>
      <x:c r="B695" s="22" t="str">
        <x:v>L2025-00012-2</x:v>
      </x:c>
      <x:c r="C695" s="22" t="str">
        <x:v>WORKS</x:v>
      </x:c>
      <x:c r="D695" s="25" t="str">
        <x:v>L2025-00012-2/(붙임2) 입찰 관련 부속서류/Q-Lab_Chacala_Bidding Doc/Section 4. Q-Lab_Chacala_BOQ_blanked/A1 ARCHITECTURE CHACALA.xlsx</x:v>
      </x:c>
      <x:c r="E695" s="22" t="str">
        <x:v>.xlsx</x:v>
      </x:c>
      <x:c r="F695" s="28" t="n">
        <x:v>779128</x:v>
      </x:c>
      <x:c r="G695" s="28" t="str">
        <x:v>73623a71fe2a23883e5a998378b9fe9efc5451758aa4e066764c5555dda545a2</x:v>
      </x:c>
      <x:c r="H695" s="28" t="n">
        <x:v>0</x:v>
      </x:c>
      <x:c r="I695" s="28" t="n">
        <x:v>1</x:v>
      </x:c>
      <x:c r="J695" s="28" t="n">
        <x:v>1</x:v>
      </x:c>
      <x:c r="K695" s="28" t="n">
        <x:v>28</x:v>
      </x:c>
      <x:c r="L695" s="28" t="n">
        <x:v>0</x:v>
      </x:c>
      <x:c r="M695" s="28" t="n">
        <x:v>0</x:v>
      </x:c>
      <x:c r="N695" s="22" t="str">
        <x:v>PPTO-8 CHACALA</x:v>
      </x:c>
      <x:c r="O695" s="22" t="str">
        <x:v>visible</x:v>
      </x:c>
      <x:c r="P695" s="22" t="n">
        <x:v>13</x:v>
      </x:c>
      <x:c r="Q695" s="40" t="n">
        <x:v>0</x:v>
      </x:c>
      <x:c r="R695" s="25" t="str"/>
      <x:c r="S695" s="25" t="str">
        <x:v>B?</x:v>
      </x:c>
      <x:c r="T695" s="25" t="str">
        <x:v>자동 표 신호는 최종 A/B로 승격하지 않음</x:v>
      </x:c>
      <x:c r="U695" s="22" t="str">
        <x:v>2021-2025</x:v>
      </x:c>
    </x:row>
    <x:row r="696">
      <x:c r="A696" s="22" t="str">
        <x:v>2013-00064</x:v>
      </x:c>
      <x:c r="B696" s="22" t="str">
        <x:v>L2025-00012-2</x:v>
      </x:c>
      <x:c r="C696" s="22" t="str">
        <x:v>WORKS</x:v>
      </x:c>
      <x:c r="D696" s="25" t="str">
        <x:v>L2025-00012-2/(붙임2) 입찰 관련 부속서류/Q-Lab_Chacala_Bidding Doc/Section 4. Q-Lab_Chacala_BOQ_blanked/B ELECTRIC SYSTEM.xlsx</x:v>
      </x:c>
      <x:c r="E696" s="22" t="str">
        <x:v>.xlsx</x:v>
      </x:c>
      <x:c r="F696" s="28" t="n">
        <x:v>109607</x:v>
      </x:c>
      <x:c r="G696" s="28" t="str">
        <x:v>bc94e7a90dea8f9eecbdcfcf1792adf3d6d226fcfbf55c2e1a88c9df8fb25de3</x:v>
      </x:c>
      <x:c r="H696" s="28" t="n">
        <x:v>0</x:v>
      </x:c>
      <x:c r="I696" s="28" t="n">
        <x:v>1</x:v>
      </x:c>
      <x:c r="J696" s="28" t="n">
        <x:v>6</x:v>
      </x:c>
      <x:c r="K696" s="28" t="n">
        <x:v>18</x:v>
      </x:c>
      <x:c r="L696" s="28" t="n">
        <x:v>0</x:v>
      </x:c>
      <x:c r="M696" s="28" t="n">
        <x:v>0</x:v>
      </x:c>
      <x:c r="N696" s="22" t="str">
        <x:v>TDG-H</x:v>
      </x:c>
      <x:c r="O696" s="22" t="str">
        <x:v>visible</x:v>
      </x:c>
      <x:c r="P696" s="22" t="n">
        <x:v>16</x:v>
      </x:c>
      <x:c r="Q696" s="40" t="n">
        <x:v>0</x:v>
      </x:c>
      <x:c r="R696" s="25" t="str"/>
      <x:c r="S696" s="25" t="str">
        <x:v>B?</x:v>
      </x:c>
      <x:c r="T696" s="25" t="str">
        <x:v>자동 표 신호는 최종 A/B로 승격하지 않음</x:v>
      </x:c>
      <x:c r="U696" s="22" t="str">
        <x:v>2021-2025</x:v>
      </x:c>
    </x:row>
    <x:row r="697">
      <x:c r="A697" s="22" t="str">
        <x:v>2013-00064</x:v>
      </x:c>
      <x:c r="B697" s="22" t="str">
        <x:v>L2025-00012-2</x:v>
      </x:c>
      <x:c r="C697" s="22" t="str">
        <x:v>WORKS</x:v>
      </x:c>
      <x:c r="D697" s="25" t="str">
        <x:v>L2025-00012-2/(붙임2) 입찰 관련 부속서류/Q-Lab_Chacala_Bidding Doc/Section 4. Q-Lab_Chacala_BOQ_blanked/A2 HA STRUCTURE.xls</x:v>
      </x:c>
      <x:c r="E697" s="22" t="str">
        <x:v>.xls</x:v>
      </x:c>
      <x:c r="F697" s="28" t="n">
        <x:v>1555456</x:v>
      </x:c>
      <x:c r="G697" s="28" t="str">
        <x:v>335205a7ceb9965c6a3103b7052311eb56ae166668d1280f0de1e9c5d3686807</x:v>
      </x:c>
      <x:c r="H697" s="28" t="n">
        <x:v>0</x:v>
      </x:c>
      <x:c r="I697" s="28" t="n">
        <x:v>1</x:v>
      </x:c>
      <x:c r="J697" s="28" t="n">
        <x:v>0</x:v>
      </x:c>
      <x:c r="K697" s="28" t="n">
        <x:v>0</x:v>
      </x:c>
      <x:c r="L697" s="28" t="n">
        <x:v>0</x:v>
      </x:c>
      <x:c r="M697" s="28" t="n">
        <x:v>0</x:v>
      </x:c>
      <x:c r="N697" s="22" t="str"/>
      <x:c r="O697" s="22" t="str"/>
      <x:c r="P697" s="22" t="n">
        <x:v>0</x:v>
      </x:c>
      <x:c r="Q697" s="40" t="n">
        <x:v>0</x:v>
      </x:c>
      <x:c r="R697" s="25" t="str"/>
      <x:c r="S697" s="25" t="str">
        <x:v>NONE</x:v>
      </x:c>
      <x:c r="T697" s="25" t="str">
        <x:v>자동 표 신호는 최종 A/B로 승격하지 않음</x:v>
      </x:c>
      <x:c r="U697" s="22" t="str">
        <x:v>2021-2025</x:v>
      </x:c>
    </x:row>
    <x:row r="698">
      <x:c r="A698" s="22" t="str">
        <x:v>2020-00024</x:v>
      </x:c>
      <x:c r="B698" s="22" t="str">
        <x:v>L2025-00019-1</x:v>
      </x:c>
      <x:c r="C698" s="22" t="str">
        <x:v>NONBUILDING_OR_FALSE_AREA</x:v>
      </x:c>
      <x:c r="D698" s="25" t="str">
        <x:v>L2025-00019-1/3. 입찰 관련 자료/3. 입찰 관련 자료/4-1. 아사이만 BoQ 양식.xlsx</x:v>
      </x:c>
      <x:c r="E698" s="22" t="str">
        <x:v>.xlsx</x:v>
      </x:c>
      <x:c r="F698" s="28" t="n">
        <x:v>326589</x:v>
      </x:c>
      <x:c r="G698" s="28" t="str">
        <x:v>7a03f4f6a9c960d68e788ae0b5892c16ac10c64655e2eadbf2efaad3428cb1a7</x:v>
      </x:c>
      <x:c r="H698" s="28" t="n">
        <x:v>1</x:v>
      </x:c>
      <x:c r="I698" s="28" t="n">
        <x:v>0</x:v>
      </x:c>
      <x:c r="J698" s="28" t="n">
        <x:v>2</x:v>
      </x:c>
      <x:c r="K698" s="28" t="n">
        <x:v>117</x:v>
      </x:c>
      <x:c r="L698" s="28" t="n">
        <x:v>0</x:v>
      </x:c>
      <x:c r="M698" s="28" t="n">
        <x:v>0</x:v>
      </x:c>
      <x:c r="N698" s="22" t="str">
        <x:v>Ashaiman B.O.Q</x:v>
      </x:c>
      <x:c r="O698" s="22" t="str">
        <x:v>visible</x:v>
      </x:c>
      <x:c r="P698" s="22" t="n">
        <x:v>1</x:v>
      </x:c>
      <x:c r="Q698" s="40" t="n">
        <x:v>0</x:v>
      </x:c>
      <x:c r="R698" s="25" t="str"/>
      <x:c r="S698" s="25" t="str">
        <x:v>B?</x:v>
      </x:c>
      <x:c r="T698" s="25" t="str">
        <x:v>자동 표 신호는 최종 A/B로 승격하지 않음</x:v>
      </x:c>
      <x:c r="U698" s="22" t="str">
        <x:v>2021-2025</x:v>
      </x:c>
    </x:row>
    <x:row r="699">
      <x:c r="A699" s="22" t="str">
        <x:v>2020-00024</x:v>
      </x:c>
      <x:c r="B699" s="22" t="str">
        <x:v>L2025-00019-1</x:v>
      </x:c>
      <x:c r="C699" s="22" t="str">
        <x:v>NONBUILDING_OR_FALSE_AREA</x:v>
      </x:c>
      <x:c r="D699" s="25" t="str">
        <x:v>L2025-00019-1/3. 입찰 관련 자료/3. 입찰 관련 자료/4-2. 아베이면 BoQ 양식.xlsx</x:v>
      </x:c>
      <x:c r="E699" s="22" t="str">
        <x:v>.xlsx</x:v>
      </x:c>
      <x:c r="F699" s="28" t="n">
        <x:v>109453</x:v>
      </x:c>
      <x:c r="G699" s="28" t="str">
        <x:v>77171190a092d335de43aa08ed3f8bbbf5a973949294b7a02100ea983d5490d7</x:v>
      </x:c>
      <x:c r="H699" s="28" t="n">
        <x:v>1</x:v>
      </x:c>
      <x:c r="I699" s="28" t="n">
        <x:v>0</x:v>
      </x:c>
      <x:c r="J699" s="28" t="n">
        <x:v>2</x:v>
      </x:c>
      <x:c r="K699" s="28" t="n">
        <x:v>149</x:v>
      </x:c>
      <x:c r="L699" s="28" t="n">
        <x:v>0</x:v>
      </x:c>
      <x:c r="M699" s="28" t="n">
        <x:v>0</x:v>
      </x:c>
      <x:c r="N699" s="22" t="str">
        <x:v>Aveyime BOQ </x:v>
      </x:c>
      <x:c r="O699" s="22" t="str">
        <x:v>visible</x:v>
      </x:c>
      <x:c r="P699" s="22" t="n">
        <x:v>1</x:v>
      </x:c>
      <x:c r="Q699" s="40" t="n">
        <x:v>0</x:v>
      </x:c>
      <x:c r="R699" s="25" t="str"/>
      <x:c r="S699" s="25" t="str">
        <x:v>B?</x:v>
      </x:c>
      <x:c r="T699" s="25" t="str">
        <x:v>자동 표 신호는 최종 A/B로 승격하지 않음</x:v>
      </x:c>
      <x:c r="U699" s="22" t="str">
        <x:v>2021-2025</x:v>
      </x:c>
    </x:row>
    <x:row r="700">
      <x:c r="A700" s="22" t="str">
        <x:v>2020-00104</x:v>
      </x:c>
      <x:c r="B700" s="22" t="str">
        <x:v>L2021-00012-1</x:v>
      </x:c>
      <x:c r="C700" s="22" t="str">
        <x:v>DESIGN_OR_SUPERVISION_SERVICE</x:v>
      </x:c>
      <x:c r="D700" s="25" t="str">
        <x:v>L2021-00012-1/Bid Documents for Distribution_PKNC final/Attachment 6. List of Bid Documents_0429.xlsx</x:v>
      </x:c>
      <x:c r="E700" s="22" t="str">
        <x:v>.xlsx</x:v>
      </x:c>
      <x:c r="F700" s="28" t="n">
        <x:v>13259</x:v>
      </x:c>
      <x:c r="G700" s="28" t="str">
        <x:v>3a3f45f8837342f22bc9c75a6d44bd23f0292c95d34dcda79e94bbf962172fb0</x:v>
      </x:c>
      <x:c r="H700" s="28" t="n">
        <x:v>0</x:v>
      </x:c>
      <x:c r="I700" s="28" t="n">
        <x:v>0</x:v>
      </x:c>
      <x:c r="J700" s="28" t="n">
        <x:v>0</x:v>
      </x:c>
      <x:c r="K700" s="28" t="n">
        <x:v>0</x:v>
      </x:c>
      <x:c r="L700" s="28" t="n">
        <x:v>0</x:v>
      </x:c>
      <x:c r="M700" s="28" t="n">
        <x:v>0</x:v>
      </x:c>
      <x:c r="N700" s="22" t="str"/>
      <x:c r="O700" s="22" t="str"/>
      <x:c r="P700" s="22" t="str"/>
      <x:c r="Q700" s="40" t="n">
        <x:v>0</x:v>
      </x:c>
      <x:c r="R700" s="25" t="str"/>
      <x:c r="S700" s="25" t="str">
        <x:v>NONE</x:v>
      </x:c>
      <x:c r="T700" s="25" t="str">
        <x:v>자동 표 신호는 최종 A/B로 승격하지 않음</x:v>
      </x:c>
      <x:c r="U700" s="22" t="str">
        <x:v>2021-2025</x:v>
      </x:c>
    </x:row>
    <x:row r="701">
      <x:c r="A701" s="22" t="str">
        <x:v>2020-00104</x:v>
      </x:c>
      <x:c r="B701" s="22" t="str">
        <x:v>L2022-00034-1</x:v>
      </x:c>
      <x:c r="C701" s="22" t="str">
        <x:v>WORKS</x:v>
      </x:c>
      <x:c r="D701" s="25" t="str">
        <x:v>L2022-00034-1/2. 영양교육센터 설립사업 입찰관련 서류/Attachment 6. Checklist of Bid Documents.xlsx</x:v>
      </x:c>
      <x:c r="E701" s="22" t="str">
        <x:v>.xlsx</x:v>
      </x:c>
      <x:c r="F701" s="28" t="n">
        <x:v>14447</x:v>
      </x:c>
      <x:c r="G701" s="28" t="str">
        <x:v>84ed30ab56d1f4e6ddba3588a76cbdba02ce779ebabe43042f7310b512ce0246</x:v>
      </x:c>
      <x:c r="H701" s="28" t="n">
        <x:v>0</x:v>
      </x:c>
      <x:c r="I701" s="28" t="n">
        <x:v>0</x:v>
      </x:c>
      <x:c r="J701" s="28" t="n">
        <x:v>0</x:v>
      </x:c>
      <x:c r="K701" s="28" t="n">
        <x:v>0</x:v>
      </x:c>
      <x:c r="L701" s="28" t="n">
        <x:v>0</x:v>
      </x:c>
      <x:c r="M701" s="28" t="n">
        <x:v>0</x:v>
      </x:c>
      <x:c r="N701" s="22" t="str"/>
      <x:c r="O701" s="22" t="str"/>
      <x:c r="P701" s="22" t="str"/>
      <x:c r="Q701" s="40" t="n">
        <x:v>0</x:v>
      </x:c>
      <x:c r="R701" s="25" t="str"/>
      <x:c r="S701" s="25" t="str">
        <x:v>NONE</x:v>
      </x:c>
      <x:c r="T701" s="25" t="str">
        <x:v>자동 표 신호는 최종 A/B로 승격하지 않음</x:v>
      </x:c>
      <x:c r="U701" s="22" t="str">
        <x:v>2021-2025</x:v>
      </x:c>
    </x:row>
    <x:row r="702">
      <x:c r="A702" s="22" t="str">
        <x:v>2020-00104</x:v>
      </x:c>
      <x:c r="B702" s="22" t="str">
        <x:v>L2022-00034-1</x:v>
      </x:c>
      <x:c r="C702" s="22" t="str">
        <x:v>WORKS</x:v>
      </x:c>
      <x:c r="D702" s="25" t="str">
        <x:v>L2022-00034-1/2. 영양교육센터 설립사업 입찰관련 서류/Chapter 2. BID BOQs.xlsx</x:v>
      </x:c>
      <x:c r="E702" s="22" t="str">
        <x:v>.xlsx</x:v>
      </x:c>
      <x:c r="F702" s="28" t="n">
        <x:v>144458</x:v>
      </x:c>
      <x:c r="G702" s="28" t="str">
        <x:v>ef2019f3b9ac1781f15e90f1cd06bb405e7e09f6e5689d2fc1ea350c20cf8f69</x:v>
      </x:c>
      <x:c r="H702" s="28" t="n">
        <x:v>0</x:v>
      </x:c>
      <x:c r="I702" s="28" t="n">
        <x:v>0</x:v>
      </x:c>
      <x:c r="J702" s="28" t="n">
        <x:v>6</x:v>
      </x:c>
      <x:c r="K702" s="28" t="n">
        <x:v>180</x:v>
      </x:c>
      <x:c r="L702" s="28" t="n">
        <x:v>0</x:v>
      </x:c>
      <x:c r="M702" s="28" t="n">
        <x:v>0</x:v>
      </x:c>
      <x:c r="N702" s="22" t="str">
        <x:v>Architectural Works</x:v>
      </x:c>
      <x:c r="O702" s="22" t="str">
        <x:v>visible</x:v>
      </x:c>
      <x:c r="P702" s="22" t="n">
        <x:v>2</x:v>
      </x:c>
      <x:c r="Q702" s="40" t="n">
        <x:v>0</x:v>
      </x:c>
      <x:c r="R702" s="25" t="str"/>
      <x:c r="S702" s="25" t="str">
        <x:v>B?</x:v>
      </x:c>
      <x:c r="T702" s="25" t="str">
        <x:v>자동 표 신호는 최종 A/B로 승격하지 않음</x:v>
      </x:c>
      <x:c r="U702" s="22" t="str">
        <x:v>2021-2025</x:v>
      </x:c>
    </x:row>
    <x:row r="703">
      <x:c r="A703" s="22" t="str">
        <x:v>2020-00104</x:v>
      </x:c>
      <x:c r="B703" s="22" t="str">
        <x:v>L2022-00034-1</x:v>
      </x:c>
      <x:c r="C703" s="22" t="str">
        <x:v>WORKS</x:v>
      </x:c>
      <x:c r="D703" s="25" t="str">
        <x:v>L2022-00034-1/2. 영양교육센터 설립사업 입찰관련 서류/Attachment 1-2. Checklist of PQ Documents.xlsx</x:v>
      </x:c>
      <x:c r="E703" s="22" t="str">
        <x:v>.xlsx</x:v>
      </x:c>
      <x:c r="F703" s="28" t="n">
        <x:v>13688</x:v>
      </x:c>
      <x:c r="G703" s="28" t="str">
        <x:v>edf0249b33cb76a73f00faaa68e43d2b30e873c3ab6d663ce070101f482f2741</x:v>
      </x:c>
      <x:c r="H703" s="28" t="n">
        <x:v>0</x:v>
      </x:c>
      <x:c r="I703" s="28" t="n">
        <x:v>0</x:v>
      </x:c>
      <x:c r="J703" s="28" t="n">
        <x:v>0</x:v>
      </x:c>
      <x:c r="K703" s="28" t="n">
        <x:v>0</x:v>
      </x:c>
      <x:c r="L703" s="28" t="n">
        <x:v>0</x:v>
      </x:c>
      <x:c r="M703" s="28" t="n">
        <x:v>0</x:v>
      </x:c>
      <x:c r="N703" s="22" t="str"/>
      <x:c r="O703" s="22" t="str"/>
      <x:c r="P703" s="22" t="str"/>
      <x:c r="Q703" s="40" t="n">
        <x:v>0</x:v>
      </x:c>
      <x:c r="R703" s="25" t="str"/>
      <x:c r="S703" s="25" t="str">
        <x:v>NONE</x:v>
      </x:c>
      <x:c r="T703" s="25" t="str">
        <x:v>자동 표 신호는 최종 A/B로 승격하지 않음</x:v>
      </x:c>
      <x:c r="U703" s="22" t="str">
        <x:v>2021-2025</x:v>
      </x:c>
    </x:row>
    <x:row r="704">
      <x:c r="A704" s="22" t="str">
        <x:v>2020-00119</x:v>
      </x:c>
      <x:c r="B704" s="22" t="str">
        <x:v>L2025-00085-1</x:v>
      </x:c>
      <x:c r="C704" s="22" t="str">
        <x:v>WORKS</x:v>
      </x:c>
      <x:c r="D704" s="25" t="str">
        <x:v>L2025-00085-1/붙임2. 현지입찰(신규입찰) 서류 및 계약서류(안)/IKHCC Section 4,5,6 BOQ, Drawing, Spec.docx</x:v>
      </x:c>
      <x:c r="E704" s="22" t="str">
        <x:v>.docx</x:v>
      </x:c>
      <x:c r="F704" s="28" t="n">
        <x:v>11941</x:v>
      </x:c>
      <x:c r="G704" s="28" t="str">
        <x:v>aab74da4619bd3a8a368567d5620e0116eb9da42f75975717f485ef6a83a41b6</x:v>
      </x:c>
      <x:c r="H704" s="28" t="n">
        <x:v>1</x:v>
      </x:c>
      <x:c r="I704" s="28" t="n">
        <x:v>0</x:v>
      </x:c>
      <x:c r="J704" s="28" t="n">
        <x:v>0</x:v>
      </x:c>
      <x:c r="K704" s="28" t="n">
        <x:v>0</x:v>
      </x:c>
      <x:c r="L704" s="28" t="n">
        <x:v>0</x:v>
      </x:c>
      <x:c r="M704" s="28" t="n">
        <x:v>0</x:v>
      </x:c>
      <x:c r="N704" s="22" t="str"/>
      <x:c r="O704" s="22" t="str"/>
      <x:c r="P704" s="22" t="str"/>
      <x:c r="Q704" s="40" t="n">
        <x:v>0</x:v>
      </x:c>
      <x:c r="R704" s="25" t="str"/>
      <x:c r="S704" s="25" t="str">
        <x:v>BOQ_NAME_ONLY</x:v>
      </x:c>
      <x:c r="T704" s="25" t="str">
        <x:v>자동 표 신호는 최종 A/B로 승격하지 않음</x:v>
      </x:c>
      <x:c r="U704" s="22" t="str">
        <x:v>2021-2025</x:v>
      </x:c>
    </x:row>
    <x:row r="705">
      <x:c r="A705" s="22" t="str">
        <x:v>2020-00119</x:v>
      </x:c>
      <x:c r="B705" s="22" t="str">
        <x:v>L2025-00085-1</x:v>
      </x:c>
      <x:c r="C705" s="22" t="str">
        <x:v>WORKS</x:v>
      </x:c>
      <x:c r="D705" s="25" t="str">
        <x:v>L2025-00085-1/붙임2. 현지입찰(신규입찰) 서류 및 계약서류(안)/IKHCC Section 4 - IKHCC BLANK BOQ 250903_최종.zip</x:v>
      </x:c>
      <x:c r="E705" s="22" t="str">
        <x:v>.zip</x:v>
      </x:c>
      <x:c r="F705" s="28" t="n">
        <x:v>7985017</x:v>
      </x:c>
      <x:c r="G705" s="28" t="str">
        <x:v>d1fb3cd141e35125508d3af540e47f947a796eb26fb7150c4905876928a5fb10</x:v>
      </x:c>
      <x:c r="H705" s="28" t="n">
        <x:v>1</x:v>
      </x:c>
      <x:c r="I705" s="28" t="n">
        <x:v>1</x:v>
      </x:c>
      <x:c r="J705" s="28" t="n">
        <x:v>0</x:v>
      </x:c>
      <x:c r="K705" s="28" t="n">
        <x:v>0</x:v>
      </x:c>
      <x:c r="L705" s="28" t="n">
        <x:v>0</x:v>
      </x:c>
      <x:c r="M705" s="28" t="n">
        <x:v>0</x:v>
      </x:c>
      <x:c r="N705" s="22" t="str"/>
      <x:c r="O705" s="22" t="str"/>
      <x:c r="P705" s="22" t="str"/>
      <x:c r="Q705" s="40" t="n">
        <x:v>0</x:v>
      </x:c>
      <x:c r="R705" s="25" t="str"/>
      <x:c r="S705" s="25" t="str">
        <x:v>BOQ_NAME_ONLY</x:v>
      </x:c>
      <x:c r="T705" s="25" t="str">
        <x:v>자동 표 신호는 최종 A/B로 승격하지 않음</x:v>
      </x:c>
      <x:c r="U705" s="22" t="str">
        <x:v>2021-2025</x:v>
      </x:c>
    </x:row>
    <x:row r="706">
      <x:c r="A706" s="22" t="str">
        <x:v>2020-00119</x:v>
      </x:c>
      <x:c r="B706" s="22" t="str">
        <x:v>L2025-00085-1</x:v>
      </x:c>
      <x:c r="C706" s="22" t="str">
        <x:v>WORKS</x:v>
      </x:c>
      <x:c r="D706" s="25" t="str">
        <x:v>L2025-00085-1/붙임2. 현지입찰(신규입찰) 서류 및 계약서류(안)/IKHCC Section 4 - IKHCC BLANK BOQ 250903_최종/5. Blank bill Elec revised 250812/BLANK BILL-ELEC - B (MEP BUILDING).xlsm</x:v>
      </x:c>
      <x:c r="E706" s="22" t="str">
        <x:v>.xlsm</x:v>
      </x:c>
      <x:c r="F706" s="28" t="n">
        <x:v>501858</x:v>
      </x:c>
      <x:c r="G706" s="28" t="str">
        <x:v>91dd2575abb4beee6373cfeec8125758dfdc79a1c61a375c7ca02a671198036f</x:v>
      </x:c>
      <x:c r="H706" s="28" t="n">
        <x:v>1</x:v>
      </x:c>
      <x:c r="I706" s="28" t="n">
        <x:v>1</x:v>
      </x:c>
      <x:c r="J706" s="28" t="n">
        <x:v>3</x:v>
      </x:c>
      <x:c r="K706" s="28" t="n">
        <x:v>1476</x:v>
      </x:c>
      <x:c r="L706" s="28" t="n">
        <x:v>782</x:v>
      </x:c>
      <x:c r="M706" s="28" t="n">
        <x:v>1</x:v>
      </x:c>
      <x:c r="N706" s="22" t="str">
        <x:v>일위을지</x:v>
      </x:c>
      <x:c r="O706" s="22" t="str">
        <x:v>hidden</x:v>
      </x:c>
      <x:c r="P706" s="22" t="n">
        <x:v>1</x:v>
      </x:c>
      <x:c r="Q706" s="40" t="n">
        <x:v>0.5298102981029811</x:v>
      </x:c>
      <x:c r="R706" s="25" t="str"/>
      <x:c r="S706" s="25" t="str">
        <x:v>A?</x:v>
      </x:c>
      <x:c r="T706" s="25" t="str">
        <x:v>자동 표 신호는 최종 A/B로 승격하지 않음</x:v>
      </x:c>
      <x:c r="U706" s="22" t="str">
        <x:v>2021-2025</x:v>
      </x:c>
    </x:row>
    <x:row r="707">
      <x:c r="A707" s="22" t="str">
        <x:v>2020-00119</x:v>
      </x:c>
      <x:c r="B707" s="22" t="str">
        <x:v>L2025-00085-1</x:v>
      </x:c>
      <x:c r="C707" s="22" t="str">
        <x:v>WORKS</x:v>
      </x:c>
      <x:c r="D707" s="25" t="str">
        <x:v>L2025-00085-1/붙임2. 현지입찰(신규입찰) 서류 및 계약서류(안)/IKHCC Section 4 - IKHCC BLANK BOQ 250903_최종/5. Blank bill Elec revised 250812/BLANK BILL-ELEC - 0 (TOTAL).xlsm</x:v>
      </x:c>
      <x:c r="E707" s="22" t="str">
        <x:v>.xlsm</x:v>
      </x:c>
      <x:c r="F707" s="28" t="n">
        <x:v>526626</x:v>
      </x:c>
      <x:c r="G707" s="28" t="str">
        <x:v>21096095d93be985d074b4a1e68330275ef71f2824b32410d598c7a1594b07f6</x:v>
      </x:c>
      <x:c r="H707" s="28" t="n">
        <x:v>1</x:v>
      </x:c>
      <x:c r="I707" s="28" t="n">
        <x:v>1</x:v>
      </x:c>
      <x:c r="J707" s="28" t="n">
        <x:v>3</x:v>
      </x:c>
      <x:c r="K707" s="28" t="n">
        <x:v>1476</x:v>
      </x:c>
      <x:c r="L707" s="28" t="n">
        <x:v>782</x:v>
      </x:c>
      <x:c r="M707" s="28" t="n">
        <x:v>1</x:v>
      </x:c>
      <x:c r="N707" s="22" t="str">
        <x:v>일위을지</x:v>
      </x:c>
      <x:c r="O707" s="22" t="str">
        <x:v>hidden</x:v>
      </x:c>
      <x:c r="P707" s="22" t="n">
        <x:v>1</x:v>
      </x:c>
      <x:c r="Q707" s="40" t="n">
        <x:v>0.5298102981029811</x:v>
      </x:c>
      <x:c r="R707" s="25" t="str"/>
      <x:c r="S707" s="25" t="str">
        <x:v>A?</x:v>
      </x:c>
      <x:c r="T707" s="25" t="str">
        <x:v>자동 표 신호는 최종 A/B로 승격하지 않음</x:v>
      </x:c>
      <x:c r="U707" s="22" t="str">
        <x:v>2021-2025</x:v>
      </x:c>
    </x:row>
    <x:row r="708">
      <x:c r="A708" s="22" t="str">
        <x:v>2020-00119</x:v>
      </x:c>
      <x:c r="B708" s="22" t="str">
        <x:v>L2025-00085-1</x:v>
      </x:c>
      <x:c r="C708" s="22" t="str">
        <x:v>WORKS</x:v>
      </x:c>
      <x:c r="D708" s="25" t="str">
        <x:v>L2025-00085-1/붙임2. 현지입찰(신규입찰) 서류 및 계약서류(안)/IKHCC Section 4 - IKHCC BLANK BOQ 250903_최종/5. Blank bill Elec revised 250812/BLANK BILL-ELEC - A (HOSPITAL).xlsm</x:v>
      </x:c>
      <x:c r="E708" s="22" t="str">
        <x:v>.xlsm</x:v>
      </x:c>
      <x:c r="F708" s="28" t="n">
        <x:v>481577</x:v>
      </x:c>
      <x:c r="G708" s="28" t="str">
        <x:v>33433bc4c641e89eb4c2ef46824bdc7e1a1d079f323f9d96823049336987ae6e</x:v>
      </x:c>
      <x:c r="H708" s="28" t="n">
        <x:v>1</x:v>
      </x:c>
      <x:c r="I708" s="28" t="n">
        <x:v>1</x:v>
      </x:c>
      <x:c r="J708" s="28" t="n">
        <x:v>3</x:v>
      </x:c>
      <x:c r="K708" s="28" t="n">
        <x:v>1476</x:v>
      </x:c>
      <x:c r="L708" s="28" t="n">
        <x:v>782</x:v>
      </x:c>
      <x:c r="M708" s="28" t="n">
        <x:v>0</x:v>
      </x:c>
      <x:c r="N708" s="22" t="str">
        <x:v>일위을지</x:v>
      </x:c>
      <x:c r="O708" s="22" t="str">
        <x:v>hidden</x:v>
      </x:c>
      <x:c r="P708" s="22" t="n">
        <x:v>1</x:v>
      </x:c>
      <x:c r="Q708" s="40" t="n">
        <x:v>0.5298102981029811</x:v>
      </x:c>
      <x:c r="R708" s="25" t="str"/>
      <x:c r="S708" s="25" t="str">
        <x:v>B?</x:v>
      </x:c>
      <x:c r="T708" s="25" t="str">
        <x:v>자동 표 신호는 최종 A/B로 승격하지 않음</x:v>
      </x:c>
      <x:c r="U708" s="22" t="str">
        <x:v>2021-2025</x:v>
      </x:c>
    </x:row>
    <x:row r="709">
      <x:c r="A709" s="22" t="str">
        <x:v>2020-00119</x:v>
      </x:c>
      <x:c r="B709" s="22" t="str">
        <x:v>L2025-00085-1</x:v>
      </x:c>
      <x:c r="C709" s="22" t="str">
        <x:v>WORKS</x:v>
      </x:c>
      <x:c r="D709" s="25" t="str">
        <x:v>L2025-00085-1/붙임2. 현지입찰(신규입찰) 서류 및 계약서류(안)/IKHCC Section 4 - IKHCC BLANK BOQ 250903_최종/5. Blank bill Elec revised 250812/BLANK BILL-ELEC - C (BRIDGE).xlsm</x:v>
      </x:c>
      <x:c r="E709" s="22" t="str">
        <x:v>.xlsm</x:v>
      </x:c>
      <x:c r="F709" s="28" t="n">
        <x:v>528512</x:v>
      </x:c>
      <x:c r="G709" s="28" t="str">
        <x:v>e9e9c097356f19ace92baa9eb41371ddaf6c4410bacb4fd4aeccd3016a75f597</x:v>
      </x:c>
      <x:c r="H709" s="28" t="n">
        <x:v>1</x:v>
      </x:c>
      <x:c r="I709" s="28" t="n">
        <x:v>1</x:v>
      </x:c>
      <x:c r="J709" s="28" t="n">
        <x:v>3</x:v>
      </x:c>
      <x:c r="K709" s="28" t="n">
        <x:v>1476</x:v>
      </x:c>
      <x:c r="L709" s="28" t="n">
        <x:v>782</x:v>
      </x:c>
      <x:c r="M709" s="28" t="n">
        <x:v>1</x:v>
      </x:c>
      <x:c r="N709" s="22" t="str">
        <x:v>일위을지</x:v>
      </x:c>
      <x:c r="O709" s="22" t="str">
        <x:v>hidden</x:v>
      </x:c>
      <x:c r="P709" s="22" t="n">
        <x:v>1</x:v>
      </x:c>
      <x:c r="Q709" s="40" t="n">
        <x:v>0.5298102981029811</x:v>
      </x:c>
      <x:c r="R709" s="25" t="str"/>
      <x:c r="S709" s="25" t="str">
        <x:v>A?</x:v>
      </x:c>
      <x:c r="T709" s="25" t="str">
        <x:v>자동 표 신호는 최종 A/B로 승격하지 않음</x:v>
      </x:c>
      <x:c r="U709" s="22" t="str">
        <x:v>2021-2025</x:v>
      </x:c>
    </x:row>
    <x:row r="710">
      <x:c r="A710" s="22" t="str">
        <x:v>2020-00119</x:v>
      </x:c>
      <x:c r="B710" s="22" t="str">
        <x:v>L2025-00085-1</x:v>
      </x:c>
      <x:c r="C710" s="22" t="str">
        <x:v>WORKS</x:v>
      </x:c>
      <x:c r="D710" s="25" t="str">
        <x:v>L2025-00085-1/붙임2. 현지입찰(신규입찰) 서류 및 계약서류(안)/IKHCC Section 4 - IKHCC BLANK BOQ 250903_최종/3 CIVIL/BLANK BILL.CIVIL(HOSPITAL) .xls</x:v>
      </x:c>
      <x:c r="E710" s="22" t="str">
        <x:v>.xls</x:v>
      </x:c>
      <x:c r="F710" s="28" t="n">
        <x:v>81920</x:v>
      </x:c>
      <x:c r="G710" s="28" t="str">
        <x:v>c0b0e1d857d357e06310785027eb14b6c6e3c28491c19fed4dfc9e3030f34ef2</x:v>
      </x:c>
      <x:c r="H710" s="28" t="n">
        <x:v>1</x:v>
      </x:c>
      <x:c r="I710" s="28" t="n">
        <x:v>1</x:v>
      </x:c>
      <x:c r="J710" s="28" t="n">
        <x:v>0</x:v>
      </x:c>
      <x:c r="K710" s="28" t="n">
        <x:v>0</x:v>
      </x:c>
      <x:c r="L710" s="28" t="n">
        <x:v>0</x:v>
      </x:c>
      <x:c r="M710" s="28" t="n">
        <x:v>0</x:v>
      </x:c>
      <x:c r="N710" s="22" t="str"/>
      <x:c r="O710" s="22" t="str"/>
      <x:c r="P710" s="22" t="n">
        <x:v>0</x:v>
      </x:c>
      <x:c r="Q710" s="40" t="n">
        <x:v>0</x:v>
      </x:c>
      <x:c r="R710" s="25" t="str"/>
      <x:c r="S710" s="25" t="str">
        <x:v>BOQ_NAME_ONLY</x:v>
      </x:c>
      <x:c r="T710" s="25" t="str">
        <x:v>자동 표 신호는 최종 A/B로 승격하지 않음</x:v>
      </x:c>
      <x:c r="U710" s="22" t="str">
        <x:v>2021-2025</x:v>
      </x:c>
    </x:row>
    <x:row r="711">
      <x:c r="A711" s="22" t="str">
        <x:v>2020-00119</x:v>
      </x:c>
      <x:c r="B711" s="22" t="str">
        <x:v>L2025-00085-1</x:v>
      </x:c>
      <x:c r="C711" s="22" t="str">
        <x:v>WORKS</x:v>
      </x:c>
      <x:c r="D711" s="25" t="str">
        <x:v>L2025-00085-1/붙임2. 현지입찰(신규입찰) 서류 및 계약서류(안)/IKHCC Section 4 - IKHCC BLANK BOQ 250903_최종/3 CIVIL/BLANK BILL.CIVIL(PARKING LOT).xls</x:v>
      </x:c>
      <x:c r="E711" s="22" t="str">
        <x:v>.xls</x:v>
      </x:c>
      <x:c r="F711" s="28" t="n">
        <x:v>58368</x:v>
      </x:c>
      <x:c r="G711" s="28" t="str">
        <x:v>33510cb6918366ccd2e38ca39a6fe6a3a14e1ad8a37570bc850277811837ef6a</x:v>
      </x:c>
      <x:c r="H711" s="28" t="n">
        <x:v>1</x:v>
      </x:c>
      <x:c r="I711" s="28" t="n">
        <x:v>1</x:v>
      </x:c>
      <x:c r="J711" s="28" t="n">
        <x:v>0</x:v>
      </x:c>
      <x:c r="K711" s="28" t="n">
        <x:v>0</x:v>
      </x:c>
      <x:c r="L711" s="28" t="n">
        <x:v>0</x:v>
      </x:c>
      <x:c r="M711" s="28" t="n">
        <x:v>0</x:v>
      </x:c>
      <x:c r="N711" s="22" t="str"/>
      <x:c r="O711" s="22" t="str"/>
      <x:c r="P711" s="22" t="n">
        <x:v>0</x:v>
      </x:c>
      <x:c r="Q711" s="40" t="n">
        <x:v>0</x:v>
      </x:c>
      <x:c r="R711" s="25" t="str"/>
      <x:c r="S711" s="25" t="str">
        <x:v>BOQ_NAME_ONLY</x:v>
      </x:c>
      <x:c r="T711" s="25" t="str">
        <x:v>자동 표 신호는 최종 A/B로 승격하지 않음</x:v>
      </x:c>
      <x:c r="U711" s="22" t="str">
        <x:v>2021-2025</x:v>
      </x:c>
    </x:row>
    <x:row r="712">
      <x:c r="A712" s="22" t="str">
        <x:v>2020-00119</x:v>
      </x:c>
      <x:c r="B712" s="22" t="str">
        <x:v>L2025-00085-1</x:v>
      </x:c>
      <x:c r="C712" s="22" t="str">
        <x:v>WORKS</x:v>
      </x:c>
      <x:c r="D712" s="25" t="str">
        <x:v>L2025-00085-1/붙임2. 현지입찰(신규입찰) 서류 및 계약서류(안)/IKHCC Section 4 - IKHCC BLANK BOQ 250903_최종/3 CIVIL/BLANK BILL.CIVIL(BRIDGE)).xls</x:v>
      </x:c>
      <x:c r="E712" s="22" t="str">
        <x:v>.xls</x:v>
      </x:c>
      <x:c r="F712" s="28" t="n">
        <x:v>74240</x:v>
      </x:c>
      <x:c r="G712" s="28" t="str">
        <x:v>7fbae1f3c71758b2f9dd4d91fc045323ea1864b4be9d2d301a2cbf63a5072570</x:v>
      </x:c>
      <x:c r="H712" s="28" t="n">
        <x:v>1</x:v>
      </x:c>
      <x:c r="I712" s="28" t="n">
        <x:v>1</x:v>
      </x:c>
      <x:c r="J712" s="28" t="n">
        <x:v>0</x:v>
      </x:c>
      <x:c r="K712" s="28" t="n">
        <x:v>0</x:v>
      </x:c>
      <x:c r="L712" s="28" t="n">
        <x:v>0</x:v>
      </x:c>
      <x:c r="M712" s="28" t="n">
        <x:v>0</x:v>
      </x:c>
      <x:c r="N712" s="22" t="str"/>
      <x:c r="O712" s="22" t="str"/>
      <x:c r="P712" s="22" t="n">
        <x:v>0</x:v>
      </x:c>
      <x:c r="Q712" s="40" t="n">
        <x:v>0</x:v>
      </x:c>
      <x:c r="R712" s="25" t="str"/>
      <x:c r="S712" s="25" t="str">
        <x:v>BOQ_NAME_ONLY</x:v>
      </x:c>
      <x:c r="T712" s="25" t="str">
        <x:v>자동 표 신호는 최종 A/B로 승격하지 않음</x:v>
      </x:c>
      <x:c r="U712" s="22" t="str">
        <x:v>2021-2025</x:v>
      </x:c>
    </x:row>
    <x:row r="713">
      <x:c r="A713" s="22" t="str">
        <x:v>2020-00119</x:v>
      </x:c>
      <x:c r="B713" s="22" t="str">
        <x:v>L2025-00085-1</x:v>
      </x:c>
      <x:c r="C713" s="22" t="str">
        <x:v>WORKS</x:v>
      </x:c>
      <x:c r="D713" s="25" t="str">
        <x:v>L2025-00085-1/붙임2. 현지입찰(신규입찰) 서류 및 계약서류(안)/IKHCC Section 4 - IKHCC BLANK BOQ 250903_최종/3 CIVIL/BLANK BILL.CIVIL (MEP).xls</x:v>
      </x:c>
      <x:c r="E713" s="22" t="str">
        <x:v>.xls</x:v>
      </x:c>
      <x:c r="F713" s="28" t="n">
        <x:v>74240</x:v>
      </x:c>
      <x:c r="G713" s="28" t="str">
        <x:v>1c50470f6121836494e92fb616d765f06e8b3bc5153b11a3c8540a29ac1ec615</x:v>
      </x:c>
      <x:c r="H713" s="28" t="n">
        <x:v>1</x:v>
      </x:c>
      <x:c r="I713" s="28" t="n">
        <x:v>1</x:v>
      </x:c>
      <x:c r="J713" s="28" t="n">
        <x:v>0</x:v>
      </x:c>
      <x:c r="K713" s="28" t="n">
        <x:v>0</x:v>
      </x:c>
      <x:c r="L713" s="28" t="n">
        <x:v>0</x:v>
      </x:c>
      <x:c r="M713" s="28" t="n">
        <x:v>0</x:v>
      </x:c>
      <x:c r="N713" s="22" t="str"/>
      <x:c r="O713" s="22" t="str"/>
      <x:c r="P713" s="22" t="n">
        <x:v>0</x:v>
      </x:c>
      <x:c r="Q713" s="40" t="n">
        <x:v>0</x:v>
      </x:c>
      <x:c r="R713" s="25" t="str"/>
      <x:c r="S713" s="25" t="str">
        <x:v>BOQ_NAME_ONLY</x:v>
      </x:c>
      <x:c r="T713" s="25" t="str">
        <x:v>자동 표 신호는 최종 A/B로 승격하지 않음</x:v>
      </x:c>
      <x:c r="U713" s="22" t="str">
        <x:v>2021-2025</x:v>
      </x:c>
    </x:row>
    <x:row r="714">
      <x:c r="A714" s="22" t="str">
        <x:v>2020-00119</x:v>
      </x:c>
      <x:c r="B714" s="22" t="str">
        <x:v>L2025-00085-1</x:v>
      </x:c>
      <x:c r="C714" s="22" t="str">
        <x:v>WORKS</x:v>
      </x:c>
      <x:c r="D714" s="25" t="str">
        <x:v>L2025-00085-1/붙임2. 현지입찰(신규입찰) 서류 및 계약서류(안)/IKHCC Section 4 - IKHCC BLANK BOQ 250903_최종/8 Mob &amp; Signage/BILL No8-2 Signages-blank.xlsx</x:v>
      </x:c>
      <x:c r="E714" s="22" t="str">
        <x:v>.xlsx</x:v>
      </x:c>
      <x:c r="F714" s="28" t="n">
        <x:v>31619</x:v>
      </x:c>
      <x:c r="G714" s="28" t="str">
        <x:v>4421d3cb9982d35873aa1763a4a7b1ee4b0d235faaeed68ee92551a4fa1c803f</x:v>
      </x:c>
      <x:c r="H714" s="28" t="n">
        <x:v>1</x:v>
      </x:c>
      <x:c r="I714" s="28" t="n">
        <x:v>1</x:v>
      </x:c>
      <x:c r="J714" s="28" t="n">
        <x:v>1</x:v>
      </x:c>
      <x:c r="K714" s="28" t="n">
        <x:v>6</x:v>
      </x:c>
      <x:c r="L714" s="28" t="n">
        <x:v>0</x:v>
      </x:c>
      <x:c r="M714" s="28" t="n">
        <x:v>0</x:v>
      </x:c>
      <x:c r="N714" s="22" t="str">
        <x:v>Works particular bill</x:v>
      </x:c>
      <x:c r="O714" s="22" t="str">
        <x:v>visible</x:v>
      </x:c>
      <x:c r="P714" s="22" t="n">
        <x:v>1</x:v>
      </x:c>
      <x:c r="Q714" s="40" t="n">
        <x:v>0</x:v>
      </x:c>
      <x:c r="R714" s="25" t="str"/>
      <x:c r="S714" s="25" t="str">
        <x:v>B?</x:v>
      </x:c>
      <x:c r="T714" s="25" t="str">
        <x:v>자동 표 신호는 최종 A/B로 승격하지 않음</x:v>
      </x:c>
      <x:c r="U714" s="22" t="str">
        <x:v>2021-2025</x:v>
      </x:c>
    </x:row>
    <x:row r="715">
      <x:c r="A715" s="22" t="str">
        <x:v>2020-00119</x:v>
      </x:c>
      <x:c r="B715" s="22" t="str">
        <x:v>L2025-00085-1</x:v>
      </x:c>
      <x:c r="C715" s="22" t="str">
        <x:v>WORKS</x:v>
      </x:c>
      <x:c r="D715" s="25" t="str">
        <x:v>L2025-00085-1/붙임2. 현지입찰(신규입찰) 서류 및 계약서류(안)/IKHCC Section 4 - IKHCC BLANK BOQ 250903_최종/8 Mob &amp; Signage/BILL No8-1 -Mobilization Works-blank.xlsx</x:v>
      </x:c>
      <x:c r="E715" s="22" t="str">
        <x:v>.xlsx</x:v>
      </x:c>
      <x:c r="F715" s="28" t="n">
        <x:v>638347</x:v>
      </x:c>
      <x:c r="G715" s="28" t="str">
        <x:v>95772272ef1568157e0f604c1bb0cae64d776ffaf2b58cf9d26e389a796bb67e</x:v>
      </x:c>
      <x:c r="H715" s="28" t="n">
        <x:v>1</x:v>
      </x:c>
      <x:c r="I715" s="28" t="n">
        <x:v>1</x:v>
      </x:c>
      <x:c r="J715" s="28" t="n">
        <x:v>1</x:v>
      </x:c>
      <x:c r="K715" s="28" t="n">
        <x:v>34</x:v>
      </x:c>
      <x:c r="L715" s="28" t="n">
        <x:v>0</x:v>
      </x:c>
      <x:c r="M715" s="28" t="n">
        <x:v>0</x:v>
      </x:c>
      <x:c r="N715" s="22" t="str">
        <x:v>Mobilization</x:v>
      </x:c>
      <x:c r="O715" s="22" t="str">
        <x:v>visible</x:v>
      </x:c>
      <x:c r="P715" s="22" t="n">
        <x:v>1</x:v>
      </x:c>
      <x:c r="Q715" s="40" t="n">
        <x:v>0</x:v>
      </x:c>
      <x:c r="R715" s="25" t="str"/>
      <x:c r="S715" s="25" t="str">
        <x:v>B?</x:v>
      </x:c>
      <x:c r="T715" s="25" t="str">
        <x:v>자동 표 신호는 최종 A/B로 승격하지 않음</x:v>
      </x:c>
      <x:c r="U715" s="22" t="str">
        <x:v>2021-2025</x:v>
      </x:c>
    </x:row>
    <x:row r="716">
      <x:c r="A716" s="22" t="str">
        <x:v>2020-00119</x:v>
      </x:c>
      <x:c r="B716" s="22" t="str">
        <x:v>L2025-00085-1</x:v>
      </x:c>
      <x:c r="C716" s="22" t="str">
        <x:v>WORKS</x:v>
      </x:c>
      <x:c r="D716" s="25" t="str">
        <x:v>L2025-00085-1/붙임2. 현지입찰(신규입찰) 서류 및 계약서류(안)/IKHCC Section 4 - IKHCC BLANK BOQ 250903_최종/4 MECH/BLANK  BILL.MECH(TOTAL).xls</x:v>
      </x:c>
      <x:c r="E716" s="22" t="str">
        <x:v>.xls</x:v>
      </x:c>
      <x:c r="F716" s="28" t="n">
        <x:v>1402880</x:v>
      </x:c>
      <x:c r="G716" s="28" t="str">
        <x:v>943c92d368e4e26e68ff2d5dc17a80fc0672c2766d586d3aa6c68578e0614040</x:v>
      </x:c>
      <x:c r="H716" s="28" t="n">
        <x:v>1</x:v>
      </x:c>
      <x:c r="I716" s="28" t="n">
        <x:v>1</x:v>
      </x:c>
      <x:c r="J716" s="28" t="n">
        <x:v>1</x:v>
      </x:c>
      <x:c r="K716" s="28" t="n">
        <x:v>831</x:v>
      </x:c>
      <x:c r="L716" s="28" t="n">
        <x:v>823</x:v>
      </x:c>
      <x:c r="M716" s="28" t="n">
        <x:v>1</x:v>
      </x:c>
      <x:c r="N716" s="22" t="str">
        <x:v>일위대가</x:v>
      </x:c>
      <x:c r="O716" s="22" t="str">
        <x:v>hidden</x:v>
      </x:c>
      <x:c r="P716" s="22" t="n">
        <x:v>1</x:v>
      </x:c>
      <x:c r="Q716" s="40" t="n">
        <x:v>0.9903730445246691</x:v>
      </x:c>
      <x:c r="R716" s="25" t="str"/>
      <x:c r="S716" s="25" t="str">
        <x:v>A?</x:v>
      </x:c>
      <x:c r="T716" s="25" t="str">
        <x:v>자동 표 신호는 최종 A/B로 승격하지 않음</x:v>
      </x:c>
      <x:c r="U716" s="22" t="str">
        <x:v>2021-2025</x:v>
      </x:c>
    </x:row>
    <x:row r="717">
      <x:c r="A717" s="22" t="str">
        <x:v>2020-00119</x:v>
      </x:c>
      <x:c r="B717" s="22" t="str">
        <x:v>L2025-00085-1</x:v>
      </x:c>
      <x:c r="C717" s="22" t="str">
        <x:v>WORKS</x:v>
      </x:c>
      <x:c r="D717" s="25" t="str">
        <x:v>L2025-00085-1/붙임2. 현지입찰(신규입찰) 서류 및 계약서류(안)/IKHCC Section 4 - IKHCC BLANK BOQ 250903_최종/4 MECH/BLANK BILL.MECH(MEP).xls</x:v>
      </x:c>
      <x:c r="E717" s="22" t="str">
        <x:v>.xls</x:v>
      </x:c>
      <x:c r="F717" s="28" t="n">
        <x:v>1337344</x:v>
      </x:c>
      <x:c r="G717" s="28" t="str">
        <x:v>2d0e5689227e4bbd2311904d4351ff0bca308e5b11c4d1d202496909acd5388c</x:v>
      </x:c>
      <x:c r="H717" s="28" t="n">
        <x:v>1</x:v>
      </x:c>
      <x:c r="I717" s="28" t="n">
        <x:v>1</x:v>
      </x:c>
      <x:c r="J717" s="28" t="n">
        <x:v>1</x:v>
      </x:c>
      <x:c r="K717" s="28" t="n">
        <x:v>831</x:v>
      </x:c>
      <x:c r="L717" s="28" t="n">
        <x:v>823</x:v>
      </x:c>
      <x:c r="M717" s="28" t="n">
        <x:v>1</x:v>
      </x:c>
      <x:c r="N717" s="22" t="str">
        <x:v>일위대가</x:v>
      </x:c>
      <x:c r="O717" s="22" t="str">
        <x:v>hidden</x:v>
      </x:c>
      <x:c r="P717" s="22" t="n">
        <x:v>1</x:v>
      </x:c>
      <x:c r="Q717" s="40" t="n">
        <x:v>0.9903730445246691</x:v>
      </x:c>
      <x:c r="R717" s="25" t="str"/>
      <x:c r="S717" s="25" t="str">
        <x:v>A?</x:v>
      </x:c>
      <x:c r="T717" s="25" t="str">
        <x:v>자동 표 신호는 최종 A/B로 승격하지 않음</x:v>
      </x:c>
      <x:c r="U717" s="22" t="str">
        <x:v>2021-2025</x:v>
      </x:c>
    </x:row>
    <x:row r="718">
      <x:c r="A718" s="22" t="str">
        <x:v>2020-00119</x:v>
      </x:c>
      <x:c r="B718" s="22" t="str">
        <x:v>L2025-00085-1</x:v>
      </x:c>
      <x:c r="C718" s="22" t="str">
        <x:v>WORKS</x:v>
      </x:c>
      <x:c r="D718" s="25" t="str">
        <x:v>L2025-00085-1/붙임2. 현지입찰(신규입찰) 서류 및 계약서류(안)/IKHCC Section 4 - IKHCC BLANK BOQ 250903_최종/4 MECH/BLANK BILL.MECH(HOSPITAL).xls</x:v>
      </x:c>
      <x:c r="E718" s="22" t="str">
        <x:v>.xls</x:v>
      </x:c>
      <x:c r="F718" s="28" t="n">
        <x:v>1235968</x:v>
      </x:c>
      <x:c r="G718" s="28" t="str">
        <x:v>8720d754cc3e986be036e1cfdef45baf74559f7549f20d481b8bac23e8336af7</x:v>
      </x:c>
      <x:c r="H718" s="28" t="n">
        <x:v>1</x:v>
      </x:c>
      <x:c r="I718" s="28" t="n">
        <x:v>1</x:v>
      </x:c>
      <x:c r="J718" s="28" t="n">
        <x:v>1</x:v>
      </x:c>
      <x:c r="K718" s="28" t="n">
        <x:v>831</x:v>
      </x:c>
      <x:c r="L718" s="28" t="n">
        <x:v>823</x:v>
      </x:c>
      <x:c r="M718" s="28" t="n">
        <x:v>1</x:v>
      </x:c>
      <x:c r="N718" s="22" t="str">
        <x:v>일위대가</x:v>
      </x:c>
      <x:c r="O718" s="22" t="str">
        <x:v>hidden</x:v>
      </x:c>
      <x:c r="P718" s="22" t="n">
        <x:v>1</x:v>
      </x:c>
      <x:c r="Q718" s="40" t="n">
        <x:v>0.9903730445246691</x:v>
      </x:c>
      <x:c r="R718" s="25" t="str"/>
      <x:c r="S718" s="25" t="str">
        <x:v>A?</x:v>
      </x:c>
      <x:c r="T718" s="25" t="str">
        <x:v>자동 표 신호는 최종 A/B로 승격하지 않음</x:v>
      </x:c>
      <x:c r="U718" s="22" t="str">
        <x:v>2021-2025</x:v>
      </x:c>
    </x:row>
    <x:row r="719">
      <x:c r="A719" s="22" t="str">
        <x:v>2020-00119</x:v>
      </x:c>
      <x:c r="B719" s="22" t="str">
        <x:v>L2025-00085-1</x:v>
      </x:c>
      <x:c r="C719" s="22" t="str">
        <x:v>WORKS</x:v>
      </x:c>
      <x:c r="D719" s="25" t="str">
        <x:v>L2025-00085-1/붙임2. 현지입찰(신규입찰) 서류 및 계약서류(안)/IKHCC Section 4 - IKHCC BLANK BOQ 250903_최종/4 MECH/BLANK BILL.MECH(BRIDGE).xls</x:v>
      </x:c>
      <x:c r="E719" s="22" t="str">
        <x:v>.xls</x:v>
      </x:c>
      <x:c r="F719" s="28" t="n">
        <x:v>1424896</x:v>
      </x:c>
      <x:c r="G719" s="28" t="str">
        <x:v>b61e26e6dff7092b2fe58420cc843f0e7722f7a0335f7bcb6684128a02b6ec16</x:v>
      </x:c>
      <x:c r="H719" s="28" t="n">
        <x:v>1</x:v>
      </x:c>
      <x:c r="I719" s="28" t="n">
        <x:v>1</x:v>
      </x:c>
      <x:c r="J719" s="28" t="n">
        <x:v>1</x:v>
      </x:c>
      <x:c r="K719" s="28" t="n">
        <x:v>831</x:v>
      </x:c>
      <x:c r="L719" s="28" t="n">
        <x:v>823</x:v>
      </x:c>
      <x:c r="M719" s="28" t="n">
        <x:v>1</x:v>
      </x:c>
      <x:c r="N719" s="22" t="str">
        <x:v>일위대가</x:v>
      </x:c>
      <x:c r="O719" s="22" t="str">
        <x:v>hidden</x:v>
      </x:c>
      <x:c r="P719" s="22" t="n">
        <x:v>1</x:v>
      </x:c>
      <x:c r="Q719" s="40" t="n">
        <x:v>0.9903730445246691</x:v>
      </x:c>
      <x:c r="R719" s="25" t="str"/>
      <x:c r="S719" s="25" t="str">
        <x:v>A?</x:v>
      </x:c>
      <x:c r="T719" s="25" t="str">
        <x:v>자동 표 신호는 최종 A/B로 승격하지 않음</x:v>
      </x:c>
      <x:c r="U719" s="22" t="str">
        <x:v>2021-2025</x:v>
      </x:c>
    </x:row>
    <x:row r="720">
      <x:c r="A720" s="22" t="str">
        <x:v>2020-00119</x:v>
      </x:c>
      <x:c r="B720" s="22" t="str">
        <x:v>L2025-00085-1</x:v>
      </x:c>
      <x:c r="C720" s="22" t="str">
        <x:v>WORKS</x:v>
      </x:c>
      <x:c r="D720" s="25" t="str">
        <x:v>L2025-00085-1/붙임2. 현지입찰(신규입찰) 서류 및 계약서류(안)/IKHCC Section 4 - IKHCC BLANK BOQ 250903_최종/1 Architectural &amp; summery/BILL No1 -Architectural Works-01. HOSPITAL(BLANK BILL).xlsx</x:v>
      </x:c>
      <x:c r="E720" s="22" t="str">
        <x:v>.xlsx</x:v>
      </x:c>
      <x:c r="F720" s="28" t="n">
        <x:v>677921</x:v>
      </x:c>
      <x:c r="G720" s="28" t="str">
        <x:v>47d79c95e2c3273f84778935276c94526e369cc1b1bc057f6b03c998f44e253f</x:v>
      </x:c>
      <x:c r="H720" s="28" t="n">
        <x:v>1</x:v>
      </x:c>
      <x:c r="I720" s="28" t="n">
        <x:v>1</x:v>
      </x:c>
      <x:c r="J720" s="28" t="n">
        <x:v>2</x:v>
      </x:c>
      <x:c r="K720" s="28" t="n">
        <x:v>377</x:v>
      </x:c>
      <x:c r="L720" s="28" t="n">
        <x:v>0</x:v>
      </x:c>
      <x:c r="M720" s="28" t="n">
        <x:v>0</x:v>
      </x:c>
      <x:c r="N720" s="22" t="str">
        <x:v>Works particular bill</x:v>
      </x:c>
      <x:c r="O720" s="22" t="str">
        <x:v>visible</x:v>
      </x:c>
      <x:c r="P720" s="22" t="n">
        <x:v>1</x:v>
      </x:c>
      <x:c r="Q720" s="40" t="n">
        <x:v>0</x:v>
      </x:c>
      <x:c r="R720" s="25" t="str"/>
      <x:c r="S720" s="25" t="str">
        <x:v>B?</x:v>
      </x:c>
      <x:c r="T720" s="25" t="str">
        <x:v>자동 표 신호는 최종 A/B로 승격하지 않음</x:v>
      </x:c>
      <x:c r="U720" s="22" t="str">
        <x:v>2021-2025</x:v>
      </x:c>
    </x:row>
    <x:row r="721">
      <x:c r="A721" s="22" t="str">
        <x:v>2020-00119</x:v>
      </x:c>
      <x:c r="B721" s="22" t="str">
        <x:v>L2025-00085-1</x:v>
      </x:c>
      <x:c r="C721" s="22" t="str">
        <x:v>WORKS</x:v>
      </x:c>
      <x:c r="D721" s="25" t="str">
        <x:v>L2025-00085-1/붙임2. 현지입찰(신규입찰) 서류 및 계약서류(안)/IKHCC Section 4 - IKHCC BLANK BOQ 250903_최종/1 Architectural &amp; summery/BILL No1 -Architectural Works-03. BRIDGE(BLANK BILL).xlsx</x:v>
      </x:c>
      <x:c r="E721" s="22" t="str">
        <x:v>.xlsx</x:v>
      </x:c>
      <x:c r="F721" s="28" t="n">
        <x:v>643812</x:v>
      </x:c>
      <x:c r="G721" s="28" t="str">
        <x:v>9af2b1263622fb9487fbf8ea97b31ead65763962f1c58d657985557a58983e83</x:v>
      </x:c>
      <x:c r="H721" s="28" t="n">
        <x:v>1</x:v>
      </x:c>
      <x:c r="I721" s="28" t="n">
        <x:v>1</x:v>
      </x:c>
      <x:c r="J721" s="28" t="n">
        <x:v>2</x:v>
      </x:c>
      <x:c r="K721" s="28" t="n">
        <x:v>48</x:v>
      </x:c>
      <x:c r="L721" s="28" t="n">
        <x:v>0</x:v>
      </x:c>
      <x:c r="M721" s="28" t="n">
        <x:v>0</x:v>
      </x:c>
      <x:c r="N721" s="22" t="str">
        <x:v>Works particular bill</x:v>
      </x:c>
      <x:c r="O721" s="22" t="str">
        <x:v>visible</x:v>
      </x:c>
      <x:c r="P721" s="22" t="n">
        <x:v>1</x:v>
      </x:c>
      <x:c r="Q721" s="40" t="n">
        <x:v>0</x:v>
      </x:c>
      <x:c r="R721" s="25" t="str"/>
      <x:c r="S721" s="25" t="str">
        <x:v>B?</x:v>
      </x:c>
      <x:c r="T721" s="25" t="str">
        <x:v>자동 표 신호는 최종 A/B로 승격하지 않음</x:v>
      </x:c>
      <x:c r="U721" s="22" t="str">
        <x:v>2021-2025</x:v>
      </x:c>
    </x:row>
    <x:row r="722">
      <x:c r="A722" s="22" t="str">
        <x:v>2020-00119</x:v>
      </x:c>
      <x:c r="B722" s="22" t="str">
        <x:v>L2025-00085-1</x:v>
      </x:c>
      <x:c r="C722" s="22" t="str">
        <x:v>WORKS</x:v>
      </x:c>
      <x:c r="D722" s="25" t="str">
        <x:v>L2025-00085-1/붙임2. 현지입찰(신규입찰) 서류 및 계약서류(안)/IKHCC Section 4 - IKHCC BLANK BOQ 250903_최종/1 Architectural &amp; summery/BILL No1 -Architectural Works-02. MEP BUILDING(BLANK BILL).xlsx</x:v>
      </x:c>
      <x:c r="E722" s="22" t="str">
        <x:v>.xlsx</x:v>
      </x:c>
      <x:c r="F722" s="28" t="n">
        <x:v>670008</x:v>
      </x:c>
      <x:c r="G722" s="28" t="str">
        <x:v>e882c3f7b2c691fc22ee6ee99fba87f9ca830eb3c133892b8c8800d7d02e97cb</x:v>
      </x:c>
      <x:c r="H722" s="28" t="n">
        <x:v>1</x:v>
      </x:c>
      <x:c r="I722" s="28" t="n">
        <x:v>1</x:v>
      </x:c>
      <x:c r="J722" s="28" t="n">
        <x:v>2</x:v>
      </x:c>
      <x:c r="K722" s="28" t="n">
        <x:v>149</x:v>
      </x:c>
      <x:c r="L722" s="28" t="n">
        <x:v>0</x:v>
      </x:c>
      <x:c r="M722" s="28" t="n">
        <x:v>0</x:v>
      </x:c>
      <x:c r="N722" s="22" t="str">
        <x:v>Works particular bill</x:v>
      </x:c>
      <x:c r="O722" s="22" t="str">
        <x:v>visible</x:v>
      </x:c>
      <x:c r="P722" s="22" t="n">
        <x:v>1</x:v>
      </x:c>
      <x:c r="Q722" s="40" t="n">
        <x:v>0</x:v>
      </x:c>
      <x:c r="R722" s="25" t="str"/>
      <x:c r="S722" s="25" t="str">
        <x:v>B?</x:v>
      </x:c>
      <x:c r="T722" s="25" t="str">
        <x:v>자동 표 신호는 최종 A/B로 승격하지 않음</x:v>
      </x:c>
      <x:c r="U722" s="22" t="str">
        <x:v>2021-2025</x:v>
      </x:c>
    </x:row>
    <x:row r="723">
      <x:c r="A723" s="22" t="str">
        <x:v>2020-00119</x:v>
      </x:c>
      <x:c r="B723" s="22" t="str">
        <x:v>L2025-00085-1</x:v>
      </x:c>
      <x:c r="C723" s="22" t="str">
        <x:v>WORKS</x:v>
      </x:c>
      <x:c r="D723" s="25" t="str">
        <x:v>L2025-00085-1/붙임2. 현지입찰(신규입찰) 서류 및 계약서류(안)/IKHCC Section 4 - IKHCC BLANK BOQ 250903_최종/1 Architectural &amp; summery/Bill _Total Cost Summary-Blank 250306.xlsx</x:v>
      </x:c>
      <x:c r="E723" s="22" t="str">
        <x:v>.xlsx</x:v>
      </x:c>
      <x:c r="F723" s="28" t="n">
        <x:v>636201</x:v>
      </x:c>
      <x:c r="G723" s="28" t="str">
        <x:v>91332400de69e34ae40026af2416f1b516644fe7da6004e86983efa25e049eac</x:v>
      </x:c>
      <x:c r="H723" s="28" t="n">
        <x:v>1</x:v>
      </x:c>
      <x:c r="I723" s="28" t="n">
        <x:v>1</x:v>
      </x:c>
      <x:c r="J723" s="28" t="n">
        <x:v>0</x:v>
      </x:c>
      <x:c r="K723" s="28" t="n">
        <x:v>0</x:v>
      </x:c>
      <x:c r="L723" s="28" t="n">
        <x:v>0</x:v>
      </x:c>
      <x:c r="M723" s="28" t="n">
        <x:v>0</x:v>
      </x:c>
      <x:c r="N723" s="22" t="str"/>
      <x:c r="O723" s="22" t="str"/>
      <x:c r="P723" s="22" t="n">
        <x:v>0</x:v>
      </x:c>
      <x:c r="Q723" s="40" t="n">
        <x:v>0</x:v>
      </x:c>
      <x:c r="R723" s="25" t="str"/>
      <x:c r="S723" s="25" t="str">
        <x:v>BOQ_NAME_ONLY</x:v>
      </x:c>
      <x:c r="T723" s="25" t="str">
        <x:v>자동 표 신호는 최종 A/B로 승격하지 않음</x:v>
      </x:c>
      <x:c r="U723" s="22" t="str">
        <x:v>2021-2025</x:v>
      </x:c>
    </x:row>
    <x:row r="724">
      <x:c r="A724" s="22" t="str">
        <x:v>2020-00119</x:v>
      </x:c>
      <x:c r="B724" s="22" t="str">
        <x:v>L2025-00085-1</x:v>
      </x:c>
      <x:c r="C724" s="22" t="str">
        <x:v>WORKS</x:v>
      </x:c>
      <x:c r="D724" s="25" t="str">
        <x:v>L2025-00085-1/붙임2. 현지입찰(신규입찰) 서류 및 계약서류(안)/IKHCC Section 4 - IKHCC BLANK BOQ 250903_최종/6.Blank bill Comm revised 250812/BLANK BILL-COMMUN - 0 (TOTAL).xlsm</x:v>
      </x:c>
      <x:c r="E724" s="22" t="str">
        <x:v>.xlsm</x:v>
      </x:c>
      <x:c r="F724" s="28" t="n">
        <x:v>326212</x:v>
      </x:c>
      <x:c r="G724" s="28" t="str">
        <x:v>531209bc36fd5556f27cda100673dc9536c73b02d3f9bf7a6a89f35435375b14</x:v>
      </x:c>
      <x:c r="H724" s="28" t="n">
        <x:v>1</x:v>
      </x:c>
      <x:c r="I724" s="28" t="n">
        <x:v>1</x:v>
      </x:c>
      <x:c r="J724" s="28" t="n">
        <x:v>3</x:v>
      </x:c>
      <x:c r="K724" s="28" t="n">
        <x:v>826</x:v>
      </x:c>
      <x:c r="L724" s="28" t="n">
        <x:v>479</x:v>
      </x:c>
      <x:c r="M724" s="28" t="n">
        <x:v>1</x:v>
      </x:c>
      <x:c r="N724" s="22" t="str">
        <x:v>일위을지</x:v>
      </x:c>
      <x:c r="O724" s="22" t="str">
        <x:v>hidden</x:v>
      </x:c>
      <x:c r="P724" s="22" t="n">
        <x:v>1</x:v>
      </x:c>
      <x:c r="Q724" s="40" t="n">
        <x:v>0.5799031476997578</x:v>
      </x:c>
      <x:c r="R724" s="25" t="str"/>
      <x:c r="S724" s="25" t="str">
        <x:v>A?</x:v>
      </x:c>
      <x:c r="T724" s="25" t="str">
        <x:v>자동 표 신호는 최종 A/B로 승격하지 않음</x:v>
      </x:c>
      <x:c r="U724" s="22" t="str">
        <x:v>2021-2025</x:v>
      </x:c>
    </x:row>
    <x:row r="725">
      <x:c r="A725" s="22" t="str">
        <x:v>2020-00119</x:v>
      </x:c>
      <x:c r="B725" s="22" t="str">
        <x:v>L2025-00085-1</x:v>
      </x:c>
      <x:c r="C725" s="22" t="str">
        <x:v>WORKS</x:v>
      </x:c>
      <x:c r="D725" s="25" t="str">
        <x:v>L2025-00085-1/붙임2. 현지입찰(신규입찰) 서류 및 계약서류(안)/IKHCC Section 4 - IKHCC BLANK BOQ 250903_최종/6.Blank bill Comm revised 250812/BLANK BILL-COMMUN - C (BRIDGE).xlsm</x:v>
      </x:c>
      <x:c r="E725" s="22" t="str">
        <x:v>.xlsm</x:v>
      </x:c>
      <x:c r="F725" s="28" t="n">
        <x:v>330971</x:v>
      </x:c>
      <x:c r="G725" s="28" t="str">
        <x:v>40e1a242e8e22894db16ff02bc88da5a0378a15809bb07beacad2f113b644167</x:v>
      </x:c>
      <x:c r="H725" s="28" t="n">
        <x:v>1</x:v>
      </x:c>
      <x:c r="I725" s="28" t="n">
        <x:v>1</x:v>
      </x:c>
      <x:c r="J725" s="28" t="n">
        <x:v>3</x:v>
      </x:c>
      <x:c r="K725" s="28" t="n">
        <x:v>826</x:v>
      </x:c>
      <x:c r="L725" s="28" t="n">
        <x:v>479</x:v>
      </x:c>
      <x:c r="M725" s="28" t="n">
        <x:v>1</x:v>
      </x:c>
      <x:c r="N725" s="22" t="str">
        <x:v>일위을지</x:v>
      </x:c>
      <x:c r="O725" s="22" t="str">
        <x:v>hidden</x:v>
      </x:c>
      <x:c r="P725" s="22" t="n">
        <x:v>1</x:v>
      </x:c>
      <x:c r="Q725" s="40" t="n">
        <x:v>0.5799031476997578</x:v>
      </x:c>
      <x:c r="R725" s="25" t="str"/>
      <x:c r="S725" s="25" t="str">
        <x:v>A?</x:v>
      </x:c>
      <x:c r="T725" s="25" t="str">
        <x:v>자동 표 신호는 최종 A/B로 승격하지 않음</x:v>
      </x:c>
      <x:c r="U725" s="22" t="str">
        <x:v>2021-2025</x:v>
      </x:c>
    </x:row>
    <x:row r="726">
      <x:c r="A726" s="22" t="str">
        <x:v>2020-00119</x:v>
      </x:c>
      <x:c r="B726" s="22" t="str">
        <x:v>L2025-00085-1</x:v>
      </x:c>
      <x:c r="C726" s="22" t="str">
        <x:v>WORKS</x:v>
      </x:c>
      <x:c r="D726" s="25" t="str">
        <x:v>L2025-00085-1/붙임2. 현지입찰(신규입찰) 서류 및 계약서류(안)/IKHCC Section 4 - IKHCC BLANK BOQ 250903_최종/6.Blank bill Comm revised 250812/BLANK BILL-COMMUN - B (MEP BUILDING).xlsm</x:v>
      </x:c>
      <x:c r="E726" s="22" t="str">
        <x:v>.xlsm</x:v>
      </x:c>
      <x:c r="F726" s="28" t="n">
        <x:v>326315</x:v>
      </x:c>
      <x:c r="G726" s="28" t="str">
        <x:v>3578e3ca6d1f3136990f2e12009056b0b070e80a5e53b0f0746f3c42e9dc0f79</x:v>
      </x:c>
      <x:c r="H726" s="28" t="n">
        <x:v>1</x:v>
      </x:c>
      <x:c r="I726" s="28" t="n">
        <x:v>1</x:v>
      </x:c>
      <x:c r="J726" s="28" t="n">
        <x:v>3</x:v>
      </x:c>
      <x:c r="K726" s="28" t="n">
        <x:v>826</x:v>
      </x:c>
      <x:c r="L726" s="28" t="n">
        <x:v>479</x:v>
      </x:c>
      <x:c r="M726" s="28" t="n">
        <x:v>1</x:v>
      </x:c>
      <x:c r="N726" s="22" t="str">
        <x:v>일위을지</x:v>
      </x:c>
      <x:c r="O726" s="22" t="str">
        <x:v>hidden</x:v>
      </x:c>
      <x:c r="P726" s="22" t="n">
        <x:v>1</x:v>
      </x:c>
      <x:c r="Q726" s="40" t="n">
        <x:v>0.5799031476997578</x:v>
      </x:c>
      <x:c r="R726" s="25" t="str"/>
      <x:c r="S726" s="25" t="str">
        <x:v>A?</x:v>
      </x:c>
      <x:c r="T726" s="25" t="str">
        <x:v>자동 표 신호는 최종 A/B로 승격하지 않음</x:v>
      </x:c>
      <x:c r="U726" s="22" t="str">
        <x:v>2021-2025</x:v>
      </x:c>
    </x:row>
    <x:row r="727">
      <x:c r="A727" s="22" t="str">
        <x:v>2020-00119</x:v>
      </x:c>
      <x:c r="B727" s="22" t="str">
        <x:v>L2025-00085-1</x:v>
      </x:c>
      <x:c r="C727" s="22" t="str">
        <x:v>WORKS</x:v>
      </x:c>
      <x:c r="D727" s="25" t="str">
        <x:v>L2025-00085-1/붙임2. 현지입찰(신규입찰) 서류 및 계약서류(안)/IKHCC Section 4 - IKHCC BLANK BOQ 250903_최종/6.Blank bill Comm revised 250812/BLANK BILL-COMMUN - A (HOSPITAL).xlsm</x:v>
      </x:c>
      <x:c r="E727" s="22" t="str">
        <x:v>.xlsm</x:v>
      </x:c>
      <x:c r="F727" s="28" t="n">
        <x:v>289659</x:v>
      </x:c>
      <x:c r="G727" s="28" t="str">
        <x:v>e77a6c920e625055518141f190d459882c70792f382551359dd5293c03a7a322</x:v>
      </x:c>
      <x:c r="H727" s="28" t="n">
        <x:v>1</x:v>
      </x:c>
      <x:c r="I727" s="28" t="n">
        <x:v>1</x:v>
      </x:c>
      <x:c r="J727" s="28" t="n">
        <x:v>3</x:v>
      </x:c>
      <x:c r="K727" s="28" t="n">
        <x:v>826</x:v>
      </x:c>
      <x:c r="L727" s="28" t="n">
        <x:v>479</x:v>
      </x:c>
      <x:c r="M727" s="28" t="n">
        <x:v>0</x:v>
      </x:c>
      <x:c r="N727" s="22" t="str">
        <x:v>일위을지</x:v>
      </x:c>
      <x:c r="O727" s="22" t="str">
        <x:v>hidden</x:v>
      </x:c>
      <x:c r="P727" s="22" t="n">
        <x:v>1</x:v>
      </x:c>
      <x:c r="Q727" s="40" t="n">
        <x:v>0.5799031476997578</x:v>
      </x:c>
      <x:c r="R727" s="25" t="str"/>
      <x:c r="S727" s="25" t="str">
        <x:v>B?</x:v>
      </x:c>
      <x:c r="T727" s="25" t="str">
        <x:v>자동 표 신호는 최종 A/B로 승격하지 않음</x:v>
      </x:c>
      <x:c r="U727" s="22" t="str">
        <x:v>2021-2025</x:v>
      </x:c>
    </x:row>
    <x:row r="728">
      <x:c r="A728" s="22" t="str">
        <x:v>2020-00119</x:v>
      </x:c>
      <x:c r="B728" s="22" t="str">
        <x:v>L2025-00085-1</x:v>
      </x:c>
      <x:c r="C728" s="22" t="str">
        <x:v>WORKS</x:v>
      </x:c>
      <x:c r="D728" s="25" t="str">
        <x:v>L2025-00085-1/붙임2. 현지입찰(신규입찰) 서류 및 계약서류(안)/IKHCC Section 4 - IKHCC BLANK BOQ 250903_최종/2 Land/BILL No2-LAND-blank.xlsx</x:v>
      </x:c>
      <x:c r="E728" s="22" t="str">
        <x:v>.xlsx</x:v>
      </x:c>
      <x:c r="F728" s="28" t="n">
        <x:v>61604</x:v>
      </x:c>
      <x:c r="G728" s="28" t="str">
        <x:v>c1bc5d70f7890380284bc1ac52db2ebd9027a588f1855aab191d262d2d5e98ba</x:v>
      </x:c>
      <x:c r="H728" s="28" t="n">
        <x:v>1</x:v>
      </x:c>
      <x:c r="I728" s="28" t="n">
        <x:v>1</x:v>
      </x:c>
      <x:c r="J728" s="28" t="n">
        <x:v>0</x:v>
      </x:c>
      <x:c r="K728" s="28" t="n">
        <x:v>0</x:v>
      </x:c>
      <x:c r="L728" s="28" t="n">
        <x:v>0</x:v>
      </x:c>
      <x:c r="M728" s="28" t="n">
        <x:v>0</x:v>
      </x:c>
      <x:c r="N728" s="22" t="str"/>
      <x:c r="O728" s="22" t="str"/>
      <x:c r="P728" s="22" t="n">
        <x:v>0</x:v>
      </x:c>
      <x:c r="Q728" s="40" t="n">
        <x:v>0</x:v>
      </x:c>
      <x:c r="R728" s="25" t="str"/>
      <x:c r="S728" s="25" t="str">
        <x:v>BOQ_NAME_ONLY</x:v>
      </x:c>
      <x:c r="T728" s="25" t="str">
        <x:v>자동 표 신호는 최종 A/B로 승격하지 않음</x:v>
      </x:c>
      <x:c r="U728" s="22" t="str">
        <x:v>2021-2025</x:v>
      </x:c>
    </x:row>
    <x:row r="729">
      <x:c r="A729" s="22" t="str">
        <x:v>2020-00119</x:v>
      </x:c>
      <x:c r="B729" s="22" t="str">
        <x:v>L2025-00085-1</x:v>
      </x:c>
      <x:c r="C729" s="22" t="str">
        <x:v>WORKS</x:v>
      </x:c>
      <x:c r="D729" s="25" t="str">
        <x:v>L2025-00085-1/붙임2. 현지입찰(신규입찰) 서류 및 계약서류(안)/IKHCC Section 4 - IKHCC BLANK BOQ 250903_최종/7. Blank bill Firefighting revised 250811/FIREFIGHTING_ELEC/BLANK BILL-FIRE FIGHTING ELEC - 0 (TOTAL).xlsm</x:v>
      </x:c>
      <x:c r="E729" s="22" t="str">
        <x:v>.xlsm</x:v>
      </x:c>
      <x:c r="F729" s="28" t="n">
        <x:v>107555</x:v>
      </x:c>
      <x:c r="G729" s="28" t="str">
        <x:v>83f64c03b3ed36d32e44a5a855a050c75a9fdca09e13d0409d4bbfc481a02d66</x:v>
      </x:c>
      <x:c r="H729" s="28" t="n">
        <x:v>1</x:v>
      </x:c>
      <x:c r="I729" s="28" t="n">
        <x:v>1</x:v>
      </x:c>
      <x:c r="J729" s="28" t="n">
        <x:v>3</x:v>
      </x:c>
      <x:c r="K729" s="28" t="n">
        <x:v>250</x:v>
      </x:c>
      <x:c r="L729" s="28" t="n">
        <x:v>86</x:v>
      </x:c>
      <x:c r="M729" s="28" t="n">
        <x:v>0</x:v>
      </x:c>
      <x:c r="N729" s="22" t="str">
        <x:v>일위을지</x:v>
      </x:c>
      <x:c r="O729" s="22" t="str">
        <x:v>hidden</x:v>
      </x:c>
      <x:c r="P729" s="22" t="n">
        <x:v>1</x:v>
      </x:c>
      <x:c r="Q729" s="40" t="n">
        <x:v>0</x:v>
      </x:c>
      <x:c r="R729" s="25" t="str"/>
      <x:c r="S729" s="25" t="str">
        <x:v>B?</x:v>
      </x:c>
      <x:c r="T729" s="25" t="str">
        <x:v>자동 표 신호는 최종 A/B로 승격하지 않음</x:v>
      </x:c>
      <x:c r="U729" s="22" t="str">
        <x:v>2021-2025</x:v>
      </x:c>
    </x:row>
    <x:row r="730">
      <x:c r="A730" s="22" t="str">
        <x:v>2020-00119</x:v>
      </x:c>
      <x:c r="B730" s="22" t="str">
        <x:v>L2025-00085-1</x:v>
      </x:c>
      <x:c r="C730" s="22" t="str">
        <x:v>WORKS</x:v>
      </x:c>
      <x:c r="D730" s="25" t="str">
        <x:v>L2025-00085-1/붙임2. 현지입찰(신규입찰) 서류 및 계약서류(안)/IKHCC Section 4 - IKHCC BLANK BOQ 250903_최종/7. Blank bill Firefighting revised 250811/FIREFIGHTING_ELEC/BLANK BILL-FIRE FIGHTING ELEC - C (BRIDGE).xlsm</x:v>
      </x:c>
      <x:c r="E730" s="22" t="str">
        <x:v>.xlsm</x:v>
      </x:c>
      <x:c r="F730" s="28" t="n">
        <x:v>108291</x:v>
      </x:c>
      <x:c r="G730" s="28" t="str">
        <x:v>a66b56e34694551d25d1c71e5d21cdd34ef6cdc5d1fe9913d7a8fdd2168407ed</x:v>
      </x:c>
      <x:c r="H730" s="28" t="n">
        <x:v>1</x:v>
      </x:c>
      <x:c r="I730" s="28" t="n">
        <x:v>1</x:v>
      </x:c>
      <x:c r="J730" s="28" t="n">
        <x:v>3</x:v>
      </x:c>
      <x:c r="K730" s="28" t="n">
        <x:v>250</x:v>
      </x:c>
      <x:c r="L730" s="28" t="n">
        <x:v>75</x:v>
      </x:c>
      <x:c r="M730" s="28" t="n">
        <x:v>0</x:v>
      </x:c>
      <x:c r="N730" s="22" t="str">
        <x:v>일위을지</x:v>
      </x:c>
      <x:c r="O730" s="22" t="str">
        <x:v>hidden</x:v>
      </x:c>
      <x:c r="P730" s="22" t="n">
        <x:v>1</x:v>
      </x:c>
      <x:c r="Q730" s="40" t="n">
        <x:v>0</x:v>
      </x:c>
      <x:c r="R730" s="25" t="str"/>
      <x:c r="S730" s="25" t="str">
        <x:v>B?</x:v>
      </x:c>
      <x:c r="T730" s="25" t="str">
        <x:v>자동 표 신호는 최종 A/B로 승격하지 않음</x:v>
      </x:c>
      <x:c r="U730" s="22" t="str">
        <x:v>2021-2025</x:v>
      </x:c>
    </x:row>
    <x:row r="731">
      <x:c r="A731" s="22" t="str">
        <x:v>2020-00119</x:v>
      </x:c>
      <x:c r="B731" s="22" t="str">
        <x:v>L2025-00085-1</x:v>
      </x:c>
      <x:c r="C731" s="22" t="str">
        <x:v>WORKS</x:v>
      </x:c>
      <x:c r="D731" s="25" t="str">
        <x:v>L2025-00085-1/붙임2. 현지입찰(신규입찰) 서류 및 계약서류(안)/IKHCC Section 4 - IKHCC BLANK BOQ 250903_최종/7. Blank bill Firefighting revised 250811/FIREFIGHTING_ELEC/BLANK BILL-FIRE FIGHTING ELEC - B (MEP BUILDING).xlsm</x:v>
      </x:c>
      <x:c r="E731" s="22" t="str">
        <x:v>.xlsm</x:v>
      </x:c>
      <x:c r="F731" s="28" t="n">
        <x:v>105175</x:v>
      </x:c>
      <x:c r="G731" s="28" t="str">
        <x:v>21ba91bb3b87cc4a3fbb83a64a4685c946ad254bee1449d1f253a46e3fbf8544</x:v>
      </x:c>
      <x:c r="H731" s="28" t="n">
        <x:v>1</x:v>
      </x:c>
      <x:c r="I731" s="28" t="n">
        <x:v>1</x:v>
      </x:c>
      <x:c r="J731" s="28" t="n">
        <x:v>3</x:v>
      </x:c>
      <x:c r="K731" s="28" t="n">
        <x:v>250</x:v>
      </x:c>
      <x:c r="L731" s="28" t="n">
        <x:v>51</x:v>
      </x:c>
      <x:c r="M731" s="28" t="n">
        <x:v>0</x:v>
      </x:c>
      <x:c r="N731" s="22" t="str">
        <x:v>일위을지</x:v>
      </x:c>
      <x:c r="O731" s="22" t="str">
        <x:v>hidden</x:v>
      </x:c>
      <x:c r="P731" s="22" t="n">
        <x:v>1</x:v>
      </x:c>
      <x:c r="Q731" s="40" t="n">
        <x:v>0</x:v>
      </x:c>
      <x:c r="R731" s="25" t="str"/>
      <x:c r="S731" s="25" t="str">
        <x:v>B?</x:v>
      </x:c>
      <x:c r="T731" s="25" t="str">
        <x:v>자동 표 신호는 최종 A/B로 승격하지 않음</x:v>
      </x:c>
      <x:c r="U731" s="22" t="str">
        <x:v>2021-2025</x:v>
      </x:c>
    </x:row>
    <x:row r="732">
      <x:c r="A732" s="22" t="str">
        <x:v>2020-00119</x:v>
      </x:c>
      <x:c r="B732" s="22" t="str">
        <x:v>L2025-00085-1</x:v>
      </x:c>
      <x:c r="C732" s="22" t="str">
        <x:v>WORKS</x:v>
      </x:c>
      <x:c r="D732" s="25" t="str">
        <x:v>L2025-00085-1/붙임2. 현지입찰(신규입찰) 서류 및 계약서류(안)/IKHCC Section 4 - IKHCC BLANK BOQ 250903_최종/7. Blank bill Firefighting revised 250811/FIREFIGHTING_ELEC/BLANK BILL-FIRE FIGHTING ELEC - A (HOSPITAL).xlsm</x:v>
      </x:c>
      <x:c r="E732" s="22" t="str">
        <x:v>.xlsm</x:v>
      </x:c>
      <x:c r="F732" s="28" t="n">
        <x:v>105228</x:v>
      </x:c>
      <x:c r="G732" s="28" t="str">
        <x:v>9ffa9d47d2ec91c02914ee0d70e0bb54b361f4e85b738b4d24ed32dc1887b98a</x:v>
      </x:c>
      <x:c r="H732" s="28" t="n">
        <x:v>1</x:v>
      </x:c>
      <x:c r="I732" s="28" t="n">
        <x:v>1</x:v>
      </x:c>
      <x:c r="J732" s="28" t="n">
        <x:v>3</x:v>
      </x:c>
      <x:c r="K732" s="28" t="n">
        <x:v>250</x:v>
      </x:c>
      <x:c r="L732" s="28" t="n">
        <x:v>46</x:v>
      </x:c>
      <x:c r="M732" s="28" t="n">
        <x:v>0</x:v>
      </x:c>
      <x:c r="N732" s="22" t="str">
        <x:v>일위을지</x:v>
      </x:c>
      <x:c r="O732" s="22" t="str">
        <x:v>hidden</x:v>
      </x:c>
      <x:c r="P732" s="22" t="n">
        <x:v>1</x:v>
      </x:c>
      <x:c r="Q732" s="40" t="n">
        <x:v>0</x:v>
      </x:c>
      <x:c r="R732" s="25" t="str"/>
      <x:c r="S732" s="25" t="str">
        <x:v>B?</x:v>
      </x:c>
      <x:c r="T732" s="25" t="str">
        <x:v>자동 표 신호는 최종 A/B로 승격하지 않음</x:v>
      </x:c>
      <x:c r="U732" s="22" t="str">
        <x:v>2021-2025</x:v>
      </x:c>
    </x:row>
    <x:row r="733">
      <x:c r="A733" s="22" t="str">
        <x:v>2020-00119</x:v>
      </x:c>
      <x:c r="B733" s="22" t="str">
        <x:v>L2025-00085-1</x:v>
      </x:c>
      <x:c r="C733" s="22" t="str">
        <x:v>WORKS</x:v>
      </x:c>
      <x:c r="D733" s="25" t="str">
        <x:v>L2025-00085-1/붙임2. 현지입찰(신규입찰) 서류 및 계약서류(안)/IKHCC Section 4 - IKHCC BLANK BOQ 250903_최종/7. Blank bill Firefighting revised 250811/Fire fighting - Mech revised 250812/BILL FIREFIGHTING MECH (TOTAL).xls</x:v>
      </x:c>
      <x:c r="E733" s="22" t="str">
        <x:v>.xls</x:v>
      </x:c>
      <x:c r="F733" s="28" t="n">
        <x:v>342528</x:v>
      </x:c>
      <x:c r="G733" s="28" t="str">
        <x:v>b86f9e7d916e329fa492ae9cc76913ba3ae04e606ab3dd8fc8f2491cad9cfcf4</x:v>
      </x:c>
      <x:c r="H733" s="28" t="n">
        <x:v>1</x:v>
      </x:c>
      <x:c r="I733" s="28" t="n">
        <x:v>1</x:v>
      </x:c>
      <x:c r="J733" s="28" t="n">
        <x:v>1</x:v>
      </x:c>
      <x:c r="K733" s="28" t="n">
        <x:v>195</x:v>
      </x:c>
      <x:c r="L733" s="28" t="n">
        <x:v>195</x:v>
      </x:c>
      <x:c r="M733" s="28" t="n">
        <x:v>1</x:v>
      </x:c>
      <x:c r="N733" s="22" t="str">
        <x:v>일위대가</x:v>
      </x:c>
      <x:c r="O733" s="22" t="str">
        <x:v>hidden</x:v>
      </x:c>
      <x:c r="P733" s="22" t="n">
        <x:v>1</x:v>
      </x:c>
      <x:c r="Q733" s="40" t="n">
        <x:v>1</x:v>
      </x:c>
      <x:c r="R733" s="25" t="str"/>
      <x:c r="S733" s="25" t="str">
        <x:v>A?</x:v>
      </x:c>
      <x:c r="T733" s="25" t="str">
        <x:v>자동 표 신호는 최종 A/B로 승격하지 않음</x:v>
      </x:c>
      <x:c r="U733" s="22" t="str">
        <x:v>2021-2025</x:v>
      </x:c>
    </x:row>
    <x:row r="734">
      <x:c r="A734" s="22" t="str">
        <x:v>2020-00119</x:v>
      </x:c>
      <x:c r="B734" s="22" t="str">
        <x:v>L2025-00085-1</x:v>
      </x:c>
      <x:c r="C734" s="22" t="str">
        <x:v>WORKS</x:v>
      </x:c>
      <x:c r="D734" s="25" t="str">
        <x:v>L2025-00085-1/붙임2. 현지입찰(신규입찰) 서류 및 계약서류(안)/IKHCC Section 4 - IKHCC BLANK BOQ 250903_최종/7. Blank bill Firefighting revised 250811/Fire fighting - Mech revised 250812/BILL. FIREFIGHTING MECH (HOSPITAL).xls</x:v>
      </x:c>
      <x:c r="E734" s="22" t="str">
        <x:v>.xls</x:v>
      </x:c>
      <x:c r="F734" s="28" t="n">
        <x:v>327168</x:v>
      </x:c>
      <x:c r="G734" s="28" t="str">
        <x:v>b5f2993a823a4828a8d8759c31f310612cfe99ec916b0b54f30f251325c90d7b</x:v>
      </x:c>
      <x:c r="H734" s="28" t="n">
        <x:v>1</x:v>
      </x:c>
      <x:c r="I734" s="28" t="n">
        <x:v>1</x:v>
      </x:c>
      <x:c r="J734" s="28" t="n">
        <x:v>1</x:v>
      </x:c>
      <x:c r="K734" s="28" t="n">
        <x:v>195</x:v>
      </x:c>
      <x:c r="L734" s="28" t="n">
        <x:v>195</x:v>
      </x:c>
      <x:c r="M734" s="28" t="n">
        <x:v>1</x:v>
      </x:c>
      <x:c r="N734" s="22" t="str">
        <x:v>일위대가</x:v>
      </x:c>
      <x:c r="O734" s="22" t="str">
        <x:v>hidden</x:v>
      </x:c>
      <x:c r="P734" s="22" t="n">
        <x:v>1</x:v>
      </x:c>
      <x:c r="Q734" s="40" t="n">
        <x:v>1</x:v>
      </x:c>
      <x:c r="R734" s="25" t="str"/>
      <x:c r="S734" s="25" t="str">
        <x:v>A?</x:v>
      </x:c>
      <x:c r="T734" s="25" t="str">
        <x:v>자동 표 신호는 최종 A/B로 승격하지 않음</x:v>
      </x:c>
      <x:c r="U734" s="22" t="str">
        <x:v>2021-2025</x:v>
      </x:c>
    </x:row>
    <x:row r="735">
      <x:c r="A735" s="22" t="str">
        <x:v>2020-00119</x:v>
      </x:c>
      <x:c r="B735" s="22" t="str">
        <x:v>L2025-00085-1</x:v>
      </x:c>
      <x:c r="C735" s="22" t="str">
        <x:v>WORKS</x:v>
      </x:c>
      <x:c r="D735" s="25" t="str">
        <x:v>L2025-00085-1/붙임2. 현지입찰(신규입찰) 서류 및 계약서류(안)/IKHCC Section 4 - IKHCC BLANK BOQ 250903_최종/7. Blank bill Firefighting revised 250811/Fire fighting - Mech revised 250812/BILL. FIRFEIGHTING MECH(MEP BUILDING).xls</x:v>
      </x:c>
      <x:c r="E735" s="22" t="str">
        <x:v>.xls</x:v>
      </x:c>
      <x:c r="F735" s="28" t="n">
        <x:v>324096</x:v>
      </x:c>
      <x:c r="G735" s="28" t="str">
        <x:v>a2c13abecdd649c9d69a323713ec4bff622a5b2b9a0fdccc74e7e12b80429735</x:v>
      </x:c>
      <x:c r="H735" s="28" t="n">
        <x:v>1</x:v>
      </x:c>
      <x:c r="I735" s="28" t="n">
        <x:v>1</x:v>
      </x:c>
      <x:c r="J735" s="28" t="n">
        <x:v>1</x:v>
      </x:c>
      <x:c r="K735" s="28" t="n">
        <x:v>195</x:v>
      </x:c>
      <x:c r="L735" s="28" t="n">
        <x:v>195</x:v>
      </x:c>
      <x:c r="M735" s="28" t="n">
        <x:v>1</x:v>
      </x:c>
      <x:c r="N735" s="22" t="str">
        <x:v>일위대가</x:v>
      </x:c>
      <x:c r="O735" s="22" t="str">
        <x:v>hidden</x:v>
      </x:c>
      <x:c r="P735" s="22" t="n">
        <x:v>1</x:v>
      </x:c>
      <x:c r="Q735" s="40" t="n">
        <x:v>1</x:v>
      </x:c>
      <x:c r="R735" s="25" t="str"/>
      <x:c r="S735" s="25" t="str">
        <x:v>A?</x:v>
      </x:c>
      <x:c r="T735" s="25" t="str">
        <x:v>자동 표 신호는 최종 A/B로 승격하지 않음</x:v>
      </x:c>
      <x:c r="U735" s="22" t="str">
        <x:v>2021-2025</x:v>
      </x:c>
    </x:row>
    <x:row r="736">
      <x:c r="A736" s="23" t="str">
        <x:v>2022-00598</x:v>
      </x:c>
      <x:c r="B736" s="23" t="str">
        <x:v>L2025-00047-1</x:v>
      </x:c>
      <x:c r="C736" s="23" t="str">
        <x:v>WORKS</x:v>
      </x:c>
      <x:c r="D736" s="26" t="str">
        <x:v>L2025-00047-1/붙임2. 영문 입찰서류_섬유센터 2차사업 시공 재입찰 (2025.06.20)/Section 4 - Bill Of Quantity (Quantity Statement).xls</x:v>
      </x:c>
      <x:c r="E736" s="23" t="str">
        <x:v>.xls</x:v>
      </x:c>
      <x:c r="F736" s="29" t="n">
        <x:v>449024</x:v>
      </x:c>
      <x:c r="G736" s="29" t="str">
        <x:v>3e29ef9e8faecccb2f66b562df5e0a6a01857f2a4b3f623a01b55c2858fc9961</x:v>
      </x:c>
      <x:c r="H736" s="29" t="n">
        <x:v>1</x:v>
      </x:c>
      <x:c r="I736" s="29" t="n">
        <x:v>0</x:v>
      </x:c>
      <x:c r="J736" s="29" t="n">
        <x:v>10</x:v>
      </x:c>
      <x:c r="K736" s="29" t="n">
        <x:v>143</x:v>
      </x:c>
      <x:c r="L736" s="29" t="n">
        <x:v>15</x:v>
      </x:c>
      <x:c r="M736" s="29" t="n">
        <x:v>0</x:v>
      </x:c>
      <x:c r="N736" s="23" t="str">
        <x:v>ELECTRICAL </x:v>
      </x:c>
      <x:c r="O736" s="23" t="str">
        <x:v>visible</x:v>
      </x:c>
      <x:c r="P736" s="23" t="n">
        <x:v>2</x:v>
      </x:c>
      <x:c r="Q736" s="41" t="n">
        <x:v>0.027972027972027972</x:v>
      </x:c>
      <x:c r="R736" s="26" t="str"/>
      <x:c r="S736" s="26" t="str">
        <x:v>B?</x:v>
      </x:c>
      <x:c r="T736" s="26" t="str">
        <x:v>자동 표 신호는 최종 A/B로 승격하지 않음</x:v>
      </x:c>
      <x:c r="U736" s="23" t="str">
        <x:v>2021-2025</x:v>
      </x:c>
    </x:row>
  </x:sheetData>
  <x:mergeCells>
    <x:mergeCell ref="A1:U1"/>
    <x:mergeCell ref="A2:U2"/>
  </x:mergeCells>
  <x:conditionalFormatting sqref="S5:S736">
    <x:cfRule type="beginsWith" dxfId="15" priority="1" operator="beginsWith" text="A"/>
    <x:cfRule type="beginsWith" dxfId="16" priority="2" operator="beginsWith" text="B"/>
    <x:cfRule type="beginsWith" dxfId="17" priority="3" operator="beginsWith" text="C"/>
    <x:cfRule type="beginsWith" dxfId="18" priority="4" operator="beginsWith" text="U"/>
    <x:cfRule type="beginsWith" dxfId="19" priority="5" operator="beginsWith" text="X"/>
  </x:conditionalFormatting>
  <x:pageMargins left="0.7" right="0.7" top="0.75" bottom="0.75" header="0.3" footer="0.3"/>
  <x:tableParts count="1">
    <x:tablePart xmlns:r="http://schemas.openxmlformats.org/officeDocument/2006/relationships" r:id="Ref55c60dd6ad4c9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10" hidden="0" customWidth="1"/>
    <x:col min="4" max="4" width="14" hidden="0" customWidth="1"/>
    <x:col min="5" max="5" width="16" hidden="0" customWidth="1"/>
    <x:col min="6" max="6" width="26" hidden="0" customWidth="1"/>
    <x:col min="7" max="7" width="14" hidden="0" customWidth="1"/>
    <x:col min="8" max="8" width="12" hidden="0" customWidth="1"/>
    <x:col min="9" max="9" width="12" hidden="0" customWidth="1"/>
    <x:col min="10" max="10" width="28" hidden="0" customWidth="1"/>
    <x:col min="11" max="11" width="16" hidden="0" customWidth="1"/>
    <x:col min="12" max="12" width="44" hidden="0" customWidth="1"/>
    <x:col min="13" max="13" width="13" hidden="0" customWidth="1"/>
  </x:cols>
  <x:sheetData>
    <x:row r="1" ht="34" customHeight="1">
      <x:c r="A1" s="3" t="str">
        <x:v>기존 reviewed_cases 66건 교차검증</x:v>
      </x:c>
    </x:row>
    <x:row r="2" ht="42" customHeight="1">
      <x:c r="A2" s="7" t="str">
        <x:v>기존 A/B/C는 비교가능성 등급이므로 새 산정준비도 A/B/C로 승계하지 않았습니다.</x:v>
      </x:c>
    </x:row>
    <x:row r="4" ht="32" customHeight="1">
      <x:c r="A4" s="13" t="str">
        <x:v>공고번호</x:v>
      </x:c>
      <x:c r="B4" s="13" t="str">
        <x:v>사업번호</x:v>
      </x:c>
      <x:c r="C4" s="13" t="str">
        <x:v>기존등급</x:v>
      </x:c>
      <x:c r="D4" s="13" t="str">
        <x:v>기존면적㎡</x:v>
      </x:c>
      <x:c r="E4" s="13" t="str">
        <x:v>기존금액USD</x:v>
      </x:c>
      <x:c r="F4" s="13" t="str">
        <x:v>기존가격단계</x:v>
      </x:c>
      <x:c r="G4" s="13" t="str">
        <x:v>기존권장단가</x:v>
      </x:c>
      <x:c r="H4" s="13" t="str">
        <x:v>새공고등급</x:v>
      </x:c>
      <x:c r="I4" s="13" t="str">
        <x:v>새사업등급</x:v>
      </x:c>
      <x:c r="J4" s="13" t="str">
        <x:v>새범위</x:v>
      </x:c>
      <x:c r="K4" s="13" t="str">
        <x:v>매핑</x:v>
      </x:c>
      <x:c r="L4" s="13" t="str">
        <x:v>불일치규칙</x:v>
      </x:c>
      <x:c r="M4" s="13" t="str">
        <x:v>검토상태</x:v>
      </x:c>
    </x:row>
    <x:row r="5">
      <x:c r="A5" s="21" t="str">
        <x:v>L2017-00001-1</x:v>
      </x:c>
      <x:c r="B5" s="21" t="str">
        <x:v>201701</x:v>
      </x:c>
      <x:c r="C5" s="21" t="str">
        <x:v>B</x:v>
      </x:c>
      <x:c r="D5" s="30" t="n">
        <x:v>8694</x:v>
      </x:c>
      <x:c r="E5" s="33" t="n">
        <x:v>5784000</x:v>
      </x:c>
      <x:c r="F5" s="24" t="str">
        <x:v>공사 입찰 집행한도</x:v>
      </x:c>
      <x:c r="G5" s="24" t="str">
        <x:v>아니오</x:v>
      </x:c>
      <x:c r="H5" s="24" t="str">
        <x:v>C</x:v>
      </x:c>
      <x:c r="I5" s="24" t="str">
        <x:v>C</x:v>
      </x:c>
      <x:c r="J5" s="24" t="str">
        <x:v>MATCH</x:v>
      </x:c>
      <x:c r="K5" s="24" t="str">
        <x:v>exact_bid_no</x:v>
      </x:c>
      <x:c r="L5" s="24" t="str">
        <x:v>legacy A/B/C는 비교가능성 등급이라 새 A/B/C로 승계하지 않음</x:v>
      </x:c>
      <x:c r="M5" s="24" t="str">
        <x:v>재검토완료</x:v>
      </x:c>
    </x:row>
    <x:row r="6">
      <x:c r="A6" s="22" t="str">
        <x:v>L2017-00005-1</x:v>
      </x:c>
      <x:c r="B6" s="22" t="str">
        <x:v>L2017-0004</x:v>
      </x:c>
      <x:c r="C6" s="22" t="str">
        <x:v>A</x:v>
      </x:c>
      <x:c r="D6" s="31" t="n">
        <x:v>2541.35</x:v>
      </x:c>
      <x:c r="E6" s="34" t="n">
        <x:v>3572800</x:v>
      </x:c>
      <x:c r="F6" s="25" t="str">
        <x:v>공사 입찰 집행한도</x:v>
      </x:c>
      <x:c r="G6" s="25" t="str">
        <x:v>아니오</x:v>
      </x:c>
      <x:c r="H6" s="25" t="str">
        <x:v>C</x:v>
      </x:c>
      <x:c r="I6" s="25" t="str">
        <x:v>C</x:v>
      </x:c>
      <x:c r="J6" s="25" t="str">
        <x:v>MATCH</x:v>
      </x:c>
      <x:c r="K6" s="25" t="str">
        <x:v>exact_bid_no</x:v>
      </x:c>
      <x:c r="L6" s="25" t="str">
        <x:v>legacy A/B/C는 비교가능성 등급이라 새 A/B/C로 승계하지 않음</x:v>
      </x:c>
      <x:c r="M6" s="25" t="str">
        <x:v>재검토완료</x:v>
      </x:c>
    </x:row>
    <x:row r="7">
      <x:c r="A7" s="22" t="str">
        <x:v>L2017-00007-1</x:v>
      </x:c>
      <x:c r="B7" s="22" t="str">
        <x:v>2016-00028</x:v>
      </x:c>
      <x:c r="C7" s="22" t="str">
        <x:v>B</x:v>
      </x:c>
      <x:c r="D7" s="31" t="n">
        <x:v>1562.68</x:v>
      </x:c>
      <x:c r="E7" s="34" t="n">
        <x:v>1227580</x:v>
      </x:c>
      <x:c r="F7" s="25" t="str">
        <x:v>공사 입찰 집행한도</x:v>
      </x:c>
      <x:c r="G7" s="25" t="str">
        <x:v>아니오</x:v>
      </x:c>
      <x:c r="H7" s="25" t="str">
        <x:v>C</x:v>
      </x:c>
      <x:c r="I7" s="25" t="str">
        <x:v>C</x:v>
      </x:c>
      <x:c r="J7" s="25" t="str">
        <x:v>MATCH</x:v>
      </x:c>
      <x:c r="K7" s="25" t="str">
        <x:v>exact_bid_no</x:v>
      </x:c>
      <x:c r="L7" s="25" t="str">
        <x:v>legacy A/B/C는 비교가능성 등급이라 새 A/B/C로 승계하지 않음</x:v>
      </x:c>
      <x:c r="M7" s="25" t="str">
        <x:v>재검토완료</x:v>
      </x:c>
    </x:row>
    <x:row r="8">
      <x:c r="A8" s="22" t="str">
        <x:v>L2017-00011-1</x:v>
      </x:c>
      <x:c r="B8" s="22" t="str">
        <x:v>2014-00024</x:v>
      </x:c>
      <x:c r="C8" s="22" t="str">
        <x:v>B</x:v>
      </x:c>
      <x:c r="D8" s="31" t="n">
        <x:v>2250</x:v>
      </x:c>
      <x:c r="E8" s="34" t="n">
        <x:v>2550000</x:v>
      </x:c>
      <x:c r="F8" s="25" t="str">
        <x:v>공사 입찰 집행한도</x:v>
      </x:c>
      <x:c r="G8" s="25" t="str">
        <x:v>아니오</x:v>
      </x:c>
      <x:c r="H8" s="25" t="str">
        <x:v>C</x:v>
      </x:c>
      <x:c r="I8" s="25" t="str">
        <x:v>C</x:v>
      </x:c>
      <x:c r="J8" s="25" t="str">
        <x:v>MATCH</x:v>
      </x:c>
      <x:c r="K8" s="25" t="str">
        <x:v>exact_bid_no</x:v>
      </x:c>
      <x:c r="L8" s="25" t="str">
        <x:v>legacy A/B/C는 비교가능성 등급이라 새 A/B/C로 승계하지 않음</x:v>
      </x:c>
      <x:c r="M8" s="25" t="str">
        <x:v>재검토완료</x:v>
      </x:c>
    </x:row>
    <x:row r="9">
      <x:c r="A9" s="22" t="str">
        <x:v>L2018-00011-1</x:v>
      </x:c>
      <x:c r="B9" s="22" t="str">
        <x:v>2016-00002</x:v>
      </x:c>
      <x:c r="C9" s="22" t="str">
        <x:v>A</x:v>
      </x:c>
      <x:c r="D9" s="31" t="n">
        <x:v>1987</x:v>
      </x:c>
      <x:c r="E9" s="34" t="n">
        <x:v>1623300</x:v>
      </x:c>
      <x:c r="F9" s="25" t="str">
        <x:v>공사 입찰 집행한도</x:v>
      </x:c>
      <x:c r="G9" s="25" t="str">
        <x:v>아니오</x:v>
      </x:c>
      <x:c r="H9" s="25" t="str">
        <x:v>C</x:v>
      </x:c>
      <x:c r="I9" s="25" t="str">
        <x:v>C</x:v>
      </x:c>
      <x:c r="J9" s="25" t="str">
        <x:v>MATCH</x:v>
      </x:c>
      <x:c r="K9" s="25" t="str">
        <x:v>exact_bid_no</x:v>
      </x:c>
      <x:c r="L9" s="25" t="str">
        <x:v>legacy A/B/C는 비교가능성 등급이라 새 A/B/C로 승계하지 않음</x:v>
      </x:c>
      <x:c r="M9" s="25" t="str">
        <x:v>재검토완료</x:v>
      </x:c>
    </x:row>
    <x:row r="10">
      <x:c r="A10" s="22" t="str">
        <x:v>L2018-00012-1</x:v>
      </x:c>
      <x:c r="B10" s="22" t="str">
        <x:v>2016-20150</x:v>
      </x:c>
      <x:c r="C10" s="22" t="str">
        <x:v>B</x:v>
      </x:c>
      <x:c r="D10" s="31" t="n">
        <x:v>6615</x:v>
      </x:c>
      <x:c r="E10" s="34" t="n">
        <x:v>4486860</x:v>
      </x:c>
      <x:c r="F10" s="25" t="str">
        <x:v>공사 입찰 집행한도</x:v>
      </x:c>
      <x:c r="G10" s="25" t="str">
        <x:v>아니오</x:v>
      </x:c>
      <x:c r="H10" s="25" t="str">
        <x:v>C</x:v>
      </x:c>
      <x:c r="I10" s="25" t="str">
        <x:v>C</x:v>
      </x:c>
      <x:c r="J10" s="25" t="str">
        <x:v>MATCH</x:v>
      </x:c>
      <x:c r="K10" s="25" t="str">
        <x:v>exact_bid_no</x:v>
      </x:c>
      <x:c r="L10" s="25" t="str">
        <x:v>legacy A/B/C는 비교가능성 등급이라 새 A/B/C로 승계하지 않음</x:v>
      </x:c>
      <x:c r="M10" s="25" t="str">
        <x:v>재검토완료</x:v>
      </x:c>
    </x:row>
    <x:row r="11">
      <x:c r="A11" s="22" t="str">
        <x:v>L2018-00014-1</x:v>
      </x:c>
      <x:c r="B11" s="22" t="str">
        <x:v>2016-00003</x:v>
      </x:c>
      <x:c r="C11" s="22" t="str">
        <x:v>A</x:v>
      </x:c>
      <x:c r="D11" s="31" t="n">
        <x:v>6428</x:v>
      </x:c>
      <x:c r="E11" s="34" t="n">
        <x:v>4580780</x:v>
      </x:c>
      <x:c r="F11" s="25" t="str">
        <x:v>공사 입찰 집행한도</x:v>
      </x:c>
      <x:c r="G11" s="25" t="str">
        <x:v>아니오</x:v>
      </x:c>
      <x:c r="H11" s="25" t="str">
        <x:v>C</x:v>
      </x:c>
      <x:c r="I11" s="25" t="str">
        <x:v>C</x:v>
      </x:c>
      <x:c r="J11" s="25" t="str">
        <x:v>MATCH</x:v>
      </x:c>
      <x:c r="K11" s="25" t="str">
        <x:v>exact_bid_no</x:v>
      </x:c>
      <x:c r="L11" s="25" t="str">
        <x:v>legacy A/B/C는 비교가능성 등급이라 새 A/B/C로 승계하지 않음</x:v>
      </x:c>
      <x:c r="M11" s="25" t="str">
        <x:v>재검토완료</x:v>
      </x:c>
    </x:row>
    <x:row r="12">
      <x:c r="A12" s="22" t="str">
        <x:v>L2018-00020-1</x:v>
      </x:c>
      <x:c r="B12" s="22" t="str">
        <x:v>2016-00206</x:v>
      </x:c>
      <x:c r="C12" s="22" t="str">
        <x:v>A</x:v>
      </x:c>
      <x:c r="D12" s="31" t="n">
        <x:v>7599</x:v>
      </x:c>
      <x:c r="E12" s="34" t="n">
        <x:v>5497600</x:v>
      </x:c>
      <x:c r="F12" s="25" t="str">
        <x:v>공사 입찰 집행한도</x:v>
      </x:c>
      <x:c r="G12" s="25" t="str">
        <x:v>아니오</x:v>
      </x:c>
      <x:c r="H12" s="25" t="str">
        <x:v>C</x:v>
      </x:c>
      <x:c r="I12" s="25" t="str">
        <x:v>C</x:v>
      </x:c>
      <x:c r="J12" s="25" t="str">
        <x:v>MATCH</x:v>
      </x:c>
      <x:c r="K12" s="25" t="str">
        <x:v>exact_bid_no</x:v>
      </x:c>
      <x:c r="L12" s="25" t="str">
        <x:v>legacy A/B/C는 비교가능성 등급이라 새 A/B/C로 승계하지 않음</x:v>
      </x:c>
      <x:c r="M12" s="25" t="str">
        <x:v>재검토완료</x:v>
      </x:c>
    </x:row>
    <x:row r="13">
      <x:c r="A13" s="22" t="str">
        <x:v>L2018-00029-1</x:v>
      </x:c>
      <x:c r="B13" s="22" t="str">
        <x:v>2013-00007</x:v>
      </x:c>
      <x:c r="C13" s="22" t="str">
        <x:v>A</x:v>
      </x:c>
      <x:c r="D13" s="31" t="n">
        <x:v>2879.23</x:v>
      </x:c>
      <x:c r="E13" s="34" t="n">
        <x:v>4114500</x:v>
      </x:c>
      <x:c r="F13" s="25" t="str">
        <x:v>공사 입찰 집행한도</x:v>
      </x:c>
      <x:c r="G13" s="25" t="str">
        <x:v>아니오</x:v>
      </x:c>
      <x:c r="H13" s="25" t="str">
        <x:v>C</x:v>
      </x:c>
      <x:c r="I13" s="25" t="str">
        <x:v>C</x:v>
      </x:c>
      <x:c r="J13" s="25" t="str">
        <x:v>MATCH</x:v>
      </x:c>
      <x:c r="K13" s="25" t="str">
        <x:v>exact_bid_no</x:v>
      </x:c>
      <x:c r="L13" s="25" t="str">
        <x:v>legacy A/B/C는 비교가능성 등급이라 새 A/B/C로 승계하지 않음</x:v>
      </x:c>
      <x:c r="M13" s="25" t="str">
        <x:v>재검토완료</x:v>
      </x:c>
    </x:row>
    <x:row r="14">
      <x:c r="A14" s="22" t="str">
        <x:v>L2019-00010-1</x:v>
      </x:c>
      <x:c r="B14" s="22" t="str">
        <x:v>2015-00012</x:v>
      </x:c>
      <x:c r="C14" s="22" t="str">
        <x:v>A</x:v>
      </x:c>
      <x:c r="D14" s="31" t="n">
        <x:v>1549.83</x:v>
      </x:c>
      <x:c r="E14" s="34" t="n">
        <x:v>1200000</x:v>
      </x:c>
      <x:c r="F14" s="25" t="str">
        <x:v>공사 입찰 집행한도</x:v>
      </x:c>
      <x:c r="G14" s="25" t="str">
        <x:v>아니오</x:v>
      </x:c>
      <x:c r="H14" s="25" t="str">
        <x:v>C</x:v>
      </x:c>
      <x:c r="I14" s="25" t="str">
        <x:v>C</x:v>
      </x:c>
      <x:c r="J14" s="25" t="str">
        <x:v>MATCH</x:v>
      </x:c>
      <x:c r="K14" s="25" t="str">
        <x:v>exact_bid_no</x:v>
      </x:c>
      <x:c r="L14" s="25" t="str">
        <x:v>legacy A/B/C는 비교가능성 등급이라 새 A/B/C로 승계하지 않음</x:v>
      </x:c>
      <x:c r="M14" s="25" t="str">
        <x:v>재검토완료</x:v>
      </x:c>
    </x:row>
    <x:row r="15">
      <x:c r="A15" s="22" t="str">
        <x:v>L2019-00011-1</x:v>
      </x:c>
      <x:c r="B15" s="22" t="str">
        <x:v>2016-00202</x:v>
      </x:c>
      <x:c r="C15" s="22" t="str">
        <x:v>A</x:v>
      </x:c>
      <x:c r="D15" s="31" t="n">
        <x:v>5625</x:v>
      </x:c>
      <x:c r="E15" s="34" t="n">
        <x:v>5600000</x:v>
      </x:c>
      <x:c r="F15" s="25" t="str">
        <x:v>공사 입찰 집행한도</x:v>
      </x:c>
      <x:c r="G15" s="25" t="str">
        <x:v>아니오</x:v>
      </x:c>
      <x:c r="H15" s="25" t="str">
        <x:v>C</x:v>
      </x:c>
      <x:c r="I15" s="25" t="str">
        <x:v>C</x:v>
      </x:c>
      <x:c r="J15" s="25" t="str">
        <x:v>MATCH</x:v>
      </x:c>
      <x:c r="K15" s="25" t="str">
        <x:v>exact_bid_no</x:v>
      </x:c>
      <x:c r="L15" s="25" t="str">
        <x:v>legacy A/B/C는 비교가능성 등급이라 새 A/B/C로 승계하지 않음</x:v>
      </x:c>
      <x:c r="M15" s="25" t="str">
        <x:v>재검토완료</x:v>
      </x:c>
    </x:row>
    <x:row r="16">
      <x:c r="A16" s="22" t="str">
        <x:v>L2019-00021-1</x:v>
      </x:c>
      <x:c r="B16" s="22" t="str">
        <x:v>2017-07115</x:v>
      </x:c>
      <x:c r="C16" s="22" t="str">
        <x:v>A</x:v>
      </x:c>
      <x:c r="D16" s="31" t="n">
        <x:v>5455</x:v>
      </x:c>
      <x:c r="E16" s="34" t="n">
        <x:v>5350000</x:v>
      </x:c>
      <x:c r="F16" s="25" t="str">
        <x:v>공사 입찰 집행한도</x:v>
      </x:c>
      <x:c r="G16" s="25" t="str">
        <x:v>아니오</x:v>
      </x:c>
      <x:c r="H16" s="25" t="str">
        <x:v>C</x:v>
      </x:c>
      <x:c r="I16" s="25" t="str">
        <x:v>C</x:v>
      </x:c>
      <x:c r="J16" s="25" t="str">
        <x:v>MATCH</x:v>
      </x:c>
      <x:c r="K16" s="25" t="str">
        <x:v>exact_bid_no</x:v>
      </x:c>
      <x:c r="L16" s="25" t="str">
        <x:v>legacy A/B/C는 비교가능성 등급이라 새 A/B/C로 승계하지 않음</x:v>
      </x:c>
      <x:c r="M16" s="25" t="str">
        <x:v>재검토완료</x:v>
      </x:c>
    </x:row>
    <x:row r="17">
      <x:c r="A17" s="22" t="str">
        <x:v>L2019-00024-1</x:v>
      </x:c>
      <x:c r="B17" s="22" t="str">
        <x:v>2015-00011</x:v>
      </x:c>
      <x:c r="C17" s="22" t="str">
        <x:v>A</x:v>
      </x:c>
      <x:c r="D17" s="31" t="n">
        <x:v>12974</x:v>
      </x:c>
      <x:c r="E17" s="34" t="n">
        <x:v>7300000</x:v>
      </x:c>
      <x:c r="F17" s="25" t="str">
        <x:v>공사 입찰 집행한도</x:v>
      </x:c>
      <x:c r="G17" s="25" t="str">
        <x:v>아니오</x:v>
      </x:c>
      <x:c r="H17" s="25" t="str">
        <x:v>C</x:v>
      </x:c>
      <x:c r="I17" s="25" t="str">
        <x:v>C</x:v>
      </x:c>
      <x:c r="J17" s="25" t="str">
        <x:v>MATCH</x:v>
      </x:c>
      <x:c r="K17" s="25" t="str">
        <x:v>exact_bid_no</x:v>
      </x:c>
      <x:c r="L17" s="25" t="str">
        <x:v>legacy A/B/C는 비교가능성 등급이라 새 A/B/C로 승계하지 않음</x:v>
      </x:c>
      <x:c r="M17" s="25" t="str">
        <x:v>재검토완료</x:v>
      </x:c>
    </x:row>
    <x:row r="18">
      <x:c r="A18" s="22" t="str">
        <x:v>L2019-00043-1</x:v>
      </x:c>
      <x:c r="B18" s="22" t="str">
        <x:v>2016-00206</x:v>
      </x:c>
      <x:c r="C18" s="22" t="str">
        <x:v>A</x:v>
      </x:c>
      <x:c r="D18" s="31" t="n">
        <x:v>3944.3</x:v>
      </x:c>
      <x:c r="E18" s="34" t="n">
        <x:v>2654320</x:v>
      </x:c>
      <x:c r="F18" s="25" t="str">
        <x:v>공사 입찰 집행한도</x:v>
      </x:c>
      <x:c r="G18" s="25" t="str">
        <x:v>아니오</x:v>
      </x:c>
      <x:c r="H18" s="25" t="str">
        <x:v>C</x:v>
      </x:c>
      <x:c r="I18" s="25" t="str">
        <x:v>C</x:v>
      </x:c>
      <x:c r="J18" s="25" t="str">
        <x:v>MATCH</x:v>
      </x:c>
      <x:c r="K18" s="25" t="str">
        <x:v>exact_bid_no</x:v>
      </x:c>
      <x:c r="L18" s="25" t="str">
        <x:v>legacy A/B/C는 비교가능성 등급이라 새 A/B/C로 승계하지 않음</x:v>
      </x:c>
      <x:c r="M18" s="25" t="str">
        <x:v>재검토완료</x:v>
      </x:c>
    </x:row>
    <x:row r="19">
      <x:c r="A19" s="22" t="str">
        <x:v>L2020-00001-2</x:v>
      </x:c>
      <x:c r="B19" s="22" t="str">
        <x:v>2017-07192</x:v>
      </x:c>
      <x:c r="C19" s="22" t="str">
        <x:v>A</x:v>
      </x:c>
      <x:c r="D19" s="31" t="n">
        <x:v>4177.94</x:v>
      </x:c>
      <x:c r="E19" s="34" t="n">
        <x:v>4080000</x:v>
      </x:c>
      <x:c r="F19" s="25" t="str">
        <x:v>공사 입찰 집행한도</x:v>
      </x:c>
      <x:c r="G19" s="25" t="str">
        <x:v>아니오</x:v>
      </x:c>
      <x:c r="H19" s="25" t="str">
        <x:v>C</x:v>
      </x:c>
      <x:c r="I19" s="25" t="str">
        <x:v>C</x:v>
      </x:c>
      <x:c r="J19" s="25" t="str">
        <x:v>MATCH</x:v>
      </x:c>
      <x:c r="K19" s="25" t="str">
        <x:v>exact_bid_no</x:v>
      </x:c>
      <x:c r="L19" s="25" t="str">
        <x:v>legacy A/B/C는 비교가능성 등급이라 새 A/B/C로 승계하지 않음</x:v>
      </x:c>
      <x:c r="M19" s="25" t="str">
        <x:v>재검토완료</x:v>
      </x:c>
    </x:row>
    <x:row r="20">
      <x:c r="A20" s="22" t="str">
        <x:v>L2020-00009-1</x:v>
      </x:c>
      <x:c r="B20" s="22" t="str">
        <x:v>2016-00067</x:v>
      </x:c>
      <x:c r="C20" s="22" t="str">
        <x:v>B</x:v>
      </x:c>
      <x:c r="D20" s="31" t="n">
        <x:v>7450</x:v>
      </x:c>
      <x:c r="E20" s="34" t="n">
        <x:v>3685199</x:v>
      </x:c>
      <x:c r="F20" s="25" t="str">
        <x:v>공사 입찰 집행한도</x:v>
      </x:c>
      <x:c r="G20" s="25" t="str">
        <x:v>아니오</x:v>
      </x:c>
      <x:c r="H20" s="25" t="str">
        <x:v>C</x:v>
      </x:c>
      <x:c r="I20" s="25" t="str">
        <x:v>C</x:v>
      </x:c>
      <x:c r="J20" s="25" t="str">
        <x:v>MATCH</x:v>
      </x:c>
      <x:c r="K20" s="25" t="str">
        <x:v>exact_bid_no</x:v>
      </x:c>
      <x:c r="L20" s="25" t="str">
        <x:v>legacy A/B/C는 비교가능성 등급이라 새 A/B/C로 승계하지 않음</x:v>
      </x:c>
      <x:c r="M20" s="25" t="str">
        <x:v>재검토완료</x:v>
      </x:c>
    </x:row>
    <x:row r="21">
      <x:c r="A21" s="22" t="str">
        <x:v>L2020-00022-2</x:v>
      </x:c>
      <x:c r="B21" s="22" t="str">
        <x:v>2015-00006</x:v>
      </x:c>
      <x:c r="C21" s="22" t="str">
        <x:v>A</x:v>
      </x:c>
      <x:c r="D21" s="31" t="n">
        <x:v>4916</x:v>
      </x:c>
      <x:c r="E21" s="34" t="n">
        <x:v>3116205</x:v>
      </x:c>
      <x:c r="F21" s="25" t="str">
        <x:v>공사 입찰 집행한도</x:v>
      </x:c>
      <x:c r="G21" s="25" t="str">
        <x:v>아니오</x:v>
      </x:c>
      <x:c r="H21" s="25" t="str">
        <x:v>C</x:v>
      </x:c>
      <x:c r="I21" s="25" t="str">
        <x:v>C</x:v>
      </x:c>
      <x:c r="J21" s="25" t="str">
        <x:v>MATCH</x:v>
      </x:c>
      <x:c r="K21" s="25" t="str">
        <x:v>exact_bid_no</x:v>
      </x:c>
      <x:c r="L21" s="25" t="str">
        <x:v>legacy A/B/C는 비교가능성 등급이라 새 A/B/C로 승계하지 않음</x:v>
      </x:c>
      <x:c r="M21" s="25" t="str">
        <x:v>재검토완료</x:v>
      </x:c>
    </x:row>
    <x:row r="22">
      <x:c r="A22" s="22" t="str">
        <x:v>L2020-00023-1</x:v>
      </x:c>
      <x:c r="B22" s="22" t="str">
        <x:v>2016-00005</x:v>
      </x:c>
      <x:c r="C22" s="22" t="str">
        <x:v>A</x:v>
      </x:c>
      <x:c r="D22" s="31" t="n">
        <x:v>6906</x:v>
      </x:c>
      <x:c r="E22" s="34" t="n">
        <x:v>16440000</x:v>
      </x:c>
      <x:c r="F22" s="25" t="str">
        <x:v>공사 입찰 집행한도</x:v>
      </x:c>
      <x:c r="G22" s="25" t="str">
        <x:v>아니오</x:v>
      </x:c>
      <x:c r="H22" s="25" t="str">
        <x:v>C</x:v>
      </x:c>
      <x:c r="I22" s="25" t="str">
        <x:v>C</x:v>
      </x:c>
      <x:c r="J22" s="25" t="str">
        <x:v>MATCH</x:v>
      </x:c>
      <x:c r="K22" s="25" t="str">
        <x:v>exact_bid_no</x:v>
      </x:c>
      <x:c r="L22" s="25" t="str">
        <x:v>legacy A/B/C는 비교가능성 등급이라 새 A/B/C로 승계하지 않음</x:v>
      </x:c>
      <x:c r="M22" s="25" t="str">
        <x:v>재검토완료</x:v>
      </x:c>
    </x:row>
    <x:row r="23">
      <x:c r="A23" s="22" t="str">
        <x:v>L2021-00015-1</x:v>
      </x:c>
      <x:c r="B23" s="22" t="str">
        <x:v>2019-00064</x:v>
      </x:c>
      <x:c r="C23" s="22" t="str">
        <x:v>A</x:v>
      </x:c>
      <x:c r="D23" s="31" t="n">
        <x:v>2299.26</x:v>
      </x:c>
      <x:c r="E23" s="34" t="n">
        <x:v>2746477</x:v>
      </x:c>
      <x:c r="F23" s="25" t="str">
        <x:v>공사 입찰 집행한도</x:v>
      </x:c>
      <x:c r="G23" s="25" t="str">
        <x:v>아니오</x:v>
      </x:c>
      <x:c r="H23" s="25" t="str">
        <x:v>C</x:v>
      </x:c>
      <x:c r="I23" s="25" t="str">
        <x:v>C</x:v>
      </x:c>
      <x:c r="J23" s="25" t="str">
        <x:v>MATCH</x:v>
      </x:c>
      <x:c r="K23" s="25" t="str">
        <x:v>exact_bid_no</x:v>
      </x:c>
      <x:c r="L23" s="25" t="str">
        <x:v>legacy A/B/C는 비교가능성 등급이라 새 A/B/C로 승계하지 않음</x:v>
      </x:c>
      <x:c r="M23" s="25" t="str">
        <x:v>재검토완료</x:v>
      </x:c>
    </x:row>
    <x:row r="24">
      <x:c r="A24" s="22" t="str">
        <x:v>L2021-00016-1</x:v>
      </x:c>
      <x:c r="B24" s="22" t="str">
        <x:v>2019-00066</x:v>
      </x:c>
      <x:c r="C24" s="22" t="str">
        <x:v>A</x:v>
      </x:c>
      <x:c r="D24" s="31" t="n">
        <x:v>1325.32</x:v>
      </x:c>
      <x:c r="E24" s="34" t="n">
        <x:v>1022588</x:v>
      </x:c>
      <x:c r="F24" s="25" t="str">
        <x:v>입찰공고 추정예산</x:v>
      </x:c>
      <x:c r="G24" s="25" t="str">
        <x:v>아니오</x:v>
      </x:c>
      <x:c r="H24" s="25" t="str">
        <x:v>C</x:v>
      </x:c>
      <x:c r="I24" s="25" t="str">
        <x:v>C</x:v>
      </x:c>
      <x:c r="J24" s="25" t="str">
        <x:v>MATCH</x:v>
      </x:c>
      <x:c r="K24" s="25" t="str">
        <x:v>exact_bid_no</x:v>
      </x:c>
      <x:c r="L24" s="25" t="str">
        <x:v>legacy A/B/C는 비교가능성 등급이라 새 A/B/C로 승계하지 않음</x:v>
      </x:c>
      <x:c r="M24" s="25" t="str">
        <x:v>재검토완료</x:v>
      </x:c>
    </x:row>
    <x:row r="25">
      <x:c r="A25" s="22" t="str">
        <x:v>L2021-00029-1</x:v>
      </x:c>
      <x:c r="B25" s="22" t="str">
        <x:v>2020-00114</x:v>
      </x:c>
      <x:c r="C25" s="22" t="str">
        <x:v>A</x:v>
      </x:c>
      <x:c r="D25" s="31" t="n">
        <x:v>1120.3</x:v>
      </x:c>
      <x:c r="E25" s="34" t="n">
        <x:v>929600</x:v>
      </x:c>
      <x:c r="F25" s="25" t="str">
        <x:v>입찰 Construction Budget</x:v>
      </x:c>
      <x:c r="G25" s="25" t="str">
        <x:v>아니오</x:v>
      </x:c>
      <x:c r="H25" s="25" t="str">
        <x:v>C</x:v>
      </x:c>
      <x:c r="I25" s="25" t="str">
        <x:v>C</x:v>
      </x:c>
      <x:c r="J25" s="25" t="str">
        <x:v>MATCH</x:v>
      </x:c>
      <x:c r="K25" s="25" t="str">
        <x:v>exact_bid_no</x:v>
      </x:c>
      <x:c r="L25" s="25" t="str">
        <x:v>legacy A/B/C는 비교가능성 등급이라 새 A/B/C로 승계하지 않음</x:v>
      </x:c>
      <x:c r="M25" s="25" t="str">
        <x:v>재검토완료</x:v>
      </x:c>
    </x:row>
    <x:row r="26">
      <x:c r="A26" s="22" t="str">
        <x:v>L2021-00030-1</x:v>
      </x:c>
      <x:c r="B26" s="22" t="str">
        <x:v>2019-00032</x:v>
      </x:c>
      <x:c r="C26" s="22" t="str">
        <x:v>B</x:v>
      </x:c>
      <x:c r="D26" s="31" t="n">
        <x:v>945</x:v>
      </x:c>
      <x:c r="E26" s="34" t="n">
        <x:v>892000</x:v>
      </x:c>
      <x:c r="F26" s="25" t="str">
        <x:v>공사 입찰 집행한도</x:v>
      </x:c>
      <x:c r="G26" s="25" t="str">
        <x:v>아니오</x:v>
      </x:c>
      <x:c r="H26" s="25" t="str">
        <x:v>C</x:v>
      </x:c>
      <x:c r="I26" s="25" t="str">
        <x:v>C</x:v>
      </x:c>
      <x:c r="J26" s="25" t="str">
        <x:v>MATCH</x:v>
      </x:c>
      <x:c r="K26" s="25" t="str">
        <x:v>exact_bid_no</x:v>
      </x:c>
      <x:c r="L26" s="25" t="str">
        <x:v>legacy A/B/C는 비교가능성 등급이라 새 A/B/C로 승계하지 않음</x:v>
      </x:c>
      <x:c r="M26" s="25" t="str">
        <x:v>재검토완료</x:v>
      </x:c>
    </x:row>
    <x:row r="27">
      <x:c r="A27" s="22" t="str">
        <x:v>L2021-00031-1</x:v>
      </x:c>
      <x:c r="B27" s="22" t="str">
        <x:v>2019-00045</x:v>
      </x:c>
      <x:c r="C27" s="22" t="str">
        <x:v>A</x:v>
      </x:c>
      <x:c r="D27" s="31" t="n">
        <x:v>2349.2</x:v>
      </x:c>
      <x:c r="E27" s="34" t="n">
        <x:v>1839007</x:v>
      </x:c>
      <x:c r="F27" s="25" t="str">
        <x:v>공사 입찰 집행한도</x:v>
      </x:c>
      <x:c r="G27" s="25" t="str">
        <x:v>아니오</x:v>
      </x:c>
      <x:c r="H27" s="25" t="str">
        <x:v>C</x:v>
      </x:c>
      <x:c r="I27" s="25" t="str">
        <x:v>C</x:v>
      </x:c>
      <x:c r="J27" s="25" t="str">
        <x:v>MATCH</x:v>
      </x:c>
      <x:c r="K27" s="25" t="str">
        <x:v>exact_bid_no</x:v>
      </x:c>
      <x:c r="L27" s="25" t="str">
        <x:v>legacy A/B/C는 비교가능성 등급이라 새 A/B/C로 승계하지 않음</x:v>
      </x:c>
      <x:c r="M27" s="25" t="str">
        <x:v>재검토완료</x:v>
      </x:c>
    </x:row>
    <x:row r="28">
      <x:c r="A28" s="22" t="str">
        <x:v>L2021-00045-1</x:v>
      </x:c>
      <x:c r="B28" s="22" t="str">
        <x:v>2019-00032</x:v>
      </x:c>
      <x:c r="C28" s="22" t="str">
        <x:v>A</x:v>
      </x:c>
      <x:c r="D28" s="31" t="n">
        <x:v>2866.41</x:v>
      </x:c>
      <x:c r="E28" s="34" t="n">
        <x:v>2415000</x:v>
      </x:c>
      <x:c r="F28" s="25" t="str">
        <x:v>공사 입찰 집행한도</x:v>
      </x:c>
      <x:c r="G28" s="25" t="str">
        <x:v>아니오</x:v>
      </x:c>
      <x:c r="H28" s="25" t="str">
        <x:v>C</x:v>
      </x:c>
      <x:c r="I28" s="25" t="str">
        <x:v>C</x:v>
      </x:c>
      <x:c r="J28" s="25" t="str">
        <x:v>MATCH</x:v>
      </x:c>
      <x:c r="K28" s="25" t="str">
        <x:v>exact_bid_no</x:v>
      </x:c>
      <x:c r="L28" s="25" t="str">
        <x:v>legacy A/B/C는 비교가능성 등급이라 새 A/B/C로 승계하지 않음</x:v>
      </x:c>
      <x:c r="M28" s="25" t="str">
        <x:v>재검토완료</x:v>
      </x:c>
    </x:row>
    <x:row r="29">
      <x:c r="A29" s="22" t="str">
        <x:v>L2022-00007-2</x:v>
      </x:c>
      <x:c r="B29" s="22" t="str">
        <x:v>2016-20098</x:v>
      </x:c>
      <x:c r="C29" s="22" t="str">
        <x:v>C</x:v>
      </x:c>
      <x:c r="D29" s="31" t="n">
        <x:v>1458</x:v>
      </x:c>
      <x:c r="E29" s="34" t="n">
        <x:v>275400</x:v>
      </x:c>
      <x:c r="F29" s="25" t="str">
        <x:v>공사 입찰 집행한도</x:v>
      </x:c>
      <x:c r="G29" s="25" t="str">
        <x:v>아니오</x:v>
      </x:c>
      <x:c r="H29" s="25" t="str">
        <x:v>C</x:v>
      </x:c>
      <x:c r="I29" s="25" t="str">
        <x:v>C</x:v>
      </x:c>
      <x:c r="J29" s="25" t="str">
        <x:v>MATCH</x:v>
      </x:c>
      <x:c r="K29" s="25" t="str">
        <x:v>exact_bid_no</x:v>
      </x:c>
      <x:c r="L29" s="25" t="str">
        <x:v>legacy A/B/C는 비교가능성 등급이라 새 A/B/C로 승계하지 않음</x:v>
      </x:c>
      <x:c r="M29" s="25" t="str">
        <x:v>재검토완료</x:v>
      </x:c>
    </x:row>
    <x:row r="30">
      <x:c r="A30" s="22" t="str">
        <x:v>L2022-00027-1</x:v>
      </x:c>
      <x:c r="B30" s="22" t="str">
        <x:v>2020-00073</x:v>
      </x:c>
      <x:c r="C30" s="22" t="str">
        <x:v>A</x:v>
      </x:c>
      <x:c r="D30" s="31" t="n">
        <x:v>3100</x:v>
      </x:c>
      <x:c r="E30" s="34" t="n">
        <x:v>2670000</x:v>
      </x:c>
      <x:c r="F30" s="25" t="str">
        <x:v>CM 보고서 기반 추정공사비</x:v>
      </x:c>
      <x:c r="G30" s="25" t="str">
        <x:v>아니오</x:v>
      </x:c>
      <x:c r="H30" s="25" t="str">
        <x:v>C</x:v>
      </x:c>
      <x:c r="I30" s="25" t="str">
        <x:v>C</x:v>
      </x:c>
      <x:c r="J30" s="25" t="str">
        <x:v>MATCH_ATTACHMENT_CONSTRUCTION_BUDGET</x:v>
      </x:c>
      <x:c r="K30" s="25" t="str">
        <x:v>exact_bid_no</x:v>
      </x:c>
      <x:c r="L30" s="25" t="str">
        <x:v>legacy A/B/C는 비교가능성 등급이라 새 A/B/C로 승계하지 않음</x:v>
      </x:c>
      <x:c r="M30" s="25" t="str">
        <x:v>재검토완료</x:v>
      </x:c>
    </x:row>
    <x:row r="31">
      <x:c r="A31" s="22" t="str">
        <x:v>L2022-00029-1</x:v>
      </x:c>
      <x:c r="B31" s="22" t="str">
        <x:v>2021-00139</x:v>
      </x:c>
      <x:c r="C31" s="22" t="str">
        <x:v>A</x:v>
      </x:c>
      <x:c r="D31" s="31" t="n">
        <x:v>5640.1</x:v>
      </x:c>
      <x:c r="E31" s="34" t="n">
        <x:v>3744400</x:v>
      </x:c>
      <x:c r="F31" s="25" t="str">
        <x:v>공사 입찰 집행한도</x:v>
      </x:c>
      <x:c r="G31" s="25" t="str">
        <x:v>아니오</x:v>
      </x:c>
      <x:c r="H31" s="25" t="str">
        <x:v>C</x:v>
      </x:c>
      <x:c r="I31" s="25" t="str">
        <x:v>C</x:v>
      </x:c>
      <x:c r="J31" s="25" t="str">
        <x:v>MATCH</x:v>
      </x:c>
      <x:c r="K31" s="25" t="str">
        <x:v>exact_bid_no</x:v>
      </x:c>
      <x:c r="L31" s="25" t="str">
        <x:v>legacy A/B/C는 비교가능성 등급이라 새 A/B/C로 승계하지 않음</x:v>
      </x:c>
      <x:c r="M31" s="25" t="str">
        <x:v>재검토완료</x:v>
      </x:c>
    </x:row>
    <x:row r="32">
      <x:c r="A32" s="22" t="str">
        <x:v>L2022-00043-1</x:v>
      </x:c>
      <x:c r="B32" s="22" t="str">
        <x:v>2020-00113</x:v>
      </x:c>
      <x:c r="C32" s="22" t="str">
        <x:v>A</x:v>
      </x:c>
      <x:c r="D32" s="31" t="n">
        <x:v>2194</x:v>
      </x:c>
      <x:c r="E32" s="34" t="n">
        <x:v>1575000</x:v>
      </x:c>
      <x:c r="F32" s="25" t="str">
        <x:v>공사 입찰 집행한도</x:v>
      </x:c>
      <x:c r="G32" s="25" t="str">
        <x:v>아니오</x:v>
      </x:c>
      <x:c r="H32" s="25" t="str">
        <x:v>C</x:v>
      </x:c>
      <x:c r="I32" s="25" t="str">
        <x:v>C</x:v>
      </x:c>
      <x:c r="J32" s="25" t="str">
        <x:v>MATCH</x:v>
      </x:c>
      <x:c r="K32" s="25" t="str">
        <x:v>exact_bid_no</x:v>
      </x:c>
      <x:c r="L32" s="25" t="str">
        <x:v>legacy A/B/C는 비교가능성 등급이라 새 A/B/C로 승계하지 않음</x:v>
      </x:c>
      <x:c r="M32" s="25" t="str">
        <x:v>재검토완료</x:v>
      </x:c>
    </x:row>
    <x:row r="33">
      <x:c r="A33" s="22" t="str">
        <x:v>L2022-00046-1</x:v>
      </x:c>
      <x:c r="B33" s="22" t="str">
        <x:v>2016-20176</x:v>
      </x:c>
      <x:c r="C33" s="22" t="str">
        <x:v>A</x:v>
      </x:c>
      <x:c r="D33" s="31" t="n">
        <x:v>858</x:v>
      </x:c>
      <x:c r="E33" s="34" t="n">
        <x:v>1507000</x:v>
      </x:c>
      <x:c r="F33" s="25" t="str">
        <x:v>공사 입찰 집행한도</x:v>
      </x:c>
      <x:c r="G33" s="25" t="str">
        <x:v>아니오</x:v>
      </x:c>
      <x:c r="H33" s="25" t="str">
        <x:v>C</x:v>
      </x:c>
      <x:c r="I33" s="25" t="str">
        <x:v>C</x:v>
      </x:c>
      <x:c r="J33" s="25" t="str">
        <x:v>MATCH</x:v>
      </x:c>
      <x:c r="K33" s="25" t="str">
        <x:v>exact_bid_no</x:v>
      </x:c>
      <x:c r="L33" s="25" t="str">
        <x:v>legacy A/B/C는 비교가능성 등급이라 새 A/B/C로 승계하지 않음</x:v>
      </x:c>
      <x:c r="M33" s="25" t="str">
        <x:v>재검토완료</x:v>
      </x:c>
    </x:row>
    <x:row r="34">
      <x:c r="A34" s="22" t="str">
        <x:v>L2022-00055-1</x:v>
      </x:c>
      <x:c r="B34" s="22" t="str">
        <x:v>2019-00015</x:v>
      </x:c>
      <x:c r="C34" s="22" t="str">
        <x:v>B</x:v>
      </x:c>
      <x:c r="D34" s="31" t="n">
        <x:v>449.72</x:v>
      </x:c>
      <x:c r="E34" s="34" t="n">
        <x:v>420285</x:v>
      </x:c>
      <x:c r="F34" s="25" t="str">
        <x:v>공사 입찰 집행한도</x:v>
      </x:c>
      <x:c r="G34" s="25" t="str">
        <x:v>아니오</x:v>
      </x:c>
      <x:c r="H34" s="25" t="str">
        <x:v>C</x:v>
      </x:c>
      <x:c r="I34" s="25" t="str">
        <x:v>C</x:v>
      </x:c>
      <x:c r="J34" s="25" t="str">
        <x:v>MATCH</x:v>
      </x:c>
      <x:c r="K34" s="25" t="str">
        <x:v>exact_bid_no</x:v>
      </x:c>
      <x:c r="L34" s="25" t="str">
        <x:v>legacy A/B/C는 비교가능성 등급이라 새 A/B/C로 승계하지 않음</x:v>
      </x:c>
      <x:c r="M34" s="25" t="str">
        <x:v>재검토완료</x:v>
      </x:c>
    </x:row>
    <x:row r="35">
      <x:c r="A35" s="22" t="str">
        <x:v>L2023-00009-1</x:v>
      </x:c>
      <x:c r="B35" s="22" t="str">
        <x:v>2019-00005</x:v>
      </x:c>
      <x:c r="C35" s="22" t="str">
        <x:v>B</x:v>
      </x:c>
      <x:c r="D35" s="31" t="n">
        <x:v>827.4</x:v>
      </x:c>
      <x:c r="E35" s="34" t="n">
        <x:v>272603</x:v>
      </x:c>
      <x:c r="F35" s="25" t="str">
        <x:v>공사 입찰 집행한도</x:v>
      </x:c>
      <x:c r="G35" s="25" t="str">
        <x:v>아니오</x:v>
      </x:c>
      <x:c r="H35" s="25" t="str">
        <x:v>C</x:v>
      </x:c>
      <x:c r="I35" s="25" t="str">
        <x:v>C</x:v>
      </x:c>
      <x:c r="J35" s="25" t="str">
        <x:v>MATCH</x:v>
      </x:c>
      <x:c r="K35" s="25" t="str">
        <x:v>exact_bid_no</x:v>
      </x:c>
      <x:c r="L35" s="25" t="str">
        <x:v>legacy A/B/C는 비교가능성 등급이라 새 A/B/C로 승계하지 않음</x:v>
      </x:c>
      <x:c r="M35" s="25" t="str">
        <x:v>재검토완료</x:v>
      </x:c>
    </x:row>
    <x:row r="36">
      <x:c r="A36" s="22" t="str">
        <x:v>L2023-00011-1</x:v>
      </x:c>
      <x:c r="B36" s="22" t="str">
        <x:v>2021-00043</x:v>
      </x:c>
      <x:c r="C36" s="22" t="str">
        <x:v>C</x:v>
      </x:c>
      <x:c r="D36" s="31" t="n">
        <x:v>6456</x:v>
      </x:c>
      <x:c r="E36" s="34" t="n">
        <x:v>1540000</x:v>
      </x:c>
      <x:c r="F36" s="25" t="str">
        <x:v>공사 입찰 집행한도</x:v>
      </x:c>
      <x:c r="G36" s="25" t="str">
        <x:v>아니오</x:v>
      </x:c>
      <x:c r="H36" s="25" t="str">
        <x:v>C</x:v>
      </x:c>
      <x:c r="I36" s="25" t="str">
        <x:v>C</x:v>
      </x:c>
      <x:c r="J36" s="25" t="str">
        <x:v>MATCH</x:v>
      </x:c>
      <x:c r="K36" s="25" t="str">
        <x:v>exact_bid_no</x:v>
      </x:c>
      <x:c r="L36" s="25" t="str">
        <x:v>legacy A/B/C는 비교가능성 등급이라 새 A/B/C로 승계하지 않음</x:v>
      </x:c>
      <x:c r="M36" s="25" t="str">
        <x:v>재검토완료</x:v>
      </x:c>
    </x:row>
    <x:row r="37">
      <x:c r="A37" s="22" t="str">
        <x:v>L2023-00018-1</x:v>
      </x:c>
      <x:c r="B37" s="22" t="str">
        <x:v>2020-00087</x:v>
      </x:c>
      <x:c r="C37" s="22" t="str">
        <x:v>C</x:v>
      </x:c>
      <x:c r="D37" s="31" t="n">
        <x:v>6149</x:v>
      </x:c>
      <x:c r="E37" s="34" t="n">
        <x:v>2355000</x:v>
      </x:c>
      <x:c r="F37" s="25" t="str">
        <x:v>공사 입찰 집행한도</x:v>
      </x:c>
      <x:c r="G37" s="25" t="str">
        <x:v>아니오</x:v>
      </x:c>
      <x:c r="H37" s="25" t="str">
        <x:v>C</x:v>
      </x:c>
      <x:c r="I37" s="25" t="str">
        <x:v>C</x:v>
      </x:c>
      <x:c r="J37" s="25" t="str">
        <x:v>MATCH</x:v>
      </x:c>
      <x:c r="K37" s="25" t="str">
        <x:v>exact_bid_no</x:v>
      </x:c>
      <x:c r="L37" s="25" t="str">
        <x:v>legacy A/B/C는 비교가능성 등급이라 새 A/B/C로 승계하지 않음</x:v>
      </x:c>
      <x:c r="M37" s="25" t="str">
        <x:v>재검토완료</x:v>
      </x:c>
    </x:row>
    <x:row r="38">
      <x:c r="A38" s="22" t="str">
        <x:v>L2023-00021-1</x:v>
      </x:c>
      <x:c r="B38" s="22" t="str">
        <x:v>2021-00064</x:v>
      </x:c>
      <x:c r="C38" s="22" t="str">
        <x:v>A</x:v>
      </x:c>
      <x:c r="D38" s="31"/>
      <x:c r="E38" s="34"/>
      <x:c r="F38" s="25" t="str">
        <x:v>사무소 협의 적용단가</x:v>
      </x:c>
      <x:c r="G38" s="25" t="str">
        <x:v>아니오</x:v>
      </x:c>
      <x:c r="H38" s="25" t="str">
        <x:v>X</x:v>
      </x:c>
      <x:c r="I38" s="25" t="str">
        <x:v>X</x:v>
      </x:c>
      <x:c r="J38" s="25" t="str">
        <x:v>NO_MATCH</x:v>
      </x:c>
      <x:c r="K38" s="25" t="str">
        <x:v>exact_bid_no</x:v>
      </x:c>
      <x:c r="L38" s="25" t="str">
        <x:v>legacy A/B/C는 비교가능성 등급이라 새 A/B/C로 승계하지 않음</x:v>
      </x:c>
      <x:c r="M38" s="25" t="str">
        <x:v>재검토완료</x:v>
      </x:c>
    </x:row>
    <x:row r="39">
      <x:c r="A39" s="22" t="str">
        <x:v>L2023-00022-1</x:v>
      </x:c>
      <x:c r="B39" s="22" t="str">
        <x:v>2021-00075</x:v>
      </x:c>
      <x:c r="C39" s="22" t="str">
        <x:v>C</x:v>
      </x:c>
      <x:c r="D39" s="31" t="n">
        <x:v>826.8</x:v>
      </x:c>
      <x:c r="E39" s="34" t="n">
        <x:v>1570000</x:v>
      </x:c>
      <x:c r="F39" s="25" t="str">
        <x:v>공사 입찰 집행한도</x:v>
      </x:c>
      <x:c r="G39" s="25" t="str">
        <x:v>아니오</x:v>
      </x:c>
      <x:c r="H39" s="25" t="str">
        <x:v>C</x:v>
      </x:c>
      <x:c r="I39" s="25" t="str">
        <x:v>C</x:v>
      </x:c>
      <x:c r="J39" s="25" t="str">
        <x:v>MATCH</x:v>
      </x:c>
      <x:c r="K39" s="25" t="str">
        <x:v>exact_bid_no</x:v>
      </x:c>
      <x:c r="L39" s="25" t="str">
        <x:v>legacy A/B/C는 비교가능성 등급이라 새 A/B/C로 승계하지 않음</x:v>
      </x:c>
      <x:c r="M39" s="25" t="str">
        <x:v>재검토완료</x:v>
      </x:c>
    </x:row>
    <x:row r="40">
      <x:c r="A40" s="22" t="str">
        <x:v>L2023-00035-1</x:v>
      </x:c>
      <x:c r="B40" s="22" t="str">
        <x:v>2019-00015</x:v>
      </x:c>
      <x:c r="C40" s="22" t="str">
        <x:v>C</x:v>
      </x:c>
      <x:c r="D40" s="31" t="n">
        <x:v>1739.82</x:v>
      </x:c>
      <x:c r="E40" s="34" t="n">
        <x:v>388511</x:v>
      </x:c>
      <x:c r="F40" s="25" t="str">
        <x:v>공사 입찰 집행한도</x:v>
      </x:c>
      <x:c r="G40" s="25" t="str">
        <x:v>아니오</x:v>
      </x:c>
      <x:c r="H40" s="25" t="str">
        <x:v>C</x:v>
      </x:c>
      <x:c r="I40" s="25" t="str">
        <x:v>C</x:v>
      </x:c>
      <x:c r="J40" s="25" t="str">
        <x:v>MATCH</x:v>
      </x:c>
      <x:c r="K40" s="25" t="str">
        <x:v>exact_bid_no</x:v>
      </x:c>
      <x:c r="L40" s="25" t="str">
        <x:v>legacy A/B/C는 비교가능성 등급이라 새 A/B/C로 승계하지 않음</x:v>
      </x:c>
      <x:c r="M40" s="25" t="str">
        <x:v>재검토완료</x:v>
      </x:c>
    </x:row>
    <x:row r="41">
      <x:c r="A41" s="22" t="str">
        <x:v>L2023-00038-1</x:v>
      </x:c>
      <x:c r="B41" s="22" t="str">
        <x:v>2022-00076</x:v>
      </x:c>
      <x:c r="C41" s="22" t="str">
        <x:v>B</x:v>
      </x:c>
      <x:c r="D41" s="31" t="n">
        <x:v>2700</x:v>
      </x:c>
      <x:c r="E41" s="34" t="n">
        <x:v>5627206</x:v>
      </x:c>
      <x:c r="F41" s="25" t="str">
        <x:v>설계입찰 단계 공사비 예산</x:v>
      </x:c>
      <x:c r="G41" s="25" t="str">
        <x:v>아니오</x:v>
      </x:c>
      <x:c r="H41" s="25" t="str">
        <x:v>C-부분</x:v>
      </x:c>
      <x:c r="I41" s="25" t="str">
        <x:v>B</x:v>
      </x:c>
      <x:c r="J41" s="25" t="str">
        <x:v>PARTIAL_ATTACHMENT_CONSTRUCTION_BUDGET</x:v>
      </x:c>
      <x:c r="K41" s="25" t="str">
        <x:v>exact_bid_no</x:v>
      </x:c>
      <x:c r="L41" s="25" t="str">
        <x:v>legacy A/B/C는 비교가능성 등급이라 새 A/B/C로 승계하지 않음</x:v>
      </x:c>
      <x:c r="M41" s="25" t="str">
        <x:v>재검토완료</x:v>
      </x:c>
    </x:row>
    <x:row r="42">
      <x:c r="A42" s="22" t="str">
        <x:v>L2023-00045-1</x:v>
      </x:c>
      <x:c r="B42" s="22" t="str">
        <x:v>2021-00055</x:v>
      </x:c>
      <x:c r="C42" s="22" t="str">
        <x:v>B</x:v>
      </x:c>
      <x:c r="D42" s="31" t="n">
        <x:v>453</x:v>
      </x:c>
      <x:c r="E42" s="34" t="n">
        <x:v>297000</x:v>
      </x:c>
      <x:c r="F42" s="25" t="str">
        <x:v>공사 입찰 집행한도</x:v>
      </x:c>
      <x:c r="G42" s="25" t="str">
        <x:v>아니오</x:v>
      </x:c>
      <x:c r="H42" s="25" t="str">
        <x:v>C</x:v>
      </x:c>
      <x:c r="I42" s="25" t="str">
        <x:v>C</x:v>
      </x:c>
      <x:c r="J42" s="25" t="str">
        <x:v>MATCH</x:v>
      </x:c>
      <x:c r="K42" s="25" t="str">
        <x:v>exact_bid_no</x:v>
      </x:c>
      <x:c r="L42" s="25" t="str">
        <x:v>legacy A/B/C는 비교가능성 등급이라 새 A/B/C로 승계하지 않음</x:v>
      </x:c>
      <x:c r="M42" s="25" t="str">
        <x:v>재검토완료</x:v>
      </x:c>
    </x:row>
    <x:row r="43">
      <x:c r="A43" s="22" t="str">
        <x:v>L2023-00053-1</x:v>
      </x:c>
      <x:c r="B43" s="22" t="str">
        <x:v>2020-00086</x:v>
      </x:c>
      <x:c r="C43" s="22" t="str">
        <x:v>A</x:v>
      </x:c>
      <x:c r="D43" s="31" t="n">
        <x:v>6963</x:v>
      </x:c>
      <x:c r="E43" s="34" t="n">
        <x:v>5361576</x:v>
      </x:c>
      <x:c r="F43" s="25" t="str">
        <x:v>공사 입찰 집행한도</x:v>
      </x:c>
      <x:c r="G43" s="25" t="str">
        <x:v>아니오</x:v>
      </x:c>
      <x:c r="H43" s="25" t="str">
        <x:v>C</x:v>
      </x:c>
      <x:c r="I43" s="25" t="str">
        <x:v>B</x:v>
      </x:c>
      <x:c r="J43" s="25" t="str">
        <x:v>MATCH</x:v>
      </x:c>
      <x:c r="K43" s="25" t="str">
        <x:v>exact_bid_no</x:v>
      </x:c>
      <x:c r="L43" s="25" t="str">
        <x:v>legacy A/B/C는 비교가능성 등급이라 새 A/B/C로 승계하지 않음</x:v>
      </x:c>
      <x:c r="M43" s="25" t="str">
        <x:v>재검토완료</x:v>
      </x:c>
    </x:row>
    <x:row r="44">
      <x:c r="A44" s="22" t="str">
        <x:v>L2023-00060-1</x:v>
      </x:c>
      <x:c r="B44" s="22" t="str">
        <x:v>2019-00037</x:v>
      </x:c>
      <x:c r="C44" s="22" t="str">
        <x:v>A</x:v>
      </x:c>
      <x:c r="D44" s="31" t="n">
        <x:v>2983</x:v>
      </x:c>
      <x:c r="E44" s="34" t="n">
        <x:v>3875000</x:v>
      </x:c>
      <x:c r="F44" s="25" t="str">
        <x:v>공사 입찰 집행한도</x:v>
      </x:c>
      <x:c r="G44" s="25" t="str">
        <x:v>아니오</x:v>
      </x:c>
      <x:c r="H44" s="25" t="str">
        <x:v>C</x:v>
      </x:c>
      <x:c r="I44" s="25" t="str">
        <x:v>C</x:v>
      </x:c>
      <x:c r="J44" s="25" t="str">
        <x:v>MATCH</x:v>
      </x:c>
      <x:c r="K44" s="25" t="str">
        <x:v>exact_bid_no</x:v>
      </x:c>
      <x:c r="L44" s="25" t="str">
        <x:v>legacy A/B/C는 비교가능성 등급이라 새 A/B/C로 승계하지 않음</x:v>
      </x:c>
      <x:c r="M44" s="25" t="str">
        <x:v>재검토완료</x:v>
      </x:c>
    </x:row>
    <x:row r="45">
      <x:c r="A45" s="22" t="str">
        <x:v>L2023-00067-1</x:v>
      </x:c>
      <x:c r="B45" s="22" t="str">
        <x:v>2020-00099</x:v>
      </x:c>
      <x:c r="C45" s="22" t="str">
        <x:v>B</x:v>
      </x:c>
      <x:c r="D45" s="31" t="n">
        <x:v>420</x:v>
      </x:c>
      <x:c r="E45" s="34" t="n">
        <x:v>280621</x:v>
      </x:c>
      <x:c r="F45" s="25" t="str">
        <x:v>공사 입찰 집행한도</x:v>
      </x:c>
      <x:c r="G45" s="25" t="str">
        <x:v>아니오</x:v>
      </x:c>
      <x:c r="H45" s="25" t="str">
        <x:v>C</x:v>
      </x:c>
      <x:c r="I45" s="25" t="str">
        <x:v>C</x:v>
      </x:c>
      <x:c r="J45" s="25" t="str">
        <x:v>MATCH</x:v>
      </x:c>
      <x:c r="K45" s="25" t="str">
        <x:v>exact_bid_no</x:v>
      </x:c>
      <x:c r="L45" s="25" t="str">
        <x:v>legacy A/B/C는 비교가능성 등급이라 새 A/B/C로 승계하지 않음</x:v>
      </x:c>
      <x:c r="M45" s="25" t="str">
        <x:v>재검토완료</x:v>
      </x:c>
    </x:row>
    <x:row r="46">
      <x:c r="A46" s="22" t="str">
        <x:v>L2023-00068-1</x:v>
      </x:c>
      <x:c r="B46" s="22" t="str">
        <x:v>2011-00008</x:v>
      </x:c>
      <x:c r="C46" s="22" t="str">
        <x:v>C</x:v>
      </x:c>
      <x:c r="D46" s="31" t="n">
        <x:v>3500</x:v>
      </x:c>
      <x:c r="E46" s="34" t="n">
        <x:v>239882</x:v>
      </x:c>
      <x:c r="F46" s="25" t="str">
        <x:v>공사 입찰 집행한도</x:v>
      </x:c>
      <x:c r="G46" s="25" t="str">
        <x:v>아니오</x:v>
      </x:c>
      <x:c r="H46" s="25" t="str">
        <x:v>C</x:v>
      </x:c>
      <x:c r="I46" s="25" t="str">
        <x:v>C</x:v>
      </x:c>
      <x:c r="J46" s="25" t="str">
        <x:v>MATCH</x:v>
      </x:c>
      <x:c r="K46" s="25" t="str">
        <x:v>exact_bid_no</x:v>
      </x:c>
      <x:c r="L46" s="25" t="str">
        <x:v>legacy A/B/C는 비교가능성 등급이라 새 A/B/C로 승계하지 않음</x:v>
      </x:c>
      <x:c r="M46" s="25" t="str">
        <x:v>재검토완료</x:v>
      </x:c>
    </x:row>
    <x:row r="47">
      <x:c r="A47" s="22" t="str">
        <x:v>L2024-00031-1</x:v>
      </x:c>
      <x:c r="B47" s="22" t="str">
        <x:v>2022-00009</x:v>
      </x:c>
      <x:c r="C47" s="22" t="str">
        <x:v>A</x:v>
      </x:c>
      <x:c r="D47" s="31" t="n">
        <x:v>5898.25</x:v>
      </x:c>
      <x:c r="E47" s="34" t="n">
        <x:v>4653720</x:v>
      </x:c>
      <x:c r="F47" s="25" t="str">
        <x:v>공사 입찰 집행한도</x:v>
      </x:c>
      <x:c r="G47" s="25" t="str">
        <x:v>아니오</x:v>
      </x:c>
      <x:c r="H47" s="25" t="str">
        <x:v>C</x:v>
      </x:c>
      <x:c r="I47" s="25" t="str">
        <x:v>C</x:v>
      </x:c>
      <x:c r="J47" s="25" t="str">
        <x:v>MATCH</x:v>
      </x:c>
      <x:c r="K47" s="25" t="str">
        <x:v>exact_bid_no</x:v>
      </x:c>
      <x:c r="L47" s="25" t="str">
        <x:v>legacy A/B/C는 비교가능성 등급이라 새 A/B/C로 승계하지 않음</x:v>
      </x:c>
      <x:c r="M47" s="25" t="str">
        <x:v>재검토완료</x:v>
      </x:c>
    </x:row>
    <x:row r="48">
      <x:c r="A48" s="22" t="str">
        <x:v>L2024-00039-1</x:v>
      </x:c>
      <x:c r="B48" s="22" t="str">
        <x:v>2014-00016</x:v>
      </x:c>
      <x:c r="C48" s="22" t="str">
        <x:v>C</x:v>
      </x:c>
      <x:c r="D48" s="31" t="n">
        <x:v>8217</x:v>
      </x:c>
      <x:c r="E48" s="34" t="n">
        <x:v>1811491</x:v>
      </x:c>
      <x:c r="F48" s="25" t="str">
        <x:v>공사 입찰 집행한도</x:v>
      </x:c>
      <x:c r="G48" s="25" t="str">
        <x:v>아니오</x:v>
      </x:c>
      <x:c r="H48" s="25" t="str">
        <x:v>C</x:v>
      </x:c>
      <x:c r="I48" s="25" t="str">
        <x:v>C</x:v>
      </x:c>
      <x:c r="J48" s="25" t="str">
        <x:v>MATCH</x:v>
      </x:c>
      <x:c r="K48" s="25" t="str">
        <x:v>exact_bid_no</x:v>
      </x:c>
      <x:c r="L48" s="25" t="str">
        <x:v>legacy A/B/C는 비교가능성 등급이라 새 A/B/C로 승계하지 않음</x:v>
      </x:c>
      <x:c r="M48" s="25" t="str">
        <x:v>재검토완료</x:v>
      </x:c>
    </x:row>
    <x:row r="49">
      <x:c r="A49" s="22" t="str">
        <x:v>L2024-00049-2</x:v>
      </x:c>
      <x:c r="B49" s="22" t="str">
        <x:v>2021-00111</x:v>
      </x:c>
      <x:c r="C49" s="22" t="str">
        <x:v>A</x:v>
      </x:c>
      <x:c r="D49" s="31" t="n">
        <x:v>788.12</x:v>
      </x:c>
      <x:c r="E49" s="34" t="n">
        <x:v>965000</x:v>
      </x:c>
      <x:c r="F49" s="25" t="str">
        <x:v>공사 입찰 집행한도</x:v>
      </x:c>
      <x:c r="G49" s="25" t="str">
        <x:v>아니오</x:v>
      </x:c>
      <x:c r="H49" s="25" t="str">
        <x:v>C</x:v>
      </x:c>
      <x:c r="I49" s="25" t="str">
        <x:v>C</x:v>
      </x:c>
      <x:c r="J49" s="25" t="str">
        <x:v>MATCH</x:v>
      </x:c>
      <x:c r="K49" s="25" t="str">
        <x:v>exact_bid_no</x:v>
      </x:c>
      <x:c r="L49" s="25" t="str">
        <x:v>legacy A/B/C는 비교가능성 등급이라 새 A/B/C로 승계하지 않음</x:v>
      </x:c>
      <x:c r="M49" s="25" t="str">
        <x:v>재검토완료</x:v>
      </x:c>
    </x:row>
    <x:row r="50">
      <x:c r="A50" s="22" t="str">
        <x:v>L2024-00050-1</x:v>
      </x:c>
      <x:c r="B50" s="22" t="str">
        <x:v>2021-00042</x:v>
      </x:c>
      <x:c r="C50" s="22" t="str">
        <x:v>B</x:v>
      </x:c>
      <x:c r="D50" s="31" t="n">
        <x:v>4032</x:v>
      </x:c>
      <x:c r="E50" s="34" t="n">
        <x:v>3910000</x:v>
      </x:c>
      <x:c r="F50" s="25" t="str">
        <x:v>공사 입찰 집행한도</x:v>
      </x:c>
      <x:c r="G50" s="25" t="str">
        <x:v>아니오</x:v>
      </x:c>
      <x:c r="H50" s="25" t="str">
        <x:v>C</x:v>
      </x:c>
      <x:c r="I50" s="25" t="str">
        <x:v>C</x:v>
      </x:c>
      <x:c r="J50" s="25" t="str">
        <x:v>MATCH</x:v>
      </x:c>
      <x:c r="K50" s="25" t="str">
        <x:v>exact_bid_no</x:v>
      </x:c>
      <x:c r="L50" s="25" t="str">
        <x:v>legacy A/B/C는 비교가능성 등급이라 새 A/B/C로 승계하지 않음</x:v>
      </x:c>
      <x:c r="M50" s="25" t="str">
        <x:v>재검토완료</x:v>
      </x:c>
    </x:row>
    <x:row r="51">
      <x:c r="A51" s="22" t="str">
        <x:v>L2024-00066-1</x:v>
      </x:c>
      <x:c r="B51" s="22" t="str">
        <x:v>2023-00032</x:v>
      </x:c>
      <x:c r="C51" s="22" t="str">
        <x:v>A</x:v>
      </x:c>
      <x:c r="D51" s="31" t="n">
        <x:v>1060</x:v>
      </x:c>
      <x:c r="E51" s="34" t="n">
        <x:v>2406346</x:v>
      </x:c>
      <x:c r="F51" s="25" t="str">
        <x:v>ToR 공사비 예산</x:v>
      </x:c>
      <x:c r="G51" s="25" t="str">
        <x:v>아니오</x:v>
      </x:c>
      <x:c r="H51" s="25" t="str">
        <x:v>C</x:v>
      </x:c>
      <x:c r="I51" s="25" t="str">
        <x:v>C</x:v>
      </x:c>
      <x:c r="J51" s="25" t="str">
        <x:v>MATCH_ATTACHMENT_CONSTRUCTION_BUDGET</x:v>
      </x:c>
      <x:c r="K51" s="25" t="str">
        <x:v>exact_bid_no</x:v>
      </x:c>
      <x:c r="L51" s="25" t="str">
        <x:v>legacy A/B/C는 비교가능성 등급이라 새 A/B/C로 승계하지 않음</x:v>
      </x:c>
      <x:c r="M51" s="25" t="str">
        <x:v>재검토완료</x:v>
      </x:c>
    </x:row>
    <x:row r="52">
      <x:c r="A52" s="22" t="str">
        <x:v>L2024-00075-1</x:v>
      </x:c>
      <x:c r="B52" s="22" t="str">
        <x:v>2020-00023</x:v>
      </x:c>
      <x:c r="C52" s="22" t="str">
        <x:v>A</x:v>
      </x:c>
      <x:c r="D52" s="31" t="n">
        <x:v>700</x:v>
      </x:c>
      <x:c r="E52" s="34" t="n">
        <x:v>624034</x:v>
      </x:c>
      <x:c r="F52" s="25" t="str">
        <x:v>BDS Project Budget</x:v>
      </x:c>
      <x:c r="G52" s="25" t="str">
        <x:v>아니오</x:v>
      </x:c>
      <x:c r="H52" s="25" t="str">
        <x:v>C</x:v>
      </x:c>
      <x:c r="I52" s="25" t="str">
        <x:v>C</x:v>
      </x:c>
      <x:c r="J52" s="25" t="str">
        <x:v>MATCH</x:v>
      </x:c>
      <x:c r="K52" s="25" t="str">
        <x:v>exact_bid_no</x:v>
      </x:c>
      <x:c r="L52" s="25" t="str">
        <x:v>legacy A/B/C는 비교가능성 등급이라 새 A/B/C로 승계하지 않음</x:v>
      </x:c>
      <x:c r="M52" s="25" t="str">
        <x:v>재검토완료</x:v>
      </x:c>
    </x:row>
    <x:row r="53">
      <x:c r="A53" s="22" t="str">
        <x:v>L2024-00078-1</x:v>
      </x:c>
      <x:c r="B53" s="22" t="str">
        <x:v>2020-00070</x:v>
      </x:c>
      <x:c r="C53" s="22" t="str">
        <x:v>A</x:v>
      </x:c>
      <x:c r="D53" s="31" t="n">
        <x:v>936.2</x:v>
      </x:c>
      <x:c r="E53" s="34" t="n">
        <x:v>1187000</x:v>
      </x:c>
      <x:c r="F53" s="25" t="str">
        <x:v>공사 입찰 집행한도</x:v>
      </x:c>
      <x:c r="G53" s="25" t="str">
        <x:v>아니오</x:v>
      </x:c>
      <x:c r="H53" s="25" t="str">
        <x:v>B-부분</x:v>
      </x:c>
      <x:c r="I53" s="25" t="str">
        <x:v>B-부분</x:v>
      </x:c>
      <x:c r="J53" s="25" t="str">
        <x:v>MATCH</x:v>
      </x:c>
      <x:c r="K53" s="25" t="str">
        <x:v>exact_bid_no</x:v>
      </x:c>
      <x:c r="L53" s="25" t="str">
        <x:v>legacy A/B/C는 비교가능성 등급이라 새 A/B/C로 승계하지 않음</x:v>
      </x:c>
      <x:c r="M53" s="25" t="str">
        <x:v>재검토완료</x:v>
      </x:c>
    </x:row>
    <x:row r="54">
      <x:c r="A54" s="22" t="str">
        <x:v>L2024-00079-1</x:v>
      </x:c>
      <x:c r="B54" s="22" t="str">
        <x:v>2023-00052</x:v>
      </x:c>
      <x:c r="C54" s="22" t="str">
        <x:v>A</x:v>
      </x:c>
      <x:c r="D54" s="31" t="n">
        <x:v>4996.62</x:v>
      </x:c>
      <x:c r="E54" s="34" t="n">
        <x:v>3534542</x:v>
      </x:c>
      <x:c r="F54" s="25" t="str">
        <x:v>공사 입찰 집행한도</x:v>
      </x:c>
      <x:c r="G54" s="25" t="str">
        <x:v>아니오</x:v>
      </x:c>
      <x:c r="H54" s="25" t="str">
        <x:v>C</x:v>
      </x:c>
      <x:c r="I54" s="25" t="str">
        <x:v>C</x:v>
      </x:c>
      <x:c r="J54" s="25" t="str">
        <x:v>MATCH</x:v>
      </x:c>
      <x:c r="K54" s="25" t="str">
        <x:v>exact_bid_no</x:v>
      </x:c>
      <x:c r="L54" s="25" t="str">
        <x:v>legacy A/B/C는 비교가능성 등급이라 새 A/B/C로 승계하지 않음</x:v>
      </x:c>
      <x:c r="M54" s="25" t="str">
        <x:v>재검토완료</x:v>
      </x:c>
    </x:row>
    <x:row r="55">
      <x:c r="A55" s="22" t="str">
        <x:v>L2025-00002-1</x:v>
      </x:c>
      <x:c r="B55" s="22" t="str">
        <x:v>2022-00079</x:v>
      </x:c>
      <x:c r="C55" s="22" t="str">
        <x:v>A</x:v>
      </x:c>
      <x:c r="D55" s="31" t="n">
        <x:v>2457.53</x:v>
      </x:c>
      <x:c r="E55" s="34" t="n">
        <x:v>2361000</x:v>
      </x:c>
      <x:c r="F55" s="25" t="str">
        <x:v>공사 입찰 집행한도</x:v>
      </x:c>
      <x:c r="G55" s="25" t="str">
        <x:v>아니오</x:v>
      </x:c>
      <x:c r="H55" s="25" t="str">
        <x:v>C</x:v>
      </x:c>
      <x:c r="I55" s="25" t="str">
        <x:v>C</x:v>
      </x:c>
      <x:c r="J55" s="25" t="str">
        <x:v>MATCH</x:v>
      </x:c>
      <x:c r="K55" s="25" t="str">
        <x:v>exact_bid_no</x:v>
      </x:c>
      <x:c r="L55" s="25" t="str">
        <x:v>legacy A/B/C는 비교가능성 등급이라 새 A/B/C로 승계하지 않음</x:v>
      </x:c>
      <x:c r="M55" s="25" t="str">
        <x:v>재검토완료</x:v>
      </x:c>
    </x:row>
    <x:row r="56">
      <x:c r="A56" s="22" t="str">
        <x:v>L2025-00008-1</x:v>
      </x:c>
      <x:c r="B56" s="22" t="str">
        <x:v>2021-00126</x:v>
      </x:c>
      <x:c r="C56" s="22" t="str">
        <x:v>A</x:v>
      </x:c>
      <x:c r="D56" s="31" t="n">
        <x:v>404.94</x:v>
      </x:c>
      <x:c r="E56" s="34" t="n">
        <x:v>555810</x:v>
      </x:c>
      <x:c r="F56" s="25" t="str">
        <x:v>공사 입찰 집행한도</x:v>
      </x:c>
      <x:c r="G56" s="25" t="str">
        <x:v>아니오</x:v>
      </x:c>
      <x:c r="H56" s="25" t="str">
        <x:v>C</x:v>
      </x:c>
      <x:c r="I56" s="25" t="str">
        <x:v>C</x:v>
      </x:c>
      <x:c r="J56" s="25" t="str">
        <x:v>MATCH</x:v>
      </x:c>
      <x:c r="K56" s="25" t="str">
        <x:v>exact_bid_no</x:v>
      </x:c>
      <x:c r="L56" s="25" t="str">
        <x:v>legacy A/B/C는 비교가능성 등급이라 새 A/B/C로 승계하지 않음</x:v>
      </x:c>
      <x:c r="M56" s="25" t="str">
        <x:v>재검토완료</x:v>
      </x:c>
    </x:row>
    <x:row r="57">
      <x:c r="A57" s="22" t="str">
        <x:v>L2025-00012-2</x:v>
      </x:c>
      <x:c r="B57" s="22" t="str">
        <x:v>2013-00064</x:v>
      </x:c>
      <x:c r="C57" s="22" t="str">
        <x:v>B</x:v>
      </x:c>
      <x:c r="D57" s="31" t="n">
        <x:v>87.22</x:v>
      </x:c>
      <x:c r="E57" s="34" t="n">
        <x:v>98954</x:v>
      </x:c>
      <x:c r="F57" s="25" t="str">
        <x:v>공사 입찰 집행한도</x:v>
      </x:c>
      <x:c r="G57" s="25" t="str">
        <x:v>아니오</x:v>
      </x:c>
      <x:c r="H57" s="25" t="str">
        <x:v>B</x:v>
      </x:c>
      <x:c r="I57" s="25" t="str">
        <x:v>B</x:v>
      </x:c>
      <x:c r="J57" s="25" t="str">
        <x:v>MATCH</x:v>
      </x:c>
      <x:c r="K57" s="25" t="str">
        <x:v>exact_bid_no</x:v>
      </x:c>
      <x:c r="L57" s="25" t="str">
        <x:v>legacy A/B/C는 비교가능성 등급이라 새 A/B/C로 승계하지 않음</x:v>
      </x:c>
      <x:c r="M57" s="25" t="str">
        <x:v>재검토완료</x:v>
      </x:c>
    </x:row>
    <x:row r="58">
      <x:c r="A58" s="22" t="str">
        <x:v>L2025-00016-2</x:v>
      </x:c>
      <x:c r="B58" s="22" t="str">
        <x:v>2018-56501</x:v>
      </x:c>
      <x:c r="C58" s="22" t="str">
        <x:v>C</x:v>
      </x:c>
      <x:c r="D58" s="31" t="n">
        <x:v>15500</x:v>
      </x:c>
      <x:c r="E58" s="34" t="n">
        <x:v>230586</x:v>
      </x:c>
      <x:c r="F58" s="25" t="str">
        <x:v>공사 입찰 집행한도</x:v>
      </x:c>
      <x:c r="G58" s="25" t="str">
        <x:v>아니오</x:v>
      </x:c>
      <x:c r="H58" s="25" t="str">
        <x:v>C-부분</x:v>
      </x:c>
      <x:c r="I58" s="25" t="str">
        <x:v>C-부분</x:v>
      </x:c>
      <x:c r="J58" s="25" t="str">
        <x:v>PARTIAL_SCOPE</x:v>
      </x:c>
      <x:c r="K58" s="25" t="str">
        <x:v>exact_bid_no</x:v>
      </x:c>
      <x:c r="L58" s="25" t="str">
        <x:v>legacy A/B/C는 비교가능성 등급이라 새 A/B/C로 승계하지 않음</x:v>
      </x:c>
      <x:c r="M58" s="25" t="str">
        <x:v>재검토완료</x:v>
      </x:c>
    </x:row>
    <x:row r="59">
      <x:c r="A59" s="22" t="str">
        <x:v>L2025-00018-1</x:v>
      </x:c>
      <x:c r="B59" s="22" t="str">
        <x:v>2021-00016</x:v>
      </x:c>
      <x:c r="C59" s="22" t="str">
        <x:v>A</x:v>
      </x:c>
      <x:c r="D59" s="31" t="n">
        <x:v>2684.36</x:v>
      </x:c>
      <x:c r="E59" s="34" t="n">
        <x:v>4333427</x:v>
      </x:c>
      <x:c r="F59" s="25" t="str">
        <x:v>공사 입찰 집행한도</x:v>
      </x:c>
      <x:c r="G59" s="25" t="str">
        <x:v>아니오</x:v>
      </x:c>
      <x:c r="H59" s="25" t="str">
        <x:v>A</x:v>
      </x:c>
      <x:c r="I59" s="25" t="str">
        <x:v>A</x:v>
      </x:c>
      <x:c r="J59" s="25" t="str">
        <x:v>MATCH</x:v>
      </x:c>
      <x:c r="K59" s="25" t="str">
        <x:v>exact_bid_no</x:v>
      </x:c>
      <x:c r="L59" s="25" t="str">
        <x:v>legacy A/B/C는 비교가능성 등급이라 새 A/B/C로 승계하지 않음</x:v>
      </x:c>
      <x:c r="M59" s="25" t="str">
        <x:v>재검토완료</x:v>
      </x:c>
    </x:row>
    <x:row r="60">
      <x:c r="A60" s="22" t="str">
        <x:v>L2025-00036-1</x:v>
      </x:c>
      <x:c r="B60" s="22" t="str">
        <x:v>2024-00015</x:v>
      </x:c>
      <x:c r="C60" s="22" t="str">
        <x:v>A</x:v>
      </x:c>
      <x:c r="D60" s="31" t="n">
        <x:v>3700</x:v>
      </x:c>
      <x:c r="E60" s="34" t="n">
        <x:v>6600000</x:v>
      </x:c>
      <x:c r="F60" s="25" t="str">
        <x:v>심층기획조사 결과 추정공사비</x:v>
      </x:c>
      <x:c r="G60" s="25" t="str">
        <x:v>아니오</x:v>
      </x:c>
      <x:c r="H60" s="25" t="str">
        <x:v>C</x:v>
      </x:c>
      <x:c r="I60" s="25" t="str">
        <x:v>C</x:v>
      </x:c>
      <x:c r="J60" s="25" t="str">
        <x:v>MATCH_ATTACHMENT_CONSTRUCTION_BUDGET</x:v>
      </x:c>
      <x:c r="K60" s="25" t="str">
        <x:v>exact_bid_no</x:v>
      </x:c>
      <x:c r="L60" s="25" t="str">
        <x:v>legacy A/B/C는 비교가능성 등급이라 새 A/B/C로 승계하지 않음</x:v>
      </x:c>
      <x:c r="M60" s="25" t="str">
        <x:v>재검토완료</x:v>
      </x:c>
    </x:row>
    <x:row r="61">
      <x:c r="A61" s="22" t="str">
        <x:v>L2025-00047-1</x:v>
      </x:c>
      <x:c r="B61" s="22" t="str">
        <x:v>2022-00598</x:v>
      </x:c>
      <x:c r="C61" s="22" t="str">
        <x:v>B</x:v>
      </x:c>
      <x:c r="D61" s="31" t="n">
        <x:v>1980</x:v>
      </x:c>
      <x:c r="E61" s="34" t="n">
        <x:v>1964270</x:v>
      </x:c>
      <x:c r="F61" s="25" t="str">
        <x:v>공사 입찰 집행한도</x:v>
      </x:c>
      <x:c r="G61" s="25" t="str">
        <x:v>아니오</x:v>
      </x:c>
      <x:c r="H61" s="25" t="str">
        <x:v>C</x:v>
      </x:c>
      <x:c r="I61" s="25" t="str">
        <x:v>C</x:v>
      </x:c>
      <x:c r="J61" s="25" t="str">
        <x:v>MATCH</x:v>
      </x:c>
      <x:c r="K61" s="25" t="str">
        <x:v>exact_bid_no</x:v>
      </x:c>
      <x:c r="L61" s="25" t="str">
        <x:v>legacy A/B/C는 비교가능성 등급이라 새 A/B/C로 승계하지 않음</x:v>
      </x:c>
      <x:c r="M61" s="25" t="str">
        <x:v>재검토완료</x:v>
      </x:c>
    </x:row>
    <x:row r="62">
      <x:c r="A62" s="22" t="str">
        <x:v>L2025-00051-2</x:v>
      </x:c>
      <x:c r="B62" s="22" t="str">
        <x:v>2022-00076</x:v>
      </x:c>
      <x:c r="C62" s="22" t="str">
        <x:v>A</x:v>
      </x:c>
      <x:c r="D62" s="31" t="n">
        <x:v>2686.4</x:v>
      </x:c>
      <x:c r="E62" s="34" t="n">
        <x:v>6767312</x:v>
      </x:c>
      <x:c r="F62" s="25" t="str">
        <x:v>공사 입찰 집행한도</x:v>
      </x:c>
      <x:c r="G62" s="25" t="str">
        <x:v>아니오</x:v>
      </x:c>
      <x:c r="H62" s="25" t="str">
        <x:v>B</x:v>
      </x:c>
      <x:c r="I62" s="25" t="str">
        <x:v>B</x:v>
      </x:c>
      <x:c r="J62" s="25" t="str">
        <x:v>PARTIAL_SCOPE</x:v>
      </x:c>
      <x:c r="K62" s="25" t="str">
        <x:v>exact_bid_no</x:v>
      </x:c>
      <x:c r="L62" s="25" t="str">
        <x:v>legacy A/B/C는 비교가능성 등급이라 새 A/B/C로 승계하지 않음</x:v>
      </x:c>
      <x:c r="M62" s="25" t="str">
        <x:v>재검토완료</x:v>
      </x:c>
    </x:row>
    <x:row r="63">
      <x:c r="A63" s="22" t="str">
        <x:v>L2025-00052-1</x:v>
      </x:c>
      <x:c r="B63" s="22" t="str">
        <x:v>2023-00067</x:v>
      </x:c>
      <x:c r="C63" s="22" t="str">
        <x:v>B</x:v>
      </x:c>
      <x:c r="D63" s="31" t="n">
        <x:v>1500</x:v>
      </x:c>
      <x:c r="E63" s="34" t="n">
        <x:v>1963286</x:v>
      </x:c>
      <x:c r="F63" s="25" t="str">
        <x:v>공사 입찰 집행한도</x:v>
      </x:c>
      <x:c r="G63" s="25" t="str">
        <x:v>아니오</x:v>
      </x:c>
      <x:c r="H63" s="25" t="str">
        <x:v>C</x:v>
      </x:c>
      <x:c r="I63" s="25" t="str">
        <x:v>C</x:v>
      </x:c>
      <x:c r="J63" s="25" t="str">
        <x:v>MATCH</x:v>
      </x:c>
      <x:c r="K63" s="25" t="str">
        <x:v>exact_bid_no</x:v>
      </x:c>
      <x:c r="L63" s="25" t="str">
        <x:v>legacy A/B/C는 비교가능성 등급이라 새 A/B/C로 승계하지 않음</x:v>
      </x:c>
      <x:c r="M63" s="25" t="str">
        <x:v>재검토완료</x:v>
      </x:c>
    </x:row>
    <x:row r="64">
      <x:c r="A64" s="22" t="str">
        <x:v>L2025-00062-1</x:v>
      </x:c>
      <x:c r="B64" s="22" t="str">
        <x:v>2021-00042</x:v>
      </x:c>
      <x:c r="C64" s="22" t="str">
        <x:v>C</x:v>
      </x:c>
      <x:c r="D64" s="31" t="n">
        <x:v>2378.8</x:v>
      </x:c>
      <x:c r="E64" s="34" t="n">
        <x:v>1123590</x:v>
      </x:c>
      <x:c r="F64" s="25" t="str">
        <x:v>공사 입찰 집행한도</x:v>
      </x:c>
      <x:c r="G64" s="25" t="str">
        <x:v>아니오</x:v>
      </x:c>
      <x:c r="H64" s="25" t="str">
        <x:v>C</x:v>
      </x:c>
      <x:c r="I64" s="25" t="str">
        <x:v>C</x:v>
      </x:c>
      <x:c r="J64" s="25" t="str">
        <x:v>MATCH</x:v>
      </x:c>
      <x:c r="K64" s="25" t="str">
        <x:v>exact_bid_no</x:v>
      </x:c>
      <x:c r="L64" s="25" t="str">
        <x:v>legacy A/B/C는 비교가능성 등급이라 새 A/B/C로 승계하지 않음</x:v>
      </x:c>
      <x:c r="M64" s="25" t="str">
        <x:v>재검토완료</x:v>
      </x:c>
    </x:row>
    <x:row r="65">
      <x:c r="A65" s="22" t="str">
        <x:v>L2025-00071-1</x:v>
      </x:c>
      <x:c r="B65" s="22" t="str">
        <x:v>2020-00119</x:v>
      </x:c>
      <x:c r="C65" s="22" t="str">
        <x:v>A</x:v>
      </x:c>
      <x:c r="D65" s="31" t="n">
        <x:v>5486</x:v>
      </x:c>
      <x:c r="E65" s="34" t="n">
        <x:v>13292831</x:v>
      </x:c>
      <x:c r="F65" s="25" t="str">
        <x:v>공사 입찰 집행한도</x:v>
      </x:c>
      <x:c r="G65" s="25" t="str">
        <x:v>아니오</x:v>
      </x:c>
      <x:c r="H65" s="25" t="str">
        <x:v>C</x:v>
      </x:c>
      <x:c r="I65" s="25" t="str">
        <x:v>A-부분</x:v>
      </x:c>
      <x:c r="J65" s="25" t="str">
        <x:v>MATCH</x:v>
      </x:c>
      <x:c r="K65" s="25" t="str">
        <x:v>exact_bid_no</x:v>
      </x:c>
      <x:c r="L65" s="25" t="str">
        <x:v>legacy A/B/C는 비교가능성 등급이라 새 A/B/C로 승계하지 않음</x:v>
      </x:c>
      <x:c r="M65" s="25" t="str">
        <x:v>재검토완료</x:v>
      </x:c>
    </x:row>
    <x:row r="66">
      <x:c r="A66" s="22" t="str">
        <x:v>L2025-00073-1</x:v>
      </x:c>
      <x:c r="B66" s="22" t="str">
        <x:v>2022-00027</x:v>
      </x:c>
      <x:c r="C66" s="22" t="str">
        <x:v>A</x:v>
      </x:c>
      <x:c r="D66" s="31" t="n">
        <x:v>9053</x:v>
      </x:c>
      <x:c r="E66" s="34" t="n">
        <x:v>11277000</x:v>
      </x:c>
      <x:c r="F66" s="25" t="str">
        <x:v>공사 입찰 집행한도</x:v>
      </x:c>
      <x:c r="G66" s="25" t="str">
        <x:v>아니오</x:v>
      </x:c>
      <x:c r="H66" s="25" t="str">
        <x:v>B</x:v>
      </x:c>
      <x:c r="I66" s="25" t="str">
        <x:v>B</x:v>
      </x:c>
      <x:c r="J66" s="25" t="str">
        <x:v>MATCH</x:v>
      </x:c>
      <x:c r="K66" s="25" t="str">
        <x:v>exact_bid_no</x:v>
      </x:c>
      <x:c r="L66" s="25" t="str">
        <x:v>legacy A/B/C는 비교가능성 등급이라 새 A/B/C로 승계하지 않음</x:v>
      </x:c>
      <x:c r="M66" s="25" t="str">
        <x:v>재검토완료</x:v>
      </x:c>
    </x:row>
    <x:row r="67">
      <x:c r="A67" s="22" t="str">
        <x:v>L2025-00078-1</x:v>
      </x:c>
      <x:c r="B67" s="22" t="str">
        <x:v>2023-00004</x:v>
      </x:c>
      <x:c r="C67" s="22" t="str">
        <x:v>B</x:v>
      </x:c>
      <x:c r="D67" s="31" t="n">
        <x:v>1600</x:v>
      </x:c>
      <x:c r="E67" s="34" t="n">
        <x:v>3226604</x:v>
      </x:c>
      <x:c r="F67" s="25" t="str">
        <x:v>예비조사 추정 건축공사비</x:v>
      </x:c>
      <x:c r="G67" s="25" t="str">
        <x:v>아니오</x:v>
      </x:c>
      <x:c r="H67" s="25" t="str">
        <x:v>C-부분</x:v>
      </x:c>
      <x:c r="I67" s="25" t="str">
        <x:v>C-부분</x:v>
      </x:c>
      <x:c r="J67" s="25" t="str">
        <x:v>PARTIAL_ATTACHMENT_CONSTRUCTION_BUDGET</x:v>
      </x:c>
      <x:c r="K67" s="25" t="str">
        <x:v>exact_bid_no</x:v>
      </x:c>
      <x:c r="L67" s="25" t="str">
        <x:v>legacy A/B/C는 비교가능성 등급이라 새 A/B/C로 승계하지 않음</x:v>
      </x:c>
      <x:c r="M67" s="25" t="str">
        <x:v>재검토완료</x:v>
      </x:c>
    </x:row>
    <x:row r="68">
      <x:c r="A68" s="22" t="str">
        <x:v>L2025-00084-1</x:v>
      </x:c>
      <x:c r="B68" s="22" t="str">
        <x:v>2022-00064</x:v>
      </x:c>
      <x:c r="C68" s="22" t="str">
        <x:v>A</x:v>
      </x:c>
      <x:c r="D68" s="31" t="n">
        <x:v>4040</x:v>
      </x:c>
      <x:c r="E68" s="34" t="n">
        <x:v>4383000</x:v>
      </x:c>
      <x:c r="F68" s="25" t="str">
        <x:v>공사 입찰 집행한도</x:v>
      </x:c>
      <x:c r="G68" s="25" t="str">
        <x:v>아니오</x:v>
      </x:c>
      <x:c r="H68" s="25" t="str">
        <x:v>C</x:v>
      </x:c>
      <x:c r="I68" s="25" t="str">
        <x:v>C</x:v>
      </x:c>
      <x:c r="J68" s="25" t="str">
        <x:v>MATCH</x:v>
      </x:c>
      <x:c r="K68" s="25" t="str">
        <x:v>exact_bid_no</x:v>
      </x:c>
      <x:c r="L68" s="25" t="str">
        <x:v>legacy A/B/C는 비교가능성 등급이라 새 A/B/C로 승계하지 않음</x:v>
      </x:c>
      <x:c r="M68" s="25" t="str">
        <x:v>재검토완료</x:v>
      </x:c>
    </x:row>
    <x:row r="69">
      <x:c r="A69" s="22" t="str">
        <x:v>L2025-00097-1</x:v>
      </x:c>
      <x:c r="B69" s="22" t="str">
        <x:v>2024-00105</x:v>
      </x:c>
      <x:c r="C69" s="22" t="str">
        <x:v>A</x:v>
      </x:c>
      <x:c r="D69" s="31" t="n">
        <x:v>1179</x:v>
      </x:c>
      <x:c r="E69" s="34" t="n">
        <x:v>1704050</x:v>
      </x:c>
      <x:c r="F69" s="25" t="str">
        <x:v>설계 ToR 공사예산 한도</x:v>
      </x:c>
      <x:c r="G69" s="25" t="str">
        <x:v>아니오</x:v>
      </x:c>
      <x:c r="H69" s="25" t="str">
        <x:v>C</x:v>
      </x:c>
      <x:c r="I69" s="25" t="str">
        <x:v>C</x:v>
      </x:c>
      <x:c r="J69" s="25" t="str">
        <x:v>MATCH_ATTACHMENT_CONSTRUCTION_BUDGET</x:v>
      </x:c>
      <x:c r="K69" s="25" t="str">
        <x:v>exact_bid_no</x:v>
      </x:c>
      <x:c r="L69" s="25" t="str">
        <x:v>legacy A/B/C는 비교가능성 등급이라 새 A/B/C로 승계하지 않음</x:v>
      </x:c>
      <x:c r="M69" s="25" t="str">
        <x:v>재검토완료</x:v>
      </x:c>
    </x:row>
    <x:row r="70">
      <x:c r="A70" s="23" t="str">
        <x:v>L2025-00099-1</x:v>
      </x:c>
      <x:c r="B70" s="23" t="str">
        <x:v>2019-03655</x:v>
      </x:c>
      <x:c r="C70" s="23" t="str">
        <x:v>B</x:v>
      </x:c>
      <x:c r="D70" s="32" t="n">
        <x:v>255.52</x:v>
      </x:c>
      <x:c r="E70" s="35" t="n">
        <x:v>200000</x:v>
      </x:c>
      <x:c r="F70" s="26" t="str">
        <x:v>공사 입찰 집행한도</x:v>
      </x:c>
      <x:c r="G70" s="26" t="str">
        <x:v>아니오</x:v>
      </x:c>
      <x:c r="H70" s="26" t="str">
        <x:v>C</x:v>
      </x:c>
      <x:c r="I70" s="26" t="str">
        <x:v>C</x:v>
      </x:c>
      <x:c r="J70" s="26" t="str">
        <x:v>MATCH</x:v>
      </x:c>
      <x:c r="K70" s="26" t="str">
        <x:v>exact_bid_no</x:v>
      </x:c>
      <x:c r="L70" s="26" t="str">
        <x:v>legacy A/B/C는 비교가능성 등급이라 새 A/B/C로 승계하지 않음</x:v>
      </x:c>
      <x:c r="M70" s="26" t="str">
        <x:v>재검토완료</x:v>
      </x:c>
    </x:row>
  </x:sheetData>
  <x:mergeCells>
    <x:mergeCell ref="A1:M1"/>
    <x:mergeCell ref="A2:M2"/>
  </x:mergeCells>
  <x:conditionalFormatting sqref="H5:I70">
    <x:cfRule type="beginsWith" dxfId="20" priority="1" operator="beginsWith" text="A"/>
    <x:cfRule type="beginsWith" dxfId="21" priority="2" operator="beginsWith" text="B"/>
    <x:cfRule type="beginsWith" dxfId="22" priority="3" operator="beginsWith" text="C"/>
    <x:cfRule type="beginsWith" dxfId="23" priority="4" operator="beginsWith" text="U"/>
    <x:cfRule type="beginsWith" dxfId="24" priority="5" operator="beginsWith" text="X"/>
  </x:conditionalFormatting>
  <x:pageMargins left="0.7" right="0.7" top="0.75" bottom="0.75" header="0.3" footer="0.3"/>
  <x:tableParts count="1">
    <x:tablePart xmlns:r="http://schemas.openxmlformats.org/officeDocument/2006/relationships" r:id="R661c606ac7da41a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4" hidden="0" customWidth="1"/>
    <x:col min="4" max="4" width="46" hidden="0" customWidth="1"/>
    <x:col min="5" max="5" width="20" hidden="0" customWidth="1"/>
    <x:col min="6" max="6" width="20" hidden="0" customWidth="1"/>
    <x:col min="7" max="7" width="10" hidden="0" customWidth="1"/>
    <x:col min="8" max="8" width="34" hidden="0" customWidth="1"/>
    <x:col min="9" max="9" width="12" hidden="0" customWidth="1"/>
    <x:col min="10" max="10" width="28" hidden="0" customWidth="1"/>
    <x:col min="11" max="11" width="38" hidden="0" customWidth="1"/>
    <x:col min="12" max="12" width="12" hidden="0" customWidth="1"/>
  </x:cols>
  <x:sheetData>
    <x:row r="1" ht="34" customHeight="1">
      <x:c r="A1" s="3" t="str">
        <x:v>기존 공식 원기록 127행과 새 170공고 모집단 교차</x:v>
      </x:c>
    </x:row>
    <x:row r="2" ht="42" customHeight="1">
      <x:c r="A2" s="7" t="str">
        <x:v>127행·96프로젝트와 170공고·91사업은 서로 다른 모집단입니다. exact bid/project 연결만 표시했습니다.</x:v>
      </x:c>
    </x:row>
    <x:row r="4" ht="32" customHeight="1">
      <x:c r="A4" s="13" t="str">
        <x:v>원기록ID</x:v>
      </x:c>
      <x:c r="B4" s="13" t="str">
        <x:v>유효사업번호</x:v>
      </x:c>
      <x:c r="C4" s="13" t="str">
        <x:v>국가</x:v>
      </x:c>
      <x:c r="D4" s="13" t="str">
        <x:v>원기록명</x:v>
      </x:c>
      <x:c r="E4" s="13" t="str">
        <x:v>기존레코드상태</x:v>
      </x:c>
      <x:c r="F4" s="13" t="str">
        <x:v>기존프로젝트기술상태</x:v>
      </x:c>
      <x:c r="G4" s="13" t="str">
        <x:v>170포함</x:v>
      </x:c>
      <x:c r="H4" s="13" t="str">
        <x:v>정확공고교집합</x:v>
      </x:c>
      <x:c r="I4" s="13" t="str">
        <x:v>새사업등급</x:v>
      </x:c>
      <x:c r="J4" s="13" t="str">
        <x:v>매핑</x:v>
      </x:c>
      <x:c r="K4" s="13" t="str">
        <x:v>주의</x:v>
      </x:c>
      <x:c r="L4" s="13" t="str">
        <x:v>검토상태</x:v>
      </x:c>
    </x:row>
    <x:row r="5">
      <x:c r="A5" s="21" t="str">
        <x:v>15085055:91</x:v>
      </x:c>
      <x:c r="B5" s="21" t="str">
        <x:v>2021-00042</x:v>
      </x:c>
      <x:c r="C5" s="21" t="str">
        <x:v>우간다</x:v>
      </x:c>
      <x:c r="D5" s="24" t="str">
        <x:v>우간다 농업지도자 연수원 자립적 운영체계 구축 및 연수역량 강화사업('21·'28/1,200만불)</x:v>
      </x:c>
      <x:c r="E5" s="24" t="str">
        <x:v>U-근거부족</x:v>
      </x:c>
      <x:c r="F5" s="24" t="str">
        <x:v>U</x:v>
      </x:c>
      <x:c r="G5" s="24" t="n">
        <x:v>1</x:v>
      </x:c>
      <x:c r="H5" s="24" t="str">
        <x:v>L2023-00028-1;L2024-00050-1;L2025-00062-1</x:v>
      </x:c>
      <x:c r="I5" s="24" t="str">
        <x:v>C</x:v>
      </x:c>
      <x:c r="J5" s="24" t="str">
        <x:v>exact_bid_no_or_exact_project_no</x:v>
      </x:c>
      <x:c r="K5" s="24" t="str">
        <x:v>127 공식 원기록과 170 공고는 서로 다른 모집단</x:v>
      </x:c>
      <x:c r="L5" s="24" t="str">
        <x:v>교차완료</x:v>
      </x:c>
    </x:row>
    <x:row r="6">
      <x:c r="A6" s="22" t="str">
        <x:v>15085055:31</x:v>
      </x:c>
      <x:c r="B6" s="22" t="str">
        <x:v>2022-00064</x:v>
      </x:c>
      <x:c r="C6" s="22" t="str">
        <x:v>우간다</x:v>
      </x:c>
      <x:c r="D6" s="25" t="str">
        <x:v>우간다 마케레레대학교 ICT 교육환경 조성사업('23·'28/1,220만불)</x:v>
      </x:c>
      <x:c r="E6" s="25" t="str">
        <x:v>U-근거부족</x:v>
      </x:c>
      <x:c r="F6" s="25" t="str">
        <x:v>U</x:v>
      </x:c>
      <x:c r="G6" s="25" t="n">
        <x:v>1</x:v>
      </x:c>
      <x:c r="H6" s="25" t="str">
        <x:v>L2024-00072-1;L2025-00084-1</x:v>
      </x:c>
      <x:c r="I6" s="25" t="str">
        <x:v>C</x:v>
      </x:c>
      <x:c r="J6" s="25" t="str">
        <x:v>exact_bid_no_or_exact_project_no</x:v>
      </x:c>
      <x:c r="K6" s="25" t="str">
        <x:v>127 공식 원기록과 170 공고는 서로 다른 모집단</x:v>
      </x:c>
      <x:c r="L6" s="25" t="str">
        <x:v>교차완료</x:v>
      </x:c>
    </x:row>
    <x:row r="7">
      <x:c r="A7" s="22" t="str">
        <x:v>15052832:654</x:v>
      </x:c>
      <x:c r="B7" s="22" t="str">
        <x:v>2011-00051</x:v>
      </x:c>
      <x:c r="C7" s="22" t="str">
        <x:v>우간다</x:v>
      </x:c>
      <x:c r="D7" s="25" t="str">
        <x:v>우간다 과일가공공장 건립사업('11-'19/800만불)...</x:v>
      </x:c>
      <x:c r="E7" s="25" t="str">
        <x:v>U-전체사업정보</x:v>
      </x:c>
      <x:c r="F7" s="25" t="str">
        <x:v>U</x:v>
      </x:c>
      <x:c r="G7" s="25" t="n">
        <x:v>0</x:v>
      </x:c>
      <x:c r="H7" s="25" t="str"/>
      <x:c r="I7" s="25" t="str"/>
      <x:c r="J7" s="25" t="str">
        <x:v>not_mapped</x:v>
      </x:c>
      <x:c r="K7" s="25" t="str">
        <x:v>127 공식 원기록과 170 공고는 서로 다른 모집단</x:v>
      </x:c>
      <x:c r="L7" s="25" t="str">
        <x:v>교차완료</x:v>
      </x:c>
    </x:row>
    <x:row r="8">
      <x:c r="A8" s="22" t="str">
        <x:v>15052832:653</x:v>
      </x:c>
      <x:c r="B8" s="22" t="str">
        <x:v>2011-00052</x:v>
      </x:c>
      <x:c r="C8" s="22" t="str">
        <x:v>우간다</x:v>
      </x:c>
      <x:c r="D8" s="25" t="str">
        <x:v>우간다 농업지도자연수원 건립사업('11-'17/440만불)...</x:v>
      </x:c>
      <x:c r="E8" s="25" t="str">
        <x:v>U-전체사업정보</x:v>
      </x:c>
      <x:c r="F8" s="25" t="str">
        <x:v>U</x:v>
      </x:c>
      <x:c r="G8" s="25" t="n">
        <x:v>0</x:v>
      </x:c>
      <x:c r="H8" s="25" t="str"/>
      <x:c r="I8" s="25" t="str"/>
      <x:c r="J8" s="25" t="str">
        <x:v>not_mapped</x:v>
      </x:c>
      <x:c r="K8" s="25" t="str">
        <x:v>127 공식 원기록과 170 공고는 서로 다른 모집단</x:v>
      </x:c>
      <x:c r="L8" s="25" t="str">
        <x:v>교차완료</x:v>
      </x:c>
    </x:row>
    <x:row r="9">
      <x:c r="A9" s="22" t="str">
        <x:v>15052832:509</x:v>
      </x:c>
      <x:c r="B9" s="22" t="str">
        <x:v>2015-00034</x:v>
      </x:c>
      <x:c r="C9" s="22" t="str">
        <x:v>우간다</x:v>
      </x:c>
      <x:c r="D9" s="25" t="str">
        <x:v>우간다 새마을운동 시범마을 건립사업('15-'18/295만불)...</x:v>
      </x:c>
      <x:c r="E9" s="25" t="str">
        <x:v>U-전체사업정보</x:v>
      </x:c>
      <x:c r="F9" s="25" t="str">
        <x:v>U</x:v>
      </x:c>
      <x:c r="G9" s="25" t="n">
        <x:v>0</x:v>
      </x:c>
      <x:c r="H9" s="25" t="str"/>
      <x:c r="I9" s="25" t="str"/>
      <x:c r="J9" s="25" t="str">
        <x:v>not_mapped</x:v>
      </x:c>
      <x:c r="K9" s="25" t="str">
        <x:v>127 공식 원기록과 170 공고는 서로 다른 모집단</x:v>
      </x:c>
      <x:c r="L9" s="25" t="str">
        <x:v>교차완료</x:v>
      </x:c>
    </x:row>
    <x:row r="10">
      <x:c r="A10" s="22" t="str">
        <x:v>15052832:664</x:v>
      </x:c>
      <x:c r="B10" s="22" t="str">
        <x:v>2011-00024</x:v>
      </x:c>
      <x:c r="C10" s="22" t="str">
        <x:v>우간다</x:v>
      </x:c>
      <x:c r="D10" s="25" t="str">
        <x:v>우간다 직업훈련원 건립사업('11-'18/579만불)...</x:v>
      </x:c>
      <x:c r="E10" s="25" t="str">
        <x:v>U-전체사업정보</x:v>
      </x:c>
      <x:c r="F10" s="25" t="str">
        <x:v>U</x:v>
      </x:c>
      <x:c r="G10" s="25" t="n">
        <x:v>0</x:v>
      </x:c>
      <x:c r="H10" s="25" t="str"/>
      <x:c r="I10" s="25" t="str"/>
      <x:c r="J10" s="25" t="str">
        <x:v>not_mapped</x:v>
      </x:c>
      <x:c r="K10" s="25" t="str">
        <x:v>127 공식 원기록과 170 공고는 서로 다른 모집단</x:v>
      </x:c>
      <x:c r="L10" s="25" t="str">
        <x:v>교차완료</x:v>
      </x:c>
    </x:row>
    <x:row r="11">
      <x:c r="A11" s="22" t="str">
        <x:v>15073135:83</x:v>
      </x:c>
      <x:c r="B11" s="22" t="str">
        <x:v>2023-00098</x:v>
      </x:c>
      <x:c r="C11" s="22" t="str">
        <x:v>몽골</x:v>
      </x:c>
      <x:c r="D11" s="25" t="str">
        <x:v>몽골 자동차 검사역량 제고 및 시설 개선을 통한 교통안전 강화 사업 시스템 구축 감리 용역</x:v>
      </x:c>
      <x:c r="E11" s="25" t="str">
        <x:v>X-용역계약</x:v>
      </x:c>
      <x:c r="F11" s="25" t="str">
        <x:v>U</x:v>
      </x:c>
      <x:c r="G11" s="25" t="n">
        <x:v>0</x:v>
      </x:c>
      <x:c r="H11" s="25" t="str"/>
      <x:c r="I11" s="25" t="str"/>
      <x:c r="J11" s="25" t="str">
        <x:v>not_mapped</x:v>
      </x:c>
      <x:c r="K11" s="25" t="str">
        <x:v>127 공식 원기록과 170 공고는 서로 다른 모집단</x:v>
      </x:c>
      <x:c r="L11" s="25" t="str">
        <x:v>교차완료</x:v>
      </x:c>
    </x:row>
    <x:row r="12">
      <x:c r="A12" s="22" t="str">
        <x:v>15073135:42</x:v>
      </x:c>
      <x:c r="B12" s="22" t="str">
        <x:v>2021-00085</x:v>
      </x:c>
      <x:c r="C12" s="22" t="str">
        <x:v>우즈베키스탄</x:v>
      </x:c>
      <x:c r="D12" s="25" t="str">
        <x:v>우즈베키스탄 유아교사 역량강화 및 유아교육진흥센터 건립사업 유아체험관 체험시설 설계 및 제작설치</x:v>
      </x:c>
      <x:c r="E12" s="25" t="str">
        <x:v>X-용역계약</x:v>
      </x:c>
      <x:c r="F12" s="25" t="str">
        <x:v>U</x:v>
      </x:c>
      <x:c r="G12" s="25" t="n">
        <x:v>0</x:v>
      </x:c>
      <x:c r="H12" s="25" t="str"/>
      <x:c r="I12" s="25" t="str"/>
      <x:c r="J12" s="25" t="str">
        <x:v>not_mapped</x:v>
      </x:c>
      <x:c r="K12" s="25" t="str">
        <x:v>127 공식 원기록과 170 공고는 서로 다른 모집단</x:v>
      </x:c>
      <x:c r="L12" s="25" t="str">
        <x:v>교차완료</x:v>
      </x:c>
    </x:row>
    <x:row r="13">
      <x:c r="A13" s="22" t="str">
        <x:v>15073135:43</x:v>
      </x:c>
      <x:c r="B13" s="22" t="str">
        <x:v>2021-00085</x:v>
      </x:c>
      <x:c r="C13" s="22" t="str">
        <x:v>우즈베키스탄</x:v>
      </x:c>
      <x:c r="D13" s="25" t="str">
        <x:v>우즈베키스탄 유아교사 역량강화 및 유아교육진흥센터 건립사업 유아체험관 체험시설 설계 및 제작설치</x:v>
      </x:c>
      <x:c r="E13" s="25" t="str">
        <x:v>X-용역계약</x:v>
      </x:c>
      <x:c r="F13" s="25" t="str">
        <x:v>U</x:v>
      </x:c>
      <x:c r="G13" s="25" t="n">
        <x:v>0</x:v>
      </x:c>
      <x:c r="H13" s="25" t="str"/>
      <x:c r="I13" s="25" t="str"/>
      <x:c r="J13" s="25" t="str">
        <x:v>not_mapped</x:v>
      </x:c>
      <x:c r="K13" s="25" t="str">
        <x:v>127 공식 원기록과 170 공고는 서로 다른 모집단</x:v>
      </x:c>
      <x:c r="L13" s="25" t="str">
        <x:v>교차완료</x:v>
      </x:c>
    </x:row>
    <x:row r="14">
      <x:c r="A14" s="22" t="str">
        <x:v>15085055:80</x:v>
      </x:c>
      <x:c r="B14" s="22" t="str">
        <x:v>2024-00089</x:v>
      </x:c>
      <x:c r="C14" s="22" t="str">
        <x:v>DR콩고</x:v>
      </x:c>
      <x:c r="D14" s="25" t="str">
        <x:v>DR콩고 북카탕가주 감염병 감시 역량 강화사업('24·'27/600만불)</x:v>
      </x:c>
      <x:c r="E14" s="25" t="str">
        <x:v>X-설계·감리·기타용역</x:v>
      </x:c>
      <x:c r="F14" s="25" t="str">
        <x:v>U</x:v>
      </x:c>
      <x:c r="G14" s="25" t="n">
        <x:v>0</x:v>
      </x:c>
      <x:c r="H14" s="25" t="str"/>
      <x:c r="I14" s="25" t="str"/>
      <x:c r="J14" s="25" t="str">
        <x:v>not_mapped</x:v>
      </x:c>
      <x:c r="K14" s="25" t="str">
        <x:v>127 공식 원기록과 170 공고는 서로 다른 모집단</x:v>
      </x:c>
      <x:c r="L14" s="25" t="str">
        <x:v>교차완료</x:v>
      </x:c>
    </x:row>
    <x:row r="15">
      <x:c r="A15" s="22" t="str">
        <x:v>15085055:153</x:v>
      </x:c>
      <x:c r="B15" s="22" t="str">
        <x:v>2021-00016</x:v>
      </x:c>
      <x:c r="C15" s="22" t="str">
        <x:v>가나</x:v>
      </x:c>
      <x:c r="D15" s="25" t="str">
        <x:v>가나대학교 연구 및 ICT 혁신센터 건립 사업('21·'26/900만불)</x:v>
      </x:c>
      <x:c r="E15" s="25" t="str">
        <x:v>A</x:v>
      </x:c>
      <x:c r="F15" s="25" t="str">
        <x:v>A</x:v>
      </x:c>
      <x:c r="G15" s="25" t="n">
        <x:v>1</x:v>
      </x:c>
      <x:c r="H15" s="25" t="str">
        <x:v>L2025-00018-1</x:v>
      </x:c>
      <x:c r="I15" s="25" t="str">
        <x:v>A</x:v>
      </x:c>
      <x:c r="J15" s="25" t="str">
        <x:v>exact_bid_no_or_exact_project_no</x:v>
      </x:c>
      <x:c r="K15" s="25" t="str">
        <x:v>127 공식 원기록과 170 공고는 서로 다른 모집단</x:v>
      </x:c>
      <x:c r="L15" s="25" t="str">
        <x:v>교차완료</x:v>
      </x:c>
    </x:row>
    <x:row r="16">
      <x:c r="A16" s="22" t="str">
        <x:v>15085055:263</x:v>
      </x:c>
      <x:c r="B16" s="22" t="str">
        <x:v>2021-00016</x:v>
      </x:c>
      <x:c r="C16" s="22" t="str">
        <x:v>가나</x:v>
      </x:c>
      <x:c r="D16" s="25" t="str">
        <x:v>가나대학교 연구 및 ICT 혁신센터 건립 사업(21·26/900만불) 건축 감리 용역</x:v>
      </x:c>
      <x:c r="E16" s="25" t="str">
        <x:v>X-설계·감리·기타용역</x:v>
      </x:c>
      <x:c r="F16" s="25" t="str">
        <x:v>A</x:v>
      </x:c>
      <x:c r="G16" s="25" t="n">
        <x:v>1</x:v>
      </x:c>
      <x:c r="H16" s="25" t="str">
        <x:v>L2025-00018-1</x:v>
      </x:c>
      <x:c r="I16" s="25" t="str">
        <x:v>A</x:v>
      </x:c>
      <x:c r="J16" s="25" t="str">
        <x:v>exact_bid_no_or_exact_project_no</x:v>
      </x:c>
      <x:c r="K16" s="25" t="str">
        <x:v>127 공식 원기록과 170 공고는 서로 다른 모집단</x:v>
      </x:c>
      <x:c r="L16" s="25" t="str">
        <x:v>교차완료</x:v>
      </x:c>
    </x:row>
    <x:row r="17">
      <x:c r="A17" s="22" t="str">
        <x:v>15085055:238</x:v>
      </x:c>
      <x:c r="B17" s="22" t="str"/>
      <x:c r="C17" s="22" t="str">
        <x:v>과테말라</x:v>
      </x:c>
      <x:c r="D17" s="25" t="str">
        <x:v>과테말라 경찰 치안역량 강화를 위한 경찰고등교육원 개선 사업('24·'29/800만불)</x:v>
      </x:c>
      <x:c r="E17" s="25" t="str">
        <x:v>X-설계·감리·기타용역</x:v>
      </x:c>
      <x:c r="F17" s="25" t="str">
        <x:v>U</x:v>
      </x:c>
      <x:c r="G17" s="25" t="n">
        <x:v>0</x:v>
      </x:c>
      <x:c r="H17" s="25" t="str"/>
      <x:c r="I17" s="25" t="str"/>
      <x:c r="J17" s="25" t="str">
        <x:v>not_mapped</x:v>
      </x:c>
      <x:c r="K17" s="25" t="str">
        <x:v>127 공식 원기록과 170 공고는 서로 다른 모집단</x:v>
      </x:c>
      <x:c r="L17" s="25" t="str">
        <x:v>교차완료</x:v>
      </x:c>
    </x:row>
    <x:row r="18">
      <x:c r="A18" s="22" t="str">
        <x:v>15085055:209</x:v>
      </x:c>
      <x:c r="B18" s="22" t="str">
        <x:v>2024-00053</x:v>
      </x:c>
      <x:c r="C18" s="22" t="str">
        <x:v>네팔</x:v>
      </x:c>
      <x:c r="D18" s="25" t="str">
        <x:v>네팔 간다키 지역 기술교육학교 건립사업(2024·2030/900만불) 사업수행용역자(PMC) 선정을 위한 입찰</x:v>
      </x:c>
      <x:c r="E18" s="25" t="str">
        <x:v>X-설계·감리·기타용역</x:v>
      </x:c>
      <x:c r="F18" s="25" t="str">
        <x:v>U</x:v>
      </x:c>
      <x:c r="G18" s="25" t="n">
        <x:v>0</x:v>
      </x:c>
      <x:c r="H18" s="25" t="str"/>
      <x:c r="I18" s="25" t="str"/>
      <x:c r="J18" s="25" t="str">
        <x:v>not_mapped</x:v>
      </x:c>
      <x:c r="K18" s="25" t="str">
        <x:v>127 공식 원기록과 170 공고는 서로 다른 모집단</x:v>
      </x:c>
      <x:c r="L18" s="25" t="str">
        <x:v>교차완료</x:v>
      </x:c>
    </x:row>
    <x:row r="19">
      <x:c r="A19" s="22" t="str">
        <x:v>15085055:144</x:v>
      </x:c>
      <x:c r="B19" s="22" t="str">
        <x:v>2024-00053</x:v>
      </x:c>
      <x:c r="C19" s="22" t="str">
        <x:v>네팔</x:v>
      </x:c>
      <x:c r="D19" s="25" t="str">
        <x:v>네팔 간다키 지역 기술교육학교 건립사업(2024·2030/900만불) 설계감리사 용역 선정을 위한 입찰</x:v>
      </x:c>
      <x:c r="E19" s="25" t="str">
        <x:v>X-설계·감리·기타용역</x:v>
      </x:c>
      <x:c r="F19" s="25" t="str">
        <x:v>U</x:v>
      </x:c>
      <x:c r="G19" s="25" t="n">
        <x:v>0</x:v>
      </x:c>
      <x:c r="H19" s="25" t="str"/>
      <x:c r="I19" s="25" t="str"/>
      <x:c r="J19" s="25" t="str">
        <x:v>not_mapped</x:v>
      </x:c>
      <x:c r="K19" s="25" t="str">
        <x:v>127 공식 원기록과 170 공고는 서로 다른 모집단</x:v>
      </x:c>
      <x:c r="L19" s="25" t="str">
        <x:v>교차완료</x:v>
      </x:c>
    </x:row>
    <x:row r="20">
      <x:c r="A20" s="22" t="str">
        <x:v>15085055:103</x:v>
      </x:c>
      <x:c r="B20" s="22" t="str">
        <x:v>2020-00070</x:v>
      </x:c>
      <x:c r="C20" s="22" t="str">
        <x:v>도미니카공화국</x:v>
      </x:c>
      <x:c r="D20" s="25" t="str">
        <x:v>도미니카공화국 몬테 크리스티 직업훈련센터 (MVC) 감리사 선정</x:v>
      </x:c>
      <x:c r="E20" s="25" t="str">
        <x:v>X-설계·감리·기타용역</x:v>
      </x:c>
      <x:c r="F20" s="25" t="str">
        <x:v>B-부분</x:v>
      </x:c>
      <x:c r="G20" s="25" t="n">
        <x:v>1</x:v>
      </x:c>
      <x:c r="H20" s="25" t="str">
        <x:v>L2022-00059-1;L2023-00040-1;L2024-00078-1;L2025-00007-1;L2025-00007-2;L2025-00010-1;L2025-00038-1</x:v>
      </x:c>
      <x:c r="I20" s="25" t="str">
        <x:v>B-부분</x:v>
      </x:c>
      <x:c r="J20" s="25" t="str">
        <x:v>exact_bid_no_or_exact_project_no</x:v>
      </x:c>
      <x:c r="K20" s="25" t="str">
        <x:v>127 공식 원기록과 170 공고는 서로 다른 모집단</x:v>
      </x:c>
      <x:c r="L20" s="25" t="str">
        <x:v>교차완료</x:v>
      </x:c>
    </x:row>
    <x:row r="21">
      <x:c r="A21" s="22" t="str">
        <x:v>15085055:325</x:v>
      </x:c>
      <x:c r="B21" s="22" t="str">
        <x:v>2020-00070</x:v>
      </x:c>
      <x:c r="C21" s="22" t="str">
        <x:v>도미니카공화국</x:v>
      </x:c>
      <x:c r="D21" s="25" t="str">
        <x:v>도미니카공화국 여성 중심 취약계층 사회.경제적 역량강화사업 몬테 크리스티 직업훈련센터 (MVC) 시공사 선정 현지입찰</x:v>
      </x:c>
      <x:c r="E21" s="25" t="str">
        <x:v>B-부분</x:v>
      </x:c>
      <x:c r="F21" s="25" t="str">
        <x:v>B-부분</x:v>
      </x:c>
      <x:c r="G21" s="25" t="n">
        <x:v>1</x:v>
      </x:c>
      <x:c r="H21" s="25" t="str">
        <x:v>L2022-00059-1;L2023-00040-1;L2024-00078-1;L2025-00007-1;L2025-00007-2;L2025-00010-1;L2025-00038-1</x:v>
      </x:c>
      <x:c r="I21" s="25" t="str">
        <x:v>B-부분</x:v>
      </x:c>
      <x:c r="J21" s="25" t="str">
        <x:v>exact_bid_no_or_exact_project_no</x:v>
      </x:c>
      <x:c r="K21" s="25" t="str">
        <x:v>127 공식 원기록과 170 공고는 서로 다른 모집단</x:v>
      </x:c>
      <x:c r="L21" s="25" t="str">
        <x:v>교차완료</x:v>
      </x:c>
    </x:row>
    <x:row r="22">
      <x:c r="A22" s="22" t="str">
        <x:v>15085055:186</x:v>
      </x:c>
      <x:c r="B22" s="22" t="str">
        <x:v>2020-00070</x:v>
      </x:c>
      <x:c r="C22" s="22" t="str">
        <x:v>도미니카공화국</x:v>
      </x:c>
      <x:c r="D22" s="25" t="str">
        <x:v>도미니카공화국 여성 중심 취약계층 사회.경제적 역량강화사업(20·26/550만불) 2차 PMC 용역</x:v>
      </x:c>
      <x:c r="E22" s="25" t="str">
        <x:v>X-설계·감리·기타용역</x:v>
      </x:c>
      <x:c r="F22" s="25" t="str">
        <x:v>B-부분</x:v>
      </x:c>
      <x:c r="G22" s="25" t="n">
        <x:v>1</x:v>
      </x:c>
      <x:c r="H22" s="25" t="str">
        <x:v>L2022-00059-1;L2023-00040-1;L2024-00078-1;L2025-00007-1;L2025-00007-2;L2025-00010-1;L2025-00038-1</x:v>
      </x:c>
      <x:c r="I22" s="25" t="str">
        <x:v>B-부분</x:v>
      </x:c>
      <x:c r="J22" s="25" t="str">
        <x:v>exact_bid_no_or_exact_project_no</x:v>
      </x:c>
      <x:c r="K22" s="25" t="str">
        <x:v>127 공식 원기록과 170 공고는 서로 다른 모집단</x:v>
      </x:c>
      <x:c r="L22" s="25" t="str">
        <x:v>교차완료</x:v>
      </x:c>
    </x:row>
    <x:row r="23">
      <x:c r="A23" s="22" t="str">
        <x:v>15085055:170</x:v>
      </x:c>
      <x:c r="B23" s="22" t="str">
        <x:v>2020-00070</x:v>
      </x:c>
      <x:c r="C23" s="22" t="str">
        <x:v>도미니카공화국</x:v>
      </x:c>
      <x:c r="D23" s="25" t="str">
        <x:v>도미니카공화국 여성 중심 취약계층 사회.경제적 역량강화사업(20·26/550만불) 몬테크리스티 직업훈련센터(MVC) 감리사 선정</x:v>
      </x:c>
      <x:c r="E23" s="25" t="str">
        <x:v>X-설계·감리·기타용역</x:v>
      </x:c>
      <x:c r="F23" s="25" t="str">
        <x:v>B-부분</x:v>
      </x:c>
      <x:c r="G23" s="25" t="n">
        <x:v>1</x:v>
      </x:c>
      <x:c r="H23" s="25" t="str">
        <x:v>L2022-00059-1;L2023-00040-1;L2024-00078-1;L2025-00007-1;L2025-00007-2;L2025-00010-1;L2025-00038-1</x:v>
      </x:c>
      <x:c r="I23" s="25" t="str">
        <x:v>B-부분</x:v>
      </x:c>
      <x:c r="J23" s="25" t="str">
        <x:v>exact_bid_no_or_exact_project_no</x:v>
      </x:c>
      <x:c r="K23" s="25" t="str">
        <x:v>127 공식 원기록과 170 공고는 서로 다른 모집단</x:v>
      </x:c>
      <x:c r="L23" s="25" t="str">
        <x:v>교차완료</x:v>
      </x:c>
    </x:row>
    <x:row r="24">
      <x:c r="A24" s="22" t="str">
        <x:v>15085055:156</x:v>
      </x:c>
      <x:c r="B24" s="22" t="str">
        <x:v>2020-00070</x:v>
      </x:c>
      <x:c r="C24" s="22" t="str">
        <x:v>도미니카공화국</x:v>
      </x:c>
      <x:c r="D24" s="25" t="str">
        <x:v>도미니카공화국 여성 중심 취약계층 사회.경제적 역량강화사업(20·26/550만불) 하이나 직업훈련센터 리모델링 설계 용역</x:v>
      </x:c>
      <x:c r="E24" s="25" t="str">
        <x:v>X-설계·감리·기타용역</x:v>
      </x:c>
      <x:c r="F24" s="25" t="str">
        <x:v>B-부분</x:v>
      </x:c>
      <x:c r="G24" s="25" t="n">
        <x:v>1</x:v>
      </x:c>
      <x:c r="H24" s="25" t="str">
        <x:v>L2022-00059-1;L2023-00040-1;L2024-00078-1;L2025-00007-1;L2025-00007-2;L2025-00010-1;L2025-00038-1</x:v>
      </x:c>
      <x:c r="I24" s="25" t="str">
        <x:v>B-부분</x:v>
      </x:c>
      <x:c r="J24" s="25" t="str">
        <x:v>exact_bid_no_or_exact_project_no</x:v>
      </x:c>
      <x:c r="K24" s="25" t="str">
        <x:v>127 공식 원기록과 170 공고는 서로 다른 모집단</x:v>
      </x:c>
      <x:c r="L24" s="25" t="str">
        <x:v>교차완료</x:v>
      </x:c>
    </x:row>
    <x:row r="25">
      <x:c r="A25" s="22" t="str">
        <x:v>15085055:218</x:v>
      </x:c>
      <x:c r="B25" s="22" t="str">
        <x:v>2016-00024</x:v>
      </x:c>
      <x:c r="C25" s="22" t="str">
        <x:v>동티모르</x:v>
      </x:c>
      <x:c r="D25" s="25" t="str">
        <x:v>동티모르 베코라 기술고등학교 지원사업 사후지원 사업수행용역(PMC) 수행자 선정 입찰</x:v>
      </x:c>
      <x:c r="E25" s="25" t="str">
        <x:v>X-설계·감리·기타용역</x:v>
      </x:c>
      <x:c r="F25" s="25" t="str">
        <x:v>U</x:v>
      </x:c>
      <x:c r="G25" s="25" t="n">
        <x:v>0</x:v>
      </x:c>
      <x:c r="H25" s="25" t="str"/>
      <x:c r="I25" s="25" t="str"/>
      <x:c r="J25" s="25" t="str">
        <x:v>not_mapped</x:v>
      </x:c>
      <x:c r="K25" s="25" t="str">
        <x:v>127 공식 원기록과 170 공고는 서로 다른 모집단</x:v>
      </x:c>
      <x:c r="L25" s="25" t="str">
        <x:v>교차완료</x:v>
      </x:c>
    </x:row>
    <x:row r="26">
      <x:c r="A26" s="22" t="str">
        <x:v>15085055:331</x:v>
      </x:c>
      <x:c r="B26" s="22" t="str">
        <x:v>2013-00029</x:v>
      </x:c>
      <x:c r="C26" s="22" t="str">
        <x:v>모잠비크</x:v>
      </x:c>
      <x:c r="D26" s="25" t="str">
        <x:v>모잠비크 마톨라 산업학교 역량강화사업 사후지원 보수 공사</x:v>
      </x:c>
      <x:c r="E26" s="25" t="str">
        <x:v>U-근거부족</x:v>
      </x:c>
      <x:c r="F26" s="25" t="str">
        <x:v>U</x:v>
      </x:c>
      <x:c r="G26" s="25" t="n">
        <x:v>0</x:v>
      </x:c>
      <x:c r="H26" s="25" t="str"/>
      <x:c r="I26" s="25" t="str"/>
      <x:c r="J26" s="25" t="str">
        <x:v>not_mapped</x:v>
      </x:c>
      <x:c r="K26" s="25" t="str">
        <x:v>127 공식 원기록과 170 공고는 서로 다른 모집단</x:v>
      </x:c>
      <x:c r="L26" s="25" t="str">
        <x:v>교차완료</x:v>
      </x:c>
    </x:row>
    <x:row r="27">
      <x:c r="A27" s="22" t="str">
        <x:v>15085055:277</x:v>
      </x:c>
      <x:c r="B27" s="22" t="str"/>
      <x:c r="C27" s="22" t="str">
        <x:v>모잠비크</x:v>
      </x:c>
      <x:c r="D27" s="25" t="str">
        <x:v>모잠비크 마푸투 주 초중통합학교 건립 및 역량강화 사업 PMC 용역</x:v>
      </x:c>
      <x:c r="E27" s="25" t="str">
        <x:v>X-설계·감리·기타용역</x:v>
      </x:c>
      <x:c r="F27" s="25" t="str">
        <x:v>U</x:v>
      </x:c>
      <x:c r="G27" s="25" t="n">
        <x:v>0</x:v>
      </x:c>
      <x:c r="H27" s="25" t="str"/>
      <x:c r="I27" s="25" t="str"/>
      <x:c r="J27" s="25" t="str">
        <x:v>not_mapped</x:v>
      </x:c>
      <x:c r="K27" s="25" t="str">
        <x:v>127 공식 원기록과 170 공고는 서로 다른 모집단</x:v>
      </x:c>
      <x:c r="L27" s="25" t="str">
        <x:v>교차완료</x:v>
      </x:c>
    </x:row>
    <x:row r="28">
      <x:c r="A28" s="22" t="str">
        <x:v>15085055:284</x:v>
      </x:c>
      <x:c r="B28" s="22" t="str">
        <x:v>2023-00098</x:v>
      </x:c>
      <x:c r="C28" s="22" t="str">
        <x:v>몽골</x:v>
      </x:c>
      <x:c r="D28" s="25" t="str">
        <x:v>몽골 자동차 검사역량 제고 및 시설 개선을 통한 교통안전 강화 사업 시스템 구축 감리 용역</x:v>
      </x:c>
      <x:c r="E28" s="25" t="str">
        <x:v>X-설계·감리·기타용역</x:v>
      </x:c>
      <x:c r="F28" s="25" t="str">
        <x:v>U</x:v>
      </x:c>
      <x:c r="G28" s="25" t="n">
        <x:v>0</x:v>
      </x:c>
      <x:c r="H28" s="25" t="str"/>
      <x:c r="I28" s="25" t="str"/>
      <x:c r="J28" s="25" t="str">
        <x:v>not_mapped</x:v>
      </x:c>
      <x:c r="K28" s="25" t="str">
        <x:v>127 공식 원기록과 170 공고는 서로 다른 모집단</x:v>
      </x:c>
      <x:c r="L28" s="25" t="str">
        <x:v>교차완료</x:v>
      </x:c>
    </x:row>
    <x:row r="29">
      <x:c r="A29" s="22" t="str">
        <x:v>15085055:76</x:v>
      </x:c>
      <x:c r="B29" s="22" t="str">
        <x:v>2023-00098</x:v>
      </x:c>
      <x:c r="C29" s="22" t="str">
        <x:v>몽골</x:v>
      </x:c>
      <x:c r="D29" s="25" t="str">
        <x:v>몽골 자동차 검사역량 제고 및 시설 개선을 통한 교통안전 강화 사업('23·'27/1,300만불)</x:v>
      </x:c>
      <x:c r="E29" s="25" t="str">
        <x:v>U-근거부족</x:v>
      </x:c>
      <x:c r="F29" s="25" t="str">
        <x:v>U</x:v>
      </x:c>
      <x:c r="G29" s="25" t="n">
        <x:v>0</x:v>
      </x:c>
      <x:c r="H29" s="25" t="str"/>
      <x:c r="I29" s="25" t="str"/>
      <x:c r="J29" s="25" t="str">
        <x:v>not_mapped</x:v>
      </x:c>
      <x:c r="K29" s="25" t="str">
        <x:v>127 공식 원기록과 170 공고는 서로 다른 모집단</x:v>
      </x:c>
      <x:c r="L29" s="25" t="str">
        <x:v>교차완료</x:v>
      </x:c>
    </x:row>
    <x:row r="30">
      <x:c r="A30" s="22" t="str">
        <x:v>15085055:168</x:v>
      </x:c>
      <x:c r="B30" s="22" t="str"/>
      <x:c r="C30" s="22" t="str">
        <x:v>방글라데시</x:v>
      </x:c>
      <x:c r="D30" s="25" t="str">
        <x:v>방글라데시 선진시장형 기술인력 양성을 위한 차토그램 한방직업훈련원 직업훈련체계 현대화('24·'27/1,000만불)</x:v>
      </x:c>
      <x:c r="E30" s="25" t="str">
        <x:v>X-설계·감리·기타용역</x:v>
      </x:c>
      <x:c r="F30" s="25" t="str">
        <x:v>U</x:v>
      </x:c>
      <x:c r="G30" s="25" t="n">
        <x:v>0</x:v>
      </x:c>
      <x:c r="H30" s="25" t="str"/>
      <x:c r="I30" s="25" t="str"/>
      <x:c r="J30" s="25" t="str">
        <x:v>not_mapped</x:v>
      </x:c>
      <x:c r="K30" s="25" t="str">
        <x:v>127 공식 원기록과 170 공고는 서로 다른 모집단</x:v>
      </x:c>
      <x:c r="L30" s="25" t="str">
        <x:v>교차완료</x:v>
      </x:c>
    </x:row>
    <x:row r="31">
      <x:c r="A31" s="22" t="str">
        <x:v>15085055:289</x:v>
      </x:c>
      <x:c r="B31" s="22" t="str"/>
      <x:c r="C31" s="22" t="str">
        <x:v>베트남</x:v>
      </x:c>
      <x:c r="D31" s="25" t="str">
        <x:v>베트남 메콩유역 롱안성 생활폐기물 분리배출 및 자원순환 촉진 사업('24·'28/1,083만불) 감리 용역</x:v>
      </x:c>
      <x:c r="E31" s="25" t="str">
        <x:v>X-설계·감리·기타용역</x:v>
      </x:c>
      <x:c r="F31" s="25" t="str">
        <x:v>U</x:v>
      </x:c>
      <x:c r="G31" s="25" t="n">
        <x:v>0</x:v>
      </x:c>
      <x:c r="H31" s="25" t="str"/>
      <x:c r="I31" s="25" t="str"/>
      <x:c r="J31" s="25" t="str">
        <x:v>not_mapped</x:v>
      </x:c>
      <x:c r="K31" s="25" t="str">
        <x:v>127 공식 원기록과 170 공고는 서로 다른 모집단</x:v>
      </x:c>
      <x:c r="L31" s="25" t="str">
        <x:v>교차완료</x:v>
      </x:c>
    </x:row>
    <x:row r="32">
      <x:c r="A32" s="22" t="str">
        <x:v>15085055:291</x:v>
      </x:c>
      <x:c r="B32" s="22" t="str"/>
      <x:c r="C32" s="22" t="str">
        <x:v>베트남</x:v>
      </x:c>
      <x:c r="D32" s="25" t="str">
        <x:v>베트남 메콩유역 롱안성 생활폐기물 분리배출 및 자원순환 촉진 사업('24·'28/1,083만불) 건축 및 토목 시공 용역</x:v>
      </x:c>
      <x:c r="E32" s="25" t="str">
        <x:v>U-근거부족</x:v>
      </x:c>
      <x:c r="F32" s="25" t="str">
        <x:v>U</x:v>
      </x:c>
      <x:c r="G32" s="25" t="n">
        <x:v>0</x:v>
      </x:c>
      <x:c r="H32" s="25" t="str"/>
      <x:c r="I32" s="25" t="str"/>
      <x:c r="J32" s="25" t="str">
        <x:v>not_mapped</x:v>
      </x:c>
      <x:c r="K32" s="25" t="str">
        <x:v>127 공식 원기록과 170 공고는 서로 다른 모집단</x:v>
      </x:c>
      <x:c r="L32" s="25" t="str">
        <x:v>교차완료</x:v>
      </x:c>
    </x:row>
    <x:row r="33">
      <x:c r="A33" s="22" t="str">
        <x:v>15085055:290</x:v>
      </x:c>
      <x:c r="B33" s="22" t="str"/>
      <x:c r="C33" s="22" t="str">
        <x:v>베트남</x:v>
      </x:c>
      <x:c r="D33" s="25" t="str">
        <x:v>베트남 메콩유역 롱안성 생활폐기물 분리배출 및 자원순환 촉진 사업('24·'28/1,083만불) 시공 용역</x:v>
      </x:c>
      <x:c r="E33" s="25" t="str">
        <x:v>U-근거부족</x:v>
      </x:c>
      <x:c r="F33" s="25" t="str">
        <x:v>U</x:v>
      </x:c>
      <x:c r="G33" s="25" t="n">
        <x:v>0</x:v>
      </x:c>
      <x:c r="H33" s="25" t="str"/>
      <x:c r="I33" s="25" t="str"/>
      <x:c r="J33" s="25" t="str">
        <x:v>not_mapped</x:v>
      </x:c>
      <x:c r="K33" s="25" t="str">
        <x:v>127 공식 원기록과 170 공고는 서로 다른 모집단</x:v>
      </x:c>
      <x:c r="L33" s="25" t="str">
        <x:v>교차완료</x:v>
      </x:c>
    </x:row>
    <x:row r="34">
      <x:c r="A34" s="22" t="str">
        <x:v>15085055:150</x:v>
      </x:c>
      <x:c r="B34" s="22" t="str">
        <x:v>2022-00097</x:v>
      </x:c>
      <x:c r="C34" s="22" t="str">
        <x:v>베트남</x:v>
      </x:c>
      <x:c r="D34" s="25" t="str">
        <x:v>베트남 한베 ICT 대학교 교육역량 강화 지원사업 스마트 캠퍼스 구축 물품(소프트웨어) 현지구매 계약</x:v>
      </x:c>
      <x:c r="E34" s="25" t="str">
        <x:v>X-물품</x:v>
      </x:c>
      <x:c r="F34" s="25" t="str">
        <x:v>U</x:v>
      </x:c>
      <x:c r="G34" s="25" t="n">
        <x:v>0</x:v>
      </x:c>
      <x:c r="H34" s="25" t="str"/>
      <x:c r="I34" s="25" t="str"/>
      <x:c r="J34" s="25" t="str">
        <x:v>not_mapped</x:v>
      </x:c>
      <x:c r="K34" s="25" t="str">
        <x:v>127 공식 원기록과 170 공고는 서로 다른 모집단</x:v>
      </x:c>
      <x:c r="L34" s="25" t="str">
        <x:v>교차완료</x:v>
      </x:c>
    </x:row>
    <x:row r="35">
      <x:c r="A35" s="22" t="str">
        <x:v>15085055:193</x:v>
      </x:c>
      <x:c r="B35" s="22" t="str"/>
      <x:c r="C35" s="22" t="str">
        <x:v>베트남</x:v>
      </x:c>
      <x:c r="D35" s="25" t="str">
        <x:v>베트남 후에시 문화관광 스마트시티 조성 지원사업의 다비엔섬 스마트 복합문화공간 및 보행교량 건축시공</x:v>
      </x:c>
      <x:c r="E35" s="25" t="str">
        <x:v>U-근거부족</x:v>
      </x:c>
      <x:c r="F35" s="25" t="str">
        <x:v>U</x:v>
      </x:c>
      <x:c r="G35" s="25" t="n">
        <x:v>0</x:v>
      </x:c>
      <x:c r="H35" s="25" t="str"/>
      <x:c r="I35" s="25" t="str"/>
      <x:c r="J35" s="25" t="str">
        <x:v>not_mapped</x:v>
      </x:c>
      <x:c r="K35" s="25" t="str">
        <x:v>127 공식 원기록과 170 공고는 서로 다른 모집단</x:v>
      </x:c>
      <x:c r="L35" s="25" t="str">
        <x:v>교차완료</x:v>
      </x:c>
    </x:row>
    <x:row r="36">
      <x:c r="A36" s="22" t="str">
        <x:v>15085055:261</x:v>
      </x:c>
      <x:c r="B36" s="22" t="str"/>
      <x:c r="C36" s="22" t="str">
        <x:v>볼리비아</x:v>
      </x:c>
      <x:c r="D36" s="25" t="str">
        <x:v>볼리비아 감자생산 선진화를 위한 스마트팜 적용 시범사업 현지 설계사</x:v>
      </x:c>
      <x:c r="E36" s="25" t="str">
        <x:v>X-설계·감리·기타용역</x:v>
      </x:c>
      <x:c r="F36" s="25" t="str">
        <x:v>U</x:v>
      </x:c>
      <x:c r="G36" s="25" t="n">
        <x:v>0</x:v>
      </x:c>
      <x:c r="H36" s="25" t="str"/>
      <x:c r="I36" s="25" t="str"/>
      <x:c r="J36" s="25" t="str">
        <x:v>not_mapped</x:v>
      </x:c>
      <x:c r="K36" s="25" t="str">
        <x:v>127 공식 원기록과 170 공고는 서로 다른 모집단</x:v>
      </x:c>
      <x:c r="L36" s="25" t="str">
        <x:v>교차완료</x:v>
      </x:c>
    </x:row>
    <x:row r="37">
      <x:c r="A37" s="22" t="str">
        <x:v>15085055:159</x:v>
      </x:c>
      <x:c r="B37" s="22" t="str">
        <x:v>2013-00064</x:v>
      </x:c>
      <x:c r="C37" s="22" t="str">
        <x:v>볼리비아</x:v>
      </x:c>
      <x:c r="D37" s="25" t="str">
        <x:v>볼리비아 고원 지역 농업 기계화 및 농민역량 강화를 통한 생산성 증대 사업 퀴노아 연구센터 차칼라 건립 공사 시공사 선정 현지 입찰</x:v>
      </x:c>
      <x:c r="E37" s="25" t="str">
        <x:v>B</x:v>
      </x:c>
      <x:c r="F37" s="25" t="str">
        <x:v>B</x:v>
      </x:c>
      <x:c r="G37" s="25" t="n">
        <x:v>1</x:v>
      </x:c>
      <x:c r="H37" s="25" t="str">
        <x:v>L2025-00012-1;L2025-00012-2</x:v>
      </x:c>
      <x:c r="I37" s="25" t="str">
        <x:v>B</x:v>
      </x:c>
      <x:c r="J37" s="25" t="str">
        <x:v>exact_bid_no_or_exact_project_no</x:v>
      </x:c>
      <x:c r="K37" s="25" t="str">
        <x:v>127 공식 원기록과 170 공고는 서로 다른 모집단</x:v>
      </x:c>
      <x:c r="L37" s="25" t="str">
        <x:v>교차완료</x:v>
      </x:c>
    </x:row>
    <x:row r="38">
      <x:c r="A38" s="22" t="str">
        <x:v>15085055:107</x:v>
      </x:c>
      <x:c r="B38" s="22" t="str">
        <x:v>2022-00038</x:v>
      </x:c>
      <x:c r="C38" s="22" t="str">
        <x:v>볼리비아</x:v>
      </x:c>
      <x:c r="D38" s="25" t="str">
        <x:v>볼리비아 라파스주 임상병리검사실체계 강화사업 감염의학연구소 구축 감리사 선정</x:v>
      </x:c>
      <x:c r="E38" s="25" t="str">
        <x:v>X-설계·감리·기타용역</x:v>
      </x:c>
      <x:c r="F38" s="25" t="str">
        <x:v>U</x:v>
      </x:c>
      <x:c r="G38" s="25" t="n">
        <x:v>1</x:v>
      </x:c>
      <x:c r="H38" s="25" t="str">
        <x:v>L2023-00070-1;L2023-00070-2</x:v>
      </x:c>
      <x:c r="I38" s="25" t="str">
        <x:v>X</x:v>
      </x:c>
      <x:c r="J38" s="25" t="str">
        <x:v>exact_bid_no_or_exact_project_no</x:v>
      </x:c>
      <x:c r="K38" s="25" t="str">
        <x:v>127 공식 원기록과 170 공고는 서로 다른 모집단</x:v>
      </x:c>
      <x:c r="L38" s="25" t="str">
        <x:v>교차완료</x:v>
      </x:c>
    </x:row>
    <x:row r="39">
      <x:c r="A39" s="22" t="str">
        <x:v>15085055:132</x:v>
      </x:c>
      <x:c r="B39" s="22" t="str">
        <x:v>2023-00004</x:v>
      </x:c>
      <x:c r="C39" s="22" t="str">
        <x:v>볼리비아</x:v>
      </x:c>
      <x:c r="D39" s="25" t="str">
        <x:v>볼리비아 엘알또시 모성보건센터 신축/보수공사 설계사 선정</x:v>
      </x:c>
      <x:c r="E39" s="25" t="str">
        <x:v>X-설계·감리·기타용역</x:v>
      </x:c>
      <x:c r="F39" s="25" t="str">
        <x:v>U</x:v>
      </x:c>
      <x:c r="G39" s="25" t="n">
        <x:v>1</x:v>
      </x:c>
      <x:c r="H39" s="25" t="str">
        <x:v>L2025-00078-1</x:v>
      </x:c>
      <x:c r="I39" s="25" t="str">
        <x:v>C-부분</x:v>
      </x:c>
      <x:c r="J39" s="25" t="str">
        <x:v>exact_bid_no_or_exact_project_no</x:v>
      </x:c>
      <x:c r="K39" s="25" t="str">
        <x:v>127 공식 원기록과 170 공고는 서로 다른 모집단</x:v>
      </x:c>
      <x:c r="L39" s="25" t="str">
        <x:v>교차완료</x:v>
      </x:c>
    </x:row>
    <x:row r="40">
      <x:c r="A40" s="22" t="str">
        <x:v>15085055:129</x:v>
      </x:c>
      <x:c r="B40" s="22" t="str"/>
      <x:c r="C40" s="22" t="str">
        <x:v>볼리비아</x:v>
      </x:c>
      <x:c r="D40" s="25" t="str">
        <x:v>볼리비아 오루로 주 응급의료통제센터 설립 및 강화 사업('24·'28/650만불) 설계 용역</x:v>
      </x:c>
      <x:c r="E40" s="25" t="str">
        <x:v>X-설계·감리·기타용역</x:v>
      </x:c>
      <x:c r="F40" s="25" t="str">
        <x:v>U</x:v>
      </x:c>
      <x:c r="G40" s="25" t="n">
        <x:v>0</x:v>
      </x:c>
      <x:c r="H40" s="25" t="str"/>
      <x:c r="I40" s="25" t="str"/>
      <x:c r="J40" s="25" t="str">
        <x:v>not_mapped</x:v>
      </x:c>
      <x:c r="K40" s="25" t="str">
        <x:v>127 공식 원기록과 170 공고는 서로 다른 모집단</x:v>
      </x:c>
      <x:c r="L40" s="25" t="str">
        <x:v>교차완료</x:v>
      </x:c>
    </x:row>
    <x:row r="41">
      <x:c r="A41" s="22" t="str">
        <x:v>15085055:130</x:v>
      </x:c>
      <x:c r="B41" s="22" t="str">
        <x:v>2024-00006</x:v>
      </x:c>
      <x:c r="C41" s="22" t="str">
        <x:v>볼리비아</x:v>
      </x:c>
      <x:c r="D41" s="25" t="str">
        <x:v>볼리비아 추키사카주 과학수사기관 신축공사 설계사 입찰</x:v>
      </x:c>
      <x:c r="E41" s="25" t="str">
        <x:v>X-설계·감리·기타용역</x:v>
      </x:c>
      <x:c r="F41" s="25" t="str">
        <x:v>U</x:v>
      </x:c>
      <x:c r="G41" s="25" t="n">
        <x:v>0</x:v>
      </x:c>
      <x:c r="H41" s="25" t="str"/>
      <x:c r="I41" s="25" t="str"/>
      <x:c r="J41" s="25" t="str">
        <x:v>not_mapped</x:v>
      </x:c>
      <x:c r="K41" s="25" t="str">
        <x:v>127 공식 원기록과 170 공고는 서로 다른 모집단</x:v>
      </x:c>
      <x:c r="L41" s="25" t="str">
        <x:v>교차완료</x:v>
      </x:c>
    </x:row>
    <x:row r="42">
      <x:c r="A42" s="22" t="str">
        <x:v>15085055:248</x:v>
      </x:c>
      <x:c r="B42" s="22" t="str">
        <x:v>2022-00003</x:v>
      </x:c>
      <x:c r="C42" s="22" t="str">
        <x:v>세네갈</x:v>
      </x:c>
      <x:c r="D42" s="25" t="str">
        <x:v>세네갈 국가공중보건 실험실 역량강화사업('22·'26/600만불) 실험실 리모델링 시공 용역</x:v>
      </x:c>
      <x:c r="E42" s="25" t="str">
        <x:v>U-근거부족</x:v>
      </x:c>
      <x:c r="F42" s="25" t="str">
        <x:v>U</x:v>
      </x:c>
      <x:c r="G42" s="25" t="n">
        <x:v>1</x:v>
      </x:c>
      <x:c r="H42" s="25" t="str">
        <x:v>L2025-00106-1</x:v>
      </x:c>
      <x:c r="I42" s="25" t="str">
        <x:v>X</x:v>
      </x:c>
      <x:c r="J42" s="25" t="str">
        <x:v>exact_bid_no_or_exact_project_no</x:v>
      </x:c>
      <x:c r="K42" s="25" t="str">
        <x:v>127 공식 원기록과 170 공고는 서로 다른 모집단</x:v>
      </x:c>
      <x:c r="L42" s="25" t="str">
        <x:v>교차완료</x:v>
      </x:c>
    </x:row>
    <x:row r="43">
      <x:c r="A43" s="22" t="str">
        <x:v>15085055:16</x:v>
      </x:c>
      <x:c r="B43" s="22" t="str">
        <x:v>2022-00003</x:v>
      </x:c>
      <x:c r="C43" s="22" t="str">
        <x:v>세네갈</x:v>
      </x:c>
      <x:c r="D43" s="25" t="str">
        <x:v>세네갈 국가공중보건 실험실 역량강화사업(22·26/600만불) 실험실 리모델링 시공 감리 용역</x:v>
      </x:c>
      <x:c r="E43" s="25" t="str">
        <x:v>U-근거부족</x:v>
      </x:c>
      <x:c r="F43" s="25" t="str">
        <x:v>U</x:v>
      </x:c>
      <x:c r="G43" s="25" t="n">
        <x:v>1</x:v>
      </x:c>
      <x:c r="H43" s="25" t="str">
        <x:v>L2025-00106-1</x:v>
      </x:c>
      <x:c r="I43" s="25" t="str">
        <x:v>X</x:v>
      </x:c>
      <x:c r="J43" s="25" t="str">
        <x:v>exact_bid_no_or_exact_project_no</x:v>
      </x:c>
      <x:c r="K43" s="25" t="str">
        <x:v>127 공식 원기록과 170 공고는 서로 다른 모집단</x:v>
      </x:c>
      <x:c r="L43" s="25" t="str">
        <x:v>교차완료</x:v>
      </x:c>
    </x:row>
    <x:row r="44">
      <x:c r="A44" s="22" t="str">
        <x:v>15085055:78</x:v>
      </x:c>
      <x:c r="B44" s="22" t="str"/>
      <x:c r="C44" s="22" t="str">
        <x:v>세네갈</x:v>
      </x:c>
      <x:c r="D44" s="25" t="str">
        <x:v>세네갈 남부지역 농업기술 역량강화사업('25·'29/1,000만불)</x:v>
      </x:c>
      <x:c r="E44" s="25" t="str">
        <x:v>U-근거부족</x:v>
      </x:c>
      <x:c r="F44" s="25" t="str">
        <x:v>U</x:v>
      </x:c>
      <x:c r="G44" s="25" t="n">
        <x:v>0</x:v>
      </x:c>
      <x:c r="H44" s="25" t="str"/>
      <x:c r="I44" s="25" t="str"/>
      <x:c r="J44" s="25" t="str">
        <x:v>not_mapped</x:v>
      </x:c>
      <x:c r="K44" s="25" t="str">
        <x:v>127 공식 원기록과 170 공고는 서로 다른 모집단</x:v>
      </x:c>
      <x:c r="L44" s="25" t="str">
        <x:v>교차완료</x:v>
      </x:c>
    </x:row>
    <x:row r="45">
      <x:c r="A45" s="22" t="str">
        <x:v>15085055:152</x:v>
      </x:c>
      <x:c r="B45" s="22" t="str">
        <x:v>2020-00048</x:v>
      </x:c>
      <x:c r="C45" s="22" t="str">
        <x:v>세네갈</x:v>
      </x:c>
      <x:c r="D45" s="25" t="str">
        <x:v>세네갈 미곡가치사슬 강화 2차 사업('20·'26/1,100만불)</x:v>
      </x:c>
      <x:c r="E45" s="25" t="str">
        <x:v>X-설계·감리·기타용역</x:v>
      </x:c>
      <x:c r="F45" s="25" t="str">
        <x:v>U</x:v>
      </x:c>
      <x:c r="G45" s="25" t="n">
        <x:v>1</x:v>
      </x:c>
      <x:c r="H45" s="25" t="str">
        <x:v>L2024-00062-1;L2025-00021-1</x:v>
      </x:c>
      <x:c r="I45" s="25" t="str">
        <x:v>U</x:v>
      </x:c>
      <x:c r="J45" s="25" t="str">
        <x:v>exact_bid_no_or_exact_project_no</x:v>
      </x:c>
      <x:c r="K45" s="25" t="str">
        <x:v>127 공식 원기록과 170 공고는 서로 다른 모집단</x:v>
      </x:c>
      <x:c r="L45" s="25" t="str">
        <x:v>교차완료</x:v>
      </x:c>
    </x:row>
    <x:row r="46">
      <x:c r="A46" s="22" t="str">
        <x:v>15085055:95</x:v>
      </x:c>
      <x:c r="B46" s="22" t="str"/>
      <x:c r="C46" s="22" t="str">
        <x:v>세네갈</x:v>
      </x:c>
      <x:c r="D46" s="25" t="str">
        <x:v>세네갈 중부지역 모자보건체계 강화사업 2단계(24·28/1250만불) 보건소 설계 용역</x:v>
      </x:c>
      <x:c r="E46" s="25" t="str">
        <x:v>X-설계·감리·기타용역</x:v>
      </x:c>
      <x:c r="F46" s="25" t="str">
        <x:v>U</x:v>
      </x:c>
      <x:c r="G46" s="25" t="n">
        <x:v>0</x:v>
      </x:c>
      <x:c r="H46" s="25" t="str"/>
      <x:c r="I46" s="25" t="str"/>
      <x:c r="J46" s="25" t="str">
        <x:v>not_mapped</x:v>
      </x:c>
      <x:c r="K46" s="25" t="str">
        <x:v>127 공식 원기록과 170 공고는 서로 다른 모집단</x:v>
      </x:c>
      <x:c r="L46" s="25" t="str">
        <x:v>교차완료</x:v>
      </x:c>
    </x:row>
    <x:row r="47">
      <x:c r="A47" s="22" t="str">
        <x:v>15085055:79</x:v>
      </x:c>
      <x:c r="B47" s="22" t="str">
        <x:v>2023-00061</x:v>
      </x:c>
      <x:c r="C47" s="22" t="str">
        <x:v>세네갈</x:v>
      </x:c>
      <x:c r="D47" s="25" t="str">
        <x:v>세네갈 콜다 주 통합적 접근을 통한 미곡가치사슬 강화사업('23·'28/1,450만불)</x:v>
      </x:c>
      <x:c r="E47" s="25" t="str">
        <x:v>X-설계·감리·기타용역</x:v>
      </x:c>
      <x:c r="F47" s="25" t="str">
        <x:v>U</x:v>
      </x:c>
      <x:c r="G47" s="25" t="n">
        <x:v>0</x:v>
      </x:c>
      <x:c r="H47" s="25" t="str"/>
      <x:c r="I47" s="25" t="str"/>
      <x:c r="J47" s="25" t="str">
        <x:v>not_mapped</x:v>
      </x:c>
      <x:c r="K47" s="25" t="str">
        <x:v>127 공식 원기록과 170 공고는 서로 다른 모집단</x:v>
      </x:c>
      <x:c r="L47" s="25" t="str">
        <x:v>교차완료</x:v>
      </x:c>
    </x:row>
    <x:row r="48">
      <x:c r="A48" s="22" t="str">
        <x:v>15085055:194</x:v>
      </x:c>
      <x:c r="B48" s="22" t="str">
        <x:v>2016-00062</x:v>
      </x:c>
      <x:c r="C48" s="22" t="str">
        <x:v>솔로몬군도</x:v>
      </x:c>
      <x:c r="D48" s="25" t="str">
        <x:v>솔로몬군도 국립대학교 수산인력양성 지원사업(‘14·’18/500만불)</x:v>
      </x:c>
      <x:c r="E48" s="25" t="str">
        <x:v>U-근거부족</x:v>
      </x:c>
      <x:c r="F48" s="25" t="str">
        <x:v>U</x:v>
      </x:c>
      <x:c r="G48" s="25" t="n">
        <x:v>0</x:v>
      </x:c>
      <x:c r="H48" s="25" t="str"/>
      <x:c r="I48" s="25" t="str"/>
      <x:c r="J48" s="25" t="str">
        <x:v>not_mapped</x:v>
      </x:c>
      <x:c r="K48" s="25" t="str">
        <x:v>127 공식 원기록과 170 공고는 서로 다른 모집단</x:v>
      </x:c>
      <x:c r="L48" s="25" t="str">
        <x:v>교차완료</x:v>
      </x:c>
    </x:row>
    <x:row r="49">
      <x:c r="A49" s="22" t="str">
        <x:v>15085055:1</x:v>
      </x:c>
      <x:c r="B49" s="22" t="str">
        <x:v>2025-00099</x:v>
      </x:c>
      <x:c r="C49" s="22" t="str">
        <x:v>알제리</x:v>
      </x:c>
      <x:c r="D49" s="25" t="str">
        <x:v>알제리 경찰청 과학수사역량강화사업 과학실험실 실시설계 감리 용역</x:v>
      </x:c>
      <x:c r="E49" s="25" t="str">
        <x:v>X-설계·감리·기타용역</x:v>
      </x:c>
      <x:c r="F49" s="25" t="str">
        <x:v>U</x:v>
      </x:c>
      <x:c r="G49" s="25" t="n">
        <x:v>0</x:v>
      </x:c>
      <x:c r="H49" s="25" t="str"/>
      <x:c r="I49" s="25" t="str"/>
      <x:c r="J49" s="25" t="str">
        <x:v>not_mapped</x:v>
      </x:c>
      <x:c r="K49" s="25" t="str">
        <x:v>127 공식 원기록과 170 공고는 서로 다른 모집단</x:v>
      </x:c>
      <x:c r="L49" s="25" t="str">
        <x:v>교차완료</x:v>
      </x:c>
    </x:row>
    <x:row r="50">
      <x:c r="A50" s="22" t="str">
        <x:v>15085055:350</x:v>
      </x:c>
      <x:c r="B50" s="22" t="str">
        <x:v>2022-00039</x:v>
      </x:c>
      <x:c r="C50" s="22" t="str">
        <x:v>에콰도르</x:v>
      </x:c>
      <x:c r="D50" s="25" t="str">
        <x:v>에콰도르 생물다양성 보전과 지속가능한 이용을 위한 국가 유전자원 데이터 은행 설립사업('22·'28/900만불) 리모델링 시공 감리 용역</x:v>
      </x:c>
      <x:c r="E50" s="25" t="str">
        <x:v>X-설계·감리·기타용역</x:v>
      </x:c>
      <x:c r="F50" s="25" t="str">
        <x:v>U</x:v>
      </x:c>
      <x:c r="G50" s="25" t="n">
        <x:v>0</x:v>
      </x:c>
      <x:c r="H50" s="25" t="str"/>
      <x:c r="I50" s="25" t="str"/>
      <x:c r="J50" s="25" t="str">
        <x:v>not_mapped</x:v>
      </x:c>
      <x:c r="K50" s="25" t="str">
        <x:v>127 공식 원기록과 170 공고는 서로 다른 모집단</x:v>
      </x:c>
      <x:c r="L50" s="25" t="str">
        <x:v>교차완료</x:v>
      </x:c>
    </x:row>
    <x:row r="51">
      <x:c r="A51" s="22" t="str">
        <x:v>15085055:351</x:v>
      </x:c>
      <x:c r="B51" s="22" t="str">
        <x:v>2022-00039</x:v>
      </x:c>
      <x:c r="C51" s="22" t="str">
        <x:v>에콰도르</x:v>
      </x:c>
      <x:c r="D51" s="25" t="str">
        <x:v>에콰도르 생물다양성 보전과 지속가능한 이용을 위한 국가 유전자원 데이터 은행 설립사업('22·'28/900만불) 리모델링 시공 용역</x:v>
      </x:c>
      <x:c r="E51" s="25" t="str">
        <x:v>U-근거부족</x:v>
      </x:c>
      <x:c r="F51" s="25" t="str">
        <x:v>U</x:v>
      </x:c>
      <x:c r="G51" s="25" t="n">
        <x:v>0</x:v>
      </x:c>
      <x:c r="H51" s="25" t="str"/>
      <x:c r="I51" s="25" t="str"/>
      <x:c r="J51" s="25" t="str">
        <x:v>not_mapped</x:v>
      </x:c>
      <x:c r="K51" s="25" t="str">
        <x:v>127 공식 원기록과 170 공고는 서로 다른 모집단</x:v>
      </x:c>
      <x:c r="L51" s="25" t="str">
        <x:v>교차완료</x:v>
      </x:c>
    </x:row>
    <x:row r="52">
      <x:c r="A52" s="22" t="str">
        <x:v>15085055:224</x:v>
      </x:c>
      <x:c r="B52" s="22" t="str">
        <x:v>2022-00040</x:v>
      </x:c>
      <x:c r="C52" s="22" t="str">
        <x:v>에콰도르</x:v>
      </x:c>
      <x:c r="D52" s="25" t="str">
        <x:v>에콰도르 쿠엔카시 순환경제를 위한 폐기물 통합 관리 및 자원순환 역량강화사업 피차카이 자원집적단지 3개시설 설계</x:v>
      </x:c>
      <x:c r="E52" s="25" t="str">
        <x:v>X-설계·감리·기타용역</x:v>
      </x:c>
      <x:c r="F52" s="25" t="str">
        <x:v>U</x:v>
      </x:c>
      <x:c r="G52" s="25" t="n">
        <x:v>0</x:v>
      </x:c>
      <x:c r="H52" s="25" t="str"/>
      <x:c r="I52" s="25" t="str"/>
      <x:c r="J52" s="25" t="str">
        <x:v>not_mapped</x:v>
      </x:c>
      <x:c r="K52" s="25" t="str">
        <x:v>127 공식 원기록과 170 공고는 서로 다른 모집단</x:v>
      </x:c>
      <x:c r="L52" s="25" t="str">
        <x:v>교차완료</x:v>
      </x:c>
    </x:row>
    <x:row r="53">
      <x:c r="A53" s="22" t="str">
        <x:v>15085055:73</x:v>
      </x:c>
      <x:c r="B53" s="22" t="str"/>
      <x:c r="C53" s="22" t="str">
        <x:v>에티오피아</x:v>
      </x:c>
      <x:c r="D53" s="25" t="str">
        <x:v>에티오피아 낙농가치사슬 및 이해관계자 역량강화를 통한 유제품 품질 개선사업('23·'28/1,000만불)</x:v>
      </x:c>
      <x:c r="E53" s="25" t="str">
        <x:v>U-근거부족</x:v>
      </x:c>
      <x:c r="F53" s="25" t="str">
        <x:v>U</x:v>
      </x:c>
      <x:c r="G53" s="25" t="n">
        <x:v>0</x:v>
      </x:c>
      <x:c r="H53" s="25" t="str"/>
      <x:c r="I53" s="25" t="str"/>
      <x:c r="J53" s="25" t="str">
        <x:v>not_mapped</x:v>
      </x:c>
      <x:c r="K53" s="25" t="str">
        <x:v>127 공식 원기록과 170 공고는 서로 다른 모집단</x:v>
      </x:c>
      <x:c r="L53" s="25" t="str">
        <x:v>교차완료</x:v>
      </x:c>
    </x:row>
    <x:row r="54">
      <x:c r="A54" s="22" t="str">
        <x:v>15085055:247</x:v>
      </x:c>
      <x:c r="B54" s="22" t="str"/>
      <x:c r="C54" s="22" t="str">
        <x:v>엘살바도르</x:v>
      </x:c>
      <x:c r="D54" s="25" t="str">
        <x:v>엘살바도르 산살바도르 도시교통 마스터플랜 수립 및 버스관리정보시스템 구축사업(시범시스템) 시스템개발 PC용역</x:v>
      </x:c>
      <x:c r="E54" s="25" t="str">
        <x:v>X-설계·감리·기타용역</x:v>
      </x:c>
      <x:c r="F54" s="25" t="str">
        <x:v>U</x:v>
      </x:c>
      <x:c r="G54" s="25" t="n">
        <x:v>0</x:v>
      </x:c>
      <x:c r="H54" s="25" t="str"/>
      <x:c r="I54" s="25" t="str"/>
      <x:c r="J54" s="25" t="str">
        <x:v>not_mapped</x:v>
      </x:c>
      <x:c r="K54" s="25" t="str">
        <x:v>127 공식 원기록과 170 공고는 서로 다른 모집단</x:v>
      </x:c>
      <x:c r="L54" s="25" t="str">
        <x:v>교차완료</x:v>
      </x:c>
    </x:row>
    <x:row r="55">
      <x:c r="A55" s="22" t="str">
        <x:v>15085055:363</x:v>
      </x:c>
      <x:c r="B55" s="22" t="str">
        <x:v>2021-00085</x:v>
      </x:c>
      <x:c r="C55" s="22" t="str">
        <x:v>우즈베키스탄</x:v>
      </x:c>
      <x:c r="D55" s="25" t="str">
        <x:v>우즈베키스탄 교수학습개발복합센터 건립을 통한 유아교사 역량강화사업 전시 계획 및 설치용역</x:v>
      </x:c>
      <x:c r="E55" s="25" t="str">
        <x:v>X-설계·감리·기타용역</x:v>
      </x:c>
      <x:c r="F55" s="25" t="str">
        <x:v>U</x:v>
      </x:c>
      <x:c r="G55" s="25" t="n">
        <x:v>0</x:v>
      </x:c>
      <x:c r="H55" s="25" t="str"/>
      <x:c r="I55" s="25" t="str"/>
      <x:c r="J55" s="25" t="str">
        <x:v>not_mapped</x:v>
      </x:c>
      <x:c r="K55" s="25" t="str">
        <x:v>127 공식 원기록과 170 공고는 서로 다른 모집단</x:v>
      </x:c>
      <x:c r="L55" s="25" t="str">
        <x:v>교차완료</x:v>
      </x:c>
    </x:row>
    <x:row r="56">
      <x:c r="A56" s="22" t="str">
        <x:v>15085055:279</x:v>
      </x:c>
      <x:c r="B56" s="22" t="str"/>
      <x:c r="C56" s="22" t="str">
        <x:v>우즈베키스탄</x:v>
      </x:c>
      <x:c r="D56" s="25" t="str">
        <x:v>우즈베키스탄 세계경제외교대학(UWED) 사이버대학 설립을 위한 온라인교육 제도 구축 및 환경 조성 사업(25·29/690만불) PMC 용역</x:v>
      </x:c>
      <x:c r="E56" s="25" t="str">
        <x:v>X-설계·감리·기타용역</x:v>
      </x:c>
      <x:c r="F56" s="25" t="str">
        <x:v>U</x:v>
      </x:c>
      <x:c r="G56" s="25" t="n">
        <x:v>0</x:v>
      </x:c>
      <x:c r="H56" s="25" t="str"/>
      <x:c r="I56" s="25" t="str"/>
      <x:c r="J56" s="25" t="str">
        <x:v>not_mapped</x:v>
      </x:c>
      <x:c r="K56" s="25" t="str">
        <x:v>127 공식 원기록과 170 공고는 서로 다른 모집단</x:v>
      </x:c>
      <x:c r="L56" s="25" t="str">
        <x:v>교차완료</x:v>
      </x:c>
    </x:row>
    <x:row r="57">
      <x:c r="A57" s="22" t="str">
        <x:v>15085055:180</x:v>
      </x:c>
      <x:c r="B57" s="22" t="str">
        <x:v>2020-00086</x:v>
      </x:c>
      <x:c r="C57" s="22" t="str">
        <x:v>우즈베키스탄</x:v>
      </x:c>
      <x:c r="D57" s="25" t="str">
        <x:v>우즈베키스탄 우르겐치 직업훈련원 건립 및 직업훈련 제도역량 공고화 지원 사업(20·25/1,400만불) 가구 공급 및 설치</x:v>
      </x:c>
      <x:c r="E57" s="25" t="str">
        <x:v>X-물품</x:v>
      </x:c>
      <x:c r="F57" s="25" t="str">
        <x:v>B</x:v>
      </x:c>
      <x:c r="G57" s="25" t="n">
        <x:v>1</x:v>
      </x:c>
      <x:c r="H57" s="25" t="str">
        <x:v>L2022-00003-1;L2023-00007-1;L2023-00036-1;L2023-00053-1</x:v>
      </x:c>
      <x:c r="I57" s="25" t="str">
        <x:v>B</x:v>
      </x:c>
      <x:c r="J57" s="25" t="str">
        <x:v>exact_bid_no_or_exact_project_no</x:v>
      </x:c>
      <x:c r="K57" s="25" t="str">
        <x:v>127 공식 원기록과 170 공고는 서로 다른 모집단</x:v>
      </x:c>
      <x:c r="L57" s="25" t="str">
        <x:v>교차완료</x:v>
      </x:c>
    </x:row>
    <x:row r="58">
      <x:c r="A58" s="22" t="str">
        <x:v>15085055:179</x:v>
      </x:c>
      <x:c r="B58" s="22" t="str">
        <x:v>2020-00086</x:v>
      </x:c>
      <x:c r="C58" s="22" t="str">
        <x:v>우즈베키스탄</x:v>
      </x:c>
      <x:c r="D58" s="25" t="str">
        <x:v>우즈베키스탄 우르겐치 직업훈련원 건립 및 직업훈련 제도역량 공고화 지원 사업(20·25/1,400만불) 기자재 공급 및 설치</x:v>
      </x:c>
      <x:c r="E58" s="25" t="str">
        <x:v>X-물품</x:v>
      </x:c>
      <x:c r="F58" s="25" t="str">
        <x:v>B</x:v>
      </x:c>
      <x:c r="G58" s="25" t="n">
        <x:v>1</x:v>
      </x:c>
      <x:c r="H58" s="25" t="str">
        <x:v>L2022-00003-1;L2023-00007-1;L2023-00036-1;L2023-00053-1</x:v>
      </x:c>
      <x:c r="I58" s="25" t="str">
        <x:v>B</x:v>
      </x:c>
      <x:c r="J58" s="25" t="str">
        <x:v>exact_bid_no_or_exact_project_no</x:v>
      </x:c>
      <x:c r="K58" s="25" t="str">
        <x:v>127 공식 원기록과 170 공고는 서로 다른 모집단</x:v>
      </x:c>
      <x:c r="L58" s="25" t="str">
        <x:v>교차완료</x:v>
      </x:c>
    </x:row>
    <x:row r="59">
      <x:c r="A59" s="22" t="str">
        <x:v>15085055:66</x:v>
      </x:c>
      <x:c r="B59" s="22" t="str">
        <x:v>2021-00085</x:v>
      </x:c>
      <x:c r="C59" s="22" t="str">
        <x:v>우즈베키스탄</x:v>
      </x:c>
      <x:c r="D59" s="25" t="str">
        <x:v>우즈베키스탄 유아교사 역량강화 및 유아교육진흥센터 건립사업('21·'26/1,199만불)</x:v>
      </x:c>
      <x:c r="E59" s="25" t="str">
        <x:v>U-근거부족</x:v>
      </x:c>
      <x:c r="F59" s="25" t="str">
        <x:v>U</x:v>
      </x:c>
      <x:c r="G59" s="25" t="n">
        <x:v>0</x:v>
      </x:c>
      <x:c r="H59" s="25" t="str"/>
      <x:c r="I59" s="25" t="str"/>
      <x:c r="J59" s="25" t="str">
        <x:v>not_mapped</x:v>
      </x:c>
      <x:c r="K59" s="25" t="str">
        <x:v>127 공식 원기록과 170 공고는 서로 다른 모집단</x:v>
      </x:c>
      <x:c r="L59" s="25" t="str">
        <x:v>교차완료</x:v>
      </x:c>
    </x:row>
    <x:row r="60">
      <x:c r="A60" s="22" t="str">
        <x:v>15085055:265</x:v>
      </x:c>
      <x:c r="B60" s="22" t="str"/>
      <x:c r="C60" s="22" t="str">
        <x:v>우크라이나</x:v>
      </x:c>
      <x:c r="D60" s="25" t="str">
        <x:v>우크라이나 국립아동병원 오흐마디트 소아 트라우마 및 재활의료 서비스 강화 사업('25·'28/1,400만불)</x:v>
      </x:c>
      <x:c r="E60" s="25" t="str">
        <x:v>X-설계·감리·기타용역</x:v>
      </x:c>
      <x:c r="F60" s="25" t="str">
        <x:v>U</x:v>
      </x:c>
      <x:c r="G60" s="25" t="n">
        <x:v>0</x:v>
      </x:c>
      <x:c r="H60" s="25" t="str"/>
      <x:c r="I60" s="25" t="str"/>
      <x:c r="J60" s="25" t="str">
        <x:v>not_mapped</x:v>
      </x:c>
      <x:c r="K60" s="25" t="str">
        <x:v>127 공식 원기록과 170 공고는 서로 다른 모집단</x:v>
      </x:c>
      <x:c r="L60" s="25" t="str">
        <x:v>교차완료</x:v>
      </x:c>
    </x:row>
    <x:row r="61">
      <x:c r="A61" s="22" t="str">
        <x:v>15085055:104</x:v>
      </x:c>
      <x:c r="B61" s="22" t="str">
        <x:v>2023-00096</x:v>
      </x:c>
      <x:c r="C61" s="22" t="str">
        <x:v>우크라이나</x:v>
      </x:c>
      <x:c r="D61" s="25" t="str">
        <x:v>우크라이나 키이우주 재활의료 역량강화 사업('23·'27/500만불)</x:v>
      </x:c>
      <x:c r="E61" s="25" t="str">
        <x:v>X-설계·감리·기타용역</x:v>
      </x:c>
      <x:c r="F61" s="25" t="str">
        <x:v>U</x:v>
      </x:c>
      <x:c r="G61" s="25" t="n">
        <x:v>0</x:v>
      </x:c>
      <x:c r="H61" s="25" t="str"/>
      <x:c r="I61" s="25" t="str"/>
      <x:c r="J61" s="25" t="str">
        <x:v>not_mapped</x:v>
      </x:c>
      <x:c r="K61" s="25" t="str">
        <x:v>127 공식 원기록과 170 공고는 서로 다른 모집단</x:v>
      </x:c>
      <x:c r="L61" s="25" t="str">
        <x:v>교차완료</x:v>
      </x:c>
    </x:row>
    <x:row r="62">
      <x:c r="A62" s="22" t="str">
        <x:v>15085055:267</x:v>
      </x:c>
      <x:c r="B62" s="22" t="str">
        <x:v>2023-00096</x:v>
      </x:c>
      <x:c r="C62" s="22" t="str">
        <x:v>우크라이나</x:v>
      </x:c>
      <x:c r="D62" s="25" t="str">
        <x:v>우크라이나 키이우주 재활의료 역량강화 사업('23·'27/500만불) 설계 용역</x:v>
      </x:c>
      <x:c r="E62" s="25" t="str">
        <x:v>X-설계·감리·기타용역</x:v>
      </x:c>
      <x:c r="F62" s="25" t="str">
        <x:v>U</x:v>
      </x:c>
      <x:c r="G62" s="25" t="n">
        <x:v>0</x:v>
      </x:c>
      <x:c r="H62" s="25" t="str"/>
      <x:c r="I62" s="25" t="str"/>
      <x:c r="J62" s="25" t="str">
        <x:v>not_mapped</x:v>
      </x:c>
      <x:c r="K62" s="25" t="str">
        <x:v>127 공식 원기록과 170 공고는 서로 다른 모집단</x:v>
      </x:c>
      <x:c r="L62" s="25" t="str">
        <x:v>교차완료</x:v>
      </x:c>
    </x:row>
    <x:row r="63">
      <x:c r="A63" s="22" t="str">
        <x:v>15085055:105</x:v>
      </x:c>
      <x:c r="B63" s="22" t="str">
        <x:v>2023-00087</x:v>
      </x:c>
      <x:c r="C63" s="22" t="str">
        <x:v>이라크</x:v>
      </x:c>
      <x:c r="D63" s="25" t="str">
        <x:v>이라크 쿠르드 지역학교 내 난민통합교육 강화사업 (23·28/1,200만불) 설계</x:v>
      </x:c>
      <x:c r="E63" s="25" t="str">
        <x:v>X-설계·감리·기타용역</x:v>
      </x:c>
      <x:c r="F63" s="25" t="str">
        <x:v>B-부분</x:v>
      </x:c>
      <x:c r="G63" s="25" t="n">
        <x:v>1</x:v>
      </x:c>
      <x:c r="H63" s="25" t="str">
        <x:v>L2025-00045-1;L2025-00045-2</x:v>
      </x:c>
      <x:c r="I63" s="25" t="str">
        <x:v>X</x:v>
      </x:c>
      <x:c r="J63" s="25" t="str">
        <x:v>exact_bid_no_or_exact_project_no</x:v>
      </x:c>
      <x:c r="K63" s="25" t="str">
        <x:v>127 공식 원기록과 170 공고는 서로 다른 모집단</x:v>
      </x:c>
      <x:c r="L63" s="25" t="str">
        <x:v>교차완료</x:v>
      </x:c>
    </x:row>
    <x:row r="64">
      <x:c r="A64" s="22" t="str">
        <x:v>15085055:114</x:v>
      </x:c>
      <x:c r="B64" s="22" t="str">
        <x:v>2020-00119</x:v>
      </x:c>
      <x:c r="C64" s="22" t="str">
        <x:v>이라크</x:v>
      </x:c>
      <x:c r="D64" s="25" t="str">
        <x:v>이라크 한·이라크 심장병 어린이 전문 병원 건립사업('20·'30/2,793만불)</x:v>
      </x:c>
      <x:c r="E64" s="25" t="str">
        <x:v>A-부분</x:v>
      </x:c>
      <x:c r="F64" s="25" t="str">
        <x:v>A-부분</x:v>
      </x:c>
      <x:c r="G64" s="25" t="n">
        <x:v>1</x:v>
      </x:c>
      <x:c r="H64" s="25" t="str">
        <x:v>L2025-00070-1;L2025-00071-1;L2025-00085-1</x:v>
      </x:c>
      <x:c r="I64" s="25" t="str">
        <x:v>A-부분</x:v>
      </x:c>
      <x:c r="J64" s="25" t="str">
        <x:v>exact_bid_no_or_exact_project_no</x:v>
      </x:c>
      <x:c r="K64" s="25" t="str">
        <x:v>127 공식 원기록과 170 공고는 서로 다른 모집단</x:v>
      </x:c>
      <x:c r="L64" s="25" t="str">
        <x:v>교차완료</x:v>
      </x:c>
    </x:row>
    <x:row r="65">
      <x:c r="A65" s="22" t="str">
        <x:v>15085055:185</x:v>
      </x:c>
      <x:c r="B65" s="22" t="str">
        <x:v>2021-00009</x:v>
      </x:c>
      <x:c r="C65" s="22" t="str">
        <x:v>인도네시아</x:v>
      </x:c>
      <x:c r="D65" s="25" t="str">
        <x:v>인도네시아 국립대학교 ICT기반 통합지식교육센터 구축 사업(21·26/985만불) 시공 용역</x:v>
      </x:c>
      <x:c r="E65" s="25" t="str">
        <x:v>C?</x:v>
      </x:c>
      <x:c r="F65" s="25" t="str">
        <x:v>C?</x:v>
      </x:c>
      <x:c r="G65" s="25" t="n">
        <x:v>0</x:v>
      </x:c>
      <x:c r="H65" s="25" t="str"/>
      <x:c r="I65" s="25" t="str"/>
      <x:c r="J65" s="25" t="str">
        <x:v>not_mapped</x:v>
      </x:c>
      <x:c r="K65" s="25" t="str">
        <x:v>127 공식 원기록과 170 공고는 서로 다른 모집단</x:v>
      </x:c>
      <x:c r="L65" s="25" t="str">
        <x:v>교차완료</x:v>
      </x:c>
    </x:row>
    <x:row r="66">
      <x:c r="A66" s="22" t="str">
        <x:v>15085055:40</x:v>
      </x:c>
      <x:c r="B66" s="22" t="str">
        <x:v>2021-00156</x:v>
      </x:c>
      <x:c r="C66" s="22" t="str">
        <x:v>인도네시아</x:v>
      </x:c>
      <x:c r="D66" s="25" t="str">
        <x:v>인도네시아 보고르대학교 농업생명과학연구센터 역량강화 사업(21·28/1,100만불)</x:v>
      </x:c>
      <x:c r="E66" s="25" t="str">
        <x:v>C?</x:v>
      </x:c>
      <x:c r="F66" s="25" t="str">
        <x:v>C?</x:v>
      </x:c>
      <x:c r="G66" s="25" t="n">
        <x:v>0</x:v>
      </x:c>
      <x:c r="H66" s="25" t="str"/>
      <x:c r="I66" s="25" t="str"/>
      <x:c r="J66" s="25" t="str">
        <x:v>not_mapped</x:v>
      </x:c>
      <x:c r="K66" s="25" t="str">
        <x:v>127 공식 원기록과 170 공고는 서로 다른 모집단</x:v>
      </x:c>
      <x:c r="L66" s="25" t="str">
        <x:v>교차완료</x:v>
      </x:c>
    </x:row>
    <x:row r="67">
      <x:c r="A67" s="22" t="str">
        <x:v>15085055:294</x:v>
      </x:c>
      <x:c r="B67" s="22" t="str">
        <x:v>2022-00079</x:v>
      </x:c>
      <x:c r="C67" s="22" t="str">
        <x:v>인도네시아</x:v>
      </x:c>
      <x:c r="D67" s="25" t="str">
        <x:v>인도네시아 사이버보안 전문인력양성 역량강화사업('22·'27/740만불) 사이버보안 훈련센터 신축공사 시공사 선정</x:v>
      </x:c>
      <x:c r="E67" s="25" t="str">
        <x:v>U-근거부족</x:v>
      </x:c>
      <x:c r="F67" s="25" t="str">
        <x:v>U</x:v>
      </x:c>
      <x:c r="G67" s="25" t="n">
        <x:v>1</x:v>
      </x:c>
      <x:c r="H67" s="25" t="str">
        <x:v>L2025-00002-1</x:v>
      </x:c>
      <x:c r="I67" s="25" t="str">
        <x:v>C</x:v>
      </x:c>
      <x:c r="J67" s="25" t="str">
        <x:v>exact_bid_no_or_exact_project_no</x:v>
      </x:c>
      <x:c r="K67" s="25" t="str">
        <x:v>127 공식 원기록과 170 공고는 서로 다른 모집단</x:v>
      </x:c>
      <x:c r="L67" s="25" t="str">
        <x:v>교차완료</x:v>
      </x:c>
    </x:row>
    <x:row r="68">
      <x:c r="A68" s="22" t="str">
        <x:v>15085055:19</x:v>
      </x:c>
      <x:c r="B68" s="22" t="str">
        <x:v>2022-00084</x:v>
      </x:c>
      <x:c r="C68" s="22" t="str">
        <x:v>인도네시아</x:v>
      </x:c>
      <x:c r="D68" s="25" t="str">
        <x:v>인도네시아 재난대응 공공의료 훈련 역량강화사업('22·'28/1,200만불)</x:v>
      </x:c>
      <x:c r="E68" s="25" t="str">
        <x:v>X-설계·감리·기타용역</x:v>
      </x:c>
      <x:c r="F68" s="25" t="str">
        <x:v>U</x:v>
      </x:c>
      <x:c r="G68" s="25" t="n">
        <x:v>0</x:v>
      </x:c>
      <x:c r="H68" s="25" t="str"/>
      <x:c r="I68" s="25" t="str"/>
      <x:c r="J68" s="25" t="str">
        <x:v>not_mapped</x:v>
      </x:c>
      <x:c r="K68" s="25" t="str">
        <x:v>127 공식 원기록과 170 공고는 서로 다른 모집단</x:v>
      </x:c>
      <x:c r="L68" s="25" t="str">
        <x:v>교차완료</x:v>
      </x:c>
    </x:row>
    <x:row r="69">
      <x:c r="A69" s="22" t="str">
        <x:v>15085055:342</x:v>
      </x:c>
      <x:c r="B69" s="22" t="str">
        <x:v>2023-00084</x:v>
      </x:c>
      <x:c r="C69" s="22" t="str">
        <x:v>카메룬</x:v>
      </x:c>
      <x:c r="D69" s="25" t="str">
        <x:v>카메룬 응급의료체계 구축 사업('23·'28/1,400만불) 건축 설계 용역</x:v>
      </x:c>
      <x:c r="E69" s="25" t="str">
        <x:v>X-설계·감리·기타용역</x:v>
      </x:c>
      <x:c r="F69" s="25" t="str">
        <x:v>U</x:v>
      </x:c>
      <x:c r="G69" s="25" t="n">
        <x:v>0</x:v>
      </x:c>
      <x:c r="H69" s="25" t="str"/>
      <x:c r="I69" s="25" t="str"/>
      <x:c r="J69" s="25" t="str">
        <x:v>not_mapped</x:v>
      </x:c>
      <x:c r="K69" s="25" t="str">
        <x:v>127 공식 원기록과 170 공고는 서로 다른 모집단</x:v>
      </x:c>
      <x:c r="L69" s="25" t="str">
        <x:v>교차완료</x:v>
      </x:c>
    </x:row>
    <x:row r="70">
      <x:c r="A70" s="22" t="str">
        <x:v>15085055:116</x:v>
      </x:c>
      <x:c r="B70" s="22" t="str">
        <x:v>2022-00142</x:v>
      </x:c>
      <x:c r="C70" s="22" t="str">
        <x:v>카메룬</x:v>
      </x:c>
      <x:c r="D70" s="25" t="str">
        <x:v>카메룬 전자정부 인식개선 및 역량강화 사업 신축 시공 용역</x:v>
      </x:c>
      <x:c r="E70" s="25" t="str">
        <x:v>U-근거부족</x:v>
      </x:c>
      <x:c r="F70" s="25" t="str">
        <x:v>U</x:v>
      </x:c>
      <x:c r="G70" s="25" t="n">
        <x:v>0</x:v>
      </x:c>
      <x:c r="H70" s="25" t="str"/>
      <x:c r="I70" s="25" t="str"/>
      <x:c r="J70" s="25" t="str">
        <x:v>not_mapped</x:v>
      </x:c>
      <x:c r="K70" s="25" t="str">
        <x:v>127 공식 원기록과 170 공고는 서로 다른 모집단</x:v>
      </x:c>
      <x:c r="L70" s="25" t="str">
        <x:v>교차완료</x:v>
      </x:c>
    </x:row>
    <x:row r="71">
      <x:c r="A71" s="22" t="str">
        <x:v>15085055:357</x:v>
      </x:c>
      <x:c r="B71" s="22" t="str">
        <x:v>2022-00142</x:v>
      </x:c>
      <x:c r="C71" s="22" t="str">
        <x:v>카메룬</x:v>
      </x:c>
      <x:c r="D71" s="25" t="str">
        <x:v>카메룬 전자정부 인식개선 및 역량강화 사업('22·'26/823만불)</x:v>
      </x:c>
      <x:c r="E71" s="25" t="str">
        <x:v>X-설계·감리·기타용역</x:v>
      </x:c>
      <x:c r="F71" s="25" t="str">
        <x:v>U</x:v>
      </x:c>
      <x:c r="G71" s="25" t="n">
        <x:v>0</x:v>
      </x:c>
      <x:c r="H71" s="25" t="str"/>
      <x:c r="I71" s="25" t="str"/>
      <x:c r="J71" s="25" t="str">
        <x:v>not_mapped</x:v>
      </x:c>
      <x:c r="K71" s="25" t="str">
        <x:v>127 공식 원기록과 170 공고는 서로 다른 모집단</x:v>
      </x:c>
      <x:c r="L71" s="25" t="str">
        <x:v>교차완료</x:v>
      </x:c>
    </x:row>
    <x:row r="72">
      <x:c r="A72" s="22" t="str">
        <x:v>15085055:339</x:v>
      </x:c>
      <x:c r="B72" s="22" t="str">
        <x:v>2022-00027</x:v>
      </x:c>
      <x:c r="C72" s="22" t="str">
        <x:v>캄보디아</x:v>
      </x:c>
      <x:c r="D72" s="25" t="str">
        <x:v>캄보디아 국립소아병원 내과계 병동건립 및 의료인력 역량강화사업(22·27/1,600만불) 시공입찰</x:v>
      </x:c>
      <x:c r="E72" s="25" t="str">
        <x:v>B</x:v>
      </x:c>
      <x:c r="F72" s="25" t="str">
        <x:v>B</x:v>
      </x:c>
      <x:c r="G72" s="25" t="n">
        <x:v>1</x:v>
      </x:c>
      <x:c r="H72" s="25" t="str">
        <x:v>L2025-00073-1</x:v>
      </x:c>
      <x:c r="I72" s="25" t="str">
        <x:v>B</x:v>
      </x:c>
      <x:c r="J72" s="25" t="str">
        <x:v>exact_bid_no_or_exact_project_no</x:v>
      </x:c>
      <x:c r="K72" s="25" t="str">
        <x:v>127 공식 원기록과 170 공고는 서로 다른 모집단</x:v>
      </x:c>
      <x:c r="L72" s="25" t="str">
        <x:v>교차완료</x:v>
      </x:c>
    </x:row>
    <x:row r="73">
      <x:c r="A73" s="22" t="str">
        <x:v>15085055:178</x:v>
      </x:c>
      <x:c r="B73" s="22" t="str">
        <x:v>2024-00015</x:v>
      </x:c>
      <x:c r="C73" s="22" t="str">
        <x:v>캄보디아</x:v>
      </x:c>
      <x:c r="D73" s="25" t="str">
        <x:v>캄보디아 당까오 후송병원 공공의료서비스 개선사업 병원설계용역</x:v>
      </x:c>
      <x:c r="E73" s="25" t="str">
        <x:v>X-설계·감리·기타용역</x:v>
      </x:c>
      <x:c r="F73" s="25" t="str">
        <x:v>U</x:v>
      </x:c>
      <x:c r="G73" s="25" t="n">
        <x:v>1</x:v>
      </x:c>
      <x:c r="H73" s="25" t="str">
        <x:v>L2025-00036-1</x:v>
      </x:c>
      <x:c r="I73" s="25" t="str">
        <x:v>C</x:v>
      </x:c>
      <x:c r="J73" s="25" t="str">
        <x:v>exact_bid_no_or_exact_project_no</x:v>
      </x:c>
      <x:c r="K73" s="25" t="str">
        <x:v>127 공식 원기록과 170 공고는 서로 다른 모집단</x:v>
      </x:c>
      <x:c r="L73" s="25" t="str">
        <x:v>교차완료</x:v>
      </x:c>
    </x:row>
    <x:row r="74">
      <x:c r="A74" s="22" t="str">
        <x:v>15085055:71</x:v>
      </x:c>
      <x:c r="B74" s="22" t="str">
        <x:v>2024-02690</x:v>
      </x:c>
      <x:c r="C74" s="22" t="str">
        <x:v>케냐</x:v>
      </x:c>
      <x:c r="D74" s="25" t="str">
        <x:v>케냐 분고마 주 보편적 식수접근성 향상을 위한 상수도 구축 및 통합적 운영관리 역량강화사업(25·32/1,300만불) PMC 용역</x:v>
      </x:c>
      <x:c r="E74" s="25" t="str">
        <x:v>X-설계·감리·기타용역</x:v>
      </x:c>
      <x:c r="F74" s="25" t="str">
        <x:v>U</x:v>
      </x:c>
      <x:c r="G74" s="25" t="n">
        <x:v>0</x:v>
      </x:c>
      <x:c r="H74" s="25" t="str"/>
      <x:c r="I74" s="25" t="str"/>
      <x:c r="J74" s="25" t="str">
        <x:v>not_mapped</x:v>
      </x:c>
      <x:c r="K74" s="25" t="str">
        <x:v>127 공식 원기록과 170 공고는 서로 다른 모집단</x:v>
      </x:c>
      <x:c r="L74" s="25" t="str">
        <x:v>교차완료</x:v>
      </x:c>
    </x:row>
    <x:row r="75">
      <x:c r="A75" s="22" t="str">
        <x:v>15085055:125</x:v>
      </x:c>
      <x:c r="B75" s="22" t="str"/>
      <x:c r="C75" s="22" t="str">
        <x:v>케냐</x:v>
      </x:c>
      <x:c r="D75" s="25" t="str">
        <x:v>케냐 청년 생산적 고용 및 소득 증대를 위한 국가산업훈련청 아띠리버 센터 역량강화사업('24·'28/700만불) PMC 용역</x:v>
      </x:c>
      <x:c r="E75" s="25" t="str">
        <x:v>X-설계·감리·기타용역</x:v>
      </x:c>
      <x:c r="F75" s="25" t="str">
        <x:v>U</x:v>
      </x:c>
      <x:c r="G75" s="25" t="n">
        <x:v>0</x:v>
      </x:c>
      <x:c r="H75" s="25" t="str"/>
      <x:c r="I75" s="25" t="str"/>
      <x:c r="J75" s="25" t="str">
        <x:v>not_mapped</x:v>
      </x:c>
      <x:c r="K75" s="25" t="str">
        <x:v>127 공식 원기록과 170 공고는 서로 다른 모집단</x:v>
      </x:c>
      <x:c r="L75" s="25" t="str">
        <x:v>교차완료</x:v>
      </x:c>
    </x:row>
    <x:row r="76">
      <x:c r="A76" s="22" t="str">
        <x:v>15085055:264</x:v>
      </x:c>
      <x:c r="B76" s="22" t="str">
        <x:v>2024-00029</x:v>
      </x:c>
      <x:c r="C76" s="22" t="str">
        <x:v>코트디부아르</x:v>
      </x:c>
      <x:c r="D76" s="25" t="str">
        <x:v>코트디부아르 지역균형발전을 위한 중부지역 직업전문학교 역량강화사업 설계 및 감리 용역</x:v>
      </x:c>
      <x:c r="E76" s="25" t="str">
        <x:v>X-설계·감리·기타용역</x:v>
      </x:c>
      <x:c r="F76" s="25" t="str">
        <x:v>U</x:v>
      </x:c>
      <x:c r="G76" s="25" t="n">
        <x:v>0</x:v>
      </x:c>
      <x:c r="H76" s="25" t="str"/>
      <x:c r="I76" s="25" t="str"/>
      <x:c r="J76" s="25" t="str">
        <x:v>not_mapped</x:v>
      </x:c>
      <x:c r="K76" s="25" t="str">
        <x:v>127 공식 원기록과 170 공고는 서로 다른 모집단</x:v>
      </x:c>
      <x:c r="L76" s="25" t="str">
        <x:v>교차완료</x:v>
      </x:c>
    </x:row>
    <x:row r="77">
      <x:c r="A77" s="22" t="str">
        <x:v>15085055:92</x:v>
      </x:c>
      <x:c r="B77" s="22" t="str">
        <x:v>2024-00029</x:v>
      </x:c>
      <x:c r="C77" s="22" t="str">
        <x:v>코트디부아르</x:v>
      </x:c>
      <x:c r="D77" s="25" t="str">
        <x:v>코트디부아르 지역균형발전을 위한 중부지역 직업전문학교 역량강화사업('24·'29/1,100만불)</x:v>
      </x:c>
      <x:c r="E77" s="25" t="str">
        <x:v>X-설계·감리·기타용역</x:v>
      </x:c>
      <x:c r="F77" s="25" t="str">
        <x:v>U</x:v>
      </x:c>
      <x:c r="G77" s="25" t="n">
        <x:v>0</x:v>
      </x:c>
      <x:c r="H77" s="25" t="str"/>
      <x:c r="I77" s="25" t="str"/>
      <x:c r="J77" s="25" t="str">
        <x:v>not_mapped</x:v>
      </x:c>
      <x:c r="K77" s="25" t="str">
        <x:v>127 공식 원기록과 170 공고는 서로 다른 모집단</x:v>
      </x:c>
      <x:c r="L77" s="25" t="str">
        <x:v>교차완료</x:v>
      </x:c>
    </x:row>
    <x:row r="78">
      <x:c r="A78" s="22" t="str">
        <x:v>15085055:337</x:v>
      </x:c>
      <x:c r="B78" s="22" t="str">
        <x:v>2023-00067</x:v>
      </x:c>
      <x:c r="C78" s="22" t="str">
        <x:v>코트디부아르</x:v>
      </x:c>
      <x:c r="D78" s="25" t="str">
        <x:v>코트디부아르 펠릭스 우푸에 부아니대학교 ICT 교육역량 강화 및 ICT 혁신센터 설립 사업('23·'27/995만불) 리모델링 시공</x:v>
      </x:c>
      <x:c r="E78" s="25" t="str">
        <x:v>U-근거부족</x:v>
      </x:c>
      <x:c r="F78" s="25" t="str">
        <x:v>U</x:v>
      </x:c>
      <x:c r="G78" s="25" t="n">
        <x:v>1</x:v>
      </x:c>
      <x:c r="H78" s="25" t="str">
        <x:v>L2024-00048-1;L2024-00056-1;L2024-00056-2;L2025-00052-1</x:v>
      </x:c>
      <x:c r="I78" s="25" t="str">
        <x:v>C</x:v>
      </x:c>
      <x:c r="J78" s="25" t="str">
        <x:v>exact_bid_no_or_exact_project_no</x:v>
      </x:c>
      <x:c r="K78" s="25" t="str">
        <x:v>127 공식 원기록과 170 공고는 서로 다른 모집단</x:v>
      </x:c>
      <x:c r="L78" s="25" t="str">
        <x:v>교차완료</x:v>
      </x:c>
    </x:row>
    <x:row r="79">
      <x:c r="A79" s="22" t="str">
        <x:v>15085055:169</x:v>
      </x:c>
      <x:c r="B79" s="22" t="str"/>
      <x:c r="C79" s="22" t="str">
        <x:v>콜롬비아</x:v>
      </x:c>
      <x:c r="D79" s="25" t="str">
        <x:v>콜롬비아 다목적지적을 위한 공간정보 역량강화 체계 구축사업(24·26/600만불) PMC 용역</x:v>
      </x:c>
      <x:c r="E79" s="25" t="str">
        <x:v>X-설계·감리·기타용역</x:v>
      </x:c>
      <x:c r="F79" s="25" t="str">
        <x:v>U</x:v>
      </x:c>
      <x:c r="G79" s="25" t="n">
        <x:v>0</x:v>
      </x:c>
      <x:c r="H79" s="25" t="str"/>
      <x:c r="I79" s="25" t="str"/>
      <x:c r="J79" s="25" t="str">
        <x:v>not_mapped</x:v>
      </x:c>
      <x:c r="K79" s="25" t="str">
        <x:v>127 공식 원기록과 170 공고는 서로 다른 모집단</x:v>
      </x:c>
      <x:c r="L79" s="25" t="str">
        <x:v>교차완료</x:v>
      </x:c>
    </x:row>
    <x:row r="80">
      <x:c r="A80" s="22" t="str">
        <x:v>15085055:269</x:v>
      </x:c>
      <x:c r="B80" s="22" t="str">
        <x:v>2023-00030</x:v>
      </x:c>
      <x:c r="C80" s="22" t="str">
        <x:v>키르기스스탄</x:v>
      </x:c>
      <x:c r="D80" s="25" t="str">
        <x:v>키르기스스탄 가축 품종개량 및 인공수정인력 역량강화사업 바이오센터 리모델링 및 연수센터 신축 기술감리</x:v>
      </x:c>
      <x:c r="E80" s="25" t="str">
        <x:v>X-설계·감리·기타용역</x:v>
      </x:c>
      <x:c r="F80" s="25" t="str">
        <x:v>C?</x:v>
      </x:c>
      <x:c r="G80" s="25" t="n">
        <x:v>1</x:v>
      </x:c>
      <x:c r="H80" s="25" t="str">
        <x:v>L2024-00041-1</x:v>
      </x:c>
      <x:c r="I80" s="25" t="str">
        <x:v>X</x:v>
      </x:c>
      <x:c r="J80" s="25" t="str">
        <x:v>exact_bid_no_or_exact_project_no</x:v>
      </x:c>
      <x:c r="K80" s="25" t="str">
        <x:v>127 공식 원기록과 170 공고는 서로 다른 모집단</x:v>
      </x:c>
      <x:c r="L80" s="25" t="str">
        <x:v>교차완료</x:v>
      </x:c>
    </x:row>
    <x:row r="81">
      <x:c r="A81" s="22" t="str">
        <x:v>15085055:271</x:v>
      </x:c>
      <x:c r="B81" s="22" t="str">
        <x:v>2023-00030</x:v>
      </x:c>
      <x:c r="C81" s="22" t="str">
        <x:v>키르기스스탄</x:v>
      </x:c>
      <x:c r="D81" s="25" t="str">
        <x:v>키르기스스탄 가축 품종개량 및 인공수정인력 역량강화사업 바이오센터 리모델링 시공</x:v>
      </x:c>
      <x:c r="E81" s="25" t="str">
        <x:v>U-근거부족</x:v>
      </x:c>
      <x:c r="F81" s="25" t="str">
        <x:v>C?</x:v>
      </x:c>
      <x:c r="G81" s="25" t="n">
        <x:v>1</x:v>
      </x:c>
      <x:c r="H81" s="25" t="str">
        <x:v>L2024-00041-1</x:v>
      </x:c>
      <x:c r="I81" s="25" t="str">
        <x:v>X</x:v>
      </x:c>
      <x:c r="J81" s="25" t="str">
        <x:v>exact_bid_no_or_exact_project_no</x:v>
      </x:c>
      <x:c r="K81" s="25" t="str">
        <x:v>127 공식 원기록과 170 공고는 서로 다른 모집단</x:v>
      </x:c>
      <x:c r="L81" s="25" t="str">
        <x:v>교차완료</x:v>
      </x:c>
    </x:row>
    <x:row r="82">
      <x:c r="A82" s="22" t="str">
        <x:v>15085055:266</x:v>
      </x:c>
      <x:c r="B82" s="22" t="str">
        <x:v>2023-00030</x:v>
      </x:c>
      <x:c r="C82" s="22" t="str">
        <x:v>키르기스스탄</x:v>
      </x:c>
      <x:c r="D82" s="25" t="str">
        <x:v>키르기스스탄 가축 품종개량 및 인공수정인력 역량강화사업 연수센터 신축 기술감리 현지입찰</x:v>
      </x:c>
      <x:c r="E82" s="25" t="str">
        <x:v>X-설계·감리·기타용역</x:v>
      </x:c>
      <x:c r="F82" s="25" t="str">
        <x:v>C?</x:v>
      </x:c>
      <x:c r="G82" s="25" t="n">
        <x:v>1</x:v>
      </x:c>
      <x:c r="H82" s="25" t="str">
        <x:v>L2024-00041-1</x:v>
      </x:c>
      <x:c r="I82" s="25" t="str">
        <x:v>X</x:v>
      </x:c>
      <x:c r="J82" s="25" t="str">
        <x:v>exact_bid_no_or_exact_project_no</x:v>
      </x:c>
      <x:c r="K82" s="25" t="str">
        <x:v>127 공식 원기록과 170 공고는 서로 다른 모집단</x:v>
      </x:c>
      <x:c r="L82" s="25" t="str">
        <x:v>교차완료</x:v>
      </x:c>
    </x:row>
    <x:row r="83">
      <x:c r="A83" s="22" t="str">
        <x:v>15085055:268</x:v>
      </x:c>
      <x:c r="B83" s="22" t="str">
        <x:v>2023-00030</x:v>
      </x:c>
      <x:c r="C83" s="22" t="str">
        <x:v>키르기스스탄</x:v>
      </x:c>
      <x:c r="D83" s="25" t="str">
        <x:v>키르기스스탄 가축 품종개량 및 인공수정인력 역량강화사업 연수센터 신축 현지입찰</x:v>
      </x:c>
      <x:c r="E83" s="25" t="str">
        <x:v>C?</x:v>
      </x:c>
      <x:c r="F83" s="25" t="str">
        <x:v>C?</x:v>
      </x:c>
      <x:c r="G83" s="25" t="n">
        <x:v>1</x:v>
      </x:c>
      <x:c r="H83" s="25" t="str">
        <x:v>L2024-00041-1</x:v>
      </x:c>
      <x:c r="I83" s="25" t="str">
        <x:v>X</x:v>
      </x:c>
      <x:c r="J83" s="25" t="str">
        <x:v>exact_bid_no_or_exact_project_no</x:v>
      </x:c>
      <x:c r="K83" s="25" t="str">
        <x:v>127 공식 원기록과 170 공고는 서로 다른 모집단</x:v>
      </x:c>
      <x:c r="L83" s="25" t="str">
        <x:v>교차완료</x:v>
      </x:c>
    </x:row>
    <x:row r="84">
      <x:c r="A84" s="22" t="str">
        <x:v>15085055:61</x:v>
      </x:c>
      <x:c r="B84" s="22" t="str">
        <x:v>2023-00027</x:v>
      </x:c>
      <x:c r="C84" s="22" t="str">
        <x:v>키르기스스탄</x:v>
      </x:c>
      <x:c r="D84" s="25" t="str">
        <x:v>키르기스스탄 국회 디지털화 사업(23·27/840만불) 시공업체(PC) 선정</x:v>
      </x:c>
      <x:c r="E84" s="25" t="str">
        <x:v>U-근거부족</x:v>
      </x:c>
      <x:c r="F84" s="25" t="str">
        <x:v>U</x:v>
      </x:c>
      <x:c r="G84" s="25" t="n">
        <x:v>0</x:v>
      </x:c>
      <x:c r="H84" s="25" t="str"/>
      <x:c r="I84" s="25" t="str"/>
      <x:c r="J84" s="25" t="str">
        <x:v>not_mapped</x:v>
      </x:c>
      <x:c r="K84" s="25" t="str">
        <x:v>127 공식 원기록과 170 공고는 서로 다른 모집단</x:v>
      </x:c>
      <x:c r="L84" s="25" t="str">
        <x:v>교차완료</x:v>
      </x:c>
    </x:row>
    <x:row r="85">
      <x:c r="A85" s="22" t="str">
        <x:v>15085055:70</x:v>
      </x:c>
      <x:c r="B85" s="22" t="str">
        <x:v>2024-00105</x:v>
      </x:c>
      <x:c r="C85" s="22" t="str">
        <x:v>키르기스스탄</x:v>
      </x:c>
      <x:c r="D85" s="25" t="str">
        <x:v>키르기스스탄 디지털 전환을 위한 국가 정보화 역량 강화 사업('24·'27/700만불)</x:v>
      </x:c>
      <x:c r="E85" s="25" t="str">
        <x:v>X-설계·감리·기타용역</x:v>
      </x:c>
      <x:c r="F85" s="25" t="str">
        <x:v>U</x:v>
      </x:c>
      <x:c r="G85" s="25" t="n">
        <x:v>1</x:v>
      </x:c>
      <x:c r="H85" s="25" t="str">
        <x:v>L2025-00097-1</x:v>
      </x:c>
      <x:c r="I85" s="25" t="str">
        <x:v>C</x:v>
      </x:c>
      <x:c r="J85" s="25" t="str">
        <x:v>exact_bid_no_or_exact_project_no</x:v>
      </x:c>
      <x:c r="K85" s="25" t="str">
        <x:v>127 공식 원기록과 170 공고는 서로 다른 모집단</x:v>
      </x:c>
      <x:c r="L85" s="25" t="str">
        <x:v>교차완료</x:v>
      </x:c>
    </x:row>
    <x:row r="86">
      <x:c r="A86" s="22" t="str">
        <x:v>15085055:6</x:v>
      </x:c>
      <x:c r="B86" s="22" t="str">
        <x:v>2019-03655</x:v>
      </x:c>
      <x:c r="C86" s="22" t="str">
        <x:v>키르기스스탄</x:v>
      </x:c>
      <x:c r="D86" s="25" t="str">
        <x:v>키르기스스탄 추이 주 교내 위생환경 개선사업 리모델링 시공업체 선정 현지입찰</x:v>
      </x:c>
      <x:c r="E86" s="25" t="str">
        <x:v>U-근거부족</x:v>
      </x:c>
      <x:c r="F86" s="25" t="str">
        <x:v>U</x:v>
      </x:c>
      <x:c r="G86" s="25" t="n">
        <x:v>1</x:v>
      </x:c>
      <x:c r="H86" s="25" t="str">
        <x:v>L2025-00099-1</x:v>
      </x:c>
      <x:c r="I86" s="25" t="str">
        <x:v>C</x:v>
      </x:c>
      <x:c r="J86" s="25" t="str">
        <x:v>exact_bid_no_or_exact_project_no</x:v>
      </x:c>
      <x:c r="K86" s="25" t="str">
        <x:v>127 공식 원기록과 170 공고는 서로 다른 모집단</x:v>
      </x:c>
      <x:c r="L86" s="25" t="str">
        <x:v>교차완료</x:v>
      </x:c>
    </x:row>
    <x:row r="87">
      <x:c r="A87" s="22" t="str">
        <x:v>15085055:119</x:v>
      </x:c>
      <x:c r="B87" s="22" t="str">
        <x:v>2019-03655</x:v>
      </x:c>
      <x:c r="C87" s="22" t="str">
        <x:v>키르기스스탄</x:v>
      </x:c>
      <x:c r="D87" s="25" t="str">
        <x:v>키르기스스탄 프로젝트봉사단 추이 주 교내 위생환경 개선사업 위생 및 보건시설 개보수 현지 설계 용역</x:v>
      </x:c>
      <x:c r="E87" s="25" t="str">
        <x:v>X-설계·감리·기타용역</x:v>
      </x:c>
      <x:c r="F87" s="25" t="str">
        <x:v>U</x:v>
      </x:c>
      <x:c r="G87" s="25" t="n">
        <x:v>1</x:v>
      </x:c>
      <x:c r="H87" s="25" t="str">
        <x:v>L2025-00099-1</x:v>
      </x:c>
      <x:c r="I87" s="25" t="str">
        <x:v>C</x:v>
      </x:c>
      <x:c r="J87" s="25" t="str">
        <x:v>exact_bid_no_or_exact_project_no</x:v>
      </x:c>
      <x:c r="K87" s="25" t="str">
        <x:v>127 공식 원기록과 170 공고는 서로 다른 모집단</x:v>
      </x:c>
      <x:c r="L87" s="25" t="str">
        <x:v>교차완료</x:v>
      </x:c>
    </x:row>
    <x:row r="88">
      <x:c r="A88" s="22" t="str">
        <x:v>15085055:303</x:v>
      </x:c>
      <x:c r="B88" s="22" t="str"/>
      <x:c r="C88" s="22" t="str">
        <x:v>타지키스탄</x:v>
      </x:c>
      <x:c r="D88" s="25" t="str">
        <x:v>타지키스탄 섬유산업 전문기술인력 양성을 위한 섬유기술센터 설립 사업 PMC 선정</x:v>
      </x:c>
      <x:c r="E88" s="25" t="str">
        <x:v>X-설계·감리·기타용역</x:v>
      </x:c>
      <x:c r="F88" s="25" t="str">
        <x:v>U</x:v>
      </x:c>
      <x:c r="G88" s="25" t="n">
        <x:v>0</x:v>
      </x:c>
      <x:c r="H88" s="25" t="str"/>
      <x:c r="I88" s="25" t="str"/>
      <x:c r="J88" s="25" t="str">
        <x:v>not_mapped</x:v>
      </x:c>
      <x:c r="K88" s="25" t="str">
        <x:v>127 공식 원기록과 170 공고는 서로 다른 모집단</x:v>
      </x:c>
      <x:c r="L88" s="25" t="str">
        <x:v>교차완료</x:v>
      </x:c>
    </x:row>
    <x:row r="89">
      <x:c r="A89" s="22" t="str">
        <x:v>15085055:346</x:v>
      </x:c>
      <x:c r="B89" s="22" t="str">
        <x:v>2023-00100</x:v>
      </x:c>
      <x:c r="C89" s="22" t="str">
        <x:v>탄자니아</x:v>
      </x:c>
      <x:c r="D89" s="25" t="str">
        <x:v>탄자니아 도도마주 유수율 제고 시범모델 구축 및 상수도 시설 개선사업(23·26/382만불) 설계</x:v>
      </x:c>
      <x:c r="E89" s="25" t="str">
        <x:v>X-설계·감리·기타용역</x:v>
      </x:c>
      <x:c r="F89" s="25" t="str">
        <x:v>U</x:v>
      </x:c>
      <x:c r="G89" s="25" t="n">
        <x:v>0</x:v>
      </x:c>
      <x:c r="H89" s="25" t="str"/>
      <x:c r="I89" s="25" t="str"/>
      <x:c r="J89" s="25" t="str">
        <x:v>not_mapped</x:v>
      </x:c>
      <x:c r="K89" s="25" t="str">
        <x:v>127 공식 원기록과 170 공고는 서로 다른 모집단</x:v>
      </x:c>
      <x:c r="L89" s="25" t="str">
        <x:v>교차완료</x:v>
      </x:c>
    </x:row>
    <x:row r="90">
      <x:c r="A90" s="22" t="str">
        <x:v>15085055:188</x:v>
      </x:c>
      <x:c r="B90" s="22" t="str"/>
      <x:c r="C90" s="22" t="str">
        <x:v>탄자니아</x:v>
      </x:c>
      <x:c r="D90" s="25" t="str">
        <x:v>탄자니아 모로고로 주 폴리텍대학 건립 및 기술교육훈련 사업(25·30/1,950만불) PMC 용역</x:v>
      </x:c>
      <x:c r="E90" s="25" t="str">
        <x:v>X-설계·감리·기타용역</x:v>
      </x:c>
      <x:c r="F90" s="25" t="str">
        <x:v>U</x:v>
      </x:c>
      <x:c r="G90" s="25" t="n">
        <x:v>0</x:v>
      </x:c>
      <x:c r="H90" s="25" t="str"/>
      <x:c r="I90" s="25" t="str"/>
      <x:c r="J90" s="25" t="str">
        <x:v>not_mapped</x:v>
      </x:c>
      <x:c r="K90" s="25" t="str">
        <x:v>127 공식 원기록과 170 공고는 서로 다른 모집단</x:v>
      </x:c>
      <x:c r="L90" s="25" t="str">
        <x:v>교차완료</x:v>
      </x:c>
    </x:row>
    <x:row r="91">
      <x:c r="A91" s="22" t="str">
        <x:v>15085055:109</x:v>
      </x:c>
      <x:c r="B91" s="22" t="str"/>
      <x:c r="C91" s="22" t="str">
        <x:v>탄자니아</x:v>
      </x:c>
      <x:c r="D91" s="25" t="str">
        <x:v>탄자니아 프와니주 농촌지역 상수도 공급시설 구축 사업('25·'29/1,100만불) 설계 용역</x:v>
      </x:c>
      <x:c r="E91" s="25" t="str">
        <x:v>X-설계·감리·기타용역</x:v>
      </x:c>
      <x:c r="F91" s="25" t="str">
        <x:v>U</x:v>
      </x:c>
      <x:c r="G91" s="25" t="n">
        <x:v>0</x:v>
      </x:c>
      <x:c r="H91" s="25" t="str"/>
      <x:c r="I91" s="25" t="str"/>
      <x:c r="J91" s="25" t="str">
        <x:v>not_mapped</x:v>
      </x:c>
      <x:c r="K91" s="25" t="str">
        <x:v>127 공식 원기록과 170 공고는 서로 다른 모집단</x:v>
      </x:c>
      <x:c r="L91" s="25" t="str">
        <x:v>교차완료</x:v>
      </x:c>
    </x:row>
    <x:row r="92">
      <x:c r="A92" s="22" t="str">
        <x:v>15085055:226</x:v>
      </x:c>
      <x:c r="B92" s="22" t="str"/>
      <x:c r="C92" s="22" t="str">
        <x:v>튀니지</x:v>
      </x:c>
      <x:c r="D92" s="25" t="str">
        <x:v>튀니지 글로벌 공공조달교육원 건립 사업(25·30/1,100만불) PMC 용역 입찰</x:v>
      </x:c>
      <x:c r="E92" s="25" t="str">
        <x:v>X-설계·감리·기타용역</x:v>
      </x:c>
      <x:c r="F92" s="25" t="str">
        <x:v>U</x:v>
      </x:c>
      <x:c r="G92" s="25" t="n">
        <x:v>0</x:v>
      </x:c>
      <x:c r="H92" s="25" t="str"/>
      <x:c r="I92" s="25" t="str"/>
      <x:c r="J92" s="25" t="str">
        <x:v>not_mapped</x:v>
      </x:c>
      <x:c r="K92" s="25" t="str">
        <x:v>127 공식 원기록과 170 공고는 서로 다른 모집단</x:v>
      </x:c>
      <x:c r="L92" s="25" t="str">
        <x:v>교차완료</x:v>
      </x:c>
    </x:row>
    <x:row r="93">
      <x:c r="A93" s="22" t="str">
        <x:v>15085055:157</x:v>
      </x:c>
      <x:c r="B93" s="22" t="str">
        <x:v>2013-00059</x:v>
      </x:c>
      <x:c r="C93" s="22" t="str">
        <x:v>파키스탄</x:v>
      </x:c>
      <x:c r="D93" s="25" t="str">
        <x:v>파키스탄 국립섬유대학 산업용 섬유센터 설립사업 2차사업('22·'28/795만불) 감리용역</x:v>
      </x:c>
      <x:c r="E93" s="25" t="str">
        <x:v>X-설계·감리·기타용역</x:v>
      </x:c>
      <x:c r="F93" s="25" t="str">
        <x:v>U</x:v>
      </x:c>
      <x:c r="G93" s="25" t="n">
        <x:v>0</x:v>
      </x:c>
      <x:c r="H93" s="25" t="str"/>
      <x:c r="I93" s="25" t="str"/>
      <x:c r="J93" s="25" t="str">
        <x:v>not_mapped</x:v>
      </x:c>
      <x:c r="K93" s="25" t="str">
        <x:v>127 공식 원기록과 170 공고는 서로 다른 모집단</x:v>
      </x:c>
      <x:c r="L93" s="25" t="str">
        <x:v>교차완료</x:v>
      </x:c>
    </x:row>
    <x:row r="94">
      <x:c r="A94" s="22" t="str">
        <x:v>15085055:162</x:v>
      </x:c>
      <x:c r="B94" s="22" t="str">
        <x:v>2013-00059</x:v>
      </x:c>
      <x:c r="C94" s="22" t="str">
        <x:v>파키스탄</x:v>
      </x:c>
      <x:c r="D94" s="25" t="str">
        <x:v>파키스탄 국립섬유대학 산업용 섬유센터 설립사업 2차사업(22·28/795만불) 감리용역</x:v>
      </x:c>
      <x:c r="E94" s="25" t="str">
        <x:v>X-설계·감리·기타용역</x:v>
      </x:c>
      <x:c r="F94" s="25" t="str">
        <x:v>U</x:v>
      </x:c>
      <x:c r="G94" s="25" t="n">
        <x:v>0</x:v>
      </x:c>
      <x:c r="H94" s="25" t="str"/>
      <x:c r="I94" s="25" t="str"/>
      <x:c r="J94" s="25" t="str">
        <x:v>not_mapped</x:v>
      </x:c>
      <x:c r="K94" s="25" t="str">
        <x:v>127 공식 원기록과 170 공고는 서로 다른 모집단</x:v>
      </x:c>
      <x:c r="L94" s="25" t="str">
        <x:v>교차완료</x:v>
      </x:c>
    </x:row>
    <x:row r="95">
      <x:c r="A95" s="22" t="str">
        <x:v>15085055:270</x:v>
      </x:c>
      <x:c r="B95" s="22" t="str">
        <x:v>2013-00059</x:v>
      </x:c>
      <x:c r="C95" s="22" t="str">
        <x:v>파키스탄</x:v>
      </x:c>
      <x:c r="D95" s="25" t="str">
        <x:v>파키스탄 국립섬유대학 산업용 섬유센터 설립사업 2차사업(22·28/795만불) 공사</x:v>
      </x:c>
      <x:c r="E95" s="25" t="str">
        <x:v>U-근거부족</x:v>
      </x:c>
      <x:c r="F95" s="25" t="str">
        <x:v>U</x:v>
      </x:c>
      <x:c r="G95" s="25" t="n">
        <x:v>0</x:v>
      </x:c>
      <x:c r="H95" s="25" t="str"/>
      <x:c r="I95" s="25" t="str"/>
      <x:c r="J95" s="25" t="str">
        <x:v>not_mapped</x:v>
      </x:c>
      <x:c r="K95" s="25" t="str">
        <x:v>127 공식 원기록과 170 공고는 서로 다른 모집단</x:v>
      </x:c>
      <x:c r="L95" s="25" t="str">
        <x:v>교차완료</x:v>
      </x:c>
    </x:row>
    <x:row r="96">
      <x:c r="A96" s="22" t="str">
        <x:v>15085055:213</x:v>
      </x:c>
      <x:c r="B96" s="22" t="str">
        <x:v>2024-00107</x:v>
      </x:c>
      <x:c r="C96" s="22" t="str">
        <x:v>파키스탄</x:v>
      </x:c>
      <x:c r="D96" s="25" t="str">
        <x:v>파키스탄 펀잡주 물탄시티 기후변화 적응을 위한 홍수방재 마스터플랜 수립 및 우수저류시설 설치사업 설계 용역</x:v>
      </x:c>
      <x:c r="E96" s="25" t="str">
        <x:v>X-설계·감리·기타용역</x:v>
      </x:c>
      <x:c r="F96" s="25" t="str">
        <x:v>U</x:v>
      </x:c>
      <x:c r="G96" s="25" t="n">
        <x:v>0</x:v>
      </x:c>
      <x:c r="H96" s="25" t="str"/>
      <x:c r="I96" s="25" t="str"/>
      <x:c r="J96" s="25" t="str">
        <x:v>not_mapped</x:v>
      </x:c>
      <x:c r="K96" s="25" t="str">
        <x:v>127 공식 원기록과 170 공고는 서로 다른 모집단</x:v>
      </x:c>
      <x:c r="L96" s="25" t="str">
        <x:v>교차완료</x:v>
      </x:c>
    </x:row>
    <x:row r="97">
      <x:c r="A97" s="22" t="str">
        <x:v>15085055:196</x:v>
      </x:c>
      <x:c r="B97" s="22" t="str">
        <x:v>2022-00076</x:v>
      </x:c>
      <x:c r="C97" s="22" t="str">
        <x:v>피지</x:v>
      </x:c>
      <x:c r="D97" s="25" t="str">
        <x:v>피지 국립재활센터 건립사업(22·27/1,000만불) 시공 용역</x:v>
      </x:c>
      <x:c r="E97" s="25" t="str">
        <x:v>B</x:v>
      </x:c>
      <x:c r="F97" s="25" t="str">
        <x:v>B</x:v>
      </x:c>
      <x:c r="G97" s="25" t="n">
        <x:v>1</x:v>
      </x:c>
      <x:c r="H97" s="25" t="str">
        <x:v>L2023-00038-1;L2025-00051-1;L2025-00051-2</x:v>
      </x:c>
      <x:c r="I97" s="25" t="str">
        <x:v>B</x:v>
      </x:c>
      <x:c r="J97" s="25" t="str">
        <x:v>exact_bid_no_or_exact_project_no</x:v>
      </x:c>
      <x:c r="K97" s="25" t="str">
        <x:v>127 공식 원기록과 170 공고는 서로 다른 모집단</x:v>
      </x:c>
      <x:c r="L97" s="25" t="str">
        <x:v>교차완료</x:v>
      </x:c>
    </x:row>
    <x:row r="98">
      <x:c r="A98" s="22" t="str">
        <x:v>15085055:364</x:v>
      </x:c>
      <x:c r="B98" s="22" t="str">
        <x:v>2021-00097</x:v>
      </x:c>
      <x:c r="C98" s="22" t="str">
        <x:v>피지</x:v>
      </x:c>
      <x:c r="D98" s="25" t="str">
        <x:v>피지 농업공존형 태양광 발전사업(GCF)(21·24/800만불) 영농기술센터 및 농기자재 보관창고 시공</x:v>
      </x:c>
      <x:c r="E98" s="25" t="str">
        <x:v>U-근거부족</x:v>
      </x:c>
      <x:c r="F98" s="25" t="str">
        <x:v>U</x:v>
      </x:c>
      <x:c r="G98" s="25" t="n">
        <x:v>1</x:v>
      </x:c>
      <x:c r="H98" s="25" t="str">
        <x:v>L2023-00030-1</x:v>
      </x:c>
      <x:c r="I98" s="25" t="str">
        <x:v>X</x:v>
      </x:c>
      <x:c r="J98" s="25" t="str">
        <x:v>exact_bid_no_or_exact_project_no</x:v>
      </x:c>
      <x:c r="K98" s="25" t="str">
        <x:v>127 공식 원기록과 170 공고는 서로 다른 모집단</x:v>
      </x:c>
      <x:c r="L98" s="25" t="str">
        <x:v>교차완료</x:v>
      </x:c>
    </x:row>
    <x:row r="99">
      <x:c r="A99" s="22" t="str">
        <x:v>15085055:336</x:v>
      </x:c>
      <x:c r="B99" s="22" t="str"/>
      <x:c r="C99" s="22" t="str">
        <x:v>필리핀</x:v>
      </x:c>
      <x:c r="D99" s="25" t="str">
        <x:v>필리핀 경찰청 범죄수사정보 통합관리 시스템 구축 사업 시스템 감리 용역</x:v>
      </x:c>
      <x:c r="E99" s="25" t="str">
        <x:v>X-설계·감리·기타용역</x:v>
      </x:c>
      <x:c r="F99" s="25" t="str">
        <x:v>U</x:v>
      </x:c>
      <x:c r="G99" s="25" t="n">
        <x:v>0</x:v>
      </x:c>
      <x:c r="H99" s="25" t="str"/>
      <x:c r="I99" s="25" t="str"/>
      <x:c r="J99" s="25" t="str">
        <x:v>not_mapped</x:v>
      </x:c>
      <x:c r="K99" s="25" t="str">
        <x:v>127 공식 원기록과 170 공고는 서로 다른 모집단</x:v>
      </x:c>
      <x:c r="L99" s="25" t="str">
        <x:v>교차완료</x:v>
      </x:c>
    </x:row>
    <x:row r="100">
      <x:c r="A100" s="22" t="str">
        <x:v>15085055:260</x:v>
      </x:c>
      <x:c r="B100" s="22" t="str">
        <x:v>2022-00069</x:v>
      </x:c>
      <x:c r="C100" s="22" t="str">
        <x:v>필리핀</x:v>
      </x:c>
      <x:c r="D100" s="25" t="str">
        <x:v>필리핀 기마라스주 수산양식 역량강화를 통한 양식어민 소득증대 지원사업('22·'28/1,000만불)현지 설계 입찰</x:v>
      </x:c>
      <x:c r="E100" s="25" t="str">
        <x:v>U-근거부족</x:v>
      </x:c>
      <x:c r="F100" s="25" t="str">
        <x:v>U</x:v>
      </x:c>
      <x:c r="G100" s="25" t="n">
        <x:v>1</x:v>
      </x:c>
      <x:c r="H100" s="25" t="str">
        <x:v>L2025-00075-1;L2025-00094-1</x:v>
      </x:c>
      <x:c r="I100" s="25" t="str">
        <x:v>X</x:v>
      </x:c>
      <x:c r="J100" s="25" t="str">
        <x:v>exact_bid_no_or_exact_project_no</x:v>
      </x:c>
      <x:c r="K100" s="25" t="str">
        <x:v>127 공식 원기록과 170 공고는 서로 다른 모집단</x:v>
      </x:c>
      <x:c r="L100" s="25" t="str">
        <x:v>교차완료</x:v>
      </x:c>
    </x:row>
    <x:row r="101">
      <x:c r="A101" s="22" t="str">
        <x:v>15085055:259</x:v>
      </x:c>
      <x:c r="B101" s="22" t="str">
        <x:v>2022-00069</x:v>
      </x:c>
      <x:c r="C101" s="22" t="str">
        <x:v>필리핀</x:v>
      </x:c>
      <x:c r="D101" s="25" t="str">
        <x:v>필리핀 기마라스주 수산양식 역량강화를 통한 양식어민 소득증대 지원사업('22·'28/1,000만불)현지 시공 입찰</x:v>
      </x:c>
      <x:c r="E101" s="25" t="str">
        <x:v>U-근거부족</x:v>
      </x:c>
      <x:c r="F101" s="25" t="str">
        <x:v>U</x:v>
      </x:c>
      <x:c r="G101" s="25" t="n">
        <x:v>1</x:v>
      </x:c>
      <x:c r="H101" s="25" t="str">
        <x:v>L2025-00075-1;L2025-00094-1</x:v>
      </x:c>
      <x:c r="I101" s="25" t="str">
        <x:v>X</x:v>
      </x:c>
      <x:c r="J101" s="25" t="str">
        <x:v>exact_bid_no_or_exact_project_no</x:v>
      </x:c>
      <x:c r="K101" s="25" t="str">
        <x:v>127 공식 원기록과 170 공고는 서로 다른 모집단</x:v>
      </x:c>
      <x:c r="L101" s="25" t="str">
        <x:v>교차완료</x:v>
      </x:c>
    </x:row>
    <x:row r="102">
      <x:c r="A102" s="22" t="str">
        <x:v>15085055:330</x:v>
      </x:c>
      <x:c r="B102" s="22" t="str"/>
      <x:c r="C102" s="22" t="str">
        <x:v>필리핀</x:v>
      </x:c>
      <x:c r="D102" s="25" t="str">
        <x:v>필리핀 팔라완 지역 식량 안보 및 기후변화 대응을 위한 환경자원정보시스템 개발 사업('24·'28/1,000만불)</x:v>
      </x:c>
      <x:c r="E102" s="25" t="str">
        <x:v>X-설계·감리·기타용역</x:v>
      </x:c>
      <x:c r="F102" s="25" t="str">
        <x:v>U</x:v>
      </x:c>
      <x:c r="G102" s="25" t="n">
        <x:v>0</x:v>
      </x:c>
      <x:c r="H102" s="25" t="str"/>
      <x:c r="I102" s="25" t="str"/>
      <x:c r="J102" s="25" t="str">
        <x:v>not_mapped</x:v>
      </x:c>
      <x:c r="K102" s="25" t="str">
        <x:v>127 공식 원기록과 170 공고는 서로 다른 모집단</x:v>
      </x:c>
      <x:c r="L102" s="25" t="str">
        <x:v>교차완료</x:v>
      </x:c>
    </x:row>
    <x:row r="103">
      <x:c r="A103" s="22" t="str">
        <x:v>15052832:655</x:v>
      </x:c>
      <x:c r="B103" s="22" t="str">
        <x:v>2011-00050</x:v>
      </x:c>
      <x:c r="C103" s="22" t="str">
        <x:v>미상</x:v>
      </x:c>
      <x:c r="D103" s="25" t="str">
        <x:v>수단 농업기술훈련원 건립사업('11-'18/666만불)...</x:v>
      </x:c>
      <x:c r="E103" s="25" t="str">
        <x:v>U-전체사업정보</x:v>
      </x:c>
      <x:c r="F103" s="25" t="str">
        <x:v>U</x:v>
      </x:c>
      <x:c r="G103" s="25" t="n">
        <x:v>0</x:v>
      </x:c>
      <x:c r="H103" s="25" t="str"/>
      <x:c r="I103" s="25" t="str"/>
      <x:c r="J103" s="25" t="str">
        <x:v>not_mapped</x:v>
      </x:c>
      <x:c r="K103" s="25" t="str">
        <x:v>127 공식 원기록과 170 공고는 서로 다른 모집단</x:v>
      </x:c>
      <x:c r="L103" s="25" t="str">
        <x:v>교차완료</x:v>
      </x:c>
    </x:row>
    <x:row r="104">
      <x:c r="A104" s="22" t="str">
        <x:v>15052832:625</x:v>
      </x:c>
      <x:c r="B104" s="22" t="str">
        <x:v>2013-00020</x:v>
      </x:c>
      <x:c r="C104" s="22" t="str">
        <x:v>미상</x:v>
      </x:c>
      <x:c r="D104" s="25" t="str">
        <x:v>아이티 까라꼴 의류기술 훈련원 건립사업('13-'17/373만불)...</x:v>
      </x:c>
      <x:c r="E104" s="25" t="str">
        <x:v>U-전체사업정보</x:v>
      </x:c>
      <x:c r="F104" s="25" t="str">
        <x:v>U</x:v>
      </x:c>
      <x:c r="G104" s="25" t="n">
        <x:v>0</x:v>
      </x:c>
      <x:c r="H104" s="25" t="str"/>
      <x:c r="I104" s="25" t="str"/>
      <x:c r="J104" s="25" t="str">
        <x:v>not_mapped</x:v>
      </x:c>
      <x:c r="K104" s="25" t="str">
        <x:v>127 공식 원기록과 170 공고는 서로 다른 모집단</x:v>
      </x:c>
      <x:c r="L104" s="25" t="str">
        <x:v>교차완료</x:v>
      </x:c>
    </x:row>
    <x:row r="105">
      <x:c r="A105" s="22" t="str">
        <x:v>15052832:197</x:v>
      </x:c>
      <x:c r="B105" s="22" t="str">
        <x:v>2021-00070</x:v>
      </x:c>
      <x:c r="C105" s="22" t="str">
        <x:v>미상</x:v>
      </x:c>
      <x:c r="D105" s="25" t="str">
        <x:v>한-메콩 생물다양성 센터 건립 및 역량강화사업('21-'26/1,000만...</x:v>
      </x:c>
      <x:c r="E105" s="25" t="str">
        <x:v>U-전체사업정보</x:v>
      </x:c>
      <x:c r="F105" s="25" t="str">
        <x:v>U</x:v>
      </x:c>
      <x:c r="G105" s="25" t="n">
        <x:v>0</x:v>
      </x:c>
      <x:c r="H105" s="25" t="str"/>
      <x:c r="I105" s="25" t="str"/>
      <x:c r="J105" s="25" t="str">
        <x:v>not_mapped</x:v>
      </x:c>
      <x:c r="K105" s="25" t="str">
        <x:v>127 공식 원기록과 170 공고는 서로 다른 모집단</x:v>
      </x:c>
      <x:c r="L105" s="25" t="str">
        <x:v>교차완료</x:v>
      </x:c>
    </x:row>
    <x:row r="106">
      <x:c r="A106" s="22" t="str">
        <x:v>15052832:447</x:v>
      </x:c>
      <x:c r="B106" s="22" t="str">
        <x:v>2016-00042</x:v>
      </x:c>
      <x:c r="C106" s="22" t="str">
        <x:v>DR콩고</x:v>
      </x:c>
      <x:c r="D106" s="25" t="str">
        <x:v>DR콩고 국립박물관 건립사업('12-'20/2,100만불)...</x:v>
      </x:c>
      <x:c r="E106" s="25" t="str">
        <x:v>U-전체사업정보</x:v>
      </x:c>
      <x:c r="F106" s="25" t="str">
        <x:v>U</x:v>
      </x:c>
      <x:c r="G106" s="25" t="n">
        <x:v>0</x:v>
      </x:c>
      <x:c r="H106" s="25" t="str"/>
      <x:c r="I106" s="25" t="str"/>
      <x:c r="J106" s="25" t="str">
        <x:v>not_mapped</x:v>
      </x:c>
      <x:c r="K106" s="25" t="str">
        <x:v>127 공식 원기록과 170 공고는 서로 다른 모집단</x:v>
      </x:c>
      <x:c r="L106" s="25" t="str">
        <x:v>교차완료</x:v>
      </x:c>
    </x:row>
    <x:row r="107">
      <x:c r="A107" s="22" t="str">
        <x:v>15052832:219</x:v>
      </x:c>
      <x:c r="B107" s="22" t="str">
        <x:v>2021-00016</x:v>
      </x:c>
      <x:c r="C107" s="22" t="str">
        <x:v>가나</x:v>
      </x:c>
      <x:c r="D107" s="25" t="str">
        <x:v>가나대학교 연구 및 ICT 혁신센터 건립 사업('21-'25/900만불)...</x:v>
      </x:c>
      <x:c r="E107" s="25" t="str">
        <x:v>U-전체사업정보</x:v>
      </x:c>
      <x:c r="F107" s="25" t="str">
        <x:v>A</x:v>
      </x:c>
      <x:c r="G107" s="25" t="n">
        <x:v>1</x:v>
      </x:c>
      <x:c r="H107" s="25" t="str">
        <x:v>L2025-00018-1</x:v>
      </x:c>
      <x:c r="I107" s="25" t="str">
        <x:v>A</x:v>
      </x:c>
      <x:c r="J107" s="25" t="str">
        <x:v>exact_bid_no_or_exact_project_no</x:v>
      </x:c>
      <x:c r="K107" s="25" t="str">
        <x:v>127 공식 원기록과 170 공고는 서로 다른 모집단</x:v>
      </x:c>
      <x:c r="L107" s="25" t="str">
        <x:v>교차완료</x:v>
      </x:c>
    </x:row>
    <x:row r="108">
      <x:c r="A108" s="22" t="str">
        <x:v>15052832:345</x:v>
      </x:c>
      <x:c r="B108" s="22" t="str">
        <x:v>2017-07115</x:v>
      </x:c>
      <x:c r="C108" s="22" t="str">
        <x:v>가나</x:v>
      </x:c>
      <x:c r="D108" s="25" t="str">
        <x:v>우즈벡 페르가나 직업훈련원 건립사업('18-'22/983만불)  ...</x:v>
      </x:c>
      <x:c r="E108" s="25" t="str">
        <x:v>U-전체사업정보</x:v>
      </x:c>
      <x:c r="F108" s="25" t="str">
        <x:v>U</x:v>
      </x:c>
      <x:c r="G108" s="25" t="n">
        <x:v>1</x:v>
      </x:c>
      <x:c r="H108" s="25" t="str">
        <x:v>L2018-00015-1;L2019-00021-1</x:v>
      </x:c>
      <x:c r="I108" s="25" t="str">
        <x:v>C</x:v>
      </x:c>
      <x:c r="J108" s="25" t="str">
        <x:v>exact_bid_no_or_exact_project_no</x:v>
      </x:c>
      <x:c r="K108" s="25" t="str">
        <x:v>127 공식 원기록과 170 공고는 서로 다른 모집단</x:v>
      </x:c>
      <x:c r="L108" s="25" t="str">
        <x:v>교차완료</x:v>
      </x:c>
    </x:row>
    <x:row r="109">
      <x:c r="A109" s="22" t="str">
        <x:v>15052832:464</x:v>
      </x:c>
      <x:c r="B109" s="22" t="str">
        <x:v>2016-00021</x:v>
      </x:c>
      <x:c r="C109" s="22" t="str">
        <x:v>나이지리아</x:v>
      </x:c>
      <x:c r="D109" s="25" t="str">
        <x:v>나이지리아 초중등시범학교단지 건립사업('13-'19/1,500만불)...</x:v>
      </x:c>
      <x:c r="E109" s="25" t="str">
        <x:v>U-전체사업정보</x:v>
      </x:c>
      <x:c r="F109" s="25" t="str">
        <x:v>U</x:v>
      </x:c>
      <x:c r="G109" s="25" t="n">
        <x:v>0</x:v>
      </x:c>
      <x:c r="H109" s="25" t="str"/>
      <x:c r="I109" s="25" t="str"/>
      <x:c r="J109" s="25" t="str">
        <x:v>not_mapped</x:v>
      </x:c>
      <x:c r="K109" s="25" t="str">
        <x:v>127 공식 원기록과 170 공고는 서로 다른 모집단</x:v>
      </x:c>
      <x:c r="L109" s="25" t="str">
        <x:v>교차완료</x:v>
      </x:c>
    </x:row>
    <x:row r="110">
      <x:c r="A110" s="22" t="str">
        <x:v>15052832:9</x:v>
      </x:c>
      <x:c r="B110" s="22" t="str">
        <x:v>2024-00053</x:v>
      </x:c>
      <x:c r="C110" s="22" t="str">
        <x:v>네팔</x:v>
      </x:c>
      <x:c r="D110" s="25" t="str">
        <x:v>네팔 Province4 직업교육학교 건립사업('24-'30/900만불)</x:v>
      </x:c>
      <x:c r="E110" s="25" t="str">
        <x:v>U-전체사업정보</x:v>
      </x:c>
      <x:c r="F110" s="25" t="str">
        <x:v>U</x:v>
      </x:c>
      <x:c r="G110" s="25" t="n">
        <x:v>0</x:v>
      </x:c>
      <x:c r="H110" s="25" t="str"/>
      <x:c r="I110" s="25" t="str"/>
      <x:c r="J110" s="25" t="str">
        <x:v>not_mapped</x:v>
      </x:c>
      <x:c r="K110" s="25" t="str">
        <x:v>127 공식 원기록과 170 공고는 서로 다른 모집단</x:v>
      </x:c>
      <x:c r="L110" s="25" t="str">
        <x:v>교차완료</x:v>
      </x:c>
    </x:row>
    <x:row r="111">
      <x:c r="A111" s="22" t="str">
        <x:v>15052832:21</x:v>
      </x:c>
      <x:c r="B111" s="22" t="str">
        <x:v>2026-00044</x:v>
      </x:c>
      <x:c r="C111" s="22" t="str">
        <x:v>모잠비크</x:v>
      </x:c>
      <x:c r="D111" s="25" t="str">
        <x:v>모잠비크 마푸토 카템베 지역병원 건립사업('26-'30/1,340만불)</x:v>
      </x:c>
      <x:c r="E111" s="25" t="str">
        <x:v>U-전체사업정보</x:v>
      </x:c>
      <x:c r="F111" s="25" t="str">
        <x:v>U</x:v>
      </x:c>
      <x:c r="G111" s="25" t="n">
        <x:v>0</x:v>
      </x:c>
      <x:c r="H111" s="25" t="str"/>
      <x:c r="I111" s="25" t="str"/>
      <x:c r="J111" s="25" t="str">
        <x:v>not_mapped</x:v>
      </x:c>
      <x:c r="K111" s="25" t="str">
        <x:v>127 공식 원기록과 170 공고는 서로 다른 모집단</x:v>
      </x:c>
      <x:c r="L111" s="25" t="str">
        <x:v>교차완료</x:v>
      </x:c>
    </x:row>
    <x:row r="112">
      <x:c r="A112" s="22" t="str">
        <x:v>15052832:217</x:v>
      </x:c>
      <x:c r="B112" s="22" t="str">
        <x:v>2021-00018</x:v>
      </x:c>
      <x:c r="C112" s="22" t="str">
        <x:v>몽골</x:v>
      </x:c>
      <x:c r="D112" s="25" t="str">
        <x:v>몽골 철도교통관제센터 건립 및  운영 역량강화를 통한 철도교통 경쟁력 강...</x:v>
      </x:c>
      <x:c r="E112" s="25" t="str">
        <x:v>U-전체사업정보</x:v>
      </x:c>
      <x:c r="F112" s="25" t="str">
        <x:v>U</x:v>
      </x:c>
      <x:c r="G112" s="25" t="n">
        <x:v>1</x:v>
      </x:c>
      <x:c r="H112" s="25" t="str">
        <x:v>L2023-00075-1</x:v>
      </x:c>
      <x:c r="I112" s="25" t="str">
        <x:v>C?</x:v>
      </x:c>
      <x:c r="J112" s="25" t="str">
        <x:v>exact_bid_no_or_exact_project_no</x:v>
      </x:c>
      <x:c r="K112" s="25" t="str">
        <x:v>127 공식 원기록과 170 공고는 서로 다른 모집단</x:v>
      </x:c>
      <x:c r="L112" s="25" t="str">
        <x:v>교차완료</x:v>
      </x:c>
    </x:row>
    <x:row r="113">
      <x:c r="A113" s="22" t="str">
        <x:v>15052832:581</x:v>
      </x:c>
      <x:c r="B113" s="22" t="str">
        <x:v>2014-00008</x:v>
      </x:c>
      <x:c r="C113" s="22" t="str">
        <x:v>에콰도르</x:v>
      </x:c>
      <x:c r="D113" s="25" t="str">
        <x:v>에콰도르 과야스주 보건의료센터 건립 및 의료인력 역량강화사업('14-'2...</x:v>
      </x:c>
      <x:c r="E113" s="25" t="str">
        <x:v>U-전체사업정보</x:v>
      </x:c>
      <x:c r="F113" s="25" t="str">
        <x:v>U</x:v>
      </x:c>
      <x:c r="G113" s="25" t="n">
        <x:v>0</x:v>
      </x:c>
      <x:c r="H113" s="25" t="str"/>
      <x:c r="I113" s="25" t="str"/>
      <x:c r="J113" s="25" t="str">
        <x:v>not_mapped</x:v>
      </x:c>
      <x:c r="K113" s="25" t="str">
        <x:v>127 공식 원기록과 170 공고는 서로 다른 모집단</x:v>
      </x:c>
      <x:c r="L113" s="25" t="str">
        <x:v>교차완료</x:v>
      </x:c>
    </x:row>
    <x:row r="114">
      <x:c r="A114" s="22" t="str">
        <x:v>15052832:254</x:v>
      </x:c>
      <x:c r="B114" s="22" t="str">
        <x:v>2020-00073</x:v>
      </x:c>
      <x:c r="C114" s="22" t="str">
        <x:v>에콰도르</x:v>
      </x:c>
      <x:c r="D114" s="25" t="str">
        <x:v>에콰도르 키토시 혁신센터 건립을 통한 창업 및 기업혁신 지원체계 강화 사...</x:v>
      </x:c>
      <x:c r="E114" s="25" t="str">
        <x:v>U-전체사업정보</x:v>
      </x:c>
      <x:c r="F114" s="25" t="str">
        <x:v>U</x:v>
      </x:c>
      <x:c r="G114" s="25" t="n">
        <x:v>1</x:v>
      </x:c>
      <x:c r="H114" s="25" t="str">
        <x:v>L2022-00027-1</x:v>
      </x:c>
      <x:c r="I114" s="25" t="str">
        <x:v>C</x:v>
      </x:c>
      <x:c r="J114" s="25" t="str">
        <x:v>exact_bid_no_or_exact_project_no</x:v>
      </x:c>
      <x:c r="K114" s="25" t="str">
        <x:v>127 공식 원기록과 170 공고는 서로 다른 모집단</x:v>
      </x:c>
      <x:c r="L114" s="25" t="str">
        <x:v>교차완료</x:v>
      </x:c>
    </x:row>
    <x:row r="115">
      <x:c r="A115" s="22" t="str">
        <x:v>15052832:665</x:v>
      </x:c>
      <x:c r="B115" s="22" t="str">
        <x:v>2011-00023</x:v>
      </x:c>
      <x:c r="C115" s="22" t="str">
        <x:v>에티오피아</x:v>
      </x:c>
      <x:c r="D115" s="25" t="str">
        <x:v>에티오피아 아드와시 중학교 건립사업('11-'17/420만불)...</x:v>
      </x:c>
      <x:c r="E115" s="25" t="str">
        <x:v>U-전체사업정보</x:v>
      </x:c>
      <x:c r="F115" s="25" t="str">
        <x:v>U</x:v>
      </x:c>
      <x:c r="G115" s="25" t="n">
        <x:v>0</x:v>
      </x:c>
      <x:c r="H115" s="25" t="str"/>
      <x:c r="I115" s="25" t="str"/>
      <x:c r="J115" s="25" t="str">
        <x:v>not_mapped</x:v>
      </x:c>
      <x:c r="K115" s="25" t="str">
        <x:v>127 공식 원기록과 170 공고는 서로 다른 모집단</x:v>
      </x:c>
      <x:c r="L115" s="25" t="str">
        <x:v>교차완료</x:v>
      </x:c>
    </x:row>
    <x:row r="116">
      <x:c r="A116" s="22" t="str">
        <x:v>15052832:621</x:v>
      </x:c>
      <x:c r="B116" s="22" t="str">
        <x:v>2013-00027</x:v>
      </x:c>
      <x:c r="C116" s="22" t="str">
        <x:v>에티오피아</x:v>
      </x:c>
      <x:c r="D116" s="25" t="str">
        <x:v>에티오피아 티그라이주 직업훈련학교 건립사업('13-'19/687만불)...</x:v>
      </x:c>
      <x:c r="E116" s="25" t="str">
        <x:v>U-전체사업정보</x:v>
      </x:c>
      <x:c r="F116" s="25" t="str">
        <x:v>U</x:v>
      </x:c>
      <x:c r="G116" s="25" t="n">
        <x:v>0</x:v>
      </x:c>
      <x:c r="H116" s="25" t="str"/>
      <x:c r="I116" s="25" t="str"/>
      <x:c r="J116" s="25" t="str">
        <x:v>not_mapped</x:v>
      </x:c>
      <x:c r="K116" s="25" t="str">
        <x:v>127 공식 원기록과 170 공고는 서로 다른 모집단</x:v>
      </x:c>
      <x:c r="L116" s="25" t="str">
        <x:v>교차완료</x:v>
      </x:c>
    </x:row>
    <x:row r="117">
      <x:c r="A117" s="22" t="str">
        <x:v>15052832:635</x:v>
      </x:c>
      <x:c r="B117" s="22" t="str">
        <x:v>2013-00009</x:v>
      </x:c>
      <x:c r="C117" s="22" t="str">
        <x:v>엘살바도르</x:v>
      </x:c>
      <x:c r="D117" s="25" t="str">
        <x:v>엘살바도르 한-엘 의료센터 건립사업('13-'20/355만불)...</x:v>
      </x:c>
      <x:c r="E117" s="25" t="str">
        <x:v>U-전체사업정보</x:v>
      </x:c>
      <x:c r="F117" s="25" t="str">
        <x:v>U</x:v>
      </x:c>
      <x:c r="G117" s="25" t="n">
        <x:v>0</x:v>
      </x:c>
      <x:c r="H117" s="25" t="str"/>
      <x:c r="I117" s="25" t="str"/>
      <x:c r="J117" s="25" t="str">
        <x:v>not_mapped</x:v>
      </x:c>
      <x:c r="K117" s="25" t="str">
        <x:v>127 공식 원기록과 170 공고는 서로 다른 모집단</x:v>
      </x:c>
      <x:c r="L117" s="25" t="str">
        <x:v>교차완료</x:v>
      </x:c>
    </x:row>
    <x:row r="118">
      <x:c r="A118" s="22" t="str">
        <x:v>15052832:583</x:v>
      </x:c>
      <x:c r="B118" s="22" t="str">
        <x:v>2014-00004</x:v>
      </x:c>
      <x:c r="C118" s="22" t="str">
        <x:v>요르단</x:v>
      </x:c>
      <x:c r="D118" s="25" t="str">
        <x:v>요르단 3개 지역 보건소 건립사업('14-'19/516만불)...</x:v>
      </x:c>
      <x:c r="E118" s="25" t="str">
        <x:v>U-전체사업정보</x:v>
      </x:c>
      <x:c r="F118" s="25" t="str">
        <x:v>U</x:v>
      </x:c>
      <x:c r="G118" s="25" t="n">
        <x:v>0</x:v>
      </x:c>
      <x:c r="H118" s="25" t="str"/>
      <x:c r="I118" s="25" t="str"/>
      <x:c r="J118" s="25" t="str">
        <x:v>not_mapped</x:v>
      </x:c>
      <x:c r="K118" s="25" t="str">
        <x:v>127 공식 원기록과 170 공고는 서로 다른 모집단</x:v>
      </x:c>
      <x:c r="L118" s="25" t="str">
        <x:v>교차완료</x:v>
      </x:c>
    </x:row>
    <x:row r="119">
      <x:c r="A119" s="22" t="str">
        <x:v>15052832:400</x:v>
      </x:c>
      <x:c r="B119" s="22" t="str">
        <x:v>2016-00206</x:v>
      </x:c>
      <x:c r="C119" s="22" t="str">
        <x:v>요르단</x:v>
      </x:c>
      <x:c r="D119" s="25" t="str">
        <x:v>요르단 시리아 난민 밀집지역 취약계층 아동을 위한 3개 학교 건립사업('...</x:v>
      </x:c>
      <x:c r="E119" s="25" t="str">
        <x:v>U-전체사업정보</x:v>
      </x:c>
      <x:c r="F119" s="25" t="str">
        <x:v>U</x:v>
      </x:c>
      <x:c r="G119" s="25" t="n">
        <x:v>1</x:v>
      </x:c>
      <x:c r="H119" s="25" t="str">
        <x:v>L2018-00005-1;L2018-00020-1;L2019-00043-1;L2020-00007-1</x:v>
      </x:c>
      <x:c r="I119" s="25" t="str">
        <x:v>C</x:v>
      </x:c>
      <x:c r="J119" s="25" t="str">
        <x:v>exact_bid_no_or_exact_project_no</x:v>
      </x:c>
      <x:c r="K119" s="25" t="str">
        <x:v>127 공식 원기록과 170 공고는 서로 다른 모집단</x:v>
      </x:c>
      <x:c r="L119" s="25" t="str">
        <x:v>교차완료</x:v>
      </x:c>
    </x:row>
    <x:row r="120">
      <x:c r="A120" s="22" t="str">
        <x:v>15052832:573</x:v>
      </x:c>
      <x:c r="B120" s="22" t="str">
        <x:v>2014-00019</x:v>
      </x:c>
      <x:c r="C120" s="22" t="str">
        <x:v>요르단</x:v>
      </x:c>
      <x:c r="D120" s="25" t="str">
        <x:v>요르단 청각장애 특수학교 건립사업('14-'17/520만불)...</x:v>
      </x:c>
      <x:c r="E120" s="25" t="str">
        <x:v>U-전체사업정보</x:v>
      </x:c>
      <x:c r="F120" s="25" t="str">
        <x:v>U</x:v>
      </x:c>
      <x:c r="G120" s="25" t="n">
        <x:v>0</x:v>
      </x:c>
      <x:c r="H120" s="25" t="str"/>
      <x:c r="I120" s="25" t="str"/>
      <x:c r="J120" s="25" t="str">
        <x:v>not_mapped</x:v>
      </x:c>
      <x:c r="K120" s="25" t="str">
        <x:v>127 공식 원기록과 170 공고는 서로 다른 모집단</x:v>
      </x:c>
      <x:c r="L120" s="25" t="str">
        <x:v>교차완료</x:v>
      </x:c>
    </x:row>
    <x:row r="121">
      <x:c r="A121" s="22" t="str">
        <x:v>15052832:189</x:v>
      </x:c>
      <x:c r="B121" s="22" t="str">
        <x:v>2021-00085</x:v>
      </x:c>
      <x:c r="C121" s="22" t="str">
        <x:v>우즈베키스탄</x:v>
      </x:c>
      <x:c r="D121" s="25" t="str">
        <x:v>우즈베키스탄 교수학습개발복합센터 건립을 통한 유아교사 역량강화사업('21...</x:v>
      </x:c>
      <x:c r="E121" s="25" t="str">
        <x:v>U-전체사업정보</x:v>
      </x:c>
      <x:c r="F121" s="25" t="str">
        <x:v>U</x:v>
      </x:c>
      <x:c r="G121" s="25" t="n">
        <x:v>0</x:v>
      </x:c>
      <x:c r="H121" s="25" t="str"/>
      <x:c r="I121" s="25" t="str"/>
      <x:c r="J121" s="25" t="str">
        <x:v>not_mapped</x:v>
      </x:c>
      <x:c r="K121" s="25" t="str">
        <x:v>127 공식 원기록과 170 공고는 서로 다른 모집단</x:v>
      </x:c>
      <x:c r="L121" s="25" t="str">
        <x:v>교차완료</x:v>
      </x:c>
    </x:row>
    <x:row r="122">
      <x:c r="A122" s="22" t="str">
        <x:v>15052832:247</x:v>
      </x:c>
      <x:c r="B122" s="22" t="str">
        <x:v>2020-00086</x:v>
      </x:c>
      <x:c r="C122" s="22" t="str">
        <x:v>우즈베키스탄</x:v>
      </x:c>
      <x:c r="D122" s="25" t="str">
        <x:v>우즈베키스탄 우르겐치 직업훈련원 건립 및 직업훈련 제도역량 공고화 지원 ...</x:v>
      </x:c>
      <x:c r="E122" s="25" t="str">
        <x:v>U-전체사업정보</x:v>
      </x:c>
      <x:c r="F122" s="25" t="str">
        <x:v>B</x:v>
      </x:c>
      <x:c r="G122" s="25" t="n">
        <x:v>1</x:v>
      </x:c>
      <x:c r="H122" s="25" t="str">
        <x:v>L2022-00003-1;L2023-00007-1;L2023-00036-1;L2023-00053-1</x:v>
      </x:c>
      <x:c r="I122" s="25" t="str">
        <x:v>B</x:v>
      </x:c>
      <x:c r="J122" s="25" t="str">
        <x:v>exact_bid_no_or_exact_project_no</x:v>
      </x:c>
      <x:c r="K122" s="25" t="str">
        <x:v>127 공식 원기록과 170 공고는 서로 다른 모집단</x:v>
      </x:c>
      <x:c r="L122" s="25" t="str">
        <x:v>교차완료</x:v>
      </x:c>
    </x:row>
    <x:row r="123">
      <x:c r="A123" s="22" t="str">
        <x:v>15052832:224</x:v>
      </x:c>
      <x:c r="B123" s="22" t="str">
        <x:v>2020-00119</x:v>
      </x:c>
      <x:c r="C123" s="22" t="str">
        <x:v>이라크</x:v>
      </x:c>
      <x:c r="D123" s="25" t="str">
        <x:v>이라크 한-이라크 심장병 어린이 전문 병원 건립사업(`20-`25/2,5...</x:v>
      </x:c>
      <x:c r="E123" s="25" t="str">
        <x:v>U-전체사업정보</x:v>
      </x:c>
      <x:c r="F123" s="25" t="str">
        <x:v>A-부분</x:v>
      </x:c>
      <x:c r="G123" s="25" t="n">
        <x:v>1</x:v>
      </x:c>
      <x:c r="H123" s="25" t="str">
        <x:v>L2025-00070-1;L2025-00071-1;L2025-00085-1</x:v>
      </x:c>
      <x:c r="I123" s="25" t="str">
        <x:v>A-부분</x:v>
      </x:c>
      <x:c r="J123" s="25" t="str">
        <x:v>exact_bid_no_or_exact_project_no</x:v>
      </x:c>
      <x:c r="K123" s="25" t="str">
        <x:v>127 공식 원기록과 170 공고는 서로 다른 모집단</x:v>
      </x:c>
      <x:c r="L123" s="25" t="str">
        <x:v>교차완료</x:v>
      </x:c>
    </x:row>
    <x:row r="124">
      <x:c r="A124" s="22" t="str">
        <x:v>15052832:463</x:v>
      </x:c>
      <x:c r="B124" s="22" t="str">
        <x:v>2016-00022</x:v>
      </x:c>
      <x:c r="C124" s="22" t="str">
        <x:v>카메룬</x:v>
      </x:c>
      <x:c r="D124" s="25" t="str">
        <x:v>카메룬 국립직업훈련교육원 건립사업(`13-`21/680만불)...</x:v>
      </x:c>
      <x:c r="E124" s="25" t="str">
        <x:v>U-전체사업정보</x:v>
      </x:c>
      <x:c r="F124" s="25" t="str">
        <x:v>U</x:v>
      </x:c>
      <x:c r="G124" s="25" t="n">
        <x:v>0</x:v>
      </x:c>
      <x:c r="H124" s="25" t="str"/>
      <x:c r="I124" s="25" t="str"/>
      <x:c r="J124" s="25" t="str">
        <x:v>not_mapped</x:v>
      </x:c>
      <x:c r="K124" s="25" t="str">
        <x:v>127 공식 원기록과 170 공고는 서로 다른 모집단</x:v>
      </x:c>
      <x:c r="L124" s="25" t="str">
        <x:v>교차완료</x:v>
      </x:c>
    </x:row>
    <x:row r="125">
      <x:c r="A125" s="22" t="str">
        <x:v>15052832:133</x:v>
      </x:c>
      <x:c r="B125" s="22" t="str">
        <x:v>2022-00027</x:v>
      </x:c>
      <x:c r="C125" s="22" t="str">
        <x:v>캄보디아</x:v>
      </x:c>
      <x:c r="D125" s="25" t="str">
        <x:v>캄보디아 국립소아병원 내과계 병동건립 및 의료인력 역량강화사업('22-'27/1,600만불)</x:v>
      </x:c>
      <x:c r="E125" s="25" t="str">
        <x:v>U-전체사업정보</x:v>
      </x:c>
      <x:c r="F125" s="25" t="str">
        <x:v>B</x:v>
      </x:c>
      <x:c r="G125" s="25" t="n">
        <x:v>1</x:v>
      </x:c>
      <x:c r="H125" s="25" t="str">
        <x:v>L2025-00073-1</x:v>
      </x:c>
      <x:c r="I125" s="25" t="str">
        <x:v>B</x:v>
      </x:c>
      <x:c r="J125" s="25" t="str">
        <x:v>exact_bid_no_or_exact_project_no</x:v>
      </x:c>
      <x:c r="K125" s="25" t="str">
        <x:v>127 공식 원기록과 170 공고는 서로 다른 모집단</x:v>
      </x:c>
      <x:c r="L125" s="25" t="str">
        <x:v>교차완료</x:v>
      </x:c>
    </x:row>
    <x:row r="126">
      <x:c r="A126" s="22" t="str">
        <x:v>15052832:603</x:v>
      </x:c>
      <x:c r="B126" s="22" t="str">
        <x:v>2013-00054</x:v>
      </x:c>
      <x:c r="C126" s="22" t="str">
        <x:v>캄보디아</x:v>
      </x:c>
      <x:c r="D126" s="25" t="str">
        <x:v>캄보디아 민간항공 관리역량 제고 및 교육센터 건립사업('13-'18/1,...</x:v>
      </x:c>
      <x:c r="E126" s="25" t="str">
        <x:v>U-전체사업정보</x:v>
      </x:c>
      <x:c r="F126" s="25" t="str">
        <x:v>U</x:v>
      </x:c>
      <x:c r="G126" s="25" t="n">
        <x:v>0</x:v>
      </x:c>
      <x:c r="H126" s="25" t="str"/>
      <x:c r="I126" s="25" t="str"/>
      <x:c r="J126" s="25" t="str">
        <x:v>not_mapped</x:v>
      </x:c>
      <x:c r="K126" s="25" t="str">
        <x:v>127 공식 원기록과 170 공고는 서로 다른 모집단</x:v>
      </x:c>
      <x:c r="L126" s="25" t="str">
        <x:v>교차완료</x:v>
      </x:c>
    </x:row>
    <x:row r="127">
      <x:c r="A127" s="22" t="str">
        <x:v>15052832:516</x:v>
      </x:c>
      <x:c r="B127" s="22" t="str">
        <x:v>2015-00019</x:v>
      </x:c>
      <x:c r="C127" s="22" t="str">
        <x:v>코트디부아르</x:v>
      </x:c>
      <x:c r="D127" s="25" t="str">
        <x:v>코트디부아르 한-코 협력센터 건립사업(15-20/950만불)...</x:v>
      </x:c>
      <x:c r="E127" s="25" t="str">
        <x:v>U-전체사업정보</x:v>
      </x:c>
      <x:c r="F127" s="25" t="str">
        <x:v>U</x:v>
      </x:c>
      <x:c r="G127" s="25" t="n">
        <x:v>0</x:v>
      </x:c>
      <x:c r="H127" s="25" t="str"/>
      <x:c r="I127" s="25" t="str"/>
      <x:c r="J127" s="25" t="str">
        <x:v>not_mapped</x:v>
      </x:c>
      <x:c r="K127" s="25" t="str">
        <x:v>127 공식 원기록과 170 공고는 서로 다른 모집단</x:v>
      </x:c>
      <x:c r="L127" s="25" t="str">
        <x:v>교차완료</x:v>
      </x:c>
    </x:row>
    <x:row r="128">
      <x:c r="A128" s="22" t="str">
        <x:v>15052832:673</x:v>
      </x:c>
      <x:c r="B128" s="22" t="str">
        <x:v>2007-00015</x:v>
      </x:c>
      <x:c r="C128" s="22" t="str">
        <x:v>콜롬비아</x:v>
      </x:c>
      <x:c r="D128" s="25" t="str">
        <x:v>콜롬비아 한-콜롬비아 우호재활센터 건립사업('07-'16/1,150만불)...</x:v>
      </x:c>
      <x:c r="E128" s="25" t="str">
        <x:v>U-전체사업정보</x:v>
      </x:c>
      <x:c r="F128" s="25" t="str">
        <x:v>U</x:v>
      </x:c>
      <x:c r="G128" s="25" t="n">
        <x:v>0</x:v>
      </x:c>
      <x:c r="H128" s="25" t="str"/>
      <x:c r="I128" s="25" t="str"/>
      <x:c r="J128" s="25" t="str">
        <x:v>not_mapped</x:v>
      </x:c>
      <x:c r="K128" s="25" t="str">
        <x:v>127 공식 원기록과 170 공고는 서로 다른 모집단</x:v>
      </x:c>
      <x:c r="L128" s="25" t="str">
        <x:v>교차완료</x:v>
      </x:c>
    </x:row>
    <x:row r="129">
      <x:c r="A129" s="22" t="str">
        <x:v>15052832:672</x:v>
      </x:c>
      <x:c r="B129" s="22" t="str">
        <x:v>2008-00040</x:v>
      </x:c>
      <x:c r="C129" s="22" t="str">
        <x:v>파라과이</x:v>
      </x:c>
      <x:c r="D129" s="25" t="str">
        <x:v>파라과이 아순시온시 취약아동 청소년 재활훈련원 건립사업('08-'10/1...</x:v>
      </x:c>
      <x:c r="E129" s="25" t="str">
        <x:v>U-전체사업정보</x:v>
      </x:c>
      <x:c r="F129" s="25" t="str">
        <x:v>U</x:v>
      </x:c>
      <x:c r="G129" s="25" t="n">
        <x:v>0</x:v>
      </x:c>
      <x:c r="H129" s="25" t="str"/>
      <x:c r="I129" s="25" t="str"/>
      <x:c r="J129" s="25" t="str">
        <x:v>not_mapped</x:v>
      </x:c>
      <x:c r="K129" s="25" t="str">
        <x:v>127 공식 원기록과 170 공고는 서로 다른 모집단</x:v>
      </x:c>
      <x:c r="L129" s="25" t="str">
        <x:v>교차완료</x:v>
      </x:c>
    </x:row>
    <x:row r="130">
      <x:c r="A130" s="22" t="str">
        <x:v>15052832:614</x:v>
      </x:c>
      <x:c r="B130" s="22" t="str">
        <x:v>2013-00034</x:v>
      </x:c>
      <x:c r="C130" s="22" t="str">
        <x:v>팔레스타인</x:v>
      </x:c>
      <x:c r="D130" s="25" t="str">
        <x:v>팔레스타인 제닌 청소년센터 건립사업('13-'18/360만불)...</x:v>
      </x:c>
      <x:c r="E130" s="25" t="str">
        <x:v>U-전체사업정보</x:v>
      </x:c>
      <x:c r="F130" s="25" t="str">
        <x:v>U</x:v>
      </x:c>
      <x:c r="G130" s="25" t="n">
        <x:v>0</x:v>
      </x:c>
      <x:c r="H130" s="25" t="str"/>
      <x:c r="I130" s="25" t="str"/>
      <x:c r="J130" s="25" t="str">
        <x:v>not_mapped</x:v>
      </x:c>
      <x:c r="K130" s="25" t="str">
        <x:v>127 공식 원기록과 170 공고는 서로 다른 모집단</x:v>
      </x:c>
      <x:c r="L130" s="25" t="str">
        <x:v>교차완료</x:v>
      </x:c>
    </x:row>
    <x:row r="131">
      <x:c r="A131" s="23" t="str">
        <x:v>15052832:116</x:v>
      </x:c>
      <x:c r="B131" s="23" t="str">
        <x:v>2022-00076</x:v>
      </x:c>
      <x:c r="C131" s="23" t="str">
        <x:v>피지</x:v>
      </x:c>
      <x:c r="D131" s="26" t="str">
        <x:v>피지 국립재활센터 건립사업('22-'27/1,000만불)</x:v>
      </x:c>
      <x:c r="E131" s="26" t="str">
        <x:v>U-전체사업정보</x:v>
      </x:c>
      <x:c r="F131" s="26" t="str">
        <x:v>B</x:v>
      </x:c>
      <x:c r="G131" s="26" t="n">
        <x:v>1</x:v>
      </x:c>
      <x:c r="H131" s="26" t="str">
        <x:v>L2023-00038-1;L2025-00051-1;L2025-00051-2</x:v>
      </x:c>
      <x:c r="I131" s="26" t="str">
        <x:v>B</x:v>
      </x:c>
      <x:c r="J131" s="26" t="str">
        <x:v>exact_bid_no_or_exact_project_no</x:v>
      </x:c>
      <x:c r="K131" s="26" t="str">
        <x:v>127 공식 원기록과 170 공고는 서로 다른 모집단</x:v>
      </x:c>
      <x:c r="L131" s="26" t="str">
        <x:v>교차완료</x:v>
      </x:c>
    </x:row>
  </x:sheetData>
  <x:mergeCells>
    <x:mergeCell ref="A1:L1"/>
    <x:mergeCell ref="A2:L2"/>
  </x:mergeCells>
  <x:conditionalFormatting sqref="I5:I131">
    <x:cfRule type="beginsWith" dxfId="25" priority="1" operator="beginsWith" text="A"/>
    <x:cfRule type="beginsWith" dxfId="26" priority="2" operator="beginsWith" text="B"/>
    <x:cfRule type="beginsWith" dxfId="27" priority="3" operator="beginsWith" text="C"/>
    <x:cfRule type="beginsWith" dxfId="28" priority="4" operator="beginsWith" text="U"/>
    <x:cfRule type="beginsWith" dxfId="29" priority="5" operator="beginsWith" text="X"/>
  </x:conditionalFormatting>
  <x:pageMargins left="0.7" right="0.7" top="0.75" bottom="0.75" header="0.3" footer="0.3"/>
  <x:tableParts count="1">
    <x:tablePart xmlns:r="http://schemas.openxmlformats.org/officeDocument/2006/relationships" r:id="Rf62fbd6cdd06406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0" hidden="0" customWidth="1"/>
    <x:col min="3" max="3" width="28" hidden="0" customWidth="1"/>
    <x:col min="4" max="4" width="29" hidden="0" customWidth="1"/>
    <x:col min="5" max="5" width="14" hidden="0" customWidth="1"/>
    <x:col min="6" max="6" width="18" hidden="0" customWidth="1"/>
    <x:col min="7" max="7" width="22" hidden="0" customWidth="1"/>
    <x:col min="8" max="8" width="31" hidden="0" customWidth="1"/>
  </x:cols>
  <x:sheetData>
    <x:row r="1" ht="34" customHeight="1">
      <x:c r="A1" s="3" t="str">
        <x:v>판정기준·한계</x:v>
      </x:c>
    </x:row>
    <x:row r="2" ht="42" customHeight="1">
      <x:c r="A2" s="7" t="str">
        <x:v>면적과 금액의 같은 범위 여부, 가격단계, 검증수준을 등급과 분리했습니다.</x:v>
      </x:c>
    </x:row>
    <x:row r="4" ht="32" customHeight="1">
      <x:c r="A4" s="13" t="str">
        <x:v>등급</x:v>
      </x:c>
      <x:c r="B4" s="13" t="str">
        <x:v>필수근거</x:v>
      </x:c>
      <x:c r="C4" s="13" t="str">
        <x:v>허용용도</x:v>
      </x:c>
      <x:c r="D4" s="13" t="str">
        <x:v>금지</x:v>
      </x:c>
      <x:c r="E4" s="13" t="str">
        <x:v>검증</x:v>
      </x:c>
      <x:c r="F4" s="13" t="str">
        <x:v>범위표시</x:v>
      </x:c>
      <x:c r="G4" s="13" t="str">
        <x:v>가격단계</x:v>
      </x:c>
      <x:c r="H4" s="13" t="str">
        <x:v>비고</x:v>
      </x:c>
    </x:row>
    <x:row r="5">
      <x:c r="A5" s="49" t="str">
        <x:v>A</x:v>
      </x:c>
      <x:c r="B5" s="49" t="str">
        <x:v>실제 BOQ 수량+양수 단가/금액</x:v>
      </x:c>
      <x:c r="C5" s="49" t="str">
        <x:v>검증된 범위의 BOQ 산정</x:v>
      </x:c>
      <x:c r="D5" s="49" t="str">
        <x:v>부분 Bill을 전체사업으로 환산</x:v>
      </x:c>
      <x:c r="E5" s="49" t="str">
        <x:v>V3</x:v>
      </x:c>
      <x:c r="F5" s="49" t="str">
        <x:v>FULL/PARTIAL</x:v>
      </x:c>
      <x:c r="G5" s="49" t="str">
        <x:v>설계견적 등</x:v>
      </x:c>
      <x:c r="H5" s="49" t="str">
        <x:v>A-부분은 해당 Bill만</x:v>
      </x:c>
    </x:row>
    <x:row r="6">
      <x:c r="A6" s="50" t="str">
        <x:v>B</x:v>
      </x:c>
      <x:c r="B6" s="50" t="str">
        <x:v>실제 blank/unpriced BOQ 수량</x:v>
      </x:c>
      <x:c r="C6" s="50" t="str">
        <x:v>현지단가 결합 수량모델</x:v>
      </x:c>
      <x:c r="D6" s="50" t="str">
        <x:v>단가 없이 총액 확정</x:v>
      </x:c>
      <x:c r="E6" s="50" t="str">
        <x:v>V3</x:v>
      </x:c>
      <x:c r="F6" s="50" t="str">
        <x:v>FULL/PARTIAL</x:v>
      </x:c>
      <x:c r="G6" s="50" t="str">
        <x:v>가격 없음</x:v>
      </x:c>
      <x:c r="H6" s="50" t="str">
        <x:v>원천등급은 단가결합 후에도 B</x:v>
      </x:c>
    </x:row>
    <x:row r="7">
      <x:c r="A7" s="50" t="str">
        <x:v>C</x:v>
      </x:c>
      <x:c r="B7" s="50" t="str">
        <x:v>같은/제한 범위 공사금액+면적</x:v>
      </x:c>
      <x:c r="C7" s="50" t="str">
        <x:v>명목 USD/㎡ 초기 스크리닝</x:v>
      </x:c>
      <x:c r="D7" s="50" t="str">
        <x:v>미래사업 견적에 직접 투입</x:v>
      </x:c>
      <x:c r="E7" s="50" t="str">
        <x:v>V3 재검토</x:v>
      </x:c>
      <x:c r="F7" s="50" t="str">
        <x:v>MATCH/PARTIAL</x:v>
      </x:c>
      <x:c r="G7" s="50" t="str">
        <x:v>한도·기초·설계예산</x:v>
      </x:c>
      <x:c r="H7" s="50" t="str">
        <x:v>계약·준공가 아님</x:v>
      </x:c>
    </x:row>
    <x:row r="8">
      <x:c r="A8" s="50" t="str">
        <x:v>C?</x:v>
      </x:c>
      <x:c r="B8" s="50" t="str">
        <x:v>추출자료 기반 잠정 범위일치</x:v>
      </x:c>
      <x:c r="C8" s="50" t="str">
        <x:v>원본 V3 확인 대기</x:v>
      </x:c>
      <x:c r="D8" s="50" t="str">
        <x:v>직접 계산·의사결정</x:v>
      </x:c>
      <x:c r="E8" s="50" t="str">
        <x:v>V2R</x:v>
      </x:c>
      <x:c r="F8" s="50" t="str">
        <x:v>MATCH</x:v>
      </x:c>
      <x:c r="G8" s="50" t="str">
        <x:v>주로 집행한도</x:v>
      </x:c>
      <x:c r="H8" s="50" t="str">
        <x:v>잠정후보</x:v>
      </x:c>
    </x:row>
    <x:row r="9">
      <x:c r="A9" s="50" t="str">
        <x:v>U</x:v>
      </x:c>
      <x:c r="B9" s="50" t="str">
        <x:v>면적·금액 한쪽 또는 범위충돌</x:v>
      </x:c>
      <x:c r="C9" s="50" t="str">
        <x:v>추가조사</x:v>
      </x:c>
      <x:c r="D9" s="50" t="str">
        <x:v>단가 계산</x:v>
      </x:c>
      <x:c r="E9" s="50" t="str">
        <x:v>V0~V3</x:v>
      </x:c>
      <x:c r="F9" s="50" t="str">
        <x:v>UNKNOWN/NO</x:v>
      </x:c>
      <x:c r="G9" s="50" t="str">
        <x:v>혼합</x:v>
      </x:c>
      <x:c r="H9" s="50" t="str">
        <x:v>0원으로 해석 금지</x:v>
      </x:c>
    </x:row>
    <x:row r="10">
      <x:c r="A10" s="51" t="str">
        <x:v>X</x:v>
      </x:c>
      <x:c r="B10" s="51" t="str">
        <x:v>설계·감리·물품·비건축·면적오탐</x:v>
      </x:c>
      <x:c r="C10" s="51" t="str">
        <x:v>제외 근거</x:v>
      </x:c>
      <x:c r="D10" s="51" t="str">
        <x:v>건축공사비 표본 사용</x:v>
      </x:c>
      <x:c r="E10" s="51" t="str">
        <x:v>V3 범위검토</x:v>
      </x:c>
      <x:c r="F10" s="51" t="str">
        <x:v>NO</x:v>
      </x:c>
      <x:c r="G10" s="51" t="str">
        <x:v>서비스/물품</x:v>
      </x:c>
      <x:c r="H10" s="51" t="str">
        <x:v>사업 자체가 무가치하다는 뜻 아님</x:v>
      </x:c>
    </x:row>
    <x:row r="13" ht="25" customHeight="1">
      <x:c r="A13" s="54" t="str">
        <x:v>전수감사에서 확인한 데이터 문제</x:v>
      </x:c>
      <x:c r="B13" s="54"/>
      <x:c r="C13" s="54"/>
      <x:c r="D13" s="54"/>
      <x:c r="E13" s="54"/>
      <x:c r="F13" s="54"/>
      <x:c r="G13" s="54"/>
      <x:c r="H13" s="54"/>
    </x:row>
    <x:row r="14" ht="31" customHeight="1">
      <x:c r="A14" s="49" t="str">
        <x:v>1. 170공고는 154 bid_base 공고군과 91 project_no로 연결되지만, 사업번호 하나에 여러 package/Lot이 있을 수 있습니다.</x:v>
      </x:c>
      <x:c r="B14" s="49"/>
      <x:c r="C14" s="49"/>
      <x:c r="D14" s="49"/>
      <x:c r="E14" s="49"/>
      <x:c r="F14" s="49"/>
      <x:c r="G14" s="49"/>
      <x:c r="H14" s="49"/>
    </x:row>
    <x:row r="15" ht="31" customHeight="1">
      <x:c r="A15" s="50" t="str">
        <x:v>2. 최근 130건의 저장 계약유형은 원문과 다른 2건이 있었습니다: L2022-00034-1은 실제 공사, L2024-00076-1은 실제 설계용역.</x:v>
      </x:c>
      <x:c r="B15" s="50"/>
      <x:c r="C15" s="50"/>
      <x:c r="D15" s="50"/>
      <x:c r="E15" s="50"/>
      <x:c r="F15" s="50"/>
      <x:c r="G15" s="50"/>
      <x:c r="H15" s="50"/>
    </x:row>
    <x:row r="16" ht="31" customHeight="1">
      <x:c r="A16" s="50" t="str">
        <x:v>3. 최근 130건의 공고금액 의미는 works 74, service 54, goods 2입니다.</x:v>
      </x:c>
      <x:c r="B16" s="50"/>
      <x:c r="C16" s="50"/>
      <x:c r="D16" s="50"/>
      <x:c r="E16" s="50"/>
      <x:c r="F16" s="50"/>
      <x:c r="G16" s="50"/>
      <x:c r="H16" s="50"/>
    </x:row>
    <x:row r="17" ht="31" customHeight="1">
      <x:c r="A17" s="50" t="str">
        <x:v>4. 최근 공고수준 같은 범위는 MATCH 63, PARTIAL 8, NO 59입니다.</x:v>
      </x:c>
      <x:c r="B17" s="50"/>
      <x:c r="C17" s="50"/>
      <x:c r="D17" s="50"/>
      <x:c r="E17" s="50"/>
      <x:c r="F17" s="50"/>
      <x:c r="G17" s="50"/>
      <x:c r="H17" s="50"/>
    </x:row>
    <x:row r="18" ht="31" customHeight="1">
      <x:c r="A18" s="50" t="str">
        <x:v>5. 역사 40건은 공사비+GFA 일치 23, 혼합/미해결 2, 서비스·비건축 제외 15입니다.</x:v>
      </x:c>
      <x:c r="B18" s="50"/>
      <x:c r="C18" s="50"/>
      <x:c r="D18" s="50"/>
      <x:c r="E18" s="50"/>
      <x:c r="F18" s="50"/>
      <x:c r="G18" s="50"/>
      <x:c r="H18" s="50"/>
    </x:row>
    <x:row r="19" ht="31" customHeight="1">
      <x:c r="A19" s="50" t="str">
        <x:v>6. 집행한도와 기초·광고예산은 별도 가격단계이며 확인 사례에서 대체로 약 2~3% 차이가 났습니다.</x:v>
      </x:c>
      <x:c r="B19" s="50"/>
      <x:c r="C19" s="50"/>
      <x:c r="D19" s="50"/>
      <x:c r="E19" s="50"/>
      <x:c r="F19" s="50"/>
      <x:c r="G19" s="50"/>
      <x:c r="H19" s="50"/>
    </x:row>
    <x:row r="20" ht="31" customHeight="1">
      <x:c r="A20" s="50" t="str">
        <x:v>7. 계약가·낙찰가·변경계약가·준공정산가는 현재 0건입니다.</x:v>
      </x:c>
      <x:c r="B20" s="50"/>
      <x:c r="C20" s="50"/>
      <x:c r="D20" s="50"/>
      <x:c r="E20" s="50"/>
      <x:c r="F20" s="50"/>
      <x:c r="G20" s="50"/>
      <x:c r="H20" s="50"/>
    </x:row>
    <x:row r="21" ht="31" customHeight="1">
      <x:c r="A21" s="50" t="str">
        <x:v>8. HWP는 라벨과 값이 인접 문단으로 분리될 수 있어 ±2~3문단과 표 헤더를 함께 확인했습니다.</x:v>
      </x:c>
      <x:c r="B21" s="50"/>
      <x:c r="C21" s="50"/>
      <x:c r="D21" s="50"/>
      <x:c r="E21" s="50"/>
      <x:c r="F21" s="50"/>
      <x:c r="G21" s="50"/>
      <x:c r="H21" s="50"/>
    </x:row>
    <x:row r="22" ht="31" customHeight="1">
      <x:c r="A22" s="50" t="str">
        <x:v>9. 자동 가격표 35건은 물품표·인력표 오탐 가능성이 있어 최종 A로 승격하지 않았습니다.</x:v>
      </x:c>
      <x:c r="B22" s="50"/>
      <x:c r="C22" s="50"/>
      <x:c r="D22" s="50"/>
      <x:c r="E22" s="50"/>
      <x:c r="F22" s="50"/>
      <x:c r="G22" s="50"/>
      <x:c r="H22" s="50"/>
    </x:row>
    <x:row r="23" ht="31" customHeight="1">
      <x:c r="A23" s="51" t="str">
        <x:v>10. 기존 reviewed_cases A/B/C와 기존 127 프로젝트 C 묶음을 새 등급으로 승계하지 않았습니다.</x:v>
      </x:c>
      <x:c r="B23" s="51"/>
      <x:c r="C23" s="51"/>
      <x:c r="D23" s="51"/>
      <x:c r="E23" s="51"/>
      <x:c r="F23" s="51"/>
      <x:c r="G23" s="51"/>
      <x:c r="H23" s="51"/>
    </x:row>
    <x:row r="26" ht="25" customHeight="1">
      <x:c r="A26" s="57" t="str">
        <x:v>미래사업 산정 사용순서</x:v>
      </x:c>
      <x:c r="B26" s="57"/>
      <x:c r="C26" s="57"/>
      <x:c r="D26" s="57"/>
      <x:c r="E26" s="57"/>
      <x:c r="F26" s="57"/>
      <x:c r="G26" s="57"/>
      <x:c r="H26" s="57"/>
    </x:row>
    <x:row r="27" ht="32" customHeight="1">
      <x:c r="A27" s="49" t="str">
        <x:v>1) 91사업에서 시설·국가·공사범위가 유사한 A/B/C 기준점을 선택합니다.</x:v>
      </x:c>
      <x:c r="B27" s="49"/>
      <x:c r="C27" s="49"/>
      <x:c r="D27" s="49"/>
      <x:c r="E27" s="49"/>
      <x:c r="F27" s="49"/>
      <x:c r="G27" s="49"/>
      <x:c r="H27" s="49"/>
    </x:row>
    <x:row r="28" ht="32" customHeight="1">
      <x:c r="A28" s="50" t="str">
        <x:v>2) 170공고에서 면적·금액 단계·같은 범위·근거파일을 다시 확인합니다.</x:v>
      </x:c>
      <x:c r="B28" s="50"/>
      <x:c r="C28" s="50"/>
      <x:c r="D28" s="50"/>
      <x:c r="E28" s="50"/>
      <x:c r="F28" s="50"/>
      <x:c r="G28" s="50"/>
      <x:c r="H28" s="50"/>
    </x:row>
    <x:row r="29" ht="32" customHeight="1">
      <x:c r="A29" s="50" t="str">
        <x:v>3) B는 BOQ 수량에 현지 재료·노무·장비 단가를 결합하고, C는 초기 상한 스크리닝에만 씁니다.</x:v>
      </x:c>
      <x:c r="B29" s="50"/>
      <x:c r="C29" s="50"/>
      <x:c r="D29" s="50"/>
      <x:c r="E29" s="50"/>
      <x:c r="F29" s="50"/>
      <x:c r="G29" s="50"/>
      <x:c r="H29" s="50"/>
    </x:row>
    <x:row r="30" ht="32" customHeight="1">
      <x:c r="A30" s="50" t="str">
        <x:v>4) 면적·시설·외부공사·세금·예비비·물가·환율을 보정하고 보정 가정을 별도 run으로 저장합니다.</x:v>
      </x:c>
      <x:c r="B30" s="50"/>
      <x:c r="C30" s="50"/>
      <x:c r="D30" s="50"/>
      <x:c r="E30" s="50"/>
      <x:c r="F30" s="50"/>
      <x:c r="G30" s="50"/>
      <x:c r="H30" s="50"/>
    </x:row>
    <x:row r="31" ht="32" customHeight="1">
      <x:c r="A31" s="51" t="str">
        <x:v>5) 계약·준공 실적을 확보하기 전 결과는 예산범위이며 확정 견적이 아닙니다.</x:v>
      </x:c>
      <x:c r="B31" s="51"/>
      <x:c r="C31" s="51"/>
      <x:c r="D31" s="51"/>
      <x:c r="E31" s="51"/>
      <x:c r="F31" s="51"/>
      <x:c r="G31" s="51"/>
      <x:c r="H31" s="51"/>
    </x:row>
  </x:sheetData>
  <x:mergeCells>
    <x:mergeCell ref="A1:H1"/>
    <x:mergeCell ref="A2:H2"/>
    <x:mergeCell ref="A14:H14"/>
    <x:mergeCell ref="A15:H15"/>
    <x:mergeCell ref="A16:H16"/>
    <x:mergeCell ref="A17:H17"/>
    <x:mergeCell ref="A18:H18"/>
    <x:mergeCell ref="A19:H19"/>
    <x:mergeCell ref="A20:H20"/>
    <x:mergeCell ref="A21:H21"/>
    <x:mergeCell ref="A22:H22"/>
    <x:mergeCell ref="A23:H23"/>
    <x:mergeCell ref="A27:H27"/>
    <x:mergeCell ref="A28:H28"/>
    <x:mergeCell ref="A29:H29"/>
    <x:mergeCell ref="A30:H30"/>
    <x:mergeCell ref="A31:H31"/>
  </x:mergeCells>
  <x:conditionalFormatting sqref="A5:A10">
    <x:cfRule type="beginsWith" dxfId="30" priority="1" operator="beginsWith" text="A"/>
    <x:cfRule type="beginsWith" dxfId="31" priority="2" operator="beginsWith" text="B"/>
    <x:cfRule type="beginsWith" dxfId="32" priority="3" operator="beginsWith" text="C"/>
    <x:cfRule type="beginsWith" dxfId="33" priority="4" operator="beginsWith" text="U"/>
    <x:cfRule type="beginsWith" dxfId="34" priority="5" operator="beginsWith" text="X"/>
  </x:conditionalFormatting>
  <x:pageMargins left="0.7" right="0.7" top="0.75" bottom="0.75" header="0.3" footer="0.3"/>
</x:worksheet>
</file>