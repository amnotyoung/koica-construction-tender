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b4bda2d53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a41c074edfd641e6"/>
    <x:sheet xmlns:r="http://schemas.openxmlformats.org/officeDocument/2006/relationships" name="검토사례" sheetId="2" r:id="R4e858807eaa04a6b"/>
    <x:sheet xmlns:r="http://schemas.openxmlformats.org/officeDocument/2006/relationships" name="표본현황" sheetId="3" r:id="R7b7fe770bf7d4910"/>
    <x:sheet xmlns:r="http://schemas.openxmlformats.org/officeDocument/2006/relationships" name="데이터사전" sheetId="4" r:id="R970743d119a9493d"/>
    <x:sheet xmlns:r="http://schemas.openxmlformats.org/officeDocument/2006/relationships" name="SQL 예시" sheetId="5" r:id="R17c58fce45f1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#,##0.0"/>
    <x:numFmt numFmtId="202" formatCode="&quot;$&quot;#,##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3"/>
      <x:color rgb="FF9C0006"/>
      <x:name val="Carlito"/>
    </x:font>
    <x:font>
      <x:b/>
      <x:sz val="11"/>
      <x:color rgb="FFFFFFFF"/>
      <x:name val="Carlito"/>
    </x:font>
    <x:font>
      <x:b/>
      <x:sz val="13"/>
      <x:color rgb="FF17365D"/>
      <x:name val="Carlito"/>
    </x:font>
    <x:font>
      <x:b/>
      <x:sz val="11"/>
      <x:color rgb="FF17365D"/>
      <x:name val="Carlito"/>
    </x:font>
    <x:font>
      <x:b/>
      <x:sz val="15"/>
      <x:color rgb="FFFFFFFF"/>
      <x:name val="Carlito"/>
    </x:font>
    <x:font>
      <x:sz val="9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0F6B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4">
    <x:border/>
    <x:border>
      <x:bottom style="thin">
        <x:color rgb="FFE8EDF3"/>
      </x:bottom>
    </x:border>
    <x:border>
      <x:top style="thin">
        <x:color rgb="FFE8EDF3"/>
      </x:top>
      <x:bottom style="thin">
        <x:color rgb="FFE8EDF3"/>
      </x:bottom>
    </x:border>
    <x:border>
      <x:top style="thin">
        <x:color rgb="FFE8EDF3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1" xfId="0" applyNumberFormat="1" applyFont="1" applyFill="1" applyBorder="1" applyAlignment="1">
      <x:alignment vertical="top"/>
    </x:xf>
    <x:xf numFmtId="0" fontId="7" fillId="0" borderId="2" xfId="0" applyNumberFormat="1" applyFont="1" applyFill="1" applyBorder="1" applyAlignment="1">
      <x:alignment vertical="top"/>
    </x:xf>
    <x:xf numFmtId="0" fontId="7" fillId="0" borderId="3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/>
    </x:xf>
    <x:xf numFmtId="200" fontId="7" fillId="0" borderId="2" xfId="0" applyNumberFormat="1" applyFont="1" applyFill="1" applyBorder="1" applyAlignment="1">
      <x:alignment vertical="top"/>
    </x:xf>
    <x:xf numFmtId="200" fontId="7" fillId="0" borderId="3" xfId="0" applyNumberFormat="1" applyFont="1" applyFill="1" applyBorder="1" applyAlignment="1">
      <x:alignment vertical="top"/>
    </x:xf>
    <x:xf numFmtId="201" fontId="7" fillId="0" borderId="1" xfId="0" applyNumberFormat="1" applyFont="1" applyFill="1" applyBorder="1" applyAlignment="1">
      <x:alignment vertical="top"/>
    </x:xf>
    <x:xf numFmtId="201" fontId="7" fillId="0" borderId="2" xfId="0" applyNumberFormat="1" applyFont="1" applyFill="1" applyBorder="1" applyAlignment="1">
      <x:alignment vertical="top"/>
    </x:xf>
    <x:xf numFmtId="201" fontId="7" fillId="0" borderId="3" xfId="0" applyNumberFormat="1" applyFont="1" applyFill="1" applyBorder="1" applyAlignment="1">
      <x:alignment vertical="top"/>
    </x:xf>
    <x:xf numFmtId="202" fontId="7" fillId="0" borderId="1" xfId="0" applyNumberFormat="1" applyFont="1" applyFill="1" applyBorder="1" applyAlignment="1">
      <x:alignment vertical="top"/>
    </x:xf>
    <x:xf numFmtId="202" fontId="7" fillId="0" borderId="2" xfId="0" applyNumberFormat="1" applyFont="1" applyFill="1" applyBorder="1" applyAlignment="1">
      <x:alignment vertical="top"/>
    </x:xf>
    <x:xf numFmtId="202" fontId="7" fillId="0" borderId="3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a094346ec4fb9" /><Relationship Type="http://schemas.openxmlformats.org/officeDocument/2006/relationships/theme" Target="/xl/theme/theme1.xml" Id="R46806e0184eb4381" /><Relationship Type="http://schemas.openxmlformats.org/officeDocument/2006/relationships/sharedStrings" Target="/xl/sharedStrings.xml" Id="R0161ef2f1aa247bc" /><Relationship Type="http://schemas.openxmlformats.org/officeDocument/2006/relationships/worksheet" Target="/xl/worksheets/sheet1.xml" Id="Ra41c074edfd641e6" /><Relationship Type="http://schemas.openxmlformats.org/officeDocument/2006/relationships/worksheet" Target="/xl/worksheets/sheet2.xml" Id="R4e858807eaa04a6b" /><Relationship Type="http://schemas.openxmlformats.org/officeDocument/2006/relationships/worksheet" Target="/xl/worksheets/sheet3.xml" Id="R7b7fe770bf7d4910" /><Relationship Type="http://schemas.openxmlformats.org/officeDocument/2006/relationships/worksheet" Target="/xl/worksheets/sheet4.xml" Id="R970743d119a9493d" /><Relationship Type="http://schemas.openxmlformats.org/officeDocument/2006/relationships/worksheet" Target="/xl/worksheets/sheet5.xml" Id="R17c58fce45f14a2e" /><Relationship Type="http://schemas.microsoft.com/office/2017/10/relationships/person" Target="/xl/persons/person.xml" Id="R468376796d0c48cf" /></Relationships>
</file>

<file path=xl/persons/person.xml><?xml version="1.0" encoding="utf-8"?>
<xltc:personList xmlns:xltc="http://schemas.microsoft.com/office/spreadsheetml/2018/threadedcomments">
  <xltc:person displayName="User" id="{08B1EED1-66B5-4936-9680-4A547F515FDE}"/>
</xltc:personList>
</file>

<file path=xl/tables/table1.xml><?xml version="1.0" encoding="utf-8"?>
<x:table xmlns:x="http://schemas.openxmlformats.org/spreadsheetml/2006/main" id="1" name="ReviewedCases" displayName="ReviewedCases" ref="A2:W68" headerRowCount="1" totalsRowCount="0" totalsRowShown="0">
  <x:tableColumns count="23">
    <x:tableColumn id="1" name="공고번호"/>
    <x:tableColumn id="2" name="사업번호"/>
    <x:tableColumn id="3" name="공고일"/>
    <x:tableColumn id="4" name="연속연도"/>
    <x:tableColumn id="5" name="국가"/>
    <x:tableColumn id="6" name="지역"/>
    <x:tableColumn id="7" name="시설유형"/>
    <x:tableColumn id="8" name="사업유형"/>
    <x:tableColumn id="9" name="연면적(㎡)"/>
    <x:tableColumn id="10" name="명목 공사비(USD)"/>
    <x:tableColumn id="11" name="명목 USD/㎡"/>
    <x:tableColumn id="12" name="근거등급"/>
    <x:tableColumn id="13" name="면적기준"/>
    <x:tableColumn id="14" name="비용단계"/>
    <x:tableColumn id="15" name="범위·주의"/>
    <x:tableColumn id="16" name="가격보정"/>
    <x:tableColumn id="17" name="권고단가"/>
    <x:tableColumn id="18" name="허용용도"/>
    <x:tableColumn id="19" name="수집구간"/>
    <x:tableColumn id="20" name="근거파일"/>
    <x:tableColumn id="21" name="근거위치"/>
    <x:tableColumn id="22" name="상세URL"/>
    <x:tableColumn id="23" name="근거요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Coverage" displayName="SampleCoverage" ref="A2:K66" headerRowCount="1" totalsRowCount="0" totalsRowShown="0">
  <x:tableColumns count="11">
    <x:tableColumn id="1" name="국가"/>
    <x:tableColumn id="2" name="시설유형"/>
    <x:tableColumn id="3" name="사업유형"/>
    <x:tableColumn id="4" name="사례수"/>
    <x:tableColumn id="5" name="A등급수"/>
    <x:tableColumn id="6" name="최초일"/>
    <x:tableColumn id="7" name="최종일"/>
    <x:tableColumn id="8" name="명목최소"/>
    <x:tableColumn id="9" name="명목최대"/>
    <x:tableColumn id="10" name="해석"/>
    <x:tableColumn id="11" name="주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" displayName="DataDictionary" ref="A2:C14" headerRowCount="1" totalsRowCount="0" totalsRowShown="0">
  <x:tableColumns count="3">
    <x:tableColumn id="1" name="테이블·뷰"/>
    <x:tableColumn id="2" name="내용"/>
    <x:tableColumn id="3" name="주요 키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qlExamples" displayName="SqlExamples" ref="A2:B7" headerRowCount="1" totalsRowCount="0" totalsRowShown="0">
  <x:tableColumns count="2">
    <x:tableColumn id="1" name="목적"/>
    <x:tableColumn id="2" name="SQ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382889834f44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cc8fbfa2fb48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879c92fe5040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2d7198260c4f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3" t="str">
        <x:v>KOICA 건축사업 사례 라이브러리 — 배포용 스냅샷</x:v>
      </x:c>
    </x:row>
    <x:row r="4">
      <x:c r="A4" s="7" t="str">
        <x:v>이 파일은 사례 열람용입니다. 원본 데이터는 SQLite이며, 여기에 미래 사업 권고단가는 없습니다.</x:v>
      </x:c>
    </x:row>
    <x:row r="7">
      <x:c r="A7" s="9" t="str">
        <x:v>수동 검토 사례</x:v>
      </x:c>
      <x:c r="B7" s="11" t="n">
        <x:v>66</x:v>
      </x:c>
      <x:c r="D7" s="13" t="str">
        <x:v>허용되는 활용</x:v>
      </x:c>
    </x:row>
    <x:row r="8">
      <x:c r="A8" s="9" t="str">
        <x:v>권고단가</x:v>
      </x:c>
      <x:c r="B8" s="11" t="n">
        <x:v>0</x:v>
      </x:c>
      <x:c r="D8" s="16" t="str">
        <x:v>• 유사사업 검색과 원문 근거 추적
• 현지 QS·시공사 견적의 상하한 교차검증
• 조사 질문과 비용범위 체크리스트 작성
• 보고서의 과거 KOICA 사례 제시</x:v>
      </x:c>
    </x:row>
    <x:row r="9">
      <x:c r="A9" s="9" t="str">
        <x:v>가격 정규화 완료</x:v>
      </x:c>
      <x:c r="B9" s="11" t="n">
        <x:v>0</x:v>
      </x:c>
    </x:row>
    <x:row r="10">
      <x:c r="A10" s="9" t="str">
        <x:v>최초 공고일</x:v>
      </x:c>
      <x:c r="B10" s="11" t="str">
        <x:v>2017-01-23</x:v>
      </x:c>
    </x:row>
    <x:row r="11">
      <x:c r="A11" s="9" t="str">
        <x:v>최종 공고일</x:v>
      </x:c>
      <x:c r="B11" s="11" t="str">
        <x:v>2025-11-13</x:v>
      </x:c>
    </x:row>
    <x:row r="14">
      <x:c r="A14" s="18" t="str">
        <x:v>금지되는 활용</x:v>
      </x:c>
    </x:row>
    <x:row r="15" ht="72" customHeight="1">
      <x:c r="A15" s="20" t="str">
        <x:v>• 국가별 사례 평균을 미래 사업 권고단가로 사용
• 2016년과 2025년 명목 USD/㎡를 보정 없이 평균
• 집행한도를 계약·준공 실적으로 표현
• 신축·개보수·외부토목·장비 포함범위를 구분하지 않고 비교</x:v>
      </x:c>
    </x:row>
    <x:row r="21">
      <x:c r="A21" s="13" t="str">
        <x:v>미래 사업 조사 절차</x:v>
      </x:c>
    </x:row>
    <x:row r="22" ht="66" customHeight="1">
      <x:c r="A22" s="23" t="str">
        <x:v>1) SQLite에서 국가·시설·사업유형이 유사한 사례 검색 → 2) A/B등급 원문 확인 → 3) 현지 QS 개략견적·BOQ 및 시공사 견적 2~3개 확보 → 4) 공고일 기준 물가·환율·세금·범위 보정 → 5) 보정 근거와 불확실성을 보고서에 기록</x:v>
      </x:c>
    </x:row>
  </x:sheetData>
  <x:mergeCells>
    <x:mergeCell ref="A1:H2"/>
    <x:mergeCell ref="A4:H5"/>
    <x:mergeCell ref="D7:H7"/>
    <x:mergeCell ref="D8:H11"/>
    <x:mergeCell ref="A14:H14"/>
    <x:mergeCell ref="A15:H18"/>
    <x:mergeCell ref="A21:H21"/>
    <x:mergeCell ref="A22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2" hidden="0" customWidth="1"/>
    <x:col min="4" max="4" width="11" hidden="0" customWidth="1"/>
    <x:col min="5" max="5" width="16" hidden="0" customWidth="1"/>
    <x:col min="6" max="6" width="16" hidden="0" customWidth="1"/>
    <x:col min="7" max="7" width="27" hidden="0" customWidth="1"/>
    <x:col min="8" max="8" width="17" hidden="0" customWidth="1"/>
    <x:col min="9" max="9" width="14" hidden="0" customWidth="1"/>
    <x:col min="10" max="10" width="18" hidden="0" customWidth="1"/>
    <x:col min="11" max="11" width="16" hidden="0" customWidth="1"/>
    <x:col min="12" max="12" width="10" hidden="0" customWidth="1"/>
    <x:col min="13" max="13" width="24" hidden="0" customWidth="1"/>
    <x:col min="14" max="14" width="22" hidden="0" customWidth="1"/>
    <x:col min="15" max="15" width="34" hidden="0" customWidth="1"/>
    <x:col min="16" max="16" width="12" hidden="0" customWidth="1"/>
    <x:col min="17" max="17" width="12" hidden="0" customWidth="1"/>
    <x:col min="18" max="18" width="28" hidden="0" customWidth="1"/>
    <x:col min="19" max="19" width="17" hidden="0" customWidth="1"/>
    <x:col min="20" max="20" width="52" hidden="0" customWidth="1"/>
    <x:col min="21" max="21" width="14" hidden="0" customWidth="1"/>
    <x:col min="22" max="22" width="46" hidden="0" customWidth="1"/>
    <x:col min="23" max="23" width="48" hidden="0" customWidth="1"/>
  </x:cols>
  <x:sheetData>
    <x:row r="1" ht="30" customHeight="1">
      <x:c r="A1" s="25" t="str">
        <x:v>2016–2025 수동 검토 건축 사례 — 명목단가, 권고단가 아님</x:v>
      </x:c>
    </x:row>
    <x:row r="2" ht="34" customHeight="1">
      <x:c r="A2" s="27" t="str">
        <x:v>공고번호</x:v>
      </x:c>
      <x:c r="B2" s="27" t="str">
        <x:v>사업번호</x:v>
      </x:c>
      <x:c r="C2" s="27" t="str">
        <x:v>공고일</x:v>
      </x:c>
      <x:c r="D2" s="27" t="str">
        <x:v>연속연도</x:v>
      </x:c>
      <x:c r="E2" s="27" t="str">
        <x:v>국가</x:v>
      </x:c>
      <x:c r="F2" s="27" t="str">
        <x:v>지역</x:v>
      </x:c>
      <x:c r="G2" s="27" t="str">
        <x:v>시설유형</x:v>
      </x:c>
      <x:c r="H2" s="27" t="str">
        <x:v>사업유형</x:v>
      </x:c>
      <x:c r="I2" s="27" t="str">
        <x:v>연면적(㎡)</x:v>
      </x:c>
      <x:c r="J2" s="27" t="str">
        <x:v>명목 공사비(USD)</x:v>
      </x:c>
      <x:c r="K2" s="27" t="str">
        <x:v>명목 USD/㎡</x:v>
      </x:c>
      <x:c r="L2" s="27" t="str">
        <x:v>근거등급</x:v>
      </x:c>
      <x:c r="M2" s="27" t="str">
        <x:v>면적기준</x:v>
      </x:c>
      <x:c r="N2" s="27" t="str">
        <x:v>비용단계</x:v>
      </x:c>
      <x:c r="O2" s="27" t="str">
        <x:v>범위·주의</x:v>
      </x:c>
      <x:c r="P2" s="27" t="str">
        <x:v>가격보정</x:v>
      </x:c>
      <x:c r="Q2" s="27" t="str">
        <x:v>권고단가</x:v>
      </x:c>
      <x:c r="R2" s="27" t="str">
        <x:v>허용용도</x:v>
      </x:c>
      <x:c r="S2" s="27" t="str">
        <x:v>수집구간</x:v>
      </x:c>
      <x:c r="T2" s="27" t="str">
        <x:v>근거파일</x:v>
      </x:c>
      <x:c r="U2" s="27" t="str">
        <x:v>근거위치</x:v>
      </x:c>
      <x:c r="V2" s="27" t="str">
        <x:v>상세URL</x:v>
      </x:c>
      <x:c r="W2" s="27" t="str">
        <x:v>근거요약</x:v>
      </x:c>
    </x:row>
    <x:row r="3">
      <x:c r="A3" s="32" t="str">
        <x:v>L2025-00099-1</x:v>
      </x:c>
      <x:c r="B3" s="32" t="str">
        <x:v>2019-03655</x:v>
      </x:c>
      <x:c r="C3" s="32" t="str">
        <x:v>2025-11-13</x:v>
      </x:c>
      <x:c r="D3" s="38" t="n">
        <x:v>2025.8657534246574</x:v>
      </x:c>
      <x:c r="E3" s="32" t="str">
        <x:v>Kyrgyzstan</x:v>
      </x:c>
      <x:c r="F3" s="32" t="str">
        <x:v>Chuy</x:v>
      </x:c>
      <x:c r="G3" s="35" t="str">
        <x:v>학교 위생시설</x:v>
      </x:c>
      <x:c r="H3" s="35" t="str">
        <x:v>리모델링·개보수</x:v>
      </x:c>
      <x:c r="I3" s="41" t="n">
        <x:v>255.52</x:v>
      </x:c>
      <x:c r="J3" s="44" t="n">
        <x:v>200000</x:v>
      </x:c>
      <x:c r="K3" s="44" t="n">
        <x:v>782.7175954915466</x:v>
      </x:c>
      <x:c r="L3" s="32" t="str">
        <x:v>B</x:v>
      </x:c>
      <x:c r="M3" s="35" t="str">
        <x:v>대상 시설 합계</x:v>
      </x:c>
      <x:c r="N3" s="35" t="str">
        <x:v>공사 입찰 집행한도</x:v>
      </x:c>
      <x:c r="O3" s="35" t="str">
        <x:v>소규모 실내 개보수</x:v>
      </x:c>
      <x:c r="P3" s="32" t="str">
        <x:v>미보정</x:v>
      </x:c>
      <x:c r="Q3" s="32" t="str">
        <x:v>아니오</x:v>
      </x:c>
      <x:c r="R3" s="35" t="str">
        <x:v>유사사례·현지견적 교차검증</x:v>
      </x:c>
      <x:c r="S3" s="32" t="str">
        <x:v>2021-2025 수집분</x:v>
      </x:c>
      <x:c r="T3" s="35" t="str">
        <x:v>L2025-00099-1/KG-2025-11/KG-2025-11/Section 2 - Bid Data Sheet (영문)_WaSH.docx</x:v>
      </x:c>
      <x:c r="U3" s="32" t="str">
        <x:v>표 4 행 8</x:v>
      </x:c>
      <x:c r="V3" s="35" t="str">
        <x:v>https://nebid.koica.go.kr/oep/lobi/localBidManageDetail.do?P_LOAZ_BID_PBLANC_NO=L2025-00099&amp;P_PBLANC_ODR=1</x:v>
      </x:c>
      <x:c r="W3" s="35" t="str">
        <x:v>대상 시설 합계 255.52㎡; 상세페이지 집행한도 USD 200,000; 산출단가 USD 783/㎡.</x:v>
      </x:c>
    </x:row>
    <x:row r="4">
      <x:c r="A4" s="33" t="str">
        <x:v>L2025-00097-1</x:v>
      </x:c>
      <x:c r="B4" s="33" t="str">
        <x:v>2024-00105</x:v>
      </x:c>
      <x:c r="C4" s="33" t="str">
        <x:v>2025-10-29</x:v>
      </x:c>
      <x:c r="D4" s="39" t="n">
        <x:v>2025.8246575342466</x:v>
      </x:c>
      <x:c r="E4" s="33" t="str">
        <x:v>Kyrgyzstan</x:v>
      </x:c>
      <x:c r="F4" s="33" t="str">
        <x:v>Bishkek</x:v>
      </x:c>
      <x:c r="G4" s="36" t="str">
        <x:v>ICT 교육센터</x:v>
      </x:c>
      <x:c r="H4" s="36" t="str">
        <x:v>신축</x:v>
      </x:c>
      <x:c r="I4" s="42" t="n">
        <x:v>1179</x:v>
      </x:c>
      <x:c r="J4" s="45" t="n">
        <x:v>1704050</x:v>
      </x:c>
      <x:c r="K4" s="45" t="n">
        <x:v>1445.3350296861747</x:v>
      </x:c>
      <x:c r="L4" s="33" t="str">
        <x:v>A</x:v>
      </x:c>
      <x:c r="M4" s="36" t="str">
        <x:v>문서 명시 연면적</x:v>
      </x:c>
      <x:c r="N4" s="36" t="str">
        <x:v>설계 ToR 공사예산 한도</x:v>
      </x:c>
      <x:c r="O4" s="36" t="str"/>
      <x:c r="P4" s="33" t="str">
        <x:v>미보정</x:v>
      </x:c>
      <x:c r="Q4" s="33" t="str">
        <x:v>아니오</x:v>
      </x:c>
      <x:c r="R4" s="36" t="str">
        <x:v>유사사례·현지견적 교차검증</x:v>
      </x:c>
      <x:c r="S4" s="33" t="str">
        <x:v>2021-2025 수집분</x:v>
      </x:c>
      <x:c r="T4" s="36" t="str">
        <x:v>L2025-00097-1/붙임1. 공고내역 (KG-2025-10)/ENG - final/Section 2 - Bid Data Sheet (BDS).docx</x:v>
      </x:c>
      <x:c r="U4" s="33" t="str">
        <x:v>표 5 행 3</x:v>
      </x:c>
      <x:c r="V4" s="36" t="str">
        <x:v>https://nebid.koica.go.kr/oep/lobi/localBidManageDetail.do?P_LOAZ_BID_PBLANC_NO=L2025-00097&amp;P_PBLANC_ODR=1</x:v>
      </x:c>
      <x:c r="W4" s="36" t="str">
        <x:v>2층 GFA 1,179㎡, 공사예산 한도 USD 1,704,050(비상발전기 포함).</x:v>
      </x:c>
    </x:row>
    <x:row r="5">
      <x:c r="A5" s="33" t="str">
        <x:v>L2025-00084-1</x:v>
      </x:c>
      <x:c r="B5" s="33" t="str">
        <x:v>2022-00064</x:v>
      </x:c>
      <x:c r="C5" s="33" t="str">
        <x:v>2025-09-29</x:v>
      </x:c>
      <x:c r="D5" s="39" t="n">
        <x:v>2025.7424657534248</x:v>
      </x:c>
      <x:c r="E5" s="33" t="str">
        <x:v>Uganda</x:v>
      </x:c>
      <x:c r="F5" s="33" t="str">
        <x:v>Kampala</x:v>
      </x:c>
      <x:c r="G5" s="36" t="str">
        <x:v>Makerere대 원격교육센터</x:v>
      </x:c>
      <x:c r="H5" s="36" t="str">
        <x:v>신축</x:v>
      </x:c>
      <x:c r="I5" s="42" t="n">
        <x:v>4040</x:v>
      </x:c>
      <x:c r="J5" s="45" t="n">
        <x:v>4383000</x:v>
      </x:c>
      <x:c r="K5" s="45" t="n">
        <x:v>1084.90099009901</x:v>
      </x:c>
      <x:c r="L5" s="33" t="str">
        <x:v>A</x:v>
      </x:c>
      <x:c r="M5" s="36" t="str">
        <x:v>총연면적</x:v>
      </x:c>
      <x:c r="N5" s="36" t="str">
        <x:v>공사 입찰 집행한도</x:v>
      </x:c>
      <x:c r="O5" s="36" t="str"/>
      <x:c r="P5" s="33" t="str">
        <x:v>미보정</x:v>
      </x:c>
      <x:c r="Q5" s="33" t="str">
        <x:v>아니오</x:v>
      </x:c>
      <x:c r="R5" s="36" t="str">
        <x:v>유사사례·현지견적 교차검증</x:v>
      </x:c>
      <x:c r="S5" s="33" t="str">
        <x:v>2021-2025 수집분</x:v>
      </x:c>
      <x:c r="T5" s="36" t="str">
        <x:v>L2025-00084-1/Section 2 - Bid Data Sheet (EN)_vr8.docx</x:v>
      </x:c>
      <x:c r="U5" s="33" t="str">
        <x:v>표 4 행 9</x:v>
      </x:c>
      <x:c r="V5" s="36" t="str">
        <x:v>https://nebid.koica.go.kr/oep/lobi/localBidManageDetail.do?P_LOAZ_BID_PBLANC_NO=L2025-00084&amp;P_PBLANC_ODR=1</x:v>
      </x:c>
      <x:c r="W5" s="36" t="str">
        <x:v>총연면적 4,040.00㎡; 상세페이지 집행한도 USD 4,383,000; 산출단가 USD 1,085/㎡.</x:v>
      </x:c>
    </x:row>
    <x:row r="6">
      <x:c r="A6" s="33" t="str">
        <x:v>L2025-00078-1</x:v>
      </x:c>
      <x:c r="B6" s="33" t="str">
        <x:v>2023-00004</x:v>
      </x:c>
      <x:c r="C6" s="33" t="str">
        <x:v>2025-09-26</x:v>
      </x:c>
      <x:c r="D6" s="39" t="n">
        <x:v>2025.7342465753425</x:v>
      </x:c>
      <x:c r="E6" s="33" t="str">
        <x:v>Bolivia</x:v>
      </x:c>
      <x:c r="F6" s="33" t="str">
        <x:v>El Alto</x:v>
      </x:c>
      <x:c r="G6" s="36" t="str">
        <x:v>모성보건시설 2개소</x:v>
      </x:c>
      <x:c r="H6" s="36" t="str">
        <x:v>신축</x:v>
      </x:c>
      <x:c r="I6" s="42" t="n">
        <x:v>1600</x:v>
      </x:c>
      <x:c r="J6" s="45" t="n">
        <x:v>3226604</x:v>
      </x:c>
      <x:c r="K6" s="45" t="n">
        <x:v>2016.6275</x:v>
      </x:c>
      <x:c r="L6" s="33" t="str">
        <x:v>B</x:v>
      </x:c>
      <x:c r="M6" s="36" t="str">
        <x:v>문서 명시 연면적</x:v>
      </x:c>
      <x:c r="N6" s="36" t="str">
        <x:v>예비조사 추정 건축공사비</x:v>
      </x:c>
      <x:c r="O6" s="36" t="str">
        <x:v>공사비가 두 시설 합계라는 해석에 기반하므로 원문 재확인 필요.</x:v>
      </x:c>
      <x:c r="P6" s="33" t="str">
        <x:v>미보정</x:v>
      </x:c>
      <x:c r="Q6" s="33" t="str">
        <x:v>아니오</x:v>
      </x:c>
      <x:c r="R6" s="36" t="str">
        <x:v>유사사례·현지견적 교차검증</x:v>
      </x:c>
      <x:c r="S6" s="33" t="str">
        <x:v>2021-2025 수집분</x:v>
      </x:c>
      <x:c r="T6" s="36" t="str">
        <x:v>L2025-00078-1/1. 국문 입찰계획서.hwp</x:v>
      </x:c>
      <x:c r="U6" s="33" t="str">
        <x:v>문단 14·16·80</x:v>
      </x:c>
      <x:c r="V6" s="36" t="str">
        <x:v>https://nebid.koica.go.kr/oep/lobi/localBidManageDetail.do?P_LOAZ_BID_PBLANC_NO=L2025-00078&amp;P_PBLANC_ODR=1</x:v>
      </x:c>
      <x:c r="W6" s="36" t="str">
        <x:v>두 시설 연면적 1,080㎡와 520㎡, 추정 건축공사비 USD 3,226,604.</x:v>
      </x:c>
    </x:row>
    <x:row r="7">
      <x:c r="A7" s="33" t="str">
        <x:v>L2025-00051-2</x:v>
      </x:c>
      <x:c r="B7" s="33" t="str">
        <x:v>2022-00076</x:v>
      </x:c>
      <x:c r="C7" s="33" t="str">
        <x:v>2025-09-12</x:v>
      </x:c>
      <x:c r="D7" s="39" t="n">
        <x:v>2025.695890410959</x:v>
      </x:c>
      <x:c r="E7" s="33" t="str">
        <x:v>Fiji</x:v>
      </x:c>
      <x:c r="F7" s="33" t="str">
        <x:v>Tamavua·Suva</x:v>
      </x:c>
      <x:c r="G7" s="36" t="str">
        <x:v>국립재활센터</x:v>
      </x:c>
      <x:c r="H7" s="36" t="str">
        <x:v>신축</x:v>
      </x:c>
      <x:c r="I7" s="42" t="n">
        <x:v>2686.4</x:v>
      </x:c>
      <x:c r="J7" s="45" t="n">
        <x:v>6767312</x:v>
      </x:c>
      <x:c r="K7" s="45" t="n">
        <x:v>2519.1006551518763</x:v>
      </x:c>
      <x:c r="L7" s="33" t="str">
        <x:v>A</x:v>
      </x:c>
      <x:c r="M7" s="36" t="str">
        <x:v>상세 공간계획 합계</x:v>
      </x:c>
      <x:c r="N7" s="36" t="str">
        <x:v>공사 입찰 집행한도</x:v>
      </x:c>
      <x:c r="O7" s="36" t="str">
        <x:v>동일 사업 설계단계 사례와 중복</x:v>
      </x:c>
      <x:c r="P7" s="33" t="str">
        <x:v>미보정</x:v>
      </x:c>
      <x:c r="Q7" s="33" t="str">
        <x:v>아니오</x:v>
      </x:c>
      <x:c r="R7" s="36" t="str">
        <x:v>유사사례·현지견적 교차검증</x:v>
      </x:c>
      <x:c r="S7" s="33" t="str">
        <x:v>2021-2025 수집분</x:v>
      </x:c>
      <x:c r="T7" s="36" t="str">
        <x:v>L2023-00038-1/2. 현지입찰 첨부문서 묶음/Addendum_No.1_Scope_of_the_services.docx</x:v>
      </x:c>
      <x:c r="U7" s="33" t="str">
        <x:v>표 1 행 3</x:v>
      </x:c>
      <x:c r="V7" s="36" t="str">
        <x:v>https://nebid.koica.go.kr/oep/lobi/localBidManageDetail.do?P_LOAZ_BID_PBLANC_NO=L2025-00051&amp;P_PBLANC_ODR=2</x:v>
      </x:c>
      <x:c r="W7" s="36" t="str">
        <x:v>상세 공간계획 합계 2,686.40㎡; 상세페이지 집행한도 USD 6,767,312; 산출단가 USD 2,519/㎡.</x:v>
      </x:c>
    </x:row>
    <x:row r="8">
      <x:c r="A8" s="33" t="str">
        <x:v>L2025-00073-1</x:v>
      </x:c>
      <x:c r="B8" s="33" t="str">
        <x:v>2022-00027</x:v>
      </x:c>
      <x:c r="C8" s="33" t="str">
        <x:v>2025-09-08</x:v>
      </x:c>
      <x:c r="D8" s="39" t="n">
        <x:v>2025.6849315068494</x:v>
      </x:c>
      <x:c r="E8" s="33" t="str">
        <x:v>Cambodia</x:v>
      </x:c>
      <x:c r="F8" s="33" t="str">
        <x:v>Phnom Penh</x:v>
      </x:c>
      <x:c r="G8" s="36" t="str">
        <x:v>국립소아병원</x:v>
      </x:c>
      <x:c r="H8" s="36" t="str">
        <x:v>신축</x:v>
      </x:c>
      <x:c r="I8" s="42" t="n">
        <x:v>9053</x:v>
      </x:c>
      <x:c r="J8" s="45" t="n">
        <x:v>11277000</x:v>
      </x:c>
      <x:c r="K8" s="45" t="n">
        <x:v>1245.664420634044</x:v>
      </x:c>
      <x:c r="L8" s="33" t="str">
        <x:v>A</x:v>
      </x:c>
      <x:c r="M8" s="36" t="str">
        <x:v>총연면적</x:v>
      </x:c>
      <x:c r="N8" s="36" t="str">
        <x:v>공사 입찰 집행한도</x:v>
      </x:c>
      <x:c r="O8" s="36" t="str"/>
      <x:c r="P8" s="33" t="str">
        <x:v>미보정</x:v>
      </x:c>
      <x:c r="Q8" s="33" t="str">
        <x:v>아니오</x:v>
      </x:c>
      <x:c r="R8" s="36" t="str">
        <x:v>유사사례·현지견적 교차검증</x:v>
      </x:c>
      <x:c r="S8" s="33" t="str">
        <x:v>2021-2025 수집분</x:v>
      </x:c>
      <x:c r="T8" s="36" t="str">
        <x:v>L2025-00073-1/(붙임1) 입찰공고문(국문).pdf</x:v>
      </x:c>
      <x:c r="U8" s="33" t="str">
        <x:v>페이지 5</x:v>
      </x:c>
      <x:c r="V8" s="36" t="str">
        <x:v>https://nebid.koica.go.kr/oep/lobi/localBidManageDetail.do?P_LOAZ_BID_PBLANC_NO=L2025-00073&amp;P_PBLANC_ODR=1</x:v>
      </x:c>
      <x:c r="W8" s="36" t="str">
        <x:v>총연면적 9,053.00㎡; 상세페이지 집행한도 USD 11,277,000; 산출단가 USD 1,246/㎡.</x:v>
      </x:c>
    </x:row>
    <x:row r="9">
      <x:c r="A9" s="33" t="str">
        <x:v>L2025-00071-1</x:v>
      </x:c>
      <x:c r="B9" s="33" t="str">
        <x:v>2020-00119</x:v>
      </x:c>
      <x:c r="C9" s="33" t="str">
        <x:v>2025-09-08</x:v>
      </x:c>
      <x:c r="D9" s="39" t="n">
        <x:v>2025.6849315068494</x:v>
      </x:c>
      <x:c r="E9" s="33" t="str">
        <x:v>Iraq</x:v>
      </x:c>
      <x:c r="F9" s="33" t="str">
        <x:v>Baghdad</x:v>
      </x:c>
      <x:c r="G9" s="36" t="str">
        <x:v>어린이 심장병원</x:v>
      </x:c>
      <x:c r="H9" s="36" t="str">
        <x:v>신축</x:v>
      </x:c>
      <x:c r="I9" s="42" t="n">
        <x:v>5486</x:v>
      </x:c>
      <x:c r="J9" s="45" t="n">
        <x:v>13292831</x:v>
      </x:c>
      <x:c r="K9" s="45" t="n">
        <x:v>2423.0461173897193</x:v>
      </x:c>
      <x:c r="L9" s="33" t="str">
        <x:v>A</x:v>
      </x:c>
      <x:c r="M9" s="36" t="str">
        <x:v>총연면적</x:v>
      </x:c>
      <x:c r="N9" s="36" t="str">
        <x:v>공사 입찰 집행한도</x:v>
      </x:c>
      <x:c r="O9" s="36" t="str"/>
      <x:c r="P9" s="33" t="str">
        <x:v>미보정</x:v>
      </x:c>
      <x:c r="Q9" s="33" t="str">
        <x:v>아니오</x:v>
      </x:c>
      <x:c r="R9" s="36" t="str">
        <x:v>유사사례·현지견적 교차검증</x:v>
      </x:c>
      <x:c r="S9" s="33" t="str">
        <x:v>2021-2025 수집분</x:v>
      </x:c>
      <x:c r="T9" s="36" t="str">
        <x:v>L2025-00071-1/붙임2. 현지입찰(재공고입찰) 서류 및 계약서류(안)/IKHCC Section 2 - Bid Data Sheet (ITB) (English)  250903_final.docx</x:v>
      </x:c>
      <x:c r="U9" s="33" t="str">
        <x:v>표 2 행 7</x:v>
      </x:c>
      <x:c r="V9" s="36" t="str">
        <x:v>https://nebid.koica.go.kr/oep/lobi/localBidManageDetail.do?P_LOAZ_BID_PBLANC_NO=L2025-00071&amp;P_PBLANC_ODR=1</x:v>
      </x:c>
      <x:c r="W9" s="36" t="str">
        <x:v>총연면적 5,486.00㎡; 상세페이지 집행한도 USD 13,292,831; 산출단가 USD 2,423/㎡.</x:v>
      </x:c>
    </x:row>
    <x:row r="10">
      <x:c r="A10" s="33" t="str">
        <x:v>L2025-00062-1</x:v>
      </x:c>
      <x:c r="B10" s="33" t="str">
        <x:v>2021-00042</x:v>
      </x:c>
      <x:c r="C10" s="33" t="str">
        <x:v>2025-08-06</x:v>
      </x:c>
      <x:c r="D10" s="39" t="n">
        <x:v>2025.5945205479452</x:v>
      </x:c>
      <x:c r="E10" s="33" t="str">
        <x:v>Uganda</x:v>
      </x:c>
      <x:c r="F10" s="33" t="str">
        <x:v>미상</x:v>
      </x:c>
      <x:c r="G10" s="36" t="str">
        <x:v>농업 시범농장 시설</x:v>
      </x:c>
      <x:c r="H10" s="36" t="str">
        <x:v>신축·토목</x:v>
      </x:c>
      <x:c r="I10" s="42" t="n">
        <x:v>2378.8</x:v>
      </x:c>
      <x:c r="J10" s="45" t="n">
        <x:v>1123590</x:v>
      </x:c>
      <x:c r="K10" s="45" t="n">
        <x:v>472.33479065074823</x:v>
      </x:c>
      <x:c r="L10" s="33" t="str">
        <x:v>C</x:v>
      </x:c>
      <x:c r="M10" s="36" t="str">
        <x:v>동별 면적 합계</x:v>
      </x:c>
      <x:c r="N10" s="36" t="str">
        <x:v>공사 입찰 집행한도</x:v>
      </x:c>
      <x:c r="O10" s="36" t="str">
        <x:v>관개·외부공사 포함 패키지</x:v>
      </x:c>
      <x:c r="P10" s="33" t="str">
        <x:v>미보정</x:v>
      </x:c>
      <x:c r="Q10" s="33" t="str">
        <x:v>아니오</x:v>
      </x:c>
      <x:c r="R10" s="36" t="str">
        <x:v>유사사례·현지견적 교차검증</x:v>
      </x:c>
      <x:c r="S10" s="33" t="str">
        <x:v>2021-2025 수집분</x:v>
      </x:c>
      <x:c r="T10" s="36" t="str">
        <x:v>L2025-00062-1/1-2. 입찰공고문(영문)_시범농장 신축.docx</x:v>
      </x:c>
      <x:c r="U10" s="33" t="str">
        <x:v>표 4 행 8</x:v>
      </x:c>
      <x:c r="V10" s="36" t="str">
        <x:v>https://nebid.koica.go.kr/oep/lobi/localBidManageDetail.do?P_LOAZ_BID_PBLANC_NO=L2025-00062&amp;P_PBLANC_ODR=1</x:v>
      </x:c>
      <x:c r="W10" s="36" t="str">
        <x:v>동별 면적 합계 2,378.80㎡; 상세페이지 집행한도 USD 1,123,590; 산출단가 USD 472/㎡.</x:v>
      </x:c>
    </x:row>
    <x:row r="11">
      <x:c r="A11" s="33" t="str">
        <x:v>L2025-00052-1</x:v>
      </x:c>
      <x:c r="B11" s="33" t="str">
        <x:v>2023-00067</x:v>
      </x:c>
      <x:c r="C11" s="33" t="str">
        <x:v>2025-07-04</x:v>
      </x:c>
      <x:c r="D11" s="39" t="n">
        <x:v>2025.504109589041</x:v>
      </x:c>
      <x:c r="E11" s="33" t="str">
        <x:v>Côte d’Ivoire</x:v>
      </x:c>
      <x:c r="F11" s="33" t="str">
        <x:v>미상</x:v>
      </x:c>
      <x:c r="G11" s="36" t="str">
        <x:v>PETROCI 교육시설</x:v>
      </x:c>
      <x:c r="H11" s="36" t="str">
        <x:v>리모델링·개보수</x:v>
      </x:c>
      <x:c r="I11" s="42" t="n">
        <x:v>1500</x:v>
      </x:c>
      <x:c r="J11" s="45" t="n">
        <x:v>1963286</x:v>
      </x:c>
      <x:c r="K11" s="45" t="n">
        <x:v>1308.8573333333334</x:v>
      </x:c>
      <x:c r="L11" s="33" t="str">
        <x:v>B</x:v>
      </x:c>
      <x:c r="M11" s="36" t="str">
        <x:v>동일 사업 선행공고 연면적</x:v>
      </x:c>
      <x:c r="N11" s="36" t="str">
        <x:v>공사 입찰 집행한도</x:v>
      </x:c>
      <x:c r="O11" s="36" t="str">
        <x:v>다른 단계 공고 간 연결</x:v>
      </x:c>
      <x:c r="P11" s="33" t="str">
        <x:v>미보정</x:v>
      </x:c>
      <x:c r="Q11" s="33" t="str">
        <x:v>아니오</x:v>
      </x:c>
      <x:c r="R11" s="36" t="str">
        <x:v>유사사례·현지견적 교차검증</x:v>
      </x:c>
      <x:c r="S11" s="33" t="str">
        <x:v>2021-2025 수집분</x:v>
      </x:c>
      <x:c r="T11" s="36" t="str">
        <x:v>L2024-00056-2/Section 4 - Request for Proposal_코트디_ver.1.2_수정.docx</x:v>
      </x:c>
      <x:c r="U11" s="33" t="str">
        <x:v>표 1 행 4</x:v>
      </x:c>
      <x:c r="V11" s="36" t="str">
        <x:v>https://nebid.koica.go.kr/oep/lobi/localBidManageDetail.do?P_LOAZ_BID_PBLANC_NO=L2025-00052&amp;P_PBLANC_ODR=1</x:v>
      </x:c>
      <x:c r="W11" s="36" t="str">
        <x:v>동일 사업 선행공고 연면적 1,500.00㎡; 상세페이지 집행한도 USD 1,963,286; 산출단가 USD 1,309/㎡.</x:v>
      </x:c>
    </x:row>
    <x:row r="12">
      <x:c r="A12" s="33" t="str">
        <x:v>L2025-00047-1</x:v>
      </x:c>
      <x:c r="B12" s="33" t="str">
        <x:v>2022-00598</x:v>
      </x:c>
      <x:c r="C12" s="33" t="str">
        <x:v>2025-06-21</x:v>
      </x:c>
      <x:c r="D12" s="39" t="n">
        <x:v>2025.468493150685</x:v>
      </x:c>
      <x:c r="E12" s="33" t="str">
        <x:v>Pakistan</x:v>
      </x:c>
      <x:c r="F12" s="33" t="str">
        <x:v>미상</x:v>
      </x:c>
      <x:c r="G12" s="36" t="str">
        <x:v>섬유산업 교육센터</x:v>
      </x:c>
      <x:c r="H12" s="36" t="str">
        <x:v>신축</x:v>
      </x:c>
      <x:c r="I12" s="42" t="n">
        <x:v>1980</x:v>
      </x:c>
      <x:c r="J12" s="45" t="n">
        <x:v>1964270</x:v>
      </x:c>
      <x:c r="K12" s="45" t="n">
        <x:v>992.0555555555555</x:v>
      </x:c>
      <x:c r="L12" s="33" t="str">
        <x:v>B</x:v>
      </x:c>
      <x:c r="M12" s="36" t="str">
        <x:v>동일 사업 감리공고 연면적</x:v>
      </x:c>
      <x:c r="N12" s="36" t="str">
        <x:v>공사 입찰 집행한도</x:v>
      </x:c>
      <x:c r="O12" s="36" t="str">
        <x:v>다른 단계 공고 간 연결</x:v>
      </x:c>
      <x:c r="P12" s="33" t="str">
        <x:v>미보정</x:v>
      </x:c>
      <x:c r="Q12" s="33" t="str">
        <x:v>아니오</x:v>
      </x:c>
      <x:c r="R12" s="36" t="str">
        <x:v>유사사례·현지견적 교차검증</x:v>
      </x:c>
      <x:c r="S12" s="33" t="str">
        <x:v>2021-2025 수집분</x:v>
      </x:c>
      <x:c r="T12" s="36" t="str">
        <x:v>L2025-00014-1/Section 2-Bid Data Sheet.docx</x:v>
      </x:c>
      <x:c r="U12" s="33" t="str">
        <x:v>표 4 행 7</x:v>
      </x:c>
      <x:c r="V12" s="36" t="str">
        <x:v>https://nebid.koica.go.kr/oep/lobi/localBidManageDetail.do?P_LOAZ_BID_PBLANC_NO=L2025-00047&amp;P_PBLANC_ODR=1</x:v>
      </x:c>
      <x:c r="W12" s="36" t="str">
        <x:v>동일 사업 감리공고 연면적 1,980.00㎡; 상세페이지 집행한도 USD 1,964,270; 산출단가 USD 992/㎡.</x:v>
      </x:c>
    </x:row>
    <x:row r="13">
      <x:c r="A13" s="33" t="str">
        <x:v>L2025-00036-1</x:v>
      </x:c>
      <x:c r="B13" s="33" t="str">
        <x:v>2024-00015</x:v>
      </x:c>
      <x:c r="C13" s="33" t="str">
        <x:v>2025-05-30</x:v>
      </x:c>
      <x:c r="D13" s="39" t="n">
        <x:v>2025.4082191780822</x:v>
      </x:c>
      <x:c r="E13" s="33" t="str">
        <x:v>Cambodia</x:v>
      </x:c>
      <x:c r="F13" s="33" t="str">
        <x:v>Phnom Penh</x:v>
      </x:c>
      <x:c r="G13" s="36" t="str">
        <x:v>Dangkao 후송병원(70병상)</x:v>
      </x:c>
      <x:c r="H13" s="36" t="str">
        <x:v>신축</x:v>
      </x:c>
      <x:c r="I13" s="42" t="n">
        <x:v>3700</x:v>
      </x:c>
      <x:c r="J13" s="45" t="n">
        <x:v>6600000</x:v>
      </x:c>
      <x:c r="K13" s="45" t="n">
        <x:v>1783.7837837837837</x:v>
      </x:c>
      <x:c r="L13" s="33" t="str">
        <x:v>A</x:v>
      </x:c>
      <x:c r="M13" s="36" t="str">
        <x:v>문서 명시 연면적</x:v>
      </x:c>
      <x:c r="N13" s="36" t="str">
        <x:v>심층기획조사 결과 추정공사비</x:v>
      </x:c>
      <x:c r="O13" s="36" t="str"/>
      <x:c r="P13" s="33" t="str">
        <x:v>미보정</x:v>
      </x:c>
      <x:c r="Q13" s="33" t="str">
        <x:v>아니오</x:v>
      </x:c>
      <x:c r="R13" s="36" t="str">
        <x:v>유사사례·현지견적 교차검증</x:v>
      </x:c>
      <x:c r="S13" s="33" t="str">
        <x:v>2021-2025 수집분</x:v>
      </x:c>
      <x:c r="T13" s="36" t="str">
        <x:v>L2025-00036-1/붙임2. 입찰서류 영문본 일체/Section 6 - Related Project Information of RFP.pdf</x:v>
      </x:c>
      <x:c r="U13" s="33" t="str">
        <x:v>페이지 3</x:v>
      </x:c>
      <x:c r="V13" s="36" t="str">
        <x:v>https://nebid.koica.go.kr/oep/lobi/localBidManageDetail.do?P_LOAZ_BID_PBLANC_NO=L2025-00036&amp;P_PBLANC_ODR=1</x:v>
      </x:c>
      <x:c r="W13" s="36" t="str">
        <x:v>3층, GFA 3,700㎡, Construction Cost USD 6.6 million.</x:v>
      </x:c>
    </x:row>
    <x:row r="14">
      <x:c r="A14" s="33" t="str">
        <x:v>L2025-00016-2</x:v>
      </x:c>
      <x:c r="B14" s="33" t="str">
        <x:v>2018-56501</x:v>
      </x:c>
      <x:c r="C14" s="33" t="str">
        <x:v>2025-05-29</x:v>
      </x:c>
      <x:c r="D14" s="39" t="n">
        <x:v>2025.4054794520548</x:v>
      </x:c>
      <x:c r="E14" s="33" t="str">
        <x:v>Mozambique</x:v>
      </x:c>
      <x:c r="F14" s="33" t="str">
        <x:v>Matola</x:v>
      </x:c>
      <x:c r="G14" s="36" t="str">
        <x:v>학교 캠퍼스</x:v>
      </x:c>
      <x:c r="H14" s="36" t="str">
        <x:v>개보수</x:v>
      </x:c>
      <x:c r="I14" s="42" t="n">
        <x:v>15500</x:v>
      </x:c>
      <x:c r="J14" s="45" t="n">
        <x:v>230586</x:v>
      </x:c>
      <x:c r="K14" s="45" t="n">
        <x:v>14.876516129032257</x:v>
      </x:c>
      <x:c r="L14" s="33" t="str">
        <x:v>C</x:v>
      </x:c>
      <x:c r="M14" s="36" t="str">
        <x:v>대상 캠퍼스 면적</x:v>
      </x:c>
      <x:c r="N14" s="36" t="str">
        <x:v>공사 입찰 집행한도</x:v>
      </x:c>
      <x:c r="O14" s="36" t="str">
        <x:v>부분 보수 총액으로 신축단가와 비교 불가</x:v>
      </x:c>
      <x:c r="P14" s="33" t="str">
        <x:v>미보정</x:v>
      </x:c>
      <x:c r="Q14" s="33" t="str">
        <x:v>아니오</x:v>
      </x:c>
      <x:c r="R14" s="36" t="str">
        <x:v>유사사례·현지견적 교차검증</x:v>
      </x:c>
      <x:c r="S14" s="33" t="str">
        <x:v>2021-2025 수집분</x:v>
      </x:c>
      <x:c r="T14" s="36" t="str">
        <x:v>L2025-00016-2/Section 2 - Bid Data Sheet (eng).docx</x:v>
      </x:c>
      <x:c r="U14" s="33" t="str">
        <x:v>표 4 행 8</x:v>
      </x:c>
      <x:c r="V14" s="36" t="str">
        <x:v>https://nebid.koica.go.kr/oep/lobi/localBidManageDetail.do?P_LOAZ_BID_PBLANC_NO=L2025-00016&amp;P_PBLANC_ODR=2</x:v>
      </x:c>
      <x:c r="W14" s="36" t="str">
        <x:v>대상 캠퍼스 면적 15,500.00㎡; 상세페이지 집행한도 USD 230,586; 산출단가 USD 15/㎡.</x:v>
      </x:c>
    </x:row>
    <x:row r="15">
      <x:c r="A15" s="33" t="str">
        <x:v>L2025-00012-2</x:v>
      </x:c>
      <x:c r="B15" s="33" t="str">
        <x:v>2013-00064</x:v>
      </x:c>
      <x:c r="C15" s="33" t="str">
        <x:v>2025-05-09</x:v>
      </x:c>
      <x:c r="D15" s="39" t="n">
        <x:v>2025.3506849315067</x:v>
      </x:c>
      <x:c r="E15" s="33" t="str">
        <x:v>Bolivia</x:v>
      </x:c>
      <x:c r="F15" s="33" t="str">
        <x:v>Chacala</x:v>
      </x:c>
      <x:c r="G15" s="36" t="str">
        <x:v>소규모 공공시설</x:v>
      </x:c>
      <x:c r="H15" s="36" t="str">
        <x:v>신축</x:v>
      </x:c>
      <x:c r="I15" s="42" t="n">
        <x:v>87.22</x:v>
      </x:c>
      <x:c r="J15" s="45" t="n">
        <x:v>98954</x:v>
      </x:c>
      <x:c r="K15" s="45" t="n">
        <x:v>1134.5333639073608</x:v>
      </x:c>
      <x:c r="L15" s="33" t="str">
        <x:v>B</x:v>
      </x:c>
      <x:c r="M15" s="36" t="str">
        <x:v>총연면적</x:v>
      </x:c>
      <x:c r="N15" s="36" t="str">
        <x:v>공사 입찰 집행한도</x:v>
      </x:c>
      <x:c r="O15" s="36" t="str">
        <x:v>소규모 공사의 고정비 영향</x:v>
      </x:c>
      <x:c r="P15" s="33" t="str">
        <x:v>미보정</x:v>
      </x:c>
      <x:c r="Q15" s="33" t="str">
        <x:v>아니오</x:v>
      </x:c>
      <x:c r="R15" s="36" t="str">
        <x:v>유사사례·현지견적 교차검증</x:v>
      </x:c>
      <x:c r="S15" s="33" t="str">
        <x:v>2021-2025 수집분</x:v>
      </x:c>
      <x:c r="T15" s="36" t="str">
        <x:v>L2025-00012-2/(붙임1-2) 영문입찰계획서_Q-Lab_Chacala_Bid Data Sheet (BDS)_20250502.docx</x:v>
      </x:c>
      <x:c r="U15" s="33" t="str">
        <x:v>표 3 행 7</x:v>
      </x:c>
      <x:c r="V15" s="36" t="str">
        <x:v>https://nebid.koica.go.kr/oep/lobi/localBidManageDetail.do?P_LOAZ_BID_PBLANC_NO=L2025-00012&amp;P_PBLANC_ODR=2</x:v>
      </x:c>
      <x:c r="W15" s="36" t="str">
        <x:v>총연면적 87.22㎡; 상세페이지 집행한도 USD 98,954; 산출단가 USD 1,135/㎡.</x:v>
      </x:c>
    </x:row>
    <x:row r="16">
      <x:c r="A16" s="33" t="str">
        <x:v>L2025-00018-1</x:v>
      </x:c>
      <x:c r="B16" s="33" t="str">
        <x:v>2021-00016</x:v>
      </x:c>
      <x:c r="C16" s="33" t="str">
        <x:v>2025-04-02</x:v>
      </x:c>
      <x:c r="D16" s="39" t="n">
        <x:v>2025.2493150684932</x:v>
      </x:c>
      <x:c r="E16" s="33" t="str">
        <x:v>Ghana</x:v>
      </x:c>
      <x:c r="F16" s="33" t="str">
        <x:v>미상</x:v>
      </x:c>
      <x:c r="G16" s="36" t="str">
        <x:v>대학교 교육센터</x:v>
      </x:c>
      <x:c r="H16" s="36" t="str">
        <x:v>신축</x:v>
      </x:c>
      <x:c r="I16" s="42" t="n">
        <x:v>2684.36</x:v>
      </x:c>
      <x:c r="J16" s="45" t="n">
        <x:v>4333427</x:v>
      </x:c>
      <x:c r="K16" s="45" t="n">
        <x:v>1614.3240846980284</x:v>
      </x:c>
      <x:c r="L16" s="33" t="str">
        <x:v>A</x:v>
      </x:c>
      <x:c r="M16" s="36" t="str">
        <x:v>총연면적</x:v>
      </x:c>
      <x:c r="N16" s="36" t="str">
        <x:v>공사 입찰 집행한도</x:v>
      </x:c>
      <x:c r="O16" s="36" t="str"/>
      <x:c r="P16" s="33" t="str">
        <x:v>미보정</x:v>
      </x:c>
      <x:c r="Q16" s="33" t="str">
        <x:v>아니오</x:v>
      </x:c>
      <x:c r="R16" s="36" t="str">
        <x:v>유사사례·현지견적 교차검증</x:v>
      </x:c>
      <x:c r="S16" s="33" t="str">
        <x:v>2021-2025 수집분</x:v>
      </x:c>
      <x:c r="T16" s="36" t="str">
        <x:v>L2025-00018-1/1-2. Bid Data Sheet _영문.docx</x:v>
      </x:c>
      <x:c r="U16" s="33" t="str">
        <x:v>표 4 행 8</x:v>
      </x:c>
      <x:c r="V16" s="36" t="str">
        <x:v>https://nebid.koica.go.kr/oep/lobi/localBidManageDetail.do?P_LOAZ_BID_PBLANC_NO=L2025-00018&amp;P_PBLANC_ODR=1</x:v>
      </x:c>
      <x:c r="W16" s="36" t="str">
        <x:v>총연면적 2,684.36㎡; 상세페이지 집행한도 USD 4,333,427; 산출단가 USD 1,614/㎡.</x:v>
      </x:c>
    </x:row>
    <x:row r="17">
      <x:c r="A17" s="33" t="str">
        <x:v>L2025-00008-1</x:v>
      </x:c>
      <x:c r="B17" s="33" t="str">
        <x:v>2021-00126</x:v>
      </x:c>
      <x:c r="C17" s="33" t="str">
        <x:v>2025-02-14</x:v>
      </x:c>
      <x:c r="D17" s="39" t="n">
        <x:v>2025.1205479452055</x:v>
      </x:c>
      <x:c r="E17" s="33" t="str">
        <x:v>Kenya</x:v>
      </x:c>
      <x:c r="F17" s="33" t="str">
        <x:v>미상</x:v>
      </x:c>
      <x:c r="G17" s="36" t="str">
        <x:v>모자보건시설</x:v>
      </x:c>
      <x:c r="H17" s="36" t="str">
        <x:v>신축</x:v>
      </x:c>
      <x:c r="I17" s="42" t="n">
        <x:v>404.94</x:v>
      </x:c>
      <x:c r="J17" s="45" t="n">
        <x:v>555810</x:v>
      </x:c>
      <x:c r="K17" s="45" t="n">
        <x:v>1372.573714624389</x:v>
      </x:c>
      <x:c r="L17" s="33" t="str">
        <x:v>A</x:v>
      </x:c>
      <x:c r="M17" s="36" t="str">
        <x:v>총연면적</x:v>
      </x:c>
      <x:c r="N17" s="36" t="str">
        <x:v>공사 입찰 집행한도</x:v>
      </x:c>
      <x:c r="O17" s="36" t="str"/>
      <x:c r="P17" s="33" t="str">
        <x:v>미보정</x:v>
      </x:c>
      <x:c r="Q17" s="33" t="str">
        <x:v>아니오</x:v>
      </x:c>
      <x:c r="R17" s="36" t="str">
        <x:v>유사사례·현지견적 교차검증</x:v>
      </x:c>
      <x:c r="S17" s="33" t="str">
        <x:v>2021-2025 수집분</x:v>
      </x:c>
      <x:c r="T17" s="36" t="str">
        <x:v>L2025-00008-1/Tender document full set_Kajiado_0219 rev/Section 2 - Bid Data Sheet (eng)_0219.docx</x:v>
      </x:c>
      <x:c r="U17" s="33" t="str">
        <x:v>표 4 행 8</x:v>
      </x:c>
      <x:c r="V17" s="36" t="str">
        <x:v>https://nebid.koica.go.kr/oep/lobi/localBidManageDetail.do?P_LOAZ_BID_PBLANC_NO=L2025-00008&amp;P_PBLANC_ODR=1</x:v>
      </x:c>
      <x:c r="W17" s="36" t="str">
        <x:v>총연면적 404.94㎡; 상세페이지 집행한도 USD 555,810; 산출단가 USD 1,373/㎡.</x:v>
      </x:c>
    </x:row>
    <x:row r="18">
      <x:c r="A18" s="33" t="str">
        <x:v>L2025-00002-1</x:v>
      </x:c>
      <x:c r="B18" s="33" t="str">
        <x:v>2022-00079</x:v>
      </x:c>
      <x:c r="C18" s="33" t="str">
        <x:v>2025-01-10</x:v>
      </x:c>
      <x:c r="D18" s="39" t="n">
        <x:v>2025.0246575342467</x:v>
      </x:c>
      <x:c r="E18" s="33" t="str">
        <x:v>Indonesia</x:v>
      </x:c>
      <x:c r="F18" s="33" t="str">
        <x:v>미상</x:v>
      </x:c>
      <x:c r="G18" s="36" t="str">
        <x:v>사이버보안 교육센터</x:v>
      </x:c>
      <x:c r="H18" s="36" t="str">
        <x:v>신축</x:v>
      </x:c>
      <x:c r="I18" s="42" t="n">
        <x:v>2457.53</x:v>
      </x:c>
      <x:c r="J18" s="45" t="n">
        <x:v>2361000</x:v>
      </x:c>
      <x:c r="K18" s="45" t="n">
        <x:v>960.7207236534243</x:v>
      </x:c>
      <x:c r="L18" s="33" t="str">
        <x:v>A</x:v>
      </x:c>
      <x:c r="M18" s="36" t="str">
        <x:v>총연면적</x:v>
      </x:c>
      <x:c r="N18" s="36" t="str">
        <x:v>공사 입찰 집행한도</x:v>
      </x:c>
      <x:c r="O18" s="36" t="str"/>
      <x:c r="P18" s="33" t="str">
        <x:v>미보정</x:v>
      </x:c>
      <x:c r="Q18" s="33" t="str">
        <x:v>아니오</x:v>
      </x:c>
      <x:c r="R18" s="36" t="str">
        <x:v>유사사례·현지견적 교차검증</x:v>
      </x:c>
      <x:c r="S18" s="33" t="str">
        <x:v>2021-2025 수집분</x:v>
      </x:c>
      <x:c r="T18" s="36" t="str">
        <x:v>L2025-00002-1/Section 2 - Bid Data Sheet_Final.docx</x:v>
      </x:c>
      <x:c r="U18" s="33" t="str">
        <x:v>표 4 행 8</x:v>
      </x:c>
      <x:c r="V18" s="36" t="str">
        <x:v>https://nebid.koica.go.kr/oep/lobi/localBidManageDetail.do?P_LOAZ_BID_PBLANC_NO=L2025-00002&amp;P_PBLANC_ODR=1</x:v>
      </x:c>
      <x:c r="W18" s="36" t="str">
        <x:v>총연면적 2,457.53㎡; 상세페이지 집행한도 USD 2,361,000; 산출단가 USD 961/㎡.</x:v>
      </x:c>
    </x:row>
    <x:row r="19">
      <x:c r="A19" s="33" t="str">
        <x:v>L2024-00079-1</x:v>
      </x:c>
      <x:c r="B19" s="33" t="str">
        <x:v>2023-00052</x:v>
      </x:c>
      <x:c r="C19" s="33" t="str">
        <x:v>2024-12-23</x:v>
      </x:c>
      <x:c r="D19" s="39" t="n">
        <x:v>2024.9754098360656</x:v>
      </x:c>
      <x:c r="E19" s="33" t="str">
        <x:v>Nepal</x:v>
      </x:c>
      <x:c r="F19" s="33" t="str">
        <x:v>미상</x:v>
      </x:c>
      <x:c r="G19" s="36" t="str">
        <x:v>재활용 산업 플랫폼</x:v>
      </x:c>
      <x:c r="H19" s="36" t="str">
        <x:v>신축</x:v>
      </x:c>
      <x:c r="I19" s="42" t="n">
        <x:v>4996.62</x:v>
      </x:c>
      <x:c r="J19" s="45" t="n">
        <x:v>3534542</x:v>
      </x:c>
      <x:c r="K19" s="45" t="n">
        <x:v>707.3865933370959</x:v>
      </x:c>
      <x:c r="L19" s="33" t="str">
        <x:v>A</x:v>
      </x:c>
      <x:c r="M19" s="36" t="str">
        <x:v>총연면적</x:v>
      </x:c>
      <x:c r="N19" s="36" t="str">
        <x:v>공사 입찰 집행한도</x:v>
      </x:c>
      <x:c r="O19" s="36" t="str">
        <x:v>산업시설 성격</x:v>
      </x:c>
      <x:c r="P19" s="33" t="str">
        <x:v>미보정</x:v>
      </x:c>
      <x:c r="Q19" s="33" t="str">
        <x:v>아니오</x:v>
      </x:c>
      <x:c r="R19" s="36" t="str">
        <x:v>유사사례·현지견적 교차검증</x:v>
      </x:c>
      <x:c r="S19" s="33" t="str">
        <x:v>2021-2025 수집분</x:v>
      </x:c>
      <x:c r="T19" s="36" t="str">
        <x:v>L2024-00079-1/2. 포카라시 녹색일자리 창출사업 시공사 선정 BID DOCUMENTS(영문)_241217.docx</x:v>
      </x:c>
      <x:c r="U19" s="33" t="str">
        <x:v>표 5 행 8</x:v>
      </x:c>
      <x:c r="V19" s="36" t="str">
        <x:v>https://nebid.koica.go.kr/oep/lobi/localBidManageDetail.do?P_LOAZ_BID_PBLANC_NO=L2024-00079&amp;P_PBLANC_ODR=1</x:v>
      </x:c>
      <x:c r="W19" s="36" t="str">
        <x:v>총연면적 4,996.62㎡; 상세페이지 집행한도 USD 3,534,542; 산출단가 USD 707/㎡.</x:v>
      </x:c>
    </x:row>
    <x:row r="20">
      <x:c r="A20" s="33" t="str">
        <x:v>L2024-00078-1</x:v>
      </x:c>
      <x:c r="B20" s="33" t="str">
        <x:v>2020-00070</x:v>
      </x:c>
      <x:c r="C20" s="33" t="str">
        <x:v>2024-12-20</x:v>
      </x:c>
      <x:c r="D20" s="39" t="n">
        <x:v>2024.967213114754</x:v>
      </x:c>
      <x:c r="E20" s="33" t="str">
        <x:v>Dominican Republic</x:v>
      </x:c>
      <x:c r="F20" s="33" t="str">
        <x:v>미상</x:v>
      </x:c>
      <x:c r="G20" s="36" t="str">
        <x:v>직업훈련센터</x:v>
      </x:c>
      <x:c r="H20" s="36" t="str">
        <x:v>신축</x:v>
      </x:c>
      <x:c r="I20" s="42" t="n">
        <x:v>936.2</x:v>
      </x:c>
      <x:c r="J20" s="45" t="n">
        <x:v>1187000</x:v>
      </x:c>
      <x:c r="K20" s="45" t="n">
        <x:v>1267.8914761803032</x:v>
      </x:c>
      <x:c r="L20" s="33" t="str">
        <x:v>A</x:v>
      </x:c>
      <x:c r="M20" s="36" t="str">
        <x:v>총연면적</x:v>
      </x:c>
      <x:c r="N20" s="36" t="str">
        <x:v>공사 입찰 집행한도</x:v>
      </x:c>
      <x:c r="O20" s="36" t="str"/>
      <x:c r="P20" s="33" t="str">
        <x:v>미보정</x:v>
      </x:c>
      <x:c r="Q20" s="33" t="str">
        <x:v>아니오</x:v>
      </x:c>
      <x:c r="R20" s="36" t="str">
        <x:v>유사사례·현지견적 교차검증</x:v>
      </x:c>
      <x:c r="S20" s="33" t="str">
        <x:v>2021-2025 수집분</x:v>
      </x:c>
      <x:c r="T20" s="36" t="str">
        <x:v>L2024-00078-1/Section 2 Bid data sheet_MVC Construction_v05_CLEAN.docx</x:v>
      </x:c>
      <x:c r="U20" s="33" t="str">
        <x:v>표 2 행 7</x:v>
      </x:c>
      <x:c r="V20" s="36" t="str">
        <x:v>https://nebid.koica.go.kr/oep/lobi/localBidManageDetail.do?P_LOAZ_BID_PBLANC_NO=L2024-00078&amp;P_PBLANC_ODR=1</x:v>
      </x:c>
      <x:c r="W20" s="36" t="str">
        <x:v>총연면적 936.20㎡; 상세페이지 집행한도 USD 1,187,000; 산출단가 USD 1,268/㎡.</x:v>
      </x:c>
    </x:row>
    <x:row r="21">
      <x:c r="A21" s="33" t="str">
        <x:v>L2024-00075-1</x:v>
      </x:c>
      <x:c r="B21" s="33" t="str">
        <x:v>2020-00023</x:v>
      </x:c>
      <x:c r="C21" s="33" t="str">
        <x:v>2024-11-20</x:v>
      </x:c>
      <x:c r="D21" s="39" t="n">
        <x:v>2024.8852459016393</x:v>
      </x:c>
      <x:c r="E21" s="33" t="str">
        <x:v>Laos</x:v>
      </x:c>
      <x:c r="F21" s="33" t="str">
        <x:v>Paksong·Champasak</x:v>
      </x:c>
      <x:c r="G21" s="36" t="str">
        <x:v>남부 농업훈련센터</x:v>
      </x:c>
      <x:c r="H21" s="36" t="str">
        <x:v>신축</x:v>
      </x:c>
      <x:c r="I21" s="42" t="n">
        <x:v>700</x:v>
      </x:c>
      <x:c r="J21" s="45" t="n">
        <x:v>624034</x:v>
      </x:c>
      <x:c r="K21" s="45" t="n">
        <x:v>891.4771428571429</x:v>
      </x:c>
      <x:c r="L21" s="33" t="str">
        <x:v>A</x:v>
      </x:c>
      <x:c r="M21" s="36" t="str">
        <x:v>문서 명시 연면적</x:v>
      </x:c>
      <x:c r="N21" s="36" t="str">
        <x:v>BDS Project Budget</x:v>
      </x:c>
      <x:c r="O21" s="36" t="str"/>
      <x:c r="P21" s="33" t="str">
        <x:v>미보정</x:v>
      </x:c>
      <x:c r="Q21" s="33" t="str">
        <x:v>아니오</x:v>
      </x:c>
      <x:c r="R21" s="36" t="str">
        <x:v>유사사례·현지견적 교차검증</x:v>
      </x:c>
      <x:c r="S21" s="33" t="str">
        <x:v>2021-2025 수집분</x:v>
      </x:c>
      <x:c r="T21" s="36" t="str">
        <x:v>L2024-00075-1/Section 2 - Bid Data Sheet_1120.pdf</x:v>
      </x:c>
      <x:c r="U21" s="33" t="str">
        <x:v>페이지 5</x:v>
      </x:c>
      <x:c r="V21" s="36" t="str">
        <x:v>https://nebid.koica.go.kr/oep/lobi/localBidManageDetail.do?P_LOAZ_BID_PBLANC_NO=L2024-00075&amp;P_PBLANC_ODR=1</x:v>
      </x:c>
      <x:c r="W21" s="36" t="str">
        <x:v>GFA 700㎡, Project Budget USD 624,034; 예정가격 USD 608,433.</x:v>
      </x:c>
    </x:row>
    <x:row r="22">
      <x:c r="A22" s="33" t="str">
        <x:v>L2024-00049-2</x:v>
      </x:c>
      <x:c r="B22" s="33" t="str">
        <x:v>2021-00111</x:v>
      </x:c>
      <x:c r="C22" s="33" t="str">
        <x:v>2024-11-01</x:v>
      </x:c>
      <x:c r="D22" s="39" t="n">
        <x:v>2024.8333333333333</x:v>
      </x:c>
      <x:c r="E22" s="33" t="str">
        <x:v>El Salvador</x:v>
      </x:c>
      <x:c r="F22" s="33" t="str">
        <x:v>미상</x:v>
      </x:c>
      <x:c r="G22" s="36" t="str">
        <x:v>ITCA 교육시설</x:v>
      </x:c>
      <x:c r="H22" s="36" t="str">
        <x:v>신축</x:v>
      </x:c>
      <x:c r="I22" s="42" t="n">
        <x:v>788.12</x:v>
      </x:c>
      <x:c r="J22" s="45" t="n">
        <x:v>965000</x:v>
      </x:c>
      <x:c r="K22" s="45" t="n">
        <x:v>1224.4328274881998</x:v>
      </x:c>
      <x:c r="L22" s="33" t="str">
        <x:v>A</x:v>
      </x:c>
      <x:c r="M22" s="36" t="str">
        <x:v>총연면적</x:v>
      </x:c>
      <x:c r="N22" s="36" t="str">
        <x:v>공사 입찰 집행한도</x:v>
      </x:c>
      <x:c r="O22" s="36" t="str"/>
      <x:c r="P22" s="33" t="str">
        <x:v>미보정</x:v>
      </x:c>
      <x:c r="Q22" s="33" t="str">
        <x:v>아니오</x:v>
      </x:c>
      <x:c r="R22" s="36" t="str">
        <x:v>유사사례·현지견적 교차검증</x:v>
      </x:c>
      <x:c r="S22" s="33" t="str">
        <x:v>2021-2025 수집분</x:v>
      </x:c>
      <x:c r="T22" s="36" t="str">
        <x:v>L2024-00049-2/3. Bidding Document_ITCA (Construction)/Attachment 6. Scope of Works_ITCA  Construction.docx</x:v>
      </x:c>
      <x:c r="U22" s="33" t="str">
        <x:v>문단 15</x:v>
      </x:c>
      <x:c r="V22" s="36" t="str">
        <x:v>https://nebid.koica.go.kr/oep/lobi/localBidManageDetail.do?P_LOAZ_BID_PBLANC_NO=L2024-00049&amp;P_PBLANC_ODR=2</x:v>
      </x:c>
      <x:c r="W22" s="36" t="str">
        <x:v>총연면적 788.12㎡; 상세페이지 집행한도 USD 965,000; 산출단가 USD 1,224/㎡.</x:v>
      </x:c>
    </x:row>
    <x:row r="23">
      <x:c r="A23" s="33" t="str">
        <x:v>L2024-00066-1</x:v>
      </x:c>
      <x:c r="B23" s="33" t="str">
        <x:v>2023-00032</x:v>
      </x:c>
      <x:c r="C23" s="33" t="str">
        <x:v>2024-10-25</x:v>
      </x:c>
      <x:c r="D23" s="39" t="n">
        <x:v>2024.8142076502731</x:v>
      </x:c>
      <x:c r="E23" s="33" t="str">
        <x:v>Fiji</x:v>
      </x:c>
      <x:c r="F23" s="33" t="str">
        <x:v>Fiji National University</x:v>
      </x:c>
      <x:c r="G23" s="36" t="str">
        <x:v>의과대학 시뮬레이션센터</x:v>
      </x:c>
      <x:c r="H23" s="36" t="str">
        <x:v>신축</x:v>
      </x:c>
      <x:c r="I23" s="42" t="n">
        <x:v>1060</x:v>
      </x:c>
      <x:c r="J23" s="45" t="n">
        <x:v>2406346</x:v>
      </x:c>
      <x:c r="K23" s="45" t="n">
        <x:v>2270.1377358490568</x:v>
      </x:c>
      <x:c r="L23" s="33" t="str">
        <x:v>A</x:v>
      </x:c>
      <x:c r="M23" s="36" t="str">
        <x:v>문서 명시 연면적</x:v>
      </x:c>
      <x:c r="N23" s="36" t="str">
        <x:v>ToR 공사비 예산</x:v>
      </x:c>
      <x:c r="O23" s="36" t="str"/>
      <x:c r="P23" s="33" t="str">
        <x:v>미보정</x:v>
      </x:c>
      <x:c r="Q23" s="33" t="str">
        <x:v>아니오</x:v>
      </x:c>
      <x:c r="R23" s="36" t="str">
        <x:v>유사사례·현지견적 교차검증</x:v>
      </x:c>
      <x:c r="S23" s="33" t="str">
        <x:v>2021-2025 수집분</x:v>
      </x:c>
      <x:c r="T23" s="36" t="str">
        <x:v>L2024-00066-1/Section 5 - Terms of Reference (ToR) R1.doc</x:v>
      </x:c>
      <x:c r="U23" s="33" t="str">
        <x:v>문단 46</x:v>
      </x:c>
      <x:c r="V23" s="36" t="str">
        <x:v>https://nebid.koica.go.kr/oep/lobi/localBidManageDetail.do?P_LOAZ_BID_PBLANC_NO=L2024-00066&amp;P_PBLANC_ODR=1</x:v>
      </x:c>
      <x:c r="W23" s="36" t="str">
        <x:v>3층, 총연면적 약 1,060㎡, 공사비 예산 약 USD 2,406,346.</x:v>
      </x:c>
    </x:row>
    <x:row r="24">
      <x:c r="A24" s="33" t="str">
        <x:v>L2024-00050-1</x:v>
      </x:c>
      <x:c r="B24" s="33" t="str">
        <x:v>2021-00042</x:v>
      </x:c>
      <x:c r="C24" s="33" t="str">
        <x:v>2024-09-16</x:v>
      </x:c>
      <x:c r="D24" s="39" t="n">
        <x:v>2024.707650273224</x:v>
      </x:c>
      <x:c r="E24" s="33" t="str">
        <x:v>Uganda</x:v>
      </x:c>
      <x:c r="F24" s="33" t="str">
        <x:v>미상</x:v>
      </x:c>
      <x:c r="G24" s="36" t="str">
        <x:v>훈련복합시설</x:v>
      </x:c>
      <x:c r="H24" s="36" t="str">
        <x:v>신축</x:v>
      </x:c>
      <x:c r="I24" s="42" t="n">
        <x:v>4032</x:v>
      </x:c>
      <x:c r="J24" s="45" t="n">
        <x:v>3910000</x:v>
      </x:c>
      <x:c r="K24" s="45" t="n">
        <x:v>969.7420634920635</x:v>
      </x:c>
      <x:c r="L24" s="33" t="str">
        <x:v>B</x:v>
      </x:c>
      <x:c r="M24" s="36" t="str">
        <x:v>동별 면적 합계</x:v>
      </x:c>
      <x:c r="N24" s="36" t="str">
        <x:v>공사 입찰 집행한도</x:v>
      </x:c>
      <x:c r="O24" s="36" t="str">
        <x:v>외부공사 포함 가능</x:v>
      </x:c>
      <x:c r="P24" s="33" t="str">
        <x:v>미보정</x:v>
      </x:c>
      <x:c r="Q24" s="33" t="str">
        <x:v>아니오</x:v>
      </x:c>
      <x:c r="R24" s="36" t="str">
        <x:v>유사사례·현지견적 교차검증</x:v>
      </x:c>
      <x:c r="S24" s="33" t="str">
        <x:v>2021-2025 수집분</x:v>
      </x:c>
      <x:c r="T24" s="36" t="str">
        <x:v>L2024-00050-1/입찰계획안(영문)_240912.docx</x:v>
      </x:c>
      <x:c r="U24" s="33" t="str">
        <x:v>표 4 행 8</x:v>
      </x:c>
      <x:c r="V24" s="36" t="str">
        <x:v>https://nebid.koica.go.kr/oep/lobi/localBidManageDetail.do?P_LOAZ_BID_PBLANC_NO=L2024-00050&amp;P_PBLANC_ODR=1</x:v>
      </x:c>
      <x:c r="W24" s="36" t="str">
        <x:v>동별 면적 합계 4,032.00㎡; 상세페이지 집행한도 USD 3,910,000; 산출단가 USD 970/㎡.</x:v>
      </x:c>
    </x:row>
    <x:row r="25">
      <x:c r="A25" s="33" t="str">
        <x:v>L2024-00031-1</x:v>
      </x:c>
      <x:c r="B25" s="33" t="str">
        <x:v>2022-00009</x:v>
      </x:c>
      <x:c r="C25" s="33" t="str">
        <x:v>2024-05-29</x:v>
      </x:c>
      <x:c r="D25" s="39" t="n">
        <x:v>2024.4071038251366</x:v>
      </x:c>
      <x:c r="E25" s="33" t="str">
        <x:v>Nepal</x:v>
      </x:c>
      <x:c r="F25" s="33" t="str">
        <x:v>Bhaktapur</x:v>
      </x:c>
      <x:c r="G25" s="36" t="str">
        <x:v>보건·의료시설</x:v>
      </x:c>
      <x:c r="H25" s="36" t="str">
        <x:v>신축</x:v>
      </x:c>
      <x:c r="I25" s="42" t="n">
        <x:v>5898.25</x:v>
      </x:c>
      <x:c r="J25" s="45" t="n">
        <x:v>4653720</x:v>
      </x:c>
      <x:c r="K25" s="45" t="n">
        <x:v>789.0001271563599</x:v>
      </x:c>
      <x:c r="L25" s="33" t="str">
        <x:v>A</x:v>
      </x:c>
      <x:c r="M25" s="36" t="str">
        <x:v>총연면적</x:v>
      </x:c>
      <x:c r="N25" s="36" t="str">
        <x:v>공사 입찰 집행한도</x:v>
      </x:c>
      <x:c r="O25" s="36" t="str"/>
      <x:c r="P25" s="33" t="str">
        <x:v>미보정</x:v>
      </x:c>
      <x:c r="Q25" s="33" t="str">
        <x:v>아니오</x:v>
      </x:c>
      <x:c r="R25" s="36" t="str">
        <x:v>유사사례·현지견적 교차검증</x:v>
      </x:c>
      <x:c r="S25" s="33" t="str">
        <x:v>2021-2025 수집분</x:v>
      </x:c>
      <x:c r="T25" s="36" t="str">
        <x:v>L2024-00031-1/1-2. BID DOCUMENTS-Project for Universal Health Coverage for the poor in vulnerable area in Bha.docx</x:v>
      </x:c>
      <x:c r="U25" s="33" t="str">
        <x:v>표 5 행 8</x:v>
      </x:c>
      <x:c r="V25" s="36" t="str">
        <x:v>https://nebid.koica.go.kr/oep/lobi/localBidManageDetail.do?P_LOAZ_BID_PBLANC_NO=L2024-00031&amp;P_PBLANC_ODR=1</x:v>
      </x:c>
      <x:c r="W25" s="36" t="str">
        <x:v>총연면적 5,898.25㎡; 상세페이지 집행한도 USD 4,653,720; 산출단가 USD 789/㎡.</x:v>
      </x:c>
    </x:row>
    <x:row r="26">
      <x:c r="A26" s="33" t="str">
        <x:v>L2024-00039-1</x:v>
      </x:c>
      <x:c r="B26" s="33" t="str">
        <x:v>2014-00016</x:v>
      </x:c>
      <x:c r="C26" s="33" t="str">
        <x:v>2024-05-12</x:v>
      </x:c>
      <x:c r="D26" s="39" t="n">
        <x:v>2024.360655737705</x:v>
      </x:c>
      <x:c r="E26" s="33" t="str">
        <x:v>Iraq</x:v>
      </x:c>
      <x:c r="F26" s="33" t="str">
        <x:v>미상</x:v>
      </x:c>
      <x:c r="G26" s="36" t="str">
        <x:v>직업훈련원</x:v>
      </x:c>
      <x:c r="H26" s="36" t="str">
        <x:v>리모델링·개보수</x:v>
      </x:c>
      <x:c r="I26" s="42" t="n">
        <x:v>8217</x:v>
      </x:c>
      <x:c r="J26" s="45" t="n">
        <x:v>1811491</x:v>
      </x:c>
      <x:c r="K26" s="45" t="n">
        <x:v>220.45649263721552</x:v>
      </x:c>
      <x:c r="L26" s="33" t="str">
        <x:v>C</x:v>
      </x:c>
      <x:c r="M26" s="36" t="str">
        <x:v>대상 연면적</x:v>
      </x:c>
      <x:c r="N26" s="36" t="str">
        <x:v>공사 입찰 집행한도</x:v>
      </x:c>
      <x:c r="O26" s="36" t="str">
        <x:v>부분 리모델링 범위</x:v>
      </x:c>
      <x:c r="P26" s="33" t="str">
        <x:v>미보정</x:v>
      </x:c>
      <x:c r="Q26" s="33" t="str">
        <x:v>아니오</x:v>
      </x:c>
      <x:c r="R26" s="36" t="str">
        <x:v>유사사례·현지견적 교차검증</x:v>
      </x:c>
      <x:c r="S26" s="33" t="str">
        <x:v>2021-2025 수집분</x:v>
      </x:c>
      <x:c r="T26" s="36" t="str">
        <x:v>L2024-00039-1/붙임3. Bidding Documents_20240702/Section 2 - Bid Data Sheet_20240701.docx</x:v>
      </x:c>
      <x:c r="U26" s="33" t="str">
        <x:v>표 4 행 8</x:v>
      </x:c>
      <x:c r="V26" s="36" t="str">
        <x:v>https://nebid.koica.go.kr/oep/lobi/localBidManageDetail.do?P_LOAZ_BID_PBLANC_NO=L2024-00039&amp;P_PBLANC_ODR=1</x:v>
      </x:c>
      <x:c r="W26" s="36" t="str">
        <x:v>대상 연면적 8,217.00㎡; 상세페이지 집행한도 USD 1,811,491; 산출단가 USD 220/㎡.</x:v>
      </x:c>
    </x:row>
    <x:row r="27">
      <x:c r="A27" s="33" t="str">
        <x:v>L2023-00068-1</x:v>
      </x:c>
      <x:c r="B27" s="33" t="str">
        <x:v>2011-00008</x:v>
      </x:c>
      <x:c r="C27" s="33" t="str">
        <x:v>2023-11-21</x:v>
      </x:c>
      <x:c r="D27" s="39" t="n">
        <x:v>2023.8876712328768</x:v>
      </x:c>
      <x:c r="E27" s="33" t="str">
        <x:v>Cambodia</x:v>
      </x:c>
      <x:c r="F27" s="33" t="str">
        <x:v>미상</x:v>
      </x:c>
      <x:c r="G27" s="36" t="str">
        <x:v>안과병원</x:v>
      </x:c>
      <x:c r="H27" s="36" t="str">
        <x:v>리모델링·개보수</x:v>
      </x:c>
      <x:c r="I27" s="42" t="n">
        <x:v>3500</x:v>
      </x:c>
      <x:c r="J27" s="45" t="n">
        <x:v>239882</x:v>
      </x:c>
      <x:c r="K27" s="45" t="n">
        <x:v>68.53771428571429</x:v>
      </x:c>
      <x:c r="L27" s="33" t="str">
        <x:v>C</x:v>
      </x:c>
      <x:c r="M27" s="36" t="str">
        <x:v>대상 연면적</x:v>
      </x:c>
      <x:c r="N27" s="36" t="str">
        <x:v>공사 입찰 집행한도</x:v>
      </x:c>
      <x:c r="O27" s="36" t="str">
        <x:v>부분 보수 공사</x:v>
      </x:c>
      <x:c r="P27" s="33" t="str">
        <x:v>미보정</x:v>
      </x:c>
      <x:c r="Q27" s="33" t="str">
        <x:v>아니오</x:v>
      </x:c>
      <x:c r="R27" s="36" t="str">
        <x:v>유사사례·현지견적 교차검증</x:v>
      </x:c>
      <x:c r="S27" s="33" t="str">
        <x:v>2021-2025 수집분</x:v>
      </x:c>
      <x:c r="T27" s="36" t="str">
        <x:v>L2023-00068-1/입찰공고 관련서류 최종본/Section 2 - Bid Data Sheet (BDS).docx</x:v>
      </x:c>
      <x:c r="U27" s="33" t="str">
        <x:v>표 5 행 8</x:v>
      </x:c>
      <x:c r="V27" s="36" t="str">
        <x:v>https://nebid.koica.go.kr/oep/lobi/localBidManageDetail.do?P_LOAZ_BID_PBLANC_NO=L2023-00068&amp;P_PBLANC_ODR=1</x:v>
      </x:c>
      <x:c r="W27" s="36" t="str">
        <x:v>대상 연면적 3,500.00㎡; 상세페이지 집행한도 USD 239,882; 산출단가 USD 69/㎡.</x:v>
      </x:c>
    </x:row>
    <x:row r="28">
      <x:c r="A28" s="33" t="str">
        <x:v>L2023-00067-1</x:v>
      </x:c>
      <x:c r="B28" s="33" t="str">
        <x:v>2020-00099</x:v>
      </x:c>
      <x:c r="C28" s="33" t="str">
        <x:v>2023-11-21</x:v>
      </x:c>
      <x:c r="D28" s="39" t="n">
        <x:v>2023.8876712328768</x:v>
      </x:c>
      <x:c r="E28" s="33" t="str">
        <x:v>Kyrgyzstan</x:v>
      </x:c>
      <x:c r="F28" s="33" t="str">
        <x:v>Bishkek</x:v>
      </x:c>
      <x:c r="G28" s="36" t="str">
        <x:v>G-Cloud 시설</x:v>
      </x:c>
      <x:c r="H28" s="36" t="str">
        <x:v>리모델링·개보수</x:v>
      </x:c>
      <x:c r="I28" s="42" t="n">
        <x:v>420</x:v>
      </x:c>
      <x:c r="J28" s="45" t="n">
        <x:v>280621</x:v>
      </x:c>
      <x:c r="K28" s="45" t="n">
        <x:v>668.1452380952381</x:v>
      </x:c>
      <x:c r="L28" s="33" t="str">
        <x:v>B</x:v>
      </x:c>
      <x:c r="M28" s="36" t="str">
        <x:v>대상 연면적</x:v>
      </x:c>
      <x:c r="N28" s="36" t="str">
        <x:v>공사 입찰 집행한도</x:v>
      </x:c>
      <x:c r="O28" s="36" t="str"/>
      <x:c r="P28" s="33" t="str">
        <x:v>미보정</x:v>
      </x:c>
      <x:c r="Q28" s="33" t="str">
        <x:v>아니오</x:v>
      </x:c>
      <x:c r="R28" s="36" t="str">
        <x:v>유사사례·현지견적 교차검증</x:v>
      </x:c>
      <x:c r="S28" s="33" t="str">
        <x:v>2021-2025 수집분</x:v>
      </x:c>
      <x:c r="T28" s="36" t="str">
        <x:v>L2023-00067-1/ENG Version/ENG Version/-ENG_Section 2 Bid Data Sheet.docx</x:v>
      </x:c>
      <x:c r="U28" s="33" t="str">
        <x:v>표 3 행 8</x:v>
      </x:c>
      <x:c r="V28" s="36" t="str">
        <x:v>https://nebid.koica.go.kr/oep/lobi/localBidManageDetail.do?P_LOAZ_BID_PBLANC_NO=L2023-00067&amp;P_PBLANC_ODR=1</x:v>
      </x:c>
      <x:c r="W28" s="36" t="str">
        <x:v>대상 연면적 420.00㎡; 상세페이지 집행한도 USD 280,621; 산출단가 USD 668/㎡.</x:v>
      </x:c>
    </x:row>
    <x:row r="29">
      <x:c r="A29" s="33" t="str">
        <x:v>L2023-00060-1</x:v>
      </x:c>
      <x:c r="B29" s="33" t="str">
        <x:v>2019-00037</x:v>
      </x:c>
      <x:c r="C29" s="33" t="str">
        <x:v>2023-10-09</x:v>
      </x:c>
      <x:c r="D29" s="39" t="n">
        <x:v>2023.7698630136986</x:v>
      </x:c>
      <x:c r="E29" s="33" t="str">
        <x:v>El Salvador</x:v>
      </x:c>
      <x:c r="F29" s="33" t="str">
        <x:v>미상</x:v>
      </x:c>
      <x:c r="G29" s="36" t="str">
        <x:v>보건교육센터</x:v>
      </x:c>
      <x:c r="H29" s="36" t="str">
        <x:v>신축</x:v>
      </x:c>
      <x:c r="I29" s="42" t="n">
        <x:v>2983</x:v>
      </x:c>
      <x:c r="J29" s="45" t="n">
        <x:v>3875000</x:v>
      </x:c>
      <x:c r="K29" s="45" t="n">
        <x:v>1299.0278243379148</x:v>
      </x:c>
      <x:c r="L29" s="33" t="str">
        <x:v>A</x:v>
      </x:c>
      <x:c r="M29" s="36" t="str">
        <x:v>총연면적</x:v>
      </x:c>
      <x:c r="N29" s="36" t="str">
        <x:v>공사 입찰 집행한도</x:v>
      </x:c>
      <x:c r="O29" s="36" t="str"/>
      <x:c r="P29" s="33" t="str">
        <x:v>미보정</x:v>
      </x:c>
      <x:c r="Q29" s="33" t="str">
        <x:v>아니오</x:v>
      </x:c>
      <x:c r="R29" s="36" t="str">
        <x:v>유사사례·현지견적 교차검증</x:v>
      </x:c>
      <x:c r="S29" s="33" t="str">
        <x:v>2021-2025 수집분</x:v>
      </x:c>
      <x:c r="T29" s="36" t="str">
        <x:v>L2023-00060-1/붙임 1. 입찰공고문 및 서류_영문/Section 2 - Bid data sheet_eng.doc</x:v>
      </x:c>
      <x:c r="U29" s="33" t="str">
        <x:v>문단 24</x:v>
      </x:c>
      <x:c r="V29" s="36" t="str">
        <x:v>https://nebid.koica.go.kr/oep/lobi/localBidManageDetail.do?P_LOAZ_BID_PBLANC_NO=L2023-00060&amp;P_PBLANC_ODR=1</x:v>
      </x:c>
      <x:c r="W29" s="36" t="str">
        <x:v>총연면적 2,983.00㎡; 상세페이지 집행한도 USD 3,875,000; 산출단가 USD 1,299/㎡.</x:v>
      </x:c>
    </x:row>
    <x:row r="30">
      <x:c r="A30" s="33" t="str">
        <x:v>L2023-00038-1</x:v>
      </x:c>
      <x:c r="B30" s="33" t="str">
        <x:v>2022-00076</x:v>
      </x:c>
      <x:c r="C30" s="33" t="str">
        <x:v>2023-07-22</x:v>
      </x:c>
      <x:c r="D30" s="39" t="n">
        <x:v>2023.5534246575342</x:v>
      </x:c>
      <x:c r="E30" s="33" t="str">
        <x:v>Fiji</x:v>
      </x:c>
      <x:c r="F30" s="33" t="str">
        <x:v>Tamavua·Suva</x:v>
      </x:c>
      <x:c r="G30" s="36" t="str">
        <x:v>국립재활센터</x:v>
      </x:c>
      <x:c r="H30" s="36" t="str">
        <x:v>신축</x:v>
      </x:c>
      <x:c r="I30" s="42" t="n">
        <x:v>2700</x:v>
      </x:c>
      <x:c r="J30" s="45" t="n">
        <x:v>5627206</x:v>
      </x:c>
      <x:c r="K30" s="45" t="n">
        <x:v>2084.15037037037</x:v>
      </x:c>
      <x:c r="L30" s="33" t="str">
        <x:v>B</x:v>
      </x:c>
      <x:c r="M30" s="36" t="str">
        <x:v>문서 명시 연면적</x:v>
      </x:c>
      <x:c r="N30" s="36" t="str">
        <x:v>설계입찰 단계 공사비 예산</x:v>
      </x:c>
      <x:c r="O30" s="36" t="str">
        <x:v>면적이 약식값이며 상세 공간계획 합계는 2,686.4㎡.</x:v>
      </x:c>
      <x:c r="P30" s="33" t="str">
        <x:v>미보정</x:v>
      </x:c>
      <x:c r="Q30" s="33" t="str">
        <x:v>아니오</x:v>
      </x:c>
      <x:c r="R30" s="36" t="str">
        <x:v>유사사례·현지견적 교차검증</x:v>
      </x:c>
      <x:c r="S30" s="33" t="str">
        <x:v>2021-2025 수집분</x:v>
      </x:c>
      <x:c r="T30" s="36" t="str">
        <x:v>L2023-00038-1/1. 입찰계획서(피지국립재활센터 건립사업 설계 및 감리 용역)-김우영-230713.hwp</x:v>
      </x:c>
      <x:c r="U30" s="33" t="str">
        <x:v>문단 68 및 문단 70</x:v>
      </x:c>
      <x:c r="V30" s="36" t="str">
        <x:v>https://nebid.koica.go.kr/oep/lobi/localBidManageDetail.do?P_LOAZ_BID_PBLANC_NO=L2023-00038&amp;P_PBLANC_ODR=1</x:v>
      </x:c>
      <x:c r="W30" s="36" t="str">
        <x:v>연면적 약 2,700㎡, 공사비 예산 USD 5,627,206.</x:v>
      </x:c>
    </x:row>
    <x:row r="31">
      <x:c r="A31" s="33" t="str">
        <x:v>L2023-00053-1</x:v>
      </x:c>
      <x:c r="B31" s="33" t="str">
        <x:v>2020-00086</x:v>
      </x:c>
      <x:c r="C31" s="33" t="str">
        <x:v>2023-07-17</x:v>
      </x:c>
      <x:c r="D31" s="39" t="n">
        <x:v>2023.5397260273974</x:v>
      </x:c>
      <x:c r="E31" s="33" t="str">
        <x:v>Uzbekistan</x:v>
      </x:c>
      <x:c r="F31" s="33" t="str">
        <x:v>미상</x:v>
      </x:c>
      <x:c r="G31" s="36" t="str">
        <x:v>직업훈련원</x:v>
      </x:c>
      <x:c r="H31" s="36" t="str">
        <x:v>신축</x:v>
      </x:c>
      <x:c r="I31" s="42" t="n">
        <x:v>6963</x:v>
      </x:c>
      <x:c r="J31" s="45" t="n">
        <x:v>5361576</x:v>
      </x:c>
      <x:c r="K31" s="45" t="n">
        <x:v>770.0094786729858</x:v>
      </x:c>
      <x:c r="L31" s="33" t="str">
        <x:v>A</x:v>
      </x:c>
      <x:c r="M31" s="36" t="str">
        <x:v>총연면적</x:v>
      </x:c>
      <x:c r="N31" s="36" t="str">
        <x:v>공사 입찰 집행한도</x:v>
      </x:c>
      <x:c r="O31" s="36" t="str"/>
      <x:c r="P31" s="33" t="str">
        <x:v>미보정</x:v>
      </x:c>
      <x:c r="Q31" s="33" t="str">
        <x:v>아니오</x:v>
      </x:c>
      <x:c r="R31" s="36" t="str">
        <x:v>유사사례·현지견적 교차검증</x:v>
      </x:c>
      <x:c r="S31" s="33" t="str">
        <x:v>2021-2025 수집분</x:v>
      </x:c>
      <x:c r="T31" s="36" t="str">
        <x:v>L2023-00053-1/Urgench VTC Bid Attachment Documents/Urgench VTC Bid Attachment Documents/Urgench_VTC_Bid Annoncement(The Daily Korean News for Korean Residents).docx</x:v>
      </x:c>
      <x:c r="U31" s="33" t="str">
        <x:v>문단 10</x:v>
      </x:c>
      <x:c r="V31" s="36" t="str">
        <x:v>https://nebid.koica.go.kr/oep/lobi/localBidManageDetail.do?P_LOAZ_BID_PBLANC_NO=L2023-00053&amp;P_PBLANC_ODR=1</x:v>
      </x:c>
      <x:c r="W31" s="36" t="str">
        <x:v>총연면적 6,963.00㎡; 상세페이지 집행한도 USD 5,361,576; 산출단가 USD 770/㎡.</x:v>
      </x:c>
    </x:row>
    <x:row r="32">
      <x:c r="A32" s="33" t="str">
        <x:v>L2023-00035-1</x:v>
      </x:c>
      <x:c r="B32" s="33" t="str">
        <x:v>2019-00015</x:v>
      </x:c>
      <x:c r="C32" s="33" t="str">
        <x:v>2023-07-07</x:v>
      </x:c>
      <x:c r="D32" s="39" t="n">
        <x:v>2023.5123287671233</x:v>
      </x:c>
      <x:c r="E32" s="33" t="str">
        <x:v>Kyrgyzstan</x:v>
      </x:c>
      <x:c r="F32" s="33" t="str">
        <x:v>미상</x:v>
      </x:c>
      <x:c r="G32" s="36" t="str">
        <x:v>공공서비스센터</x:v>
      </x:c>
      <x:c r="H32" s="36" t="str">
        <x:v>리모델링·개보수</x:v>
      </x:c>
      <x:c r="I32" s="42" t="n">
        <x:v>1739.82</x:v>
      </x:c>
      <x:c r="J32" s="45" t="n">
        <x:v>388511</x:v>
      </x:c>
      <x:c r="K32" s="45" t="n">
        <x:v>223.30528445471373</x:v>
      </x:c>
      <x:c r="L32" s="33" t="str">
        <x:v>C</x:v>
      </x:c>
      <x:c r="M32" s="36" t="str">
        <x:v>대상 연면적</x:v>
      </x:c>
      <x:c r="N32" s="36" t="str">
        <x:v>공사 입찰 집행한도</x:v>
      </x:c>
      <x:c r="O32" s="36" t="str">
        <x:v>재활·보수 범위</x:v>
      </x:c>
      <x:c r="P32" s="33" t="str">
        <x:v>미보정</x:v>
      </x:c>
      <x:c r="Q32" s="33" t="str">
        <x:v>아니오</x:v>
      </x:c>
      <x:c r="R32" s="36" t="str">
        <x:v>유사사례·현지견적 교차검증</x:v>
      </x:c>
      <x:c r="S32" s="33" t="str">
        <x:v>2021-2025 수집분</x:v>
      </x:c>
      <x:c r="T32" s="36" t="str">
        <x:v>L2023-00035-1/DOC/OPSC_eng/ENG_Section 2 - Bid Data Sheet (BDS)_Kyrgyzstan_OPSC_22 JUNE_CM reviewed.docx</x:v>
      </x:c>
      <x:c r="U32" s="33" t="str">
        <x:v>표 3 행 8</x:v>
      </x:c>
      <x:c r="V32" s="36" t="str">
        <x:v>https://nebid.koica.go.kr/oep/lobi/localBidManageDetail.do?P_LOAZ_BID_PBLANC_NO=L2023-00035&amp;P_PBLANC_ODR=1</x:v>
      </x:c>
      <x:c r="W32" s="36" t="str">
        <x:v>대상 연면적 1,739.82㎡; 상세페이지 집행한도 USD 388,511; 산출단가 USD 223/㎡.</x:v>
      </x:c>
    </x:row>
    <x:row r="33">
      <x:c r="A33" s="33" t="str">
        <x:v>L2023-00045-1</x:v>
      </x:c>
      <x:c r="B33" s="33" t="str">
        <x:v>2021-00055</x:v>
      </x:c>
      <x:c r="C33" s="33" t="str">
        <x:v>2023-06-16</x:v>
      </x:c>
      <x:c r="D33" s="39" t="n">
        <x:v>2023.454794520548</x:v>
      </x:c>
      <x:c r="E33" s="33" t="str">
        <x:v>Senegal</x:v>
      </x:c>
      <x:c r="F33" s="33" t="str">
        <x:v>미상</x:v>
      </x:c>
      <x:c r="G33" s="36" t="str">
        <x:v>메이커스페이스</x:v>
      </x:c>
      <x:c r="H33" s="36" t="str">
        <x:v>리모델링·개보수</x:v>
      </x:c>
      <x:c r="I33" s="42" t="n">
        <x:v>453</x:v>
      </x:c>
      <x:c r="J33" s="45" t="n">
        <x:v>297000</x:v>
      </x:c>
      <x:c r="K33" s="45" t="n">
        <x:v>655.6291390728477</x:v>
      </x:c>
      <x:c r="L33" s="33" t="str">
        <x:v>B</x:v>
      </x:c>
      <x:c r="M33" s="36" t="str">
        <x:v>대상 연면적</x:v>
      </x:c>
      <x:c r="N33" s="36" t="str">
        <x:v>공사 입찰 집행한도</x:v>
      </x:c>
      <x:c r="O33" s="36" t="str"/>
      <x:c r="P33" s="33" t="str">
        <x:v>미보정</x:v>
      </x:c>
      <x:c r="Q33" s="33" t="str">
        <x:v>아니오</x:v>
      </x:c>
      <x:c r="R33" s="36" t="str">
        <x:v>유사사례·현지견적 교차검증</x:v>
      </x:c>
      <x:c r="S33" s="33" t="str">
        <x:v>2021-2025 수집분</x:v>
      </x:c>
      <x:c r="T33" s="36" t="str">
        <x:v>L2023-00045-1/입찰공고문_영문_Final.docx</x:v>
      </x:c>
      <x:c r="U33" s="33" t="str">
        <x:v>문단 8</x:v>
      </x:c>
      <x:c r="V33" s="36" t="str">
        <x:v>https://nebid.koica.go.kr/oep/lobi/localBidManageDetail.do?P_LOAZ_BID_PBLANC_NO=L2023-00045&amp;P_PBLANC_ODR=1</x:v>
      </x:c>
      <x:c r="W33" s="36" t="str">
        <x:v>대상 연면적 453.00㎡; 상세페이지 집행한도 USD 297,000; 산출단가 USD 656/㎡.</x:v>
      </x:c>
    </x:row>
    <x:row r="34">
      <x:c r="A34" s="33" t="str">
        <x:v>L2023-00022-1</x:v>
      </x:c>
      <x:c r="B34" s="33" t="str">
        <x:v>2021-00075</x:v>
      </x:c>
      <x:c r="C34" s="33" t="str">
        <x:v>2023-05-04</x:v>
      </x:c>
      <x:c r="D34" s="39" t="n">
        <x:v>2023.33698630137</x:v>
      </x:c>
      <x:c r="E34" s="33" t="str">
        <x:v>Timor-Leste</x:v>
      </x:c>
      <x:c r="F34" s="33" t="str">
        <x:v>미상</x:v>
      </x:c>
      <x:c r="G34" s="36" t="str">
        <x:v>농업 인프라 시설</x:v>
      </x:c>
      <x:c r="H34" s="36" t="str">
        <x:v>신축·토목</x:v>
      </x:c>
      <x:c r="I34" s="42" t="n">
        <x:v>826.8</x:v>
      </x:c>
      <x:c r="J34" s="45" t="n">
        <x:v>1570000</x:v>
      </x:c>
      <x:c r="K34" s="45" t="n">
        <x:v>1898.887276245767</x:v>
      </x:c>
      <x:c r="L34" s="33" t="str">
        <x:v>C</x:v>
      </x:c>
      <x:c r="M34" s="36" t="str">
        <x:v>동별 면적 합계</x:v>
      </x:c>
      <x:c r="N34" s="36" t="str">
        <x:v>공사 입찰 집행한도</x:v>
      </x:c>
      <x:c r="O34" s="36" t="str">
        <x:v>도로·급수 등 토목 포함</x:v>
      </x:c>
      <x:c r="P34" s="33" t="str">
        <x:v>미보정</x:v>
      </x:c>
      <x:c r="Q34" s="33" t="str">
        <x:v>아니오</x:v>
      </x:c>
      <x:c r="R34" s="36" t="str">
        <x:v>유사사례·현지견적 교차검증</x:v>
      </x:c>
      <x:c r="S34" s="33" t="str">
        <x:v>2021-2025 수집분</x:v>
      </x:c>
      <x:c r="T34" s="36" t="str">
        <x:v>L2023-00022-1/Notice of Bid for Construction_230503.docx</x:v>
      </x:c>
      <x:c r="U34" s="33" t="str">
        <x:v>표 1 행 8</x:v>
      </x:c>
      <x:c r="V34" s="36" t="str">
        <x:v>https://nebid.koica.go.kr/oep/lobi/localBidManageDetail.do?P_LOAZ_BID_PBLANC_NO=L2023-00022&amp;P_PBLANC_ODR=1</x:v>
      </x:c>
      <x:c r="W34" s="36" t="str">
        <x:v>동별 면적 합계 826.80㎡; 상세페이지 집행한도 USD 1,570,000; 산출단가 USD 1,899/㎡.</x:v>
      </x:c>
    </x:row>
    <x:row r="35">
      <x:c r="A35" s="33" t="str">
        <x:v>L2023-00018-1</x:v>
      </x:c>
      <x:c r="B35" s="33" t="str">
        <x:v>2020-00087</x:v>
      </x:c>
      <x:c r="C35" s="33" t="str">
        <x:v>2023-04-18</x:v>
      </x:c>
      <x:c r="D35" s="39" t="n">
        <x:v>2023.2931506849316</x:v>
      </x:c>
      <x:c r="E35" s="33" t="str">
        <x:v>Indonesia</x:v>
      </x:c>
      <x:c r="F35" s="33" t="str">
        <x:v>미상</x:v>
      </x:c>
      <x:c r="G35" s="36" t="str">
        <x:v>청소년 재활시설</x:v>
      </x:c>
      <x:c r="H35" s="36" t="str">
        <x:v>리모델링·개보수</x:v>
      </x:c>
      <x:c r="I35" s="42" t="n">
        <x:v>6149</x:v>
      </x:c>
      <x:c r="J35" s="45" t="n">
        <x:v>2355000</x:v>
      </x:c>
      <x:c r="K35" s="45" t="n">
        <x:v>382.98910391933646</x:v>
      </x:c>
      <x:c r="L35" s="33" t="str">
        <x:v>C</x:v>
      </x:c>
      <x:c r="M35" s="36" t="str">
        <x:v>대상 연면적</x:v>
      </x:c>
      <x:c r="N35" s="36" t="str">
        <x:v>공사 입찰 집행한도</x:v>
      </x:c>
      <x:c r="O35" s="36" t="str">
        <x:v>개보수 패키지</x:v>
      </x:c>
      <x:c r="P35" s="33" t="str">
        <x:v>미보정</x:v>
      </x:c>
      <x:c r="Q35" s="33" t="str">
        <x:v>아니오</x:v>
      </x:c>
      <x:c r="R35" s="36" t="str">
        <x:v>유사사례·현지견적 교차검증</x:v>
      </x:c>
      <x:c r="S35" s="33" t="str">
        <x:v>2021-2025 수집분</x:v>
      </x:c>
      <x:c r="T35" s="36" t="str">
        <x:v>L2023-00018-1/(붙임1) 취약계층 청소년 사회복귀 지원사업 시공사 선정 입찰계획(안) - v2.5.hwp</x:v>
      </x:c>
      <x:c r="U35" s="33" t="str">
        <x:v>문단 67</x:v>
      </x:c>
      <x:c r="V35" s="36" t="str">
        <x:v>https://nebid.koica.go.kr/oep/lobi/localBidManageDetail.do?P_LOAZ_BID_PBLANC_NO=L2023-00018&amp;P_PBLANC_ODR=1</x:v>
      </x:c>
      <x:c r="W35" s="36" t="str">
        <x:v>대상 연면적 6,149.00㎡; 상세페이지 집행한도 USD 2,355,000; 산출단가 USD 383/㎡.</x:v>
      </x:c>
    </x:row>
    <x:row r="36">
      <x:c r="A36" s="33" t="str">
        <x:v>L2023-00011-1</x:v>
      </x:c>
      <x:c r="B36" s="33" t="str">
        <x:v>2021-00043</x:v>
      </x:c>
      <x:c r="C36" s="33" t="str">
        <x:v>2023-03-28</x:v>
      </x:c>
      <x:c r="D36" s="39" t="n">
        <x:v>2023.2356164383561</x:v>
      </x:c>
      <x:c r="E36" s="33" t="str">
        <x:v>Uganda</x:v>
      </x:c>
      <x:c r="F36" s="33" t="str">
        <x:v>미상</x:v>
      </x:c>
      <x:c r="G36" s="36" t="str">
        <x:v>온실·창고</x:v>
      </x:c>
      <x:c r="H36" s="36" t="str">
        <x:v>신축·토목</x:v>
      </x:c>
      <x:c r="I36" s="42" t="n">
        <x:v>6456</x:v>
      </x:c>
      <x:c r="J36" s="45" t="n">
        <x:v>1540000</x:v>
      </x:c>
      <x:c r="K36" s="45" t="n">
        <x:v>238.53779429987608</x:v>
      </x:c>
      <x:c r="L36" s="33" t="str">
        <x:v>C</x:v>
      </x:c>
      <x:c r="M36" s="36" t="str">
        <x:v>시설 면적 합계</x:v>
      </x:c>
      <x:c r="N36" s="36" t="str">
        <x:v>공사 입찰 집행한도</x:v>
      </x:c>
      <x:c r="O36" s="36" t="str">
        <x:v>온실 중심 비표준 시설</x:v>
      </x:c>
      <x:c r="P36" s="33" t="str">
        <x:v>미보정</x:v>
      </x:c>
      <x:c r="Q36" s="33" t="str">
        <x:v>아니오</x:v>
      </x:c>
      <x:c r="R36" s="36" t="str">
        <x:v>유사사례·현지견적 교차검증</x:v>
      </x:c>
      <x:c r="S36" s="33" t="str">
        <x:v>2021-2025 수집분</x:v>
      </x:c>
      <x:c r="T36" s="36" t="str">
        <x:v>L2023-00011-1/Section 2 - Bid Data Sheet (BDS).docx</x:v>
      </x:c>
      <x:c r="U36" s="33" t="str">
        <x:v>표 5 행 8</x:v>
      </x:c>
      <x:c r="V36" s="36" t="str">
        <x:v>https://nebid.koica.go.kr/oep/lobi/localBidManageDetail.do?P_LOAZ_BID_PBLANC_NO=L2023-00011&amp;P_PBLANC_ODR=1</x:v>
      </x:c>
      <x:c r="W36" s="36" t="str">
        <x:v>시설 면적 합계 6,456.00㎡; 상세페이지 집행한도 USD 1,540,000; 산출단가 USD 239/㎡.</x:v>
      </x:c>
    </x:row>
    <x:row r="37">
      <x:c r="A37" s="33" t="str">
        <x:v>L2023-00009-1</x:v>
      </x:c>
      <x:c r="B37" s="33" t="str">
        <x:v>2019-00005</x:v>
      </x:c>
      <x:c r="C37" s="33" t="str">
        <x:v>2023-03-20</x:v>
      </x:c>
      <x:c r="D37" s="39" t="n">
        <x:v>2023.213698630137</x:v>
      </x:c>
      <x:c r="E37" s="33" t="str">
        <x:v>Uganda</x:v>
      </x:c>
      <x:c r="F37" s="33" t="str">
        <x:v>미상</x:v>
      </x:c>
      <x:c r="G37" s="36" t="str">
        <x:v>옥수수 가공·시장시설</x:v>
      </x:c>
      <x:c r="H37" s="36" t="str">
        <x:v>신축</x:v>
      </x:c>
      <x:c r="I37" s="42" t="n">
        <x:v>827.4</x:v>
      </x:c>
      <x:c r="J37" s="45" t="n">
        <x:v>272603</x:v>
      </x:c>
      <x:c r="K37" s="45" t="n">
        <x:v>329.46942228668115</x:v>
      </x:c>
      <x:c r="L37" s="33" t="str">
        <x:v>B</x:v>
      </x:c>
      <x:c r="M37" s="36" t="str">
        <x:v>시설 면적 합계</x:v>
      </x:c>
      <x:c r="N37" s="36" t="str">
        <x:v>공사 입찰 집행한도</x:v>
      </x:c>
      <x:c r="O37" s="36" t="str">
        <x:v>산업·시장시설</x:v>
      </x:c>
      <x:c r="P37" s="33" t="str">
        <x:v>미보정</x:v>
      </x:c>
      <x:c r="Q37" s="33" t="str">
        <x:v>아니오</x:v>
      </x:c>
      <x:c r="R37" s="36" t="str">
        <x:v>유사사례·현지견적 교차검증</x:v>
      </x:c>
      <x:c r="S37" s="33" t="str">
        <x:v>2021-2025 수집분</x:v>
      </x:c>
      <x:c r="T37" s="36" t="str">
        <x:v>L2023-00009-1/2. 입찰서류(영문)/Part 1(└╘┬√ └²┬≈)/Section 2 - Bid Data Sheet.docx</x:v>
      </x:c>
      <x:c r="U37" s="33" t="str">
        <x:v>표 5 행 8</x:v>
      </x:c>
      <x:c r="V37" s="36" t="str">
        <x:v>https://nebid.koica.go.kr/oep/lobi/localBidManageDetail.do?P_LOAZ_BID_PBLANC_NO=L2023-00009&amp;P_PBLANC_ODR=1</x:v>
      </x:c>
      <x:c r="W37" s="36" t="str">
        <x:v>시설 면적 합계 827.40㎡; 상세페이지 집행한도 USD 272,603; 산출단가 USD 329/㎡.</x:v>
      </x:c>
    </x:row>
    <x:row r="38">
      <x:c r="A38" s="33" t="str">
        <x:v>L2023-00021-1</x:v>
      </x:c>
      <x:c r="B38" s="33" t="str">
        <x:v>2021-00064</x:v>
      </x:c>
      <x:c r="C38" s="33" t="str">
        <x:v>2023-02-06</x:v>
      </x:c>
      <x:c r="D38" s="39" t="n">
        <x:v>2023.0986301369862</x:v>
      </x:c>
      <x:c r="E38" s="33" t="str">
        <x:v>Paraguay</x:v>
      </x:c>
      <x:c r="F38" s="33" t="str">
        <x:v>미상</x:v>
      </x:c>
      <x:c r="G38" s="36" t="str">
        <x:v>멀티미디어 교육지원센터</x:v>
      </x:c>
      <x:c r="H38" s="36" t="str">
        <x:v>신축</x:v>
      </x:c>
      <x:c r="I38" s="42"/>
      <x:c r="J38" s="45"/>
      <x:c r="K38" s="45" t="n">
        <x:v>1100</x:v>
      </x:c>
      <x:c r="L38" s="33" t="str">
        <x:v>A</x:v>
      </x:c>
      <x:c r="M38" s="36" t="str">
        <x:v>직접 제시 계획단가</x:v>
      </x:c>
      <x:c r="N38" s="36" t="str">
        <x:v>사무소 협의 적용단가</x:v>
      </x:c>
      <x:c r="O38" s="36" t="str">
        <x:v>면적·총공사비가 아닌 직접 제시된 계획단가.</x:v>
      </x:c>
      <x:c r="P38" s="33" t="str">
        <x:v>미보정</x:v>
      </x:c>
      <x:c r="Q38" s="33" t="str">
        <x:v>아니오</x:v>
      </x:c>
      <x:c r="R38" s="36" t="str">
        <x:v>유사사례·현지견적 교차검증</x:v>
      </x:c>
      <x:c r="S38" s="33" t="str">
        <x:v>2021-2025 수집분</x:v>
      </x:c>
      <x:c r="T38" s="36" t="str">
        <x:v>L2023-00021-1/붙임1. 파라과이 멀티미디어 센터 설계용역 입찰설명서(국문본)_최종_230130_기평팀.hwp</x:v>
      </x:c>
      <x:c r="U38" s="33" t="str">
        <x:v>문단 567</x:v>
      </x:c>
      <x:c r="V38" s="36" t="str">
        <x:v>https://nebid.koica.go.kr/oep/lobi/localBidManageDetail.do?P_LOAZ_BID_PBLANC_NO=L2023-00021&amp;P_PBLANC_ODR=1</x:v>
      </x:c>
      <x:c r="W38" s="36" t="str">
        <x:v>건축 공사비 단가 USD 1,100/㎡ 적용, 설계비 8% 적용.</x:v>
      </x:c>
    </x:row>
    <x:row r="39">
      <x:c r="A39" s="33" t="str">
        <x:v>L2022-00055-1</x:v>
      </x:c>
      <x:c r="B39" s="33" t="str">
        <x:v>2019-00015</x:v>
      </x:c>
      <x:c r="C39" s="33" t="str">
        <x:v>2022-09-22</x:v>
      </x:c>
      <x:c r="D39" s="39" t="n">
        <x:v>2022.7232876712328</x:v>
      </x:c>
      <x:c r="E39" s="33" t="str">
        <x:v>Kyrgyzstan</x:v>
      </x:c>
      <x:c r="F39" s="33" t="str">
        <x:v>미상</x:v>
      </x:c>
      <x:c r="G39" s="36" t="str">
        <x:v>약초 건조시설</x:v>
      </x:c>
      <x:c r="H39" s="36" t="str">
        <x:v>신축</x:v>
      </x:c>
      <x:c r="I39" s="42" t="n">
        <x:v>449.72</x:v>
      </x:c>
      <x:c r="J39" s="45" t="n">
        <x:v>420285</x:v>
      </x:c>
      <x:c r="K39" s="45" t="n">
        <x:v>934.5481633016099</x:v>
      </x:c>
      <x:c r="L39" s="33" t="str">
        <x:v>B</x:v>
      </x:c>
      <x:c r="M39" s="36" t="str">
        <x:v>총연면적</x:v>
      </x:c>
      <x:c r="N39" s="36" t="str">
        <x:v>공사 입찰 집행한도</x:v>
      </x:c>
      <x:c r="O39" s="36" t="str">
        <x:v>산업시설</x:v>
      </x:c>
      <x:c r="P39" s="33" t="str">
        <x:v>미보정</x:v>
      </x:c>
      <x:c r="Q39" s="33" t="str">
        <x:v>아니오</x:v>
      </x:c>
      <x:c r="R39" s="36" t="str">
        <x:v>유사사례·현지견적 교차검증</x:v>
      </x:c>
      <x:c r="S39" s="33" t="str">
        <x:v>2021-2025 수집분</x:v>
      </x:c>
      <x:c r="T39" s="36" t="str">
        <x:v>L2022-00055-1/(붙임1) 키르기즈 약초건조장 신축공사 현지 입찰 계획서(안) 국문_v4_0914_추가수정.hwp</x:v>
      </x:c>
      <x:c r="U39" s="33" t="str">
        <x:v>문단 103</x:v>
      </x:c>
      <x:c r="V39" s="36" t="str">
        <x:v>https://nebid.koica.go.kr/oep/lobi/localBidManageDetail.do?P_LOAZ_BID_PBLANC_NO=L2022-00055&amp;P_PBLANC_ODR=1</x:v>
      </x:c>
      <x:c r="W39" s="36" t="str">
        <x:v>총연면적 449.72㎡; 상세페이지 집행한도 USD 420,285; 산출단가 USD 935/㎡.</x:v>
      </x:c>
    </x:row>
    <x:row r="40">
      <x:c r="A40" s="33" t="str">
        <x:v>L2022-00046-1</x:v>
      </x:c>
      <x:c r="B40" s="33" t="str">
        <x:v>2016-20176</x:v>
      </x:c>
      <x:c r="C40" s="33" t="str">
        <x:v>2022-09-13</x:v>
      </x:c>
      <x:c r="D40" s="39" t="n">
        <x:v>2022.6986301369864</x:v>
      </x:c>
      <x:c r="E40" s="33" t="str">
        <x:v>Dominican Republic</x:v>
      </x:c>
      <x:c r="F40" s="33" t="str">
        <x:v>미상</x:v>
      </x:c>
      <x:c r="G40" s="36" t="str">
        <x:v>보건센터</x:v>
      </x:c>
      <x:c r="H40" s="36" t="str">
        <x:v>신축</x:v>
      </x:c>
      <x:c r="I40" s="42" t="n">
        <x:v>858</x:v>
      </x:c>
      <x:c r="J40" s="45" t="n">
        <x:v>1507000</x:v>
      </x:c>
      <x:c r="K40" s="45" t="n">
        <x:v>1756.4102564102564</x:v>
      </x:c>
      <x:c r="L40" s="33" t="str">
        <x:v>A</x:v>
      </x:c>
      <x:c r="M40" s="36" t="str">
        <x:v>총연면적</x:v>
      </x:c>
      <x:c r="N40" s="36" t="str">
        <x:v>공사 입찰 집행한도</x:v>
      </x:c>
      <x:c r="O40" s="36" t="str"/>
      <x:c r="P40" s="33" t="str">
        <x:v>미보정</x:v>
      </x:c>
      <x:c r="Q40" s="33" t="str">
        <x:v>아니오</x:v>
      </x:c>
      <x:c r="R40" s="36" t="str">
        <x:v>유사사례·현지견적 교차검증</x:v>
      </x:c>
      <x:c r="S40" s="33" t="str">
        <x:v>2021-2025 수집분</x:v>
      </x:c>
      <x:c r="T40" s="36" t="str">
        <x:v>L2022-00046-1/(붙임2) 입찰안내서(영문)_최종/Section I_Bidding Guideline for Procurement of Contractor.docx</x:v>
      </x:c>
      <x:c r="U40" s="33" t="str">
        <x:v>문단 57</x:v>
      </x:c>
      <x:c r="V40" s="36" t="str">
        <x:v>https://nebid.koica.go.kr/oep/lobi/localBidManageDetail.do?P_LOAZ_BID_PBLANC_NO=L2022-00046&amp;P_PBLANC_ODR=1</x:v>
      </x:c>
      <x:c r="W40" s="36" t="str">
        <x:v>총연면적 858.00㎡; 상세페이지 집행한도 USD 1,507,000; 산출단가 USD 1,756/㎡.</x:v>
      </x:c>
    </x:row>
    <x:row r="41">
      <x:c r="A41" s="33" t="str">
        <x:v>L2022-00043-1</x:v>
      </x:c>
      <x:c r="B41" s="33" t="str">
        <x:v>2020-00113</x:v>
      </x:c>
      <x:c r="C41" s="33" t="str">
        <x:v>2022-09-01</x:v>
      </x:c>
      <x:c r="D41" s="39" t="n">
        <x:v>2022.6657534246576</x:v>
      </x:c>
      <x:c r="E41" s="33" t="str">
        <x:v>Bangladesh</x:v>
      </x:c>
      <x:c r="F41" s="33" t="str">
        <x:v>미상</x:v>
      </x:c>
      <x:c r="G41" s="36" t="str">
        <x:v>사이버수사 교육시설</x:v>
      </x:c>
      <x:c r="H41" s="36" t="str">
        <x:v>신축</x:v>
      </x:c>
      <x:c r="I41" s="42" t="n">
        <x:v>2194</x:v>
      </x:c>
      <x:c r="J41" s="45" t="n">
        <x:v>1575000</x:v>
      </x:c>
      <x:c r="K41" s="45" t="n">
        <x:v>717.8669097538742</x:v>
      </x:c>
      <x:c r="L41" s="33" t="str">
        <x:v>A</x:v>
      </x:c>
      <x:c r="M41" s="36" t="str">
        <x:v>총연면적</x:v>
      </x:c>
      <x:c r="N41" s="36" t="str">
        <x:v>공사 입찰 집행한도</x:v>
      </x:c>
      <x:c r="O41" s="36" t="str"/>
      <x:c r="P41" s="33" t="str">
        <x:v>미보정</x:v>
      </x:c>
      <x:c r="Q41" s="33" t="str">
        <x:v>아니오</x:v>
      </x:c>
      <x:c r="R41" s="36" t="str">
        <x:v>유사사례·현지견적 교차검증</x:v>
      </x:c>
      <x:c r="S41" s="33" t="str">
        <x:v>2021-2025 수집분</x:v>
      </x:c>
      <x:c r="T41" s="36" t="str">
        <x:v>L2022-00043-1/붙임. 사이버안전을 위한 디지털 수사 역량 확산 사업 사이버 경찰센터 시공 입.doc</x:v>
      </x:c>
      <x:c r="U41" s="33" t="str">
        <x:v>문단 3</x:v>
      </x:c>
      <x:c r="V41" s="36" t="str">
        <x:v>https://nebid.koica.go.kr/oep/lobi/localBidManageDetail.do?P_LOAZ_BID_PBLANC_NO=L2022-00043&amp;P_PBLANC_ODR=1</x:v>
      </x:c>
      <x:c r="W41" s="36" t="str">
        <x:v>총연면적 2,194.00㎡; 상세페이지 집행한도 USD 1,575,000; 산출단가 USD 718/㎡.</x:v>
      </x:c>
    </x:row>
    <x:row r="42">
      <x:c r="A42" s="33" t="str">
        <x:v>L2022-00029-1</x:v>
      </x:c>
      <x:c r="B42" s="33" t="str">
        <x:v>2021-00139</x:v>
      </x:c>
      <x:c r="C42" s="33" t="str">
        <x:v>2022-06-06</x:v>
      </x:c>
      <x:c r="D42" s="39" t="n">
        <x:v>2022.427397260274</x:v>
      </x:c>
      <x:c r="E42" s="33" t="str">
        <x:v>Nepal</x:v>
      </x:c>
      <x:c r="F42" s="33" t="str">
        <x:v>미상</x:v>
      </x:c>
      <x:c r="G42" s="36" t="str">
        <x:v>모델 폴리테크닉</x:v>
      </x:c>
      <x:c r="H42" s="36" t="str">
        <x:v>신축</x:v>
      </x:c>
      <x:c r="I42" s="42" t="n">
        <x:v>5640.1</x:v>
      </x:c>
      <x:c r="J42" s="45" t="n">
        <x:v>3744400</x:v>
      </x:c>
      <x:c r="K42" s="45" t="n">
        <x:v>663.8889381393947</x:v>
      </x:c>
      <x:c r="L42" s="33" t="str">
        <x:v>A</x:v>
      </x:c>
      <x:c r="M42" s="36" t="str">
        <x:v>총연면적</x:v>
      </x:c>
      <x:c r="N42" s="36" t="str">
        <x:v>공사 입찰 집행한도</x:v>
      </x:c>
      <x:c r="O42" s="36" t="str"/>
      <x:c r="P42" s="33" t="str">
        <x:v>미보정</x:v>
      </x:c>
      <x:c r="Q42" s="33" t="str">
        <x:v>아니오</x:v>
      </x:c>
      <x:c r="R42" s="36" t="str">
        <x:v>유사사례·현지견적 교차검증</x:v>
      </x:c>
      <x:c r="S42" s="33" t="str">
        <x:v>2021-2025 수집분</x:v>
      </x:c>
      <x:c r="T42" s="36" t="str">
        <x:v>L2022-00029-1/2. 영문입찰계획서(네팔사무소 조정안)_0531.docx</x:v>
      </x:c>
      <x:c r="U42" s="33" t="str">
        <x:v>표 1 행 4</x:v>
      </x:c>
      <x:c r="V42" s="36" t="str">
        <x:v>https://nebid.koica.go.kr/oep/lobi/localBidManageDetail.do?P_LOAZ_BID_PBLANC_NO=L2022-00029&amp;P_PBLANC_ODR=1</x:v>
      </x:c>
      <x:c r="W42" s="36" t="str">
        <x:v>총연면적 5,640.10㎡; 상세페이지 집행한도 USD 3,744,400; 산출단가 USD 664/㎡.</x:v>
      </x:c>
    </x:row>
    <x:row r="43">
      <x:c r="A43" s="33" t="str">
        <x:v>L2022-00027-1</x:v>
      </x:c>
      <x:c r="B43" s="33" t="str">
        <x:v>2020-00073</x:v>
      </x:c>
      <x:c r="C43" s="33" t="str">
        <x:v>2022-06-06</x:v>
      </x:c>
      <x:c r="D43" s="39" t="n">
        <x:v>2022.427397260274</x:v>
      </x:c>
      <x:c r="E43" s="33" t="str">
        <x:v>Ecuador</x:v>
      </x:c>
      <x:c r="F43" s="33" t="str">
        <x:v>Quito</x:v>
      </x:c>
      <x:c r="G43" s="36" t="str">
        <x:v>혁신센터</x:v>
      </x:c>
      <x:c r="H43" s="36" t="str">
        <x:v>신축</x:v>
      </x:c>
      <x:c r="I43" s="42" t="n">
        <x:v>3100</x:v>
      </x:c>
      <x:c r="J43" s="45" t="n">
        <x:v>2670000</x:v>
      </x:c>
      <x:c r="K43" s="45" t="n">
        <x:v>861.2903225806451</x:v>
      </x:c>
      <x:c r="L43" s="33" t="str">
        <x:v>A</x:v>
      </x:c>
      <x:c r="M43" s="36" t="str">
        <x:v>문서 명시 연면적</x:v>
      </x:c>
      <x:c r="N43" s="36" t="str">
        <x:v>CM 보고서 기반 추정공사비</x:v>
      </x:c>
      <x:c r="O43" s="36" t="str"/>
      <x:c r="P43" s="33" t="str">
        <x:v>미보정</x:v>
      </x:c>
      <x:c r="Q43" s="33" t="str">
        <x:v>아니오</x:v>
      </x:c>
      <x:c r="R43" s="36" t="str">
        <x:v>유사사례·현지견적 교차검증</x:v>
      </x:c>
      <x:c r="S43" s="33" t="str">
        <x:v>2021-2025 수집분</x:v>
      </x:c>
      <x:c r="T43" s="36" t="str">
        <x:v>L2022-00027-1/2. 입찰서류(영문)_키토혁신센터 설계_220531/1. Ecuador Bidding Guideline 20220531.docx</x:v>
      </x:c>
      <x:c r="U43" s="33" t="str">
        <x:v>문단 57</x:v>
      </x:c>
      <x:c r="V43" s="36" t="str">
        <x:v>https://nebid.koica.go.kr/oep/lobi/localBidManageDetail.do?P_LOAZ_BID_PBLANC_NO=L2022-00027&amp;P_PBLANC_ODR=1</x:v>
      </x:c>
      <x:c r="W43" s="36" t="str">
        <x:v>GFA 3,100㎡, 추정공사비 USD 2,670,000; 설계비율 6%.</x:v>
      </x:c>
    </x:row>
    <x:row r="44">
      <x:c r="A44" s="33" t="str">
        <x:v>L2022-00007-2</x:v>
      </x:c>
      <x:c r="B44" s="33" t="str">
        <x:v>2016-20098</x:v>
      </x:c>
      <x:c r="C44" s="33" t="str">
        <x:v>2022-05-30</x:v>
      </x:c>
      <x:c r="D44" s="39" t="n">
        <x:v>2022.4082191780822</x:v>
      </x:c>
      <x:c r="E44" s="33" t="str">
        <x:v>Indonesia</x:v>
      </x:c>
      <x:c r="F44" s="33" t="str">
        <x:v>미상</x:v>
      </x:c>
      <x:c r="G44" s="36" t="str">
        <x:v>경찰 교육시설</x:v>
      </x:c>
      <x:c r="H44" s="36" t="str">
        <x:v>리모델링·개보수</x:v>
      </x:c>
      <x:c r="I44" s="42" t="n">
        <x:v>1458</x:v>
      </x:c>
      <x:c r="J44" s="45" t="n">
        <x:v>275400</x:v>
      </x:c>
      <x:c r="K44" s="45" t="n">
        <x:v>188.88888888888889</x:v>
      </x:c>
      <x:c r="L44" s="33" t="str">
        <x:v>C</x:v>
      </x:c>
      <x:c r="M44" s="36" t="str">
        <x:v>대상 연면적</x:v>
      </x:c>
      <x:c r="N44" s="36" t="str">
        <x:v>공사 입찰 집행한도</x:v>
      </x:c>
      <x:c r="O44" s="36" t="str">
        <x:v>개보수 패키지</x:v>
      </x:c>
      <x:c r="P44" s="33" t="str">
        <x:v>미보정</x:v>
      </x:c>
      <x:c r="Q44" s="33" t="str">
        <x:v>아니오</x:v>
      </x:c>
      <x:c r="R44" s="36" t="str">
        <x:v>유사사례·현지견적 교차검증</x:v>
      </x:c>
      <x:c r="S44" s="33" t="str">
        <x:v>2021-2025 수집분</x:v>
      </x:c>
      <x:c r="T44" s="36" t="str">
        <x:v>L2022-00007-2/(붙임1) 220525인도네시아 경찰청사이버범죄수사 교육센타 시공사 선정 입찰계획(안) - 재공고.hwp</x:v>
      </x:c>
      <x:c r="U44" s="33" t="str">
        <x:v>문단 64</x:v>
      </x:c>
      <x:c r="V44" s="36" t="str">
        <x:v>https://nebid.koica.go.kr/oep/lobi/localBidManageDetail.do?P_LOAZ_BID_PBLANC_NO=L2022-00007&amp;P_PBLANC_ODR=2</x:v>
      </x:c>
      <x:c r="W44" s="36" t="str">
        <x:v>대상 연면적 1,458.00㎡; 상세페이지 집행한도 USD 275,400; 산출단가 USD 189/㎡.</x:v>
      </x:c>
    </x:row>
    <x:row r="45">
      <x:c r="A45" s="33" t="str">
        <x:v>L2021-00045-1</x:v>
      </x:c>
      <x:c r="B45" s="33" t="str">
        <x:v>2019-00032</x:v>
      </x:c>
      <x:c r="C45" s="33" t="str">
        <x:v>2021-12-28</x:v>
      </x:c>
      <x:c r="D45" s="39" t="n">
        <x:v>2021.9890410958903</x:v>
      </x:c>
      <x:c r="E45" s="33" t="str">
        <x:v>Paraguay</x:v>
      </x:c>
      <x:c r="F45" s="33" t="str">
        <x:v>미상</x:v>
      </x:c>
      <x:c r="G45" s="36" t="str">
        <x:v>항공훈련센터</x:v>
      </x:c>
      <x:c r="H45" s="36" t="str">
        <x:v>신축</x:v>
      </x:c>
      <x:c r="I45" s="42" t="n">
        <x:v>2866.41</x:v>
      </x:c>
      <x:c r="J45" s="45" t="n">
        <x:v>2415000</x:v>
      </x:c>
      <x:c r="K45" s="45" t="n">
        <x:v>842.5172951531707</x:v>
      </x:c>
      <x:c r="L45" s="33" t="str">
        <x:v>A</x:v>
      </x:c>
      <x:c r="M45" s="36" t="str">
        <x:v>총연면적</x:v>
      </x:c>
      <x:c r="N45" s="36" t="str">
        <x:v>공사 입찰 집행한도</x:v>
      </x:c>
      <x:c r="O45" s="36" t="str"/>
      <x:c r="P45" s="33" t="str">
        <x:v>미보정</x:v>
      </x:c>
      <x:c r="Q45" s="33" t="str">
        <x:v>아니오</x:v>
      </x:c>
      <x:c r="R45" s="36" t="str">
        <x:v>유사사례·현지견적 교차검증</x:v>
      </x:c>
      <x:c r="S45" s="33" t="str">
        <x:v>2021-2025 수집분</x:v>
      </x:c>
      <x:c r="T45" s="36" t="str">
        <x:v>L2021-00045-1/0 Bidding Guideline for Construction_ATC.docx</x:v>
      </x:c>
      <x:c r="U45" s="33" t="str">
        <x:v>문단 92</x:v>
      </x:c>
      <x:c r="V45" s="36" t="str">
        <x:v>https://nebid.koica.go.kr/oep/lobi/localBidManageDetail.do?P_LOAZ_BID_PBLANC_NO=L2021-00045&amp;P_PBLANC_ODR=1</x:v>
      </x:c>
      <x:c r="W45" s="36" t="str">
        <x:v>총연면적 2,866.41㎡; 상세페이지 집행한도 USD 2,415,000; 산출단가 USD 843/㎡.</x:v>
      </x:c>
    </x:row>
    <x:row r="46">
      <x:c r="A46" s="33" t="str">
        <x:v>L2021-00031-1</x:v>
      </x:c>
      <x:c r="B46" s="33" t="str">
        <x:v>2019-00045</x:v>
      </x:c>
      <x:c r="C46" s="33" t="str">
        <x:v>2021-10-22</x:v>
      </x:c>
      <x:c r="D46" s="39" t="n">
        <x:v>2021.805479452055</x:v>
      </x:c>
      <x:c r="E46" s="33" t="str">
        <x:v>Pakistan</x:v>
      </x:c>
      <x:c r="F46" s="33" t="str">
        <x:v>미상</x:v>
      </x:c>
      <x:c r="G46" s="36" t="str">
        <x:v>태양광 연구실</x:v>
      </x:c>
      <x:c r="H46" s="36" t="str">
        <x:v>신축</x:v>
      </x:c>
      <x:c r="I46" s="42" t="n">
        <x:v>2349.2</x:v>
      </x:c>
      <x:c r="J46" s="45" t="n">
        <x:v>1839007</x:v>
      </x:c>
      <x:c r="K46" s="45" t="n">
        <x:v>782.8226630342244</x:v>
      </x:c>
      <x:c r="L46" s="33" t="str">
        <x:v>A</x:v>
      </x:c>
      <x:c r="M46" s="36" t="str">
        <x:v>총연면적</x:v>
      </x:c>
      <x:c r="N46" s="36" t="str">
        <x:v>공사 입찰 집행한도</x:v>
      </x:c>
      <x:c r="O46" s="36" t="str"/>
      <x:c r="P46" s="33" t="str">
        <x:v>미보정</x:v>
      </x:c>
      <x:c r="Q46" s="33" t="str">
        <x:v>아니오</x:v>
      </x:c>
      <x:c r="R46" s="36" t="str">
        <x:v>유사사례·현지견적 교차검증</x:v>
      </x:c>
      <x:c r="S46" s="33" t="str">
        <x:v>2021-2025 수집분</x:v>
      </x:c>
      <x:c r="T46" s="36" t="str">
        <x:v>L2021-00031-1/2. Chapters/Chapter 1. Invitation for Pre-Qualification_1020.docx</x:v>
      </x:c>
      <x:c r="U46" s="33" t="str">
        <x:v>표 2 행 7</x:v>
      </x:c>
      <x:c r="V46" s="36" t="str">
        <x:v>https://nebid.koica.go.kr/oep/lobi/localBidManageDetail.do?P_LOAZ_BID_PBLANC_NO=L2021-00031&amp;P_PBLANC_ODR=1</x:v>
      </x:c>
      <x:c r="W46" s="36" t="str">
        <x:v>총연면적 2,349.20㎡; 상세페이지 집행한도 USD 1,839,007; 산출단가 USD 783/㎡.</x:v>
      </x:c>
    </x:row>
    <x:row r="47">
      <x:c r="A47" s="33" t="str">
        <x:v>L2021-00030-1</x:v>
      </x:c>
      <x:c r="B47" s="33" t="str">
        <x:v>2019-00032</x:v>
      </x:c>
      <x:c r="C47" s="33" t="str">
        <x:v>2021-10-20</x:v>
      </x:c>
      <x:c r="D47" s="39" t="n">
        <x:v>2021.8</x:v>
      </x:c>
      <x:c r="E47" s="33" t="str">
        <x:v>Paraguay</x:v>
      </x:c>
      <x:c r="F47" s="33" t="str">
        <x:v>미상</x:v>
      </x:c>
      <x:c r="G47" s="36" t="str">
        <x:v>항공훈련 격납고</x:v>
      </x:c>
      <x:c r="H47" s="36" t="str">
        <x:v>신축</x:v>
      </x:c>
      <x:c r="I47" s="42" t="n">
        <x:v>945</x:v>
      </x:c>
      <x:c r="J47" s="45" t="n">
        <x:v>892000</x:v>
      </x:c>
      <x:c r="K47" s="45" t="n">
        <x:v>943.9153439153439</x:v>
      </x:c>
      <x:c r="L47" s="33" t="str">
        <x:v>B</x:v>
      </x:c>
      <x:c r="M47" s="36" t="str">
        <x:v>총연면적</x:v>
      </x:c>
      <x:c r="N47" s="36" t="str">
        <x:v>공사 입찰 집행한도</x:v>
      </x:c>
      <x:c r="O47" s="36" t="str">
        <x:v>동일 사업의 별도 공사 패키지</x:v>
      </x:c>
      <x:c r="P47" s="33" t="str">
        <x:v>미보정</x:v>
      </x:c>
      <x:c r="Q47" s="33" t="str">
        <x:v>아니오</x:v>
      </x:c>
      <x:c r="R47" s="36" t="str">
        <x:v>유사사례·현지견적 교차검증</x:v>
      </x:c>
      <x:c r="S47" s="33" t="str">
        <x:v>2021-2025 수집분</x:v>
      </x:c>
      <x:c r="T47" s="36" t="str">
        <x:v>L2021-00030-1/0 Bidding Guideline for Construction Contractor_Hangar.docx</x:v>
      </x:c>
      <x:c r="U47" s="33" t="str">
        <x:v>문단 92</x:v>
      </x:c>
      <x:c r="V47" s="36" t="str">
        <x:v>https://nebid.koica.go.kr/oep/lobi/localBidManageDetail.do?P_LOAZ_BID_PBLANC_NO=L2021-00030&amp;P_PBLANC_ODR=1</x:v>
      </x:c>
      <x:c r="W47" s="36" t="str">
        <x:v>총연면적 945.00㎡; 상세페이지 집행한도 USD 892,000; 산출단가 USD 944/㎡.</x:v>
      </x:c>
    </x:row>
    <x:row r="48">
      <x:c r="A48" s="33" t="str">
        <x:v>L2021-00029-1</x:v>
      </x:c>
      <x:c r="B48" s="33" t="str">
        <x:v>2020-00114</x:v>
      </x:c>
      <x:c r="C48" s="33" t="str">
        <x:v>2021-10-11</x:v>
      </x:c>
      <x:c r="D48" s="39" t="n">
        <x:v>2021.7753424657535</x:v>
      </x:c>
      <x:c r="E48" s="33" t="str">
        <x:v>Nepal</x:v>
      </x:c>
      <x:c r="F48" s="33" t="str">
        <x:v>Tanahun·Bhotekoshi</x:v>
      </x:c>
      <x:c r="G48" s="36" t="str">
        <x:v>농촌 Outreach Center 2개소</x:v>
      </x:c>
      <x:c r="H48" s="36" t="str">
        <x:v>신축</x:v>
      </x:c>
      <x:c r="I48" s="42" t="n">
        <x:v>1120.3</x:v>
      </x:c>
      <x:c r="J48" s="45" t="n">
        <x:v>929600</x:v>
      </x:c>
      <x:c r="K48" s="45" t="n">
        <x:v>829.7777381058645</x:v>
      </x:c>
      <x:c r="L48" s="33" t="str">
        <x:v>A</x:v>
      </x:c>
      <x:c r="M48" s="36" t="str">
        <x:v>문서 명시 연면적</x:v>
      </x:c>
      <x:c r="N48" s="36" t="str">
        <x:v>입찰 Construction Budget</x:v>
      </x:c>
      <x:c r="O48" s="36" t="str"/>
      <x:c r="P48" s="33" t="str">
        <x:v>미보정</x:v>
      </x:c>
      <x:c r="Q48" s="33" t="str">
        <x:v>아니오</x:v>
      </x:c>
      <x:c r="R48" s="36" t="str">
        <x:v>유사사례·현지견적 교차검증</x:v>
      </x:c>
      <x:c r="S48" s="33" t="str">
        <x:v>2021-2025 수집분</x:v>
      </x:c>
      <x:c r="T48" s="36" t="str">
        <x:v>L2021-00029-1/네팔 ORC시공업체선정 영문 RFP.pdf</x:v>
      </x:c>
      <x:c r="U48" s="33" t="str">
        <x:v>페이지 3</x:v>
      </x:c>
      <x:c r="V48" s="36" t="str">
        <x:v>https://nebid.koica.go.kr/oep/lobi/localBidManageDetail.do?P_LOAZ_BID_PBLANC_NO=L2021-00029&amp;P_PBLANC_ODR=1</x:v>
      </x:c>
      <x:c r="W48" s="36" t="str">
        <x:v>2개소 총 GFA 1,120.30㎡, 공사예산 USD 929,600.</x:v>
      </x:c>
    </x:row>
    <x:row r="49">
      <x:c r="A49" s="33" t="str">
        <x:v>L2021-00016-1</x:v>
      </x:c>
      <x:c r="B49" s="33" t="str">
        <x:v>2019-00066</x:v>
      </x:c>
      <x:c r="C49" s="33" t="str">
        <x:v>2021-05-11</x:v>
      </x:c>
      <x:c r="D49" s="39" t="n">
        <x:v>2021.3561643835617</x:v>
      </x:c>
      <x:c r="E49" s="33" t="str">
        <x:v>Cambodia</x:v>
      </x:c>
      <x:c r="F49" s="33" t="str">
        <x:v>Ratanakiri·Mondulkiri</x:v>
      </x:c>
      <x:c r="G49" s="36" t="str">
        <x:v>모자보건 의료시설(5개소)</x:v>
      </x:c>
      <x:c r="H49" s="36" t="str">
        <x:v>신축</x:v>
      </x:c>
      <x:c r="I49" s="42" t="n">
        <x:v>1325.32</x:v>
      </x:c>
      <x:c r="J49" s="45" t="n">
        <x:v>1022588</x:v>
      </x:c>
      <x:c r="K49" s="45" t="n">
        <x:v>771.5781848911961</x:v>
      </x:c>
      <x:c r="L49" s="33" t="str">
        <x:v>A</x:v>
      </x:c>
      <x:c r="M49" s="36" t="str">
        <x:v>문서 명시 연면적</x:v>
      </x:c>
      <x:c r="N49" s="36" t="str">
        <x:v>입찰공고 추정예산</x:v>
      </x:c>
      <x:c r="O49" s="36" t="str"/>
      <x:c r="P49" s="33" t="str">
        <x:v>미보정</x:v>
      </x:c>
      <x:c r="Q49" s="33" t="str">
        <x:v>아니오</x:v>
      </x:c>
      <x:c r="R49" s="36" t="str">
        <x:v>유사사례·현지견적 교차검증</x:v>
      </x:c>
      <x:c r="S49" s="33" t="str">
        <x:v>2021-2025 수집분</x:v>
      </x:c>
      <x:c r="T49" s="36" t="str">
        <x:v>L2021-00016-1/캄보디아 동북부 소외지역 모자보건 프로그램 시공업체 선정 입찰 공고문.pdf</x:v>
      </x:c>
      <x:c r="U49" s="33" t="str">
        <x:v>페이지 1</x:v>
      </x:c>
      <x:c r="V49" s="36" t="str">
        <x:v>https://nebid.koica.go.kr/oep/lobi/localBidManageDetail.do?P_LOAZ_BID_PBLANC_NO=L2021-00016&amp;P_PBLANC_ODR=1</x:v>
      </x:c>
      <x:c r="W49" s="36" t="str">
        <x:v>GFA 약 1,325.32㎡, 추정예산 약 USD 1,022,588.</x:v>
      </x:c>
    </x:row>
    <x:row r="50">
      <x:c r="A50" s="33" t="str">
        <x:v>L2021-00015-1</x:v>
      </x:c>
      <x:c r="B50" s="33" t="str">
        <x:v>2019-00064</x:v>
      </x:c>
      <x:c r="C50" s="33" t="str">
        <x:v>2021-05-10</x:v>
      </x:c>
      <x:c r="D50" s="39" t="n">
        <x:v>2021.3534246575343</x:v>
      </x:c>
      <x:c r="E50" s="33" t="str">
        <x:v>Cambodia</x:v>
      </x:c>
      <x:c r="F50" s="33" t="str">
        <x:v>미상</x:v>
      </x:c>
      <x:c r="G50" s="36" t="str">
        <x:v>창업보육센터</x:v>
      </x:c>
      <x:c r="H50" s="36" t="str">
        <x:v>신축</x:v>
      </x:c>
      <x:c r="I50" s="42" t="n">
        <x:v>2299.26</x:v>
      </x:c>
      <x:c r="J50" s="45" t="n">
        <x:v>2746477</x:v>
      </x:c>
      <x:c r="K50" s="45" t="n">
        <x:v>1194.5047537033654</x:v>
      </x:c>
      <x:c r="L50" s="33" t="str">
        <x:v>A</x:v>
      </x:c>
      <x:c r="M50" s="36" t="str">
        <x:v>총연면적</x:v>
      </x:c>
      <x:c r="N50" s="36" t="str">
        <x:v>공사 입찰 집행한도</x:v>
      </x:c>
      <x:c r="O50" s="36" t="str"/>
      <x:c r="P50" s="33" t="str">
        <x:v>미보정</x:v>
      </x:c>
      <x:c r="Q50" s="33" t="str">
        <x:v>아니오</x:v>
      </x:c>
      <x:c r="R50" s="36" t="str">
        <x:v>유사사례·현지견적 교차검증</x:v>
      </x:c>
      <x:c r="S50" s="33" t="str">
        <x:v>2021-2025 수집분</x:v>
      </x:c>
      <x:c r="T50" s="36" t="str">
        <x:v>L2021-00015-1/1-2 (REV.2_영문본) 입찰공고(인큐베이팅 센터_영문)_최종버젼.docx</x:v>
      </x:c>
      <x:c r="U50" s="33" t="str">
        <x:v>문단 18</x:v>
      </x:c>
      <x:c r="V50" s="36" t="str">
        <x:v>https://nebid.koica.go.kr/oep/lobi/localBidManageDetail.do?P_LOAZ_BID_PBLANC_NO=L2021-00015&amp;P_PBLANC_ODR=1</x:v>
      </x:c>
      <x:c r="W50" s="36" t="str">
        <x:v>총연면적 2,299.26㎡; 상세페이지 집행한도 USD 2,746,477; 산출단가 USD 1,195/㎡.</x:v>
      </x:c>
    </x:row>
    <x:row r="51">
      <x:c r="A51" s="33" t="str">
        <x:v>L2020-00022-2</x:v>
      </x:c>
      <x:c r="B51" s="33" t="str">
        <x:v>2015-00006</x:v>
      </x:c>
      <x:c r="C51" s="33" t="str">
        <x:v>2020-11-26</x:v>
      </x:c>
      <x:c r="D51" s="39" t="n">
        <x:v>2020.9016393442623</x:v>
      </x:c>
      <x:c r="E51" s="33" t="str">
        <x:v>Ethiopia</x:v>
      </x:c>
      <x:c r="F51" s="33" t="str"/>
      <x:c r="G51" s="36" t="str">
        <x:v>병원</x:v>
      </x:c>
      <x:c r="H51" s="36" t="str">
        <x:v>신축</x:v>
      </x:c>
      <x:c r="I51" s="42" t="n">
        <x:v>4916</x:v>
      </x:c>
      <x:c r="J51" s="45" t="n">
        <x:v>3116205</x:v>
      </x:c>
      <x:c r="K51" s="45" t="n">
        <x:v>633.890358014646</x:v>
      </x:c>
      <x:c r="L51" s="33" t="str">
        <x:v>A</x:v>
      </x:c>
      <x:c r="M51" s="36" t="str">
        <x:v>총연면적</x:v>
      </x:c>
      <x:c r="N51" s="36" t="str">
        <x:v>공사 입찰 집행한도</x:v>
      </x:c>
      <x:c r="O51" s="36" t="str"/>
      <x:c r="P51" s="33" t="str">
        <x:v>미보정</x:v>
      </x:c>
      <x:c r="Q51" s="33" t="str">
        <x:v>아니오</x:v>
      </x:c>
      <x:c r="R51" s="36" t="str">
        <x:v>유사사례·현지견적 교차검증</x:v>
      </x:c>
      <x:c r="S51" s="33" t="str">
        <x:v>2016-2020 수집분</x:v>
      </x:c>
      <x:c r="T51" s="36" t="str">
        <x:v>L2020-00022-2/(붙임2) 재공고 입찰 공고문(안)_최종.docx</x:v>
      </x:c>
      <x:c r="U51" s="33" t="str">
        <x:v>표 2 행 3</x:v>
      </x:c>
      <x:c r="V51" s="36" t="str">
        <x:v>https://nebid.koica.go.kr/oep/lobi/localBidManageDetail.do?P_LOAZ_BID_PBLANC_NO=L2020-00022&amp;P_PBLANC_ODR=2</x:v>
      </x:c>
      <x:c r="W51" s="36" t="str">
        <x:v>총연면적 4,916.00㎡; 집행한도 USD 3,116,205; 명목단가 USD 634/㎡.</x:v>
      </x:c>
    </x:row>
    <x:row r="52">
      <x:c r="A52" s="33" t="str">
        <x:v>L2020-00023-1</x:v>
      </x:c>
      <x:c r="B52" s="33" t="str">
        <x:v>2016-00005</x:v>
      </x:c>
      <x:c r="C52" s="33" t="str">
        <x:v>2020-10-19</x:v>
      </x:c>
      <x:c r="D52" s="39" t="n">
        <x:v>2020.7978142076502</x:v>
      </x:c>
      <x:c r="E52" s="33" t="str">
        <x:v>Iraq</x:v>
      </x:c>
      <x:c r="F52" s="33" t="str"/>
      <x:c r="G52" s="36" t="str">
        <x:v>병원</x:v>
      </x:c>
      <x:c r="H52" s="36" t="str">
        <x:v>신축</x:v>
      </x:c>
      <x:c r="I52" s="42" t="n">
        <x:v>6906</x:v>
      </x:c>
      <x:c r="J52" s="45" t="n">
        <x:v>16440000</x:v>
      </x:c>
      <x:c r="K52" s="45" t="n">
        <x:v>2380.5386620330146</x:v>
      </x:c>
      <x:c r="L52" s="33" t="str">
        <x:v>A</x:v>
      </x:c>
      <x:c r="M52" s="36" t="str">
        <x:v>총연면적</x:v>
      </x:c>
      <x:c r="N52" s="36" t="str">
        <x:v>공사 입찰 집행한도</x:v>
      </x:c>
      <x:c r="O52" s="36" t="str"/>
      <x:c r="P52" s="33" t="str">
        <x:v>미보정</x:v>
      </x:c>
      <x:c r="Q52" s="33" t="str">
        <x:v>아니오</x:v>
      </x:c>
      <x:c r="R52" s="36" t="str">
        <x:v>유사사례·현지견적 교차검증</x:v>
      </x:c>
      <x:c r="S52" s="33" t="str">
        <x:v>2016-2020 수집분</x:v>
      </x:c>
      <x:c r="T52" s="36" t="str">
        <x:v>L2020-00023-1/[붙임1] 중환자 병원 입찰계획안.hwp</x:v>
      </x:c>
      <x:c r="U52" s="33" t="str">
        <x:v>문단 32</x:v>
      </x:c>
      <x:c r="V52" s="36" t="str">
        <x:v>https://nebid.koica.go.kr/oep/lobi/localBidManageDetail.do?P_LOAZ_BID_PBLANC_NO=L2020-00023&amp;P_PBLANC_ODR=1</x:v>
      </x:c>
      <x:c r="W52" s="36" t="str">
        <x:v>총연면적 6,906.00㎡; 집행한도 USD 16,440,000; 명목단가 USD 2,381/㎡.</x:v>
      </x:c>
    </x:row>
    <x:row r="53">
      <x:c r="A53" s="33" t="str">
        <x:v>L2020-00009-1</x:v>
      </x:c>
      <x:c r="B53" s="33" t="str">
        <x:v>2016-00067</x:v>
      </x:c>
      <x:c r="C53" s="33" t="str">
        <x:v>2020-08-05</x:v>
      </x:c>
      <x:c r="D53" s="39" t="n">
        <x:v>2020.5928961748634</x:v>
      </x:c>
      <x:c r="E53" s="33" t="str">
        <x:v>Myanmar</x:v>
      </x:c>
      <x:c r="F53" s="33" t="str"/>
      <x:c r="G53" s="36" t="str">
        <x:v>농산물 유통·가공센터</x:v>
      </x:c>
      <x:c r="H53" s="36" t="str">
        <x:v>신축</x:v>
      </x:c>
      <x:c r="I53" s="42" t="n">
        <x:v>7450</x:v>
      </x:c>
      <x:c r="J53" s="45" t="n">
        <x:v>3685199</x:v>
      </x:c>
      <x:c r="K53" s="45" t="n">
        <x:v>494.6575838926174</x:v>
      </x:c>
      <x:c r="L53" s="33" t="str">
        <x:v>B</x:v>
      </x:c>
      <x:c r="M53" s="36" t="str">
        <x:v>2개 시설 연면적 합계</x:v>
      </x:c>
      <x:c r="N53" s="36" t="str">
        <x:v>공사 입찰 집행한도</x:v>
      </x:c>
      <x:c r="O53" s="36" t="str">
        <x:v>농업·산업시설 복합</x:v>
      </x:c>
      <x:c r="P53" s="33" t="str">
        <x:v>미보정</x:v>
      </x:c>
      <x:c r="Q53" s="33" t="str">
        <x:v>아니오</x:v>
      </x:c>
      <x:c r="R53" s="36" t="str">
        <x:v>유사사례·현지견적 교차검증</x:v>
      </x:c>
      <x:c r="S53" s="33" t="str">
        <x:v>2016-2020 수집분</x:v>
      </x:c>
      <x:c r="T53" s="36" t="str">
        <x:v>L2020-00009-1/★(KOICA 2020-02) PQ Document_Establishment of the AMC and APC in Nay Pyi Taw and Kalaw.docx</x:v>
      </x:c>
      <x:c r="U53" s="33" t="str">
        <x:v>표 2 행 5</x:v>
      </x:c>
      <x:c r="V53" s="36" t="str">
        <x:v>https://nebid.koica.go.kr/oep/lobi/localBidManageDetail.do?P_LOAZ_BID_PBLANC_NO=L2020-00009&amp;P_PBLANC_ODR=1</x:v>
      </x:c>
      <x:c r="W53" s="36" t="str">
        <x:v>2개 시설 연면적 합계 7,450.00㎡; 집행한도 USD 3,685,199; 명목단가 USD 495/㎡.</x:v>
      </x:c>
    </x:row>
    <x:row r="54">
      <x:c r="A54" s="33" t="str">
        <x:v>L2020-00001-2</x:v>
      </x:c>
      <x:c r="B54" s="33" t="str">
        <x:v>2017-07192</x:v>
      </x:c>
      <x:c r="C54" s="33" t="str">
        <x:v>2020-02-07</x:v>
      </x:c>
      <x:c r="D54" s="39" t="n">
        <x:v>2020.1010928961748</x:v>
      </x:c>
      <x:c r="E54" s="33" t="str">
        <x:v>Cambodia</x:v>
      </x:c>
      <x:c r="F54" s="33" t="str"/>
      <x:c r="G54" s="36" t="str">
        <x:v>이비인후과 병원</x:v>
      </x:c>
      <x:c r="H54" s="36" t="str">
        <x:v>신축</x:v>
      </x:c>
      <x:c r="I54" s="42" t="n">
        <x:v>4177.94</x:v>
      </x:c>
      <x:c r="J54" s="45" t="n">
        <x:v>4080000</x:v>
      </x:c>
      <x:c r="K54" s="45" t="n">
        <x:v>976.5578251482789</x:v>
      </x:c>
      <x:c r="L54" s="33" t="str">
        <x:v>A</x:v>
      </x:c>
      <x:c r="M54" s="36" t="str">
        <x:v>총연면적</x:v>
      </x:c>
      <x:c r="N54" s="36" t="str">
        <x:v>공사 입찰 집행한도</x:v>
      </x:c>
      <x:c r="O54" s="36" t="str"/>
      <x:c r="P54" s="33" t="str">
        <x:v>미보정</x:v>
      </x:c>
      <x:c r="Q54" s="33" t="str">
        <x:v>아니오</x:v>
      </x:c>
      <x:c r="R54" s="36" t="str">
        <x:v>유사사례·현지견적 교차검증</x:v>
      </x:c>
      <x:c r="S54" s="33" t="str">
        <x:v>2016-2020 수집분</x:v>
      </x:c>
      <x:c r="T54" s="36" t="str">
        <x:v>L2020-00001-2/입찰공고문(최종).docx</x:v>
      </x:c>
      <x:c r="U54" s="33" t="str">
        <x:v>문단 19</x:v>
      </x:c>
      <x:c r="V54" s="36" t="str">
        <x:v>https://nebid.koica.go.kr/oep/lobi/localBidManageDetail.do?P_LOAZ_BID_PBLANC_NO=L2020-00001&amp;P_PBLANC_ODR=2</x:v>
      </x:c>
      <x:c r="W54" s="36" t="str">
        <x:v>총연면적 4,177.94㎡; 집행한도 USD 4,080,000; 명목단가 USD 977/㎡.</x:v>
      </x:c>
    </x:row>
    <x:row r="55">
      <x:c r="A55" s="33" t="str">
        <x:v>L2019-00043-1</x:v>
      </x:c>
      <x:c r="B55" s="33" t="str">
        <x:v>2016-00206</x:v>
      </x:c>
      <x:c r="C55" s="33" t="str">
        <x:v>2019-10-17</x:v>
      </x:c>
      <x:c r="D55" s="39" t="n">
        <x:v>2019.7917808219179</x:v>
      </x:c>
      <x:c r="E55" s="33" t="str">
        <x:v>Jordan</x:v>
      </x:c>
      <x:c r="F55" s="33" t="str"/>
      <x:c r="G55" s="36" t="str">
        <x:v>학교</x:v>
      </x:c>
      <x:c r="H55" s="36" t="str">
        <x:v>신축</x:v>
      </x:c>
      <x:c r="I55" s="42" t="n">
        <x:v>3944.3</x:v>
      </x:c>
      <x:c r="J55" s="45" t="n">
        <x:v>2654320</x:v>
      </x:c>
      <x:c r="K55" s="45" t="n">
        <x:v>672.9508404533124</x:v>
      </x:c>
      <x:c r="L55" s="33" t="str">
        <x:v>A</x:v>
      </x:c>
      <x:c r="M55" s="36" t="str">
        <x:v>총연면적</x:v>
      </x:c>
      <x:c r="N55" s="36" t="str">
        <x:v>공사 입찰 집행한도</x:v>
      </x:c>
      <x:c r="O55" s="36" t="str"/>
      <x:c r="P55" s="33" t="str">
        <x:v>미보정</x:v>
      </x:c>
      <x:c r="Q55" s="33" t="str">
        <x:v>아니오</x:v>
      </x:c>
      <x:c r="R55" s="36" t="str">
        <x:v>유사사례·현지견적 교차검증</x:v>
      </x:c>
      <x:c r="S55" s="33" t="str">
        <x:v>2016-2020 수집분</x:v>
      </x:c>
      <x:c r="T55" s="36" t="str">
        <x:v>L2019-00043-1/입찰공고문_3개 학교사업 자르카 학교 시공사 선정 입찰공고.pdf</x:v>
      </x:c>
      <x:c r="U55" s="33" t="str">
        <x:v>페이지 1</x:v>
      </x:c>
      <x:c r="V55" s="36" t="str">
        <x:v>https://nebid.koica.go.kr/oep/lobi/localBidManageDetail.do?P_LOAZ_BID_PBLANC_NO=L2019-00043&amp;P_PBLANC_ODR=1</x:v>
      </x:c>
      <x:c r="W55" s="36" t="str">
        <x:v>총연면적 3,944.30㎡; 집행한도 USD 2,654,320; 명목단가 USD 673/㎡.</x:v>
      </x:c>
    </x:row>
    <x:row r="56">
      <x:c r="A56" s="33" t="str">
        <x:v>L2019-00024-1</x:v>
      </x:c>
      <x:c r="B56" s="33" t="str">
        <x:v>2015-00011</x:v>
      </x:c>
      <x:c r="C56" s="33" t="str">
        <x:v>2019-06-28</x:v>
      </x:c>
      <x:c r="D56" s="39" t="n">
        <x:v>2019.4876712328767</x:v>
      </x:c>
      <x:c r="E56" s="33" t="str">
        <x:v>Sri Lanka</x:v>
      </x:c>
      <x:c r="F56" s="33" t="str"/>
      <x:c r="G56" s="36" t="str">
        <x:v>교원교육대학</x:v>
      </x:c>
      <x:c r="H56" s="36" t="str">
        <x:v>신축</x:v>
      </x:c>
      <x:c r="I56" s="42" t="n">
        <x:v>12974</x:v>
      </x:c>
      <x:c r="J56" s="45" t="n">
        <x:v>7300000</x:v>
      </x:c>
      <x:c r="K56" s="45" t="n">
        <x:v>562.6637891166949</x:v>
      </x:c>
      <x:c r="L56" s="33" t="str">
        <x:v>A</x:v>
      </x:c>
      <x:c r="M56" s="36" t="str">
        <x:v>총연면적</x:v>
      </x:c>
      <x:c r="N56" s="36" t="str">
        <x:v>공사 입찰 집행한도</x:v>
      </x:c>
      <x:c r="O56" s="36" t="str"/>
      <x:c r="P56" s="33" t="str">
        <x:v>미보정</x:v>
      </x:c>
      <x:c r="Q56" s="33" t="str">
        <x:v>아니오</x:v>
      </x:c>
      <x:c r="R56" s="36" t="str">
        <x:v>유사사례·현지견적 교차검증</x:v>
      </x:c>
      <x:c r="S56" s="33" t="str">
        <x:v>2016-2020 수집분</x:v>
      </x:c>
      <x:c r="T56" s="36" t="str">
        <x:v>L2019-00024-1/BIDDING NOTICE.docx</x:v>
      </x:c>
      <x:c r="U56" s="33" t="str">
        <x:v>표 2 행 3</x:v>
      </x:c>
      <x:c r="V56" s="36" t="str">
        <x:v>https://nebid.koica.go.kr/oep/lobi/localBidManageDetail.do?P_LOAZ_BID_PBLANC_NO=L2019-00024&amp;P_PBLANC_ODR=1</x:v>
      </x:c>
      <x:c r="W56" s="36" t="str">
        <x:v>총연면적 12,974.00㎡; 집행한도 USD 7,300,000; 명목단가 USD 563/㎡.</x:v>
      </x:c>
    </x:row>
    <x:row r="57">
      <x:c r="A57" s="33" t="str">
        <x:v>L2019-00021-1</x:v>
      </x:c>
      <x:c r="B57" s="33" t="str">
        <x:v>2017-07115</x:v>
      </x:c>
      <x:c r="C57" s="33" t="str">
        <x:v>2019-05-15</x:v>
      </x:c>
      <x:c r="D57" s="39" t="n">
        <x:v>2019.3671232876711</x:v>
      </x:c>
      <x:c r="E57" s="33" t="str">
        <x:v>Uzbekistan</x:v>
      </x:c>
      <x:c r="F57" s="33" t="str"/>
      <x:c r="G57" s="36" t="str">
        <x:v>직업훈련원</x:v>
      </x:c>
      <x:c r="H57" s="36" t="str">
        <x:v>신축</x:v>
      </x:c>
      <x:c r="I57" s="42" t="n">
        <x:v>5455</x:v>
      </x:c>
      <x:c r="J57" s="45" t="n">
        <x:v>5350000</x:v>
      </x:c>
      <x:c r="K57" s="45" t="n">
        <x:v>980.7516040329973</x:v>
      </x:c>
      <x:c r="L57" s="33" t="str">
        <x:v>A</x:v>
      </x:c>
      <x:c r="M57" s="36" t="str">
        <x:v>총연면적</x:v>
      </x:c>
      <x:c r="N57" s="36" t="str">
        <x:v>공사 입찰 집행한도</x:v>
      </x:c>
      <x:c r="O57" s="36" t="str"/>
      <x:c r="P57" s="33" t="str">
        <x:v>미보정</x:v>
      </x:c>
      <x:c r="Q57" s="33" t="str">
        <x:v>아니오</x:v>
      </x:c>
      <x:c r="R57" s="36" t="str">
        <x:v>유사사례·현지견적 교차검증</x:v>
      </x:c>
      <x:c r="S57" s="33" t="str">
        <x:v>2016-2020 수집분</x:v>
      </x:c>
      <x:c r="T57" s="36" t="str">
        <x:v>L2019-00021-1/KOICA_우즈베키스탄 페르가나 직업훈련원 건립사업 시공업체 현지입찰공고 (국문).pdf</x:v>
      </x:c>
      <x:c r="U57" s="33" t="str">
        <x:v>페이지 1</x:v>
      </x:c>
      <x:c r="V57" s="36" t="str">
        <x:v>https://nebid.koica.go.kr/oep/lobi/localBidManageDetail.do?P_LOAZ_BID_PBLANC_NO=L2019-00021&amp;P_PBLANC_ODR=1</x:v>
      </x:c>
      <x:c r="W57" s="36" t="str">
        <x:v>총연면적 5,455.00㎡; 집행한도 USD 5,350,000; 명목단가 USD 981/㎡.</x:v>
      </x:c>
    </x:row>
    <x:row r="58">
      <x:c r="A58" s="33" t="str">
        <x:v>L2019-00011-1</x:v>
      </x:c>
      <x:c r="B58" s="33" t="str">
        <x:v>2016-00202</x:v>
      </x:c>
      <x:c r="C58" s="33" t="str">
        <x:v>2019-03-07</x:v>
      </x:c>
      <x:c r="D58" s="39" t="n">
        <x:v>2019.1780821917807</x:v>
      </x:c>
      <x:c r="E58" s="33" t="str">
        <x:v>Laos</x:v>
      </x:c>
      <x:c r="F58" s="33" t="str"/>
      <x:c r="G58" s="36" t="str">
        <x:v>출입국관리청사</x:v>
      </x:c>
      <x:c r="H58" s="36" t="str">
        <x:v>신축</x:v>
      </x:c>
      <x:c r="I58" s="42" t="n">
        <x:v>5625</x:v>
      </x:c>
      <x:c r="J58" s="45" t="n">
        <x:v>5600000</x:v>
      </x:c>
      <x:c r="K58" s="45" t="n">
        <x:v>995.5555555555555</x:v>
      </x:c>
      <x:c r="L58" s="33" t="str">
        <x:v>A</x:v>
      </x:c>
      <x:c r="M58" s="36" t="str">
        <x:v>주동 연면적</x:v>
      </x:c>
      <x:c r="N58" s="36" t="str">
        <x:v>공사 입찰 집행한도</x:v>
      </x:c>
      <x:c r="O58" s="36" t="str">
        <x:v>부속시설 포함 가능</x:v>
      </x:c>
      <x:c r="P58" s="33" t="str">
        <x:v>미보정</x:v>
      </x:c>
      <x:c r="Q58" s="33" t="str">
        <x:v>아니오</x:v>
      </x:c>
      <x:c r="R58" s="36" t="str">
        <x:v>유사사례·현지견적 교차검증</x:v>
      </x:c>
      <x:c r="S58" s="33" t="str">
        <x:v>2016-2020 수집분</x:v>
      </x:c>
      <x:c r="T58" s="36" t="str">
        <x:v>L2019-00011-1/01 Laos DOI_Bid Announcement Rev00_KOICA_0226.doc</x:v>
      </x:c>
      <x:c r="U58" s="33" t="str">
        <x:v>문단 3</x:v>
      </x:c>
      <x:c r="V58" s="36" t="str">
        <x:v>https://nebid.koica.go.kr/oep/lobi/localBidManageDetail.do?P_LOAZ_BID_PBLANC_NO=L2019-00011&amp;P_PBLANC_ODR=1</x:v>
      </x:c>
      <x:c r="W58" s="36" t="str">
        <x:v>주동 연면적 5,625.00㎡; 집행한도 USD 5,600,000; 명목단가 USD 996/㎡.</x:v>
      </x:c>
    </x:row>
    <x:row r="59">
      <x:c r="A59" s="33" t="str">
        <x:v>L2019-00010-1</x:v>
      </x:c>
      <x:c r="B59" s="33" t="str">
        <x:v>2015-00012</x:v>
      </x:c>
      <x:c r="C59" s="33" t="str">
        <x:v>2019-02-01</x:v>
      </x:c>
      <x:c r="D59" s="39" t="n">
        <x:v>2019.0849315068492</x:v>
      </x:c>
      <x:c r="E59" s="33" t="str">
        <x:v>Nepal</x:v>
      </x:c>
      <x:c r="F59" s="33" t="str"/>
      <x:c r="G59" s="36" t="str">
        <x:v>IT 교육동</x:v>
      </x:c>
      <x:c r="H59" s="36" t="str">
        <x:v>신축</x:v>
      </x:c>
      <x:c r="I59" s="42" t="n">
        <x:v>1549.83</x:v>
      </x:c>
      <x:c r="J59" s="45" t="n">
        <x:v>1200000</x:v>
      </x:c>
      <x:c r="K59" s="45" t="n">
        <x:v>774.2784692514663</x:v>
      </x:c>
      <x:c r="L59" s="33" t="str">
        <x:v>A</x:v>
      </x:c>
      <x:c r="M59" s="36" t="str">
        <x:v>총연면적</x:v>
      </x:c>
      <x:c r="N59" s="36" t="str">
        <x:v>공사 입찰 집행한도</x:v>
      </x:c>
      <x:c r="O59" s="36" t="str"/>
      <x:c r="P59" s="33" t="str">
        <x:v>미보정</x:v>
      </x:c>
      <x:c r="Q59" s="33" t="str">
        <x:v>아니오</x:v>
      </x:c>
      <x:c r="R59" s="36" t="str">
        <x:v>유사사례·현지견적 교차검증</x:v>
      </x:c>
      <x:c r="S59" s="33" t="str">
        <x:v>2016-2020 수집분</x:v>
      </x:c>
      <x:c r="T59" s="36" t="str">
        <x:v>L2019-00010-1/[붙임] 국문_IT 강의동 시공업체 선정 현지 입찰 계획서.hwp</x:v>
      </x:c>
      <x:c r="U59" s="33" t="str">
        <x:v>문단 54</x:v>
      </x:c>
      <x:c r="V59" s="36" t="str">
        <x:v>https://nebid.koica.go.kr/oep/lobi/localBidManageDetail.do?P_LOAZ_BID_PBLANC_NO=L2019-00010&amp;P_PBLANC_ODR=1</x:v>
      </x:c>
      <x:c r="W59" s="36" t="str">
        <x:v>총연면적 1,549.83㎡; 집행한도 USD 1,200,000; 명목단가 USD 774/㎡.</x:v>
      </x:c>
    </x:row>
    <x:row r="60">
      <x:c r="A60" s="33" t="str">
        <x:v>L2018-00029-1</x:v>
      </x:c>
      <x:c r="B60" s="33" t="str">
        <x:v>2013-00007</x:v>
      </x:c>
      <x:c r="C60" s="33" t="str">
        <x:v>2018-11-23</x:v>
      </x:c>
      <x:c r="D60" s="39" t="n">
        <x:v>2018.8931506849315</x:v>
      </x:c>
      <x:c r="E60" s="33" t="str">
        <x:v>Bolivia</x:v>
      </x:c>
      <x:c r="F60" s="33" t="str"/>
      <x:c r="G60" s="36" t="str">
        <x:v>병원</x:v>
      </x:c>
      <x:c r="H60" s="36" t="str">
        <x:v>신축</x:v>
      </x:c>
      <x:c r="I60" s="42" t="n">
        <x:v>2879.23</x:v>
      </x:c>
      <x:c r="J60" s="45" t="n">
        <x:v>4114500</x:v>
      </x:c>
      <x:c r="K60" s="45" t="n">
        <x:v>1429.027899820438</x:v>
      </x:c>
      <x:c r="L60" s="33" t="str">
        <x:v>A</x:v>
      </x:c>
      <x:c r="M60" s="36" t="str">
        <x:v>총연면적</x:v>
      </x:c>
      <x:c r="N60" s="36" t="str">
        <x:v>공사 입찰 집행한도</x:v>
      </x:c>
      <x:c r="O60" s="36" t="str">
        <x:v>지하층·외부공사 포함</x:v>
      </x:c>
      <x:c r="P60" s="33" t="str">
        <x:v>미보정</x:v>
      </x:c>
      <x:c r="Q60" s="33" t="str">
        <x:v>아니오</x:v>
      </x:c>
      <x:c r="R60" s="36" t="str">
        <x:v>유사사례·현지견적 교차검증</x:v>
      </x:c>
      <x:c r="S60" s="33" t="str">
        <x:v>2016-2020 수집분</x:v>
      </x:c>
      <x:c r="T60" s="36" t="str">
        <x:v>L2018-00029-1/국문 재공고입찰계획서.hwp</x:v>
      </x:c>
      <x:c r="U60" s="33" t="str">
        <x:v>문단 51</x:v>
      </x:c>
      <x:c r="V60" s="36" t="str">
        <x:v>https://nebid.koica.go.kr/oep/lobi/localBidManageDetail.do?P_LOAZ_BID_PBLANC_NO=L2018-00029&amp;P_PBLANC_ODR=1</x:v>
      </x:c>
      <x:c r="W60" s="36" t="str">
        <x:v>총연면적 2,879.23㎡; 집행한도 USD 4,114,500; 명목단가 USD 1,429/㎡.</x:v>
      </x:c>
    </x:row>
    <x:row r="61">
      <x:c r="A61" s="33" t="str">
        <x:v>L2018-00020-1</x:v>
      </x:c>
      <x:c r="B61" s="33" t="str">
        <x:v>2016-00206</x:v>
      </x:c>
      <x:c r="C61" s="33" t="str">
        <x:v>2018-10-02</x:v>
      </x:c>
      <x:c r="D61" s="39" t="n">
        <x:v>2018.7506849315068</x:v>
      </x:c>
      <x:c r="E61" s="33" t="str">
        <x:v>Jordan</x:v>
      </x:c>
      <x:c r="F61" s="33" t="str"/>
      <x:c r="G61" s="36" t="str">
        <x:v>학교 2개소</x:v>
      </x:c>
      <x:c r="H61" s="36" t="str">
        <x:v>신축</x:v>
      </x:c>
      <x:c r="I61" s="42" t="n">
        <x:v>7599</x:v>
      </x:c>
      <x:c r="J61" s="45" t="n">
        <x:v>5497600</x:v>
      </x:c>
      <x:c r="K61" s="45" t="n">
        <x:v>723.4636136333728</x:v>
      </x:c>
      <x:c r="L61" s="33" t="str">
        <x:v>A</x:v>
      </x:c>
      <x:c r="M61" s="36" t="str">
        <x:v>2개 학교 연면적 합계</x:v>
      </x:c>
      <x:c r="N61" s="36" t="str">
        <x:v>공사 입찰 집행한도</x:v>
      </x:c>
      <x:c r="O61" s="36" t="str"/>
      <x:c r="P61" s="33" t="str">
        <x:v>미보정</x:v>
      </x:c>
      <x:c r="Q61" s="33" t="str">
        <x:v>아니오</x:v>
      </x:c>
      <x:c r="R61" s="36" t="str">
        <x:v>유사사례·현지견적 교차검증</x:v>
      </x:c>
      <x:c r="S61" s="33" t="str">
        <x:v>2016-2020 수집분</x:v>
      </x:c>
      <x:c r="T61" s="36" t="str">
        <x:v>L2018-00020-1/붙임_ (입찰공고) Invitation for Bids_Bid Announcement_Rev3_최종.docx</x:v>
      </x:c>
      <x:c r="U61" s="33" t="str">
        <x:v>표 1 행 4</x:v>
      </x:c>
      <x:c r="V61" s="36" t="str">
        <x:v>https://nebid.koica.go.kr/oep/lobi/localBidManageDetail.do?P_LOAZ_BID_PBLANC_NO=L2018-00020&amp;P_PBLANC_ODR=1</x:v>
      </x:c>
      <x:c r="W61" s="36" t="str">
        <x:v>2개 학교 연면적 합계 7,599.00㎡; 집행한도 USD 5,497,600; 명목단가 USD 723/㎡.</x:v>
      </x:c>
    </x:row>
    <x:row r="62">
      <x:c r="A62" s="33" t="str">
        <x:v>L2018-00014-1</x:v>
      </x:c>
      <x:c r="B62" s="33" t="str">
        <x:v>2016-00003</x:v>
      </x:c>
      <x:c r="C62" s="33" t="str">
        <x:v>2018-08-14</x:v>
      </x:c>
      <x:c r="D62" s="39" t="n">
        <x:v>2018.6164383561643</x:v>
      </x:c>
      <x:c r="E62" s="33" t="str">
        <x:v>Paraguay</x:v>
      </x:c>
      <x:c r="F62" s="33" t="str"/>
      <x:c r="G62" s="36" t="str">
        <x:v>노인 장기요양센터</x:v>
      </x:c>
      <x:c r="H62" s="36" t="str">
        <x:v>신축</x:v>
      </x:c>
      <x:c r="I62" s="42" t="n">
        <x:v>6428</x:v>
      </x:c>
      <x:c r="J62" s="45" t="n">
        <x:v>4580780</x:v>
      </x:c>
      <x:c r="K62" s="45" t="n">
        <x:v>712.6291225886746</x:v>
      </x:c>
      <x:c r="L62" s="33" t="str">
        <x:v>A</x:v>
      </x:c>
      <x:c r="M62" s="36" t="str">
        <x:v>총연면적</x:v>
      </x:c>
      <x:c r="N62" s="36" t="str">
        <x:v>공사 입찰 집행한도</x:v>
      </x:c>
      <x:c r="O62" s="36" t="str"/>
      <x:c r="P62" s="33" t="str">
        <x:v>미보정</x:v>
      </x:c>
      <x:c r="Q62" s="33" t="str">
        <x:v>아니오</x:v>
      </x:c>
      <x:c r="R62" s="36" t="str">
        <x:v>유사사례·현지견적 교차검증</x:v>
      </x:c>
      <x:c r="S62" s="33" t="str">
        <x:v>2016-2020 수집분</x:v>
      </x:c>
      <x:c r="T62" s="36" t="str">
        <x:v>L2018-00014-1/Bidding Guideline_Santo Domingo_180818.docx</x:v>
      </x:c>
      <x:c r="U62" s="33" t="str">
        <x:v>문단 44</x:v>
      </x:c>
      <x:c r="V62" s="36" t="str">
        <x:v>https://nebid.koica.go.kr/oep/lobi/localBidManageDetail.do?P_LOAZ_BID_PBLANC_NO=L2018-00014&amp;P_PBLANC_ODR=1</x:v>
      </x:c>
      <x:c r="W62" s="36" t="str">
        <x:v>총연면적 6,428.00㎡; 집행한도 USD 4,580,780; 명목단가 USD 713/㎡.</x:v>
      </x:c>
    </x:row>
    <x:row r="63">
      <x:c r="A63" s="33" t="str">
        <x:v>L2018-00012-1</x:v>
      </x:c>
      <x:c r="B63" s="33" t="str">
        <x:v>2016-20150</x:v>
      </x:c>
      <x:c r="C63" s="33" t="str">
        <x:v>2018-08-07</x:v>
      </x:c>
      <x:c r="D63" s="39" t="n">
        <x:v>2018.5972602739726</x:v>
      </x:c>
      <x:c r="E63" s="33" t="str">
        <x:v>Philippines</x:v>
      </x:c>
      <x:c r="F63" s="33" t="str"/>
      <x:c r="G63" s="36" t="str">
        <x:v>농업복합시설</x:v>
      </x:c>
      <x:c r="H63" s="36" t="str">
        <x:v>설계·시공</x:v>
      </x:c>
      <x:c r="I63" s="42" t="n">
        <x:v>6615</x:v>
      </x:c>
      <x:c r="J63" s="45" t="n">
        <x:v>4486860</x:v>
      </x:c>
      <x:c r="K63" s="45" t="n">
        <x:v>678.2857142857143</x:v>
      </x:c>
      <x:c r="L63" s="33" t="str">
        <x:v>B</x:v>
      </x:c>
      <x:c r="M63" s="36" t="str">
        <x:v>3개 동 연면적 합계</x:v>
      </x:c>
      <x:c r="N63" s="36" t="str">
        <x:v>공사 입찰 집행한도</x:v>
      </x:c>
      <x:c r="O63" s="36" t="str">
        <x:v>축사·농업시설 포함</x:v>
      </x:c>
      <x:c r="P63" s="33" t="str">
        <x:v>미보정</x:v>
      </x:c>
      <x:c r="Q63" s="33" t="str">
        <x:v>아니오</x:v>
      </x:c>
      <x:c r="R63" s="36" t="str">
        <x:v>유사사례·현지견적 교차검증</x:v>
      </x:c>
      <x:c r="S63" s="33" t="str">
        <x:v>2016-2020 수집분</x:v>
      </x:c>
      <x:c r="T63" s="36" t="str">
        <x:v>L2018-00012-1/Addendum No.1 Scope of Works and Design Instruction (Quirino2).docx</x:v>
      </x:c>
      <x:c r="U63" s="33" t="str">
        <x:v>문단 20</x:v>
      </x:c>
      <x:c r="V63" s="36" t="str">
        <x:v>https://nebid.koica.go.kr/oep/lobi/localBidManageDetail.do?P_LOAZ_BID_PBLANC_NO=L2018-00012&amp;P_PBLANC_ODR=1</x:v>
      </x:c>
      <x:c r="W63" s="36" t="str">
        <x:v>3개 동 연면적 합계 6,615.00㎡; 집행한도 USD 4,486,860; 명목단가 USD 678/㎡.</x:v>
      </x:c>
    </x:row>
    <x:row r="64">
      <x:c r="A64" s="33" t="str">
        <x:v>L2018-00011-1</x:v>
      </x:c>
      <x:c r="B64" s="33" t="str">
        <x:v>2016-00002</x:v>
      </x:c>
      <x:c r="C64" s="33" t="str">
        <x:v>2018-07-18</x:v>
      </x:c>
      <x:c r="D64" s="39" t="n">
        <x:v>2018.5424657534247</x:v>
      </x:c>
      <x:c r="E64" s="33" t="str">
        <x:v>Paraguay</x:v>
      </x:c>
      <x:c r="F64" s="33" t="str"/>
      <x:c r="G64" s="36" t="str">
        <x:v>보건시설</x:v>
      </x:c>
      <x:c r="H64" s="36" t="str">
        <x:v>신축</x:v>
      </x:c>
      <x:c r="I64" s="42" t="n">
        <x:v>1987</x:v>
      </x:c>
      <x:c r="J64" s="45" t="n">
        <x:v>1623300</x:v>
      </x:c>
      <x:c r="K64" s="45" t="n">
        <x:v>816.9602415702063</x:v>
      </x:c>
      <x:c r="L64" s="33" t="str">
        <x:v>A</x:v>
      </x:c>
      <x:c r="M64" s="36" t="str">
        <x:v>총연면적</x:v>
      </x:c>
      <x:c r="N64" s="36" t="str">
        <x:v>공사 입찰 집행한도</x:v>
      </x:c>
      <x:c r="O64" s="36" t="str"/>
      <x:c r="P64" s="33" t="str">
        <x:v>미보정</x:v>
      </x:c>
      <x:c r="Q64" s="33" t="str">
        <x:v>아니오</x:v>
      </x:c>
      <x:c r="R64" s="36" t="str">
        <x:v>유사사례·현지견적 교차검증</x:v>
      </x:c>
      <x:c r="S64" s="33" t="str">
        <x:v>2016-2020 수집분</x:v>
      </x:c>
      <x:c r="T64" s="36" t="str">
        <x:v>L2018-00011-1/림삐오 1차 시공 입찰 안내서 160718_수정 (1).hwp</x:v>
      </x:c>
      <x:c r="U64" s="33" t="str">
        <x:v>문단 26</x:v>
      </x:c>
      <x:c r="V64" s="36" t="str">
        <x:v>https://nebid.koica.go.kr/oep/lobi/localBidManageDetail.do?P_LOAZ_BID_PBLANC_NO=L2018-00011&amp;P_PBLANC_ODR=1</x:v>
      </x:c>
      <x:c r="W64" s="36" t="str">
        <x:v>총연면적 1,987.00㎡; 집행한도 USD 1,623,300; 명목단가 USD 817/㎡.</x:v>
      </x:c>
    </x:row>
    <x:row r="65">
      <x:c r="A65" s="33" t="str">
        <x:v>L2017-00011-1</x:v>
      </x:c>
      <x:c r="B65" s="33" t="str">
        <x:v>2014-00024</x:v>
      </x:c>
      <x:c r="C65" s="33" t="str">
        <x:v>2017-12-27</x:v>
      </x:c>
      <x:c r="D65" s="39" t="n">
        <x:v>2017.986301369863</x:v>
      </x:c>
      <x:c r="E65" s="33" t="str">
        <x:v>Turkmenistan</x:v>
      </x:c>
      <x:c r="F65" s="33" t="str"/>
      <x:c r="G65" s="36" t="str">
        <x:v>가스산업 직업훈련원</x:v>
      </x:c>
      <x:c r="H65" s="36" t="str">
        <x:v>설계·시공</x:v>
      </x:c>
      <x:c r="I65" s="42" t="n">
        <x:v>2250</x:v>
      </x:c>
      <x:c r="J65" s="45" t="n">
        <x:v>2550000</x:v>
      </x:c>
      <x:c r="K65" s="45" t="n">
        <x:v>1133.3333333333333</x:v>
      </x:c>
      <x:c r="L65" s="33" t="str">
        <x:v>B</x:v>
      </x:c>
      <x:c r="M65" s="36" t="str">
        <x:v>계획 연면적</x:v>
      </x:c>
      <x:c r="N65" s="36" t="str">
        <x:v>공사 입찰 집행한도</x:v>
      </x:c>
      <x:c r="O65" s="36" t="str">
        <x:v>설계·시공 일괄입찰</x:v>
      </x:c>
      <x:c r="P65" s="33" t="str">
        <x:v>미보정</x:v>
      </x:c>
      <x:c r="Q65" s="33" t="str">
        <x:v>아니오</x:v>
      </x:c>
      <x:c r="R65" s="36" t="str">
        <x:v>유사사례·현지견적 교차검증</x:v>
      </x:c>
      <x:c r="S65" s="33" t="str">
        <x:v>2016-2020 수집분</x:v>
      </x:c>
      <x:c r="T65" s="36" t="str">
        <x:v>L2017-00011-1/입찰서류_투르크메니스탄 가스직업훈련원 설계시공입찰_영문본/Addendum No.1 Scope of the works_Rev 04.docx</x:v>
      </x:c>
      <x:c r="U65" s="33" t="str">
        <x:v>문단 11</x:v>
      </x:c>
      <x:c r="V65" s="36" t="str">
        <x:v>https://nebid.koica.go.kr/oep/lobi/localBidManageDetail.do?P_LOAZ_BID_PBLANC_NO=L2017-00011&amp;P_PBLANC_ODR=1</x:v>
      </x:c>
      <x:c r="W65" s="36" t="str">
        <x:v>계획 연면적 2,250.00㎡; 집행한도 USD 2,550,000; 명목단가 USD 1,133/㎡.</x:v>
      </x:c>
    </x:row>
    <x:row r="66">
      <x:c r="A66" s="33" t="str">
        <x:v>L2017-00007-1</x:v>
      </x:c>
      <x:c r="B66" s="33" t="str">
        <x:v>2016-00028</x:v>
      </x:c>
      <x:c r="C66" s="33" t="str">
        <x:v>2017-09-11</x:v>
      </x:c>
      <x:c r="D66" s="39" t="n">
        <x:v>2017.6931506849314</x:v>
      </x:c>
      <x:c r="E66" s="33" t="str">
        <x:v>Laos</x:v>
      </x:c>
      <x:c r="F66" s="33" t="str"/>
      <x:c r="G66" s="36" t="str">
        <x:v>청소년 IT센터</x:v>
      </x:c>
      <x:c r="H66" s="36" t="str">
        <x:v>신축</x:v>
      </x:c>
      <x:c r="I66" s="42" t="n">
        <x:v>1562.68</x:v>
      </x:c>
      <x:c r="J66" s="45" t="n">
        <x:v>1227580</x:v>
      </x:c>
      <x:c r="K66" s="45" t="n">
        <x:v>785.5607034069675</x:v>
      </x:c>
      <x:c r="L66" s="33" t="str">
        <x:v>B</x:v>
      </x:c>
      <x:c r="M66" s="36" t="str">
        <x:v>본동+연결통로 합계</x:v>
      </x:c>
      <x:c r="N66" s="36" t="str">
        <x:v>공사 입찰 집행한도</x:v>
      </x:c>
      <x:c r="O66" s="36" t="str"/>
      <x:c r="P66" s="33" t="str">
        <x:v>미보정</x:v>
      </x:c>
      <x:c r="Q66" s="33" t="str">
        <x:v>아니오</x:v>
      </x:c>
      <x:c r="R66" s="36" t="str">
        <x:v>유사사례·현지견적 교차검증</x:v>
      </x:c>
      <x:c r="S66" s="33" t="str">
        <x:v>2016-2020 수집분</x:v>
      </x:c>
      <x:c r="T66" s="36" t="str">
        <x:v>L2017-00007-1/청년동맹 IT 센터 Bid Announcement (20170911_신문공고).docx</x:v>
      </x:c>
      <x:c r="U66" s="33" t="str">
        <x:v>표 1 행 4</x:v>
      </x:c>
      <x:c r="V66" s="36" t="str">
        <x:v>https://nebid.koica.go.kr/oep/lobi/localBidManageDetail.do?P_LOAZ_BID_PBLANC_NO=L2017-00007&amp;P_PBLANC_ODR=1</x:v>
      </x:c>
      <x:c r="W66" s="36" t="str">
        <x:v>본동+연결통로 합계 1,562.68㎡; 집행한도 USD 1,227,580; 명목단가 USD 786/㎡.</x:v>
      </x:c>
    </x:row>
    <x:row r="67">
      <x:c r="A67" s="33" t="str">
        <x:v>L2017-00005-1</x:v>
      </x:c>
      <x:c r="B67" s="33" t="str">
        <x:v>L2017-0004</x:v>
      </x:c>
      <x:c r="C67" s="33" t="str">
        <x:v>2017-08-15</x:v>
      </x:c>
      <x:c r="D67" s="39" t="n">
        <x:v>2017.6191780821919</x:v>
      </x:c>
      <x:c r="E67" s="33" t="str">
        <x:v>Ecuador</x:v>
      </x:c>
      <x:c r="F67" s="33" t="str"/>
      <x:c r="G67" s="36" t="str">
        <x:v>보건센터</x:v>
      </x:c>
      <x:c r="H67" s="36" t="str">
        <x:v>신축</x:v>
      </x:c>
      <x:c r="I67" s="42" t="n">
        <x:v>2541.35</x:v>
      </x:c>
      <x:c r="J67" s="45" t="n">
        <x:v>3572800</x:v>
      </x:c>
      <x:c r="K67" s="45" t="n">
        <x:v>1405.866960473764</x:v>
      </x:c>
      <x:c r="L67" s="33" t="str">
        <x:v>A</x:v>
      </x:c>
      <x:c r="M67" s="36" t="str">
        <x:v>총연면적</x:v>
      </x:c>
      <x:c r="N67" s="36" t="str">
        <x:v>공사 입찰 집행한도</x:v>
      </x:c>
      <x:c r="O67" s="36" t="str"/>
      <x:c r="P67" s="33" t="str">
        <x:v>미보정</x:v>
      </x:c>
      <x:c r="Q67" s="33" t="str">
        <x:v>아니오</x:v>
      </x:c>
      <x:c r="R67" s="36" t="str">
        <x:v>유사사례·현지견적 교차검증</x:v>
      </x:c>
      <x:c r="S67" s="33" t="str">
        <x:v>2016-2020 수집분</x:v>
      </x:c>
      <x:c r="T67" s="36" t="str">
        <x:v>L2017-00005-1/PUBLICACION INGLES FINAL 14 AGO 2017.docx</x:v>
      </x:c>
      <x:c r="U67" s="33" t="str">
        <x:v>표 1 행 3</x:v>
      </x:c>
      <x:c r="V67" s="36" t="str">
        <x:v>https://nebid.koica.go.kr/oep/lobi/localBidManageDetail.do?P_LOAZ_BID_PBLANC_NO=L2017-00005&amp;P_PBLANC_ODR=1</x:v>
      </x:c>
      <x:c r="W67" s="36" t="str">
        <x:v>총연면적 2,541.35㎡; 집행한도 USD 3,572,800; 명목단가 USD 1,406/㎡.</x:v>
      </x:c>
    </x:row>
    <x:row r="68">
      <x:c r="A68" s="34" t="str">
        <x:v>L2017-00001-1</x:v>
      </x:c>
      <x:c r="B68" s="34" t="str">
        <x:v>201701</x:v>
      </x:c>
      <x:c r="C68" s="34" t="str">
        <x:v>2017-01-23</x:v>
      </x:c>
      <x:c r="D68" s="40" t="n">
        <x:v>2017.0602739726028</x:v>
      </x:c>
      <x:c r="E68" s="34" t="str">
        <x:v>Senegal</x:v>
      </x:c>
      <x:c r="F68" s="34" t="str"/>
      <x:c r="G68" s="37" t="str">
        <x:v>고등교육·농업훈련센터</x:v>
      </x:c>
      <x:c r="H68" s="37" t="str">
        <x:v>신축</x:v>
      </x:c>
      <x:c r="I68" s="43" t="n">
        <x:v>8694</x:v>
      </x:c>
      <x:c r="J68" s="46" t="n">
        <x:v>5784000</x:v>
      </x:c>
      <x:c r="K68" s="46" t="n">
        <x:v>665.2864044168392</x:v>
      </x:c>
      <x:c r="L68" s="34" t="str">
        <x:v>B</x:v>
      </x:c>
      <x:c r="M68" s="37" t="str">
        <x:v>2개 시설 연면적 합계</x:v>
      </x:c>
      <x:c r="N68" s="37" t="str">
        <x:v>공사 입찰 집행한도</x:v>
      </x:c>
      <x:c r="O68" s="37" t="str">
        <x:v>서로 다른 지역의 2개 시설</x:v>
      </x:c>
      <x:c r="P68" s="34" t="str">
        <x:v>미보정</x:v>
      </x:c>
      <x:c r="Q68" s="34" t="str">
        <x:v>아니오</x:v>
      </x:c>
      <x:c r="R68" s="37" t="str">
        <x:v>유사사례·현지견적 교차검증</x:v>
      </x:c>
      <x:c r="S68" s="34" t="str">
        <x:v>2016-2020 수집분</x:v>
      </x:c>
      <x:c r="T68" s="37" t="str">
        <x:v>L2017-00001-1/붙임2_입찰공고문(영문).docx</x:v>
      </x:c>
      <x:c r="U68" s="34" t="str">
        <x:v>문단 19</x:v>
      </x:c>
      <x:c r="V68" s="37" t="str">
        <x:v>https://nebid.koica.go.kr/oep/lobi/localBidManageDetail.do?P_LOAZ_BID_PBLANC_NO=L2017-00001&amp;P_PBLANC_ODR=1</x:v>
      </x:c>
      <x:c r="W68" s="37" t="str">
        <x:v>2개 시설 연면적 합계 8,694.00㎡; 집행한도 USD 5,784,000; 명목단가 USD 665/㎡.</x:v>
      </x:c>
    </x:row>
  </x:sheetData>
  <x:mergeCells>
    <x:mergeCell ref="A1:W1"/>
  </x:mergeCells>
  <x:conditionalFormatting sqref="L3:L68">
    <x:cfRule type="containsText" dxfId="0" priority="1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81382889834f44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18" hidden="0" customWidth="1"/>
    <x:col min="4" max="4" width="11" hidden="0" customWidth="1"/>
    <x:col min="5" max="5" width="11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24" hidden="0" customWidth="1"/>
    <x:col min="11" max="11" width="18" hidden="0" customWidth="1"/>
  </x:cols>
  <x:sheetData>
    <x:row r="1" ht="30" customHeight="1">
      <x:c r="A1" s="25" t="str">
        <x:v>국가 × 시설유형 × 사업유형 표본현황</x:v>
      </x:c>
    </x:row>
    <x:row r="2" ht="34" customHeight="1">
      <x:c r="A2" s="27" t="str">
        <x:v>국가</x:v>
      </x:c>
      <x:c r="B2" s="27" t="str">
        <x:v>시설유형</x:v>
      </x:c>
      <x:c r="C2" s="27" t="str">
        <x:v>사업유형</x:v>
      </x:c>
      <x:c r="D2" s="27" t="str">
        <x:v>사례수</x:v>
      </x:c>
      <x:c r="E2" s="27" t="str">
        <x:v>A등급수</x:v>
      </x:c>
      <x:c r="F2" s="27" t="str">
        <x:v>최초일</x:v>
      </x:c>
      <x:c r="G2" s="27" t="str">
        <x:v>최종일</x:v>
      </x:c>
      <x:c r="H2" s="27" t="str">
        <x:v>명목최소</x:v>
      </x:c>
      <x:c r="I2" s="27" t="str">
        <x:v>명목최대</x:v>
      </x:c>
      <x:c r="J2" s="27" t="str">
        <x:v>해석</x:v>
      </x:c>
      <x:c r="K2" s="27" t="str">
        <x:v>주의</x:v>
      </x:c>
    </x:row>
    <x:row r="3">
      <x:c r="A3" s="32" t="str">
        <x:v>Fiji</x:v>
      </x:c>
      <x:c r="B3" s="35" t="str">
        <x:v>국립재활센터</x:v>
      </x:c>
      <x:c r="C3" s="35" t="str">
        <x:v>신축</x:v>
      </x:c>
      <x:c r="D3" s="32" t="n">
        <x:v>2</x:v>
      </x:c>
      <x:c r="E3" s="32" t="n">
        <x:v>1</x:v>
      </x:c>
      <x:c r="F3" s="32" t="str">
        <x:v>2023-07-22</x:v>
      </x:c>
      <x:c r="G3" s="32" t="str">
        <x:v>2025-09-12</x:v>
      </x:c>
      <x:c r="H3" s="44" t="n">
        <x:v>2084.15037037037</x:v>
      </x:c>
      <x:c r="I3" s="44" t="n">
        <x:v>2519.1006551518763</x:v>
      </x:c>
      <x:c r="J3" s="35" t="str">
        <x:v>잠정 범위만</x:v>
      </x:c>
      <x:c r="K3" s="35" t="str">
        <x:v>권고단가 아님</x:v>
      </x:c>
    </x:row>
    <x:row r="4">
      <x:c r="A4" s="33" t="str">
        <x:v>Uzbekistan</x:v>
      </x:c>
      <x:c r="B4" s="36" t="str">
        <x:v>직업훈련원</x:v>
      </x:c>
      <x:c r="C4" s="36" t="str">
        <x:v>신축</x:v>
      </x:c>
      <x:c r="D4" s="33" t="n">
        <x:v>2</x:v>
      </x:c>
      <x:c r="E4" s="33" t="n">
        <x:v>2</x:v>
      </x:c>
      <x:c r="F4" s="33" t="str">
        <x:v>2019-05-15</x:v>
      </x:c>
      <x:c r="G4" s="33" t="str">
        <x:v>2023-07-17</x:v>
      </x:c>
      <x:c r="H4" s="45" t="n">
        <x:v>770.0094786729858</x:v>
      </x:c>
      <x:c r="I4" s="45" t="n">
        <x:v>980.7516040329973</x:v>
      </x:c>
      <x:c r="J4" s="36" t="str">
        <x:v>잠정 범위만</x:v>
      </x:c>
      <x:c r="K4" s="36" t="str">
        <x:v>권고단가 아님</x:v>
      </x:c>
    </x:row>
    <x:row r="5">
      <x:c r="A5" s="33" t="str">
        <x:v>Bangladesh</x:v>
      </x:c>
      <x:c r="B5" s="36" t="str">
        <x:v>사이버수사 교육시설</x:v>
      </x:c>
      <x:c r="C5" s="36" t="str">
        <x:v>신축</x:v>
      </x:c>
      <x:c r="D5" s="33" t="n">
        <x:v>1</x:v>
      </x:c>
      <x:c r="E5" s="33" t="n">
        <x:v>1</x:v>
      </x:c>
      <x:c r="F5" s="33" t="str">
        <x:v>2022-09-01</x:v>
      </x:c>
      <x:c r="G5" s="33" t="str">
        <x:v>2022-09-01</x:v>
      </x:c>
      <x:c r="H5" s="45" t="n">
        <x:v>717.8669097538742</x:v>
      </x:c>
      <x:c r="I5" s="45" t="n">
        <x:v>717.8669097538742</x:v>
      </x:c>
      <x:c r="J5" s="36" t="str">
        <x:v>개별 사례만</x:v>
      </x:c>
      <x:c r="K5" s="36" t="str">
        <x:v>권고단가 아님</x:v>
      </x:c>
    </x:row>
    <x:row r="6">
      <x:c r="A6" s="33" t="str">
        <x:v>Bolivia</x:v>
      </x:c>
      <x:c r="B6" s="36" t="str">
        <x:v>모성보건시설 2개소</x:v>
      </x:c>
      <x:c r="C6" s="36" t="str">
        <x:v>신축</x:v>
      </x:c>
      <x:c r="D6" s="33" t="n">
        <x:v>1</x:v>
      </x:c>
      <x:c r="E6" s="33" t="n">
        <x:v>0</x:v>
      </x:c>
      <x:c r="F6" s="33" t="str">
        <x:v>2025-09-26</x:v>
      </x:c>
      <x:c r="G6" s="33" t="str">
        <x:v>2025-09-26</x:v>
      </x:c>
      <x:c r="H6" s="45" t="n">
        <x:v>2016.6275</x:v>
      </x:c>
      <x:c r="I6" s="45" t="n">
        <x:v>2016.6275</x:v>
      </x:c>
      <x:c r="J6" s="36" t="str">
        <x:v>개별 사례만</x:v>
      </x:c>
      <x:c r="K6" s="36" t="str">
        <x:v>권고단가 아님</x:v>
      </x:c>
    </x:row>
    <x:row r="7">
      <x:c r="A7" s="33" t="str">
        <x:v>Bolivia</x:v>
      </x:c>
      <x:c r="B7" s="36" t="str">
        <x:v>소규모 공공시설</x:v>
      </x:c>
      <x:c r="C7" s="36" t="str">
        <x:v>신축</x:v>
      </x:c>
      <x:c r="D7" s="33" t="n">
        <x:v>1</x:v>
      </x:c>
      <x:c r="E7" s="33" t="n">
        <x:v>0</x:v>
      </x:c>
      <x:c r="F7" s="33" t="str">
        <x:v>2025-05-09</x:v>
      </x:c>
      <x:c r="G7" s="33" t="str">
        <x:v>2025-05-09</x:v>
      </x:c>
      <x:c r="H7" s="45" t="n">
        <x:v>1134.5333639073608</x:v>
      </x:c>
      <x:c r="I7" s="45" t="n">
        <x:v>1134.5333639073608</x:v>
      </x:c>
      <x:c r="J7" s="36" t="str">
        <x:v>개별 사례만</x:v>
      </x:c>
      <x:c r="K7" s="36" t="str">
        <x:v>권고단가 아님</x:v>
      </x:c>
    </x:row>
    <x:row r="8">
      <x:c r="A8" s="33" t="str">
        <x:v>Bolivia</x:v>
      </x:c>
      <x:c r="B8" s="36" t="str">
        <x:v>병원</x:v>
      </x:c>
      <x:c r="C8" s="36" t="str">
        <x:v>신축</x:v>
      </x:c>
      <x:c r="D8" s="33" t="n">
        <x:v>1</x:v>
      </x:c>
      <x:c r="E8" s="33" t="n">
        <x:v>1</x:v>
      </x:c>
      <x:c r="F8" s="33" t="str">
        <x:v>2018-11-23</x:v>
      </x:c>
      <x:c r="G8" s="33" t="str">
        <x:v>2018-11-23</x:v>
      </x:c>
      <x:c r="H8" s="45" t="n">
        <x:v>1429.027899820438</x:v>
      </x:c>
      <x:c r="I8" s="45" t="n">
        <x:v>1429.027899820438</x:v>
      </x:c>
      <x:c r="J8" s="36" t="str">
        <x:v>개별 사례만</x:v>
      </x:c>
      <x:c r="K8" s="36" t="str">
        <x:v>권고단가 아님</x:v>
      </x:c>
    </x:row>
    <x:row r="9">
      <x:c r="A9" s="33" t="str">
        <x:v>Cambodia</x:v>
      </x:c>
      <x:c r="B9" s="36" t="str">
        <x:v>국립소아병원</x:v>
      </x:c>
      <x:c r="C9" s="36" t="str">
        <x:v>신축</x:v>
      </x:c>
      <x:c r="D9" s="33" t="n">
        <x:v>1</x:v>
      </x:c>
      <x:c r="E9" s="33" t="n">
        <x:v>1</x:v>
      </x:c>
      <x:c r="F9" s="33" t="str">
        <x:v>2025-09-08</x:v>
      </x:c>
      <x:c r="G9" s="33" t="str">
        <x:v>2025-09-08</x:v>
      </x:c>
      <x:c r="H9" s="45" t="n">
        <x:v>1245.664420634044</x:v>
      </x:c>
      <x:c r="I9" s="45" t="n">
        <x:v>1245.664420634044</x:v>
      </x:c>
      <x:c r="J9" s="36" t="str">
        <x:v>개별 사례만</x:v>
      </x:c>
      <x:c r="K9" s="36" t="str">
        <x:v>권고단가 아님</x:v>
      </x:c>
    </x:row>
    <x:row r="10">
      <x:c r="A10" s="33" t="str">
        <x:v>Cambodia</x:v>
      </x:c>
      <x:c r="B10" s="36" t="str">
        <x:v>Dangkao 후송병원(70병상)</x:v>
      </x:c>
      <x:c r="C10" s="36" t="str">
        <x:v>신축</x:v>
      </x:c>
      <x:c r="D10" s="33" t="n">
        <x:v>1</x:v>
      </x:c>
      <x:c r="E10" s="33" t="n">
        <x:v>1</x:v>
      </x:c>
      <x:c r="F10" s="33" t="str">
        <x:v>2025-05-30</x:v>
      </x:c>
      <x:c r="G10" s="33" t="str">
        <x:v>2025-05-30</x:v>
      </x:c>
      <x:c r="H10" s="45" t="n">
        <x:v>1783.7837837837837</x:v>
      </x:c>
      <x:c r="I10" s="45" t="n">
        <x:v>1783.7837837837837</x:v>
      </x:c>
      <x:c r="J10" s="36" t="str">
        <x:v>개별 사례만</x:v>
      </x:c>
      <x:c r="K10" s="36" t="str">
        <x:v>권고단가 아님</x:v>
      </x:c>
    </x:row>
    <x:row r="11">
      <x:c r="A11" s="33" t="str">
        <x:v>Cambodia</x:v>
      </x:c>
      <x:c r="B11" s="36" t="str">
        <x:v>안과병원</x:v>
      </x:c>
      <x:c r="C11" s="36" t="str">
        <x:v>리모델링·개보수</x:v>
      </x:c>
      <x:c r="D11" s="33" t="n">
        <x:v>1</x:v>
      </x:c>
      <x:c r="E11" s="33" t="n">
        <x:v>0</x:v>
      </x:c>
      <x:c r="F11" s="33" t="str">
        <x:v>2023-11-21</x:v>
      </x:c>
      <x:c r="G11" s="33" t="str">
        <x:v>2023-11-21</x:v>
      </x:c>
      <x:c r="H11" s="45" t="n">
        <x:v>68.53771428571429</x:v>
      </x:c>
      <x:c r="I11" s="45" t="n">
        <x:v>68.53771428571429</x:v>
      </x:c>
      <x:c r="J11" s="36" t="str">
        <x:v>개별 사례만</x:v>
      </x:c>
      <x:c r="K11" s="36" t="str">
        <x:v>권고단가 아님</x:v>
      </x:c>
    </x:row>
    <x:row r="12">
      <x:c r="A12" s="33" t="str">
        <x:v>Cambodia</x:v>
      </x:c>
      <x:c r="B12" s="36" t="str">
        <x:v>모자보건 의료시설(5개소)</x:v>
      </x:c>
      <x:c r="C12" s="36" t="str">
        <x:v>신축</x:v>
      </x:c>
      <x:c r="D12" s="33" t="n">
        <x:v>1</x:v>
      </x:c>
      <x:c r="E12" s="33" t="n">
        <x:v>1</x:v>
      </x:c>
      <x:c r="F12" s="33" t="str">
        <x:v>2021-05-11</x:v>
      </x:c>
      <x:c r="G12" s="33" t="str">
        <x:v>2021-05-11</x:v>
      </x:c>
      <x:c r="H12" s="45" t="n">
        <x:v>771.5781848911961</x:v>
      </x:c>
      <x:c r="I12" s="45" t="n">
        <x:v>771.5781848911961</x:v>
      </x:c>
      <x:c r="J12" s="36" t="str">
        <x:v>개별 사례만</x:v>
      </x:c>
      <x:c r="K12" s="36" t="str">
        <x:v>권고단가 아님</x:v>
      </x:c>
    </x:row>
    <x:row r="13">
      <x:c r="A13" s="33" t="str">
        <x:v>Cambodia</x:v>
      </x:c>
      <x:c r="B13" s="36" t="str">
        <x:v>창업보육센터</x:v>
      </x:c>
      <x:c r="C13" s="36" t="str">
        <x:v>신축</x:v>
      </x:c>
      <x:c r="D13" s="33" t="n">
        <x:v>1</x:v>
      </x:c>
      <x:c r="E13" s="33" t="n">
        <x:v>1</x:v>
      </x:c>
      <x:c r="F13" s="33" t="str">
        <x:v>2021-05-10</x:v>
      </x:c>
      <x:c r="G13" s="33" t="str">
        <x:v>2021-05-10</x:v>
      </x:c>
      <x:c r="H13" s="45" t="n">
        <x:v>1194.5047537033654</x:v>
      </x:c>
      <x:c r="I13" s="45" t="n">
        <x:v>1194.5047537033654</x:v>
      </x:c>
      <x:c r="J13" s="36" t="str">
        <x:v>개별 사례만</x:v>
      </x:c>
      <x:c r="K13" s="36" t="str">
        <x:v>권고단가 아님</x:v>
      </x:c>
    </x:row>
    <x:row r="14">
      <x:c r="A14" s="33" t="str">
        <x:v>Cambodia</x:v>
      </x:c>
      <x:c r="B14" s="36" t="str">
        <x:v>이비인후과 병원</x:v>
      </x:c>
      <x:c r="C14" s="36" t="str">
        <x:v>신축</x:v>
      </x:c>
      <x:c r="D14" s="33" t="n">
        <x:v>1</x:v>
      </x:c>
      <x:c r="E14" s="33" t="n">
        <x:v>1</x:v>
      </x:c>
      <x:c r="F14" s="33" t="str">
        <x:v>2020-02-07</x:v>
      </x:c>
      <x:c r="G14" s="33" t="str">
        <x:v>2020-02-07</x:v>
      </x:c>
      <x:c r="H14" s="45" t="n">
        <x:v>976.5578251482789</x:v>
      </x:c>
      <x:c r="I14" s="45" t="n">
        <x:v>976.5578251482789</x:v>
      </x:c>
      <x:c r="J14" s="36" t="str">
        <x:v>개별 사례만</x:v>
      </x:c>
      <x:c r="K14" s="36" t="str">
        <x:v>권고단가 아님</x:v>
      </x:c>
    </x:row>
    <x:row r="15">
      <x:c r="A15" s="33" t="str">
        <x:v>Côte d’Ivoire</x:v>
      </x:c>
      <x:c r="B15" s="36" t="str">
        <x:v>PETROCI 교육시설</x:v>
      </x:c>
      <x:c r="C15" s="36" t="str">
        <x:v>리모델링·개보수</x:v>
      </x:c>
      <x:c r="D15" s="33" t="n">
        <x:v>1</x:v>
      </x:c>
      <x:c r="E15" s="33" t="n">
        <x:v>0</x:v>
      </x:c>
      <x:c r="F15" s="33" t="str">
        <x:v>2025-07-04</x:v>
      </x:c>
      <x:c r="G15" s="33" t="str">
        <x:v>2025-07-04</x:v>
      </x:c>
      <x:c r="H15" s="45" t="n">
        <x:v>1308.8573333333334</x:v>
      </x:c>
      <x:c r="I15" s="45" t="n">
        <x:v>1308.8573333333334</x:v>
      </x:c>
      <x:c r="J15" s="36" t="str">
        <x:v>개별 사례만</x:v>
      </x:c>
      <x:c r="K15" s="36" t="str">
        <x:v>권고단가 아님</x:v>
      </x:c>
    </x:row>
    <x:row r="16">
      <x:c r="A16" s="33" t="str">
        <x:v>Dominican Republic</x:v>
      </x:c>
      <x:c r="B16" s="36" t="str">
        <x:v>직업훈련센터</x:v>
      </x:c>
      <x:c r="C16" s="36" t="str">
        <x:v>신축</x:v>
      </x:c>
      <x:c r="D16" s="33" t="n">
        <x:v>1</x:v>
      </x:c>
      <x:c r="E16" s="33" t="n">
        <x:v>1</x:v>
      </x:c>
      <x:c r="F16" s="33" t="str">
        <x:v>2024-12-20</x:v>
      </x:c>
      <x:c r="G16" s="33" t="str">
        <x:v>2024-12-20</x:v>
      </x:c>
      <x:c r="H16" s="45" t="n">
        <x:v>1267.8914761803032</x:v>
      </x:c>
      <x:c r="I16" s="45" t="n">
        <x:v>1267.8914761803032</x:v>
      </x:c>
      <x:c r="J16" s="36" t="str">
        <x:v>개별 사례만</x:v>
      </x:c>
      <x:c r="K16" s="36" t="str">
        <x:v>권고단가 아님</x:v>
      </x:c>
    </x:row>
    <x:row r="17">
      <x:c r="A17" s="33" t="str">
        <x:v>Dominican Republic</x:v>
      </x:c>
      <x:c r="B17" s="36" t="str">
        <x:v>보건센터</x:v>
      </x:c>
      <x:c r="C17" s="36" t="str">
        <x:v>신축</x:v>
      </x:c>
      <x:c r="D17" s="33" t="n">
        <x:v>1</x:v>
      </x:c>
      <x:c r="E17" s="33" t="n">
        <x:v>1</x:v>
      </x:c>
      <x:c r="F17" s="33" t="str">
        <x:v>2022-09-13</x:v>
      </x:c>
      <x:c r="G17" s="33" t="str">
        <x:v>2022-09-13</x:v>
      </x:c>
      <x:c r="H17" s="45" t="n">
        <x:v>1756.4102564102564</x:v>
      </x:c>
      <x:c r="I17" s="45" t="n">
        <x:v>1756.4102564102564</x:v>
      </x:c>
      <x:c r="J17" s="36" t="str">
        <x:v>개별 사례만</x:v>
      </x:c>
      <x:c r="K17" s="36" t="str">
        <x:v>권고단가 아님</x:v>
      </x:c>
    </x:row>
    <x:row r="18">
      <x:c r="A18" s="33" t="str">
        <x:v>Ecuador</x:v>
      </x:c>
      <x:c r="B18" s="36" t="str">
        <x:v>혁신센터</x:v>
      </x:c>
      <x:c r="C18" s="36" t="str">
        <x:v>신축</x:v>
      </x:c>
      <x:c r="D18" s="33" t="n">
        <x:v>1</x:v>
      </x:c>
      <x:c r="E18" s="33" t="n">
        <x:v>1</x:v>
      </x:c>
      <x:c r="F18" s="33" t="str">
        <x:v>2022-06-06</x:v>
      </x:c>
      <x:c r="G18" s="33" t="str">
        <x:v>2022-06-06</x:v>
      </x:c>
      <x:c r="H18" s="45" t="n">
        <x:v>861.2903225806451</x:v>
      </x:c>
      <x:c r="I18" s="45" t="n">
        <x:v>861.2903225806451</x:v>
      </x:c>
      <x:c r="J18" s="36" t="str">
        <x:v>개별 사례만</x:v>
      </x:c>
      <x:c r="K18" s="36" t="str">
        <x:v>권고단가 아님</x:v>
      </x:c>
    </x:row>
    <x:row r="19">
      <x:c r="A19" s="33" t="str">
        <x:v>Ecuador</x:v>
      </x:c>
      <x:c r="B19" s="36" t="str">
        <x:v>보건센터</x:v>
      </x:c>
      <x:c r="C19" s="36" t="str">
        <x:v>신축</x:v>
      </x:c>
      <x:c r="D19" s="33" t="n">
        <x:v>1</x:v>
      </x:c>
      <x:c r="E19" s="33" t="n">
        <x:v>1</x:v>
      </x:c>
      <x:c r="F19" s="33" t="str">
        <x:v>2017-08-15</x:v>
      </x:c>
      <x:c r="G19" s="33" t="str">
        <x:v>2017-08-15</x:v>
      </x:c>
      <x:c r="H19" s="45" t="n">
        <x:v>1405.866960473764</x:v>
      </x:c>
      <x:c r="I19" s="45" t="n">
        <x:v>1405.866960473764</x:v>
      </x:c>
      <x:c r="J19" s="36" t="str">
        <x:v>개별 사례만</x:v>
      </x:c>
      <x:c r="K19" s="36" t="str">
        <x:v>권고단가 아님</x:v>
      </x:c>
    </x:row>
    <x:row r="20">
      <x:c r="A20" s="33" t="str">
        <x:v>El Salvador</x:v>
      </x:c>
      <x:c r="B20" s="36" t="str">
        <x:v>ITCA 교육시설</x:v>
      </x:c>
      <x:c r="C20" s="36" t="str">
        <x:v>신축</x:v>
      </x:c>
      <x:c r="D20" s="33" t="n">
        <x:v>1</x:v>
      </x:c>
      <x:c r="E20" s="33" t="n">
        <x:v>1</x:v>
      </x:c>
      <x:c r="F20" s="33" t="str">
        <x:v>2024-11-01</x:v>
      </x:c>
      <x:c r="G20" s="33" t="str">
        <x:v>2024-11-01</x:v>
      </x:c>
      <x:c r="H20" s="45" t="n">
        <x:v>1224.4328274881998</x:v>
      </x:c>
      <x:c r="I20" s="45" t="n">
        <x:v>1224.4328274881998</x:v>
      </x:c>
      <x:c r="J20" s="36" t="str">
        <x:v>개별 사례만</x:v>
      </x:c>
      <x:c r="K20" s="36" t="str">
        <x:v>권고단가 아님</x:v>
      </x:c>
    </x:row>
    <x:row r="21">
      <x:c r="A21" s="33" t="str">
        <x:v>El Salvador</x:v>
      </x:c>
      <x:c r="B21" s="36" t="str">
        <x:v>보건교육센터</x:v>
      </x:c>
      <x:c r="C21" s="36" t="str">
        <x:v>신축</x:v>
      </x:c>
      <x:c r="D21" s="33" t="n">
        <x:v>1</x:v>
      </x:c>
      <x:c r="E21" s="33" t="n">
        <x:v>1</x:v>
      </x:c>
      <x:c r="F21" s="33" t="str">
        <x:v>2023-10-09</x:v>
      </x:c>
      <x:c r="G21" s="33" t="str">
        <x:v>2023-10-09</x:v>
      </x:c>
      <x:c r="H21" s="45" t="n">
        <x:v>1299.0278243379148</x:v>
      </x:c>
      <x:c r="I21" s="45" t="n">
        <x:v>1299.0278243379148</x:v>
      </x:c>
      <x:c r="J21" s="36" t="str">
        <x:v>개별 사례만</x:v>
      </x:c>
      <x:c r="K21" s="36" t="str">
        <x:v>권고단가 아님</x:v>
      </x:c>
    </x:row>
    <x:row r="22">
      <x:c r="A22" s="33" t="str">
        <x:v>Ethiopia</x:v>
      </x:c>
      <x:c r="B22" s="36" t="str">
        <x:v>병원</x:v>
      </x:c>
      <x:c r="C22" s="36" t="str">
        <x:v>신축</x:v>
      </x:c>
      <x:c r="D22" s="33" t="n">
        <x:v>1</x:v>
      </x:c>
      <x:c r="E22" s="33" t="n">
        <x:v>1</x:v>
      </x:c>
      <x:c r="F22" s="33" t="str">
        <x:v>2020-11-26</x:v>
      </x:c>
      <x:c r="G22" s="33" t="str">
        <x:v>2020-11-26</x:v>
      </x:c>
      <x:c r="H22" s="45" t="n">
        <x:v>633.890358014646</x:v>
      </x:c>
      <x:c r="I22" s="45" t="n">
        <x:v>633.890358014646</x:v>
      </x:c>
      <x:c r="J22" s="36" t="str">
        <x:v>개별 사례만</x:v>
      </x:c>
      <x:c r="K22" s="36" t="str">
        <x:v>권고단가 아님</x:v>
      </x:c>
    </x:row>
    <x:row r="23">
      <x:c r="A23" s="33" t="str">
        <x:v>Fiji</x:v>
      </x:c>
      <x:c r="B23" s="36" t="str">
        <x:v>의과대학 시뮬레이션센터</x:v>
      </x:c>
      <x:c r="C23" s="36" t="str">
        <x:v>신축</x:v>
      </x:c>
      <x:c r="D23" s="33" t="n">
        <x:v>1</x:v>
      </x:c>
      <x:c r="E23" s="33" t="n">
        <x:v>1</x:v>
      </x:c>
      <x:c r="F23" s="33" t="str">
        <x:v>2024-10-25</x:v>
      </x:c>
      <x:c r="G23" s="33" t="str">
        <x:v>2024-10-25</x:v>
      </x:c>
      <x:c r="H23" s="45" t="n">
        <x:v>2270.1377358490568</x:v>
      </x:c>
      <x:c r="I23" s="45" t="n">
        <x:v>2270.1377358490568</x:v>
      </x:c>
      <x:c r="J23" s="36" t="str">
        <x:v>개별 사례만</x:v>
      </x:c>
      <x:c r="K23" s="36" t="str">
        <x:v>권고단가 아님</x:v>
      </x:c>
    </x:row>
    <x:row r="24">
      <x:c r="A24" s="33" t="str">
        <x:v>Ghana</x:v>
      </x:c>
      <x:c r="B24" s="36" t="str">
        <x:v>대학교 교육센터</x:v>
      </x:c>
      <x:c r="C24" s="36" t="str">
        <x:v>신축</x:v>
      </x:c>
      <x:c r="D24" s="33" t="n">
        <x:v>1</x:v>
      </x:c>
      <x:c r="E24" s="33" t="n">
        <x:v>1</x:v>
      </x:c>
      <x:c r="F24" s="33" t="str">
        <x:v>2025-04-02</x:v>
      </x:c>
      <x:c r="G24" s="33" t="str">
        <x:v>2025-04-02</x:v>
      </x:c>
      <x:c r="H24" s="45" t="n">
        <x:v>1614.3240846980284</x:v>
      </x:c>
      <x:c r="I24" s="45" t="n">
        <x:v>1614.3240846980284</x:v>
      </x:c>
      <x:c r="J24" s="36" t="str">
        <x:v>개별 사례만</x:v>
      </x:c>
      <x:c r="K24" s="36" t="str">
        <x:v>권고단가 아님</x:v>
      </x:c>
    </x:row>
    <x:row r="25">
      <x:c r="A25" s="33" t="str">
        <x:v>Indonesia</x:v>
      </x:c>
      <x:c r="B25" s="36" t="str">
        <x:v>사이버보안 교육센터</x:v>
      </x:c>
      <x:c r="C25" s="36" t="str">
        <x:v>신축</x:v>
      </x:c>
      <x:c r="D25" s="33" t="n">
        <x:v>1</x:v>
      </x:c>
      <x:c r="E25" s="33" t="n">
        <x:v>1</x:v>
      </x:c>
      <x:c r="F25" s="33" t="str">
        <x:v>2025-01-10</x:v>
      </x:c>
      <x:c r="G25" s="33" t="str">
        <x:v>2025-01-10</x:v>
      </x:c>
      <x:c r="H25" s="45" t="n">
        <x:v>960.7207236534243</x:v>
      </x:c>
      <x:c r="I25" s="45" t="n">
        <x:v>960.7207236534243</x:v>
      </x:c>
      <x:c r="J25" s="36" t="str">
        <x:v>개별 사례만</x:v>
      </x:c>
      <x:c r="K25" s="36" t="str">
        <x:v>권고단가 아님</x:v>
      </x:c>
    </x:row>
    <x:row r="26">
      <x:c r="A26" s="33" t="str">
        <x:v>Indonesia</x:v>
      </x:c>
      <x:c r="B26" s="36" t="str">
        <x:v>청소년 재활시설</x:v>
      </x:c>
      <x:c r="C26" s="36" t="str">
        <x:v>리모델링·개보수</x:v>
      </x:c>
      <x:c r="D26" s="33" t="n">
        <x:v>1</x:v>
      </x:c>
      <x:c r="E26" s="33" t="n">
        <x:v>0</x:v>
      </x:c>
      <x:c r="F26" s="33" t="str">
        <x:v>2023-04-18</x:v>
      </x:c>
      <x:c r="G26" s="33" t="str">
        <x:v>2023-04-18</x:v>
      </x:c>
      <x:c r="H26" s="45" t="n">
        <x:v>382.98910391933646</x:v>
      </x:c>
      <x:c r="I26" s="45" t="n">
        <x:v>382.98910391933646</x:v>
      </x:c>
      <x:c r="J26" s="36" t="str">
        <x:v>개별 사례만</x:v>
      </x:c>
      <x:c r="K26" s="36" t="str">
        <x:v>권고단가 아님</x:v>
      </x:c>
    </x:row>
    <x:row r="27">
      <x:c r="A27" s="33" t="str">
        <x:v>Indonesia</x:v>
      </x:c>
      <x:c r="B27" s="36" t="str">
        <x:v>경찰 교육시설</x:v>
      </x:c>
      <x:c r="C27" s="36" t="str">
        <x:v>리모델링·개보수</x:v>
      </x:c>
      <x:c r="D27" s="33" t="n">
        <x:v>1</x:v>
      </x:c>
      <x:c r="E27" s="33" t="n">
        <x:v>0</x:v>
      </x:c>
      <x:c r="F27" s="33" t="str">
        <x:v>2022-05-30</x:v>
      </x:c>
      <x:c r="G27" s="33" t="str">
        <x:v>2022-05-30</x:v>
      </x:c>
      <x:c r="H27" s="45" t="n">
        <x:v>188.88888888888889</x:v>
      </x:c>
      <x:c r="I27" s="45" t="n">
        <x:v>188.88888888888889</x:v>
      </x:c>
      <x:c r="J27" s="36" t="str">
        <x:v>개별 사례만</x:v>
      </x:c>
      <x:c r="K27" s="36" t="str">
        <x:v>권고단가 아님</x:v>
      </x:c>
    </x:row>
    <x:row r="28">
      <x:c r="A28" s="33" t="str">
        <x:v>Iraq</x:v>
      </x:c>
      <x:c r="B28" s="36" t="str">
        <x:v>어린이 심장병원</x:v>
      </x:c>
      <x:c r="C28" s="36" t="str">
        <x:v>신축</x:v>
      </x:c>
      <x:c r="D28" s="33" t="n">
        <x:v>1</x:v>
      </x:c>
      <x:c r="E28" s="33" t="n">
        <x:v>1</x:v>
      </x:c>
      <x:c r="F28" s="33" t="str">
        <x:v>2025-09-08</x:v>
      </x:c>
      <x:c r="G28" s="33" t="str">
        <x:v>2025-09-08</x:v>
      </x:c>
      <x:c r="H28" s="45" t="n">
        <x:v>2423.0461173897193</x:v>
      </x:c>
      <x:c r="I28" s="45" t="n">
        <x:v>2423.0461173897193</x:v>
      </x:c>
      <x:c r="J28" s="36" t="str">
        <x:v>개별 사례만</x:v>
      </x:c>
      <x:c r="K28" s="36" t="str">
        <x:v>권고단가 아님</x:v>
      </x:c>
    </x:row>
    <x:row r="29">
      <x:c r="A29" s="33" t="str">
        <x:v>Iraq</x:v>
      </x:c>
      <x:c r="B29" s="36" t="str">
        <x:v>직업훈련원</x:v>
      </x:c>
      <x:c r="C29" s="36" t="str">
        <x:v>리모델링·개보수</x:v>
      </x:c>
      <x:c r="D29" s="33" t="n">
        <x:v>1</x:v>
      </x:c>
      <x:c r="E29" s="33" t="n">
        <x:v>0</x:v>
      </x:c>
      <x:c r="F29" s="33" t="str">
        <x:v>2024-05-12</x:v>
      </x:c>
      <x:c r="G29" s="33" t="str">
        <x:v>2024-05-12</x:v>
      </x:c>
      <x:c r="H29" s="45" t="n">
        <x:v>220.45649263721552</x:v>
      </x:c>
      <x:c r="I29" s="45" t="n">
        <x:v>220.45649263721552</x:v>
      </x:c>
      <x:c r="J29" s="36" t="str">
        <x:v>개별 사례만</x:v>
      </x:c>
      <x:c r="K29" s="36" t="str">
        <x:v>권고단가 아님</x:v>
      </x:c>
    </x:row>
    <x:row r="30">
      <x:c r="A30" s="33" t="str">
        <x:v>Iraq</x:v>
      </x:c>
      <x:c r="B30" s="36" t="str">
        <x:v>병원</x:v>
      </x:c>
      <x:c r="C30" s="36" t="str">
        <x:v>신축</x:v>
      </x:c>
      <x:c r="D30" s="33" t="n">
        <x:v>1</x:v>
      </x:c>
      <x:c r="E30" s="33" t="n">
        <x:v>1</x:v>
      </x:c>
      <x:c r="F30" s="33" t="str">
        <x:v>2020-10-19</x:v>
      </x:c>
      <x:c r="G30" s="33" t="str">
        <x:v>2020-10-19</x:v>
      </x:c>
      <x:c r="H30" s="45" t="n">
        <x:v>2380.5386620330146</x:v>
      </x:c>
      <x:c r="I30" s="45" t="n">
        <x:v>2380.5386620330146</x:v>
      </x:c>
      <x:c r="J30" s="36" t="str">
        <x:v>개별 사례만</x:v>
      </x:c>
      <x:c r="K30" s="36" t="str">
        <x:v>권고단가 아님</x:v>
      </x:c>
    </x:row>
    <x:row r="31">
      <x:c r="A31" s="33" t="str">
        <x:v>Jordan</x:v>
      </x:c>
      <x:c r="B31" s="36" t="str">
        <x:v>학교</x:v>
      </x:c>
      <x:c r="C31" s="36" t="str">
        <x:v>신축</x:v>
      </x:c>
      <x:c r="D31" s="33" t="n">
        <x:v>1</x:v>
      </x:c>
      <x:c r="E31" s="33" t="n">
        <x:v>1</x:v>
      </x:c>
      <x:c r="F31" s="33" t="str">
        <x:v>2019-10-17</x:v>
      </x:c>
      <x:c r="G31" s="33" t="str">
        <x:v>2019-10-17</x:v>
      </x:c>
      <x:c r="H31" s="45" t="n">
        <x:v>672.9508404533124</x:v>
      </x:c>
      <x:c r="I31" s="45" t="n">
        <x:v>672.9508404533124</x:v>
      </x:c>
      <x:c r="J31" s="36" t="str">
        <x:v>개별 사례만</x:v>
      </x:c>
      <x:c r="K31" s="36" t="str">
        <x:v>권고단가 아님</x:v>
      </x:c>
    </x:row>
    <x:row r="32">
      <x:c r="A32" s="33" t="str">
        <x:v>Jordan</x:v>
      </x:c>
      <x:c r="B32" s="36" t="str">
        <x:v>학교 2개소</x:v>
      </x:c>
      <x:c r="C32" s="36" t="str">
        <x:v>신축</x:v>
      </x:c>
      <x:c r="D32" s="33" t="n">
        <x:v>1</x:v>
      </x:c>
      <x:c r="E32" s="33" t="n">
        <x:v>1</x:v>
      </x:c>
      <x:c r="F32" s="33" t="str">
        <x:v>2018-10-02</x:v>
      </x:c>
      <x:c r="G32" s="33" t="str">
        <x:v>2018-10-02</x:v>
      </x:c>
      <x:c r="H32" s="45" t="n">
        <x:v>723.4636136333728</x:v>
      </x:c>
      <x:c r="I32" s="45" t="n">
        <x:v>723.4636136333728</x:v>
      </x:c>
      <x:c r="J32" s="36" t="str">
        <x:v>개별 사례만</x:v>
      </x:c>
      <x:c r="K32" s="36" t="str">
        <x:v>권고단가 아님</x:v>
      </x:c>
    </x:row>
    <x:row r="33">
      <x:c r="A33" s="33" t="str">
        <x:v>Kenya</x:v>
      </x:c>
      <x:c r="B33" s="36" t="str">
        <x:v>모자보건시설</x:v>
      </x:c>
      <x:c r="C33" s="36" t="str">
        <x:v>신축</x:v>
      </x:c>
      <x:c r="D33" s="33" t="n">
        <x:v>1</x:v>
      </x:c>
      <x:c r="E33" s="33" t="n">
        <x:v>1</x:v>
      </x:c>
      <x:c r="F33" s="33" t="str">
        <x:v>2025-02-14</x:v>
      </x:c>
      <x:c r="G33" s="33" t="str">
        <x:v>2025-02-14</x:v>
      </x:c>
      <x:c r="H33" s="45" t="n">
        <x:v>1372.573714624389</x:v>
      </x:c>
      <x:c r="I33" s="45" t="n">
        <x:v>1372.573714624389</x:v>
      </x:c>
      <x:c r="J33" s="36" t="str">
        <x:v>개별 사례만</x:v>
      </x:c>
      <x:c r="K33" s="36" t="str">
        <x:v>권고단가 아님</x:v>
      </x:c>
    </x:row>
    <x:row r="34">
      <x:c r="A34" s="33" t="str">
        <x:v>Kyrgyzstan</x:v>
      </x:c>
      <x:c r="B34" s="36" t="str">
        <x:v>학교 위생시설</x:v>
      </x:c>
      <x:c r="C34" s="36" t="str">
        <x:v>리모델링·개보수</x:v>
      </x:c>
      <x:c r="D34" s="33" t="n">
        <x:v>1</x:v>
      </x:c>
      <x:c r="E34" s="33" t="n">
        <x:v>0</x:v>
      </x:c>
      <x:c r="F34" s="33" t="str">
        <x:v>2025-11-13</x:v>
      </x:c>
      <x:c r="G34" s="33" t="str">
        <x:v>2025-11-13</x:v>
      </x:c>
      <x:c r="H34" s="45" t="n">
        <x:v>782.7175954915466</x:v>
      </x:c>
      <x:c r="I34" s="45" t="n">
        <x:v>782.7175954915466</x:v>
      </x:c>
      <x:c r="J34" s="36" t="str">
        <x:v>개별 사례만</x:v>
      </x:c>
      <x:c r="K34" s="36" t="str">
        <x:v>권고단가 아님</x:v>
      </x:c>
    </x:row>
    <x:row r="35">
      <x:c r="A35" s="33" t="str">
        <x:v>Kyrgyzstan</x:v>
      </x:c>
      <x:c r="B35" s="36" t="str">
        <x:v>ICT 교육센터</x:v>
      </x:c>
      <x:c r="C35" s="36" t="str">
        <x:v>신축</x:v>
      </x:c>
      <x:c r="D35" s="33" t="n">
        <x:v>1</x:v>
      </x:c>
      <x:c r="E35" s="33" t="n">
        <x:v>1</x:v>
      </x:c>
      <x:c r="F35" s="33" t="str">
        <x:v>2025-10-29</x:v>
      </x:c>
      <x:c r="G35" s="33" t="str">
        <x:v>2025-10-29</x:v>
      </x:c>
      <x:c r="H35" s="45" t="n">
        <x:v>1445.3350296861747</x:v>
      </x:c>
      <x:c r="I35" s="45" t="n">
        <x:v>1445.3350296861747</x:v>
      </x:c>
      <x:c r="J35" s="36" t="str">
        <x:v>개별 사례만</x:v>
      </x:c>
      <x:c r="K35" s="36" t="str">
        <x:v>권고단가 아님</x:v>
      </x:c>
    </x:row>
    <x:row r="36">
      <x:c r="A36" s="33" t="str">
        <x:v>Kyrgyzstan</x:v>
      </x:c>
      <x:c r="B36" s="36" t="str">
        <x:v>G-Cloud 시설</x:v>
      </x:c>
      <x:c r="C36" s="36" t="str">
        <x:v>리모델링·개보수</x:v>
      </x:c>
      <x:c r="D36" s="33" t="n">
        <x:v>1</x:v>
      </x:c>
      <x:c r="E36" s="33" t="n">
        <x:v>0</x:v>
      </x:c>
      <x:c r="F36" s="33" t="str">
        <x:v>2023-11-21</x:v>
      </x:c>
      <x:c r="G36" s="33" t="str">
        <x:v>2023-11-21</x:v>
      </x:c>
      <x:c r="H36" s="45" t="n">
        <x:v>668.1452380952381</x:v>
      </x:c>
      <x:c r="I36" s="45" t="n">
        <x:v>668.1452380952381</x:v>
      </x:c>
      <x:c r="J36" s="36" t="str">
        <x:v>개별 사례만</x:v>
      </x:c>
      <x:c r="K36" s="36" t="str">
        <x:v>권고단가 아님</x:v>
      </x:c>
    </x:row>
    <x:row r="37">
      <x:c r="A37" s="33" t="str">
        <x:v>Kyrgyzstan</x:v>
      </x:c>
      <x:c r="B37" s="36" t="str">
        <x:v>공공서비스센터</x:v>
      </x:c>
      <x:c r="C37" s="36" t="str">
        <x:v>리모델링·개보수</x:v>
      </x:c>
      <x:c r="D37" s="33" t="n">
        <x:v>1</x:v>
      </x:c>
      <x:c r="E37" s="33" t="n">
        <x:v>0</x:v>
      </x:c>
      <x:c r="F37" s="33" t="str">
        <x:v>2023-07-07</x:v>
      </x:c>
      <x:c r="G37" s="33" t="str">
        <x:v>2023-07-07</x:v>
      </x:c>
      <x:c r="H37" s="45" t="n">
        <x:v>223.30528445471373</x:v>
      </x:c>
      <x:c r="I37" s="45" t="n">
        <x:v>223.30528445471373</x:v>
      </x:c>
      <x:c r="J37" s="36" t="str">
        <x:v>개별 사례만</x:v>
      </x:c>
      <x:c r="K37" s="36" t="str">
        <x:v>권고단가 아님</x:v>
      </x:c>
    </x:row>
    <x:row r="38">
      <x:c r="A38" s="33" t="str">
        <x:v>Kyrgyzstan</x:v>
      </x:c>
      <x:c r="B38" s="36" t="str">
        <x:v>약초 건조시설</x:v>
      </x:c>
      <x:c r="C38" s="36" t="str">
        <x:v>신축</x:v>
      </x:c>
      <x:c r="D38" s="33" t="n">
        <x:v>1</x:v>
      </x:c>
      <x:c r="E38" s="33" t="n">
        <x:v>0</x:v>
      </x:c>
      <x:c r="F38" s="33" t="str">
        <x:v>2022-09-22</x:v>
      </x:c>
      <x:c r="G38" s="33" t="str">
        <x:v>2022-09-22</x:v>
      </x:c>
      <x:c r="H38" s="45" t="n">
        <x:v>934.5481633016099</x:v>
      </x:c>
      <x:c r="I38" s="45" t="n">
        <x:v>934.5481633016099</x:v>
      </x:c>
      <x:c r="J38" s="36" t="str">
        <x:v>개별 사례만</x:v>
      </x:c>
      <x:c r="K38" s="36" t="str">
        <x:v>권고단가 아님</x:v>
      </x:c>
    </x:row>
    <x:row r="39">
      <x:c r="A39" s="33" t="str">
        <x:v>Laos</x:v>
      </x:c>
      <x:c r="B39" s="36" t="str">
        <x:v>남부 농업훈련센터</x:v>
      </x:c>
      <x:c r="C39" s="36" t="str">
        <x:v>신축</x:v>
      </x:c>
      <x:c r="D39" s="33" t="n">
        <x:v>1</x:v>
      </x:c>
      <x:c r="E39" s="33" t="n">
        <x:v>1</x:v>
      </x:c>
      <x:c r="F39" s="33" t="str">
        <x:v>2024-11-20</x:v>
      </x:c>
      <x:c r="G39" s="33" t="str">
        <x:v>2024-11-20</x:v>
      </x:c>
      <x:c r="H39" s="45" t="n">
        <x:v>891.4771428571429</x:v>
      </x:c>
      <x:c r="I39" s="45" t="n">
        <x:v>891.4771428571429</x:v>
      </x:c>
      <x:c r="J39" s="36" t="str">
        <x:v>개별 사례만</x:v>
      </x:c>
      <x:c r="K39" s="36" t="str">
        <x:v>권고단가 아님</x:v>
      </x:c>
    </x:row>
    <x:row r="40">
      <x:c r="A40" s="33" t="str">
        <x:v>Laos</x:v>
      </x:c>
      <x:c r="B40" s="36" t="str">
        <x:v>출입국관리청사</x:v>
      </x:c>
      <x:c r="C40" s="36" t="str">
        <x:v>신축</x:v>
      </x:c>
      <x:c r="D40" s="33" t="n">
        <x:v>1</x:v>
      </x:c>
      <x:c r="E40" s="33" t="n">
        <x:v>1</x:v>
      </x:c>
      <x:c r="F40" s="33" t="str">
        <x:v>2019-03-07</x:v>
      </x:c>
      <x:c r="G40" s="33" t="str">
        <x:v>2019-03-07</x:v>
      </x:c>
      <x:c r="H40" s="45" t="n">
        <x:v>995.5555555555555</x:v>
      </x:c>
      <x:c r="I40" s="45" t="n">
        <x:v>995.5555555555555</x:v>
      </x:c>
      <x:c r="J40" s="36" t="str">
        <x:v>개별 사례만</x:v>
      </x:c>
      <x:c r="K40" s="36" t="str">
        <x:v>권고단가 아님</x:v>
      </x:c>
    </x:row>
    <x:row r="41">
      <x:c r="A41" s="33" t="str">
        <x:v>Laos</x:v>
      </x:c>
      <x:c r="B41" s="36" t="str">
        <x:v>청소년 IT센터</x:v>
      </x:c>
      <x:c r="C41" s="36" t="str">
        <x:v>신축</x:v>
      </x:c>
      <x:c r="D41" s="33" t="n">
        <x:v>1</x:v>
      </x:c>
      <x:c r="E41" s="33" t="n">
        <x:v>0</x:v>
      </x:c>
      <x:c r="F41" s="33" t="str">
        <x:v>2017-09-11</x:v>
      </x:c>
      <x:c r="G41" s="33" t="str">
        <x:v>2017-09-11</x:v>
      </x:c>
      <x:c r="H41" s="45" t="n">
        <x:v>785.5607034069675</x:v>
      </x:c>
      <x:c r="I41" s="45" t="n">
        <x:v>785.5607034069675</x:v>
      </x:c>
      <x:c r="J41" s="36" t="str">
        <x:v>개별 사례만</x:v>
      </x:c>
      <x:c r="K41" s="36" t="str">
        <x:v>권고단가 아님</x:v>
      </x:c>
    </x:row>
    <x:row r="42">
      <x:c r="A42" s="33" t="str">
        <x:v>Mozambique</x:v>
      </x:c>
      <x:c r="B42" s="36" t="str">
        <x:v>학교 캠퍼스</x:v>
      </x:c>
      <x:c r="C42" s="36" t="str">
        <x:v>개보수</x:v>
      </x:c>
      <x:c r="D42" s="33" t="n">
        <x:v>1</x:v>
      </x:c>
      <x:c r="E42" s="33" t="n">
        <x:v>0</x:v>
      </x:c>
      <x:c r="F42" s="33" t="str">
        <x:v>2025-05-29</x:v>
      </x:c>
      <x:c r="G42" s="33" t="str">
        <x:v>2025-05-29</x:v>
      </x:c>
      <x:c r="H42" s="45" t="n">
        <x:v>14.876516129032257</x:v>
      </x:c>
      <x:c r="I42" s="45" t="n">
        <x:v>14.876516129032257</x:v>
      </x:c>
      <x:c r="J42" s="36" t="str">
        <x:v>개별 사례만</x:v>
      </x:c>
      <x:c r="K42" s="36" t="str">
        <x:v>권고단가 아님</x:v>
      </x:c>
    </x:row>
    <x:row r="43">
      <x:c r="A43" s="33" t="str">
        <x:v>Myanmar</x:v>
      </x:c>
      <x:c r="B43" s="36" t="str">
        <x:v>농산물 유통·가공센터</x:v>
      </x:c>
      <x:c r="C43" s="36" t="str">
        <x:v>신축</x:v>
      </x:c>
      <x:c r="D43" s="33" t="n">
        <x:v>1</x:v>
      </x:c>
      <x:c r="E43" s="33" t="n">
        <x:v>0</x:v>
      </x:c>
      <x:c r="F43" s="33" t="str">
        <x:v>2020-08-05</x:v>
      </x:c>
      <x:c r="G43" s="33" t="str">
        <x:v>2020-08-05</x:v>
      </x:c>
      <x:c r="H43" s="45" t="n">
        <x:v>494.6575838926174</x:v>
      </x:c>
      <x:c r="I43" s="45" t="n">
        <x:v>494.6575838926174</x:v>
      </x:c>
      <x:c r="J43" s="36" t="str">
        <x:v>개별 사례만</x:v>
      </x:c>
      <x:c r="K43" s="36" t="str">
        <x:v>권고단가 아님</x:v>
      </x:c>
    </x:row>
    <x:row r="44">
      <x:c r="A44" s="33" t="str">
        <x:v>Nepal</x:v>
      </x:c>
      <x:c r="B44" s="36" t="str">
        <x:v>재활용 산업 플랫폼</x:v>
      </x:c>
      <x:c r="C44" s="36" t="str">
        <x:v>신축</x:v>
      </x:c>
      <x:c r="D44" s="33" t="n">
        <x:v>1</x:v>
      </x:c>
      <x:c r="E44" s="33" t="n">
        <x:v>1</x:v>
      </x:c>
      <x:c r="F44" s="33" t="str">
        <x:v>2024-12-23</x:v>
      </x:c>
      <x:c r="G44" s="33" t="str">
        <x:v>2024-12-23</x:v>
      </x:c>
      <x:c r="H44" s="45" t="n">
        <x:v>707.3865933370959</x:v>
      </x:c>
      <x:c r="I44" s="45" t="n">
        <x:v>707.3865933370959</x:v>
      </x:c>
      <x:c r="J44" s="36" t="str">
        <x:v>개별 사례만</x:v>
      </x:c>
      <x:c r="K44" s="36" t="str">
        <x:v>권고단가 아님</x:v>
      </x:c>
    </x:row>
    <x:row r="45">
      <x:c r="A45" s="33" t="str">
        <x:v>Nepal</x:v>
      </x:c>
      <x:c r="B45" s="36" t="str">
        <x:v>보건·의료시설</x:v>
      </x:c>
      <x:c r="C45" s="36" t="str">
        <x:v>신축</x:v>
      </x:c>
      <x:c r="D45" s="33" t="n">
        <x:v>1</x:v>
      </x:c>
      <x:c r="E45" s="33" t="n">
        <x:v>1</x:v>
      </x:c>
      <x:c r="F45" s="33" t="str">
        <x:v>2024-05-29</x:v>
      </x:c>
      <x:c r="G45" s="33" t="str">
        <x:v>2024-05-29</x:v>
      </x:c>
      <x:c r="H45" s="45" t="n">
        <x:v>789.0001271563599</x:v>
      </x:c>
      <x:c r="I45" s="45" t="n">
        <x:v>789.0001271563599</x:v>
      </x:c>
      <x:c r="J45" s="36" t="str">
        <x:v>개별 사례만</x:v>
      </x:c>
      <x:c r="K45" s="36" t="str">
        <x:v>권고단가 아님</x:v>
      </x:c>
    </x:row>
    <x:row r="46">
      <x:c r="A46" s="33" t="str">
        <x:v>Nepal</x:v>
      </x:c>
      <x:c r="B46" s="36" t="str">
        <x:v>모델 폴리테크닉</x:v>
      </x:c>
      <x:c r="C46" s="36" t="str">
        <x:v>신축</x:v>
      </x:c>
      <x:c r="D46" s="33" t="n">
        <x:v>1</x:v>
      </x:c>
      <x:c r="E46" s="33" t="n">
        <x:v>1</x:v>
      </x:c>
      <x:c r="F46" s="33" t="str">
        <x:v>2022-06-06</x:v>
      </x:c>
      <x:c r="G46" s="33" t="str">
        <x:v>2022-06-06</x:v>
      </x:c>
      <x:c r="H46" s="45" t="n">
        <x:v>663.8889381393947</x:v>
      </x:c>
      <x:c r="I46" s="45" t="n">
        <x:v>663.8889381393947</x:v>
      </x:c>
      <x:c r="J46" s="36" t="str">
        <x:v>개별 사례만</x:v>
      </x:c>
      <x:c r="K46" s="36" t="str">
        <x:v>권고단가 아님</x:v>
      </x:c>
    </x:row>
    <x:row r="47">
      <x:c r="A47" s="33" t="str">
        <x:v>Nepal</x:v>
      </x:c>
      <x:c r="B47" s="36" t="str">
        <x:v>농촌 Outreach Center 2개소</x:v>
      </x:c>
      <x:c r="C47" s="36" t="str">
        <x:v>신축</x:v>
      </x:c>
      <x:c r="D47" s="33" t="n">
        <x:v>1</x:v>
      </x:c>
      <x:c r="E47" s="33" t="n">
        <x:v>1</x:v>
      </x:c>
      <x:c r="F47" s="33" t="str">
        <x:v>2021-10-11</x:v>
      </x:c>
      <x:c r="G47" s="33" t="str">
        <x:v>2021-10-11</x:v>
      </x:c>
      <x:c r="H47" s="45" t="n">
        <x:v>829.7777381058645</x:v>
      </x:c>
      <x:c r="I47" s="45" t="n">
        <x:v>829.7777381058645</x:v>
      </x:c>
      <x:c r="J47" s="36" t="str">
        <x:v>개별 사례만</x:v>
      </x:c>
      <x:c r="K47" s="36" t="str">
        <x:v>권고단가 아님</x:v>
      </x:c>
    </x:row>
    <x:row r="48">
      <x:c r="A48" s="33" t="str">
        <x:v>Nepal</x:v>
      </x:c>
      <x:c r="B48" s="36" t="str">
        <x:v>IT 교육동</x:v>
      </x:c>
      <x:c r="C48" s="36" t="str">
        <x:v>신축</x:v>
      </x:c>
      <x:c r="D48" s="33" t="n">
        <x:v>1</x:v>
      </x:c>
      <x:c r="E48" s="33" t="n">
        <x:v>1</x:v>
      </x:c>
      <x:c r="F48" s="33" t="str">
        <x:v>2019-02-01</x:v>
      </x:c>
      <x:c r="G48" s="33" t="str">
        <x:v>2019-02-01</x:v>
      </x:c>
      <x:c r="H48" s="45" t="n">
        <x:v>774.2784692514663</x:v>
      </x:c>
      <x:c r="I48" s="45" t="n">
        <x:v>774.2784692514663</x:v>
      </x:c>
      <x:c r="J48" s="36" t="str">
        <x:v>개별 사례만</x:v>
      </x:c>
      <x:c r="K48" s="36" t="str">
        <x:v>권고단가 아님</x:v>
      </x:c>
    </x:row>
    <x:row r="49">
      <x:c r="A49" s="33" t="str">
        <x:v>Pakistan</x:v>
      </x:c>
      <x:c r="B49" s="36" t="str">
        <x:v>섬유산업 교육센터</x:v>
      </x:c>
      <x:c r="C49" s="36" t="str">
        <x:v>신축</x:v>
      </x:c>
      <x:c r="D49" s="33" t="n">
        <x:v>1</x:v>
      </x:c>
      <x:c r="E49" s="33" t="n">
        <x:v>0</x:v>
      </x:c>
      <x:c r="F49" s="33" t="str">
        <x:v>2025-06-21</x:v>
      </x:c>
      <x:c r="G49" s="33" t="str">
        <x:v>2025-06-21</x:v>
      </x:c>
      <x:c r="H49" s="45" t="n">
        <x:v>992.0555555555555</x:v>
      </x:c>
      <x:c r="I49" s="45" t="n">
        <x:v>992.0555555555555</x:v>
      </x:c>
      <x:c r="J49" s="36" t="str">
        <x:v>개별 사례만</x:v>
      </x:c>
      <x:c r="K49" s="36" t="str">
        <x:v>권고단가 아님</x:v>
      </x:c>
    </x:row>
    <x:row r="50">
      <x:c r="A50" s="33" t="str">
        <x:v>Pakistan</x:v>
      </x:c>
      <x:c r="B50" s="36" t="str">
        <x:v>태양광 연구실</x:v>
      </x:c>
      <x:c r="C50" s="36" t="str">
        <x:v>신축</x:v>
      </x:c>
      <x:c r="D50" s="33" t="n">
        <x:v>1</x:v>
      </x:c>
      <x:c r="E50" s="33" t="n">
        <x:v>1</x:v>
      </x:c>
      <x:c r="F50" s="33" t="str">
        <x:v>2021-10-22</x:v>
      </x:c>
      <x:c r="G50" s="33" t="str">
        <x:v>2021-10-22</x:v>
      </x:c>
      <x:c r="H50" s="45" t="n">
        <x:v>782.8226630342244</x:v>
      </x:c>
      <x:c r="I50" s="45" t="n">
        <x:v>782.8226630342244</x:v>
      </x:c>
      <x:c r="J50" s="36" t="str">
        <x:v>개별 사례만</x:v>
      </x:c>
      <x:c r="K50" s="36" t="str">
        <x:v>권고단가 아님</x:v>
      </x:c>
    </x:row>
    <x:row r="51">
      <x:c r="A51" s="33" t="str">
        <x:v>Paraguay</x:v>
      </x:c>
      <x:c r="B51" s="36" t="str">
        <x:v>멀티미디어 교육지원센터</x:v>
      </x:c>
      <x:c r="C51" s="36" t="str">
        <x:v>신축</x:v>
      </x:c>
      <x:c r="D51" s="33" t="n">
        <x:v>1</x:v>
      </x:c>
      <x:c r="E51" s="33" t="n">
        <x:v>1</x:v>
      </x:c>
      <x:c r="F51" s="33" t="str">
        <x:v>2023-02-06</x:v>
      </x:c>
      <x:c r="G51" s="33" t="str">
        <x:v>2023-02-06</x:v>
      </x:c>
      <x:c r="H51" s="45" t="n">
        <x:v>1100</x:v>
      </x:c>
      <x:c r="I51" s="45" t="n">
        <x:v>1100</x:v>
      </x:c>
      <x:c r="J51" s="36" t="str">
        <x:v>개별 사례만</x:v>
      </x:c>
      <x:c r="K51" s="36" t="str">
        <x:v>권고단가 아님</x:v>
      </x:c>
    </x:row>
    <x:row r="52">
      <x:c r="A52" s="33" t="str">
        <x:v>Paraguay</x:v>
      </x:c>
      <x:c r="B52" s="36" t="str">
        <x:v>항공훈련센터</x:v>
      </x:c>
      <x:c r="C52" s="36" t="str">
        <x:v>신축</x:v>
      </x:c>
      <x:c r="D52" s="33" t="n">
        <x:v>1</x:v>
      </x:c>
      <x:c r="E52" s="33" t="n">
        <x:v>1</x:v>
      </x:c>
      <x:c r="F52" s="33" t="str">
        <x:v>2021-12-28</x:v>
      </x:c>
      <x:c r="G52" s="33" t="str">
        <x:v>2021-12-28</x:v>
      </x:c>
      <x:c r="H52" s="45" t="n">
        <x:v>842.5172951531707</x:v>
      </x:c>
      <x:c r="I52" s="45" t="n">
        <x:v>842.5172951531707</x:v>
      </x:c>
      <x:c r="J52" s="36" t="str">
        <x:v>개별 사례만</x:v>
      </x:c>
      <x:c r="K52" s="36" t="str">
        <x:v>권고단가 아님</x:v>
      </x:c>
    </x:row>
    <x:row r="53">
      <x:c r="A53" s="33" t="str">
        <x:v>Paraguay</x:v>
      </x:c>
      <x:c r="B53" s="36" t="str">
        <x:v>항공훈련 격납고</x:v>
      </x:c>
      <x:c r="C53" s="36" t="str">
        <x:v>신축</x:v>
      </x:c>
      <x:c r="D53" s="33" t="n">
        <x:v>1</x:v>
      </x:c>
      <x:c r="E53" s="33" t="n">
        <x:v>0</x:v>
      </x:c>
      <x:c r="F53" s="33" t="str">
        <x:v>2021-10-20</x:v>
      </x:c>
      <x:c r="G53" s="33" t="str">
        <x:v>2021-10-20</x:v>
      </x:c>
      <x:c r="H53" s="45" t="n">
        <x:v>943.9153439153439</x:v>
      </x:c>
      <x:c r="I53" s="45" t="n">
        <x:v>943.9153439153439</x:v>
      </x:c>
      <x:c r="J53" s="36" t="str">
        <x:v>개별 사례만</x:v>
      </x:c>
      <x:c r="K53" s="36" t="str">
        <x:v>권고단가 아님</x:v>
      </x:c>
    </x:row>
    <x:row r="54">
      <x:c r="A54" s="33" t="str">
        <x:v>Paraguay</x:v>
      </x:c>
      <x:c r="B54" s="36" t="str">
        <x:v>노인 장기요양센터</x:v>
      </x:c>
      <x:c r="C54" s="36" t="str">
        <x:v>신축</x:v>
      </x:c>
      <x:c r="D54" s="33" t="n">
        <x:v>1</x:v>
      </x:c>
      <x:c r="E54" s="33" t="n">
        <x:v>1</x:v>
      </x:c>
      <x:c r="F54" s="33" t="str">
        <x:v>2018-08-14</x:v>
      </x:c>
      <x:c r="G54" s="33" t="str">
        <x:v>2018-08-14</x:v>
      </x:c>
      <x:c r="H54" s="45" t="n">
        <x:v>712.6291225886746</x:v>
      </x:c>
      <x:c r="I54" s="45" t="n">
        <x:v>712.6291225886746</x:v>
      </x:c>
      <x:c r="J54" s="36" t="str">
        <x:v>개별 사례만</x:v>
      </x:c>
      <x:c r="K54" s="36" t="str">
        <x:v>권고단가 아님</x:v>
      </x:c>
    </x:row>
    <x:row r="55">
      <x:c r="A55" s="33" t="str">
        <x:v>Paraguay</x:v>
      </x:c>
      <x:c r="B55" s="36" t="str">
        <x:v>보건시설</x:v>
      </x:c>
      <x:c r="C55" s="36" t="str">
        <x:v>신축</x:v>
      </x:c>
      <x:c r="D55" s="33" t="n">
        <x:v>1</x:v>
      </x:c>
      <x:c r="E55" s="33" t="n">
        <x:v>1</x:v>
      </x:c>
      <x:c r="F55" s="33" t="str">
        <x:v>2018-07-18</x:v>
      </x:c>
      <x:c r="G55" s="33" t="str">
        <x:v>2018-07-18</x:v>
      </x:c>
      <x:c r="H55" s="45" t="n">
        <x:v>816.9602415702063</x:v>
      </x:c>
      <x:c r="I55" s="45" t="n">
        <x:v>816.9602415702063</x:v>
      </x:c>
      <x:c r="J55" s="36" t="str">
        <x:v>개별 사례만</x:v>
      </x:c>
      <x:c r="K55" s="36" t="str">
        <x:v>권고단가 아님</x:v>
      </x:c>
    </x:row>
    <x:row r="56">
      <x:c r="A56" s="33" t="str">
        <x:v>Philippines</x:v>
      </x:c>
      <x:c r="B56" s="36" t="str">
        <x:v>농업복합시설</x:v>
      </x:c>
      <x:c r="C56" s="36" t="str">
        <x:v>설계·시공</x:v>
      </x:c>
      <x:c r="D56" s="33" t="n">
        <x:v>1</x:v>
      </x:c>
      <x:c r="E56" s="33" t="n">
        <x:v>0</x:v>
      </x:c>
      <x:c r="F56" s="33" t="str">
        <x:v>2018-08-07</x:v>
      </x:c>
      <x:c r="G56" s="33" t="str">
        <x:v>2018-08-07</x:v>
      </x:c>
      <x:c r="H56" s="45" t="n">
        <x:v>678.2857142857143</x:v>
      </x:c>
      <x:c r="I56" s="45" t="n">
        <x:v>678.2857142857143</x:v>
      </x:c>
      <x:c r="J56" s="36" t="str">
        <x:v>개별 사례만</x:v>
      </x:c>
      <x:c r="K56" s="36" t="str">
        <x:v>권고단가 아님</x:v>
      </x:c>
    </x:row>
    <x:row r="57">
      <x:c r="A57" s="33" t="str">
        <x:v>Senegal</x:v>
      </x:c>
      <x:c r="B57" s="36" t="str">
        <x:v>메이커스페이스</x:v>
      </x:c>
      <x:c r="C57" s="36" t="str">
        <x:v>리모델링·개보수</x:v>
      </x:c>
      <x:c r="D57" s="33" t="n">
        <x:v>1</x:v>
      </x:c>
      <x:c r="E57" s="33" t="n">
        <x:v>0</x:v>
      </x:c>
      <x:c r="F57" s="33" t="str">
        <x:v>2023-06-16</x:v>
      </x:c>
      <x:c r="G57" s="33" t="str">
        <x:v>2023-06-16</x:v>
      </x:c>
      <x:c r="H57" s="45" t="n">
        <x:v>655.6291390728477</x:v>
      </x:c>
      <x:c r="I57" s="45" t="n">
        <x:v>655.6291390728477</x:v>
      </x:c>
      <x:c r="J57" s="36" t="str">
        <x:v>개별 사례만</x:v>
      </x:c>
      <x:c r="K57" s="36" t="str">
        <x:v>권고단가 아님</x:v>
      </x:c>
    </x:row>
    <x:row r="58">
      <x:c r="A58" s="33" t="str">
        <x:v>Senegal</x:v>
      </x:c>
      <x:c r="B58" s="36" t="str">
        <x:v>고등교육·농업훈련센터</x:v>
      </x:c>
      <x:c r="C58" s="36" t="str">
        <x:v>신축</x:v>
      </x:c>
      <x:c r="D58" s="33" t="n">
        <x:v>1</x:v>
      </x:c>
      <x:c r="E58" s="33" t="n">
        <x:v>0</x:v>
      </x:c>
      <x:c r="F58" s="33" t="str">
        <x:v>2017-01-23</x:v>
      </x:c>
      <x:c r="G58" s="33" t="str">
        <x:v>2017-01-23</x:v>
      </x:c>
      <x:c r="H58" s="45" t="n">
        <x:v>665.2864044168392</x:v>
      </x:c>
      <x:c r="I58" s="45" t="n">
        <x:v>665.2864044168392</x:v>
      </x:c>
      <x:c r="J58" s="36" t="str">
        <x:v>개별 사례만</x:v>
      </x:c>
      <x:c r="K58" s="36" t="str">
        <x:v>권고단가 아님</x:v>
      </x:c>
    </x:row>
    <x:row r="59">
      <x:c r="A59" s="33" t="str">
        <x:v>Sri Lanka</x:v>
      </x:c>
      <x:c r="B59" s="36" t="str">
        <x:v>교원교육대학</x:v>
      </x:c>
      <x:c r="C59" s="36" t="str">
        <x:v>신축</x:v>
      </x:c>
      <x:c r="D59" s="33" t="n">
        <x:v>1</x:v>
      </x:c>
      <x:c r="E59" s="33" t="n">
        <x:v>1</x:v>
      </x:c>
      <x:c r="F59" s="33" t="str">
        <x:v>2019-06-28</x:v>
      </x:c>
      <x:c r="G59" s="33" t="str">
        <x:v>2019-06-28</x:v>
      </x:c>
      <x:c r="H59" s="45" t="n">
        <x:v>562.6637891166949</x:v>
      </x:c>
      <x:c r="I59" s="45" t="n">
        <x:v>562.6637891166949</x:v>
      </x:c>
      <x:c r="J59" s="36" t="str">
        <x:v>개별 사례만</x:v>
      </x:c>
      <x:c r="K59" s="36" t="str">
        <x:v>권고단가 아님</x:v>
      </x:c>
    </x:row>
    <x:row r="60">
      <x:c r="A60" s="33" t="str">
        <x:v>Timor-Leste</x:v>
      </x:c>
      <x:c r="B60" s="36" t="str">
        <x:v>농업 인프라 시설</x:v>
      </x:c>
      <x:c r="C60" s="36" t="str">
        <x:v>신축·토목</x:v>
      </x:c>
      <x:c r="D60" s="33" t="n">
        <x:v>1</x:v>
      </x:c>
      <x:c r="E60" s="33" t="n">
        <x:v>0</x:v>
      </x:c>
      <x:c r="F60" s="33" t="str">
        <x:v>2023-05-04</x:v>
      </x:c>
      <x:c r="G60" s="33" t="str">
        <x:v>2023-05-04</x:v>
      </x:c>
      <x:c r="H60" s="45" t="n">
        <x:v>1898.887276245767</x:v>
      </x:c>
      <x:c r="I60" s="45" t="n">
        <x:v>1898.887276245767</x:v>
      </x:c>
      <x:c r="J60" s="36" t="str">
        <x:v>개별 사례만</x:v>
      </x:c>
      <x:c r="K60" s="36" t="str">
        <x:v>권고단가 아님</x:v>
      </x:c>
    </x:row>
    <x:row r="61">
      <x:c r="A61" s="33" t="str">
        <x:v>Turkmenistan</x:v>
      </x:c>
      <x:c r="B61" s="36" t="str">
        <x:v>가스산업 직업훈련원</x:v>
      </x:c>
      <x:c r="C61" s="36" t="str">
        <x:v>설계·시공</x:v>
      </x:c>
      <x:c r="D61" s="33" t="n">
        <x:v>1</x:v>
      </x:c>
      <x:c r="E61" s="33" t="n">
        <x:v>0</x:v>
      </x:c>
      <x:c r="F61" s="33" t="str">
        <x:v>2017-12-27</x:v>
      </x:c>
      <x:c r="G61" s="33" t="str">
        <x:v>2017-12-27</x:v>
      </x:c>
      <x:c r="H61" s="45" t="n">
        <x:v>1133.3333333333333</x:v>
      </x:c>
      <x:c r="I61" s="45" t="n">
        <x:v>1133.3333333333333</x:v>
      </x:c>
      <x:c r="J61" s="36" t="str">
        <x:v>개별 사례만</x:v>
      </x:c>
      <x:c r="K61" s="36" t="str">
        <x:v>권고단가 아님</x:v>
      </x:c>
    </x:row>
    <x:row r="62">
      <x:c r="A62" s="33" t="str">
        <x:v>Uganda</x:v>
      </x:c>
      <x:c r="B62" s="36" t="str">
        <x:v>Makerere대 원격교육센터</x:v>
      </x:c>
      <x:c r="C62" s="36" t="str">
        <x:v>신축</x:v>
      </x:c>
      <x:c r="D62" s="33" t="n">
        <x:v>1</x:v>
      </x:c>
      <x:c r="E62" s="33" t="n">
        <x:v>1</x:v>
      </x:c>
      <x:c r="F62" s="33" t="str">
        <x:v>2025-09-29</x:v>
      </x:c>
      <x:c r="G62" s="33" t="str">
        <x:v>2025-09-29</x:v>
      </x:c>
      <x:c r="H62" s="45" t="n">
        <x:v>1084.90099009901</x:v>
      </x:c>
      <x:c r="I62" s="45" t="n">
        <x:v>1084.90099009901</x:v>
      </x:c>
      <x:c r="J62" s="36" t="str">
        <x:v>개별 사례만</x:v>
      </x:c>
      <x:c r="K62" s="36" t="str">
        <x:v>권고단가 아님</x:v>
      </x:c>
    </x:row>
    <x:row r="63">
      <x:c r="A63" s="33" t="str">
        <x:v>Uganda</x:v>
      </x:c>
      <x:c r="B63" s="36" t="str">
        <x:v>농업 시범농장 시설</x:v>
      </x:c>
      <x:c r="C63" s="36" t="str">
        <x:v>신축·토목</x:v>
      </x:c>
      <x:c r="D63" s="33" t="n">
        <x:v>1</x:v>
      </x:c>
      <x:c r="E63" s="33" t="n">
        <x:v>0</x:v>
      </x:c>
      <x:c r="F63" s="33" t="str">
        <x:v>2025-08-06</x:v>
      </x:c>
      <x:c r="G63" s="33" t="str">
        <x:v>2025-08-06</x:v>
      </x:c>
      <x:c r="H63" s="45" t="n">
        <x:v>472.33479065074823</x:v>
      </x:c>
      <x:c r="I63" s="45" t="n">
        <x:v>472.33479065074823</x:v>
      </x:c>
      <x:c r="J63" s="36" t="str">
        <x:v>개별 사례만</x:v>
      </x:c>
      <x:c r="K63" s="36" t="str">
        <x:v>권고단가 아님</x:v>
      </x:c>
    </x:row>
    <x:row r="64">
      <x:c r="A64" s="33" t="str">
        <x:v>Uganda</x:v>
      </x:c>
      <x:c r="B64" s="36" t="str">
        <x:v>훈련복합시설</x:v>
      </x:c>
      <x:c r="C64" s="36" t="str">
        <x:v>신축</x:v>
      </x:c>
      <x:c r="D64" s="33" t="n">
        <x:v>1</x:v>
      </x:c>
      <x:c r="E64" s="33" t="n">
        <x:v>0</x:v>
      </x:c>
      <x:c r="F64" s="33" t="str">
        <x:v>2024-09-16</x:v>
      </x:c>
      <x:c r="G64" s="33" t="str">
        <x:v>2024-09-16</x:v>
      </x:c>
      <x:c r="H64" s="45" t="n">
        <x:v>969.7420634920635</x:v>
      </x:c>
      <x:c r="I64" s="45" t="n">
        <x:v>969.7420634920635</x:v>
      </x:c>
      <x:c r="J64" s="36" t="str">
        <x:v>개별 사례만</x:v>
      </x:c>
      <x:c r="K64" s="36" t="str">
        <x:v>권고단가 아님</x:v>
      </x:c>
    </x:row>
    <x:row r="65">
      <x:c r="A65" s="33" t="str">
        <x:v>Uganda</x:v>
      </x:c>
      <x:c r="B65" s="36" t="str">
        <x:v>온실·창고</x:v>
      </x:c>
      <x:c r="C65" s="36" t="str">
        <x:v>신축·토목</x:v>
      </x:c>
      <x:c r="D65" s="33" t="n">
        <x:v>1</x:v>
      </x:c>
      <x:c r="E65" s="33" t="n">
        <x:v>0</x:v>
      </x:c>
      <x:c r="F65" s="33" t="str">
        <x:v>2023-03-28</x:v>
      </x:c>
      <x:c r="G65" s="33" t="str">
        <x:v>2023-03-28</x:v>
      </x:c>
      <x:c r="H65" s="45" t="n">
        <x:v>238.53779429987608</x:v>
      </x:c>
      <x:c r="I65" s="45" t="n">
        <x:v>238.53779429987608</x:v>
      </x:c>
      <x:c r="J65" s="36" t="str">
        <x:v>개별 사례만</x:v>
      </x:c>
      <x:c r="K65" s="36" t="str">
        <x:v>권고단가 아님</x:v>
      </x:c>
    </x:row>
    <x:row r="66">
      <x:c r="A66" s="34" t="str">
        <x:v>Uganda</x:v>
      </x:c>
      <x:c r="B66" s="37" t="str">
        <x:v>옥수수 가공·시장시설</x:v>
      </x:c>
      <x:c r="C66" s="37" t="str">
        <x:v>신축</x:v>
      </x:c>
      <x:c r="D66" s="34" t="n">
        <x:v>1</x:v>
      </x:c>
      <x:c r="E66" s="34" t="n">
        <x:v>0</x:v>
      </x:c>
      <x:c r="F66" s="34" t="str">
        <x:v>2023-03-20</x:v>
      </x:c>
      <x:c r="G66" s="34" t="str">
        <x:v>2023-03-20</x:v>
      </x:c>
      <x:c r="H66" s="46" t="n">
        <x:v>329.46942228668115</x:v>
      </x:c>
      <x:c r="I66" s="46" t="n">
        <x:v>329.46942228668115</x:v>
      </x:c>
      <x:c r="J66" s="37" t="str">
        <x:v>개별 사례만</x:v>
      </x:c>
      <x:c r="K66" s="37" t="str">
        <x:v>권고단가 아님</x:v>
      </x:c>
    </x:row>
  </x:sheetData>
  <x:mergeCells>
    <x:mergeCell ref="A1:K1"/>
  </x:mergeCells>
  <x:conditionalFormatting sqref="D3:D66">
    <x:cfRule type="cellIs" dxfId="1" priority="1" operator="lessThan">
      <x:formula>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cc8fbfa2fb48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6" hidden="0" customWidth="1"/>
    <x:col min="3" max="3" width="32" hidden="0" customWidth="1"/>
  </x:cols>
  <x:sheetData>
    <x:row r="1" ht="30" customHeight="1">
      <x:c r="A1" s="25" t="str">
        <x:v>SQLite 테이블·뷰 데이터사전</x:v>
      </x:c>
    </x:row>
    <x:row r="2" ht="34" customHeight="1">
      <x:c r="A2" s="27" t="str">
        <x:v>테이블·뷰</x:v>
      </x:c>
      <x:c r="B2" s="27" t="str">
        <x:v>내용</x:v>
      </x:c>
      <x:c r="C2" s="27" t="str">
        <x:v>주요 키</x:v>
      </x:c>
    </x:row>
    <x:row r="3">
      <x:c r="A3" s="32" t="str">
        <x:v>datasets</x:v>
      </x:c>
      <x:c r="B3" s="35" t="str">
        <x:v>수집기간별 품질·건수 메타데이터</x:v>
      </x:c>
      <x:c r="C3" s="35" t="str">
        <x:v>dataset_id</x:v>
      </x:c>
    </x:row>
    <x:row r="4">
      <x:c r="A4" s="33" t="str">
        <x:v>bids</x:v>
      </x:c>
      <x:c r="B4" s="36" t="str">
        <x:v>공개 현지입찰 목록 575건</x:v>
      </x:c>
      <x:c r="C4" s="36" t="str">
        <x:v>bid_no</x:v>
      </x:c>
    </x:row>
    <x:row r="5">
      <x:c r="A5" s="33" t="str">
        <x:v>details</x:v>
      </x:c>
      <x:c r="B5" s="36" t="str">
        <x:v>상세페이지 필드와 첨부그룹</x:v>
      </x:c>
      <x:c r="C5" s="36" t="str">
        <x:v>bid_no</x:v>
      </x:c>
    </x:row>
    <x:row r="6">
      <x:c r="A6" s="33" t="str">
        <x:v>projects</x:v>
      </x:c>
      <x:c r="B6" s="36" t="str">
        <x:v>건축 후보 사업·입찰 메타데이터</x:v>
      </x:c>
      <x:c r="C6" s="36" t="str">
        <x:v>bid_no, project_no</x:v>
      </x:c>
    </x:row>
    <x:row r="7">
      <x:c r="A7" s="33" t="str">
        <x:v>attachments</x:v>
      </x:c>
      <x:c r="B7" s="36" t="str">
        <x:v>원 첨부 1,000개의 경로·크기·SHA-256</x:v>
      </x:c>
      <x:c r="C7" s="36" t="str">
        <x:v>bid_no, attachment_sn</x:v>
      </x:c>
    </x:row>
    <x:row r="8">
      <x:c r="A8" s="33" t="str">
        <x:v>documents</x:v>
      </x:c>
      <x:c r="B8" s="36" t="str">
        <x:v>ZIP 내부 포함 분석문서 인덱스</x:v>
      </x:c>
      <x:c r="C8" s="36" t="str">
        <x:v>dataset_id, bid_no, source_file</x:v>
      </x:c>
    </x:row>
    <x:row r="9">
      <x:c r="A9" s="33" t="str">
        <x:v>evidence</x:v>
      </x:c>
      <x:c r="B9" s="36" t="str">
        <x:v>자동 추출 수치근거 3,563건</x:v>
      </x:c>
      <x:c r="C9" s="36" t="str">
        <x:v>evidence_id, bid_no</x:v>
      </x:c>
    </x:row>
    <x:row r="10">
      <x:c r="A10" s="33" t="str">
        <x:v>reviewed_cases</x:v>
      </x:c>
      <x:c r="B10" s="36" t="str">
        <x:v>수동 검토 단가사례 66건</x:v>
      </x:c>
      <x:c r="C10" s="36" t="str">
        <x:v>bid_no</x:v>
      </x:c>
    </x:row>
    <x:row r="11">
      <x:c r="A11" s="33" t="str">
        <x:v>fee_benchmarks</x:v>
      </x:c>
      <x:c r="B11" s="36" t="str">
        <x:v>설계·감리 비용 검토사례</x:v>
      </x:c>
      <x:c r="C11" s="36" t="str">
        <x:v>fee_id, bid_no</x:v>
      </x:c>
    </x:row>
    <x:row r="12">
      <x:c r="A12" s="33" t="str">
        <x:v>v_sample_coverage</x:v>
      </x:c>
      <x:c r="B12" s="36" t="str">
        <x:v>국가×시설×유형 표본수와 명목범위</x:v>
      </x:c>
      <x:c r="C12" s="36" t="str">
        <x:v>조회용 VIEW</x:v>
      </x:c>
    </x:row>
    <x:row r="13">
      <x:c r="A13" s="33" t="str">
        <x:v>v_yearly_inventory</x:v>
      </x:c>
      <x:c r="B13" s="36" t="str">
        <x:v>연도별 검토사례·미보정 건수</x:v>
      </x:c>
      <x:c r="C13" s="36" t="str">
        <x:v>조회용 VIEW</x:v>
      </x:c>
    </x:row>
    <x:row r="14">
      <x:c r="A14" s="34" t="str">
        <x:v>v_duplicate_attachments</x:v>
      </x:c>
      <x:c r="B14" s="37" t="str">
        <x:v>동일 SHA-256 첨부파일</x:v>
      </x:c>
      <x:c r="C14" s="37" t="str">
        <x:v>조회용 VIEW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0879c92fe5040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25" t="str">
        <x:v>SQLite 기본 조회 예시</x:v>
      </x:c>
    </x:row>
    <x:row r="2" ht="34" customHeight="1">
      <x:c r="A2" s="27" t="str">
        <x:v>목적</x:v>
      </x:c>
      <x:c r="B2" s="27" t="str">
        <x:v>SQL</x:v>
      </x:c>
    </x:row>
    <x:row r="3">
      <x:c r="A3" s="32" t="str">
        <x:v>유사사례 검색</x:v>
      </x:c>
      <x:c r="B3" s="35" t="str">
        <x:v>SELECT * FROM reviewed_cases WHERE country = 'Nepal' AND work_type LIKE '%신축%' ORDER BY notice_date DESC;</x:v>
      </x:c>
    </x:row>
    <x:row r="4">
      <x:c r="A4" s="33" t="str">
        <x:v>표본수 확인</x:v>
      </x:c>
      <x:c r="B4" s="36" t="str">
        <x:v>SELECT * FROM v_sample_coverage WHERE country = 'Nepal' ORDER BY reviewed_case_count DESC;</x:v>
      </x:c>
    </x:row>
    <x:row r="5">
      <x:c r="A5" s="33" t="str">
        <x:v>근거 추적</x:v>
      </x:c>
      <x:c r="B5" s="36" t="str">
        <x:v>SELECT category, source_file, source_locator, evidence_text FROM evidence WHERE bid_no = 'L2022-00029-1';</x:v>
      </x:c>
    </x:row>
    <x:row r="6">
      <x:c r="A6" s="33" t="str">
        <x:v>첨부 확인</x:v>
      </x:c>
      <x:c r="B6" s="36" t="str">
        <x:v>SELECT original_name, bytes, sha256, relative_path FROM attachments WHERE bid_no = 'L2022-00029-1';</x:v>
      </x:c>
    </x:row>
    <x:row r="7">
      <x:c r="A7" s="34" t="str">
        <x:v>연도별 현황</x:v>
      </x:c>
      <x:c r="B7" s="37" t="str">
        <x:v>SELECT * FROM v_yearly_inventory ORDER BY notice_year;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652d7198260c4f06"/>
  </x:tableParts>
</x:worksheet>
</file>